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A088DB5F-6D8B-4177-8A82-0D1084EC2460}" xr6:coauthVersionLast="47" xr6:coauthVersionMax="47" xr10:uidLastSave="{00000000-0000-0000-0000-000000000000}"/>
  <bookViews>
    <workbookView xWindow="-120" yWindow="-120" windowWidth="20640" windowHeight="11040" xr2:uid="{00000000-000D-0000-FFFF-FFFF00000000}"/>
  </bookViews>
  <sheets>
    <sheet name="estimate" sheetId="14"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estimate!$A$1:$K$43</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8" i="14" l="1"/>
  <c r="F28" i="14" s="1"/>
  <c r="G28" i="14" s="1"/>
  <c r="C27" i="14"/>
  <c r="F27" i="14" s="1"/>
  <c r="G27" i="14" s="1"/>
  <c r="D29" i="14" l="1"/>
  <c r="F29" i="14" s="1"/>
  <c r="G29" i="14" s="1"/>
  <c r="G30" i="14" s="1"/>
  <c r="J30" i="14" s="1"/>
  <c r="E22" i="14" l="1"/>
  <c r="G22" i="14" s="1"/>
  <c r="D18" i="14"/>
  <c r="N22" i="14"/>
  <c r="M22" i="14"/>
  <c r="P22" i="14" l="1"/>
  <c r="G23" i="14"/>
  <c r="E18" i="14"/>
  <c r="E14" i="14" s="1"/>
  <c r="E10" i="14" s="1"/>
  <c r="C43" i="14"/>
  <c r="C42" i="14"/>
  <c r="G34" i="14"/>
  <c r="J34" i="14" s="1"/>
  <c r="N18" i="14"/>
  <c r="M18" i="14"/>
  <c r="P18" i="14" s="1"/>
  <c r="N14" i="14"/>
  <c r="M14" i="14"/>
  <c r="B14" i="14"/>
  <c r="B18" i="14" s="1"/>
  <c r="B22" i="14" s="1"/>
  <c r="N10" i="14"/>
  <c r="M10" i="14"/>
  <c r="P14" i="14" l="1"/>
  <c r="P10" i="14"/>
  <c r="G18" i="14"/>
  <c r="C40" i="14"/>
  <c r="D14" i="14"/>
  <c r="G19" i="14" l="1"/>
  <c r="G14" i="14"/>
  <c r="D10" i="14"/>
  <c r="G10" i="14" s="1"/>
  <c r="G11" i="14" s="1"/>
  <c r="J11" i="14" s="1"/>
  <c r="J23" i="14"/>
  <c r="G15" i="14" l="1"/>
  <c r="J15" i="14" s="1"/>
  <c r="J19" i="14"/>
  <c r="J36" i="14" l="1"/>
  <c r="C38" i="14" s="1"/>
  <c r="E40" i="14" s="1"/>
  <c r="E41" i="14" s="1"/>
  <c r="C41" i="14" l="1"/>
</calcChain>
</file>

<file path=xl/sharedStrings.xml><?xml version="1.0" encoding="utf-8"?>
<sst xmlns="http://schemas.openxmlformats.org/spreadsheetml/2006/main" count="53" uniqueCount="45">
  <si>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</si>
  <si>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</si>
  <si>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</si>
  <si>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</si>
  <si>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</si>
  <si>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</si>
  <si>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</si>
  <si>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</si>
  <si>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</si>
  <si>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</si>
  <si>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</si>
  <si>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</si>
  <si>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</si>
  <si>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</si>
  <si>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</si>
  <si>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</si>
  <si>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</si>
  <si>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</si>
  <si>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</si>
  <si>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</si>
  <si>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</si>
  <si>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</si>
  <si>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</si>
  <si>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</si>
  <si>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</si>
  <si>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</si>
  <si>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</si>
  <si>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</si>
  <si>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</si>
  <si>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User contribution</t>
  </si>
  <si>
    <t>Location:- Shankharapur Municipality 1</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</si>
  <si>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</si>
  <si>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Random Rubble Masonry, Providing and laying of Stone Masonry Work in Cement Mortar 1:6 in Foundation complete as per Drawing and Technical Specifications., Using Concrete Mixer</t>
  </si>
  <si>
    <t>Length (m)</t>
  </si>
  <si>
    <r>
      <t>Project:-</t>
    </r>
    <r>
      <rPr>
        <sz val="12"/>
        <rFont val="Preeti"/>
      </rPr>
      <t xml:space="preserve"> </t>
    </r>
    <r>
      <rPr>
        <b/>
        <sz val="12"/>
        <rFont val="Preeti"/>
      </rPr>
      <t>nfdf la;f}gf</t>
    </r>
    <r>
      <rPr>
        <sz val="12"/>
        <rFont val="Preeti"/>
      </rPr>
      <t xml:space="preserve"> </t>
    </r>
    <r>
      <rPr>
        <b/>
        <sz val="14"/>
        <rFont val="Preeti"/>
      </rPr>
      <t xml:space="preserve">d]n8fF8f lj;/fd] ;8s </t>
    </r>
  </si>
  <si>
    <t>Date: 208306/26</t>
  </si>
  <si>
    <t>-for masonry wall</t>
  </si>
  <si>
    <t>sfnf] kmnfd] kfO{ksf] 6«; agfO{ h8fg ug]{ sfd</t>
  </si>
  <si>
    <t>Unit length (Kg/m)</t>
  </si>
  <si>
    <t>Total Weight (kg)</t>
  </si>
  <si>
    <t>-MS square pipe horizontal of 2" * 2" of 2mm thickness  for vertical post of railing</t>
  </si>
  <si>
    <t>-MS square pipe horizontal of 1.5" * 1.5" of 2mm thickness  for vertical post of railing</t>
  </si>
  <si>
    <t>sub-total</t>
  </si>
  <si>
    <t>Kg</t>
  </si>
  <si>
    <t>@Æx@Æ sfnf] kmnfd] kfO{ksf] x\of08/]ndf @ ld6/sf] b"/Ldf @Æx@Æ sfnf] kmnfd] kfO{ks} 7f8f] kf]i6 /fvL x\of08/]n / e"O+sf] aLrdf b'O{ tx t];f]{ !=%Æx!=%Æ sfnf] kmnfd] kfO{ksf] d]Da/ /fvL /]lnË agfO{ h8fg u/L /+u ;d]t nufpg] sfd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</si>
</sst>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7"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b/>
      <sz val="14"/>
      <name val="Preeti"/>
    </font>
    <font>
      <sz val="12"/>
      <name val="Preeti"/>
    </font>
    <font>
      <b/>
      <sz val="12"/>
      <name val="Preeti"/>
    </font>
    <font>
      <sz val="16"/>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1" fontId="4" fillId="0" borderId="2" xfId="0" applyNumberFormat="1" applyFont="1" applyBorder="1"/>
    <xf numFmtId="0" fontId="15" fillId="2" borderId="2" xfId="0" applyFont="1" applyFill="1" applyBorder="1" applyAlignment="1">
      <alignment vertical="center" wrapText="1"/>
    </xf>
    <xf numFmtId="2" fontId="2" fillId="0" borderId="2" xfId="1" applyNumberFormat="1" applyFont="1" applyFill="1" applyBorder="1" applyAlignment="1">
      <alignment vertical="center" wrapText="1"/>
    </xf>
    <xf numFmtId="2" fontId="2" fillId="0" borderId="2" xfId="0" applyNumberFormat="1" applyFont="1" applyBorder="1" applyAlignment="1">
      <alignment vertical="center" wrapText="1"/>
    </xf>
    <xf numFmtId="2" fontId="6" fillId="0" borderId="2" xfId="0" applyNumberFormat="1" applyFont="1" applyBorder="1" applyAlignment="1">
      <alignment vertical="center"/>
    </xf>
    <xf numFmtId="0" fontId="0" fillId="0" borderId="0" xfId="0" applyAlignment="1">
      <alignment vertical="center"/>
    </xf>
    <xf numFmtId="0" fontId="2" fillId="0" borderId="2" xfId="0" quotePrefix="1" applyFont="1" applyBorder="1" applyAlignment="1">
      <alignment horizontal="right" vertical="center" wrapText="1"/>
    </xf>
    <xf numFmtId="164" fontId="4" fillId="0" borderId="2" xfId="0" applyNumberFormat="1" applyFont="1" applyBorder="1" applyAlignment="1">
      <alignment vertical="center"/>
    </xf>
    <xf numFmtId="0" fontId="15" fillId="2" borderId="2" xfId="0" quotePrefix="1" applyFont="1" applyFill="1" applyBorder="1" applyAlignment="1">
      <alignment vertical="center" wrapText="1"/>
    </xf>
    <xf numFmtId="1" fontId="4" fillId="0" borderId="2" xfId="0" applyNumberFormat="1" applyFont="1" applyBorder="1" applyAlignment="1">
      <alignment vertical="center"/>
    </xf>
    <xf numFmtId="0" fontId="16" fillId="0" borderId="0" xfId="0" quotePrefix="1" applyFont="1" applyAlignment="1">
      <alignment wrapText="1"/>
    </xf>
    <xf numFmtId="0" fontId="16" fillId="0" borderId="0" xfId="0" applyFont="1" applyAlignment="1">
      <alignment wrapText="1"/>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079-080/Rate%20Analysis/Road-rate-analysis-079-80-shankharapur-as-per-dor-norms-nnnn.xlsx" TargetMode="External"/><Relationship Id="rId1" Type="http://schemas.openxmlformats.org/officeDocument/2006/relationships/externalLinkPath" Target="/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3"/>
  <sheetViews>
    <sheetView tabSelected="1" view="pageBreakPreview" topLeftCell="A23" zoomScale="95" zoomScaleNormal="90" zoomScaleSheetLayoutView="95" workbookViewId="0">
      <selection activeCell="I41" sqref="I41"/>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57" t="s">
        <v>0</v>
      </c>
      <c r="B1" s="57"/>
      <c r="C1" s="57"/>
      <c r="D1" s="57"/>
      <c r="E1" s="57"/>
      <c r="F1" s="57"/>
      <c r="G1" s="57"/>
      <c r="H1" s="57"/>
      <c r="I1" s="57"/>
      <c r="J1" s="57"/>
      <c r="K1" s="57"/>
    </row>
    <row r="2" spans="1:16" ht="22.5" x14ac:dyDescent="0.25">
      <c r="A2" s="58" t="s">
        <v>1</v>
      </c>
      <c r="B2" s="58"/>
      <c r="C2" s="58"/>
      <c r="D2" s="58"/>
      <c r="E2" s="58"/>
      <c r="F2" s="58"/>
      <c r="G2" s="58"/>
      <c r="H2" s="58"/>
      <c r="I2" s="58"/>
      <c r="J2" s="58"/>
      <c r="K2" s="58"/>
    </row>
    <row r="3" spans="1:16" x14ac:dyDescent="0.25">
      <c r="A3" s="59" t="s">
        <v>2</v>
      </c>
      <c r="B3" s="59"/>
      <c r="C3" s="59"/>
      <c r="D3" s="59"/>
      <c r="E3" s="59"/>
      <c r="F3" s="59"/>
      <c r="G3" s="59"/>
      <c r="H3" s="59"/>
      <c r="I3" s="59"/>
      <c r="J3" s="59"/>
      <c r="K3" s="59"/>
    </row>
    <row r="4" spans="1:16" x14ac:dyDescent="0.25">
      <c r="A4" s="59" t="s">
        <v>3</v>
      </c>
      <c r="B4" s="59"/>
      <c r="C4" s="59"/>
      <c r="D4" s="59"/>
      <c r="E4" s="59"/>
      <c r="F4" s="59"/>
      <c r="G4" s="59"/>
      <c r="H4" s="59"/>
      <c r="I4" s="59"/>
      <c r="J4" s="59"/>
      <c r="K4" s="59"/>
    </row>
    <row r="5" spans="1:16" ht="18.75" x14ac:dyDescent="0.3">
      <c r="A5" s="60" t="s">
        <v>4</v>
      </c>
      <c r="B5" s="60"/>
      <c r="C5" s="60"/>
      <c r="D5" s="60"/>
      <c r="E5" s="60"/>
      <c r="F5" s="60"/>
      <c r="G5" s="60"/>
      <c r="H5" s="60"/>
      <c r="I5" s="60"/>
      <c r="J5" s="60"/>
      <c r="K5" s="60"/>
    </row>
    <row r="6" spans="1:16" ht="18" x14ac:dyDescent="0.25">
      <c r="A6" s="55" t="s">
        <v>34</v>
      </c>
      <c r="B6" s="55"/>
      <c r="C6" s="55"/>
      <c r="D6" s="55"/>
      <c r="E6" s="55"/>
      <c r="F6" s="55"/>
      <c r="G6" s="10"/>
      <c r="H6" s="56" t="s">
        <v>26</v>
      </c>
      <c r="I6" s="56"/>
      <c r="J6" s="56"/>
      <c r="K6" s="56"/>
    </row>
    <row r="7" spans="1:16" ht="15.75" x14ac:dyDescent="0.25">
      <c r="A7" s="50" t="s">
        <v>30</v>
      </c>
      <c r="B7" s="50"/>
      <c r="C7" s="50"/>
      <c r="D7" s="50"/>
      <c r="E7" s="50"/>
      <c r="F7" s="50"/>
      <c r="G7" s="11"/>
      <c r="H7" s="51" t="s">
        <v>35</v>
      </c>
      <c r="I7" s="51"/>
      <c r="J7" s="51"/>
      <c r="K7" s="51"/>
    </row>
    <row r="8" spans="1:16" ht="15.75" x14ac:dyDescent="0.25">
      <c r="A8" s="12" t="s">
        <v>5</v>
      </c>
      <c r="B8" s="13" t="s">
        <v>6</v>
      </c>
      <c r="C8" s="12" t="s">
        <v>7</v>
      </c>
      <c r="D8" s="14" t="s">
        <v>8</v>
      </c>
      <c r="E8" s="14" t="s">
        <v>9</v>
      </c>
      <c r="F8" s="14" t="s">
        <v>10</v>
      </c>
      <c r="G8" s="14" t="s">
        <v>11</v>
      </c>
      <c r="H8" s="12" t="s">
        <v>12</v>
      </c>
      <c r="I8" s="14" t="s">
        <v>13</v>
      </c>
      <c r="J8" s="14" t="s">
        <v>14</v>
      </c>
      <c r="K8" s="15" t="s">
        <v>15</v>
      </c>
    </row>
    <row r="9" spans="1:16" ht="157.5" x14ac:dyDescent="0.25">
      <c r="A9" s="16">
        <v>1</v>
      </c>
      <c r="B9" s="35" t="s">
        <v>31</v>
      </c>
      <c r="C9" s="17"/>
      <c r="D9" s="17"/>
      <c r="E9" s="17"/>
      <c r="F9" s="17"/>
      <c r="G9" s="17"/>
      <c r="H9" s="17"/>
      <c r="I9" s="17"/>
      <c r="J9" s="17"/>
      <c r="K9" s="17"/>
    </row>
    <row r="10" spans="1:16" x14ac:dyDescent="0.25">
      <c r="A10" s="16"/>
      <c r="B10" s="32" t="s">
        <v>36</v>
      </c>
      <c r="C10" s="36">
        <v>0.5</v>
      </c>
      <c r="D10" s="33">
        <f>D14</f>
        <v>15</v>
      </c>
      <c r="E10" s="33">
        <f>E14</f>
        <v>0.9</v>
      </c>
      <c r="F10" s="33">
        <v>0.6</v>
      </c>
      <c r="G10" s="33">
        <f>PRODUCT(C10:F10)</f>
        <v>4.05</v>
      </c>
      <c r="H10" s="17"/>
      <c r="I10" s="17"/>
      <c r="J10" s="17"/>
      <c r="K10" s="17"/>
      <c r="M10" s="33">
        <f>7</f>
        <v>7</v>
      </c>
      <c r="N10" s="33">
        <f>2</f>
        <v>2</v>
      </c>
      <c r="O10" s="33"/>
      <c r="P10" s="33">
        <f>PI()*M10*SQRT(M10^2+N10^2)</f>
        <v>160.09797821843054</v>
      </c>
    </row>
    <row r="11" spans="1:16" ht="15" customHeight="1" x14ac:dyDescent="0.25">
      <c r="A11" s="2"/>
      <c r="B11" s="34" t="s">
        <v>16</v>
      </c>
      <c r="C11" s="3"/>
      <c r="D11" s="4"/>
      <c r="E11" s="5"/>
      <c r="F11" s="5"/>
      <c r="G11" s="6">
        <f>SUM(G10:G10)</f>
        <v>4.05</v>
      </c>
      <c r="H11" s="7" t="s">
        <v>17</v>
      </c>
      <c r="I11" s="6">
        <v>73.88</v>
      </c>
      <c r="J11" s="18">
        <f>G11*I11</f>
        <v>299.21399999999994</v>
      </c>
      <c r="K11" s="5"/>
    </row>
    <row r="12" spans="1:16" x14ac:dyDescent="0.25">
      <c r="A12" s="16"/>
      <c r="B12" s="17"/>
      <c r="C12" s="17"/>
      <c r="D12" s="17"/>
      <c r="E12" s="17"/>
      <c r="F12" s="17"/>
      <c r="G12" s="17"/>
      <c r="H12" s="17"/>
      <c r="I12" s="17"/>
      <c r="J12" s="17"/>
      <c r="K12" s="17"/>
    </row>
    <row r="13" spans="1:16" ht="94.5" x14ac:dyDescent="0.25">
      <c r="A13" s="16">
        <v>2</v>
      </c>
      <c r="B13" s="35" t="s">
        <v>27</v>
      </c>
      <c r="C13" s="17"/>
      <c r="D13" s="17"/>
      <c r="E13" s="17"/>
      <c r="F13" s="17"/>
      <c r="G13" s="17"/>
      <c r="H13" s="17"/>
      <c r="I13" s="17"/>
      <c r="J13" s="17"/>
      <c r="K13" s="17"/>
    </row>
    <row r="14" spans="1:16" x14ac:dyDescent="0.25">
      <c r="A14" s="16"/>
      <c r="B14" s="32" t="str">
        <f>B10</f>
        <v>-for masonry wall</v>
      </c>
      <c r="C14" s="17">
        <v>1</v>
      </c>
      <c r="D14" s="33">
        <f>D18</f>
        <v>15</v>
      </c>
      <c r="E14" s="33">
        <f>E18</f>
        <v>0.9</v>
      </c>
      <c r="F14" s="33">
        <v>0.15</v>
      </c>
      <c r="G14" s="33">
        <f>PRODUCT(C14:F14)</f>
        <v>2.0249999999999999</v>
      </c>
      <c r="H14" s="17"/>
      <c r="I14" s="17"/>
      <c r="J14" s="17"/>
      <c r="K14" s="17"/>
      <c r="M14" s="33">
        <f>7</f>
        <v>7</v>
      </c>
      <c r="N14" s="33">
        <f>2</f>
        <v>2</v>
      </c>
      <c r="O14" s="33"/>
      <c r="P14" s="33">
        <f>PI()*M14*SQRT(M14^2+N14^2)</f>
        <v>160.09797821843054</v>
      </c>
    </row>
    <row r="15" spans="1:16" ht="15" customHeight="1" x14ac:dyDescent="0.25">
      <c r="A15" s="2"/>
      <c r="B15" s="34" t="s">
        <v>16</v>
      </c>
      <c r="C15" s="3"/>
      <c r="D15" s="4"/>
      <c r="E15" s="5"/>
      <c r="F15" s="5"/>
      <c r="G15" s="6">
        <f>SUM(G14:G14)</f>
        <v>2.0249999999999999</v>
      </c>
      <c r="H15" s="7" t="s">
        <v>17</v>
      </c>
      <c r="I15" s="6">
        <v>4646.1899999999996</v>
      </c>
      <c r="J15" s="18">
        <f>G15*I15</f>
        <v>9408.5347499999989</v>
      </c>
      <c r="K15" s="5"/>
    </row>
    <row r="16" spans="1:16" x14ac:dyDescent="0.25">
      <c r="A16" s="16"/>
      <c r="B16" s="17"/>
      <c r="C16" s="17"/>
      <c r="D16" s="17"/>
      <c r="E16" s="17"/>
      <c r="F16" s="17"/>
      <c r="G16" s="17"/>
      <c r="H16" s="17"/>
      <c r="I16" s="17"/>
      <c r="J16" s="17"/>
      <c r="K16" s="17"/>
    </row>
    <row r="17" spans="1:24" ht="78.75" x14ac:dyDescent="0.25">
      <c r="A17" s="16">
        <v>3</v>
      </c>
      <c r="B17" s="35" t="s">
        <v>28</v>
      </c>
      <c r="C17" s="17"/>
      <c r="D17" s="17"/>
      <c r="E17" s="17"/>
      <c r="F17" s="17"/>
      <c r="G17" s="17"/>
      <c r="H17" s="17"/>
      <c r="I17" s="17"/>
      <c r="J17" s="17"/>
      <c r="K17" s="17"/>
    </row>
    <row r="18" spans="1:24" x14ac:dyDescent="0.25">
      <c r="A18" s="16"/>
      <c r="B18" s="32" t="str">
        <f>B14</f>
        <v>-for masonry wall</v>
      </c>
      <c r="C18" s="17">
        <v>1</v>
      </c>
      <c r="D18" s="33">
        <f>D22</f>
        <v>15</v>
      </c>
      <c r="E18" s="33">
        <f>F22/2</f>
        <v>0.9</v>
      </c>
      <c r="F18" s="33">
        <v>0.05</v>
      </c>
      <c r="G18" s="33">
        <f>PRODUCT(C18:F18)</f>
        <v>0.67500000000000004</v>
      </c>
      <c r="H18" s="17"/>
      <c r="I18" s="17"/>
      <c r="J18" s="17"/>
      <c r="K18" s="17"/>
      <c r="M18" s="33">
        <f>7</f>
        <v>7</v>
      </c>
      <c r="N18" s="33">
        <f>2</f>
        <v>2</v>
      </c>
      <c r="O18" s="33"/>
      <c r="P18" s="33">
        <f>PI()*M18*SQRT(M18^2+N18^2)</f>
        <v>160.09797821843054</v>
      </c>
    </row>
    <row r="19" spans="1:24" ht="15" customHeight="1" x14ac:dyDescent="0.25">
      <c r="A19" s="2"/>
      <c r="B19" s="34" t="s">
        <v>16</v>
      </c>
      <c r="C19" s="3"/>
      <c r="D19" s="4"/>
      <c r="E19" s="5"/>
      <c r="F19" s="5"/>
      <c r="G19" s="6">
        <f>SUM(G18:G18)</f>
        <v>0.67500000000000004</v>
      </c>
      <c r="H19" s="7" t="s">
        <v>17</v>
      </c>
      <c r="I19" s="6">
        <v>11500.47</v>
      </c>
      <c r="J19" s="18">
        <f>G19*I19</f>
        <v>7762.8172500000001</v>
      </c>
      <c r="K19" s="5"/>
    </row>
    <row r="20" spans="1:24" x14ac:dyDescent="0.25">
      <c r="A20" s="16"/>
      <c r="B20" s="17"/>
      <c r="C20" s="17"/>
      <c r="D20" s="17"/>
      <c r="E20" s="17"/>
      <c r="F20" s="17"/>
      <c r="G20" s="17"/>
      <c r="H20" s="17"/>
      <c r="I20" s="17"/>
      <c r="J20" s="17"/>
      <c r="K20" s="17"/>
    </row>
    <row r="21" spans="1:24" ht="110.25" x14ac:dyDescent="0.25">
      <c r="A21" s="16">
        <v>4</v>
      </c>
      <c r="B21" s="35" t="s">
        <v>32</v>
      </c>
      <c r="C21" s="17"/>
      <c r="D21" s="17"/>
      <c r="E21" s="17"/>
      <c r="F21" s="17"/>
      <c r="G21" s="17"/>
      <c r="H21" s="17"/>
      <c r="I21" s="17"/>
      <c r="J21" s="17"/>
      <c r="K21" s="17"/>
    </row>
    <row r="22" spans="1:24" x14ac:dyDescent="0.25">
      <c r="A22" s="16"/>
      <c r="B22" s="32" t="str">
        <f>B18</f>
        <v>-for masonry wall</v>
      </c>
      <c r="C22" s="17">
        <v>1</v>
      </c>
      <c r="D22" s="33">
        <v>15</v>
      </c>
      <c r="E22" s="33">
        <f>((F22/2)+0.45)/2</f>
        <v>0.67500000000000004</v>
      </c>
      <c r="F22" s="33">
        <v>1.8</v>
      </c>
      <c r="G22" s="33">
        <f>PRODUCT(C22:F22)</f>
        <v>18.225000000000001</v>
      </c>
      <c r="H22" s="17"/>
      <c r="I22" s="17"/>
      <c r="J22" s="17"/>
      <c r="K22" s="17"/>
      <c r="M22" s="33">
        <f>7</f>
        <v>7</v>
      </c>
      <c r="N22" s="33">
        <f>2</f>
        <v>2</v>
      </c>
      <c r="O22" s="33"/>
      <c r="P22" s="33">
        <f>PI()*M22*SQRT(M22^2+N22^2)</f>
        <v>160.09797821843054</v>
      </c>
    </row>
    <row r="23" spans="1:24" ht="15" customHeight="1" x14ac:dyDescent="0.25">
      <c r="A23" s="2"/>
      <c r="B23" s="34" t="s">
        <v>16</v>
      </c>
      <c r="C23" s="3"/>
      <c r="D23" s="4"/>
      <c r="E23" s="5"/>
      <c r="F23" s="5"/>
      <c r="G23" s="6">
        <f>SUM(G22:G22)</f>
        <v>18.225000000000001</v>
      </c>
      <c r="H23" s="7" t="s">
        <v>17</v>
      </c>
      <c r="I23" s="6">
        <v>9526.75</v>
      </c>
      <c r="J23" s="18">
        <f>G23*I23</f>
        <v>173625.01875000002</v>
      </c>
      <c r="K23" s="5"/>
    </row>
    <row r="24" spans="1:24" x14ac:dyDescent="0.25">
      <c r="A24" s="16"/>
      <c r="B24" s="17"/>
      <c r="C24" s="17"/>
      <c r="D24" s="17"/>
      <c r="E24" s="17"/>
      <c r="F24" s="17"/>
      <c r="G24" s="17"/>
      <c r="H24" s="17"/>
      <c r="I24" s="17"/>
      <c r="J24" s="17"/>
      <c r="K24" s="17"/>
    </row>
    <row r="25" spans="1:24" s="41" customFormat="1" ht="45" x14ac:dyDescent="0.25">
      <c r="A25" s="2">
        <v>5</v>
      </c>
      <c r="B25" s="37" t="s">
        <v>37</v>
      </c>
      <c r="C25" s="3" t="s">
        <v>7</v>
      </c>
      <c r="D25" s="38" t="s">
        <v>33</v>
      </c>
      <c r="E25" s="39" t="s">
        <v>38</v>
      </c>
      <c r="F25" s="39" t="s">
        <v>39</v>
      </c>
      <c r="G25" s="39"/>
      <c r="H25" s="7"/>
      <c r="I25" s="6"/>
      <c r="J25" s="40"/>
      <c r="K25" s="5"/>
    </row>
    <row r="26" spans="1:24" s="41" customFormat="1" ht="120" x14ac:dyDescent="0.25">
      <c r="A26" s="2"/>
      <c r="B26" s="44" t="s">
        <v>44</v>
      </c>
      <c r="C26" s="3"/>
      <c r="D26" s="38"/>
      <c r="E26" s="39"/>
      <c r="F26" s="39"/>
      <c r="G26" s="39"/>
      <c r="H26" s="7"/>
      <c r="I26" s="6"/>
      <c r="J26" s="40"/>
      <c r="K26" s="5"/>
    </row>
    <row r="27" spans="1:24" s="41" customFormat="1" ht="45" x14ac:dyDescent="0.25">
      <c r="A27" s="16"/>
      <c r="B27" s="42" t="s">
        <v>40</v>
      </c>
      <c r="C27" s="45">
        <f>TRUNC(D28/2,0)+1</f>
        <v>13</v>
      </c>
      <c r="D27" s="9">
        <v>1</v>
      </c>
      <c r="E27" s="9">
        <v>3.01</v>
      </c>
      <c r="F27" s="9">
        <f t="shared" ref="F27:F29" si="0">PRODUCT(C27:E27)</f>
        <v>39.129999999999995</v>
      </c>
      <c r="G27" s="9">
        <f t="shared" ref="G27:G29" si="1">F27</f>
        <v>39.129999999999995</v>
      </c>
      <c r="H27" s="40"/>
      <c r="I27" s="40"/>
      <c r="J27" s="40"/>
      <c r="K27" s="27"/>
      <c r="R27" s="46"/>
      <c r="S27" s="47"/>
      <c r="T27" s="47"/>
      <c r="U27" s="47"/>
      <c r="V27" s="47"/>
      <c r="W27" s="47"/>
      <c r="X27" s="47"/>
    </row>
    <row r="28" spans="1:24" s="41" customFormat="1" ht="45" x14ac:dyDescent="0.25">
      <c r="A28" s="16"/>
      <c r="B28" s="42" t="s">
        <v>40</v>
      </c>
      <c r="C28" s="43">
        <v>1</v>
      </c>
      <c r="D28" s="9">
        <f>15+10</f>
        <v>25</v>
      </c>
      <c r="E28" s="9">
        <v>3.01</v>
      </c>
      <c r="F28" s="9">
        <f t="shared" si="0"/>
        <v>75.25</v>
      </c>
      <c r="G28" s="9">
        <f t="shared" si="1"/>
        <v>75.25</v>
      </c>
      <c r="H28" s="40"/>
      <c r="I28" s="40"/>
      <c r="J28" s="40"/>
      <c r="K28" s="27"/>
      <c r="R28" s="47"/>
      <c r="S28" s="47"/>
      <c r="T28" s="47"/>
      <c r="U28" s="47"/>
      <c r="V28" s="47"/>
      <c r="W28" s="47"/>
      <c r="X28" s="47"/>
    </row>
    <row r="29" spans="1:24" s="41" customFormat="1" ht="45" x14ac:dyDescent="0.25">
      <c r="A29" s="16"/>
      <c r="B29" s="42" t="s">
        <v>41</v>
      </c>
      <c r="C29" s="43">
        <v>2</v>
      </c>
      <c r="D29" s="9">
        <f>D28-0.05*C27</f>
        <v>24.35</v>
      </c>
      <c r="E29" s="9">
        <v>2.2599999999999998</v>
      </c>
      <c r="F29" s="9">
        <f t="shared" si="0"/>
        <v>110.062</v>
      </c>
      <c r="G29" s="9">
        <f t="shared" si="1"/>
        <v>110.062</v>
      </c>
      <c r="H29" s="40"/>
      <c r="I29" s="40"/>
      <c r="J29" s="40"/>
      <c r="K29" s="27"/>
    </row>
    <row r="30" spans="1:24" s="41" customFormat="1" x14ac:dyDescent="0.25">
      <c r="A30" s="2"/>
      <c r="B30" s="42" t="s">
        <v>42</v>
      </c>
      <c r="C30" s="3"/>
      <c r="D30" s="4"/>
      <c r="E30" s="5"/>
      <c r="F30" s="5"/>
      <c r="G30" s="40">
        <f>SUM(G27:G29)</f>
        <v>224.44200000000001</v>
      </c>
      <c r="H30" s="7" t="s">
        <v>43</v>
      </c>
      <c r="I30" s="6">
        <v>188.28</v>
      </c>
      <c r="J30" s="40">
        <f>G30*I30</f>
        <v>42257.939760000001</v>
      </c>
      <c r="K30" s="5"/>
    </row>
    <row r="31" spans="1:24" x14ac:dyDescent="0.25">
      <c r="A31" s="16"/>
      <c r="B31" s="17"/>
      <c r="C31" s="17"/>
      <c r="D31" s="17"/>
      <c r="E31" s="17"/>
      <c r="F31" s="17"/>
      <c r="G31" s="17"/>
      <c r="H31" s="17"/>
      <c r="I31" s="17"/>
      <c r="J31" s="17"/>
      <c r="K31" s="17"/>
    </row>
    <row r="32" spans="1:24" x14ac:dyDescent="0.25">
      <c r="A32" s="16"/>
      <c r="B32" s="17"/>
      <c r="C32" s="17"/>
      <c r="D32" s="17"/>
      <c r="E32" s="17"/>
      <c r="F32" s="17"/>
      <c r="G32" s="17"/>
      <c r="H32" s="17"/>
      <c r="I32" s="17"/>
      <c r="J32" s="17"/>
      <c r="K32" s="17"/>
    </row>
    <row r="33" spans="1:19" x14ac:dyDescent="0.25">
      <c r="A33" s="16"/>
      <c r="B33" s="17"/>
      <c r="C33" s="17"/>
      <c r="D33" s="17"/>
      <c r="E33" s="17"/>
      <c r="F33" s="17"/>
      <c r="G33" s="17"/>
      <c r="H33" s="17"/>
      <c r="I33" s="17"/>
      <c r="J33" s="17"/>
      <c r="K33" s="17"/>
    </row>
    <row r="34" spans="1:19" ht="15" customHeight="1" x14ac:dyDescent="0.25">
      <c r="A34" s="2">
        <v>5</v>
      </c>
      <c r="B34" s="1" t="s">
        <v>18</v>
      </c>
      <c r="C34" s="3">
        <v>1</v>
      </c>
      <c r="D34" s="4"/>
      <c r="E34" s="5"/>
      <c r="F34" s="5"/>
      <c r="G34" s="7">
        <f t="shared" ref="G34" si="2">PRODUCT(C34:F34)</f>
        <v>1</v>
      </c>
      <c r="H34" s="7" t="s">
        <v>19</v>
      </c>
      <c r="I34" s="6">
        <v>500</v>
      </c>
      <c r="J34" s="7">
        <f>G34*I34</f>
        <v>500</v>
      </c>
      <c r="K34" s="5"/>
    </row>
    <row r="35" spans="1:19" x14ac:dyDescent="0.25">
      <c r="A35" s="2"/>
      <c r="B35" s="8"/>
      <c r="C35" s="3"/>
      <c r="D35" s="4"/>
      <c r="E35" s="5"/>
      <c r="F35" s="5"/>
      <c r="G35" s="6"/>
      <c r="H35" s="7"/>
      <c r="I35" s="6"/>
      <c r="J35" s="18"/>
      <c r="K35" s="5"/>
    </row>
    <row r="36" spans="1:19" x14ac:dyDescent="0.25">
      <c r="A36" s="21"/>
      <c r="B36" s="22" t="s">
        <v>21</v>
      </c>
      <c r="C36" s="23"/>
      <c r="D36" s="24"/>
      <c r="E36" s="24"/>
      <c r="F36" s="24"/>
      <c r="G36" s="18"/>
      <c r="H36" s="18"/>
      <c r="I36" s="18"/>
      <c r="J36" s="18">
        <f>SUM(J9:J34)</f>
        <v>233853.52451000002</v>
      </c>
      <c r="K36" s="25"/>
    </row>
    <row r="37" spans="1:19" x14ac:dyDescent="0.25">
      <c r="M37" s="20"/>
      <c r="N37" s="20"/>
      <c r="O37" s="20"/>
      <c r="P37" s="20"/>
      <c r="Q37" s="20"/>
      <c r="R37" s="20"/>
      <c r="S37" s="20"/>
    </row>
    <row r="38" spans="1:19" s="20" customFormat="1" x14ac:dyDescent="0.25">
      <c r="A38" s="26"/>
      <c r="B38" s="27" t="s">
        <v>20</v>
      </c>
      <c r="C38" s="48">
        <f>J36</f>
        <v>233853.52451000002</v>
      </c>
      <c r="D38" s="49"/>
      <c r="E38" s="9">
        <v>100</v>
      </c>
      <c r="F38" s="26"/>
      <c r="G38" s="28"/>
      <c r="H38" s="26"/>
      <c r="I38" s="29"/>
      <c r="J38" s="30"/>
      <c r="K38" s="31"/>
      <c r="M38" s="19"/>
      <c r="N38" s="19"/>
      <c r="O38" s="19"/>
      <c r="P38" s="19"/>
      <c r="Q38" s="19"/>
      <c r="R38" s="19"/>
      <c r="S38" s="19"/>
    </row>
    <row r="39" spans="1:19" x14ac:dyDescent="0.25">
      <c r="B39" s="27" t="s">
        <v>22</v>
      </c>
      <c r="C39" s="52">
        <v>250000</v>
      </c>
      <c r="D39" s="53"/>
      <c r="E39" s="9"/>
    </row>
    <row r="40" spans="1:19" x14ac:dyDescent="0.25">
      <c r="B40" s="27" t="s">
        <v>23</v>
      </c>
      <c r="C40" s="52">
        <f>C39-C42-C43</f>
        <v>237500</v>
      </c>
      <c r="D40" s="53"/>
      <c r="E40" s="9">
        <f>C40/C38*100</f>
        <v>101.55929892339255</v>
      </c>
    </row>
    <row r="41" spans="1:19" x14ac:dyDescent="0.25">
      <c r="B41" s="27" t="s">
        <v>29</v>
      </c>
      <c r="C41" s="54">
        <f>C38-C40</f>
        <v>-3646.4754899999825</v>
      </c>
      <c r="D41" s="54"/>
      <c r="E41" s="9">
        <f>100-E40</f>
        <v>-1.5592989233925465</v>
      </c>
    </row>
    <row r="42" spans="1:19" x14ac:dyDescent="0.25">
      <c r="B42" s="27" t="s">
        <v>24</v>
      </c>
      <c r="C42" s="48">
        <f>C39*0.03</f>
        <v>7500</v>
      </c>
      <c r="D42" s="49"/>
      <c r="E42" s="9">
        <v>3</v>
      </c>
    </row>
    <row r="43" spans="1:19" x14ac:dyDescent="0.25">
      <c r="B43" s="27" t="s">
        <v>25</v>
      </c>
      <c r="C43" s="48">
        <f>C39*0.02</f>
        <v>5000</v>
      </c>
      <c r="D43" s="49"/>
      <c r="E43" s="9">
        <v>2</v>
      </c>
    </row>
  </sheetData>
  <mergeCells count="15">
    <mergeCell ref="A6:F6"/>
    <mergeCell ref="H6:K6"/>
    <mergeCell ref="A1:K1"/>
    <mergeCell ref="A2:K2"/>
    <mergeCell ref="A3:K3"/>
    <mergeCell ref="A4:K4"/>
    <mergeCell ref="A5:K5"/>
    <mergeCell ref="C42:D42"/>
    <mergeCell ref="C43:D43"/>
    <mergeCell ref="A7:F7"/>
    <mergeCell ref="H7:K7"/>
    <mergeCell ref="C38:D38"/>
    <mergeCell ref="C39:D39"/>
    <mergeCell ref="C40:D40"/>
    <mergeCell ref="C41:D41"/>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2026-10-13T07:22:13Z</dcterms:modified>
</cp:coreProperties>
</file>