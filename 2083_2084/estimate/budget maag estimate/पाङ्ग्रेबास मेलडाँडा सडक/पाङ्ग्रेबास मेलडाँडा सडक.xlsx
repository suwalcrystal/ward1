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85B87508-F5B6-42A3-88DC-1DA41ACA5043}" xr6:coauthVersionLast="47" xr6:coauthVersionMax="47" xr10:uidLastSave="{00000000-0000-0000-0000-000000000000}"/>
  <bookViews>
    <workbookView xWindow="-120" yWindow="-120" windowWidth="20640" windowHeight="11040" xr2:uid="{00000000-000D-0000-FFFF-FFFF00000000}"/>
  </bookViews>
  <sheets>
    <sheet name="estimate" sheetId="14" r:id="rId1"/>
    <sheet name="with dhalaan" sheetId="17"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estimate!$A$1:$K$47</definedName>
    <definedName name="_xlnm.Print_Area" localSheetId="1">'with dhalaan'!$A$1:$K$56</definedName>
    <definedName name="_xlnm.Print_Titles" localSheetId="0">estimate!$1:$8</definedName>
    <definedName name="_xlnm.Print_Titles" localSheetId="1">'with dhalaan'!$1:$8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14" l="1"/>
  <c r="E32" i="14" s="1"/>
  <c r="G32" i="14" s="1"/>
  <c r="G43" i="17"/>
  <c r="C41" i="17"/>
  <c r="D42" i="17"/>
  <c r="E42" i="17"/>
  <c r="E41" i="17"/>
  <c r="B41" i="17"/>
  <c r="E37" i="17"/>
  <c r="N41" i="17"/>
  <c r="M41" i="17"/>
  <c r="P41" i="17" s="1"/>
  <c r="N37" i="17"/>
  <c r="M37" i="17"/>
  <c r="C56" i="17"/>
  <c r="C55" i="17"/>
  <c r="C53" i="17" s="1"/>
  <c r="G47" i="17"/>
  <c r="J47" i="17" s="1"/>
  <c r="G45" i="17"/>
  <c r="J45" i="17" s="1"/>
  <c r="N32" i="17"/>
  <c r="M32" i="17"/>
  <c r="F32" i="17"/>
  <c r="E21" i="17" s="1"/>
  <c r="E15" i="17" s="1"/>
  <c r="E10" i="17" s="1"/>
  <c r="F28" i="17"/>
  <c r="F27" i="17"/>
  <c r="E23" i="17"/>
  <c r="D23" i="17"/>
  <c r="D28" i="17" s="1"/>
  <c r="C23" i="17"/>
  <c r="C28" i="17" s="1"/>
  <c r="B23" i="17"/>
  <c r="B28" i="17" s="1"/>
  <c r="C22" i="17"/>
  <c r="C27" i="17" s="1"/>
  <c r="N21" i="17"/>
  <c r="M21" i="17"/>
  <c r="D21" i="17"/>
  <c r="D15" i="17" s="1"/>
  <c r="D10" i="17" s="1"/>
  <c r="G17" i="17"/>
  <c r="E16" i="17"/>
  <c r="E22" i="17" s="1"/>
  <c r="D16" i="17"/>
  <c r="D22" i="17" s="1"/>
  <c r="D27" i="17" s="1"/>
  <c r="D37" i="17" s="1"/>
  <c r="D41" i="17" s="1"/>
  <c r="C42" i="17" s="1"/>
  <c r="B16" i="17"/>
  <c r="B22" i="17" s="1"/>
  <c r="B27" i="17" s="1"/>
  <c r="N15" i="17"/>
  <c r="M15" i="17"/>
  <c r="B15" i="17"/>
  <c r="B21" i="17" s="1"/>
  <c r="B32" i="17" s="1"/>
  <c r="F11" i="17"/>
  <c r="G11" i="17" s="1"/>
  <c r="N10" i="17"/>
  <c r="M10" i="17"/>
  <c r="P10" i="17" s="1"/>
  <c r="G28" i="14"/>
  <c r="F28" i="14"/>
  <c r="D28" i="14"/>
  <c r="C28" i="14"/>
  <c r="B28" i="14"/>
  <c r="G23" i="14"/>
  <c r="E23" i="14"/>
  <c r="D23" i="14"/>
  <c r="C23" i="14"/>
  <c r="B23" i="14"/>
  <c r="G17" i="14"/>
  <c r="D21" i="14"/>
  <c r="N32" i="14"/>
  <c r="M32" i="14"/>
  <c r="G36" i="14"/>
  <c r="J36" i="14" s="1"/>
  <c r="F27" i="14"/>
  <c r="E16" i="14"/>
  <c r="E22" i="14" s="1"/>
  <c r="D16" i="14"/>
  <c r="D22" i="14" s="1"/>
  <c r="D27" i="14" s="1"/>
  <c r="B16" i="14"/>
  <c r="B22" i="14" s="1"/>
  <c r="B27" i="14" s="1"/>
  <c r="F11" i="14"/>
  <c r="G11" i="14" s="1"/>
  <c r="F41" i="17" l="1"/>
  <c r="G41" i="17" s="1"/>
  <c r="F42" i="17"/>
  <c r="G42" i="17" s="1"/>
  <c r="P15" i="17"/>
  <c r="P37" i="17"/>
  <c r="P32" i="17"/>
  <c r="G37" i="17"/>
  <c r="G38" i="17" s="1"/>
  <c r="J38" i="17" s="1"/>
  <c r="G27" i="17"/>
  <c r="P21" i="17"/>
  <c r="G23" i="17"/>
  <c r="G21" i="17"/>
  <c r="G10" i="17"/>
  <c r="G12" i="17" s="1"/>
  <c r="J12" i="17" s="1"/>
  <c r="G28" i="17"/>
  <c r="G16" i="17"/>
  <c r="G15" i="17"/>
  <c r="E32" i="17"/>
  <c r="G22" i="17"/>
  <c r="P32" i="14"/>
  <c r="D33" i="14"/>
  <c r="G33" i="14" s="1"/>
  <c r="G34" i="14" s="1"/>
  <c r="E21" i="14"/>
  <c r="E15" i="14" s="1"/>
  <c r="E10" i="14" s="1"/>
  <c r="G16" i="14"/>
  <c r="C22" i="14"/>
  <c r="C47" i="14"/>
  <c r="C46" i="14"/>
  <c r="G38" i="14"/>
  <c r="J38" i="14" s="1"/>
  <c r="N21" i="14"/>
  <c r="M21" i="14"/>
  <c r="P21" i="14" s="1"/>
  <c r="N15" i="14"/>
  <c r="M15" i="14"/>
  <c r="B15" i="14"/>
  <c r="B21" i="14" s="1"/>
  <c r="B32" i="14" s="1"/>
  <c r="N10" i="14"/>
  <c r="M10" i="14"/>
  <c r="G29" i="17" l="1"/>
  <c r="J29" i="17" s="1"/>
  <c r="J43" i="17"/>
  <c r="G18" i="17"/>
  <c r="J18" i="17" s="1"/>
  <c r="G32" i="17"/>
  <c r="D33" i="17"/>
  <c r="G33" i="17" s="1"/>
  <c r="G24" i="17"/>
  <c r="J24" i="17" s="1"/>
  <c r="P15" i="14"/>
  <c r="P10" i="14"/>
  <c r="G22" i="14"/>
  <c r="C27" i="14"/>
  <c r="G21" i="14"/>
  <c r="C44" i="14"/>
  <c r="D15" i="14"/>
  <c r="G24" i="14" l="1"/>
  <c r="G34" i="17"/>
  <c r="J34" i="17" s="1"/>
  <c r="J49" i="17" s="1"/>
  <c r="C51" i="17" s="1"/>
  <c r="G15" i="14"/>
  <c r="D10" i="14"/>
  <c r="G10" i="14" s="1"/>
  <c r="G12" i="14" s="1"/>
  <c r="J12" i="14" s="1"/>
  <c r="G27" i="14"/>
  <c r="J34" i="14"/>
  <c r="G29" i="14" l="1"/>
  <c r="J29" i="14" s="1"/>
  <c r="C54" i="17"/>
  <c r="E53" i="17"/>
  <c r="E54" i="17" s="1"/>
  <c r="G18" i="14"/>
  <c r="J18" i="14" s="1"/>
  <c r="J24" i="14"/>
  <c r="J40" i="14" l="1"/>
  <c r="C42" i="14" s="1"/>
  <c r="E44" i="14" s="1"/>
  <c r="E45" i="14" s="1"/>
  <c r="C45" i="14" l="1"/>
</calcChain>
</file>

<file path=xl/sharedStrings.xml><?xml version="1.0" encoding="utf-8"?>
<sst xmlns="http://schemas.openxmlformats.org/spreadsheetml/2006/main" count="111" uniqueCount="51">
  <si>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</si>
  <si>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</si>
  <si>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</si>
  <si>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</si>
  <si>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</si>
  <si>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</si>
  <si>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</si>
  <si>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</si>
  <si>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</si>
  <si>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</si>
  <si>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</si>
  <si>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</si>
  <si>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</si>
  <si>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</si>
  <si>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</si>
  <si>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</si>
  <si>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</si>
  <si>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</si>
  <si>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</si>
  <si>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</si>
  <si>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</si>
  <si>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</si>
  <si>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</si>
  <si>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</si>
  <si>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</si>
  <si>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</si>
  <si>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</si>
  <si>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</si>
  <si>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</si>
  <si>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User contribution</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</si>
  <si>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</si>
  <si>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</si>
  <si>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-for drain</t>
  </si>
  <si>
    <t>Provisional sum for lab tests</t>
  </si>
  <si>
    <t xml:space="preserve">Date: 2082        </t>
  </si>
  <si>
    <t>Random Rubble Masonry, Providing and laying of Stone Masonry Work in Cement Mortar 1:6 in Foundation complete as per Drawing and Technical Specifications., Using Concrete Mixer</t>
  </si>
  <si>
    <t>-for masory wall</t>
  </si>
  <si>
    <t>Providing and laying Plum concrete ( Boulder mixed concrete) including form work and 110mm dia PN6 HDPE pipe for Weep hole as per Drawing and Specifications, 60% M 15  concrete and 40% broken/crushed boulders/stones, using Mechanical Aids all complete as per site engineer</t>
  </si>
  <si>
    <t>-deduction for hume pipe provided</t>
  </si>
  <si>
    <t>-for mangaal</t>
  </si>
  <si>
    <t>Providing and laying of Plain/Reinforced Cement Concrete in Foundation complete as per Drawing and Technical Specifications., RCC Grade M 20</t>
  </si>
  <si>
    <t>-for road</t>
  </si>
  <si>
    <t>Providing and laying , fitting and placing HYSD bar reinforcement in sub-structure complete as per Drawing and Technical Specifications</t>
  </si>
  <si>
    <t>MT</t>
  </si>
  <si>
    <t>Length (m)</t>
  </si>
  <si>
    <t>Unit weight (kg/m)</t>
  </si>
  <si>
    <t>Total weight (kg)</t>
  </si>
  <si>
    <r>
      <t>Project:-</t>
    </r>
    <r>
      <rPr>
        <sz val="12"/>
        <rFont val="Preeti"/>
      </rPr>
      <t xml:space="preserve"> </t>
    </r>
    <r>
      <rPr>
        <b/>
        <sz val="12"/>
        <rFont val="Preeti"/>
      </rPr>
      <t>kfª\u|]jf;</t>
    </r>
    <r>
      <rPr>
        <sz val="12"/>
        <rFont val="Preeti"/>
      </rPr>
      <t xml:space="preserve"> </t>
    </r>
    <r>
      <rPr>
        <b/>
        <sz val="14"/>
        <rFont val="Preeti"/>
      </rPr>
      <t xml:space="preserve">d]n8fF8f ;8s </t>
    </r>
  </si>
  <si>
    <r>
      <t>Project:-</t>
    </r>
    <r>
      <rPr>
        <sz val="12"/>
        <rFont val="Preeti"/>
      </rPr>
      <t xml:space="preserve"> </t>
    </r>
    <r>
      <rPr>
        <b/>
        <sz val="12"/>
        <rFont val="Preeti"/>
      </rPr>
      <t>nfdf la;f}gf</t>
    </r>
    <r>
      <rPr>
        <sz val="12"/>
        <rFont val="Preeti"/>
      </rPr>
      <t xml:space="preserve"> </t>
    </r>
    <r>
      <rPr>
        <b/>
        <sz val="14"/>
        <rFont val="Preeti"/>
      </rPr>
      <t xml:space="preserve">d]n8fF8f lj;/fd] ;8s </t>
    </r>
  </si>
  <si>
    <t>Date: 208306/26</t>
  </si>
  <si>
    <t>-for masonry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</si>
</sst>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
      <sz val="12"/>
      <name val="Preeti"/>
    </font>
    <font>
      <b/>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3">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4" fillId="0" borderId="2" xfId="0" applyFont="1" applyBorder="1" applyAlignment="1">
      <alignment wrapText="1"/>
    </xf>
    <xf numFmtId="164" fontId="3" fillId="0" borderId="2" xfId="1" applyNumberFormat="1" applyFont="1" applyFill="1" applyBorder="1" applyAlignment="1">
      <alignment vertic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7"/>
  <sheetViews>
    <sheetView tabSelected="1" view="pageBreakPreview" topLeftCell="A34" zoomScale="95" zoomScaleNormal="90" zoomScaleSheetLayoutView="95" workbookViewId="0">
      <selection activeCell="A39" sqref="A3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9" t="s">
        <v>0</v>
      </c>
      <c r="B1" s="49"/>
      <c r="C1" s="49"/>
      <c r="D1" s="49"/>
      <c r="E1" s="49"/>
      <c r="F1" s="49"/>
      <c r="G1" s="49"/>
      <c r="H1" s="49"/>
      <c r="I1" s="49"/>
      <c r="J1" s="49"/>
      <c r="K1" s="49"/>
    </row>
    <row r="2" spans="1:16" ht="22.5" x14ac:dyDescent="0.25">
      <c r="A2" s="50" t="s">
        <v>1</v>
      </c>
      <c r="B2" s="50"/>
      <c r="C2" s="50"/>
      <c r="D2" s="50"/>
      <c r="E2" s="50"/>
      <c r="F2" s="50"/>
      <c r="G2" s="50"/>
      <c r="H2" s="50"/>
      <c r="I2" s="50"/>
      <c r="J2" s="50"/>
      <c r="K2" s="50"/>
    </row>
    <row r="3" spans="1:16" x14ac:dyDescent="0.25">
      <c r="A3" s="51" t="s">
        <v>2</v>
      </c>
      <c r="B3" s="51"/>
      <c r="C3" s="51"/>
      <c r="D3" s="51"/>
      <c r="E3" s="51"/>
      <c r="F3" s="51"/>
      <c r="G3" s="51"/>
      <c r="H3" s="51"/>
      <c r="I3" s="51"/>
      <c r="J3" s="51"/>
      <c r="K3" s="51"/>
    </row>
    <row r="4" spans="1:16" x14ac:dyDescent="0.25">
      <c r="A4" s="51" t="s">
        <v>3</v>
      </c>
      <c r="B4" s="51"/>
      <c r="C4" s="51"/>
      <c r="D4" s="51"/>
      <c r="E4" s="51"/>
      <c r="F4" s="51"/>
      <c r="G4" s="51"/>
      <c r="H4" s="51"/>
      <c r="I4" s="51"/>
      <c r="J4" s="51"/>
      <c r="K4" s="51"/>
    </row>
    <row r="5" spans="1:16" ht="18.75" x14ac:dyDescent="0.3">
      <c r="A5" s="52" t="s">
        <v>4</v>
      </c>
      <c r="B5" s="52"/>
      <c r="C5" s="52"/>
      <c r="D5" s="52"/>
      <c r="E5" s="52"/>
      <c r="F5" s="52"/>
      <c r="G5" s="52"/>
      <c r="H5" s="52"/>
      <c r="I5" s="52"/>
      <c r="J5" s="52"/>
      <c r="K5" s="52"/>
    </row>
    <row r="6" spans="1:16" ht="18" x14ac:dyDescent="0.25">
      <c r="A6" s="47" t="s">
        <v>48</v>
      </c>
      <c r="B6" s="47"/>
      <c r="C6" s="47"/>
      <c r="D6" s="47"/>
      <c r="E6" s="47"/>
      <c r="F6" s="47"/>
      <c r="G6" s="10"/>
      <c r="H6" s="48" t="s">
        <v>26</v>
      </c>
      <c r="I6" s="48"/>
      <c r="J6" s="48"/>
      <c r="K6" s="48"/>
    </row>
    <row r="7" spans="1:16" ht="15.75" x14ac:dyDescent="0.25">
      <c r="A7" s="42" t="s">
        <v>30</v>
      </c>
      <c r="B7" s="42"/>
      <c r="C7" s="42"/>
      <c r="D7" s="42"/>
      <c r="E7" s="42"/>
      <c r="F7" s="42"/>
      <c r="G7" s="11"/>
      <c r="H7" s="43" t="s">
        <v>49</v>
      </c>
      <c r="I7" s="43"/>
      <c r="J7" s="43"/>
      <c r="K7" s="43"/>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31</v>
      </c>
      <c r="C9" s="17"/>
      <c r="D9" s="17"/>
      <c r="E9" s="17"/>
      <c r="F9" s="17"/>
      <c r="G9" s="17"/>
      <c r="H9" s="17"/>
      <c r="I9" s="17"/>
      <c r="J9" s="17"/>
      <c r="K9" s="17"/>
    </row>
    <row r="10" spans="1:16" x14ac:dyDescent="0.25">
      <c r="A10" s="16"/>
      <c r="B10" s="32" t="s">
        <v>50</v>
      </c>
      <c r="C10" s="37">
        <v>0.5</v>
      </c>
      <c r="D10" s="33">
        <f>D15</f>
        <v>4</v>
      </c>
      <c r="E10" s="33">
        <f>E15</f>
        <v>1.2191405059433098</v>
      </c>
      <c r="F10" s="33">
        <v>0.6</v>
      </c>
      <c r="G10" s="33">
        <f>PRODUCT(C10:F10)</f>
        <v>1.4629686071319716</v>
      </c>
      <c r="H10" s="17"/>
      <c r="I10" s="17"/>
      <c r="J10" s="17"/>
      <c r="K10" s="17"/>
      <c r="M10" s="33">
        <f>7</f>
        <v>7</v>
      </c>
      <c r="N10" s="33">
        <f>2</f>
        <v>2</v>
      </c>
      <c r="O10" s="33"/>
      <c r="P10" s="33">
        <f>PI()*M10*SQRT(M10^2+N10^2)</f>
        <v>160.09797821843054</v>
      </c>
    </row>
    <row r="11" spans="1:16" x14ac:dyDescent="0.25">
      <c r="A11" s="16"/>
      <c r="B11" s="32" t="s">
        <v>32</v>
      </c>
      <c r="C11" s="37">
        <v>0.5</v>
      </c>
      <c r="D11" s="33">
        <v>135</v>
      </c>
      <c r="E11" s="33">
        <v>0.9</v>
      </c>
      <c r="F11" s="33">
        <f>1.17/3.281</f>
        <v>0.35659859798841814</v>
      </c>
      <c r="G11" s="33">
        <f>PRODUCT(C11:F11)</f>
        <v>21.663364827796403</v>
      </c>
      <c r="H11" s="17"/>
      <c r="I11" s="17"/>
      <c r="J11" s="17"/>
      <c r="K11" s="17"/>
      <c r="M11" s="36"/>
      <c r="N11" s="36"/>
      <c r="O11" s="36"/>
      <c r="P11" s="36"/>
    </row>
    <row r="12" spans="1:16" ht="15" customHeight="1" x14ac:dyDescent="0.25">
      <c r="A12" s="2"/>
      <c r="B12" s="34" t="s">
        <v>16</v>
      </c>
      <c r="C12" s="3"/>
      <c r="D12" s="4"/>
      <c r="E12" s="5"/>
      <c r="F12" s="5"/>
      <c r="G12" s="6">
        <f>SUM(G10:G11)</f>
        <v>23.126333434928377</v>
      </c>
      <c r="H12" s="7" t="s">
        <v>17</v>
      </c>
      <c r="I12" s="6">
        <v>73.88</v>
      </c>
      <c r="J12" s="18">
        <f>G12*I12</f>
        <v>1708.5735141725083</v>
      </c>
      <c r="K12" s="5"/>
    </row>
    <row r="13" spans="1:16" x14ac:dyDescent="0.25">
      <c r="A13" s="16"/>
      <c r="B13" s="17"/>
      <c r="C13" s="17"/>
      <c r="D13" s="17"/>
      <c r="E13" s="17"/>
      <c r="F13" s="17"/>
      <c r="G13" s="17"/>
      <c r="H13" s="17"/>
      <c r="I13" s="17"/>
      <c r="J13" s="17"/>
      <c r="K13" s="17"/>
    </row>
    <row r="14" spans="1:16" ht="94.5" x14ac:dyDescent="0.25">
      <c r="A14" s="16">
        <v>2</v>
      </c>
      <c r="B14" s="35" t="s">
        <v>27</v>
      </c>
      <c r="C14" s="17"/>
      <c r="D14" s="17"/>
      <c r="E14" s="17"/>
      <c r="F14" s="17"/>
      <c r="G14" s="17"/>
      <c r="H14" s="17"/>
      <c r="I14" s="17"/>
      <c r="J14" s="17"/>
      <c r="K14" s="17"/>
    </row>
    <row r="15" spans="1:16" x14ac:dyDescent="0.25">
      <c r="A15" s="16"/>
      <c r="B15" s="32" t="str">
        <f>B10</f>
        <v>-for masonry wall</v>
      </c>
      <c r="C15" s="17">
        <v>1</v>
      </c>
      <c r="D15" s="33">
        <f>D21</f>
        <v>4</v>
      </c>
      <c r="E15" s="33">
        <f>E21</f>
        <v>1.2191405059433098</v>
      </c>
      <c r="F15" s="33">
        <v>0.15</v>
      </c>
      <c r="G15" s="33">
        <f>PRODUCT(C15:F15)</f>
        <v>0.73148430356598582</v>
      </c>
      <c r="H15" s="17"/>
      <c r="I15" s="17"/>
      <c r="J15" s="17"/>
      <c r="K15" s="17"/>
      <c r="M15" s="33">
        <f>7</f>
        <v>7</v>
      </c>
      <c r="N15" s="33">
        <f>2</f>
        <v>2</v>
      </c>
      <c r="O15" s="33"/>
      <c r="P15" s="33">
        <f>PI()*M15*SQRT(M15^2+N15^2)</f>
        <v>160.09797821843054</v>
      </c>
    </row>
    <row r="16" spans="1:16" x14ac:dyDescent="0.25">
      <c r="A16" s="16"/>
      <c r="B16" s="32" t="str">
        <f>B11</f>
        <v>-for drain</v>
      </c>
      <c r="C16" s="17">
        <v>1</v>
      </c>
      <c r="D16" s="33">
        <f>D11</f>
        <v>135</v>
      </c>
      <c r="E16" s="33">
        <f>E11</f>
        <v>0.9</v>
      </c>
      <c r="F16" s="33">
        <v>0.15</v>
      </c>
      <c r="G16" s="33">
        <f>PRODUCT(C16:F16)</f>
        <v>18.224999999999998</v>
      </c>
      <c r="H16" s="17"/>
      <c r="I16" s="17"/>
      <c r="J16" s="17"/>
      <c r="K16" s="17"/>
      <c r="M16" s="36"/>
      <c r="N16" s="36"/>
      <c r="O16" s="36"/>
      <c r="P16" s="36"/>
    </row>
    <row r="17" spans="1:16" x14ac:dyDescent="0.25">
      <c r="A17" s="16"/>
      <c r="B17" s="32" t="s">
        <v>39</v>
      </c>
      <c r="C17" s="17">
        <v>1</v>
      </c>
      <c r="D17" s="33">
        <v>0.75</v>
      </c>
      <c r="E17" s="33">
        <v>0.75</v>
      </c>
      <c r="F17" s="33">
        <v>0.15</v>
      </c>
      <c r="G17" s="33">
        <f>PRODUCT(C17:F17)</f>
        <v>8.4374999999999992E-2</v>
      </c>
      <c r="H17" s="17"/>
      <c r="I17" s="17"/>
      <c r="J17" s="17"/>
      <c r="K17" s="17"/>
      <c r="M17" s="36"/>
      <c r="N17" s="36"/>
      <c r="O17" s="36"/>
      <c r="P17" s="36"/>
    </row>
    <row r="18" spans="1:16" ht="15" customHeight="1" x14ac:dyDescent="0.25">
      <c r="A18" s="2"/>
      <c r="B18" s="34" t="s">
        <v>16</v>
      </c>
      <c r="C18" s="3"/>
      <c r="D18" s="4"/>
      <c r="E18" s="5"/>
      <c r="F18" s="5"/>
      <c r="G18" s="6">
        <f>SUM(G15:G17)</f>
        <v>19.040859303565984</v>
      </c>
      <c r="H18" s="7" t="s">
        <v>17</v>
      </c>
      <c r="I18" s="6">
        <v>4646.1899999999996</v>
      </c>
      <c r="J18" s="18">
        <f>G18*I18</f>
        <v>88467.450087635225</v>
      </c>
      <c r="K18" s="5"/>
    </row>
    <row r="19" spans="1:16" x14ac:dyDescent="0.25">
      <c r="A19" s="16"/>
      <c r="B19" s="17"/>
      <c r="C19" s="17"/>
      <c r="D19" s="17"/>
      <c r="E19" s="17"/>
      <c r="F19" s="17"/>
      <c r="G19" s="17"/>
      <c r="H19" s="17"/>
      <c r="I19" s="17"/>
      <c r="J19" s="17"/>
      <c r="K19" s="17"/>
    </row>
    <row r="20" spans="1:16" ht="78.75" x14ac:dyDescent="0.25">
      <c r="A20" s="16">
        <v>3</v>
      </c>
      <c r="B20" s="35" t="s">
        <v>28</v>
      </c>
      <c r="C20" s="17"/>
      <c r="D20" s="17"/>
      <c r="E20" s="17"/>
      <c r="F20" s="17"/>
      <c r="G20" s="17"/>
      <c r="H20" s="17"/>
      <c r="I20" s="17"/>
      <c r="J20" s="17"/>
      <c r="K20" s="17"/>
    </row>
    <row r="21" spans="1:16" x14ac:dyDescent="0.25">
      <c r="A21" s="16"/>
      <c r="B21" s="32" t="str">
        <f>B15</f>
        <v>-for masonry wall</v>
      </c>
      <c r="C21" s="17">
        <v>1</v>
      </c>
      <c r="D21" s="33">
        <f>D32</f>
        <v>4</v>
      </c>
      <c r="E21" s="33">
        <f>F32/2</f>
        <v>1.2191405059433098</v>
      </c>
      <c r="F21" s="33">
        <v>0.05</v>
      </c>
      <c r="G21" s="33">
        <f>PRODUCT(C21:F21)</f>
        <v>0.24382810118866197</v>
      </c>
      <c r="H21" s="17"/>
      <c r="I21" s="17"/>
      <c r="J21" s="17"/>
      <c r="K21" s="17"/>
      <c r="M21" s="33">
        <f>7</f>
        <v>7</v>
      </c>
      <c r="N21" s="33">
        <f>2</f>
        <v>2</v>
      </c>
      <c r="O21" s="33"/>
      <c r="P21" s="33">
        <f>PI()*M21*SQRT(M21^2+N21^2)</f>
        <v>160.09797821843054</v>
      </c>
    </row>
    <row r="22" spans="1:16" x14ac:dyDescent="0.25">
      <c r="A22" s="16"/>
      <c r="B22" s="32" t="str">
        <f>B16</f>
        <v>-for drain</v>
      </c>
      <c r="C22" s="17">
        <f t="shared" ref="C22:E23" si="0">C16</f>
        <v>1</v>
      </c>
      <c r="D22" s="33">
        <f t="shared" si="0"/>
        <v>135</v>
      </c>
      <c r="E22" s="33">
        <f t="shared" si="0"/>
        <v>0.9</v>
      </c>
      <c r="F22" s="33">
        <v>7.4999999999999997E-2</v>
      </c>
      <c r="G22" s="33">
        <f>PRODUCT(C22:F22)</f>
        <v>9.1124999999999989</v>
      </c>
      <c r="H22" s="17"/>
      <c r="I22" s="17"/>
      <c r="J22" s="17"/>
      <c r="K22" s="17"/>
      <c r="M22" s="36"/>
      <c r="N22" s="36"/>
      <c r="O22" s="36"/>
      <c r="P22" s="36"/>
    </row>
    <row r="23" spans="1:16" x14ac:dyDescent="0.25">
      <c r="A23" s="16"/>
      <c r="B23" s="32" t="str">
        <f>B17</f>
        <v>-for mangaal</v>
      </c>
      <c r="C23" s="17">
        <f t="shared" si="0"/>
        <v>1</v>
      </c>
      <c r="D23" s="33">
        <f t="shared" si="0"/>
        <v>0.75</v>
      </c>
      <c r="E23" s="33">
        <f t="shared" si="0"/>
        <v>0.75</v>
      </c>
      <c r="F23" s="33">
        <v>7.4999999999999997E-2</v>
      </c>
      <c r="G23" s="33">
        <f>PRODUCT(C23:F23)</f>
        <v>4.2187499999999996E-2</v>
      </c>
      <c r="H23" s="17"/>
      <c r="I23" s="17"/>
      <c r="J23" s="17"/>
      <c r="K23" s="17"/>
      <c r="M23" s="36"/>
      <c r="N23" s="36"/>
      <c r="O23" s="36"/>
      <c r="P23" s="36"/>
    </row>
    <row r="24" spans="1:16" ht="15" customHeight="1" x14ac:dyDescent="0.25">
      <c r="A24" s="2"/>
      <c r="B24" s="34" t="s">
        <v>16</v>
      </c>
      <c r="C24" s="3"/>
      <c r="D24" s="4"/>
      <c r="E24" s="5"/>
      <c r="F24" s="5"/>
      <c r="G24" s="6">
        <f>SUM(G21:G23)</f>
        <v>9.3985156011886613</v>
      </c>
      <c r="H24" s="7" t="s">
        <v>17</v>
      </c>
      <c r="I24" s="6">
        <v>11500.47</v>
      </c>
      <c r="J24" s="18">
        <f>G24*I24</f>
        <v>108087.34671600215</v>
      </c>
      <c r="K24" s="5"/>
    </row>
    <row r="25" spans="1:16" x14ac:dyDescent="0.25">
      <c r="A25" s="16"/>
      <c r="B25" s="17"/>
      <c r="C25" s="17"/>
      <c r="D25" s="17"/>
      <c r="E25" s="17"/>
      <c r="F25" s="17"/>
      <c r="G25" s="17"/>
      <c r="H25" s="17"/>
      <c r="I25" s="17"/>
      <c r="J25" s="17"/>
      <c r="K25" s="17"/>
    </row>
    <row r="26" spans="1:16" ht="157.5" x14ac:dyDescent="0.25">
      <c r="A26" s="16">
        <v>4</v>
      </c>
      <c r="B26" s="35" t="s">
        <v>37</v>
      </c>
      <c r="C26" s="17"/>
      <c r="D26" s="17"/>
      <c r="E26" s="17"/>
      <c r="F26" s="17"/>
      <c r="G26" s="17"/>
      <c r="H26" s="17"/>
      <c r="I26" s="17"/>
      <c r="J26" s="17"/>
      <c r="K26" s="17"/>
    </row>
    <row r="27" spans="1:16" x14ac:dyDescent="0.25">
      <c r="A27" s="16"/>
      <c r="B27" s="32" t="str">
        <f>B22</f>
        <v>-for drain</v>
      </c>
      <c r="C27" s="17">
        <f>C22*2</f>
        <v>2</v>
      </c>
      <c r="D27" s="33">
        <f>D22</f>
        <v>135</v>
      </c>
      <c r="E27" s="33">
        <v>0.3</v>
      </c>
      <c r="F27" s="33">
        <f>1.17/3.281</f>
        <v>0.35659859798841814</v>
      </c>
      <c r="G27" s="33">
        <f>PRODUCT(C27:F27)</f>
        <v>28.88448643706187</v>
      </c>
      <c r="H27" s="17"/>
      <c r="I27" s="17"/>
      <c r="J27" s="17"/>
      <c r="K27" s="17"/>
      <c r="M27" s="36"/>
      <c r="N27" s="36"/>
      <c r="O27" s="36"/>
      <c r="P27" s="36"/>
    </row>
    <row r="28" spans="1:16" x14ac:dyDescent="0.25">
      <c r="A28" s="16"/>
      <c r="B28" s="32" t="str">
        <f>B23</f>
        <v>-for mangaal</v>
      </c>
      <c r="C28" s="17">
        <f>C23</f>
        <v>1</v>
      </c>
      <c r="D28" s="33">
        <f>(D23+E27+E27)*2+(D23)*2</f>
        <v>4.2</v>
      </c>
      <c r="E28" s="33">
        <v>0.3</v>
      </c>
      <c r="F28" s="33">
        <f>1.17/3.281</f>
        <v>0.35659859798841814</v>
      </c>
      <c r="G28" s="33">
        <f>PRODUCT(C28:F28)</f>
        <v>0.44931423346540689</v>
      </c>
      <c r="H28" s="17"/>
      <c r="I28" s="17"/>
      <c r="J28" s="17"/>
      <c r="K28" s="17"/>
      <c r="M28" s="36"/>
      <c r="N28" s="36"/>
      <c r="O28" s="36"/>
      <c r="P28" s="36"/>
    </row>
    <row r="29" spans="1:16" ht="15" customHeight="1" x14ac:dyDescent="0.25">
      <c r="A29" s="2"/>
      <c r="B29" s="34" t="s">
        <v>16</v>
      </c>
      <c r="C29" s="3"/>
      <c r="D29" s="4"/>
      <c r="E29" s="5"/>
      <c r="F29" s="5"/>
      <c r="G29" s="6">
        <f>SUM(G27:G28)</f>
        <v>29.333800670527278</v>
      </c>
      <c r="H29" s="7" t="s">
        <v>17</v>
      </c>
      <c r="I29" s="6">
        <v>10392.91</v>
      </c>
      <c r="J29" s="18">
        <f>G29*I29</f>
        <v>304863.55032672966</v>
      </c>
      <c r="K29" s="5"/>
    </row>
    <row r="30" spans="1:16" x14ac:dyDescent="0.25">
      <c r="A30" s="16"/>
      <c r="B30" s="17"/>
      <c r="C30" s="17"/>
      <c r="D30" s="17"/>
      <c r="E30" s="17"/>
      <c r="F30" s="17"/>
      <c r="G30" s="17"/>
      <c r="H30" s="17"/>
      <c r="I30" s="17"/>
      <c r="J30" s="17"/>
      <c r="K30" s="17"/>
    </row>
    <row r="31" spans="1:16" ht="110.25" x14ac:dyDescent="0.25">
      <c r="A31" s="16">
        <v>5</v>
      </c>
      <c r="B31" s="35" t="s">
        <v>35</v>
      </c>
      <c r="C31" s="17"/>
      <c r="D31" s="17"/>
      <c r="E31" s="17"/>
      <c r="F31" s="17"/>
      <c r="G31" s="17"/>
      <c r="H31" s="17"/>
      <c r="I31" s="17"/>
      <c r="J31" s="17"/>
      <c r="K31" s="17"/>
    </row>
    <row r="32" spans="1:16" x14ac:dyDescent="0.25">
      <c r="A32" s="16"/>
      <c r="B32" s="32" t="str">
        <f>B21</f>
        <v>-for masonry wall</v>
      </c>
      <c r="C32" s="17">
        <v>1</v>
      </c>
      <c r="D32" s="33">
        <v>4</v>
      </c>
      <c r="E32" s="33">
        <f>((F32/2)+0.45)/2</f>
        <v>0.83457025297165488</v>
      </c>
      <c r="F32" s="33">
        <f>8/3.281</f>
        <v>2.4382810118866196</v>
      </c>
      <c r="G32" s="33">
        <f>PRODUCT(C32:F32)</f>
        <v>8.1396672036247946</v>
      </c>
      <c r="H32" s="17"/>
      <c r="I32" s="17"/>
      <c r="J32" s="17"/>
      <c r="K32" s="17"/>
      <c r="M32" s="33">
        <f>7</f>
        <v>7</v>
      </c>
      <c r="N32" s="33">
        <f>2</f>
        <v>2</v>
      </c>
      <c r="O32" s="33"/>
      <c r="P32" s="33">
        <f>PI()*M32*SQRT(M32^2+N32^2)</f>
        <v>160.09797821843054</v>
      </c>
    </row>
    <row r="33" spans="1:19" x14ac:dyDescent="0.25">
      <c r="A33" s="16"/>
      <c r="B33" s="32" t="s">
        <v>38</v>
      </c>
      <c r="C33" s="17">
        <v>-1</v>
      </c>
      <c r="D33" s="33">
        <f>E32</f>
        <v>0.83457025297165488</v>
      </c>
      <c r="E33" s="33">
        <v>0.45</v>
      </c>
      <c r="F33" s="33">
        <v>0.45</v>
      </c>
      <c r="G33" s="33">
        <f>C33*D33*(E33*F33*PI())/4</f>
        <v>-0.13273266364179154</v>
      </c>
      <c r="H33" s="17"/>
      <c r="I33" s="17"/>
      <c r="J33" s="17"/>
      <c r="K33" s="17"/>
      <c r="M33" s="36"/>
      <c r="N33" s="36"/>
      <c r="O33" s="36"/>
      <c r="P33" s="36"/>
    </row>
    <row r="34" spans="1:19" ht="15" customHeight="1" x14ac:dyDescent="0.25">
      <c r="A34" s="2"/>
      <c r="B34" s="34" t="s">
        <v>16</v>
      </c>
      <c r="C34" s="3"/>
      <c r="D34" s="4"/>
      <c r="E34" s="5"/>
      <c r="F34" s="5"/>
      <c r="G34" s="6">
        <f>SUM(G32:G33)</f>
        <v>8.0069345399830034</v>
      </c>
      <c r="H34" s="7" t="s">
        <v>17</v>
      </c>
      <c r="I34" s="6">
        <v>9526.75</v>
      </c>
      <c r="J34" s="18">
        <f>G34*I34</f>
        <v>76280.063628783071</v>
      </c>
      <c r="K34" s="5"/>
    </row>
    <row r="35" spans="1:19" x14ac:dyDescent="0.25">
      <c r="A35" s="16"/>
      <c r="B35" s="17"/>
      <c r="C35" s="17"/>
      <c r="D35" s="17"/>
      <c r="E35" s="17"/>
      <c r="F35" s="17"/>
      <c r="G35" s="17"/>
      <c r="H35" s="17"/>
      <c r="I35" s="17"/>
      <c r="J35" s="17"/>
      <c r="K35" s="17"/>
    </row>
    <row r="36" spans="1:19" ht="15" customHeight="1" x14ac:dyDescent="0.25">
      <c r="A36" s="2">
        <v>6</v>
      </c>
      <c r="B36" s="1" t="s">
        <v>33</v>
      </c>
      <c r="C36" s="3">
        <v>1</v>
      </c>
      <c r="D36" s="4"/>
      <c r="E36" s="5"/>
      <c r="F36" s="5"/>
      <c r="G36" s="7">
        <f t="shared" ref="G36" si="1">PRODUCT(C36:F36)</f>
        <v>1</v>
      </c>
      <c r="H36" s="7" t="s">
        <v>19</v>
      </c>
      <c r="I36" s="6">
        <v>5000</v>
      </c>
      <c r="J36" s="7">
        <f>G36*I36</f>
        <v>5000</v>
      </c>
      <c r="K36" s="5"/>
    </row>
    <row r="37" spans="1:19" x14ac:dyDescent="0.25">
      <c r="A37" s="2"/>
      <c r="B37" s="8"/>
      <c r="C37" s="3"/>
      <c r="D37" s="4"/>
      <c r="E37" s="5"/>
      <c r="F37" s="5"/>
      <c r="G37" s="6"/>
      <c r="H37" s="7"/>
      <c r="I37" s="6"/>
      <c r="J37" s="18"/>
      <c r="K37" s="5"/>
    </row>
    <row r="38" spans="1:19" ht="15" customHeight="1" x14ac:dyDescent="0.25">
      <c r="A38" s="2">
        <v>7</v>
      </c>
      <c r="B38" s="1" t="s">
        <v>18</v>
      </c>
      <c r="C38" s="3">
        <v>1</v>
      </c>
      <c r="D38" s="4"/>
      <c r="E38" s="5"/>
      <c r="F38" s="5"/>
      <c r="G38" s="7">
        <f t="shared" ref="G38" si="2">PRODUCT(C38:F38)</f>
        <v>1</v>
      </c>
      <c r="H38" s="7" t="s">
        <v>19</v>
      </c>
      <c r="I38" s="6">
        <v>500</v>
      </c>
      <c r="J38" s="7">
        <f>G38*I38</f>
        <v>500</v>
      </c>
      <c r="K38" s="5"/>
    </row>
    <row r="39" spans="1:19" x14ac:dyDescent="0.25">
      <c r="A39" s="2"/>
      <c r="B39" s="8"/>
      <c r="C39" s="3"/>
      <c r="D39" s="4"/>
      <c r="E39" s="5"/>
      <c r="F39" s="5"/>
      <c r="G39" s="6"/>
      <c r="H39" s="7"/>
      <c r="I39" s="6"/>
      <c r="J39" s="18"/>
      <c r="K39" s="5"/>
    </row>
    <row r="40" spans="1:19" x14ac:dyDescent="0.25">
      <c r="A40" s="21"/>
      <c r="B40" s="22" t="s">
        <v>21</v>
      </c>
      <c r="C40" s="23"/>
      <c r="D40" s="24"/>
      <c r="E40" s="24"/>
      <c r="F40" s="24"/>
      <c r="G40" s="18"/>
      <c r="H40" s="18"/>
      <c r="I40" s="18"/>
      <c r="J40" s="18">
        <f>SUM(J9:J38)</f>
        <v>584906.98427332263</v>
      </c>
      <c r="K40" s="25"/>
    </row>
    <row r="41" spans="1:19" x14ac:dyDescent="0.25">
      <c r="M41" s="20"/>
      <c r="N41" s="20"/>
      <c r="O41" s="20"/>
      <c r="P41" s="20"/>
      <c r="Q41" s="20"/>
      <c r="R41" s="20"/>
      <c r="S41" s="20"/>
    </row>
    <row r="42" spans="1:19" s="20" customFormat="1" x14ac:dyDescent="0.25">
      <c r="A42" s="26"/>
      <c r="B42" s="27" t="s">
        <v>20</v>
      </c>
      <c r="C42" s="40">
        <f>J40</f>
        <v>584906.98427332263</v>
      </c>
      <c r="D42" s="41"/>
      <c r="E42" s="9">
        <v>100</v>
      </c>
      <c r="F42" s="26"/>
      <c r="G42" s="28"/>
      <c r="H42" s="26"/>
      <c r="I42" s="29"/>
      <c r="J42" s="30"/>
      <c r="K42" s="31"/>
      <c r="M42" s="19"/>
      <c r="N42" s="19"/>
      <c r="O42" s="19"/>
      <c r="P42" s="19"/>
      <c r="Q42" s="19"/>
      <c r="R42" s="19"/>
      <c r="S42" s="19"/>
    </row>
    <row r="43" spans="1:19" x14ac:dyDescent="0.25">
      <c r="B43" s="27" t="s">
        <v>22</v>
      </c>
      <c r="C43" s="44">
        <v>500000</v>
      </c>
      <c r="D43" s="45"/>
      <c r="E43" s="9"/>
    </row>
    <row r="44" spans="1:19" x14ac:dyDescent="0.25">
      <c r="B44" s="27" t="s">
        <v>23</v>
      </c>
      <c r="C44" s="44">
        <f>C43-C46-C47</f>
        <v>475000</v>
      </c>
      <c r="D44" s="45"/>
      <c r="E44" s="9">
        <f>C44/C42*100</f>
        <v>81.209493606941791</v>
      </c>
    </row>
    <row r="45" spans="1:19" x14ac:dyDescent="0.25">
      <c r="B45" s="27" t="s">
        <v>29</v>
      </c>
      <c r="C45" s="46">
        <f>C42-C44</f>
        <v>109906.98427332263</v>
      </c>
      <c r="D45" s="46"/>
      <c r="E45" s="9">
        <f>100-E44</f>
        <v>18.790506393058209</v>
      </c>
    </row>
    <row r="46" spans="1:19" x14ac:dyDescent="0.25">
      <c r="B46" s="27" t="s">
        <v>24</v>
      </c>
      <c r="C46" s="40">
        <f>C43*0.03</f>
        <v>15000</v>
      </c>
      <c r="D46" s="41"/>
      <c r="E46" s="9">
        <v>3</v>
      </c>
    </row>
    <row r="47" spans="1:19" x14ac:dyDescent="0.25">
      <c r="B47" s="27" t="s">
        <v>25</v>
      </c>
      <c r="C47" s="40">
        <f>C43*0.02</f>
        <v>10000</v>
      </c>
      <c r="D47" s="41"/>
      <c r="E47" s="9">
        <v>2</v>
      </c>
    </row>
  </sheetData>
  <mergeCells count="15">
    <mergeCell ref="A6:F6"/>
    <mergeCell ref="H6:K6"/>
    <mergeCell ref="A1:K1"/>
    <mergeCell ref="A2:K2"/>
    <mergeCell ref="A3:K3"/>
    <mergeCell ref="A4:K4"/>
    <mergeCell ref="A5:K5"/>
    <mergeCell ref="C46:D46"/>
    <mergeCell ref="C47:D47"/>
    <mergeCell ref="A7:F7"/>
    <mergeCell ref="H7:K7"/>
    <mergeCell ref="C42:D42"/>
    <mergeCell ref="C43:D43"/>
    <mergeCell ref="C44:D44"/>
    <mergeCell ref="C45:D4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6"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7301F-B804-40B2-A270-FAABD2C2A0EC}">
  <dimension ref="A1:S56"/>
  <sheetViews>
    <sheetView zoomScale="90" zoomScaleNormal="90" zoomScaleSheetLayoutView="95" workbookViewId="0">
      <selection activeCell="A6" sqref="A6:F6"/>
    </sheetView>
  </sheetViews>
  <sheetFormatPr defaultColWidth="9.140625" defaultRowHeight="15" x14ac:dyDescent="0.25"/>
  <cols>
    <col min="1" max="1" width="4.7109375" style="19" customWidth="1"/>
    <col min="2" max="2" width="30.85546875" style="19" customWidth="1"/>
    <col min="3" max="3" width="4.5703125" style="19" bestFit="1" customWidth="1"/>
    <col min="4" max="4" width="7.42578125" style="19" customWidth="1"/>
    <col min="5" max="5" width="8.28515625" style="19" customWidth="1"/>
    <col min="6" max="6" width="9" style="19" bestFit="1" customWidth="1"/>
    <col min="7" max="7" width="9.42578125" style="19" customWidth="1"/>
    <col min="8" max="8" width="5" style="19" bestFit="1" customWidth="1"/>
    <col min="9" max="9" width="9.28515625" style="19" bestFit="1" customWidth="1"/>
    <col min="10" max="10" width="11.5703125" style="19" bestFit="1" customWidth="1"/>
    <col min="11" max="12" width="9.140625" style="19"/>
    <col min="13" max="16" width="0" style="19" hidden="1" customWidth="1"/>
    <col min="17" max="16384" width="9.140625" style="19"/>
  </cols>
  <sheetData>
    <row r="1" spans="1:16" x14ac:dyDescent="0.25">
      <c r="A1" s="49" t="s">
        <v>0</v>
      </c>
      <c r="B1" s="49"/>
      <c r="C1" s="49"/>
      <c r="D1" s="49"/>
      <c r="E1" s="49"/>
      <c r="F1" s="49"/>
      <c r="G1" s="49"/>
      <c r="H1" s="49"/>
      <c r="I1" s="49"/>
      <c r="J1" s="49"/>
      <c r="K1" s="49"/>
    </row>
    <row r="2" spans="1:16" ht="22.5" x14ac:dyDescent="0.25">
      <c r="A2" s="50" t="s">
        <v>1</v>
      </c>
      <c r="B2" s="50"/>
      <c r="C2" s="50"/>
      <c r="D2" s="50"/>
      <c r="E2" s="50"/>
      <c r="F2" s="50"/>
      <c r="G2" s="50"/>
      <c r="H2" s="50"/>
      <c r="I2" s="50"/>
      <c r="J2" s="50"/>
      <c r="K2" s="50"/>
    </row>
    <row r="3" spans="1:16" x14ac:dyDescent="0.25">
      <c r="A3" s="51" t="s">
        <v>2</v>
      </c>
      <c r="B3" s="51"/>
      <c r="C3" s="51"/>
      <c r="D3" s="51"/>
      <c r="E3" s="51"/>
      <c r="F3" s="51"/>
      <c r="G3" s="51"/>
      <c r="H3" s="51"/>
      <c r="I3" s="51"/>
      <c r="J3" s="51"/>
      <c r="K3" s="51"/>
    </row>
    <row r="4" spans="1:16" x14ac:dyDescent="0.25">
      <c r="A4" s="51" t="s">
        <v>3</v>
      </c>
      <c r="B4" s="51"/>
      <c r="C4" s="51"/>
      <c r="D4" s="51"/>
      <c r="E4" s="51"/>
      <c r="F4" s="51"/>
      <c r="G4" s="51"/>
      <c r="H4" s="51"/>
      <c r="I4" s="51"/>
      <c r="J4" s="51"/>
      <c r="K4" s="51"/>
    </row>
    <row r="5" spans="1:16" ht="18.75" x14ac:dyDescent="0.3">
      <c r="A5" s="52" t="s">
        <v>4</v>
      </c>
      <c r="B5" s="52"/>
      <c r="C5" s="52"/>
      <c r="D5" s="52"/>
      <c r="E5" s="52"/>
      <c r="F5" s="52"/>
      <c r="G5" s="52"/>
      <c r="H5" s="52"/>
      <c r="I5" s="52"/>
      <c r="J5" s="52"/>
      <c r="K5" s="52"/>
    </row>
    <row r="6" spans="1:16" ht="18" x14ac:dyDescent="0.25">
      <c r="A6" s="47" t="s">
        <v>47</v>
      </c>
      <c r="B6" s="47"/>
      <c r="C6" s="47"/>
      <c r="D6" s="47"/>
      <c r="E6" s="47"/>
      <c r="F6" s="47"/>
      <c r="G6" s="10"/>
      <c r="H6" s="48" t="s">
        <v>26</v>
      </c>
      <c r="I6" s="48"/>
      <c r="J6" s="48"/>
      <c r="K6" s="48"/>
    </row>
    <row r="7" spans="1:16" ht="15.75" x14ac:dyDescent="0.25">
      <c r="A7" s="42" t="s">
        <v>30</v>
      </c>
      <c r="B7" s="42"/>
      <c r="C7" s="42"/>
      <c r="D7" s="42"/>
      <c r="E7" s="42"/>
      <c r="F7" s="42"/>
      <c r="G7" s="11"/>
      <c r="H7" s="43" t="s">
        <v>34</v>
      </c>
      <c r="I7" s="43"/>
      <c r="J7" s="43"/>
      <c r="K7" s="43"/>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31</v>
      </c>
      <c r="C9" s="17"/>
      <c r="D9" s="17"/>
      <c r="E9" s="17"/>
      <c r="F9" s="17"/>
      <c r="G9" s="17"/>
      <c r="H9" s="17"/>
      <c r="I9" s="17"/>
      <c r="J9" s="17"/>
      <c r="K9" s="17"/>
    </row>
    <row r="10" spans="1:16" x14ac:dyDescent="0.25">
      <c r="A10" s="16"/>
      <c r="B10" s="32" t="s">
        <v>36</v>
      </c>
      <c r="C10" s="37">
        <v>0.5</v>
      </c>
      <c r="D10" s="33">
        <f>D15</f>
        <v>4</v>
      </c>
      <c r="E10" s="33">
        <f>E15</f>
        <v>1.1429442243218531</v>
      </c>
      <c r="F10" s="33">
        <v>0.6</v>
      </c>
      <c r="G10" s="33">
        <f>PRODUCT(C10:F10)</f>
        <v>1.3715330691862235</v>
      </c>
      <c r="H10" s="17"/>
      <c r="I10" s="17"/>
      <c r="J10" s="17"/>
      <c r="K10" s="17"/>
      <c r="M10" s="33">
        <f>7</f>
        <v>7</v>
      </c>
      <c r="N10" s="33">
        <f>2</f>
        <v>2</v>
      </c>
      <c r="O10" s="33"/>
      <c r="P10" s="33">
        <f>PI()*M10*SQRT(M10^2+N10^2)</f>
        <v>160.09797821843054</v>
      </c>
    </row>
    <row r="11" spans="1:16" x14ac:dyDescent="0.25">
      <c r="A11" s="16"/>
      <c r="B11" s="32" t="s">
        <v>32</v>
      </c>
      <c r="C11" s="37">
        <v>0.5</v>
      </c>
      <c r="D11" s="33">
        <v>80</v>
      </c>
      <c r="E11" s="33">
        <v>0.9</v>
      </c>
      <c r="F11" s="33">
        <f>1.17/3.281</f>
        <v>0.35659859798841814</v>
      </c>
      <c r="G11" s="33">
        <f>PRODUCT(C11:F11)</f>
        <v>12.837549527583054</v>
      </c>
      <c r="H11" s="17"/>
      <c r="I11" s="17"/>
      <c r="J11" s="17"/>
      <c r="K11" s="17"/>
      <c r="M11" s="36"/>
      <c r="N11" s="36"/>
      <c r="O11" s="36"/>
      <c r="P11" s="36"/>
    </row>
    <row r="12" spans="1:16" ht="15" customHeight="1" x14ac:dyDescent="0.25">
      <c r="A12" s="2"/>
      <c r="B12" s="34" t="s">
        <v>16</v>
      </c>
      <c r="C12" s="3"/>
      <c r="D12" s="4"/>
      <c r="E12" s="5"/>
      <c r="F12" s="5"/>
      <c r="G12" s="6">
        <f>SUM(G10:G11)</f>
        <v>14.209082596769278</v>
      </c>
      <c r="H12" s="7" t="s">
        <v>17</v>
      </c>
      <c r="I12" s="6">
        <v>73.88</v>
      </c>
      <c r="J12" s="18">
        <f>G12*I12</f>
        <v>1049.7670222493141</v>
      </c>
      <c r="K12" s="5"/>
    </row>
    <row r="13" spans="1:16" x14ac:dyDescent="0.25">
      <c r="A13" s="16"/>
      <c r="B13" s="17"/>
      <c r="C13" s="17"/>
      <c r="D13" s="17"/>
      <c r="E13" s="17"/>
      <c r="F13" s="17"/>
      <c r="G13" s="17"/>
      <c r="H13" s="17"/>
      <c r="I13" s="17"/>
      <c r="J13" s="17"/>
      <c r="K13" s="17"/>
    </row>
    <row r="14" spans="1:16" ht="110.25" x14ac:dyDescent="0.25">
      <c r="A14" s="16">
        <v>2</v>
      </c>
      <c r="B14" s="35" t="s">
        <v>27</v>
      </c>
      <c r="C14" s="17"/>
      <c r="D14" s="17"/>
      <c r="E14" s="17"/>
      <c r="F14" s="17"/>
      <c r="G14" s="17"/>
      <c r="H14" s="17"/>
      <c r="I14" s="17"/>
      <c r="J14" s="17"/>
      <c r="K14" s="17"/>
    </row>
    <row r="15" spans="1:16" x14ac:dyDescent="0.25">
      <c r="A15" s="16"/>
      <c r="B15" s="32" t="str">
        <f>B10</f>
        <v>-for masory wall</v>
      </c>
      <c r="C15" s="17">
        <v>1</v>
      </c>
      <c r="D15" s="33">
        <f>D21</f>
        <v>4</v>
      </c>
      <c r="E15" s="33">
        <f>E21</f>
        <v>1.1429442243218531</v>
      </c>
      <c r="F15" s="33">
        <v>0.15</v>
      </c>
      <c r="G15" s="33">
        <f>PRODUCT(C15:F15)</f>
        <v>0.68576653459311177</v>
      </c>
      <c r="H15" s="17"/>
      <c r="I15" s="17"/>
      <c r="J15" s="17"/>
      <c r="K15" s="17"/>
      <c r="M15" s="33">
        <f>7</f>
        <v>7</v>
      </c>
      <c r="N15" s="33">
        <f>2</f>
        <v>2</v>
      </c>
      <c r="O15" s="33"/>
      <c r="P15" s="33">
        <f>PI()*M15*SQRT(M15^2+N15^2)</f>
        <v>160.09797821843054</v>
      </c>
    </row>
    <row r="16" spans="1:16" x14ac:dyDescent="0.25">
      <c r="A16" s="16"/>
      <c r="B16" s="32" t="str">
        <f>B11</f>
        <v>-for drain</v>
      </c>
      <c r="C16" s="17">
        <v>1</v>
      </c>
      <c r="D16" s="33">
        <f>D11</f>
        <v>80</v>
      </c>
      <c r="E16" s="33">
        <f>E11</f>
        <v>0.9</v>
      </c>
      <c r="F16" s="33">
        <v>0.15</v>
      </c>
      <c r="G16" s="33">
        <f>PRODUCT(C16:F16)</f>
        <v>10.799999999999999</v>
      </c>
      <c r="H16" s="17"/>
      <c r="I16" s="17"/>
      <c r="J16" s="17"/>
      <c r="K16" s="17"/>
      <c r="M16" s="36"/>
      <c r="N16" s="36"/>
      <c r="O16" s="36"/>
      <c r="P16" s="36"/>
    </row>
    <row r="17" spans="1:16" x14ac:dyDescent="0.25">
      <c r="A17" s="16"/>
      <c r="B17" s="32" t="s">
        <v>39</v>
      </c>
      <c r="C17" s="17">
        <v>1</v>
      </c>
      <c r="D17" s="33">
        <v>0.75</v>
      </c>
      <c r="E17" s="33">
        <v>0.75</v>
      </c>
      <c r="F17" s="33">
        <v>0.15</v>
      </c>
      <c r="G17" s="33">
        <f>PRODUCT(C17:F17)</f>
        <v>8.4374999999999992E-2</v>
      </c>
      <c r="H17" s="17"/>
      <c r="I17" s="17"/>
      <c r="J17" s="17"/>
      <c r="K17" s="17"/>
      <c r="M17" s="36"/>
      <c r="N17" s="36"/>
      <c r="O17" s="36"/>
      <c r="P17" s="36"/>
    </row>
    <row r="18" spans="1:16" ht="15" customHeight="1" x14ac:dyDescent="0.25">
      <c r="A18" s="2"/>
      <c r="B18" s="34" t="s">
        <v>16</v>
      </c>
      <c r="C18" s="3"/>
      <c r="D18" s="4"/>
      <c r="E18" s="5"/>
      <c r="F18" s="5"/>
      <c r="G18" s="6">
        <f>SUM(G15:G17)</f>
        <v>11.570141534593111</v>
      </c>
      <c r="H18" s="7" t="s">
        <v>17</v>
      </c>
      <c r="I18" s="6">
        <v>4646.1899999999996</v>
      </c>
      <c r="J18" s="18">
        <f>G18*I18</f>
        <v>53757.075896611161</v>
      </c>
      <c r="K18" s="5"/>
    </row>
    <row r="19" spans="1:16" x14ac:dyDescent="0.25">
      <c r="A19" s="16"/>
      <c r="B19" s="17"/>
      <c r="C19" s="17"/>
      <c r="D19" s="17"/>
      <c r="E19" s="17"/>
      <c r="F19" s="17"/>
      <c r="G19" s="17"/>
      <c r="H19" s="17"/>
      <c r="I19" s="17"/>
      <c r="J19" s="17"/>
      <c r="K19" s="17"/>
    </row>
    <row r="20" spans="1:16" ht="94.5" x14ac:dyDescent="0.25">
      <c r="A20" s="16">
        <v>3</v>
      </c>
      <c r="B20" s="35" t="s">
        <v>28</v>
      </c>
      <c r="C20" s="17"/>
      <c r="D20" s="17"/>
      <c r="E20" s="17"/>
      <c r="F20" s="17"/>
      <c r="G20" s="17"/>
      <c r="H20" s="17"/>
      <c r="I20" s="17"/>
      <c r="J20" s="17"/>
      <c r="K20" s="17"/>
    </row>
    <row r="21" spans="1:16" x14ac:dyDescent="0.25">
      <c r="A21" s="16"/>
      <c r="B21" s="32" t="str">
        <f>B15</f>
        <v>-for masory wall</v>
      </c>
      <c r="C21" s="17">
        <v>1</v>
      </c>
      <c r="D21" s="33">
        <f>D32</f>
        <v>4</v>
      </c>
      <c r="E21" s="33">
        <f>F32/2</f>
        <v>1.1429442243218531</v>
      </c>
      <c r="F21" s="33">
        <v>0.05</v>
      </c>
      <c r="G21" s="33">
        <f>PRODUCT(C21:F21)</f>
        <v>0.22858884486437062</v>
      </c>
      <c r="H21" s="17"/>
      <c r="I21" s="17"/>
      <c r="J21" s="17"/>
      <c r="K21" s="17"/>
      <c r="M21" s="33">
        <f>7</f>
        <v>7</v>
      </c>
      <c r="N21" s="33">
        <f>2</f>
        <v>2</v>
      </c>
      <c r="O21" s="33"/>
      <c r="P21" s="33">
        <f>PI()*M21*SQRT(M21^2+N21^2)</f>
        <v>160.09797821843054</v>
      </c>
    </row>
    <row r="22" spans="1:16" x14ac:dyDescent="0.25">
      <c r="A22" s="16"/>
      <c r="B22" s="32" t="str">
        <f>B16</f>
        <v>-for drain</v>
      </c>
      <c r="C22" s="17">
        <f t="shared" ref="C22:E23" si="0">C16</f>
        <v>1</v>
      </c>
      <c r="D22" s="33">
        <f t="shared" si="0"/>
        <v>80</v>
      </c>
      <c r="E22" s="33">
        <f t="shared" si="0"/>
        <v>0.9</v>
      </c>
      <c r="F22" s="33">
        <v>0.1</v>
      </c>
      <c r="G22" s="33">
        <f>PRODUCT(C22:F22)</f>
        <v>7.2</v>
      </c>
      <c r="H22" s="17"/>
      <c r="I22" s="17"/>
      <c r="J22" s="17"/>
      <c r="K22" s="17"/>
      <c r="M22" s="36"/>
      <c r="N22" s="36"/>
      <c r="O22" s="36"/>
      <c r="P22" s="36"/>
    </row>
    <row r="23" spans="1:16" x14ac:dyDescent="0.25">
      <c r="A23" s="16"/>
      <c r="B23" s="32" t="str">
        <f>B17</f>
        <v>-for mangaal</v>
      </c>
      <c r="C23" s="17">
        <f t="shared" si="0"/>
        <v>1</v>
      </c>
      <c r="D23" s="33">
        <f t="shared" si="0"/>
        <v>0.75</v>
      </c>
      <c r="E23" s="33">
        <f t="shared" si="0"/>
        <v>0.75</v>
      </c>
      <c r="F23" s="33">
        <v>7.4999999999999997E-2</v>
      </c>
      <c r="G23" s="33">
        <f>PRODUCT(C23:F23)</f>
        <v>4.2187499999999996E-2</v>
      </c>
      <c r="H23" s="17"/>
      <c r="I23" s="17"/>
      <c r="J23" s="17"/>
      <c r="K23" s="17"/>
      <c r="M23" s="36"/>
      <c r="N23" s="36"/>
      <c r="O23" s="36"/>
      <c r="P23" s="36"/>
    </row>
    <row r="24" spans="1:16" ht="15" customHeight="1" x14ac:dyDescent="0.25">
      <c r="A24" s="2"/>
      <c r="B24" s="34" t="s">
        <v>16</v>
      </c>
      <c r="C24" s="3"/>
      <c r="D24" s="4"/>
      <c r="E24" s="5"/>
      <c r="F24" s="5"/>
      <c r="G24" s="6">
        <f>SUM(G21:G23)</f>
        <v>7.4707763448643707</v>
      </c>
      <c r="H24" s="7" t="s">
        <v>17</v>
      </c>
      <c r="I24" s="6">
        <v>11500.47</v>
      </c>
      <c r="J24" s="18">
        <f>G24*I24</f>
        <v>85917.439230822347</v>
      </c>
      <c r="K24" s="5"/>
    </row>
    <row r="25" spans="1:16" x14ac:dyDescent="0.25">
      <c r="A25" s="16"/>
      <c r="B25" s="17"/>
      <c r="C25" s="17"/>
      <c r="D25" s="17"/>
      <c r="E25" s="17"/>
      <c r="F25" s="17"/>
      <c r="G25" s="17"/>
      <c r="H25" s="17"/>
      <c r="I25" s="17"/>
      <c r="J25" s="17"/>
      <c r="K25" s="17"/>
    </row>
    <row r="26" spans="1:16" ht="157.5" x14ac:dyDescent="0.25">
      <c r="A26" s="16">
        <v>4</v>
      </c>
      <c r="B26" s="35" t="s">
        <v>37</v>
      </c>
      <c r="C26" s="17"/>
      <c r="D26" s="17"/>
      <c r="E26" s="17"/>
      <c r="F26" s="17"/>
      <c r="G26" s="17"/>
      <c r="H26" s="17"/>
      <c r="I26" s="17"/>
      <c r="J26" s="17"/>
      <c r="K26" s="17"/>
    </row>
    <row r="27" spans="1:16" x14ac:dyDescent="0.25">
      <c r="A27" s="16"/>
      <c r="B27" s="32" t="str">
        <f>B22</f>
        <v>-for drain</v>
      </c>
      <c r="C27" s="17">
        <f>C22*2</f>
        <v>2</v>
      </c>
      <c r="D27" s="33">
        <f>D22</f>
        <v>80</v>
      </c>
      <c r="E27" s="33">
        <v>0.3</v>
      </c>
      <c r="F27" s="33">
        <f>1.17/3.281</f>
        <v>0.35659859798841814</v>
      </c>
      <c r="G27" s="33">
        <f>PRODUCT(C27:F27)</f>
        <v>17.116732703444072</v>
      </c>
      <c r="H27" s="17"/>
      <c r="I27" s="17"/>
      <c r="J27" s="17"/>
      <c r="K27" s="17"/>
      <c r="M27" s="36"/>
      <c r="N27" s="36"/>
      <c r="O27" s="36"/>
      <c r="P27" s="36"/>
    </row>
    <row r="28" spans="1:16" x14ac:dyDescent="0.25">
      <c r="A28" s="16"/>
      <c r="B28" s="32" t="str">
        <f>B23</f>
        <v>-for mangaal</v>
      </c>
      <c r="C28" s="17">
        <f>C23</f>
        <v>1</v>
      </c>
      <c r="D28" s="33">
        <f>(D23+E27+E27)*2+(D23)*2</f>
        <v>4.2</v>
      </c>
      <c r="E28" s="33">
        <v>0.3</v>
      </c>
      <c r="F28" s="33">
        <f>1.17/3.281</f>
        <v>0.35659859798841814</v>
      </c>
      <c r="G28" s="33">
        <f>PRODUCT(C28:F28)</f>
        <v>0.44931423346540689</v>
      </c>
      <c r="H28" s="17"/>
      <c r="I28" s="17"/>
      <c r="J28" s="17"/>
      <c r="K28" s="17"/>
      <c r="M28" s="36"/>
      <c r="N28" s="36"/>
      <c r="O28" s="36"/>
      <c r="P28" s="36"/>
    </row>
    <row r="29" spans="1:16" ht="15" customHeight="1" x14ac:dyDescent="0.25">
      <c r="A29" s="2"/>
      <c r="B29" s="34" t="s">
        <v>16</v>
      </c>
      <c r="C29" s="3"/>
      <c r="D29" s="4"/>
      <c r="E29" s="5"/>
      <c r="F29" s="5"/>
      <c r="G29" s="6">
        <f>SUM(G27:G28)</f>
        <v>17.56604693690948</v>
      </c>
      <c r="H29" s="7" t="s">
        <v>17</v>
      </c>
      <c r="I29" s="6">
        <v>10392.91</v>
      </c>
      <c r="J29" s="18">
        <f>G29*I29</f>
        <v>182562.34487107591</v>
      </c>
      <c r="K29" s="5"/>
    </row>
    <row r="30" spans="1:16" x14ac:dyDescent="0.25">
      <c r="A30" s="16"/>
      <c r="B30" s="17"/>
      <c r="C30" s="17"/>
      <c r="D30" s="17"/>
      <c r="E30" s="17"/>
      <c r="F30" s="17"/>
      <c r="G30" s="17"/>
      <c r="H30" s="17"/>
      <c r="I30" s="17"/>
      <c r="J30" s="17"/>
      <c r="K30" s="17"/>
    </row>
    <row r="31" spans="1:16" ht="110.25" x14ac:dyDescent="0.25">
      <c r="A31" s="16">
        <v>5</v>
      </c>
      <c r="B31" s="35" t="s">
        <v>35</v>
      </c>
      <c r="C31" s="17"/>
      <c r="D31" s="17"/>
      <c r="E31" s="17"/>
      <c r="F31" s="17"/>
      <c r="G31" s="17"/>
      <c r="H31" s="17"/>
      <c r="I31" s="17"/>
      <c r="J31" s="17"/>
      <c r="K31" s="17"/>
    </row>
    <row r="32" spans="1:16" x14ac:dyDescent="0.25">
      <c r="A32" s="16"/>
      <c r="B32" s="32" t="str">
        <f>B21</f>
        <v>-for masory wall</v>
      </c>
      <c r="C32" s="17">
        <v>1</v>
      </c>
      <c r="D32" s="33">
        <v>4</v>
      </c>
      <c r="E32" s="33">
        <f>((F32/2)+0.45)/2</f>
        <v>0.7964721121609265</v>
      </c>
      <c r="F32" s="33">
        <f>7.5/3.281</f>
        <v>2.2858884486437061</v>
      </c>
      <c r="G32" s="33">
        <f>PRODUCT(C32:F32)</f>
        <v>7.2825856034220644</v>
      </c>
      <c r="H32" s="17"/>
      <c r="I32" s="17"/>
      <c r="J32" s="17"/>
      <c r="K32" s="17"/>
      <c r="M32" s="33">
        <f>7</f>
        <v>7</v>
      </c>
      <c r="N32" s="33">
        <f>2</f>
        <v>2</v>
      </c>
      <c r="O32" s="33"/>
      <c r="P32" s="33">
        <f>PI()*M32*SQRT(M32^2+N32^2)</f>
        <v>160.09797821843054</v>
      </c>
    </row>
    <row r="33" spans="1:16" x14ac:dyDescent="0.25">
      <c r="A33" s="16"/>
      <c r="B33" s="32" t="s">
        <v>38</v>
      </c>
      <c r="C33" s="17">
        <v>-1</v>
      </c>
      <c r="D33" s="33">
        <f>E32</f>
        <v>0.7964721121609265</v>
      </c>
      <c r="E33" s="33">
        <v>0.45</v>
      </c>
      <c r="F33" s="33">
        <v>0.45</v>
      </c>
      <c r="G33" s="33">
        <f>C33*D33*(E33*F33*PI())/4</f>
        <v>-0.12667341615291683</v>
      </c>
      <c r="H33" s="17"/>
      <c r="I33" s="17"/>
      <c r="J33" s="17"/>
      <c r="K33" s="17"/>
      <c r="M33" s="36"/>
      <c r="N33" s="36"/>
      <c r="O33" s="36"/>
      <c r="P33" s="36"/>
    </row>
    <row r="34" spans="1:16" ht="15" customHeight="1" x14ac:dyDescent="0.25">
      <c r="A34" s="2"/>
      <c r="B34" s="34" t="s">
        <v>16</v>
      </c>
      <c r="C34" s="3"/>
      <c r="D34" s="4"/>
      <c r="E34" s="5"/>
      <c r="F34" s="5"/>
      <c r="G34" s="6">
        <f>SUM(G32:G33)</f>
        <v>7.1559121872691476</v>
      </c>
      <c r="H34" s="7" t="s">
        <v>17</v>
      </c>
      <c r="I34" s="6">
        <v>9526.75</v>
      </c>
      <c r="J34" s="18">
        <f>G34*I34</f>
        <v>68172.586430066352</v>
      </c>
      <c r="K34" s="5"/>
    </row>
    <row r="35" spans="1:16" x14ac:dyDescent="0.25">
      <c r="A35" s="16"/>
      <c r="B35" s="17"/>
      <c r="C35" s="17"/>
      <c r="D35" s="17"/>
      <c r="E35" s="17"/>
      <c r="F35" s="17"/>
      <c r="G35" s="17"/>
      <c r="H35" s="17"/>
      <c r="I35" s="17"/>
      <c r="J35" s="17"/>
      <c r="K35" s="17"/>
    </row>
    <row r="36" spans="1:16" ht="94.5" x14ac:dyDescent="0.25">
      <c r="A36" s="16">
        <v>6</v>
      </c>
      <c r="B36" s="35" t="s">
        <v>40</v>
      </c>
      <c r="C36" s="17"/>
      <c r="D36" s="17"/>
      <c r="E36" s="17"/>
      <c r="F36" s="17"/>
      <c r="G36" s="17"/>
      <c r="H36" s="17"/>
      <c r="I36" s="17"/>
      <c r="J36" s="17"/>
      <c r="K36" s="17"/>
    </row>
    <row r="37" spans="1:16" x14ac:dyDescent="0.25">
      <c r="A37" s="16"/>
      <c r="B37" s="32" t="s">
        <v>41</v>
      </c>
      <c r="C37" s="17">
        <v>1</v>
      </c>
      <c r="D37" s="33">
        <f>D27</f>
        <v>80</v>
      </c>
      <c r="E37" s="33">
        <f>4-E22+E27</f>
        <v>3.4</v>
      </c>
      <c r="F37" s="33">
        <v>0.15</v>
      </c>
      <c r="G37" s="33">
        <f>PRODUCT(C37:F37)</f>
        <v>40.799999999999997</v>
      </c>
      <c r="H37" s="17"/>
      <c r="I37" s="17"/>
      <c r="J37" s="17"/>
      <c r="K37" s="17"/>
      <c r="M37" s="33">
        <f>7</f>
        <v>7</v>
      </c>
      <c r="N37" s="33">
        <f>2</f>
        <v>2</v>
      </c>
      <c r="O37" s="33"/>
      <c r="P37" s="33">
        <f>PI()*M37*SQRT(M37^2+N37^2)</f>
        <v>160.09797821843054</v>
      </c>
    </row>
    <row r="38" spans="1:16" ht="15" customHeight="1" x14ac:dyDescent="0.25">
      <c r="A38" s="2"/>
      <c r="B38" s="34" t="s">
        <v>16</v>
      </c>
      <c r="C38" s="3"/>
      <c r="D38" s="4"/>
      <c r="E38" s="5"/>
      <c r="F38" s="5"/>
      <c r="G38" s="6">
        <f>SUM(G37:G37)</f>
        <v>40.799999999999997</v>
      </c>
      <c r="H38" s="7" t="s">
        <v>17</v>
      </c>
      <c r="I38" s="6">
        <v>12546.42</v>
      </c>
      <c r="J38" s="18">
        <f>G38*I38</f>
        <v>511893.93599999999</v>
      </c>
      <c r="K38" s="5"/>
    </row>
    <row r="39" spans="1:16" x14ac:dyDescent="0.25">
      <c r="A39" s="16"/>
      <c r="B39" s="17"/>
      <c r="C39" s="17"/>
      <c r="D39" s="17"/>
      <c r="E39" s="17"/>
      <c r="F39" s="17"/>
      <c r="G39" s="17"/>
      <c r="H39" s="17"/>
      <c r="I39" s="17"/>
      <c r="J39" s="17"/>
      <c r="K39" s="17"/>
    </row>
    <row r="40" spans="1:16" ht="78.75" x14ac:dyDescent="0.25">
      <c r="A40" s="16">
        <v>7</v>
      </c>
      <c r="B40" s="35" t="s">
        <v>42</v>
      </c>
      <c r="C40" s="17" t="s">
        <v>7</v>
      </c>
      <c r="D40" s="38" t="s">
        <v>44</v>
      </c>
      <c r="E40" s="38" t="s">
        <v>45</v>
      </c>
      <c r="F40" s="38" t="s">
        <v>46</v>
      </c>
      <c r="G40" s="17"/>
      <c r="H40" s="17"/>
      <c r="I40" s="17"/>
      <c r="J40" s="17"/>
      <c r="K40" s="17"/>
    </row>
    <row r="41" spans="1:16" x14ac:dyDescent="0.25">
      <c r="A41" s="16"/>
      <c r="B41" s="32" t="str">
        <f>B37</f>
        <v>-for road</v>
      </c>
      <c r="C41" s="37">
        <f>TRUNC(D42/0.15,0)</f>
        <v>22</v>
      </c>
      <c r="D41" s="33">
        <f>D37-((D37/6)*(0.05*2))</f>
        <v>78.666666666666671</v>
      </c>
      <c r="E41" s="33">
        <f>10*10/162</f>
        <v>0.61728395061728392</v>
      </c>
      <c r="F41" s="33">
        <f>PRODUCT(C41:E41)</f>
        <v>1068.312757201646</v>
      </c>
      <c r="G41" s="33">
        <f>F41/1000</f>
        <v>1.068312757201646</v>
      </c>
      <c r="H41" s="17"/>
      <c r="I41" s="17"/>
      <c r="J41" s="17"/>
      <c r="K41" s="17"/>
      <c r="M41" s="33">
        <f>7</f>
        <v>7</v>
      </c>
      <c r="N41" s="33">
        <f>2</f>
        <v>2</v>
      </c>
      <c r="O41" s="33"/>
      <c r="P41" s="33">
        <f>PI()*M41*SQRT(M41^2+N41^2)</f>
        <v>160.09797821843054</v>
      </c>
    </row>
    <row r="42" spans="1:16" x14ac:dyDescent="0.25">
      <c r="A42" s="16"/>
      <c r="B42" s="32"/>
      <c r="C42" s="37">
        <f>TRUNC(D41/0.15,0)</f>
        <v>524</v>
      </c>
      <c r="D42" s="33">
        <f>E37-0.1</f>
        <v>3.3</v>
      </c>
      <c r="E42" s="33">
        <f>10*10/162</f>
        <v>0.61728395061728392</v>
      </c>
      <c r="F42" s="33">
        <f>PRODUCT(C42:E42)</f>
        <v>1067.4074074074072</v>
      </c>
      <c r="G42" s="33">
        <f>F42/1000</f>
        <v>1.0674074074074071</v>
      </c>
      <c r="H42" s="17"/>
      <c r="I42" s="17"/>
      <c r="J42" s="17"/>
      <c r="K42" s="17"/>
      <c r="M42" s="36"/>
      <c r="N42" s="36"/>
      <c r="O42" s="36"/>
      <c r="P42" s="36"/>
    </row>
    <row r="43" spans="1:16" ht="15" customHeight="1" x14ac:dyDescent="0.25">
      <c r="A43" s="2"/>
      <c r="B43" s="34" t="s">
        <v>16</v>
      </c>
      <c r="C43" s="3"/>
      <c r="D43" s="4"/>
      <c r="E43" s="5"/>
      <c r="F43" s="5"/>
      <c r="G43" s="6">
        <f>SUM(G41:G42)</f>
        <v>2.1357201646090531</v>
      </c>
      <c r="H43" s="7" t="s">
        <v>43</v>
      </c>
      <c r="I43" s="39">
        <v>127480</v>
      </c>
      <c r="J43" s="18">
        <f>G43*I43</f>
        <v>272261.6065843621</v>
      </c>
      <c r="K43" s="5"/>
    </row>
    <row r="44" spans="1:16" x14ac:dyDescent="0.25">
      <c r="A44" s="16"/>
      <c r="B44" s="17"/>
      <c r="C44" s="17"/>
      <c r="D44" s="17"/>
      <c r="E44" s="17"/>
      <c r="F44" s="17"/>
      <c r="G44" s="17"/>
      <c r="H44" s="17"/>
      <c r="I44" s="17"/>
      <c r="J44" s="17"/>
      <c r="K44" s="17"/>
    </row>
    <row r="45" spans="1:16" ht="15" customHeight="1" x14ac:dyDescent="0.25">
      <c r="A45" s="2">
        <v>8</v>
      </c>
      <c r="B45" s="1" t="s">
        <v>33</v>
      </c>
      <c r="C45" s="3">
        <v>1</v>
      </c>
      <c r="D45" s="4"/>
      <c r="E45" s="5"/>
      <c r="F45" s="5"/>
      <c r="G45" s="7">
        <f t="shared" ref="G45" si="1">PRODUCT(C45:F45)</f>
        <v>1</v>
      </c>
      <c r="H45" s="7" t="s">
        <v>19</v>
      </c>
      <c r="I45" s="6">
        <v>10000</v>
      </c>
      <c r="J45" s="7">
        <f>G45*I45</f>
        <v>10000</v>
      </c>
      <c r="K45" s="5"/>
    </row>
    <row r="46" spans="1:16" x14ac:dyDescent="0.25">
      <c r="A46" s="2"/>
      <c r="B46" s="8"/>
      <c r="C46" s="3"/>
      <c r="D46" s="4"/>
      <c r="E46" s="5"/>
      <c r="F46" s="5"/>
      <c r="G46" s="6"/>
      <c r="H46" s="7"/>
      <c r="I46" s="6"/>
      <c r="J46" s="18"/>
      <c r="K46" s="5"/>
    </row>
    <row r="47" spans="1:16" ht="15" customHeight="1" x14ac:dyDescent="0.25">
      <c r="A47" s="2">
        <v>9</v>
      </c>
      <c r="B47" s="1" t="s">
        <v>18</v>
      </c>
      <c r="C47" s="3">
        <v>1</v>
      </c>
      <c r="D47" s="4"/>
      <c r="E47" s="5"/>
      <c r="F47" s="5"/>
      <c r="G47" s="7">
        <f t="shared" ref="G47" si="2">PRODUCT(C47:F47)</f>
        <v>1</v>
      </c>
      <c r="H47" s="7" t="s">
        <v>19</v>
      </c>
      <c r="I47" s="6">
        <v>500</v>
      </c>
      <c r="J47" s="7">
        <f>G47*I47</f>
        <v>500</v>
      </c>
      <c r="K47" s="5"/>
    </row>
    <row r="48" spans="1:16" x14ac:dyDescent="0.25">
      <c r="A48" s="2"/>
      <c r="B48" s="8"/>
      <c r="C48" s="3"/>
      <c r="D48" s="4"/>
      <c r="E48" s="5"/>
      <c r="F48" s="5"/>
      <c r="G48" s="6"/>
      <c r="H48" s="7"/>
      <c r="I48" s="6"/>
      <c r="J48" s="18"/>
      <c r="K48" s="5"/>
    </row>
    <row r="49" spans="1:19" x14ac:dyDescent="0.25">
      <c r="A49" s="21"/>
      <c r="B49" s="22" t="s">
        <v>21</v>
      </c>
      <c r="C49" s="23"/>
      <c r="D49" s="24"/>
      <c r="E49" s="24"/>
      <c r="F49" s="24"/>
      <c r="G49" s="18"/>
      <c r="H49" s="18"/>
      <c r="I49" s="18"/>
      <c r="J49" s="18">
        <f>SUM(J9:J47)</f>
        <v>1186114.7560351873</v>
      </c>
      <c r="K49" s="25"/>
    </row>
    <row r="50" spans="1:19" x14ac:dyDescent="0.25">
      <c r="M50" s="20"/>
      <c r="N50" s="20"/>
      <c r="O50" s="20"/>
      <c r="P50" s="20"/>
      <c r="Q50" s="20"/>
      <c r="R50" s="20"/>
      <c r="S50" s="20"/>
    </row>
    <row r="51" spans="1:19" s="20" customFormat="1" x14ac:dyDescent="0.25">
      <c r="A51" s="26"/>
      <c r="B51" s="27" t="s">
        <v>20</v>
      </c>
      <c r="C51" s="40">
        <f>J49</f>
        <v>1186114.7560351873</v>
      </c>
      <c r="D51" s="41"/>
      <c r="E51" s="9">
        <v>100</v>
      </c>
      <c r="F51" s="26"/>
      <c r="G51" s="28"/>
      <c r="H51" s="26"/>
      <c r="I51" s="29"/>
      <c r="J51" s="30"/>
      <c r="K51" s="31"/>
      <c r="M51" s="19"/>
      <c r="N51" s="19"/>
      <c r="O51" s="19"/>
      <c r="P51" s="19"/>
      <c r="Q51" s="19"/>
      <c r="R51" s="19"/>
      <c r="S51" s="19"/>
    </row>
    <row r="52" spans="1:19" x14ac:dyDescent="0.25">
      <c r="B52" s="27" t="s">
        <v>22</v>
      </c>
      <c r="C52" s="44">
        <v>1000000</v>
      </c>
      <c r="D52" s="45"/>
      <c r="E52" s="9"/>
    </row>
    <row r="53" spans="1:19" x14ac:dyDescent="0.25">
      <c r="B53" s="27" t="s">
        <v>23</v>
      </c>
      <c r="C53" s="44">
        <f>C52-C55-C56</f>
        <v>950000</v>
      </c>
      <c r="D53" s="45"/>
      <c r="E53" s="9">
        <f>C53/C51*100</f>
        <v>80.093430687563028</v>
      </c>
    </row>
    <row r="54" spans="1:19" x14ac:dyDescent="0.25">
      <c r="B54" s="27" t="s">
        <v>29</v>
      </c>
      <c r="C54" s="46">
        <f>C51-C53</f>
        <v>236114.75603518728</v>
      </c>
      <c r="D54" s="46"/>
      <c r="E54" s="9">
        <f>100-E53</f>
        <v>19.906569312436972</v>
      </c>
    </row>
    <row r="55" spans="1:19" x14ac:dyDescent="0.25">
      <c r="B55" s="27" t="s">
        <v>24</v>
      </c>
      <c r="C55" s="40">
        <f>C52*0.03</f>
        <v>30000</v>
      </c>
      <c r="D55" s="41"/>
      <c r="E55" s="9">
        <v>3</v>
      </c>
    </row>
    <row r="56" spans="1:19" x14ac:dyDescent="0.25">
      <c r="B56" s="27" t="s">
        <v>25</v>
      </c>
      <c r="C56" s="40">
        <f>C52*0.02</f>
        <v>20000</v>
      </c>
      <c r="D56" s="41"/>
      <c r="E56" s="9">
        <v>2</v>
      </c>
    </row>
  </sheetData>
  <mergeCells count="15">
    <mergeCell ref="A6:F6"/>
    <mergeCell ref="H6:K6"/>
    <mergeCell ref="A1:K1"/>
    <mergeCell ref="A2:K2"/>
    <mergeCell ref="A3:K3"/>
    <mergeCell ref="A4:K4"/>
    <mergeCell ref="A5:K5"/>
    <mergeCell ref="C55:D55"/>
    <mergeCell ref="C56:D56"/>
    <mergeCell ref="A7:F7"/>
    <mergeCell ref="H7:K7"/>
    <mergeCell ref="C51:D51"/>
    <mergeCell ref="C52:D52"/>
    <mergeCell ref="C53:D53"/>
    <mergeCell ref="C54:D54"/>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6"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with dhalaan</vt:lpstr>
      <vt:lpstr>estimate!Print_Area</vt:lpstr>
      <vt:lpstr>'with dhalaan'!Print_Area</vt:lpstr>
      <vt:lpstr>estimate!Print_Titles</vt:lpstr>
      <vt:lpstr>'with dhalaan'!Print_Titles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2026-10-12T08:43:23Z</dcterms:modified>
</cp:coreProperties>
</file>