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2083_2084\estimate\budget maag estimate\Ward swasthya water tank\"/>
    </mc:Choice>
  </mc:AlternateContent>
  <xr:revisionPtr revIDLastSave="0" documentId="13_ncr:1_{B8CBBF8B-0EE1-4F07-B31B-BE9597E6C836}" xr6:coauthVersionLast="47" xr6:coauthVersionMax="47" xr10:uidLastSave="{00000000-0000-0000-0000-000000000000}"/>
  <bookViews>
    <workbookView xWindow="10095" yWindow="0" windowWidth="10395" windowHeight="10905" firstSheet="4" activeTab="4" xr2:uid="{00000000-000D-0000-FFFF-FFFF00000000}"/>
  </bookViews>
  <sheets>
    <sheet name="WCR" sheetId="27" state="hidden" r:id="rId1"/>
    <sheet name="Sheet1" sheetId="30" state="hidden" r:id="rId2"/>
    <sheet name="include dhara marmat" sheetId="31" state="hidden" r:id="rId3"/>
    <sheet name="Size of water tank" sheetId="33" state="hidden" r:id="rId4"/>
    <sheet name="water tank estimate" sheetId="34" r:id="rId5"/>
    <sheet name="measurement" sheetId="32" state="hidden" r:id="rId6"/>
  </sheets>
  <definedNames>
    <definedName name="_xlnm.Print_Area" localSheetId="2">'include dhara marmat'!$A$1:$K$173</definedName>
    <definedName name="_xlnm.Print_Area" localSheetId="4">'water tank estimate'!$A$1:$K$320</definedName>
    <definedName name="_xlnm.Print_Titles" localSheetId="2">'include dhara marmat'!$1:$8</definedName>
    <definedName name="_xlnm.Print_Titles" localSheetId="4">'water tank estimate'!$1:$8</definedName>
    <definedName name="_xlnm.Print_Titles" localSheetId="0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5" i="34" l="1"/>
  <c r="G306" i="34" s="1"/>
  <c r="J306" i="34" s="1"/>
  <c r="J307" i="34" s="1"/>
  <c r="D278" i="34"/>
  <c r="F278" i="34"/>
  <c r="G278" i="34" s="1"/>
  <c r="G276" i="34"/>
  <c r="G275" i="34"/>
  <c r="G274" i="34"/>
  <c r="G273" i="34"/>
  <c r="G269" i="34"/>
  <c r="G246" i="34"/>
  <c r="G268" i="34"/>
  <c r="F271" i="34"/>
  <c r="D271" i="34"/>
  <c r="F264" i="34"/>
  <c r="D264" i="34"/>
  <c r="E255" i="34"/>
  <c r="D255" i="34"/>
  <c r="D272" i="34"/>
  <c r="G272" i="34" s="1"/>
  <c r="G267" i="34"/>
  <c r="G266" i="34"/>
  <c r="F265" i="34"/>
  <c r="G265" i="34" s="1"/>
  <c r="D254" i="34"/>
  <c r="F258" i="34"/>
  <c r="G258" i="34" s="1"/>
  <c r="G256" i="34"/>
  <c r="F254" i="34"/>
  <c r="F253" i="34"/>
  <c r="D253" i="34"/>
  <c r="D257" i="34"/>
  <c r="G257" i="34" s="1"/>
  <c r="G250" i="34"/>
  <c r="D248" i="34"/>
  <c r="G245" i="34"/>
  <c r="F241" i="34"/>
  <c r="D242" i="34"/>
  <c r="G242" i="34" s="1"/>
  <c r="G243" i="34"/>
  <c r="F248" i="34"/>
  <c r="F240" i="34"/>
  <c r="D240" i="34"/>
  <c r="F239" i="34"/>
  <c r="D239" i="34"/>
  <c r="D249" i="34"/>
  <c r="F233" i="34"/>
  <c r="D233" i="34"/>
  <c r="F232" i="34"/>
  <c r="D232" i="34"/>
  <c r="F231" i="34"/>
  <c r="D231" i="34"/>
  <c r="F224" i="34"/>
  <c r="F223" i="34"/>
  <c r="F222" i="34"/>
  <c r="D224" i="34"/>
  <c r="D223" i="34"/>
  <c r="D222" i="34"/>
  <c r="D229" i="34"/>
  <c r="D230" i="34"/>
  <c r="F230" i="34"/>
  <c r="F229" i="34"/>
  <c r="D221" i="34"/>
  <c r="D220" i="34"/>
  <c r="E221" i="34"/>
  <c r="F220" i="34"/>
  <c r="E219" i="34"/>
  <c r="D219" i="34"/>
  <c r="F218" i="34"/>
  <c r="D218" i="34"/>
  <c r="F210" i="34"/>
  <c r="D210" i="34"/>
  <c r="D217" i="34"/>
  <c r="E217" i="34"/>
  <c r="F216" i="34"/>
  <c r="D216" i="34"/>
  <c r="C113" i="34"/>
  <c r="C114" i="34"/>
  <c r="E114" i="34"/>
  <c r="C115" i="34"/>
  <c r="E115" i="34"/>
  <c r="E112" i="34"/>
  <c r="C112" i="34"/>
  <c r="B112" i="34"/>
  <c r="D100" i="34"/>
  <c r="G100" i="34" s="1"/>
  <c r="D99" i="34"/>
  <c r="G99" i="34" s="1"/>
  <c r="E98" i="34"/>
  <c r="E113" i="34" s="1"/>
  <c r="D98" i="34"/>
  <c r="D113" i="34" s="1"/>
  <c r="D97" i="34"/>
  <c r="G97" i="34" s="1"/>
  <c r="C52" i="34"/>
  <c r="C51" i="34"/>
  <c r="C164" i="34"/>
  <c r="D209" i="34"/>
  <c r="F209" i="34"/>
  <c r="D208" i="34"/>
  <c r="F208" i="34"/>
  <c r="G120" i="34"/>
  <c r="J120" i="34" s="1"/>
  <c r="J121" i="34" s="1"/>
  <c r="E171" i="34"/>
  <c r="E164" i="34" s="1"/>
  <c r="D171" i="34"/>
  <c r="C22" i="34"/>
  <c r="C23" i="34"/>
  <c r="C24" i="34"/>
  <c r="E163" i="34"/>
  <c r="D163" i="34"/>
  <c r="D24" i="34" s="1"/>
  <c r="D162" i="34"/>
  <c r="E162" i="34"/>
  <c r="E23" i="34" s="1"/>
  <c r="E161" i="34"/>
  <c r="E22" i="34" s="1"/>
  <c r="D161" i="34"/>
  <c r="D22" i="34" s="1"/>
  <c r="E160" i="34"/>
  <c r="E21" i="34" s="1"/>
  <c r="D160" i="34"/>
  <c r="D21" i="34" s="1"/>
  <c r="C160" i="34"/>
  <c r="C21" i="34" s="1"/>
  <c r="E141" i="34"/>
  <c r="D57" i="34"/>
  <c r="C56" i="34" s="1"/>
  <c r="C149" i="34"/>
  <c r="D140" i="34"/>
  <c r="D149" i="34" s="1"/>
  <c r="D131" i="34"/>
  <c r="D89" i="34" s="1"/>
  <c r="F89" i="34"/>
  <c r="C89" i="34"/>
  <c r="B89" i="34"/>
  <c r="E139" i="34"/>
  <c r="G139" i="34" s="1"/>
  <c r="J143" i="34" s="1"/>
  <c r="C111" i="34"/>
  <c r="B111" i="34"/>
  <c r="E96" i="34"/>
  <c r="D96" i="34"/>
  <c r="D111" i="34" s="1"/>
  <c r="D66" i="34"/>
  <c r="D77" i="34" s="1"/>
  <c r="B66" i="34"/>
  <c r="B77" i="34" s="1"/>
  <c r="F57" i="34"/>
  <c r="C57" i="34"/>
  <c r="F56" i="34"/>
  <c r="E95" i="34"/>
  <c r="E110" i="34" s="1"/>
  <c r="D95" i="34"/>
  <c r="D110" i="34" s="1"/>
  <c r="F88" i="34"/>
  <c r="F109" i="34" s="1"/>
  <c r="F87" i="34"/>
  <c r="F108" i="34" s="1"/>
  <c r="F86" i="34"/>
  <c r="D87" i="34"/>
  <c r="D86" i="34"/>
  <c r="D55" i="34"/>
  <c r="D75" i="34"/>
  <c r="D74" i="34"/>
  <c r="F75" i="34"/>
  <c r="E75" i="34"/>
  <c r="F74" i="34"/>
  <c r="E74" i="34"/>
  <c r="C75" i="34"/>
  <c r="C74" i="34"/>
  <c r="F73" i="34"/>
  <c r="E73" i="34"/>
  <c r="D73" i="34"/>
  <c r="F72" i="34"/>
  <c r="E72" i="34"/>
  <c r="D72" i="34"/>
  <c r="F71" i="34"/>
  <c r="E71" i="34"/>
  <c r="D71" i="34"/>
  <c r="F62" i="34"/>
  <c r="E64" i="34"/>
  <c r="D64" i="34"/>
  <c r="E65" i="34"/>
  <c r="D65" i="34"/>
  <c r="F63" i="34"/>
  <c r="D63" i="34"/>
  <c r="D62" i="34"/>
  <c r="C55" i="34"/>
  <c r="F55" i="34"/>
  <c r="J4" i="33"/>
  <c r="M4" i="33"/>
  <c r="C54" i="34"/>
  <c r="C53" i="34"/>
  <c r="D54" i="34"/>
  <c r="F54" i="34"/>
  <c r="D53" i="34"/>
  <c r="N3" i="33"/>
  <c r="M3" i="33"/>
  <c r="D52" i="34"/>
  <c r="D51" i="34"/>
  <c r="L3" i="33"/>
  <c r="K3" i="33"/>
  <c r="D44" i="34"/>
  <c r="C45" i="34"/>
  <c r="G3" i="33"/>
  <c r="F36" i="34"/>
  <c r="C36" i="34"/>
  <c r="C32" i="34"/>
  <c r="C320" i="34"/>
  <c r="C319" i="34"/>
  <c r="C317" i="34"/>
  <c r="J311" i="34"/>
  <c r="J309" i="34"/>
  <c r="G300" i="34"/>
  <c r="G301" i="34" s="1"/>
  <c r="J301" i="34" s="1"/>
  <c r="J302" i="34" s="1"/>
  <c r="G295" i="34"/>
  <c r="G296" i="34" s="1"/>
  <c r="J296" i="34" s="1"/>
  <c r="J297" i="34" s="1"/>
  <c r="G290" i="34"/>
  <c r="G291" i="34" s="1"/>
  <c r="J291" i="34" s="1"/>
  <c r="J292" i="34" s="1"/>
  <c r="G285" i="34"/>
  <c r="D284" i="34"/>
  <c r="G284" i="34" s="1"/>
  <c r="D283" i="34"/>
  <c r="G283" i="34" s="1"/>
  <c r="C207" i="34"/>
  <c r="G207" i="34" s="1"/>
  <c r="D206" i="34"/>
  <c r="G206" i="34" s="1"/>
  <c r="G205" i="34"/>
  <c r="D204" i="34"/>
  <c r="G204" i="34" s="1"/>
  <c r="D203" i="34"/>
  <c r="G203" i="34" s="1"/>
  <c r="D202" i="34"/>
  <c r="G202" i="34" s="1"/>
  <c r="G201" i="34"/>
  <c r="D200" i="34"/>
  <c r="G200" i="34" s="1"/>
  <c r="G199" i="34"/>
  <c r="D198" i="34"/>
  <c r="G198" i="34" s="1"/>
  <c r="G197" i="34"/>
  <c r="D196" i="34"/>
  <c r="G196" i="34" s="1"/>
  <c r="G195" i="34"/>
  <c r="D194" i="34"/>
  <c r="G194" i="34" s="1"/>
  <c r="G193" i="34"/>
  <c r="D192" i="34"/>
  <c r="G192" i="34" s="1"/>
  <c r="G191" i="34"/>
  <c r="D190" i="34"/>
  <c r="G190" i="34" s="1"/>
  <c r="D189" i="34"/>
  <c r="G189" i="34" s="1"/>
  <c r="D188" i="34"/>
  <c r="G188" i="34" s="1"/>
  <c r="D187" i="34"/>
  <c r="G187" i="34" s="1"/>
  <c r="G186" i="34"/>
  <c r="D185" i="34"/>
  <c r="G185" i="34" s="1"/>
  <c r="G184" i="34"/>
  <c r="D183" i="34"/>
  <c r="G183" i="34" s="1"/>
  <c r="G182" i="34"/>
  <c r="D181" i="34"/>
  <c r="G181" i="34" s="1"/>
  <c r="G180" i="34"/>
  <c r="D179" i="34"/>
  <c r="G179" i="34" s="1"/>
  <c r="G178" i="34"/>
  <c r="D177" i="34"/>
  <c r="G177" i="34" s="1"/>
  <c r="G176" i="34"/>
  <c r="C108" i="34"/>
  <c r="C107" i="34"/>
  <c r="B107" i="34"/>
  <c r="F76" i="34"/>
  <c r="G76" i="34" s="1"/>
  <c r="I58" i="34"/>
  <c r="F53" i="34"/>
  <c r="F52" i="34"/>
  <c r="F51" i="34"/>
  <c r="F50" i="34"/>
  <c r="F49" i="34"/>
  <c r="F48" i="34"/>
  <c r="F47" i="34"/>
  <c r="F46" i="34"/>
  <c r="F45" i="34"/>
  <c r="F44" i="34"/>
  <c r="F43" i="34"/>
  <c r="B36" i="34"/>
  <c r="I33" i="34"/>
  <c r="D17" i="34"/>
  <c r="G17" i="34" s="1"/>
  <c r="D15" i="34"/>
  <c r="G15" i="34" s="1"/>
  <c r="B15" i="34"/>
  <c r="E11" i="34"/>
  <c r="G11" i="34" s="1"/>
  <c r="G12" i="34" s="1"/>
  <c r="C3" i="33"/>
  <c r="C48" i="34" s="1"/>
  <c r="F3" i="33"/>
  <c r="B3" i="33"/>
  <c r="E28" i="34" s="1"/>
  <c r="A3" i="33"/>
  <c r="D28" i="34" s="1"/>
  <c r="J24" i="32"/>
  <c r="L24" i="32" s="1"/>
  <c r="H22" i="32"/>
  <c r="J22" i="32" s="1"/>
  <c r="L22" i="32" s="1"/>
  <c r="F22" i="32"/>
  <c r="H21" i="32"/>
  <c r="F21" i="32"/>
  <c r="H20" i="32"/>
  <c r="F20" i="32"/>
  <c r="H19" i="32"/>
  <c r="F19" i="32"/>
  <c r="H18" i="32"/>
  <c r="F18" i="32"/>
  <c r="H17" i="32"/>
  <c r="F17" i="32"/>
  <c r="H16" i="32"/>
  <c r="F16" i="32"/>
  <c r="H15" i="32"/>
  <c r="F15" i="32"/>
  <c r="H14" i="32"/>
  <c r="F14" i="32"/>
  <c r="H13" i="32"/>
  <c r="F13" i="32"/>
  <c r="H12" i="32"/>
  <c r="F12" i="32"/>
  <c r="H10" i="32"/>
  <c r="F10" i="32"/>
  <c r="H9" i="32"/>
  <c r="F9" i="32"/>
  <c r="H8" i="32"/>
  <c r="F8" i="32"/>
  <c r="H7" i="32"/>
  <c r="F7" i="32"/>
  <c r="H6" i="32"/>
  <c r="F6" i="32"/>
  <c r="H5" i="32"/>
  <c r="F5" i="32"/>
  <c r="H4" i="32"/>
  <c r="F4" i="32"/>
  <c r="H3" i="32"/>
  <c r="F3" i="32"/>
  <c r="H2" i="32"/>
  <c r="F2" i="32"/>
  <c r="G158" i="31"/>
  <c r="G159" i="31" s="1"/>
  <c r="J159" i="31" s="1"/>
  <c r="J160" i="31" s="1"/>
  <c r="G153" i="31"/>
  <c r="G154" i="31" s="1"/>
  <c r="J154" i="31" s="1"/>
  <c r="J155" i="31" s="1"/>
  <c r="G148" i="31"/>
  <c r="G149" i="31" s="1"/>
  <c r="G143" i="31"/>
  <c r="D142" i="31"/>
  <c r="G142" i="31" s="1"/>
  <c r="D141" i="31"/>
  <c r="G141" i="31" s="1"/>
  <c r="C173" i="31"/>
  <c r="C172" i="31"/>
  <c r="C170" i="31"/>
  <c r="J164" i="31"/>
  <c r="J162" i="31"/>
  <c r="C135" i="31"/>
  <c r="G135" i="31" s="1"/>
  <c r="D134" i="31"/>
  <c r="G134" i="31" s="1"/>
  <c r="G133" i="31"/>
  <c r="D132" i="31"/>
  <c r="G132" i="31" s="1"/>
  <c r="D131" i="31"/>
  <c r="G131" i="31" s="1"/>
  <c r="D130" i="31"/>
  <c r="G130" i="31" s="1"/>
  <c r="G129" i="31"/>
  <c r="D128" i="31"/>
  <c r="G128" i="31" s="1"/>
  <c r="G127" i="31"/>
  <c r="D126" i="31"/>
  <c r="G126" i="31" s="1"/>
  <c r="G125" i="31"/>
  <c r="D124" i="31"/>
  <c r="G124" i="31" s="1"/>
  <c r="G123" i="31"/>
  <c r="D122" i="31"/>
  <c r="G122" i="31" s="1"/>
  <c r="G121" i="31"/>
  <c r="D120" i="31"/>
  <c r="G120" i="31" s="1"/>
  <c r="G119" i="31"/>
  <c r="D118" i="31"/>
  <c r="G118" i="31" s="1"/>
  <c r="D117" i="31"/>
  <c r="G117" i="31" s="1"/>
  <c r="D116" i="31"/>
  <c r="G116" i="31" s="1"/>
  <c r="D115" i="31"/>
  <c r="G115" i="31" s="1"/>
  <c r="G114" i="31"/>
  <c r="D113" i="31"/>
  <c r="G113" i="31" s="1"/>
  <c r="G112" i="31"/>
  <c r="D111" i="31"/>
  <c r="G111" i="31" s="1"/>
  <c r="G110" i="31"/>
  <c r="D109" i="31"/>
  <c r="G109" i="31" s="1"/>
  <c r="G108" i="31"/>
  <c r="D107" i="31"/>
  <c r="G107" i="31" s="1"/>
  <c r="G106" i="31"/>
  <c r="D105" i="31"/>
  <c r="G105" i="31" s="1"/>
  <c r="G104" i="31"/>
  <c r="E97" i="31"/>
  <c r="D97" i="31"/>
  <c r="G97" i="31" s="1"/>
  <c r="F96" i="31"/>
  <c r="D96" i="31"/>
  <c r="G96" i="31" s="1"/>
  <c r="G92" i="31"/>
  <c r="J92" i="31" s="1"/>
  <c r="J93" i="31" s="1"/>
  <c r="C86" i="31"/>
  <c r="C85" i="31"/>
  <c r="B85" i="31"/>
  <c r="E79" i="31"/>
  <c r="D79" i="31"/>
  <c r="D87" i="31" s="1"/>
  <c r="F73" i="31"/>
  <c r="D73" i="31"/>
  <c r="F72" i="31"/>
  <c r="D72" i="31"/>
  <c r="F63" i="31"/>
  <c r="G63" i="31" s="1"/>
  <c r="F62" i="31"/>
  <c r="E62" i="31"/>
  <c r="D62" i="31"/>
  <c r="G62" i="31" s="1"/>
  <c r="F61" i="31"/>
  <c r="F86" i="31" s="1"/>
  <c r="D61" i="31"/>
  <c r="G61" i="31" s="1"/>
  <c r="F60" i="31"/>
  <c r="F85" i="31" s="1"/>
  <c r="F59" i="31"/>
  <c r="G54" i="31"/>
  <c r="E53" i="31"/>
  <c r="D53" i="31"/>
  <c r="F52" i="31"/>
  <c r="D52" i="31"/>
  <c r="G52" i="31" s="1"/>
  <c r="F51" i="31"/>
  <c r="D51" i="31"/>
  <c r="G51" i="31" s="1"/>
  <c r="I47" i="31"/>
  <c r="F46" i="31"/>
  <c r="D46" i="31"/>
  <c r="C46" i="31"/>
  <c r="G46" i="31" s="1"/>
  <c r="F45" i="31"/>
  <c r="C45" i="31"/>
  <c r="F44" i="31"/>
  <c r="C44" i="31"/>
  <c r="G44" i="31" s="1"/>
  <c r="F43" i="31"/>
  <c r="D43" i="31"/>
  <c r="F42" i="31"/>
  <c r="D42" i="31"/>
  <c r="C43" i="31" s="1"/>
  <c r="C42" i="31"/>
  <c r="G42" i="31" s="1"/>
  <c r="F41" i="31"/>
  <c r="D41" i="31"/>
  <c r="G41" i="31" s="1"/>
  <c r="F40" i="31"/>
  <c r="D40" i="31"/>
  <c r="F39" i="31"/>
  <c r="D39" i="31"/>
  <c r="F38" i="31"/>
  <c r="D38" i="31"/>
  <c r="F37" i="31"/>
  <c r="D37" i="31"/>
  <c r="F36" i="31"/>
  <c r="D36" i="31"/>
  <c r="G36" i="31" s="1"/>
  <c r="B29" i="31"/>
  <c r="C25" i="31"/>
  <c r="D21" i="31"/>
  <c r="C21" i="31"/>
  <c r="D17" i="31"/>
  <c r="D15" i="31"/>
  <c r="G15" i="31" s="1"/>
  <c r="B15" i="31"/>
  <c r="E11" i="31"/>
  <c r="G286" i="34" l="1"/>
  <c r="J286" i="34" s="1"/>
  <c r="J287" i="34" s="1"/>
  <c r="G255" i="34"/>
  <c r="G264" i="34"/>
  <c r="G271" i="34"/>
  <c r="G254" i="34"/>
  <c r="G253" i="34"/>
  <c r="G240" i="34"/>
  <c r="G244" i="34"/>
  <c r="G232" i="34"/>
  <c r="G241" i="34"/>
  <c r="G239" i="34"/>
  <c r="G248" i="34"/>
  <c r="G251" i="34"/>
  <c r="G224" i="34"/>
  <c r="G249" i="34"/>
  <c r="G223" i="34"/>
  <c r="G231" i="34"/>
  <c r="G222" i="34"/>
  <c r="G233" i="34"/>
  <c r="G230" i="34"/>
  <c r="G220" i="34"/>
  <c r="G229" i="34"/>
  <c r="G217" i="34"/>
  <c r="G221" i="34"/>
  <c r="G210" i="34"/>
  <c r="D112" i="34"/>
  <c r="G112" i="34" s="1"/>
  <c r="G218" i="34"/>
  <c r="G216" i="34"/>
  <c r="G113" i="34"/>
  <c r="D115" i="34"/>
  <c r="G115" i="34" s="1"/>
  <c r="G219" i="34"/>
  <c r="G98" i="34"/>
  <c r="D114" i="34"/>
  <c r="G114" i="34" s="1"/>
  <c r="G209" i="34"/>
  <c r="G57" i="34"/>
  <c r="G87" i="34"/>
  <c r="G21" i="34"/>
  <c r="G171" i="34"/>
  <c r="G172" i="34" s="1"/>
  <c r="J173" i="34" s="1"/>
  <c r="G208" i="34"/>
  <c r="D164" i="34"/>
  <c r="G164" i="34" s="1"/>
  <c r="G53" i="34"/>
  <c r="G73" i="34"/>
  <c r="G54" i="34"/>
  <c r="G55" i="34"/>
  <c r="G163" i="34"/>
  <c r="G72" i="34"/>
  <c r="G52" i="34"/>
  <c r="G51" i="34"/>
  <c r="G74" i="34"/>
  <c r="G75" i="34"/>
  <c r="G71" i="34"/>
  <c r="G89" i="34"/>
  <c r="G56" i="34"/>
  <c r="G86" i="34"/>
  <c r="G28" i="34"/>
  <c r="G29" i="34" s="1"/>
  <c r="G22" i="34"/>
  <c r="G95" i="34"/>
  <c r="G96" i="34"/>
  <c r="J12" i="34"/>
  <c r="G162" i="34"/>
  <c r="D23" i="34"/>
  <c r="G23" i="34" s="1"/>
  <c r="E24" i="34"/>
  <c r="G24" i="34" s="1"/>
  <c r="G161" i="34"/>
  <c r="G160" i="34"/>
  <c r="D141" i="34"/>
  <c r="G141" i="34" s="1"/>
  <c r="G131" i="34"/>
  <c r="J133" i="34" s="1"/>
  <c r="E140" i="34"/>
  <c r="E111" i="34"/>
  <c r="G111" i="34" s="1"/>
  <c r="D88" i="34"/>
  <c r="G88" i="34" s="1"/>
  <c r="E66" i="34"/>
  <c r="E77" i="34" s="1"/>
  <c r="G77" i="34" s="1"/>
  <c r="G63" i="34"/>
  <c r="G65" i="34"/>
  <c r="F107" i="34"/>
  <c r="D16" i="34"/>
  <c r="G62" i="34"/>
  <c r="D107" i="34"/>
  <c r="G110" i="34"/>
  <c r="G64" i="34"/>
  <c r="D45" i="34"/>
  <c r="G45" i="34" s="1"/>
  <c r="D46" i="34"/>
  <c r="D47" i="34"/>
  <c r="D48" i="34"/>
  <c r="G48" i="34" s="1"/>
  <c r="C47" i="34"/>
  <c r="D49" i="34"/>
  <c r="C46" i="34"/>
  <c r="C43" i="34"/>
  <c r="D50" i="34"/>
  <c r="D43" i="34"/>
  <c r="C44" i="34"/>
  <c r="G44" i="34" s="1"/>
  <c r="C49" i="34"/>
  <c r="C50" i="34"/>
  <c r="E36" i="34"/>
  <c r="E32" i="34"/>
  <c r="D36" i="34"/>
  <c r="D32" i="34"/>
  <c r="D108" i="34"/>
  <c r="G108" i="34" s="1"/>
  <c r="G39" i="31"/>
  <c r="J149" i="31"/>
  <c r="J150" i="31" s="1"/>
  <c r="G144" i="31"/>
  <c r="J144" i="31" s="1"/>
  <c r="J145" i="31" s="1"/>
  <c r="G37" i="31"/>
  <c r="G45" i="31"/>
  <c r="G38" i="31"/>
  <c r="G43" i="31"/>
  <c r="G98" i="31"/>
  <c r="G53" i="31"/>
  <c r="G55" i="31" s="1"/>
  <c r="G40" i="31"/>
  <c r="E87" i="31"/>
  <c r="G87" i="31" s="1"/>
  <c r="G79" i="31"/>
  <c r="D86" i="31"/>
  <c r="G86" i="31" s="1"/>
  <c r="G73" i="31"/>
  <c r="D85" i="31"/>
  <c r="G85" i="31" s="1"/>
  <c r="G72" i="31"/>
  <c r="C29" i="31"/>
  <c r="G17" i="31"/>
  <c r="D25" i="31"/>
  <c r="G11" i="31"/>
  <c r="G12" i="31" s="1"/>
  <c r="J12" i="31" s="1"/>
  <c r="E21" i="31"/>
  <c r="D16" i="31"/>
  <c r="G16" i="31" s="1"/>
  <c r="G18" i="31" s="1"/>
  <c r="J18" i="31" s="1"/>
  <c r="G136" i="31"/>
  <c r="G165" i="34" l="1"/>
  <c r="J168" i="34" s="1"/>
  <c r="G225" i="34"/>
  <c r="J226" i="34" s="1"/>
  <c r="G211" i="34"/>
  <c r="J211" i="34" s="1"/>
  <c r="G234" i="34"/>
  <c r="J235" i="34" s="1"/>
  <c r="G101" i="34"/>
  <c r="J102" i="34" s="1"/>
  <c r="G90" i="34"/>
  <c r="J91" i="34" s="1"/>
  <c r="G78" i="34"/>
  <c r="G279" i="34"/>
  <c r="J280" i="34" s="1"/>
  <c r="G25" i="34"/>
  <c r="J25" i="34" s="1"/>
  <c r="G259" i="34"/>
  <c r="J260" i="34" s="1"/>
  <c r="J172" i="34"/>
  <c r="G46" i="34"/>
  <c r="G47" i="34"/>
  <c r="G36" i="34"/>
  <c r="G37" i="34" s="1"/>
  <c r="G43" i="34"/>
  <c r="G50" i="34"/>
  <c r="G49" i="34"/>
  <c r="G16" i="34"/>
  <c r="G18" i="34" s="1"/>
  <c r="J166" i="34"/>
  <c r="G132" i="34"/>
  <c r="J132" i="34" s="1"/>
  <c r="G140" i="34"/>
  <c r="G142" i="34" s="1"/>
  <c r="E149" i="34"/>
  <c r="G149" i="34" s="1"/>
  <c r="D109" i="34"/>
  <c r="G109" i="34" s="1"/>
  <c r="G66" i="34"/>
  <c r="G67" i="34" s="1"/>
  <c r="G107" i="34"/>
  <c r="G32" i="34"/>
  <c r="G33" i="34" s="1"/>
  <c r="J29" i="34"/>
  <c r="G47" i="31"/>
  <c r="G88" i="31"/>
  <c r="J55" i="31"/>
  <c r="J56" i="31"/>
  <c r="G74" i="31"/>
  <c r="J99" i="31"/>
  <c r="J98" i="31"/>
  <c r="J101" i="31"/>
  <c r="J100" i="31"/>
  <c r="J82" i="31"/>
  <c r="J80" i="31"/>
  <c r="J81" i="31"/>
  <c r="J79" i="31"/>
  <c r="J89" i="31"/>
  <c r="J88" i="31"/>
  <c r="D29" i="31"/>
  <c r="D59" i="31"/>
  <c r="G21" i="31"/>
  <c r="G22" i="31" s="1"/>
  <c r="J22" i="31" s="1"/>
  <c r="E25" i="31"/>
  <c r="J138" i="31"/>
  <c r="J137" i="31"/>
  <c r="J136" i="31"/>
  <c r="J279" i="34" l="1"/>
  <c r="G116" i="34"/>
  <c r="J116" i="34" s="1"/>
  <c r="G58" i="34"/>
  <c r="J59" i="34" s="1"/>
  <c r="J259" i="34"/>
  <c r="J234" i="34"/>
  <c r="J225" i="34"/>
  <c r="J33" i="34"/>
  <c r="J212" i="34"/>
  <c r="J213" i="34"/>
  <c r="J18" i="34"/>
  <c r="J167" i="34"/>
  <c r="J165" i="34"/>
  <c r="J134" i="34"/>
  <c r="J135" i="34"/>
  <c r="J136" i="34"/>
  <c r="J151" i="34"/>
  <c r="G150" i="34"/>
  <c r="J142" i="34"/>
  <c r="J67" i="34"/>
  <c r="J90" i="34"/>
  <c r="J92" i="34"/>
  <c r="J103" i="34"/>
  <c r="J104" i="34"/>
  <c r="J101" i="34"/>
  <c r="J68" i="34"/>
  <c r="J40" i="34"/>
  <c r="J39" i="34"/>
  <c r="J38" i="34"/>
  <c r="J37" i="34"/>
  <c r="J79" i="34"/>
  <c r="J78" i="34"/>
  <c r="J81" i="34"/>
  <c r="J80" i="34"/>
  <c r="J83" i="34"/>
  <c r="J82" i="34"/>
  <c r="J48" i="31"/>
  <c r="J47" i="31"/>
  <c r="J75" i="31"/>
  <c r="J74" i="31"/>
  <c r="J76" i="31"/>
  <c r="D60" i="31"/>
  <c r="G60" i="31" s="1"/>
  <c r="G25" i="31"/>
  <c r="G26" i="31" s="1"/>
  <c r="E29" i="31"/>
  <c r="G29" i="31" s="1"/>
  <c r="G30" i="31" s="1"/>
  <c r="E59" i="31"/>
  <c r="G59" i="31" s="1"/>
  <c r="J144" i="34" l="1"/>
  <c r="J145" i="34"/>
  <c r="J146" i="34"/>
  <c r="J157" i="34"/>
  <c r="J156" i="34"/>
  <c r="J155" i="34"/>
  <c r="J154" i="34"/>
  <c r="J153" i="34"/>
  <c r="J152" i="34"/>
  <c r="J150" i="34"/>
  <c r="D124" i="34"/>
  <c r="G124" i="34" s="1"/>
  <c r="J117" i="34"/>
  <c r="J58" i="34"/>
  <c r="J30" i="31"/>
  <c r="J31" i="31"/>
  <c r="J32" i="31"/>
  <c r="J33" i="31"/>
  <c r="G64" i="31"/>
  <c r="G125" i="34" l="1"/>
  <c r="J127" i="34" s="1"/>
  <c r="J68" i="31"/>
  <c r="J67" i="31"/>
  <c r="J64" i="31"/>
  <c r="J69" i="31"/>
  <c r="J66" i="31"/>
  <c r="J65" i="31"/>
  <c r="D7" i="30"/>
  <c r="G7" i="30" s="1"/>
  <c r="D6" i="30"/>
  <c r="G6" i="30" s="1"/>
  <c r="G4" i="30"/>
  <c r="G5" i="30"/>
  <c r="J128" i="34" l="1"/>
  <c r="J126" i="34"/>
  <c r="J125" i="34"/>
  <c r="H7" i="30"/>
  <c r="H5" i="30"/>
  <c r="H8" i="30" s="1"/>
  <c r="J312" i="34" l="1"/>
  <c r="C315" i="34" s="1"/>
  <c r="C318" i="34" s="1"/>
  <c r="E318" i="34" s="1"/>
  <c r="I26" i="31"/>
  <c r="J26" i="31" s="1"/>
  <c r="J165" i="31" s="1"/>
  <c r="C168" i="31" s="1"/>
  <c r="C171" i="31" s="1"/>
  <c r="E171" i="31" s="1"/>
  <c r="H9" i="30"/>
  <c r="H10" i="30" s="1"/>
  <c r="B10" i="30" s="1"/>
  <c r="D10" i="30" s="1"/>
  <c r="E317" i="34" l="1"/>
  <c r="E170" i="31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C19" i="27" l="1"/>
  <c r="I19" i="27" s="1"/>
  <c r="E42" i="27"/>
  <c r="C41" i="27"/>
  <c r="I41" i="27" s="1"/>
  <c r="H30" i="27"/>
  <c r="H27" i="27"/>
  <c r="E14" i="27"/>
  <c r="C14" i="27"/>
  <c r="I14" i="27" s="1"/>
  <c r="H28" i="27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E37" i="27"/>
  <c r="C32" i="27"/>
  <c r="I32" i="27" s="1"/>
  <c r="E19" i="27"/>
  <c r="E41" i="27"/>
  <c r="E39" i="27" l="1"/>
  <c r="E29" i="27"/>
  <c r="E28" i="27"/>
  <c r="E30" i="27"/>
  <c r="E20" i="27"/>
  <c r="E36" i="27"/>
  <c r="C35" i="27"/>
  <c r="I35" i="27" s="1"/>
  <c r="C27" i="27"/>
  <c r="I27" i="27" s="1"/>
  <c r="E17" i="27"/>
  <c r="C16" i="27"/>
  <c r="I16" i="27" s="1"/>
  <c r="H51" i="27"/>
  <c r="I6" i="27" s="1"/>
  <c r="E27" i="27"/>
  <c r="E35" i="27"/>
  <c r="E33" i="27"/>
  <c r="E32" i="27"/>
  <c r="C22" i="27" l="1"/>
  <c r="I22" i="27" s="1"/>
  <c r="E24" i="27"/>
  <c r="E25" i="27"/>
  <c r="E22" i="27" l="1"/>
  <c r="E51" i="27" s="1"/>
  <c r="C6" i="27" s="1"/>
  <c r="E2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857B10AA-89E0-4805-98CE-692106C2779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7AE934D4-926E-4583-9D1E-4CD61B19FC6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939D02E8-1D53-47F7-B50A-37D9171230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57*dia</t>
        </r>
      </text>
    </comment>
    <comment ref="M4" authorId="0" shapeId="0" xr:uid="{446E0234-02B1-41B8-ABE3-CFAA9DECD2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hypoteneous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4D240594-E502-42D5-9D02-C8D07555397A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31529F7F-543F-4708-87D1-56730B0847B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<sst xmlns="http://schemas.openxmlformats.org/spreadsheetml/2006/main" count="489" uniqueCount="227">
  <si>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</si>
  <si>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</si>
  <si>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</si>
  <si>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</si>
  <si>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</si>
  <si>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</si>
  <si>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</si>
  <si>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</si>
  <si>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</si>
  <si>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</si>
  <si>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</si>
  <si>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</si>
  <si>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</si>
  <si>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</si>
  <si>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</si>
  <si>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</si>
  <si>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</si>
  <si>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</si>
  <si>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</si>
  <si>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</si>
  <si>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</si>
  <si>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</si>
  <si>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</si>
  <si>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</si>
  <si>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</si>
  <si>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</si>
  <si>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</si>
  <si>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</si>
  <si>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</si>
  <si>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</si>
  <si>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</si>
  <si>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</si>
  <si>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</si>
  <si>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</si>
  <si>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stone soling</t>
  </si>
  <si>
    <t>vat on stone</t>
  </si>
  <si>
    <t>vat on brick</t>
  </si>
  <si>
    <t>plastering work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</si>
  <si>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</si>
  <si>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</si>
  <si>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</si>
  <si>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</si>
  <si>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</si>
  <si>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</si>
  <si>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</si>
  <si>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</si>
  <si>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</si>
  <si>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</si>
  <si>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</si>
  <si>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</si>
  <si>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</si>
  <si>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</si>
  <si>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</si>
  <si>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</si>
  <si>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</si>
  <si>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</si>
  <si>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</si>
  <si>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</si>
  <si>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</si>
  <si>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</si>
  <si>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</si>
  <si>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</si>
  <si>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</si>
  <si>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</si>
  <si>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</si>
  <si>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</si>
  <si>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 xml:space="preserve">Amount </t>
  </si>
  <si>
    <t>Percent</t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</si>
  <si>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</si>
  <si>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</si>
  <si>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</si>
  <si>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</si>
  <si>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</si>
  <si>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square frame medium duty 24"X24</t>
  </si>
  <si>
    <t>vat for material</t>
  </si>
  <si>
    <t>Information Board  and photographs</t>
  </si>
  <si>
    <t>A.</t>
  </si>
  <si>
    <t>kfgL 6\ofÍL dd{t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</si>
  <si>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</si>
  <si>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</si>
  <si>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</si>
  <si>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</si>
  <si>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</si>
  <si>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</si>
  <si>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</si>
  <si>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</si>
  <si>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</si>
  <si>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</si>
  <si>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</si>
  <si>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</si>
  <si>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</si>
  <si>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</si>
  <si>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</si>
  <si>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</si>
  <si>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</si>
  <si>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</si>
  <si>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</si>
  <si>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</si>
  <si>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</si>
  <si>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</si>
  <si>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</si>
  <si>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</si>
  <si>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</si>
  <si>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</si>
  <si>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</si>
  <si>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</si>
  <si>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</si>
  <si>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</si>
  <si>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</si>
  <si>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</si>
  <si>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</si>
  <si>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</si>
  <si>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</si>
  <si>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</si>
  <si>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</si>
  <si>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</si>
  <si>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</si>
  <si>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</si>
  <si>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</si>
  <si>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</si>
  <si>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</si>
  <si>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</si>
  <si>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-deduction for opening</t>
  </si>
  <si>
    <t>-at water tank</t>
  </si>
  <si>
    <t>-At shear wall</t>
  </si>
  <si>
    <t>-at floor</t>
  </si>
  <si>
    <t>-!M@ efudf jf6/ k|'km sDkfp08 ld;fO{ 8]Dk k|'lkm+Ë ug</t>
  </si>
  <si>
    <t>Provisional sum for unforseen works</t>
  </si>
  <si>
    <t>PS</t>
  </si>
  <si>
    <t>Remark</t>
  </si>
  <si>
    <t>-water tank</t>
  </si>
  <si>
    <t>-Along long length</t>
  </si>
  <si>
    <t>-binder</t>
  </si>
  <si>
    <t xml:space="preserve"> Ps sf]6 k|fO{d/ ;lxt b'O{ sf]6 j]b/sf]6 k]G6 ug]{ sfd</t>
  </si>
  <si>
    <t>-ward compound</t>
  </si>
  <si>
    <t>vat on aster</t>
  </si>
  <si>
    <t>vat on weather coat</t>
  </si>
  <si>
    <t>vat on sand</t>
  </si>
  <si>
    <t>vat on water-proofing compound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</si>
  <si>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j8f sfof{no sDkfp08 /+u/f]ug</t>
    </r>
  </si>
  <si>
    <t>Date: 2082/04/01</t>
  </si>
  <si>
    <t>20mm GI Pipe threaded -Medium class</t>
  </si>
  <si>
    <t>- for kitchen</t>
  </si>
  <si>
    <t>-for outside dhara</t>
  </si>
  <si>
    <t>-for water tank inlet and overflow</t>
  </si>
  <si>
    <t>rm</t>
  </si>
  <si>
    <t>-13% VAT on materials</t>
  </si>
  <si>
    <t>PPR pipe (PN-16) 20mm OD 2.80mm thick 0.148kg/m</t>
  </si>
  <si>
    <t>-for kitchen</t>
  </si>
  <si>
    <t>set</t>
  </si>
  <si>
    <t>Porcelain clay  white glaze wash basin large size regular complete set</t>
  </si>
  <si>
    <t>Brass tap-1'2" ordinary</t>
  </si>
  <si>
    <t>-for kitchen and outside dhara</t>
  </si>
  <si>
    <t>L</t>
  </si>
  <si>
    <t>B</t>
  </si>
  <si>
    <t>H</t>
  </si>
  <si>
    <t xml:space="preserve">Unit </t>
  </si>
  <si>
    <t>Area</t>
  </si>
  <si>
    <t>m3</t>
  </si>
  <si>
    <t>m2</t>
  </si>
  <si>
    <t>plaster</t>
  </si>
  <si>
    <t>Soiling thickness</t>
  </si>
  <si>
    <t>PCC</t>
  </si>
  <si>
    <t>Slab thickness</t>
  </si>
  <si>
    <t>Shear wall thickness</t>
  </si>
  <si>
    <t>Cover for shear wall</t>
  </si>
  <si>
    <t>Cover for slab</t>
  </si>
  <si>
    <t>Vertical rebar</t>
  </si>
  <si>
    <t>Opening</t>
  </si>
  <si>
    <t>Fillet</t>
  </si>
  <si>
    <t>-at fillet</t>
  </si>
  <si>
    <t>-as of item no. 11</t>
  </si>
  <si>
    <t>-for kitchen setup at ward office</t>
  </si>
  <si>
    <t>-at roof of ward office</t>
  </si>
  <si>
    <t>e'O{+tNnfdf lrDgL e§fsf] O{+6fsf] uf/f] l;d]G6 d;nf -!M$_ df</t>
  </si>
  <si>
    <t>vat on water</t>
  </si>
  <si>
    <r>
      <t>kf]/l;lng Un]H8 6fO{n</t>
    </r>
    <r>
      <rPr>
        <b/>
        <sz val="9"/>
        <rFont val="Arial"/>
        <family val="2"/>
      </rPr>
      <t>(Ordinary floor and Wall Tile-as per approved standard of manufactured country)</t>
    </r>
    <r>
      <rPr>
        <b/>
        <sz val="12"/>
        <rFont val="Preeti"/>
      </rPr>
      <t xml:space="preserve"> !M$ l;d]G6 afn'jfdf 5fKg] sfd .</t>
    </r>
  </si>
  <si>
    <t>vat on porcelain glazed tile</t>
  </si>
  <si>
    <t>vat on white cement</t>
  </si>
  <si>
    <t>-deduction for kitchen part</t>
  </si>
  <si>
    <t>!^ dL=dL=u|]gfO{6, l;d]G6 d;nfdf 5fkL 3f]6\g] / kflnz ;d]t ug{</t>
  </si>
  <si>
    <t>vat on 16mm granite</t>
  </si>
  <si>
    <r>
      <t xml:space="preserve">vat on </t>
    </r>
    <r>
      <rPr>
        <sz val="12"/>
        <color theme="1"/>
        <rFont val="Preeti"/>
      </rPr>
      <t>cShflns Pl;8</t>
    </r>
  </si>
  <si>
    <r>
      <t xml:space="preserve">vat on </t>
    </r>
    <r>
      <rPr>
        <sz val="12"/>
        <color theme="1"/>
        <rFont val="Preeti"/>
      </rPr>
      <t>d}g kflnz</t>
    </r>
  </si>
  <si>
    <r>
      <t xml:space="preserve">vat on </t>
    </r>
    <r>
      <rPr>
        <sz val="12"/>
        <color theme="1"/>
        <rFont val="Preeti"/>
      </rPr>
      <t>tf/k]G6fOg</t>
    </r>
  </si>
  <si>
    <r>
      <t xml:space="preserve">vat on </t>
    </r>
    <r>
      <rPr>
        <sz val="12"/>
        <color theme="1"/>
        <rFont val="Preeti"/>
      </rPr>
      <t>sfaf]{/08d 9'+uf</t>
    </r>
  </si>
  <si>
    <t>-at wall</t>
  </si>
  <si>
    <t>Provisional sum for unforseen works at kitchen and water tank</t>
  </si>
  <si>
    <t>-for ward compound area</t>
  </si>
  <si>
    <t>vat on interlock block</t>
  </si>
  <si>
    <r>
      <t xml:space="preserve">vat on </t>
    </r>
    <r>
      <rPr>
        <sz val="12"/>
        <color theme="1"/>
        <rFont val="Preeti"/>
      </rPr>
      <t>9'+ufsf] 3"nf] -Pl/ofX% ;]=dL=_</t>
    </r>
  </si>
  <si>
    <r>
      <t xml:space="preserve">vat on </t>
    </r>
    <r>
      <rPr>
        <sz val="12"/>
        <color theme="1"/>
        <rFont val="Preeti"/>
      </rPr>
      <t>9'+ufsf] 3"nf]</t>
    </r>
  </si>
  <si>
    <t>dfn;fdfg pknAw u/L %) dL=dL= df]6f] x]eL 8o"6L OG6/nls+u s+lqm6Ans %) dL=dL=df]6fOsf] qm;/ 8:6 dfyL /fvL la5ofpg]] sfd k'/f .</t>
  </si>
  <si>
    <t>;'Vvf O{6f 7f8f] 5fKg] sfd</t>
  </si>
  <si>
    <t>3fF; sf6\g] To;sf] h/f lemSg], l9:sf] k'm6fpg] / n]en ldnfpg] sfo{</t>
  </si>
  <si>
    <t>-at roof parapet of ward office</t>
  </si>
  <si>
    <t>-deduction</t>
  </si>
  <si>
    <t>-for rounding around plants</t>
  </si>
  <si>
    <t>-for levelling</t>
  </si>
  <si>
    <t>vat on materials</t>
  </si>
  <si>
    <t>-at cantilever</t>
  </si>
  <si>
    <t>leQf Pjd\ l;lnËdf @ ld=ld= Kn]g XjfO{6 k'§L Knfi6/ ug]{ sfo{</t>
  </si>
  <si>
    <t>-at ward office room 1</t>
  </si>
  <si>
    <t>- at toilet renovated</t>
  </si>
  <si>
    <t>-ceiling</t>
  </si>
  <si>
    <t>-room 2</t>
  </si>
  <si>
    <t>-room 3</t>
  </si>
  <si>
    <t>vat on white patty</t>
  </si>
  <si>
    <t>Ps sf]6 jf6/ k|'km l;d]G6 sf]6 nufpg] sfd</t>
  </si>
  <si>
    <t>vat on cement paint</t>
  </si>
  <si>
    <t>-deduction for door</t>
  </si>
  <si>
    <t>-deduction for window</t>
  </si>
  <si>
    <t>k|fO{d/ afx]s b'O{ sf]6 tof/L jf;]jn l8:6]Dk/ nufpg] sfd .</t>
  </si>
  <si>
    <t>vat on washable distemper</t>
  </si>
  <si>
    <t>-at Ground Floor</t>
  </si>
  <si>
    <t>-at ward sadasya room</t>
  </si>
  <si>
    <t>-at passage and staircase area</t>
  </si>
  <si>
    <t>-at first floor</t>
  </si>
  <si>
    <t>-at passage, toilet and staircase area</t>
  </si>
  <si>
    <t>-at top floor</t>
  </si>
  <si>
    <t>-at kitchen</t>
  </si>
  <si>
    <t>-deduction for kitchen rack area</t>
  </si>
  <si>
    <t>c:t/ jfx]s b'O{ sf]6 j]b/ sf]6 ug]{ sfd</t>
  </si>
  <si>
    <t>-at outer face</t>
  </si>
  <si>
    <t>-at outer face of staircase area</t>
  </si>
  <si>
    <t>White glazed porcelain clay EWC floor mounted commode without cistern all complete set.</t>
  </si>
  <si>
    <t>-for toilet at swasthya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</si>
</sst>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  <numFmt numFmtId="183" formatCode="_(* #,##0.0_);_(* \(#,##0.0\);_(* &quot;-&quot;??_);_(@_)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color theme="1"/>
      <name val="Times New Roman"/>
      <family val="1"/>
    </font>
    <font>
      <b/>
      <sz val="12"/>
      <color theme="1"/>
      <name val="Preeti"/>
    </font>
    <font>
      <b/>
      <sz val="12"/>
      <name val="Times New Roman"/>
      <family val="1"/>
    </font>
    <font>
      <b/>
      <sz val="12"/>
      <name val="Preeti"/>
    </font>
    <font>
      <sz val="16"/>
      <color theme="1"/>
      <name val="Preeti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Preeti"/>
    </font>
    <font>
      <b/>
      <sz val="9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04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4" fillId="0" borderId="0"/>
    <xf numFmtId="0" fontId="53" fillId="0" borderId="0"/>
    <xf numFmtId="168" fontId="55" fillId="0" borderId="0"/>
    <xf numFmtId="179" fontId="2" fillId="0" borderId="0" applyFont="0" applyFill="0" applyBorder="0" applyAlignment="0" applyProtection="0"/>
    <xf numFmtId="165" fontId="55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7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4">
    <xf numFmtId="0" fontId="0" fillId="0" borderId="0" xfId="0"/>
    <xf numFmtId="0" fontId="50" fillId="0" borderId="0" xfId="0" applyFont="1"/>
    <xf numFmtId="0" fontId="49" fillId="0" borderId="0" xfId="0" applyFont="1"/>
    <xf numFmtId="0" fontId="50" fillId="0" borderId="0" xfId="0" applyFont="1" applyAlignment="1">
      <alignment horizontal="left" vertical="top" wrapText="1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wrapText="1"/>
    </xf>
    <xf numFmtId="0" fontId="61" fillId="0" borderId="0" xfId="0" applyFont="1"/>
    <xf numFmtId="0" fontId="0" fillId="0" borderId="0" xfId="0" applyAlignment="1">
      <alignment horizontal="left"/>
    </xf>
    <xf numFmtId="0" fontId="62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7" fillId="0" borderId="0" xfId="0" applyFont="1" applyAlignment="1">
      <alignment horizontal="center"/>
    </xf>
    <xf numFmtId="43" fontId="0" fillId="0" borderId="0" xfId="0" applyNumberFormat="1"/>
    <xf numFmtId="0" fontId="63" fillId="32" borderId="20" xfId="0" applyFont="1" applyFill="1" applyBorder="1"/>
    <xf numFmtId="0" fontId="63" fillId="32" borderId="20" xfId="0" applyFont="1" applyFill="1" applyBorder="1" applyAlignment="1">
      <alignment horizontal="center"/>
    </xf>
    <xf numFmtId="43" fontId="63" fillId="0" borderId="20" xfId="0" applyNumberFormat="1" applyFont="1" applyBorder="1"/>
    <xf numFmtId="2" fontId="63" fillId="0" borderId="20" xfId="0" applyNumberFormat="1" applyFont="1" applyBorder="1"/>
    <xf numFmtId="0" fontId="63" fillId="0" borderId="20" xfId="0" applyFont="1" applyBorder="1"/>
    <xf numFmtId="0" fontId="63" fillId="0" borderId="22" xfId="0" applyFont="1" applyBorder="1"/>
    <xf numFmtId="0" fontId="48" fillId="0" borderId="22" xfId="0" applyFont="1" applyBorder="1"/>
    <xf numFmtId="43" fontId="48" fillId="0" borderId="22" xfId="0" applyNumberFormat="1" applyFont="1" applyBorder="1"/>
    <xf numFmtId="0" fontId="64" fillId="2" borderId="20" xfId="0" applyFont="1" applyFill="1" applyBorder="1" applyAlignment="1">
      <alignment vertical="top"/>
    </xf>
    <xf numFmtId="0" fontId="54" fillId="2" borderId="20" xfId="0" applyFont="1" applyFill="1" applyBorder="1" applyAlignment="1">
      <alignment horizontal="left" vertical="top" wrapText="1"/>
    </xf>
    <xf numFmtId="0" fontId="64" fillId="2" borderId="20" xfId="0" applyFont="1" applyFill="1" applyBorder="1" applyAlignment="1">
      <alignment horizontal="right" vertical="top"/>
    </xf>
    <xf numFmtId="0" fontId="54" fillId="0" borderId="20" xfId="0" applyFont="1" applyBorder="1" applyAlignment="1">
      <alignment horizontal="justify" vertical="justify"/>
    </xf>
    <xf numFmtId="0" fontId="64" fillId="0" borderId="20" xfId="0" applyFont="1" applyBorder="1"/>
    <xf numFmtId="0" fontId="64" fillId="0" borderId="20" xfId="0" applyFont="1" applyBorder="1" applyAlignment="1">
      <alignment horizontal="right"/>
    </xf>
    <xf numFmtId="0" fontId="64" fillId="2" borderId="20" xfId="0" applyFont="1" applyFill="1" applyBorder="1" applyAlignment="1">
      <alignment horizontal="right" vertical="top" wrapText="1"/>
    </xf>
    <xf numFmtId="0" fontId="64" fillId="2" borderId="20" xfId="0" applyFont="1" applyFill="1" applyBorder="1" applyAlignment="1">
      <alignment horizontal="left" vertical="top" wrapText="1"/>
    </xf>
    <xf numFmtId="0" fontId="54" fillId="0" borderId="20" xfId="0" applyFont="1" applyBorder="1" applyAlignment="1">
      <alignment horizontal="left" vertical="top" wrapText="1"/>
    </xf>
    <xf numFmtId="0" fontId="54" fillId="0" borderId="20" xfId="0" applyFont="1" applyBorder="1" applyAlignment="1">
      <alignment horizontal="right" vertical="top" wrapText="1"/>
    </xf>
    <xf numFmtId="0" fontId="54" fillId="0" borderId="20" xfId="0" applyFont="1" applyBorder="1" applyAlignment="1">
      <alignment horizontal="right" vertical="justify"/>
    </xf>
    <xf numFmtId="0" fontId="64" fillId="2" borderId="20" xfId="0" applyFont="1" applyFill="1" applyBorder="1" applyAlignment="1">
      <alignment horizontal="right" vertical="center"/>
    </xf>
    <xf numFmtId="0" fontId="64" fillId="2" borderId="20" xfId="0" applyFont="1" applyFill="1" applyBorder="1" applyAlignment="1">
      <alignment wrapText="1"/>
    </xf>
    <xf numFmtId="0" fontId="54" fillId="2" borderId="20" xfId="0" applyFont="1" applyFill="1" applyBorder="1" applyAlignment="1">
      <alignment horizontal="right" vertical="top" wrapText="1"/>
    </xf>
    <xf numFmtId="0" fontId="64" fillId="2" borderId="20" xfId="0" applyFont="1" applyFill="1" applyBorder="1" applyAlignment="1">
      <alignment horizontal="left" vertical="top"/>
    </xf>
    <xf numFmtId="43" fontId="50" fillId="0" borderId="0" xfId="0" applyNumberFormat="1" applyFont="1" applyAlignment="1">
      <alignment horizontal="center"/>
    </xf>
    <xf numFmtId="1" fontId="67" fillId="0" borderId="19" xfId="0" applyNumberFormat="1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70" fillId="0" borderId="0" xfId="0" applyFont="1"/>
    <xf numFmtId="0" fontId="71" fillId="0" borderId="19" xfId="0" applyFont="1" applyBorder="1" applyAlignment="1">
      <alignment horizontal="center" vertical="center" wrapText="1"/>
    </xf>
    <xf numFmtId="0" fontId="71" fillId="0" borderId="24" xfId="0" applyFont="1" applyBorder="1" applyAlignment="1">
      <alignment horizontal="center" vertical="center" wrapText="1"/>
    </xf>
    <xf numFmtId="2" fontId="72" fillId="0" borderId="24" xfId="0" applyNumberFormat="1" applyFont="1" applyBorder="1" applyAlignment="1">
      <alignment horizontal="center"/>
    </xf>
    <xf numFmtId="0" fontId="71" fillId="0" borderId="24" xfId="0" applyFont="1" applyBorder="1" applyAlignment="1">
      <alignment horizontal="center"/>
    </xf>
    <xf numFmtId="2" fontId="67" fillId="0" borderId="24" xfId="0" applyNumberFormat="1" applyFont="1" applyBorder="1" applyAlignment="1">
      <alignment horizontal="center" vertical="center" wrapText="1"/>
    </xf>
    <xf numFmtId="2" fontId="67" fillId="0" borderId="24" xfId="0" applyNumberFormat="1" applyFont="1" applyBorder="1" applyAlignment="1">
      <alignment horizontal="center" vertical="center"/>
    </xf>
    <xf numFmtId="0" fontId="71" fillId="0" borderId="25" xfId="0" applyFont="1" applyBorder="1" applyAlignment="1">
      <alignment horizontal="center"/>
    </xf>
    <xf numFmtId="2" fontId="72" fillId="0" borderId="25" xfId="0" applyNumberFormat="1" applyFont="1" applyBorder="1" applyAlignment="1">
      <alignment horizontal="center"/>
    </xf>
    <xf numFmtId="2" fontId="67" fillId="0" borderId="25" xfId="0" applyNumberFormat="1" applyFont="1" applyBorder="1" applyAlignment="1">
      <alignment horizontal="center"/>
    </xf>
    <xf numFmtId="2" fontId="67" fillId="0" borderId="2" xfId="0" applyNumberFormat="1" applyFont="1" applyBorder="1" applyAlignment="1">
      <alignment horizontal="center" vertical="center"/>
    </xf>
    <xf numFmtId="2" fontId="67" fillId="0" borderId="24" xfId="0" applyNumberFormat="1" applyFont="1" applyBorder="1" applyAlignment="1">
      <alignment horizontal="center"/>
    </xf>
    <xf numFmtId="2" fontId="67" fillId="0" borderId="2" xfId="0" applyNumberFormat="1" applyFont="1" applyBorder="1" applyAlignment="1">
      <alignment horizontal="center"/>
    </xf>
    <xf numFmtId="2" fontId="67" fillId="0" borderId="25" xfId="0" applyNumberFormat="1" applyFont="1" applyBorder="1" applyAlignment="1">
      <alignment horizontal="center" vertical="center"/>
    </xf>
    <xf numFmtId="0" fontId="71" fillId="0" borderId="0" xfId="0" applyFont="1"/>
    <xf numFmtId="0" fontId="73" fillId="0" borderId="0" xfId="0" applyFont="1"/>
    <xf numFmtId="2" fontId="67" fillId="0" borderId="19" xfId="0" applyNumberFormat="1" applyFont="1" applyBorder="1" applyAlignment="1">
      <alignment horizontal="center"/>
    </xf>
    <xf numFmtId="0" fontId="74" fillId="0" borderId="0" xfId="0" applyFont="1"/>
    <xf numFmtId="2" fontId="67" fillId="0" borderId="26" xfId="0" applyNumberFormat="1" applyFont="1" applyBorder="1" applyAlignment="1">
      <alignment horizontal="center"/>
    </xf>
    <xf numFmtId="0" fontId="70" fillId="0" borderId="0" xfId="0" applyFont="1" applyAlignment="1">
      <alignment horizontal="right"/>
    </xf>
    <xf numFmtId="0" fontId="67" fillId="0" borderId="0" xfId="0" applyFont="1" applyAlignment="1">
      <alignment horizontal="center"/>
    </xf>
    <xf numFmtId="43" fontId="50" fillId="0" borderId="0" xfId="1" applyFont="1" applyFill="1"/>
    <xf numFmtId="43" fontId="49" fillId="0" borderId="0" xfId="1" applyFont="1" applyFill="1"/>
    <xf numFmtId="0" fontId="49" fillId="0" borderId="19" xfId="0" applyFont="1" applyBorder="1" applyAlignment="1">
      <alignment horizontal="center"/>
    </xf>
    <xf numFmtId="43" fontId="49" fillId="0" borderId="19" xfId="1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9" fillId="0" borderId="19" xfId="0" applyFont="1" applyBorder="1" applyAlignment="1">
      <alignment horizontal="center" vertical="top" wrapText="1"/>
    </xf>
    <xf numFmtId="43" fontId="49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 wrapText="1"/>
    </xf>
    <xf numFmtId="1" fontId="50" fillId="0" borderId="0" xfId="0" applyNumberFormat="1" applyFont="1" applyAlignment="1">
      <alignment vertical="center"/>
    </xf>
    <xf numFmtId="1" fontId="49" fillId="0" borderId="19" xfId="0" applyNumberFormat="1" applyFont="1" applyBorder="1" applyAlignment="1">
      <alignment horizontal="center" vertical="center"/>
    </xf>
    <xf numFmtId="1" fontId="48" fillId="0" borderId="19" xfId="0" applyNumberFormat="1" applyFont="1" applyBorder="1" applyAlignment="1">
      <alignment vertical="center"/>
    </xf>
    <xf numFmtId="0" fontId="76" fillId="0" borderId="19" xfId="0" applyFont="1" applyBorder="1" applyAlignment="1">
      <alignment horizontal="left" vertical="top" wrapText="1"/>
    </xf>
    <xf numFmtId="0" fontId="48" fillId="0" borderId="19" xfId="0" applyFont="1" applyBorder="1" applyAlignment="1">
      <alignment horizontal="center"/>
    </xf>
    <xf numFmtId="43" fontId="48" fillId="0" borderId="19" xfId="1" applyFont="1" applyFill="1" applyBorder="1"/>
    <xf numFmtId="0" fontId="48" fillId="0" borderId="19" xfId="0" applyFont="1" applyBorder="1"/>
    <xf numFmtId="0" fontId="48" fillId="0" borderId="19" xfId="0" applyFont="1" applyBorder="1" applyAlignment="1">
      <alignment wrapText="1"/>
    </xf>
    <xf numFmtId="1" fontId="64" fillId="0" borderId="19" xfId="0" applyNumberFormat="1" applyFont="1" applyBorder="1" applyAlignment="1">
      <alignment horizontal="right" vertical="center"/>
    </xf>
    <xf numFmtId="0" fontId="70" fillId="0" borderId="19" xfId="0" quotePrefix="1" applyFont="1" applyBorder="1" applyAlignment="1">
      <alignment wrapText="1"/>
    </xf>
    <xf numFmtId="0" fontId="64" fillId="0" borderId="19" xfId="0" applyFont="1" applyBorder="1"/>
    <xf numFmtId="2" fontId="64" fillId="0" borderId="19" xfId="0" applyNumberFormat="1" applyFont="1" applyBorder="1" applyAlignment="1">
      <alignment horizontal="right"/>
    </xf>
    <xf numFmtId="0" fontId="54" fillId="0" borderId="19" xfId="0" applyFont="1" applyBorder="1"/>
    <xf numFmtId="0" fontId="54" fillId="0" borderId="19" xfId="0" quotePrefix="1" applyFont="1" applyBorder="1" applyAlignment="1">
      <alignment horizontal="right" vertical="justify"/>
    </xf>
    <xf numFmtId="182" fontId="64" fillId="0" borderId="19" xfId="0" applyNumberFormat="1" applyFont="1" applyBorder="1" applyAlignment="1">
      <alignment horizontal="right"/>
    </xf>
    <xf numFmtId="2" fontId="64" fillId="0" borderId="19" xfId="1" applyNumberFormat="1" applyFont="1" applyFill="1" applyBorder="1" applyAlignment="1">
      <alignment horizontal="right"/>
    </xf>
    <xf numFmtId="0" fontId="54" fillId="0" borderId="19" xfId="0" applyFont="1" applyBorder="1" applyAlignment="1">
      <alignment horizontal="right" vertical="justify"/>
    </xf>
    <xf numFmtId="2" fontId="54" fillId="0" borderId="19" xfId="0" applyNumberFormat="1" applyFont="1" applyBorder="1" applyAlignment="1">
      <alignment horizontal="right"/>
    </xf>
    <xf numFmtId="0" fontId="64" fillId="0" borderId="19" xfId="0" applyFont="1" applyBorder="1" applyAlignment="1">
      <alignment horizontal="right"/>
    </xf>
    <xf numFmtId="1" fontId="54" fillId="0" borderId="19" xfId="0" applyNumberFormat="1" applyFont="1" applyBorder="1" applyAlignment="1">
      <alignment horizontal="right" vertical="center"/>
    </xf>
    <xf numFmtId="182" fontId="54" fillId="0" borderId="19" xfId="0" applyNumberFormat="1" applyFont="1" applyBorder="1" applyAlignment="1">
      <alignment horizontal="right"/>
    </xf>
    <xf numFmtId="2" fontId="54" fillId="0" borderId="19" xfId="1" applyNumberFormat="1" applyFont="1" applyFill="1" applyBorder="1" applyAlignment="1">
      <alignment horizontal="right"/>
    </xf>
    <xf numFmtId="0" fontId="54" fillId="0" borderId="19" xfId="0" quotePrefix="1" applyFont="1" applyBorder="1" applyAlignment="1">
      <alignment horizontal="right"/>
    </xf>
    <xf numFmtId="0" fontId="64" fillId="0" borderId="19" xfId="0" applyFont="1" applyBorder="1" applyAlignment="1">
      <alignment horizontal="right" vertical="top" wrapText="1"/>
    </xf>
    <xf numFmtId="0" fontId="64" fillId="0" borderId="19" xfId="0" applyFont="1" applyBorder="1" applyAlignment="1">
      <alignment horizontal="left" vertical="top" wrapText="1"/>
    </xf>
    <xf numFmtId="0" fontId="64" fillId="0" borderId="19" xfId="0" quotePrefix="1" applyFont="1" applyBorder="1" applyAlignment="1">
      <alignment horizontal="right" vertical="top" wrapText="1"/>
    </xf>
    <xf numFmtId="182" fontId="64" fillId="0" borderId="19" xfId="1" applyNumberFormat="1" applyFont="1" applyFill="1" applyBorder="1" applyAlignment="1">
      <alignment horizontal="right"/>
    </xf>
    <xf numFmtId="0" fontId="54" fillId="0" borderId="19" xfId="0" applyFont="1" applyBorder="1" applyAlignment="1">
      <alignment horizontal="justify" vertical="justify"/>
    </xf>
    <xf numFmtId="2" fontId="54" fillId="0" borderId="19" xfId="734" applyNumberFormat="1" applyBorder="1" applyAlignment="1">
      <alignment horizontal="right"/>
    </xf>
    <xf numFmtId="2" fontId="64" fillId="0" borderId="19" xfId="32" applyNumberFormat="1" applyFont="1" applyFill="1" applyBorder="1" applyAlignment="1">
      <alignment horizontal="right"/>
    </xf>
    <xf numFmtId="0" fontId="54" fillId="0" borderId="19" xfId="0" applyFont="1" applyBorder="1" applyAlignment="1">
      <alignment horizontal="right" vertical="top" wrapText="1"/>
    </xf>
    <xf numFmtId="1" fontId="64" fillId="0" borderId="19" xfId="0" applyNumberFormat="1" applyFont="1" applyBorder="1" applyAlignment="1">
      <alignment vertical="center"/>
    </xf>
    <xf numFmtId="0" fontId="77" fillId="0" borderId="19" xfId="0" applyFont="1" applyBorder="1" applyAlignment="1">
      <alignment horizontal="left" vertical="top" wrapText="1"/>
    </xf>
    <xf numFmtId="182" fontId="48" fillId="0" borderId="19" xfId="1" applyNumberFormat="1" applyFont="1" applyFill="1" applyBorder="1" applyAlignment="1">
      <alignment horizontal="right"/>
    </xf>
    <xf numFmtId="0" fontId="64" fillId="0" borderId="19" xfId="0" applyFont="1" applyBorder="1" applyAlignment="1">
      <alignment wrapText="1"/>
    </xf>
    <xf numFmtId="1" fontId="64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top" wrapText="1"/>
    </xf>
    <xf numFmtId="43" fontId="48" fillId="0" borderId="0" xfId="1" applyFont="1" applyFill="1" applyBorder="1"/>
    <xf numFmtId="0" fontId="64" fillId="0" borderId="0" xfId="0" applyFont="1" applyAlignment="1">
      <alignment wrapText="1"/>
    </xf>
    <xf numFmtId="0" fontId="64" fillId="0" borderId="0" xfId="0" applyFont="1"/>
    <xf numFmtId="0" fontId="48" fillId="0" borderId="0" xfId="0" applyFont="1"/>
    <xf numFmtId="43" fontId="64" fillId="0" borderId="19" xfId="0" applyNumberFormat="1" applyFont="1" applyBorder="1"/>
    <xf numFmtId="43" fontId="64" fillId="0" borderId="0" xfId="0" applyNumberFormat="1" applyFont="1"/>
    <xf numFmtId="183" fontId="64" fillId="0" borderId="19" xfId="1" applyNumberFormat="1" applyFont="1" applyFill="1" applyBorder="1" applyAlignment="1"/>
    <xf numFmtId="43" fontId="64" fillId="0" borderId="19" xfId="1" applyFont="1" applyFill="1" applyBorder="1" applyAlignment="1"/>
    <xf numFmtId="43" fontId="64" fillId="0" borderId="0" xfId="1" applyFont="1" applyFill="1" applyBorder="1" applyAlignment="1"/>
    <xf numFmtId="0" fontId="78" fillId="0" borderId="19" xfId="0" quotePrefix="1" applyFont="1" applyBorder="1" applyAlignment="1">
      <alignment wrapText="1"/>
    </xf>
    <xf numFmtId="0" fontId="78" fillId="0" borderId="19" xfId="0" applyFont="1" applyBorder="1" applyAlignment="1">
      <alignment wrapText="1"/>
    </xf>
    <xf numFmtId="0" fontId="78" fillId="0" borderId="19" xfId="0" applyFont="1" applyBorder="1"/>
    <xf numFmtId="0" fontId="51" fillId="0" borderId="0" xfId="0" applyFont="1"/>
    <xf numFmtId="1" fontId="79" fillId="0" borderId="0" xfId="0" applyNumberFormat="1" applyFont="1"/>
    <xf numFmtId="0" fontId="64" fillId="0" borderId="19" xfId="0" applyFont="1" applyBorder="1" applyAlignment="1">
      <alignment vertical="top" wrapText="1"/>
    </xf>
    <xf numFmtId="2" fontId="0" fillId="0" borderId="0" xfId="0" applyNumberFormat="1"/>
    <xf numFmtId="0" fontId="57" fillId="0" borderId="19" xfId="0" applyFont="1" applyBorder="1"/>
    <xf numFmtId="2" fontId="0" fillId="0" borderId="19" xfId="0" applyNumberFormat="1" applyBorder="1"/>
    <xf numFmtId="0" fontId="0" fillId="0" borderId="19" xfId="0" applyBorder="1"/>
    <xf numFmtId="0" fontId="57" fillId="0" borderId="28" xfId="0" applyFont="1" applyBorder="1" applyAlignment="1">
      <alignment horizontal="center"/>
    </xf>
    <xf numFmtId="2" fontId="0" fillId="0" borderId="28" xfId="0" applyNumberFormat="1" applyBorder="1"/>
    <xf numFmtId="0" fontId="57" fillId="0" borderId="23" xfId="0" applyFont="1" applyBorder="1" applyAlignment="1">
      <alignment horizontal="center"/>
    </xf>
    <xf numFmtId="2" fontId="0" fillId="0" borderId="23" xfId="0" applyNumberFormat="1" applyBorder="1"/>
    <xf numFmtId="2" fontId="64" fillId="0" borderId="19" xfId="1" quotePrefix="1" applyNumberFormat="1" applyFont="1" applyFill="1" applyBorder="1" applyAlignment="1">
      <alignment horizontal="right"/>
    </xf>
    <xf numFmtId="0" fontId="50" fillId="33" borderId="0" xfId="0" applyFont="1" applyFill="1"/>
    <xf numFmtId="0" fontId="49" fillId="0" borderId="19" xfId="0" applyFont="1" applyBorder="1"/>
    <xf numFmtId="0" fontId="50" fillId="0" borderId="19" xfId="0" applyFont="1" applyBorder="1"/>
    <xf numFmtId="0" fontId="64" fillId="0" borderId="1" xfId="0" applyFont="1" applyBorder="1" applyAlignment="1">
      <alignment horizontal="right" vertical="top" wrapText="1"/>
    </xf>
    <xf numFmtId="1" fontId="64" fillId="0" borderId="1" xfId="0" applyNumberFormat="1" applyFont="1" applyBorder="1" applyAlignment="1">
      <alignment horizontal="right" vertical="center"/>
    </xf>
    <xf numFmtId="182" fontId="64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0" fontId="54" fillId="0" borderId="1" xfId="0" applyFont="1" applyBorder="1"/>
    <xf numFmtId="0" fontId="78" fillId="2" borderId="1" xfId="768" applyFont="1" applyFill="1" applyBorder="1" applyAlignment="1">
      <alignment vertical="top" wrapText="1"/>
    </xf>
    <xf numFmtId="2" fontId="64" fillId="0" borderId="1" xfId="1" applyNumberFormat="1" applyFont="1" applyFill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0" fontId="54" fillId="0" borderId="1" xfId="0" applyFont="1" applyBorder="1" applyAlignment="1">
      <alignment horizontal="right" vertical="justify"/>
    </xf>
    <xf numFmtId="0" fontId="64" fillId="0" borderId="1" xfId="0" quotePrefix="1" applyFont="1" applyBorder="1" applyAlignment="1">
      <alignment horizontal="right" vertical="top" wrapText="1"/>
    </xf>
    <xf numFmtId="0" fontId="71" fillId="0" borderId="2" xfId="778" applyFont="1" applyBorder="1" applyAlignment="1">
      <alignment horizontal="center"/>
    </xf>
    <xf numFmtId="0" fontId="64" fillId="0" borderId="1" xfId="0" applyFont="1" applyBorder="1" applyAlignment="1">
      <alignment horizontal="right"/>
    </xf>
    <xf numFmtId="0" fontId="50" fillId="34" borderId="0" xfId="0" applyFont="1" applyFill="1"/>
    <xf numFmtId="0" fontId="64" fillId="0" borderId="19" xfId="0" quotePrefix="1" applyFont="1" applyBorder="1" applyAlignment="1">
      <alignment horizontal="right"/>
    </xf>
    <xf numFmtId="0" fontId="64" fillId="0" borderId="19" xfId="0" quotePrefix="1" applyFont="1" applyBorder="1" applyAlignment="1">
      <alignment vertical="top" wrapText="1"/>
    </xf>
    <xf numFmtId="0" fontId="50" fillId="0" borderId="0" xfId="0" applyFont="1"/>
    <xf numFmtId="0" fontId="50" fillId="0" borderId="0" xfId="0" applyFont="1" applyAlignment="1">
      <alignment horizontal="right"/>
    </xf>
    <xf numFmtId="0" fontId="48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quotePrefix="1" applyFont="1" applyAlignment="1">
      <alignment horizontal="right"/>
    </xf>
    <xf numFmtId="43" fontId="64" fillId="0" borderId="19" xfId="1" applyFont="1" applyFill="1" applyBorder="1" applyAlignment="1">
      <alignment horizontal="center"/>
    </xf>
    <xf numFmtId="0" fontId="48" fillId="0" borderId="19" xfId="0" applyFont="1" applyBorder="1" applyAlignment="1">
      <alignment horizontal="center"/>
    </xf>
    <xf numFmtId="43" fontId="64" fillId="0" borderId="1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3" fillId="32" borderId="21" xfId="0" applyFont="1" applyFill="1" applyBorder="1" applyAlignment="1">
      <alignment horizontal="center" vertical="center"/>
    </xf>
    <xf numFmtId="0" fontId="63" fillId="32" borderId="20" xfId="0" applyFont="1" applyFill="1" applyBorder="1" applyAlignment="1">
      <alignment horizontal="center" vertical="center"/>
    </xf>
    <xf numFmtId="0" fontId="63" fillId="32" borderId="21" xfId="0" applyFont="1" applyFill="1" applyBorder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43" fontId="61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68" fillId="0" borderId="13" xfId="0" applyFont="1" applyBorder="1" applyAlignment="1">
      <alignment horizontal="center"/>
    </xf>
    <xf numFmtId="0" fontId="68" fillId="0" borderId="0" xfId="0" applyFont="1" applyAlignment="1">
      <alignment horizontal="center"/>
    </xf>
    <xf numFmtId="0" fontId="69" fillId="0" borderId="27" xfId="0" applyFont="1" applyBorder="1" applyAlignment="1">
      <alignment horizontal="center"/>
    </xf>
    <xf numFmtId="0" fontId="69" fillId="0" borderId="26" xfId="0" applyFont="1" applyBorder="1" applyAlignment="1">
      <alignment horizontal="center"/>
    </xf>
    <xf numFmtId="0" fontId="71" fillId="0" borderId="24" xfId="0" applyFont="1" applyBorder="1" applyAlignment="1">
      <alignment horizontal="center" vertical="center" wrapText="1"/>
    </xf>
    <xf numFmtId="0" fontId="71" fillId="0" borderId="25" xfId="0" applyFont="1" applyBorder="1" applyAlignment="1">
      <alignment horizontal="center" vertical="center" wrapText="1"/>
    </xf>
    <xf numFmtId="0" fontId="71" fillId="0" borderId="24" xfId="0" applyFont="1" applyBorder="1" applyAlignment="1">
      <alignment horizontal="center" vertical="center"/>
    </xf>
    <xf numFmtId="0" fontId="71" fillId="0" borderId="25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4" xfId="0" applyFont="1" applyBorder="1" applyAlignment="1">
      <alignment horizontal="center" vertical="center"/>
    </xf>
    <xf numFmtId="0" fontId="57" fillId="0" borderId="25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/>
    </xf>
  </cellXfs>
  <cellStyles count="804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16" xfId="760" xr:uid="{E5A622E7-BAE6-44CB-BC5E-795FEE2A13E6}"/>
    <cellStyle name="Comma 17" xfId="763" xr:uid="{90CD636A-D904-4180-B688-303CE3FC72E8}"/>
    <cellStyle name="Comma 18" xfId="766" xr:uid="{1A0C8FFF-9AB9-473E-83CA-36BC27E6ED35}"/>
    <cellStyle name="Comma 19" xfId="769" xr:uid="{CB32660D-59C3-4C90-BFEB-DC1E4C13B344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20" xfId="772" xr:uid="{DA8AABCE-F3E7-4C73-A42A-05F76E5B028E}"/>
    <cellStyle name="Comma 21" xfId="773" xr:uid="{DDFFB206-9F7E-4FE0-AA74-F5EE5681D4D7}"/>
    <cellStyle name="Comma 22" xfId="776" xr:uid="{95D5F6D9-BB5B-4A52-BC80-9B4DCCC4B57C}"/>
    <cellStyle name="Comma 23" xfId="781" xr:uid="{E5462668-C4B9-4FC5-8C29-E78E80FF37A7}"/>
    <cellStyle name="Comma 24" xfId="784" xr:uid="{99955E2B-DF5D-442B-9F57-B007F246F71E}"/>
    <cellStyle name="Comma 25" xfId="787" xr:uid="{24F0319B-B267-4052-860E-423F631067D5}"/>
    <cellStyle name="Comma 26" xfId="788" xr:uid="{2ED7C39A-AF9F-44B1-8DE7-9D25961A7AC0}"/>
    <cellStyle name="Comma 27" xfId="793" xr:uid="{8FB510BD-8266-40BA-8D49-E25742C51152}"/>
    <cellStyle name="Comma 28" xfId="794" xr:uid="{8D7EC90E-99D4-41ED-B92A-034756A1195B}"/>
    <cellStyle name="Comma 29" xfId="797" xr:uid="{EEB9E692-3204-4076-9A19-69EF6A7D6EDC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30" xfId="802" xr:uid="{B58D6146-0E10-487E-B8B9-F261CCFF3115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33" xfId="759" xr:uid="{E299337D-93C4-4E90-AED7-C685D6213B39}"/>
    <cellStyle name="Normal 34" xfId="762" xr:uid="{9D207AD1-120F-478F-9934-BD09C355312B}"/>
    <cellStyle name="Normal 35" xfId="765" xr:uid="{1C359BF9-3C4E-4928-8413-48B5C78357B5}"/>
    <cellStyle name="Normal 36" xfId="768" xr:uid="{E3D7B181-9542-40D9-A9DC-D177D99EE88D}"/>
    <cellStyle name="Normal 37" xfId="771" xr:uid="{DA424D15-A1C8-4AE4-84D8-9A516FC032EB}"/>
    <cellStyle name="Normal 38" xfId="775" xr:uid="{28FF901A-58AB-47F8-9099-C065A2C14A41}"/>
    <cellStyle name="Normal 39" xfId="778" xr:uid="{CB36182A-9443-45D2-8AC6-5BA8741588FA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40" xfId="779" xr:uid="{4D1EDB02-F6EB-40DB-AFC8-C2D43EB57276}"/>
    <cellStyle name="Normal 41" xfId="783" xr:uid="{6B9295E7-F97F-42D4-8894-2D6335F76503}"/>
    <cellStyle name="Normal 42" xfId="786" xr:uid="{104B0107-82F0-48A7-A60F-518F33062874}"/>
    <cellStyle name="Normal 43" xfId="790" xr:uid="{DA7A7BF7-4B89-4BC7-AA2D-99A61422CC10}"/>
    <cellStyle name="Normal 44" xfId="792" xr:uid="{AB5FD68D-3491-43FF-B71B-E04ECFF24DC4}"/>
    <cellStyle name="Normal 45" xfId="796" xr:uid="{2CF964BB-B386-4460-8BD6-DE3DCA36B14D}"/>
    <cellStyle name="Normal 46" xfId="799" xr:uid="{C5731914-F411-4CA3-8021-E5608C155697}"/>
    <cellStyle name="Normal 47" xfId="801" xr:uid="{97DF287E-EFA0-4438-91B0-065A34F53D06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10" xfId="780" xr:uid="{EFF55575-F5C9-41C9-A52A-73063212C887}"/>
    <cellStyle name="Percent 11" xfId="782" xr:uid="{B99E6001-9D0F-400A-B045-91200215E09C}"/>
    <cellStyle name="Percent 12" xfId="785" xr:uid="{777D705E-031D-443E-8DDD-9E70CA46916B}"/>
    <cellStyle name="Percent 13" xfId="789" xr:uid="{41A61722-8834-467C-8A19-06B09ADF4FC7}"/>
    <cellStyle name="Percent 14" xfId="791" xr:uid="{80504006-B67A-4888-9083-4FA1FD6D2C93}"/>
    <cellStyle name="Percent 15" xfId="795" xr:uid="{7017D206-A498-422A-B124-F3BEC15D36FB}"/>
    <cellStyle name="Percent 16" xfId="798" xr:uid="{C187A8F2-3060-4764-8820-2D8F715043C6}"/>
    <cellStyle name="Percent 17" xfId="800" xr:uid="{58C0EDE0-CAB0-4174-9196-4A57447DECA0}"/>
    <cellStyle name="Percent 18" xfId="803" xr:uid="{DC8FB19E-72D6-4D44-8213-9E9DF9364829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Percent 4" xfId="761" xr:uid="{43F16171-8B75-4FAB-B67C-73FBE95CD19D}"/>
    <cellStyle name="Percent 5" xfId="764" xr:uid="{9B6CC1AA-7AE4-4A89-8529-54A650E2E52E}"/>
    <cellStyle name="Percent 6" xfId="767" xr:uid="{F35F9205-4BA8-4E68-B390-E44EEB8F1CB4}"/>
    <cellStyle name="Percent 7" xfId="770" xr:uid="{70F854BD-02D0-43C4-AF84-4D78E0E7DFDF}"/>
    <cellStyle name="Percent 8" xfId="774" xr:uid="{55982310-00C3-40DD-ACE8-9C14992DD095}"/>
    <cellStyle name="Percent 9" xfId="777" xr:uid="{8C945554-E7BE-479D-94B4-8EB24BC8C116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25.5">
      <c r="A2" s="163" t="s">
        <v>49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0" ht="18.75">
      <c r="A3" s="164" t="s">
        <v>50</v>
      </c>
      <c r="B3" s="164"/>
      <c r="C3" s="164"/>
      <c r="D3" s="164"/>
      <c r="E3" s="164"/>
      <c r="F3" s="164"/>
      <c r="G3" s="164"/>
      <c r="H3" s="164"/>
      <c r="I3" s="164"/>
      <c r="J3" s="164"/>
    </row>
    <row r="4" spans="1:10">
      <c r="A4" s="165" t="s">
        <v>51</v>
      </c>
      <c r="B4" s="165"/>
      <c r="C4" s="165"/>
      <c r="D4" s="165"/>
      <c r="E4" s="165"/>
      <c r="F4" s="165"/>
      <c r="G4" s="165"/>
      <c r="H4" s="165"/>
      <c r="I4" s="165"/>
      <c r="J4" s="165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5.75">
      <c r="A6" s="6" t="s">
        <v>52</v>
      </c>
      <c r="B6" s="6"/>
      <c r="C6" s="166" t="e">
        <f>E51</f>
        <v>#REF!</v>
      </c>
      <c r="D6" s="167"/>
      <c r="E6" s="6"/>
      <c r="F6" s="6"/>
      <c r="G6" s="6" t="s">
        <v>53</v>
      </c>
      <c r="H6" s="6"/>
      <c r="I6" s="166" t="e">
        <f>H51</f>
        <v>#REF!</v>
      </c>
      <c r="J6" s="167"/>
    </row>
    <row r="7" spans="1:10">
      <c r="A7" s="7"/>
      <c r="B7" s="7"/>
      <c r="C7" s="157"/>
      <c r="D7" s="157"/>
      <c r="E7" s="157"/>
      <c r="F7" s="157"/>
      <c r="H7" s="158"/>
      <c r="I7" s="158"/>
      <c r="J7" s="158"/>
    </row>
    <row r="8" spans="1:10" ht="16.5">
      <c r="A8" t="s">
        <v>54</v>
      </c>
      <c r="B8" s="8" t="e">
        <f>#REF!</f>
        <v>#REF!</v>
      </c>
      <c r="D8" s="9"/>
      <c r="G8" s="10"/>
      <c r="J8" s="11" t="s">
        <v>55</v>
      </c>
    </row>
    <row r="9" spans="1:10">
      <c r="A9" t="s">
        <v>56</v>
      </c>
      <c r="D9" s="9"/>
      <c r="G9" s="10"/>
      <c r="J9" s="11" t="s">
        <v>65</v>
      </c>
    </row>
    <row r="10" spans="1:10">
      <c r="A10" s="159" t="s">
        <v>57</v>
      </c>
      <c r="B10" s="159" t="s">
        <v>12</v>
      </c>
      <c r="C10" s="161" t="s">
        <v>58</v>
      </c>
      <c r="D10" s="161"/>
      <c r="E10" s="161"/>
      <c r="F10" s="161" t="s">
        <v>59</v>
      </c>
      <c r="G10" s="161"/>
      <c r="H10" s="161"/>
      <c r="I10" s="159" t="s">
        <v>60</v>
      </c>
      <c r="J10" s="159" t="s">
        <v>10</v>
      </c>
    </row>
    <row r="11" spans="1:10">
      <c r="A11" s="160"/>
      <c r="B11" s="160"/>
      <c r="C11" s="14" t="s">
        <v>61</v>
      </c>
      <c r="D11" s="15" t="s">
        <v>8</v>
      </c>
      <c r="E11" s="14" t="s">
        <v>62</v>
      </c>
      <c r="F11" s="14" t="s">
        <v>61</v>
      </c>
      <c r="G11" s="14" t="s">
        <v>8</v>
      </c>
      <c r="H11" s="14" t="s">
        <v>63</v>
      </c>
      <c r="I11" s="160"/>
      <c r="J11" s="160"/>
    </row>
    <row r="12" spans="1:10" ht="15.75">
      <c r="A12" s="22">
        <v>1</v>
      </c>
      <c r="B12" s="23" t="s">
        <v>41</v>
      </c>
      <c r="C12" s="16" t="e">
        <f>#REF!</f>
        <v>#REF!</v>
      </c>
      <c r="D12" s="16" t="e">
        <f>#REF!</f>
        <v>#REF!</v>
      </c>
      <c r="E12" s="16" t="e">
        <f>#REF!</f>
        <v>#REF!</v>
      </c>
      <c r="F12" s="16" t="e">
        <f>#REF!</f>
        <v>#REF!</v>
      </c>
      <c r="G12" s="16" t="e">
        <f>#REF!</f>
        <v>#REF!</v>
      </c>
      <c r="H12" s="16" t="e">
        <f>#REF!</f>
        <v>#REF!</v>
      </c>
      <c r="I12" s="17" t="e">
        <f>F12-C12</f>
        <v>#REF!</v>
      </c>
      <c r="J12" s="18"/>
    </row>
    <row r="13" spans="1:10" ht="15.75">
      <c r="A13" s="24"/>
      <c r="B13" s="25"/>
      <c r="C13" s="18"/>
      <c r="D13" s="18"/>
      <c r="E13" s="18"/>
      <c r="F13" s="18"/>
      <c r="G13" s="18"/>
      <c r="H13" s="18"/>
      <c r="I13" s="17"/>
      <c r="J13" s="18"/>
    </row>
    <row r="14" spans="1:10" ht="31.5">
      <c r="A14" s="24">
        <v>2</v>
      </c>
      <c r="B14" s="25" t="s">
        <v>40</v>
      </c>
      <c r="C14" s="16" t="e">
        <f>#REF!</f>
        <v>#REF!</v>
      </c>
      <c r="D14" s="16" t="e">
        <f>#REF!</f>
        <v>#REF!</v>
      </c>
      <c r="E14" s="16" t="e">
        <f>#REF!</f>
        <v>#REF!</v>
      </c>
      <c r="F14" s="16" t="e">
        <f>#REF!</f>
        <v>#REF!</v>
      </c>
      <c r="G14" s="16" t="e">
        <f>#REF!</f>
        <v>#REF!</v>
      </c>
      <c r="H14" s="16" t="e">
        <f>#REF!</f>
        <v>#REF!</v>
      </c>
      <c r="I14" s="17" t="e">
        <f>F14-C14</f>
        <v>#REF!</v>
      </c>
      <c r="J14" s="18"/>
    </row>
    <row r="15" spans="1:10" ht="15.75">
      <c r="A15" s="24"/>
      <c r="B15" s="25"/>
      <c r="C15" s="16"/>
      <c r="D15" s="18"/>
      <c r="E15" s="18"/>
      <c r="F15" s="18"/>
      <c r="G15" s="18"/>
      <c r="H15" s="18"/>
      <c r="I15" s="17"/>
      <c r="J15" s="18"/>
    </row>
    <row r="16" spans="1:10" ht="15.75">
      <c r="A16" s="24">
        <v>3</v>
      </c>
      <c r="B16" s="26" t="s">
        <v>34</v>
      </c>
      <c r="C16" s="16" t="e">
        <f>#REF!</f>
        <v>#REF!</v>
      </c>
      <c r="D16" s="16" t="e">
        <f>#REF!</f>
        <v>#REF!</v>
      </c>
      <c r="E16" s="16" t="e">
        <f>#REF!</f>
        <v>#REF!</v>
      </c>
      <c r="F16" s="16" t="e">
        <f>#REF!</f>
        <v>#REF!</v>
      </c>
      <c r="G16" s="16" t="e">
        <f>#REF!</f>
        <v>#REF!</v>
      </c>
      <c r="H16" s="16" t="e">
        <f>#REF!</f>
        <v>#REF!</v>
      </c>
      <c r="I16" s="17" t="e">
        <f>F16-C16</f>
        <v>#REF!</v>
      </c>
      <c r="J16" s="18"/>
    </row>
    <row r="17" spans="1:13" ht="15.75">
      <c r="A17" s="24"/>
      <c r="B17" s="27" t="s">
        <v>35</v>
      </c>
      <c r="C17" s="18"/>
      <c r="D17" s="18"/>
      <c r="E17" s="16" t="e">
        <f>#REF!</f>
        <v>#REF!</v>
      </c>
      <c r="F17" s="18"/>
      <c r="G17" s="18"/>
      <c r="H17" s="16" t="e">
        <f>#REF!</f>
        <v>#REF!</v>
      </c>
      <c r="I17" s="17"/>
      <c r="J17" s="18"/>
    </row>
    <row r="18" spans="1:13" ht="15.75">
      <c r="A18" s="24"/>
      <c r="B18" s="27"/>
      <c r="C18" s="18"/>
      <c r="D18" s="18"/>
      <c r="E18" s="18"/>
      <c r="F18" s="18"/>
      <c r="G18" s="18"/>
      <c r="H18" s="18"/>
      <c r="I18" s="17"/>
      <c r="J18" s="18"/>
    </row>
    <row r="19" spans="1:13" ht="15.75">
      <c r="A19" s="24">
        <v>4</v>
      </c>
      <c r="B19" s="26" t="s">
        <v>39</v>
      </c>
      <c r="C19" s="16" t="e">
        <f>#REF!</f>
        <v>#REF!</v>
      </c>
      <c r="D19" s="16" t="e">
        <f>#REF!</f>
        <v>#REF!</v>
      </c>
      <c r="E19" s="16" t="e">
        <f>#REF!</f>
        <v>#REF!</v>
      </c>
      <c r="F19" s="16" t="e">
        <f>#REF!</f>
        <v>#REF!</v>
      </c>
      <c r="G19" s="16" t="e">
        <f>#REF!</f>
        <v>#REF!</v>
      </c>
      <c r="H19" s="16" t="e">
        <f>#REF!</f>
        <v>#REF!</v>
      </c>
      <c r="I19" s="17" t="e">
        <f>F19-C19</f>
        <v>#REF!</v>
      </c>
      <c r="J19" s="18"/>
      <c r="M19" s="13"/>
    </row>
    <row r="20" spans="1:13" ht="15.75">
      <c r="A20" s="24"/>
      <c r="B20" s="28" t="s">
        <v>35</v>
      </c>
      <c r="C20" s="18"/>
      <c r="D20" s="18"/>
      <c r="E20" s="16" t="e">
        <f>#REF!</f>
        <v>#REF!</v>
      </c>
      <c r="F20" s="18"/>
      <c r="G20" s="18"/>
      <c r="H20" s="16" t="e">
        <f>#REF!</f>
        <v>#REF!</v>
      </c>
      <c r="I20" s="17"/>
      <c r="J20" s="18"/>
    </row>
    <row r="21" spans="1:13" ht="15.75">
      <c r="A21" s="24"/>
      <c r="B21" s="27"/>
      <c r="C21" s="18"/>
      <c r="D21" s="18"/>
      <c r="E21" s="18"/>
      <c r="F21" s="18"/>
      <c r="G21" s="18"/>
      <c r="H21" s="18"/>
      <c r="I21" s="17"/>
      <c r="J21" s="18"/>
    </row>
    <row r="22" spans="1:13" ht="15.75">
      <c r="A22" s="24">
        <v>5</v>
      </c>
      <c r="B22" s="26" t="s">
        <v>46</v>
      </c>
      <c r="C22" s="16" t="e">
        <f>#REF!</f>
        <v>#REF!</v>
      </c>
      <c r="D22" s="16" t="e">
        <f>#REF!</f>
        <v>#REF!</v>
      </c>
      <c r="E22" s="16" t="e">
        <f>#REF!</f>
        <v>#REF!</v>
      </c>
      <c r="F22" s="16" t="e">
        <f>#REF!</f>
        <v>#REF!</v>
      </c>
      <c r="G22" s="16" t="e">
        <f>#REF!</f>
        <v>#REF!</v>
      </c>
      <c r="H22" s="16" t="e">
        <f>#REF!</f>
        <v>#REF!</v>
      </c>
      <c r="I22" s="17" t="e">
        <f>F22-C22</f>
        <v>#REF!</v>
      </c>
      <c r="J22" s="18"/>
    </row>
    <row r="23" spans="1:13" ht="15.75">
      <c r="A23" s="24"/>
      <c r="B23" s="28" t="s">
        <v>28</v>
      </c>
      <c r="C23" s="18"/>
      <c r="D23" s="18"/>
      <c r="E23" s="16" t="e">
        <f>#REF!</f>
        <v>#REF!</v>
      </c>
      <c r="F23" s="18"/>
      <c r="G23" s="18"/>
      <c r="H23" s="16" t="e">
        <f>#REF!</f>
        <v>#REF!</v>
      </c>
      <c r="I23" s="17"/>
      <c r="J23" s="18"/>
    </row>
    <row r="24" spans="1:13" ht="15.75">
      <c r="A24" s="24"/>
      <c r="B24" s="28" t="s">
        <v>36</v>
      </c>
      <c r="C24" s="18"/>
      <c r="D24" s="18"/>
      <c r="E24" s="16" t="e">
        <f>#REF!</f>
        <v>#REF!</v>
      </c>
      <c r="F24" s="18"/>
      <c r="G24" s="18"/>
      <c r="H24" s="16" t="e">
        <f>#REF!</f>
        <v>#REF!</v>
      </c>
      <c r="I24" s="17"/>
      <c r="J24" s="18"/>
    </row>
    <row r="25" spans="1:13" ht="15.75">
      <c r="A25" s="24"/>
      <c r="B25" s="28" t="s">
        <v>29</v>
      </c>
      <c r="C25" s="18"/>
      <c r="D25" s="18"/>
      <c r="E25" s="16" t="e">
        <f>#REF!</f>
        <v>#REF!</v>
      </c>
      <c r="F25" s="18"/>
      <c r="G25" s="18"/>
      <c r="H25" s="16" t="e">
        <f>#REF!</f>
        <v>#REF!</v>
      </c>
      <c r="I25" s="17"/>
      <c r="J25" s="18"/>
    </row>
    <row r="26" spans="1:13" ht="15.75">
      <c r="A26" s="24"/>
      <c r="B26" s="28"/>
      <c r="C26" s="18"/>
      <c r="D26" s="18"/>
      <c r="E26" s="18"/>
      <c r="F26" s="18"/>
      <c r="G26" s="18"/>
      <c r="H26" s="18"/>
      <c r="I26" s="17"/>
      <c r="J26" s="18"/>
    </row>
    <row r="27" spans="1:13" ht="31.5">
      <c r="A27" s="24">
        <v>6</v>
      </c>
      <c r="B27" s="29" t="s">
        <v>25</v>
      </c>
      <c r="C27" s="16" t="e">
        <f>#REF!</f>
        <v>#REF!</v>
      </c>
      <c r="D27" s="16" t="e">
        <f>#REF!</f>
        <v>#REF!</v>
      </c>
      <c r="E27" s="16" t="e">
        <f>#REF!</f>
        <v>#REF!</v>
      </c>
      <c r="F27" s="16" t="e">
        <f>#REF!</f>
        <v>#REF!</v>
      </c>
      <c r="G27" s="16" t="e">
        <f>#REF!</f>
        <v>#REF!</v>
      </c>
      <c r="H27" s="16" t="e">
        <f>#REF!</f>
        <v>#REF!</v>
      </c>
      <c r="I27" s="17" t="e">
        <f>F27-C27</f>
        <v>#REF!</v>
      </c>
      <c r="J27" s="18"/>
    </row>
    <row r="28" spans="1:13" ht="15.75">
      <c r="A28" s="24"/>
      <c r="B28" s="28" t="s">
        <v>28</v>
      </c>
      <c r="C28" s="18"/>
      <c r="D28" s="18"/>
      <c r="E28" s="16" t="e">
        <f>#REF!</f>
        <v>#REF!</v>
      </c>
      <c r="F28" s="18"/>
      <c r="G28" s="18"/>
      <c r="H28" s="16" t="e">
        <f>#REF!</f>
        <v>#REF!</v>
      </c>
      <c r="I28" s="17"/>
      <c r="J28" s="18"/>
    </row>
    <row r="29" spans="1:13" ht="15.75">
      <c r="A29" s="24"/>
      <c r="B29" s="28" t="s">
        <v>30</v>
      </c>
      <c r="C29" s="18"/>
      <c r="D29" s="18"/>
      <c r="E29" s="16" t="e">
        <f>#REF!</f>
        <v>#REF!</v>
      </c>
      <c r="F29" s="18"/>
      <c r="G29" s="18"/>
      <c r="H29" s="16" t="e">
        <f>#REF!</f>
        <v>#REF!</v>
      </c>
      <c r="I29" s="17"/>
      <c r="J29" s="18"/>
    </row>
    <row r="30" spans="1:13" ht="15.75">
      <c r="A30" s="24"/>
      <c r="B30" s="28" t="s">
        <v>29</v>
      </c>
      <c r="C30" s="18"/>
      <c r="D30" s="18"/>
      <c r="E30" s="16" t="e">
        <f>#REF!</f>
        <v>#REF!</v>
      </c>
      <c r="F30" s="18"/>
      <c r="G30" s="18"/>
      <c r="H30" s="16" t="e">
        <f>#REF!</f>
        <v>#REF!</v>
      </c>
      <c r="I30" s="17"/>
      <c r="J30" s="18"/>
    </row>
    <row r="31" spans="1:13" ht="15.75">
      <c r="A31" s="24"/>
      <c r="B31" s="28"/>
      <c r="C31" s="18"/>
      <c r="D31" s="18"/>
      <c r="E31" s="18"/>
      <c r="F31" s="18"/>
      <c r="G31" s="18"/>
      <c r="H31" s="18"/>
      <c r="I31" s="17"/>
      <c r="J31" s="18"/>
    </row>
    <row r="32" spans="1:13" ht="15.75">
      <c r="A32" s="26">
        <v>7</v>
      </c>
      <c r="B32" s="30" t="s">
        <v>26</v>
      </c>
      <c r="C32" s="17" t="e">
        <f>#REF!</f>
        <v>#REF!</v>
      </c>
      <c r="D32" s="16" t="e">
        <f>#REF!</f>
        <v>#REF!</v>
      </c>
      <c r="E32" s="16" t="e">
        <f>#REF!</f>
        <v>#REF!</v>
      </c>
      <c r="F32" s="17" t="e">
        <f>#REF!</f>
        <v>#REF!</v>
      </c>
      <c r="G32" s="16" t="e">
        <f>#REF!</f>
        <v>#REF!</v>
      </c>
      <c r="H32" s="16" t="e">
        <f>#REF!</f>
        <v>#REF!</v>
      </c>
      <c r="I32" s="17" t="e">
        <f>F32-C32</f>
        <v>#REF!</v>
      </c>
      <c r="J32" s="18"/>
    </row>
    <row r="33" spans="1:10" ht="15.75">
      <c r="A33" s="26"/>
      <c r="B33" s="28" t="s">
        <v>28</v>
      </c>
      <c r="C33" s="18"/>
      <c r="D33" s="18"/>
      <c r="E33" s="16" t="e">
        <f>#REF!</f>
        <v>#REF!</v>
      </c>
      <c r="F33" s="18"/>
      <c r="G33" s="18"/>
      <c r="H33" s="16" t="e">
        <f>#REF!</f>
        <v>#REF!</v>
      </c>
      <c r="I33" s="17"/>
      <c r="J33" s="18"/>
    </row>
    <row r="34" spans="1:10" ht="15.75">
      <c r="A34" s="24"/>
      <c r="B34" s="28"/>
      <c r="C34" s="18"/>
      <c r="D34" s="18"/>
      <c r="E34" s="18"/>
      <c r="F34" s="18"/>
      <c r="G34" s="18"/>
      <c r="H34" s="18"/>
      <c r="I34" s="17"/>
      <c r="J34" s="18"/>
    </row>
    <row r="35" spans="1:10" ht="15.75">
      <c r="A35" s="24">
        <v>8</v>
      </c>
      <c r="B35" s="25" t="s">
        <v>37</v>
      </c>
      <c r="C35" s="16" t="e">
        <f>#REF!</f>
        <v>#REF!</v>
      </c>
      <c r="D35" s="16" t="e">
        <f>#REF!</f>
        <v>#REF!</v>
      </c>
      <c r="E35" s="16" t="e">
        <f>#REF!</f>
        <v>#REF!</v>
      </c>
      <c r="F35" s="16" t="e">
        <f>#REF!</f>
        <v>#REF!</v>
      </c>
      <c r="G35" s="16" t="e">
        <f>#REF!</f>
        <v>#REF!</v>
      </c>
      <c r="H35" s="16" t="e">
        <f>#REF!</f>
        <v>#REF!</v>
      </c>
      <c r="I35" s="17" t="e">
        <f>F35-C35</f>
        <v>#REF!</v>
      </c>
      <c r="J35" s="18"/>
    </row>
    <row r="36" spans="1:10" ht="15.75">
      <c r="A36" s="24"/>
      <c r="B36" s="28" t="s">
        <v>28</v>
      </c>
      <c r="C36" s="18"/>
      <c r="D36" s="18"/>
      <c r="E36" s="16" t="e">
        <f>#REF!</f>
        <v>#REF!</v>
      </c>
      <c r="F36" s="18"/>
      <c r="G36" s="18"/>
      <c r="H36" s="16" t="e">
        <f>#REF!</f>
        <v>#REF!</v>
      </c>
      <c r="I36" s="17"/>
      <c r="J36" s="18"/>
    </row>
    <row r="37" spans="1:10" ht="15.75">
      <c r="A37" s="24"/>
      <c r="B37" s="28" t="s">
        <v>29</v>
      </c>
      <c r="C37" s="18"/>
      <c r="D37" s="18"/>
      <c r="E37" s="16" t="e">
        <f>#REF!</f>
        <v>#REF!</v>
      </c>
      <c r="F37" s="18"/>
      <c r="G37" s="18"/>
      <c r="H37" s="16" t="e">
        <f>#REF!</f>
        <v>#REF!</v>
      </c>
      <c r="I37" s="17"/>
      <c r="J37" s="18"/>
    </row>
    <row r="38" spans="1:10" ht="15.75">
      <c r="A38" s="26"/>
      <c r="B38" s="28"/>
      <c r="C38" s="18"/>
      <c r="D38" s="18"/>
      <c r="E38" s="18"/>
      <c r="F38" s="18"/>
      <c r="G38" s="18"/>
      <c r="H38" s="18"/>
      <c r="I38" s="17"/>
      <c r="J38" s="18"/>
    </row>
    <row r="39" spans="1:10" ht="15.75">
      <c r="A39" s="24">
        <v>9</v>
      </c>
      <c r="B39" s="25" t="s">
        <v>38</v>
      </c>
      <c r="C39" s="16" t="e">
        <f>#REF!</f>
        <v>#REF!</v>
      </c>
      <c r="D39" s="16" t="e">
        <f>#REF!</f>
        <v>#REF!</v>
      </c>
      <c r="E39" s="16" t="e">
        <f>#REF!</f>
        <v>#REF!</v>
      </c>
      <c r="F39" s="16" t="e">
        <f>#REF!</f>
        <v>#REF!</v>
      </c>
      <c r="G39" s="16" t="e">
        <f>#REF!</f>
        <v>#REF!</v>
      </c>
      <c r="H39" s="16" t="e">
        <f>#REF!</f>
        <v>#REF!</v>
      </c>
      <c r="I39" s="17" t="e">
        <f>F39-C39</f>
        <v>#REF!</v>
      </c>
      <c r="J39" s="18"/>
    </row>
    <row r="40" spans="1:10" ht="15.75">
      <c r="A40" s="24"/>
      <c r="B40" s="25"/>
      <c r="C40" s="18"/>
      <c r="D40" s="18"/>
      <c r="E40" s="18"/>
      <c r="F40" s="18"/>
      <c r="G40" s="18"/>
      <c r="H40" s="18"/>
      <c r="I40" s="17"/>
      <c r="J40" s="18"/>
    </row>
    <row r="41" spans="1:10" ht="15.75">
      <c r="A41" s="26">
        <v>10</v>
      </c>
      <c r="B41" s="30" t="s">
        <v>42</v>
      </c>
      <c r="C41" s="17" t="e">
        <f>#REF!</f>
        <v>#REF!</v>
      </c>
      <c r="D41" s="16" t="e">
        <f>#REF!</f>
        <v>#REF!</v>
      </c>
      <c r="E41" s="16" t="e">
        <f>#REF!</f>
        <v>#REF!</v>
      </c>
      <c r="F41" s="17" t="e">
        <f>#REF!</f>
        <v>#REF!</v>
      </c>
      <c r="G41" s="16" t="e">
        <f>#REF!</f>
        <v>#REF!</v>
      </c>
      <c r="H41" s="16" t="e">
        <f>#REF!</f>
        <v>#REF!</v>
      </c>
      <c r="I41" s="17" t="e">
        <f>F41-C41</f>
        <v>#REF!</v>
      </c>
      <c r="J41" s="18"/>
    </row>
    <row r="42" spans="1:10" ht="15.75">
      <c r="A42" s="26"/>
      <c r="B42" s="31" t="s">
        <v>47</v>
      </c>
      <c r="C42" s="18"/>
      <c r="D42" s="16"/>
      <c r="E42" s="16" t="e">
        <f>#REF!</f>
        <v>#REF!</v>
      </c>
      <c r="F42" s="18"/>
      <c r="G42" s="18"/>
      <c r="H42" s="16" t="e">
        <f>#REF!</f>
        <v>#REF!</v>
      </c>
      <c r="I42" s="17"/>
      <c r="J42" s="18"/>
    </row>
    <row r="43" spans="1:10" ht="15.75">
      <c r="A43" s="26"/>
      <c r="B43" s="30"/>
      <c r="C43" s="18"/>
      <c r="D43" s="18"/>
      <c r="E43" s="18"/>
      <c r="F43" s="18"/>
      <c r="G43" s="18"/>
      <c r="H43" s="18"/>
      <c r="I43" s="17"/>
      <c r="J43" s="18"/>
    </row>
    <row r="44" spans="1:10" ht="15.75">
      <c r="A44" s="26">
        <v>11</v>
      </c>
      <c r="B44" s="30" t="s">
        <v>43</v>
      </c>
      <c r="C44" s="18" t="e">
        <f>#REF!</f>
        <v>#REF!</v>
      </c>
      <c r="D44" s="16" t="e">
        <f>#REF!</f>
        <v>#REF!</v>
      </c>
      <c r="E44" s="16" t="e">
        <f>#REF!</f>
        <v>#REF!</v>
      </c>
      <c r="F44" s="18" t="e">
        <f>#REF!</f>
        <v>#REF!</v>
      </c>
      <c r="G44" s="16" t="e">
        <f>#REF!</f>
        <v>#REF!</v>
      </c>
      <c r="H44" s="16" t="e">
        <f>#REF!</f>
        <v>#REF!</v>
      </c>
      <c r="I44" s="17" t="e">
        <f>F44-C44</f>
        <v>#REF!</v>
      </c>
      <c r="J44" s="18"/>
    </row>
    <row r="45" spans="1:10" ht="15.75">
      <c r="A45" s="24"/>
      <c r="B45" s="32" t="s">
        <v>48</v>
      </c>
      <c r="C45" s="18"/>
      <c r="D45" s="18"/>
      <c r="E45" s="16" t="e">
        <f>#REF!</f>
        <v>#REF!</v>
      </c>
      <c r="F45" s="18"/>
      <c r="G45" s="18"/>
      <c r="H45" s="16" t="e">
        <f>#REF!</f>
        <v>#REF!</v>
      </c>
      <c r="I45" s="17"/>
      <c r="J45" s="18"/>
    </row>
    <row r="46" spans="1:10" ht="15.75">
      <c r="A46" s="24"/>
      <c r="B46" s="25"/>
      <c r="C46" s="18"/>
      <c r="D46" s="18"/>
      <c r="E46" s="18"/>
      <c r="F46" s="18"/>
      <c r="G46" s="18"/>
      <c r="H46" s="18"/>
      <c r="I46" s="17"/>
      <c r="J46" s="18"/>
    </row>
    <row r="47" spans="1:10" ht="15.75">
      <c r="A47" s="33">
        <v>12</v>
      </c>
      <c r="B47" s="34" t="s">
        <v>44</v>
      </c>
      <c r="C47" s="16" t="e">
        <f>#REF!</f>
        <v>#REF!</v>
      </c>
      <c r="D47" s="16" t="e">
        <f>#REF!</f>
        <v>#REF!</v>
      </c>
      <c r="E47" s="16" t="e">
        <f>#REF!</f>
        <v>#REF!</v>
      </c>
      <c r="F47" s="16" t="e">
        <f>#REF!</f>
        <v>#REF!</v>
      </c>
      <c r="G47" s="16" t="e">
        <f>#REF!</f>
        <v>#REF!</v>
      </c>
      <c r="H47" s="16" t="e">
        <f>#REF!</f>
        <v>#REF!</v>
      </c>
      <c r="I47" s="17" t="e">
        <f>F47-C47</f>
        <v>#REF!</v>
      </c>
      <c r="J47" s="18"/>
    </row>
    <row r="48" spans="1:10" ht="15.75">
      <c r="A48" s="22"/>
      <c r="B48" s="35" t="s">
        <v>45</v>
      </c>
      <c r="C48" s="18"/>
      <c r="D48" s="18"/>
      <c r="E48" s="16" t="e">
        <f>#REF!</f>
        <v>#REF!</v>
      </c>
      <c r="F48" s="18"/>
      <c r="G48" s="18"/>
      <c r="H48" s="16" t="e">
        <f>#REF!</f>
        <v>#REF!</v>
      </c>
      <c r="I48" s="17"/>
      <c r="J48" s="18"/>
    </row>
    <row r="49" spans="1:10" ht="15.75">
      <c r="A49" s="26"/>
      <c r="B49" s="30"/>
      <c r="C49" s="18"/>
      <c r="D49" s="18"/>
      <c r="E49" s="18"/>
      <c r="F49" s="18"/>
      <c r="G49" s="18"/>
      <c r="H49" s="18"/>
      <c r="I49" s="17"/>
      <c r="J49" s="18"/>
    </row>
    <row r="50" spans="1:10" ht="15.75">
      <c r="A50" s="24">
        <v>12</v>
      </c>
      <c r="B50" s="36" t="s">
        <v>32</v>
      </c>
      <c r="C50" s="18">
        <v>1</v>
      </c>
      <c r="D50" s="18">
        <v>500</v>
      </c>
      <c r="E50" s="18">
        <v>500</v>
      </c>
      <c r="F50" s="17" t="e">
        <f>#REF!</f>
        <v>#REF!</v>
      </c>
      <c r="G50" s="16" t="e">
        <f>#REF!</f>
        <v>#REF!</v>
      </c>
      <c r="H50" s="16" t="e">
        <f>#REF!</f>
        <v>#REF!</v>
      </c>
      <c r="I50" s="17" t="e">
        <f>F50-C50</f>
        <v>#REF!</v>
      </c>
      <c r="J50" s="18"/>
    </row>
    <row r="51" spans="1:10" ht="15.75">
      <c r="A51" s="19"/>
      <c r="B51" s="20" t="s">
        <v>64</v>
      </c>
      <c r="C51" s="20"/>
      <c r="D51" s="20"/>
      <c r="E51" s="21" t="e">
        <f>SUM(E12:E50)</f>
        <v>#REF!</v>
      </c>
      <c r="F51" s="20"/>
      <c r="G51" s="20"/>
      <c r="H51" s="21" t="e">
        <f>SUM(H12:H50)</f>
        <v>#REF!</v>
      </c>
      <c r="I51" s="20"/>
      <c r="J51" s="20"/>
    </row>
  </sheetData>
  <mergeCells count="15">
    <mergeCell ref="A1:J1"/>
    <mergeCell ref="A2:J2"/>
    <mergeCell ref="A3:J3"/>
    <mergeCell ref="A4:J4"/>
    <mergeCell ref="C6:D6"/>
    <mergeCell ref="I6:J6"/>
    <mergeCell ref="C7:D7"/>
    <mergeCell ref="E7:F7"/>
    <mergeCell ref="H7:J7"/>
    <mergeCell ref="A10:A11"/>
    <mergeCell ref="B10:B11"/>
    <mergeCell ref="C10:E10"/>
    <mergeCell ref="F10:H10"/>
    <mergeCell ref="I10:I11"/>
    <mergeCell ref="J10:J11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="80" zoomScaleNormal="80" workbookViewId="0">
      <selection activeCell="F8" sqref="F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20.25">
      <c r="A1" s="38">
        <v>152</v>
      </c>
      <c r="B1" s="168" t="s">
        <v>83</v>
      </c>
      <c r="C1" s="169"/>
      <c r="D1" s="169"/>
      <c r="E1" s="169"/>
      <c r="F1" s="169"/>
      <c r="G1" s="169"/>
      <c r="H1" s="169"/>
    </row>
    <row r="2" spans="1:8" ht="15.75">
      <c r="A2" s="39" t="s">
        <v>84</v>
      </c>
      <c r="B2" s="170" t="s">
        <v>85</v>
      </c>
      <c r="C2" s="171"/>
      <c r="D2" s="171"/>
      <c r="E2" s="171"/>
      <c r="F2" s="171"/>
      <c r="G2" s="171"/>
      <c r="H2" s="171"/>
    </row>
    <row r="3" spans="1:8" ht="31.5">
      <c r="A3" s="40"/>
      <c r="B3" s="41" t="s">
        <v>86</v>
      </c>
      <c r="C3" s="41" t="s">
        <v>87</v>
      </c>
      <c r="D3" s="41" t="s">
        <v>88</v>
      </c>
      <c r="E3" s="41" t="s">
        <v>89</v>
      </c>
      <c r="F3" s="41" t="s">
        <v>90</v>
      </c>
      <c r="G3" s="41" t="s">
        <v>91</v>
      </c>
      <c r="H3" s="41" t="s">
        <v>92</v>
      </c>
    </row>
    <row r="4" spans="1:8" ht="17.25">
      <c r="A4" s="40"/>
      <c r="B4" s="172" t="s">
        <v>93</v>
      </c>
      <c r="C4" s="42" t="s">
        <v>94</v>
      </c>
      <c r="D4" s="43">
        <v>0.5</v>
      </c>
      <c r="E4" s="44" t="s">
        <v>95</v>
      </c>
      <c r="F4" s="45">
        <v>1330</v>
      </c>
      <c r="G4" s="45">
        <f>FLOOR(D4*F4,0.01)</f>
        <v>665</v>
      </c>
      <c r="H4" s="46"/>
    </row>
    <row r="5" spans="1:8" ht="17.25">
      <c r="A5" s="40"/>
      <c r="B5" s="173"/>
      <c r="C5" s="47" t="s">
        <v>96</v>
      </c>
      <c r="D5" s="48">
        <v>1</v>
      </c>
      <c r="E5" s="47" t="s">
        <v>95</v>
      </c>
      <c r="F5" s="49">
        <v>1000</v>
      </c>
      <c r="G5" s="49">
        <f>FLOOR(D5*F5,0.01)</f>
        <v>1000</v>
      </c>
      <c r="H5" s="50">
        <f>SUM(G4+G5)</f>
        <v>1665</v>
      </c>
    </row>
    <row r="6" spans="1:8" ht="17.25">
      <c r="A6" s="40"/>
      <c r="B6" s="174" t="s">
        <v>97</v>
      </c>
      <c r="C6" s="44" t="s">
        <v>98</v>
      </c>
      <c r="D6" s="43">
        <f>420*0</f>
        <v>0</v>
      </c>
      <c r="E6" s="44" t="s">
        <v>99</v>
      </c>
      <c r="F6" s="51">
        <v>15.145</v>
      </c>
      <c r="G6" s="52">
        <f>FLOOR(D6*F6,0.01)</f>
        <v>0</v>
      </c>
      <c r="H6" s="46"/>
    </row>
    <row r="7" spans="1:8" ht="17.25">
      <c r="A7" s="40"/>
      <c r="B7" s="175"/>
      <c r="C7" s="47" t="s">
        <v>100</v>
      </c>
      <c r="D7" s="48">
        <f>0.71*0</f>
        <v>0</v>
      </c>
      <c r="E7" s="47" t="s">
        <v>101</v>
      </c>
      <c r="F7" s="49">
        <v>3389.76</v>
      </c>
      <c r="G7" s="49">
        <f>FLOOR(D7*F7,0.01)</f>
        <v>0</v>
      </c>
      <c r="H7" s="53">
        <f>SUM(G6:G7)</f>
        <v>0</v>
      </c>
    </row>
    <row r="8" spans="1:8" ht="19.5">
      <c r="A8" s="40"/>
      <c r="B8" s="40"/>
      <c r="C8" s="40"/>
      <c r="D8" s="40"/>
      <c r="E8" s="40"/>
      <c r="F8" s="54" t="s">
        <v>102</v>
      </c>
      <c r="G8" s="55"/>
      <c r="H8" s="49">
        <f>SUM(H7,H5)</f>
        <v>1665</v>
      </c>
    </row>
    <row r="9" spans="1:8" ht="19.5">
      <c r="A9" s="40"/>
      <c r="B9" s="40" t="s">
        <v>103</v>
      </c>
      <c r="C9" s="40"/>
      <c r="D9" s="40"/>
      <c r="E9" s="40"/>
      <c r="F9" s="54" t="s">
        <v>104</v>
      </c>
      <c r="G9" s="55"/>
      <c r="H9" s="56">
        <f>FLOOR(H8*0.15,0.01)</f>
        <v>249.75</v>
      </c>
    </row>
    <row r="10" spans="1:8" ht="19.5">
      <c r="A10" s="57"/>
      <c r="B10" s="58">
        <f>+H10</f>
        <v>1914.75</v>
      </c>
      <c r="C10" s="59" t="s">
        <v>105</v>
      </c>
      <c r="D10" s="56">
        <f>INT(B10/B11*100)/100</f>
        <v>191.47</v>
      </c>
      <c r="E10" s="40" t="s">
        <v>106</v>
      </c>
      <c r="F10" s="54" t="s">
        <v>107</v>
      </c>
      <c r="G10" s="55"/>
      <c r="H10" s="56">
        <f>SUM(H8:H9)</f>
        <v>1914.75</v>
      </c>
    </row>
    <row r="11" spans="1:8" ht="16.5">
      <c r="A11" s="40"/>
      <c r="B11" s="60">
        <v>10</v>
      </c>
      <c r="C11" s="40"/>
      <c r="D11" s="40"/>
      <c r="E11" s="40"/>
      <c r="F11" s="40"/>
      <c r="G11" s="40"/>
      <c r="H11" s="40"/>
    </row>
  </sheetData>
  <sheetProtection algorithmName="SHA-512" hashValue="BHpjvqogGsJTyvmswF5yADF/MQEH182kQ3BQwKxz7nBNmFdMyiRYNKN1krIKmS/vSA+RKVYcNPDTXBu+udIgPg==" saltValue="a+MvDxOYwIW2M4YgJ1Ikug==" spinCount="100000" sheet="1" objects="1" scenarios="1"/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1010-D468-4D9B-BD2C-99595ACF4C8F}">
  <dimension ref="A1:L174"/>
  <sheetViews>
    <sheetView view="pageBreakPreview" topLeftCell="A153" zoomScaleNormal="100" zoomScaleSheetLayoutView="100" workbookViewId="0">
      <selection activeCell="A165" sqref="A165"/>
    </sheetView>
  </sheetViews>
  <sheetFormatPr defaultColWidth="9.140625" defaultRowHeight="16.5"/>
  <cols>
    <col min="1" max="1" width="4.42578125" style="69" customWidth="1"/>
    <col min="2" max="2" width="30.5703125" style="5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50" t="s">
        <v>11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09"/>
    </row>
    <row r="2" spans="1:12" ht="20.25">
      <c r="A2" s="151" t="s">
        <v>16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18"/>
    </row>
    <row r="3" spans="1:12">
      <c r="A3" s="150" t="s">
        <v>17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09"/>
    </row>
    <row r="4" spans="1:12">
      <c r="A4" s="152" t="s">
        <v>22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</row>
    <row r="5" spans="1:12" ht="20.25">
      <c r="A5" s="119" t="s">
        <v>139</v>
      </c>
      <c r="G5" s="4"/>
      <c r="J5" s="153" t="s">
        <v>78</v>
      </c>
      <c r="K5" s="153"/>
    </row>
    <row r="6" spans="1:12">
      <c r="A6" s="148" t="s">
        <v>27</v>
      </c>
      <c r="B6" s="148"/>
      <c r="C6" s="148"/>
      <c r="D6" s="148"/>
      <c r="E6" s="148"/>
      <c r="F6" s="148"/>
      <c r="G6" s="61"/>
      <c r="H6" s="149" t="s">
        <v>140</v>
      </c>
      <c r="I6" s="149"/>
      <c r="J6" s="149"/>
      <c r="K6" s="149"/>
    </row>
    <row r="7" spans="1:12">
      <c r="B7" s="3"/>
      <c r="C7" s="4"/>
      <c r="D7" s="61"/>
      <c r="E7" s="61"/>
      <c r="F7" s="61"/>
      <c r="G7" s="61"/>
      <c r="I7" s="62"/>
      <c r="J7" s="61"/>
      <c r="K7" s="5"/>
    </row>
    <row r="8" spans="1:12" s="4" customFormat="1">
      <c r="A8" s="70" t="s">
        <v>0</v>
      </c>
      <c r="B8" s="66" t="s">
        <v>1</v>
      </c>
      <c r="C8" s="63" t="s">
        <v>2</v>
      </c>
      <c r="D8" s="67" t="s">
        <v>3</v>
      </c>
      <c r="E8" s="67" t="s">
        <v>4</v>
      </c>
      <c r="F8" s="67" t="s">
        <v>5</v>
      </c>
      <c r="G8" s="64" t="s">
        <v>6</v>
      </c>
      <c r="H8" s="63" t="s">
        <v>7</v>
      </c>
      <c r="I8" s="67" t="s">
        <v>8</v>
      </c>
      <c r="J8" s="67" t="s">
        <v>9</v>
      </c>
      <c r="K8" s="68" t="s">
        <v>129</v>
      </c>
    </row>
    <row r="9" spans="1:12">
      <c r="A9" s="71" t="s">
        <v>76</v>
      </c>
      <c r="B9" s="72" t="s">
        <v>77</v>
      </c>
      <c r="C9" s="73"/>
      <c r="D9" s="74"/>
      <c r="E9" s="74"/>
      <c r="F9" s="74"/>
      <c r="G9" s="74"/>
      <c r="H9" s="75"/>
      <c r="I9" s="74"/>
      <c r="J9" s="74"/>
      <c r="K9" s="76"/>
    </row>
    <row r="10" spans="1:12" ht="30.75">
      <c r="A10" s="77">
        <v>1</v>
      </c>
      <c r="B10" s="115" t="s">
        <v>80</v>
      </c>
      <c r="C10" s="79"/>
      <c r="D10" s="79"/>
      <c r="E10" s="79"/>
      <c r="F10" s="79"/>
      <c r="G10" s="79"/>
      <c r="H10" s="80"/>
      <c r="I10" s="80"/>
      <c r="J10" s="80"/>
      <c r="K10" s="81"/>
    </row>
    <row r="11" spans="1:12">
      <c r="A11" s="77"/>
      <c r="B11" s="82" t="s">
        <v>130</v>
      </c>
      <c r="C11" s="83">
        <v>1</v>
      </c>
      <c r="D11" s="84">
        <v>5</v>
      </c>
      <c r="E11" s="84">
        <f>11/3.281</f>
        <v>3.3526363913441024</v>
      </c>
      <c r="F11" s="84">
        <v>7.4999999999999997E-2</v>
      </c>
      <c r="G11" s="84">
        <f>C11*D11*E11*F11</f>
        <v>1.2572386467540384</v>
      </c>
      <c r="H11" s="80"/>
      <c r="I11" s="80"/>
      <c r="J11" s="80"/>
      <c r="K11" s="81"/>
    </row>
    <row r="12" spans="1:12">
      <c r="A12" s="77"/>
      <c r="B12" s="82"/>
      <c r="C12" s="83"/>
      <c r="D12" s="84"/>
      <c r="E12" s="84"/>
      <c r="F12" s="84"/>
      <c r="G12" s="84">
        <f>SUM(G11:G11)</f>
        <v>1.2572386467540384</v>
      </c>
      <c r="H12" s="80" t="s">
        <v>24</v>
      </c>
      <c r="I12" s="80">
        <v>3740</v>
      </c>
      <c r="J12" s="80">
        <f>G12*I12</f>
        <v>4702.072538860104</v>
      </c>
      <c r="K12" s="81"/>
    </row>
    <row r="13" spans="1:12">
      <c r="A13" s="77"/>
      <c r="B13" s="78"/>
      <c r="C13" s="83"/>
      <c r="D13" s="84"/>
      <c r="E13" s="84"/>
      <c r="F13" s="84"/>
      <c r="G13" s="84"/>
      <c r="H13" s="80"/>
      <c r="I13" s="84"/>
      <c r="J13" s="84"/>
      <c r="K13" s="81"/>
    </row>
    <row r="14" spans="1:12" ht="45.75">
      <c r="A14" s="77">
        <v>2</v>
      </c>
      <c r="B14" s="115" t="s">
        <v>79</v>
      </c>
      <c r="C14" s="79"/>
      <c r="D14" s="79"/>
      <c r="E14" s="79"/>
      <c r="F14" s="79"/>
      <c r="G14" s="79"/>
      <c r="H14" s="80"/>
      <c r="I14" s="80"/>
      <c r="J14" s="80"/>
      <c r="K14" s="81"/>
    </row>
    <row r="15" spans="1:12">
      <c r="A15" s="77"/>
      <c r="B15" s="85" t="str">
        <f>B11</f>
        <v>-water tank</v>
      </c>
      <c r="C15" s="83">
        <v>2</v>
      </c>
      <c r="D15" s="84">
        <f>D11</f>
        <v>5</v>
      </c>
      <c r="E15" s="84">
        <v>0.23</v>
      </c>
      <c r="F15" s="84">
        <v>1.4</v>
      </c>
      <c r="G15" s="84">
        <f>C15*D15*F15</f>
        <v>14</v>
      </c>
      <c r="H15" s="84"/>
      <c r="I15" s="84"/>
      <c r="J15" s="84"/>
      <c r="K15" s="81"/>
    </row>
    <row r="16" spans="1:12">
      <c r="A16" s="77"/>
      <c r="B16" s="85"/>
      <c r="C16" s="83">
        <v>2</v>
      </c>
      <c r="D16" s="84">
        <f>E11-0.23*2</f>
        <v>2.8926363913441024</v>
      </c>
      <c r="E16" s="84">
        <v>0.23</v>
      </c>
      <c r="F16" s="84">
        <v>1.4</v>
      </c>
      <c r="G16" s="84">
        <f>C16*D16*F16</f>
        <v>8.0993818957634858</v>
      </c>
      <c r="H16" s="84"/>
      <c r="I16" s="84"/>
      <c r="J16" s="84"/>
      <c r="K16" s="81"/>
    </row>
    <row r="17" spans="1:11">
      <c r="A17" s="77"/>
      <c r="B17" s="85"/>
      <c r="C17" s="83">
        <v>1</v>
      </c>
      <c r="D17" s="84">
        <f>D11</f>
        <v>5</v>
      </c>
      <c r="E17" s="84">
        <v>0.23</v>
      </c>
      <c r="F17" s="84">
        <v>0.45</v>
      </c>
      <c r="G17" s="84">
        <f>C17*D17*F17</f>
        <v>2.25</v>
      </c>
      <c r="H17" s="84"/>
      <c r="I17" s="84"/>
      <c r="J17" s="84"/>
      <c r="K17" s="81"/>
    </row>
    <row r="18" spans="1:11">
      <c r="A18" s="77"/>
      <c r="B18" s="79"/>
      <c r="C18" s="83"/>
      <c r="D18" s="84"/>
      <c r="E18" s="84"/>
      <c r="F18" s="86"/>
      <c r="G18" s="84">
        <f>SUM(G15:G17)</f>
        <v>24.349381895763486</v>
      </c>
      <c r="H18" s="80" t="s">
        <v>24</v>
      </c>
      <c r="I18" s="84">
        <v>1982.2</v>
      </c>
      <c r="J18" s="84">
        <f>G18*I18</f>
        <v>48265.34479378238</v>
      </c>
      <c r="K18" s="81"/>
    </row>
    <row r="19" spans="1:11">
      <c r="A19" s="77"/>
      <c r="B19" s="87"/>
      <c r="C19" s="83"/>
      <c r="D19" s="84"/>
      <c r="E19" s="84"/>
      <c r="F19" s="86"/>
      <c r="G19" s="84"/>
      <c r="H19" s="80"/>
      <c r="I19" s="84"/>
      <c r="J19" s="84"/>
      <c r="K19" s="81"/>
    </row>
    <row r="20" spans="1:11" ht="45.75">
      <c r="A20" s="77">
        <v>3</v>
      </c>
      <c r="B20" s="116" t="s">
        <v>82</v>
      </c>
      <c r="C20" s="83"/>
      <c r="D20" s="84"/>
      <c r="E20" s="84"/>
      <c r="F20" s="86"/>
      <c r="G20" s="84"/>
      <c r="H20" s="80"/>
      <c r="I20" s="84"/>
      <c r="J20" s="84"/>
      <c r="K20" s="81"/>
    </row>
    <row r="21" spans="1:11">
      <c r="A21" s="77"/>
      <c r="B21" s="87"/>
      <c r="C21" s="83">
        <f>C11</f>
        <v>1</v>
      </c>
      <c r="D21" s="84">
        <f>D11</f>
        <v>5</v>
      </c>
      <c r="E21" s="84">
        <f>E11</f>
        <v>3.3526363913441024</v>
      </c>
      <c r="F21" s="86">
        <v>7.4999999999999997E-2</v>
      </c>
      <c r="G21" s="84">
        <f>C21*D21*E21*F21</f>
        <v>1.2572386467540384</v>
      </c>
      <c r="H21" s="80"/>
      <c r="I21" s="84"/>
      <c r="J21" s="84"/>
      <c r="K21" s="81"/>
    </row>
    <row r="22" spans="1:11">
      <c r="A22" s="77"/>
      <c r="B22" s="79"/>
      <c r="C22" s="83"/>
      <c r="D22" s="84"/>
      <c r="E22" s="84"/>
      <c r="F22" s="86"/>
      <c r="G22" s="84">
        <f>SUM(G21)</f>
        <v>1.2572386467540384</v>
      </c>
      <c r="H22" s="80" t="s">
        <v>24</v>
      </c>
      <c r="I22" s="84">
        <v>770.43</v>
      </c>
      <c r="J22" s="84">
        <f>G22*I22</f>
        <v>968.61437061871379</v>
      </c>
      <c r="K22" s="81"/>
    </row>
    <row r="23" spans="1:11">
      <c r="A23" s="77"/>
      <c r="B23" s="79"/>
      <c r="C23" s="83"/>
      <c r="D23" s="84"/>
      <c r="E23" s="84"/>
      <c r="F23" s="86"/>
      <c r="G23" s="84"/>
      <c r="H23" s="80"/>
      <c r="I23" s="84"/>
      <c r="J23" s="84"/>
      <c r="K23" s="81"/>
    </row>
    <row r="24" spans="1:11">
      <c r="A24" s="88">
        <v>4</v>
      </c>
      <c r="B24" s="117" t="s">
        <v>81</v>
      </c>
      <c r="C24" s="89"/>
      <c r="D24" s="90"/>
      <c r="E24" s="90"/>
      <c r="F24" s="86"/>
      <c r="G24" s="90"/>
      <c r="H24" s="86"/>
      <c r="I24" s="90"/>
      <c r="J24" s="90"/>
      <c r="K24" s="81"/>
    </row>
    <row r="25" spans="1:11">
      <c r="A25" s="88"/>
      <c r="B25" s="91" t="s">
        <v>109</v>
      </c>
      <c r="C25" s="89">
        <f>C17</f>
        <v>1</v>
      </c>
      <c r="D25" s="90">
        <f>D17</f>
        <v>5</v>
      </c>
      <c r="E25" s="90">
        <f>E21</f>
        <v>3.3526363913441024</v>
      </c>
      <c r="F25" s="86"/>
      <c r="G25" s="90">
        <f>PRODUCT(C25:F25)</f>
        <v>16.763181956720512</v>
      </c>
      <c r="H25" s="86"/>
      <c r="I25" s="90"/>
      <c r="J25" s="90"/>
      <c r="K25" s="81"/>
    </row>
    <row r="26" spans="1:11">
      <c r="A26" s="88"/>
      <c r="B26" s="81"/>
      <c r="C26" s="89"/>
      <c r="D26" s="90"/>
      <c r="E26" s="90"/>
      <c r="F26" s="86"/>
      <c r="G26" s="90">
        <f>SUM(G25)</f>
        <v>16.763181956720512</v>
      </c>
      <c r="H26" s="86" t="s">
        <v>23</v>
      </c>
      <c r="I26" s="90">
        <f>Sheet1!H8/10</f>
        <v>166.5</v>
      </c>
      <c r="J26" s="90">
        <f>G26*I26</f>
        <v>2791.0697957939651</v>
      </c>
      <c r="K26" s="81"/>
    </row>
    <row r="27" spans="1:11">
      <c r="A27" s="77"/>
      <c r="B27" s="79"/>
      <c r="C27" s="83"/>
      <c r="D27" s="84"/>
      <c r="E27" s="84"/>
      <c r="F27" s="86"/>
      <c r="G27" s="84"/>
      <c r="H27" s="80"/>
      <c r="I27" s="84"/>
      <c r="J27" s="84"/>
      <c r="K27" s="81"/>
    </row>
    <row r="28" spans="1:11" ht="30.75">
      <c r="A28" s="77">
        <v>5</v>
      </c>
      <c r="B28" s="115" t="s">
        <v>108</v>
      </c>
      <c r="C28" s="83"/>
      <c r="D28" s="84"/>
      <c r="E28" s="84"/>
      <c r="F28" s="84"/>
      <c r="G28" s="84"/>
      <c r="H28" s="80"/>
      <c r="I28" s="84"/>
      <c r="J28" s="84"/>
      <c r="K28" s="81"/>
    </row>
    <row r="29" spans="1:11">
      <c r="A29" s="77"/>
      <c r="B29" s="92" t="str">
        <f>B25</f>
        <v>-for flooring</v>
      </c>
      <c r="C29" s="83">
        <f>C25</f>
        <v>1</v>
      </c>
      <c r="D29" s="84">
        <f>D25</f>
        <v>5</v>
      </c>
      <c r="E29" s="84">
        <f>E25</f>
        <v>3.3526363913441024</v>
      </c>
      <c r="F29" s="84">
        <v>7.4999999999999997E-2</v>
      </c>
      <c r="G29" s="84">
        <f>C29*D29*E29*F29</f>
        <v>1.2572386467540384</v>
      </c>
      <c r="H29" s="80"/>
      <c r="I29" s="84"/>
      <c r="J29" s="84"/>
      <c r="K29" s="81"/>
    </row>
    <row r="30" spans="1:11">
      <c r="A30" s="77"/>
      <c r="B30" s="93"/>
      <c r="C30" s="83"/>
      <c r="D30" s="84"/>
      <c r="E30" s="84" t="s">
        <v>31</v>
      </c>
      <c r="F30" s="84"/>
      <c r="G30" s="84">
        <f>SUM(G29)</f>
        <v>1.2572386467540384</v>
      </c>
      <c r="H30" s="80" t="s">
        <v>24</v>
      </c>
      <c r="I30" s="84">
        <v>13351.1</v>
      </c>
      <c r="J30" s="84">
        <f>G30*I30</f>
        <v>16785.518896677844</v>
      </c>
      <c r="K30" s="81"/>
    </row>
    <row r="31" spans="1:11">
      <c r="A31" s="77"/>
      <c r="B31" s="92" t="s">
        <v>28</v>
      </c>
      <c r="C31" s="83"/>
      <c r="D31" s="84"/>
      <c r="E31" s="84"/>
      <c r="F31" s="84"/>
      <c r="G31" s="84"/>
      <c r="H31" s="80"/>
      <c r="I31" s="84"/>
      <c r="J31" s="84">
        <f>0.13*G30*4169.92</f>
        <v>681.53599512343794</v>
      </c>
      <c r="K31" s="81"/>
    </row>
    <row r="32" spans="1:11">
      <c r="A32" s="77"/>
      <c r="B32" s="92" t="s">
        <v>29</v>
      </c>
      <c r="C32" s="83"/>
      <c r="D32" s="84"/>
      <c r="E32" s="84"/>
      <c r="F32" s="84"/>
      <c r="G32" s="84"/>
      <c r="H32" s="80"/>
      <c r="I32" s="84"/>
      <c r="J32" s="84">
        <f>0.13*G30*1414.16</f>
        <v>231.13175861017984</v>
      </c>
      <c r="K32" s="81"/>
    </row>
    <row r="33" spans="1:11">
      <c r="A33" s="77"/>
      <c r="B33" s="92" t="s">
        <v>30</v>
      </c>
      <c r="C33" s="83"/>
      <c r="D33" s="84"/>
      <c r="E33" s="84"/>
      <c r="F33" s="84"/>
      <c r="G33" s="84"/>
      <c r="H33" s="80"/>
      <c r="I33" s="84"/>
      <c r="J33" s="84">
        <f>0.13*G30*(1652.5+737.97+349.56)</f>
        <v>447.83330920451084</v>
      </c>
      <c r="K33" s="81"/>
    </row>
    <row r="34" spans="1:11">
      <c r="A34" s="77"/>
      <c r="B34" s="78"/>
      <c r="C34" s="83"/>
      <c r="D34" s="84"/>
      <c r="E34" s="84"/>
      <c r="F34" s="84"/>
      <c r="G34" s="84"/>
      <c r="H34" s="80"/>
      <c r="I34" s="84"/>
      <c r="J34" s="84"/>
      <c r="K34" s="81"/>
    </row>
    <row r="35" spans="1:11" ht="45.75">
      <c r="A35" s="77">
        <v>6</v>
      </c>
      <c r="B35" s="115" t="s">
        <v>71</v>
      </c>
      <c r="C35" s="83"/>
      <c r="D35" s="84"/>
      <c r="E35" s="84"/>
      <c r="F35" s="84"/>
      <c r="G35" s="84"/>
      <c r="H35" s="80"/>
      <c r="I35" s="84"/>
      <c r="J35" s="84"/>
      <c r="K35" s="81"/>
    </row>
    <row r="36" spans="1:11">
      <c r="A36" s="77"/>
      <c r="B36" s="94" t="s">
        <v>131</v>
      </c>
      <c r="C36" s="83">
        <v>33</v>
      </c>
      <c r="D36" s="84">
        <f>(2+5.917+16.17+5.917+2)/3.281</f>
        <v>9.7543431880524238</v>
      </c>
      <c r="E36" s="84"/>
      <c r="F36" s="84">
        <f>10*10/162</f>
        <v>0.61728395061728392</v>
      </c>
      <c r="G36" s="84">
        <f>C36*D36*F36</f>
        <v>198.69958346032715</v>
      </c>
      <c r="H36" s="80"/>
      <c r="I36" s="84"/>
      <c r="J36" s="84"/>
      <c r="K36" s="81"/>
    </row>
    <row r="37" spans="1:11">
      <c r="A37" s="77"/>
      <c r="B37" s="92"/>
      <c r="C37" s="83">
        <v>32</v>
      </c>
      <c r="D37" s="84">
        <f>(2+5.5+15.667+5.5+2)/3.281</f>
        <v>9.3468454739408724</v>
      </c>
      <c r="E37" s="84"/>
      <c r="F37" s="84">
        <f>10*10/162</f>
        <v>0.61728395061728392</v>
      </c>
      <c r="G37" s="84">
        <f t="shared" ref="G37" si="0">C37*D37*F37</f>
        <v>184.62904639883203</v>
      </c>
      <c r="H37" s="80"/>
      <c r="I37" s="84"/>
      <c r="J37" s="84"/>
      <c r="K37" s="81"/>
    </row>
    <row r="38" spans="1:11">
      <c r="A38" s="77"/>
      <c r="B38" s="94" t="s">
        <v>110</v>
      </c>
      <c r="C38" s="83">
        <v>23</v>
      </c>
      <c r="D38" s="84">
        <f>(2+5.917+10.75+5.917+2)/3.281</f>
        <v>8.1024078024992381</v>
      </c>
      <c r="E38" s="84"/>
      <c r="F38" s="84">
        <f>10*10/162</f>
        <v>0.61728395061728392</v>
      </c>
      <c r="G38" s="84">
        <f>C38*D38*F38</f>
        <v>115.03418485029782</v>
      </c>
      <c r="H38" s="80"/>
      <c r="I38" s="84"/>
      <c r="J38" s="84"/>
      <c r="K38" s="81"/>
    </row>
    <row r="39" spans="1:11">
      <c r="A39" s="77"/>
      <c r="B39" s="92"/>
      <c r="C39" s="83">
        <v>22</v>
      </c>
      <c r="D39" s="84">
        <f>(2+5.5+10.25+5.5+2)/3.281</f>
        <v>7.6958244437671439</v>
      </c>
      <c r="E39" s="84"/>
      <c r="F39" s="84">
        <f>10*10/162</f>
        <v>0.61728395061728392</v>
      </c>
      <c r="G39" s="84">
        <f t="shared" ref="G39" si="1">C39*D39*F39</f>
        <v>104.51119614992416</v>
      </c>
      <c r="H39" s="80"/>
      <c r="I39" s="84"/>
      <c r="J39" s="84"/>
      <c r="K39" s="81"/>
    </row>
    <row r="40" spans="1:11">
      <c r="A40" s="77"/>
      <c r="B40" s="94" t="s">
        <v>132</v>
      </c>
      <c r="C40" s="83">
        <v>12</v>
      </c>
      <c r="D40" s="84">
        <f>(16.17+10.75+16.17+10.75)/3.281</f>
        <v>16.409631209996952</v>
      </c>
      <c r="E40" s="84"/>
      <c r="F40" s="84">
        <f>8*8/162</f>
        <v>0.39506172839506171</v>
      </c>
      <c r="G40" s="84">
        <f>C40*D40*F40</f>
        <v>77.79380721776333</v>
      </c>
      <c r="H40" s="80"/>
      <c r="I40" s="84"/>
      <c r="J40" s="84"/>
      <c r="K40" s="81"/>
    </row>
    <row r="41" spans="1:11">
      <c r="A41" s="77"/>
      <c r="B41" s="92"/>
      <c r="C41" s="83">
        <v>11</v>
      </c>
      <c r="D41" s="84">
        <f>(15.667+10.25+15.667+10.25)/3.281</f>
        <v>15.798232246266382</v>
      </c>
      <c r="E41" s="84"/>
      <c r="F41" s="84">
        <f>8*8/162</f>
        <v>0.39506172839506171</v>
      </c>
      <c r="G41" s="84">
        <f>C41*D41*F41</f>
        <v>68.654046304762545</v>
      </c>
      <c r="H41" s="80"/>
      <c r="I41" s="84"/>
      <c r="J41" s="84"/>
      <c r="K41" s="81"/>
    </row>
    <row r="42" spans="1:11">
      <c r="A42" s="77"/>
      <c r="B42" s="94" t="s">
        <v>111</v>
      </c>
      <c r="C42" s="83">
        <f>2*TRUNC((D43/0.15),0)</f>
        <v>42</v>
      </c>
      <c r="D42" s="84">
        <f>(16.17/3.281)</f>
        <v>4.928375495275831</v>
      </c>
      <c r="E42" s="84"/>
      <c r="F42" s="84">
        <f t="shared" ref="F42:F46" si="2">8*8/162</f>
        <v>0.39506172839506171</v>
      </c>
      <c r="G42" s="84">
        <f t="shared" ref="G42:G43" si="3">C42*D42*F42</f>
        <v>81.774526736428598</v>
      </c>
      <c r="H42" s="80"/>
      <c r="I42" s="84"/>
      <c r="J42" s="84"/>
      <c r="K42" s="81"/>
    </row>
    <row r="43" spans="1:11">
      <c r="A43" s="77"/>
      <c r="B43" s="92"/>
      <c r="C43" s="83">
        <f>2*TRUNC((D42/0.15),0)</f>
        <v>64</v>
      </c>
      <c r="D43" s="84">
        <f>10.75/3.281</f>
        <v>3.2764401097226452</v>
      </c>
      <c r="E43" s="84"/>
      <c r="F43" s="84">
        <f t="shared" si="2"/>
        <v>0.39506172839506171</v>
      </c>
      <c r="G43" s="84">
        <f t="shared" si="3"/>
        <v>82.841349934715765</v>
      </c>
      <c r="H43" s="80"/>
      <c r="I43" s="84"/>
      <c r="J43" s="84"/>
      <c r="K43" s="81"/>
    </row>
    <row r="44" spans="1:11">
      <c r="A44" s="77"/>
      <c r="B44" s="94" t="s">
        <v>122</v>
      </c>
      <c r="C44" s="83">
        <f>-2*5</f>
        <v>-10</v>
      </c>
      <c r="D44" s="84">
        <v>0.6</v>
      </c>
      <c r="E44" s="84"/>
      <c r="F44" s="84">
        <f t="shared" si="2"/>
        <v>0.39506172839506171</v>
      </c>
      <c r="G44" s="84">
        <f t="shared" ref="G44:G45" si="4">PRODUCT(C44:F44)</f>
        <v>-2.3703703703703702</v>
      </c>
      <c r="H44" s="80"/>
      <c r="I44" s="84"/>
      <c r="J44" s="84"/>
      <c r="K44" s="81"/>
    </row>
    <row r="45" spans="1:11">
      <c r="A45" s="77"/>
      <c r="B45" s="94"/>
      <c r="C45" s="83">
        <f>-2*5</f>
        <v>-10</v>
      </c>
      <c r="D45" s="84">
        <v>0.6</v>
      </c>
      <c r="E45" s="84"/>
      <c r="F45" s="84">
        <f t="shared" si="2"/>
        <v>0.39506172839506171</v>
      </c>
      <c r="G45" s="84">
        <f t="shared" si="4"/>
        <v>-2.3703703703703702</v>
      </c>
      <c r="H45" s="80"/>
      <c r="I45" s="84"/>
      <c r="J45" s="84"/>
      <c r="K45" s="81"/>
    </row>
    <row r="46" spans="1:11">
      <c r="A46" s="77"/>
      <c r="B46" s="94" t="s">
        <v>118</v>
      </c>
      <c r="C46" s="83">
        <f>28*2+17*2</f>
        <v>90</v>
      </c>
      <c r="D46" s="84">
        <f>(1+1.42+1)/3.281</f>
        <v>1.04236513258153</v>
      </c>
      <c r="E46" s="84"/>
      <c r="F46" s="84">
        <f t="shared" si="2"/>
        <v>0.39506172839506171</v>
      </c>
      <c r="G46" s="84">
        <f t="shared" ref="G46" si="5">C46*D46*F46</f>
        <v>37.061871380676621</v>
      </c>
      <c r="H46" s="80"/>
      <c r="I46" s="84"/>
      <c r="J46" s="84"/>
      <c r="K46" s="81"/>
    </row>
    <row r="47" spans="1:11">
      <c r="A47" s="77"/>
      <c r="B47" s="92"/>
      <c r="C47" s="83"/>
      <c r="D47" s="84"/>
      <c r="E47" s="84"/>
      <c r="F47" s="84"/>
      <c r="G47" s="84">
        <f>SUM(G36:G46)</f>
        <v>946.25887169298721</v>
      </c>
      <c r="H47" s="80" t="s">
        <v>18</v>
      </c>
      <c r="I47" s="84">
        <f>132360/1000</f>
        <v>132.36000000000001</v>
      </c>
      <c r="J47" s="95">
        <f>G47*I47</f>
        <v>125246.82425728381</v>
      </c>
      <c r="K47" s="81"/>
    </row>
    <row r="48" spans="1:11">
      <c r="A48" s="77"/>
      <c r="B48" s="92" t="s">
        <v>72</v>
      </c>
      <c r="C48" s="83"/>
      <c r="D48" s="84"/>
      <c r="E48" s="84"/>
      <c r="F48" s="84"/>
      <c r="G48" s="84"/>
      <c r="H48" s="80"/>
      <c r="I48" s="84"/>
      <c r="J48" s="84">
        <f>0.13*G47*106200/1000</f>
        <v>13064.049982593382</v>
      </c>
      <c r="K48" s="81"/>
    </row>
    <row r="49" spans="1:11">
      <c r="A49" s="77"/>
      <c r="B49" s="92"/>
      <c r="C49" s="83"/>
      <c r="D49" s="84"/>
      <c r="E49" s="84"/>
      <c r="F49" s="84"/>
      <c r="G49" s="84"/>
      <c r="H49" s="80"/>
      <c r="I49" s="84"/>
      <c r="J49" s="84"/>
      <c r="K49" s="81"/>
    </row>
    <row r="50" spans="1:11" ht="30.75">
      <c r="A50" s="77">
        <v>7</v>
      </c>
      <c r="B50" s="115" t="s">
        <v>112</v>
      </c>
      <c r="C50" s="83"/>
      <c r="D50" s="84"/>
      <c r="E50" s="84"/>
      <c r="F50" s="84"/>
      <c r="G50" s="84"/>
      <c r="H50" s="80"/>
      <c r="I50" s="84"/>
      <c r="J50" s="84"/>
      <c r="K50" s="81"/>
    </row>
    <row r="51" spans="1:11">
      <c r="A51" s="77"/>
      <c r="B51" s="94" t="s">
        <v>113</v>
      </c>
      <c r="C51" s="83">
        <v>1</v>
      </c>
      <c r="D51" s="84">
        <f>((16.42+11)*2)/3.281</f>
        <v>16.714416336482781</v>
      </c>
      <c r="E51" s="84"/>
      <c r="F51" s="84">
        <f>4.583/3.281</f>
        <v>1.3968302346845474</v>
      </c>
      <c r="G51" s="84">
        <f>PRODUCT(C51:F51)</f>
        <v>23.347202093904475</v>
      </c>
      <c r="H51" s="80"/>
      <c r="I51" s="84"/>
      <c r="J51" s="84"/>
      <c r="K51" s="81"/>
    </row>
    <row r="52" spans="1:11">
      <c r="A52" s="77"/>
      <c r="B52" s="92"/>
      <c r="C52" s="83">
        <v>1</v>
      </c>
      <c r="D52" s="84">
        <f>((15.42+10)*2)/3.281</f>
        <v>15.49527583053947</v>
      </c>
      <c r="E52" s="84"/>
      <c r="F52" s="84">
        <f>4.17/3.281</f>
        <v>1.2709539774459007</v>
      </c>
      <c r="G52" s="84">
        <f t="shared" ref="G52:G54" si="6">PRODUCT(C52:F52)</f>
        <v>19.693782448445472</v>
      </c>
      <c r="H52" s="80"/>
      <c r="I52" s="84"/>
      <c r="J52" s="84"/>
      <c r="K52" s="81"/>
    </row>
    <row r="53" spans="1:11">
      <c r="A53" s="77"/>
      <c r="B53" s="94" t="s">
        <v>114</v>
      </c>
      <c r="C53" s="83">
        <v>1</v>
      </c>
      <c r="D53" s="84">
        <f>(15.42/3.281)</f>
        <v>4.6997866504114594</v>
      </c>
      <c r="E53" s="84">
        <f>10/3.281</f>
        <v>3.047851264858275</v>
      </c>
      <c r="F53" s="84"/>
      <c r="G53" s="84">
        <f t="shared" si="6"/>
        <v>14.324250687020601</v>
      </c>
      <c r="H53" s="80"/>
      <c r="I53" s="84"/>
      <c r="J53" s="84"/>
      <c r="K53" s="81"/>
    </row>
    <row r="54" spans="1:11">
      <c r="A54" s="77"/>
      <c r="B54" s="94" t="s">
        <v>122</v>
      </c>
      <c r="C54" s="83">
        <v>-1</v>
      </c>
      <c r="D54" s="84">
        <v>0.6</v>
      </c>
      <c r="E54" s="84">
        <v>0.6</v>
      </c>
      <c r="F54" s="84"/>
      <c r="G54" s="84">
        <f t="shared" si="6"/>
        <v>-0.36</v>
      </c>
      <c r="H54" s="80"/>
      <c r="I54" s="84"/>
      <c r="J54" s="84"/>
      <c r="K54" s="81"/>
    </row>
    <row r="55" spans="1:11">
      <c r="A55" s="77"/>
      <c r="B55" s="92"/>
      <c r="C55" s="83"/>
      <c r="D55" s="84"/>
      <c r="E55" s="84"/>
      <c r="F55" s="84"/>
      <c r="G55" s="84">
        <f>SUM(G51:G54)</f>
        <v>57.005235229370548</v>
      </c>
      <c r="H55" s="80" t="s">
        <v>23</v>
      </c>
      <c r="I55" s="84">
        <v>922.71</v>
      </c>
      <c r="J55" s="84">
        <f>G55*I55</f>
        <v>52599.300598492504</v>
      </c>
      <c r="K55" s="81"/>
    </row>
    <row r="56" spans="1:11">
      <c r="A56" s="77"/>
      <c r="B56" s="92" t="s">
        <v>72</v>
      </c>
      <c r="C56" s="83"/>
      <c r="D56" s="84"/>
      <c r="E56" s="84"/>
      <c r="F56" s="84"/>
      <c r="G56" s="84"/>
      <c r="H56" s="80"/>
      <c r="I56" s="84"/>
      <c r="J56" s="84">
        <f>0.13*G55*46827.87/100</f>
        <v>3470.2638680324994</v>
      </c>
      <c r="K56" s="81"/>
    </row>
    <row r="57" spans="1:11">
      <c r="A57" s="77"/>
      <c r="B57" s="92"/>
      <c r="C57" s="83"/>
      <c r="D57" s="84"/>
      <c r="E57" s="84"/>
      <c r="F57" s="84"/>
      <c r="G57" s="84"/>
      <c r="H57" s="80"/>
      <c r="I57" s="84"/>
      <c r="J57" s="84"/>
      <c r="K57" s="81"/>
    </row>
    <row r="58" spans="1:11" ht="30.75">
      <c r="A58" s="77">
        <v>8</v>
      </c>
      <c r="B58" s="115" t="s">
        <v>119</v>
      </c>
      <c r="C58" s="83"/>
      <c r="D58" s="84"/>
      <c r="E58" s="84"/>
      <c r="F58" s="84"/>
      <c r="G58" s="84"/>
      <c r="H58" s="80"/>
      <c r="I58" s="84"/>
      <c r="J58" s="84"/>
      <c r="K58" s="81"/>
    </row>
    <row r="59" spans="1:11">
      <c r="A59" s="77"/>
      <c r="B59" s="94" t="s">
        <v>117</v>
      </c>
      <c r="C59" s="83">
        <v>2</v>
      </c>
      <c r="D59" s="84">
        <f>D25</f>
        <v>5</v>
      </c>
      <c r="E59" s="84">
        <f>E25</f>
        <v>3.3526363913441024</v>
      </c>
      <c r="F59" s="84">
        <f>0.42/3.281</f>
        <v>0.12800975312404753</v>
      </c>
      <c r="G59" s="84">
        <f>C59*D59*E59*F59</f>
        <v>4.2917015677065615</v>
      </c>
      <c r="H59" s="80"/>
      <c r="I59" s="84"/>
      <c r="J59" s="84"/>
      <c r="K59" s="81"/>
    </row>
    <row r="60" spans="1:11">
      <c r="A60" s="77"/>
      <c r="B60" s="94" t="s">
        <v>116</v>
      </c>
      <c r="C60" s="83">
        <v>2</v>
      </c>
      <c r="D60" s="84">
        <f>D59</f>
        <v>5</v>
      </c>
      <c r="E60" s="84">
        <v>0.15</v>
      </c>
      <c r="F60" s="84">
        <f>5.25/3.281</f>
        <v>1.6001219140505942</v>
      </c>
      <c r="G60" s="84">
        <f>C60*D60*E60*F60</f>
        <v>2.4001828710758915</v>
      </c>
      <c r="H60" s="80"/>
      <c r="I60" s="84"/>
      <c r="J60" s="84"/>
      <c r="K60" s="81"/>
    </row>
    <row r="61" spans="1:11">
      <c r="A61" s="77"/>
      <c r="B61" s="93"/>
      <c r="C61" s="83">
        <v>2</v>
      </c>
      <c r="D61" s="84">
        <f>10/3.281</f>
        <v>3.047851264858275</v>
      </c>
      <c r="E61" s="84">
        <v>0.15</v>
      </c>
      <c r="F61" s="84">
        <f>5.25/3.281</f>
        <v>1.6001219140505942</v>
      </c>
      <c r="G61" s="84">
        <f>C61*D61*E61*F61</f>
        <v>1.4630800798999641</v>
      </c>
      <c r="H61" s="80"/>
      <c r="I61" s="84"/>
      <c r="J61" s="84"/>
      <c r="K61" s="81"/>
    </row>
    <row r="62" spans="1:11">
      <c r="A62" s="77"/>
      <c r="B62" s="94" t="s">
        <v>115</v>
      </c>
      <c r="C62" s="83">
        <v>0.5</v>
      </c>
      <c r="D62" s="84">
        <f>(13.42*2+8*2)/3.281</f>
        <v>13.05699481865285</v>
      </c>
      <c r="E62" s="84">
        <f>1/3.281</f>
        <v>0.30478512648582745</v>
      </c>
      <c r="F62" s="84">
        <f>1/3.281</f>
        <v>0.30478512648582745</v>
      </c>
      <c r="G62" s="84">
        <f>C62*D62*E62*F62</f>
        <v>0.60645806420723891</v>
      </c>
      <c r="H62" s="80"/>
      <c r="I62" s="84"/>
      <c r="J62" s="84"/>
      <c r="K62" s="81"/>
    </row>
    <row r="63" spans="1:11">
      <c r="A63" s="77"/>
      <c r="B63" s="94" t="s">
        <v>122</v>
      </c>
      <c r="C63" s="83">
        <v>-1</v>
      </c>
      <c r="D63" s="84">
        <v>0.6</v>
      </c>
      <c r="E63" s="84">
        <v>0.6</v>
      </c>
      <c r="F63" s="84">
        <f>0.42/3.281</f>
        <v>0.12800975312404753</v>
      </c>
      <c r="G63" s="84">
        <f>C63*D63*E63*F63</f>
        <v>-4.6083511124657105E-2</v>
      </c>
      <c r="H63" s="80"/>
      <c r="I63" s="84"/>
      <c r="J63" s="84"/>
      <c r="K63" s="81"/>
    </row>
    <row r="64" spans="1:11">
      <c r="A64" s="77"/>
      <c r="B64" s="94"/>
      <c r="C64" s="83"/>
      <c r="D64" s="84"/>
      <c r="E64" s="84" t="s">
        <v>31</v>
      </c>
      <c r="F64" s="84"/>
      <c r="G64" s="84">
        <f>SUM(G59:G63)</f>
        <v>8.7153390717649994</v>
      </c>
      <c r="H64" s="80" t="s">
        <v>24</v>
      </c>
      <c r="I64" s="84">
        <v>13957.29</v>
      </c>
      <c r="J64" s="95">
        <f>G64*I64</f>
        <v>121642.51487295491</v>
      </c>
      <c r="K64" s="81"/>
    </row>
    <row r="65" spans="1:11">
      <c r="A65" s="77"/>
      <c r="B65" s="92" t="s">
        <v>28</v>
      </c>
      <c r="C65" s="83"/>
      <c r="D65" s="84"/>
      <c r="E65" s="84"/>
      <c r="F65" s="84"/>
      <c r="G65" s="84"/>
      <c r="H65" s="80"/>
      <c r="I65" s="84"/>
      <c r="J65" s="84">
        <f>0.13*G64*5212.4</f>
        <v>5905.6183390968245</v>
      </c>
      <c r="K65" s="81"/>
    </row>
    <row r="66" spans="1:11">
      <c r="A66" s="77"/>
      <c r="B66" s="92" t="s">
        <v>29</v>
      </c>
      <c r="C66" s="83"/>
      <c r="D66" s="84"/>
      <c r="E66" s="84"/>
      <c r="F66" s="84"/>
      <c r="G66" s="84"/>
      <c r="H66" s="80"/>
      <c r="I66" s="84"/>
      <c r="J66" s="84">
        <f>0.13*G64*1350.6</f>
        <v>1530.221803542355</v>
      </c>
      <c r="K66" s="81"/>
    </row>
    <row r="67" spans="1:11">
      <c r="A67" s="77"/>
      <c r="B67" s="92" t="s">
        <v>30</v>
      </c>
      <c r="C67" s="83"/>
      <c r="D67" s="84"/>
      <c r="E67" s="84"/>
      <c r="F67" s="84"/>
      <c r="G67" s="84"/>
      <c r="H67" s="80"/>
      <c r="I67" s="84"/>
      <c r="J67" s="84">
        <f>0.13*G64*(1912.03+921.59)</f>
        <v>3210.4746830695158</v>
      </c>
      <c r="K67" s="81"/>
    </row>
    <row r="68" spans="1:11">
      <c r="A68" s="77"/>
      <c r="B68" s="92" t="s">
        <v>120</v>
      </c>
      <c r="C68" s="83"/>
      <c r="D68" s="84"/>
      <c r="E68" s="84"/>
      <c r="F68" s="84"/>
      <c r="G68" s="84"/>
      <c r="H68" s="80"/>
      <c r="I68" s="84"/>
      <c r="J68" s="84">
        <f>0.13*G64*392.92</f>
        <v>445.17603365012752</v>
      </c>
      <c r="K68" s="81"/>
    </row>
    <row r="69" spans="1:11">
      <c r="A69" s="77"/>
      <c r="B69" s="92" t="s">
        <v>121</v>
      </c>
      <c r="C69" s="83"/>
      <c r="D69" s="84"/>
      <c r="E69" s="84"/>
      <c r="F69" s="84"/>
      <c r="G69" s="84"/>
      <c r="H69" s="80"/>
      <c r="I69" s="84"/>
      <c r="J69" s="84">
        <f>0.13*G64*14.15</f>
        <v>16.031866222511717</v>
      </c>
      <c r="K69" s="81"/>
    </row>
    <row r="70" spans="1:11">
      <c r="A70" s="77"/>
      <c r="B70" s="92"/>
      <c r="C70" s="83"/>
      <c r="D70" s="84"/>
      <c r="E70" s="84"/>
      <c r="F70" s="84"/>
      <c r="G70" s="84"/>
      <c r="H70" s="80"/>
      <c r="I70" s="84"/>
      <c r="J70" s="84"/>
      <c r="K70" s="81"/>
    </row>
    <row r="71" spans="1:11" ht="30.75">
      <c r="A71" s="77">
        <v>9</v>
      </c>
      <c r="B71" s="115" t="s">
        <v>69</v>
      </c>
      <c r="C71" s="83"/>
      <c r="D71" s="80"/>
      <c r="E71" s="80"/>
      <c r="F71" s="80"/>
      <c r="G71" s="84"/>
      <c r="H71" s="80"/>
      <c r="I71" s="84"/>
      <c r="J71" s="84"/>
      <c r="K71" s="81"/>
    </row>
    <row r="72" spans="1:11">
      <c r="A72" s="77"/>
      <c r="B72" s="92" t="s">
        <v>124</v>
      </c>
      <c r="C72" s="83">
        <v>2</v>
      </c>
      <c r="D72" s="80">
        <f>15.42/3.281</f>
        <v>4.6997866504114594</v>
      </c>
      <c r="E72" s="80"/>
      <c r="F72" s="80">
        <f>5.25/3.281</f>
        <v>1.6001219140505942</v>
      </c>
      <c r="G72" s="84">
        <f>C72*D72*F72</f>
        <v>15.040463221371631</v>
      </c>
      <c r="H72" s="80"/>
      <c r="I72" s="84"/>
      <c r="J72" s="84"/>
      <c r="K72" s="81"/>
    </row>
    <row r="73" spans="1:11">
      <c r="A73" s="77"/>
      <c r="B73" s="96"/>
      <c r="C73" s="83">
        <v>2</v>
      </c>
      <c r="D73" s="80">
        <f>10/3.281</f>
        <v>3.047851264858275</v>
      </c>
      <c r="E73" s="80"/>
      <c r="F73" s="80">
        <f>5.25/3.281</f>
        <v>1.6001219140505942</v>
      </c>
      <c r="G73" s="84">
        <f>C73*D73*F73</f>
        <v>9.7538671993330954</v>
      </c>
      <c r="H73" s="80"/>
      <c r="I73" s="97"/>
      <c r="J73" s="84"/>
      <c r="K73" s="81"/>
    </row>
    <row r="74" spans="1:11">
      <c r="A74" s="77"/>
      <c r="B74" s="96"/>
      <c r="C74" s="83"/>
      <c r="D74" s="84"/>
      <c r="E74" s="84"/>
      <c r="F74" s="86"/>
      <c r="G74" s="84">
        <f>SUM(G72:G73)</f>
        <v>24.794330420704725</v>
      </c>
      <c r="H74" s="80" t="s">
        <v>23</v>
      </c>
      <c r="I74" s="84">
        <v>415.5</v>
      </c>
      <c r="J74" s="84">
        <f>G74*I74</f>
        <v>10302.044289802812</v>
      </c>
      <c r="K74" s="81"/>
    </row>
    <row r="75" spans="1:11">
      <c r="A75" s="77"/>
      <c r="B75" s="92" t="s">
        <v>28</v>
      </c>
      <c r="C75" s="83"/>
      <c r="D75" s="84"/>
      <c r="E75" s="84"/>
      <c r="F75" s="86"/>
      <c r="G75" s="84"/>
      <c r="H75" s="80"/>
      <c r="I75" s="97"/>
      <c r="J75" s="84">
        <f>0.13*G74*7010.67/100</f>
        <v>225.97232898567862</v>
      </c>
      <c r="K75" s="81"/>
    </row>
    <row r="76" spans="1:11">
      <c r="A76" s="77"/>
      <c r="B76" s="92" t="s">
        <v>29</v>
      </c>
      <c r="C76" s="83"/>
      <c r="D76" s="84"/>
      <c r="E76" s="84"/>
      <c r="F76" s="86"/>
      <c r="G76" s="84"/>
      <c r="H76" s="80"/>
      <c r="I76" s="97"/>
      <c r="J76" s="84">
        <f>0.13*G74*4639.73/100</f>
        <v>149.55069828771323</v>
      </c>
      <c r="K76" s="81"/>
    </row>
    <row r="77" spans="1:11">
      <c r="A77" s="77"/>
      <c r="B77" s="92"/>
      <c r="C77" s="83"/>
      <c r="D77" s="84"/>
      <c r="E77" s="84"/>
      <c r="F77" s="86"/>
      <c r="G77" s="84"/>
      <c r="H77" s="80"/>
      <c r="I77" s="97"/>
      <c r="J77" s="84"/>
      <c r="K77" s="81"/>
    </row>
    <row r="78" spans="1:11" ht="30.75">
      <c r="A78" s="77">
        <v>10</v>
      </c>
      <c r="B78" s="115" t="s">
        <v>68</v>
      </c>
      <c r="C78" s="83"/>
      <c r="D78" s="80"/>
      <c r="E78" s="80"/>
      <c r="F78" s="84"/>
      <c r="G78" s="80"/>
      <c r="H78" s="86"/>
      <c r="I78" s="84"/>
      <c r="J78" s="80"/>
      <c r="K78" s="81"/>
    </row>
    <row r="79" spans="1:11">
      <c r="A79" s="77"/>
      <c r="B79" s="92" t="s">
        <v>123</v>
      </c>
      <c r="C79" s="83">
        <v>1</v>
      </c>
      <c r="D79" s="80">
        <f>13.42/3.281</f>
        <v>4.0902163974398045</v>
      </c>
      <c r="E79" s="80">
        <f>8/3.281</f>
        <v>2.4382810118866196</v>
      </c>
      <c r="F79" s="84"/>
      <c r="G79" s="80">
        <f>E79*D79*C79</f>
        <v>9.9730969763847703</v>
      </c>
      <c r="H79" s="86" t="s">
        <v>23</v>
      </c>
      <c r="I79" s="84">
        <v>689.98</v>
      </c>
      <c r="J79" s="80">
        <f>G79*I79</f>
        <v>6881.2374517659637</v>
      </c>
      <c r="K79" s="81"/>
    </row>
    <row r="80" spans="1:11">
      <c r="A80" s="77"/>
      <c r="B80" s="92" t="s">
        <v>28</v>
      </c>
      <c r="C80" s="83"/>
      <c r="D80" s="80"/>
      <c r="E80" s="80"/>
      <c r="F80" s="86"/>
      <c r="G80" s="80"/>
      <c r="H80" s="86"/>
      <c r="I80" s="84"/>
      <c r="J80" s="98">
        <f>0.13*G79*1694.03/10</f>
        <v>219.63143112176621</v>
      </c>
      <c r="K80" s="81"/>
    </row>
    <row r="81" spans="1:11">
      <c r="A81" s="77"/>
      <c r="B81" s="92" t="s">
        <v>29</v>
      </c>
      <c r="C81" s="83"/>
      <c r="D81" s="80"/>
      <c r="E81" s="80"/>
      <c r="F81" s="86"/>
      <c r="G81" s="80"/>
      <c r="H81" s="86"/>
      <c r="I81" s="84"/>
      <c r="J81" s="98">
        <f>0.13*G79*572.02/10</f>
        <v>74.162542121611025</v>
      </c>
      <c r="K81" s="81"/>
    </row>
    <row r="82" spans="1:11">
      <c r="A82" s="77"/>
      <c r="B82" s="92" t="s">
        <v>30</v>
      </c>
      <c r="C82" s="83"/>
      <c r="D82" s="80"/>
      <c r="E82" s="80"/>
      <c r="F82" s="86"/>
      <c r="G82" s="80"/>
      <c r="H82" s="86"/>
      <c r="I82" s="84"/>
      <c r="J82" s="98">
        <f>0.13*G79*1207.6/10</f>
        <v>156.56565481286924</v>
      </c>
      <c r="K82" s="81"/>
    </row>
    <row r="83" spans="1:11" ht="18" customHeight="1">
      <c r="A83" s="77"/>
      <c r="B83" s="92"/>
      <c r="C83" s="83"/>
      <c r="D83" s="84"/>
      <c r="E83" s="84"/>
      <c r="F83" s="86"/>
      <c r="G83" s="84"/>
      <c r="H83" s="80"/>
      <c r="I83" s="84"/>
      <c r="J83" s="84"/>
      <c r="K83" s="81"/>
    </row>
    <row r="84" spans="1:11" ht="30.75">
      <c r="A84" s="77">
        <v>11</v>
      </c>
      <c r="B84" s="115" t="s">
        <v>70</v>
      </c>
      <c r="C84" s="83"/>
      <c r="D84" s="80"/>
      <c r="E84" s="80"/>
      <c r="F84" s="80"/>
      <c r="G84" s="80"/>
      <c r="H84" s="80"/>
      <c r="I84" s="80"/>
      <c r="J84" s="80"/>
      <c r="K84" s="81"/>
    </row>
    <row r="85" spans="1:11">
      <c r="A85" s="77"/>
      <c r="B85" s="92" t="str">
        <f>B72</f>
        <v>-At shear wall</v>
      </c>
      <c r="C85" s="83">
        <f>C60</f>
        <v>2</v>
      </c>
      <c r="D85" s="80">
        <f>D72</f>
        <v>4.6997866504114594</v>
      </c>
      <c r="E85" s="80"/>
      <c r="F85" s="80">
        <f>F60+0.3+0.3</f>
        <v>2.2001219140505941</v>
      </c>
      <c r="G85" s="84">
        <f>PRODUCT(C85:F85)</f>
        <v>20.680207201865382</v>
      </c>
      <c r="H85" s="80"/>
      <c r="I85" s="80"/>
      <c r="J85" s="80"/>
      <c r="K85" s="81"/>
    </row>
    <row r="86" spans="1:11">
      <c r="A86" s="77"/>
      <c r="B86" s="92"/>
      <c r="C86" s="83">
        <f>C61</f>
        <v>2</v>
      </c>
      <c r="D86" s="80">
        <f>D73</f>
        <v>3.047851264858275</v>
      </c>
      <c r="E86" s="80"/>
      <c r="F86" s="80">
        <f>F61+0.3+0.3</f>
        <v>2.2001219140505941</v>
      </c>
      <c r="G86" s="84">
        <f t="shared" ref="G86:G87" si="7">PRODUCT(C86:F86)</f>
        <v>13.411288717163025</v>
      </c>
      <c r="H86" s="80"/>
      <c r="I86" s="80"/>
      <c r="J86" s="80"/>
      <c r="K86" s="81"/>
    </row>
    <row r="87" spans="1:11">
      <c r="A87" s="77"/>
      <c r="B87" s="94" t="s">
        <v>125</v>
      </c>
      <c r="C87" s="83">
        <v>1</v>
      </c>
      <c r="D87" s="80">
        <f>D79</f>
        <v>4.0902163974398045</v>
      </c>
      <c r="E87" s="80">
        <f>E79</f>
        <v>2.4382810118866196</v>
      </c>
      <c r="F87" s="80"/>
      <c r="G87" s="84">
        <f t="shared" si="7"/>
        <v>9.9730969763847703</v>
      </c>
      <c r="H87" s="80"/>
      <c r="I87" s="80"/>
      <c r="J87" s="80"/>
      <c r="K87" s="81"/>
    </row>
    <row r="88" spans="1:11">
      <c r="A88" s="77"/>
      <c r="B88" s="92"/>
      <c r="C88" s="83"/>
      <c r="D88" s="80"/>
      <c r="E88" s="80"/>
      <c r="F88" s="80"/>
      <c r="G88" s="80">
        <f>SUM(G85:G87)</f>
        <v>44.06459289541317</v>
      </c>
      <c r="H88" s="80" t="s">
        <v>23</v>
      </c>
      <c r="I88" s="80">
        <v>287.32</v>
      </c>
      <c r="J88" s="80">
        <f>G88*I88</f>
        <v>12660.638830710112</v>
      </c>
      <c r="K88" s="81"/>
    </row>
    <row r="89" spans="1:11">
      <c r="A89" s="77"/>
      <c r="B89" s="92" t="s">
        <v>28</v>
      </c>
      <c r="C89" s="83"/>
      <c r="D89" s="80"/>
      <c r="E89" s="80"/>
      <c r="F89" s="80"/>
      <c r="G89" s="80"/>
      <c r="H89" s="80"/>
      <c r="I89" s="80"/>
      <c r="J89" s="80">
        <f>0.13*G88*693.24/10</f>
        <v>397.11539892461093</v>
      </c>
      <c r="K89" s="81"/>
    </row>
    <row r="90" spans="1:11">
      <c r="A90" s="77"/>
      <c r="B90" s="92"/>
      <c r="C90" s="83"/>
      <c r="D90" s="80"/>
      <c r="E90" s="80"/>
      <c r="F90" s="80"/>
      <c r="G90" s="80"/>
      <c r="H90" s="80"/>
      <c r="I90" s="80"/>
      <c r="J90" s="80"/>
      <c r="K90" s="81"/>
    </row>
    <row r="91" spans="1:11">
      <c r="A91" s="77"/>
      <c r="B91" s="92"/>
      <c r="C91" s="83"/>
      <c r="D91" s="80"/>
      <c r="E91" s="80"/>
      <c r="F91" s="80"/>
      <c r="G91" s="80"/>
      <c r="H91" s="80"/>
      <c r="I91" s="80"/>
      <c r="J91" s="80"/>
      <c r="K91" s="81"/>
    </row>
    <row r="92" spans="1:11" ht="33" customHeight="1">
      <c r="A92" s="77">
        <v>12</v>
      </c>
      <c r="B92" s="96" t="s">
        <v>73</v>
      </c>
      <c r="C92" s="83">
        <v>1</v>
      </c>
      <c r="D92" s="84"/>
      <c r="E92" s="84"/>
      <c r="F92" s="86"/>
      <c r="G92" s="84">
        <f>+C92</f>
        <v>1</v>
      </c>
      <c r="H92" s="80" t="s">
        <v>33</v>
      </c>
      <c r="I92" s="84">
        <v>4659</v>
      </c>
      <c r="J92" s="84">
        <f>G92*I92</f>
        <v>4659</v>
      </c>
      <c r="K92" s="81"/>
    </row>
    <row r="93" spans="1:11">
      <c r="A93" s="77"/>
      <c r="B93" s="85" t="s">
        <v>74</v>
      </c>
      <c r="C93" s="83"/>
      <c r="D93" s="84"/>
      <c r="E93" s="84"/>
      <c r="F93" s="86"/>
      <c r="G93" s="84"/>
      <c r="H93" s="80"/>
      <c r="I93" s="84"/>
      <c r="J93" s="84">
        <f>0.13*J92</f>
        <v>605.67000000000007</v>
      </c>
      <c r="K93" s="81"/>
    </row>
    <row r="94" spans="1:11">
      <c r="A94" s="77"/>
      <c r="B94" s="96"/>
      <c r="C94" s="83"/>
      <c r="D94" s="84"/>
      <c r="E94" s="84"/>
      <c r="F94" s="86"/>
      <c r="G94" s="84"/>
      <c r="H94" s="80"/>
      <c r="I94" s="84"/>
      <c r="J94" s="84"/>
      <c r="K94" s="81"/>
    </row>
    <row r="95" spans="1:11" ht="30.75">
      <c r="A95" s="77">
        <v>13</v>
      </c>
      <c r="B95" s="115" t="s">
        <v>126</v>
      </c>
      <c r="C95" s="83"/>
      <c r="D95" s="80"/>
      <c r="E95" s="80"/>
      <c r="F95" s="80"/>
      <c r="G95" s="80"/>
      <c r="H95" s="80"/>
      <c r="I95" s="80"/>
      <c r="J95" s="80"/>
      <c r="K95" s="81"/>
    </row>
    <row r="96" spans="1:11">
      <c r="A96" s="77"/>
      <c r="B96" s="94" t="s">
        <v>123</v>
      </c>
      <c r="C96" s="83">
        <v>1</v>
      </c>
      <c r="D96" s="80">
        <f>(15.42*2+10*2)/3.281</f>
        <v>15.49527583053947</v>
      </c>
      <c r="E96" s="80"/>
      <c r="F96" s="80">
        <f>5.25/3.281</f>
        <v>1.6001219140505942</v>
      </c>
      <c r="G96" s="84">
        <f t="shared" ref="G96:G97" si="8">PRODUCT(C96:F96)</f>
        <v>24.794330420704728</v>
      </c>
      <c r="H96" s="80"/>
      <c r="I96" s="80"/>
      <c r="J96" s="80"/>
      <c r="K96" s="81"/>
    </row>
    <row r="97" spans="1:11">
      <c r="A97" s="77"/>
      <c r="B97" s="92"/>
      <c r="C97" s="83">
        <v>1</v>
      </c>
      <c r="D97" s="80">
        <f>13.42/3.281</f>
        <v>4.0902163974398045</v>
      </c>
      <c r="E97" s="80">
        <f>8/3.281</f>
        <v>2.4382810118866196</v>
      </c>
      <c r="F97" s="80"/>
      <c r="G97" s="84">
        <f t="shared" si="8"/>
        <v>9.9730969763847703</v>
      </c>
      <c r="H97" s="80"/>
      <c r="I97" s="80"/>
      <c r="J97" s="80"/>
      <c r="K97" s="81"/>
    </row>
    <row r="98" spans="1:11">
      <c r="A98" s="77"/>
      <c r="B98" s="92"/>
      <c r="C98" s="83"/>
      <c r="D98" s="80"/>
      <c r="E98" s="80"/>
      <c r="F98" s="80"/>
      <c r="G98" s="80">
        <f>SUM(G96:G97)</f>
        <v>34.767427397089499</v>
      </c>
      <c r="H98" s="80" t="s">
        <v>23</v>
      </c>
      <c r="I98" s="80">
        <v>452.86</v>
      </c>
      <c r="J98" s="80">
        <f>G98*I98</f>
        <v>15744.777171045951</v>
      </c>
      <c r="K98" s="81"/>
    </row>
    <row r="99" spans="1:11">
      <c r="A99" s="77"/>
      <c r="B99" s="92" t="s">
        <v>28</v>
      </c>
      <c r="C99" s="83"/>
      <c r="D99" s="80"/>
      <c r="E99" s="80"/>
      <c r="F99" s="80"/>
      <c r="G99" s="80"/>
      <c r="H99" s="80"/>
      <c r="I99" s="80"/>
      <c r="J99" s="80">
        <f>0.13*G98*1759.18/10</f>
        <v>795.10811806935476</v>
      </c>
      <c r="K99" s="81"/>
    </row>
    <row r="100" spans="1:11">
      <c r="A100" s="77"/>
      <c r="B100" s="92" t="s">
        <v>137</v>
      </c>
      <c r="C100" s="83"/>
      <c r="D100" s="80"/>
      <c r="E100" s="80"/>
      <c r="F100" s="80"/>
      <c r="G100" s="80"/>
      <c r="H100" s="80"/>
      <c r="I100" s="80"/>
      <c r="J100" s="80">
        <f>0.13*G98*572.02/10</f>
        <v>258.53962965588073</v>
      </c>
      <c r="K100" s="81"/>
    </row>
    <row r="101" spans="1:11">
      <c r="A101" s="77"/>
      <c r="B101" s="92" t="s">
        <v>138</v>
      </c>
      <c r="C101" s="83"/>
      <c r="D101" s="80"/>
      <c r="E101" s="80"/>
      <c r="F101" s="80"/>
      <c r="G101" s="80"/>
      <c r="H101" s="80"/>
      <c r="I101" s="80"/>
      <c r="J101" s="80">
        <f>0.13*G98*515.7/10</f>
        <v>233.08431001282776</v>
      </c>
      <c r="K101" s="81"/>
    </row>
    <row r="102" spans="1:11">
      <c r="A102" s="77"/>
      <c r="B102" s="92"/>
      <c r="C102" s="83"/>
      <c r="D102" s="80"/>
      <c r="E102" s="80"/>
      <c r="F102" s="80"/>
      <c r="G102" s="80"/>
      <c r="H102" s="80"/>
      <c r="I102" s="80"/>
      <c r="J102" s="80"/>
      <c r="K102" s="81"/>
    </row>
    <row r="103" spans="1:11" ht="30.75">
      <c r="A103" s="77">
        <v>14</v>
      </c>
      <c r="B103" s="115" t="s">
        <v>133</v>
      </c>
      <c r="C103" s="83"/>
      <c r="D103" s="80"/>
      <c r="E103" s="80"/>
      <c r="F103" s="80"/>
      <c r="G103" s="80"/>
      <c r="H103" s="80"/>
      <c r="I103" s="80"/>
      <c r="J103" s="80"/>
      <c r="K103" s="81"/>
    </row>
    <row r="104" spans="1:11">
      <c r="A104" s="77"/>
      <c r="B104" s="94" t="s">
        <v>134</v>
      </c>
      <c r="C104" s="83">
        <v>2</v>
      </c>
      <c r="D104" s="80">
        <v>3.415</v>
      </c>
      <c r="E104" s="80"/>
      <c r="F104" s="80">
        <v>1.43</v>
      </c>
      <c r="G104" s="84">
        <f>PRODUCT(C104:F104)</f>
        <v>9.7668999999999997</v>
      </c>
      <c r="H104" s="80"/>
      <c r="I104" s="80"/>
      <c r="J104" s="80"/>
      <c r="K104" s="81"/>
    </row>
    <row r="105" spans="1:11">
      <c r="A105" s="77"/>
      <c r="B105" s="94"/>
      <c r="C105" s="83">
        <v>2</v>
      </c>
      <c r="D105" s="80">
        <f>0.48*2</f>
        <v>0.96</v>
      </c>
      <c r="E105" s="80"/>
      <c r="F105" s="80">
        <v>2.2000000000000002</v>
      </c>
      <c r="G105" s="84">
        <f t="shared" ref="G105:G135" si="9">PRODUCT(C105:F105)</f>
        <v>4.2240000000000002</v>
      </c>
      <c r="H105" s="80"/>
      <c r="I105" s="80"/>
      <c r="J105" s="80"/>
      <c r="K105" s="81"/>
    </row>
    <row r="106" spans="1:11">
      <c r="A106" s="77"/>
      <c r="B106" s="94"/>
      <c r="C106" s="83">
        <v>2</v>
      </c>
      <c r="D106" s="80">
        <v>4</v>
      </c>
      <c r="E106" s="80"/>
      <c r="F106" s="80">
        <v>1.39</v>
      </c>
      <c r="G106" s="84">
        <f t="shared" si="9"/>
        <v>11.12</v>
      </c>
      <c r="H106" s="80"/>
      <c r="I106" s="80"/>
      <c r="J106" s="80"/>
      <c r="K106" s="81"/>
    </row>
    <row r="107" spans="1:11">
      <c r="A107" s="77"/>
      <c r="B107" s="94"/>
      <c r="C107" s="83">
        <v>2</v>
      </c>
      <c r="D107" s="80">
        <f>0.48*2</f>
        <v>0.96</v>
      </c>
      <c r="E107" s="80"/>
      <c r="F107" s="80">
        <v>2.2000000000000002</v>
      </c>
      <c r="G107" s="84">
        <f t="shared" si="9"/>
        <v>4.2240000000000002</v>
      </c>
      <c r="H107" s="80"/>
      <c r="I107" s="80"/>
      <c r="J107" s="80"/>
      <c r="K107" s="81"/>
    </row>
    <row r="108" spans="1:11">
      <c r="A108" s="77"/>
      <c r="B108" s="94"/>
      <c r="C108" s="83">
        <v>2</v>
      </c>
      <c r="D108" s="80">
        <v>3.91</v>
      </c>
      <c r="E108" s="80"/>
      <c r="F108" s="80">
        <v>1.3</v>
      </c>
      <c r="G108" s="84">
        <f t="shared" si="9"/>
        <v>10.166</v>
      </c>
      <c r="H108" s="80"/>
      <c r="I108" s="80"/>
      <c r="J108" s="80"/>
      <c r="K108" s="81"/>
    </row>
    <row r="109" spans="1:11">
      <c r="A109" s="77"/>
      <c r="B109" s="94"/>
      <c r="C109" s="83">
        <v>2</v>
      </c>
      <c r="D109" s="80">
        <f>0.48*2</f>
        <v>0.96</v>
      </c>
      <c r="E109" s="80"/>
      <c r="F109" s="80">
        <v>2.31</v>
      </c>
      <c r="G109" s="84">
        <f t="shared" si="9"/>
        <v>4.4352</v>
      </c>
      <c r="H109" s="80"/>
      <c r="I109" s="80"/>
      <c r="J109" s="80"/>
      <c r="K109" s="81"/>
    </row>
    <row r="110" spans="1:11">
      <c r="A110" s="77"/>
      <c r="B110" s="94"/>
      <c r="C110" s="83">
        <v>2</v>
      </c>
      <c r="D110" s="80">
        <v>3.96</v>
      </c>
      <c r="E110" s="80"/>
      <c r="F110" s="80">
        <v>1.37</v>
      </c>
      <c r="G110" s="84">
        <f t="shared" si="9"/>
        <v>10.8504</v>
      </c>
      <c r="H110" s="80"/>
      <c r="I110" s="80"/>
      <c r="J110" s="80"/>
      <c r="K110" s="81"/>
    </row>
    <row r="111" spans="1:11">
      <c r="A111" s="77"/>
      <c r="B111" s="94"/>
      <c r="C111" s="83">
        <v>2</v>
      </c>
      <c r="D111" s="80">
        <f>0.48*2</f>
        <v>0.96</v>
      </c>
      <c r="E111" s="80"/>
      <c r="F111" s="80">
        <v>2.29</v>
      </c>
      <c r="G111" s="84">
        <f t="shared" si="9"/>
        <v>4.3967999999999998</v>
      </c>
      <c r="H111" s="80"/>
      <c r="I111" s="80"/>
      <c r="J111" s="80"/>
      <c r="K111" s="81"/>
    </row>
    <row r="112" spans="1:11">
      <c r="A112" s="77"/>
      <c r="B112" s="94"/>
      <c r="C112" s="83">
        <v>2</v>
      </c>
      <c r="D112" s="80">
        <v>3.875</v>
      </c>
      <c r="E112" s="80"/>
      <c r="F112" s="80">
        <v>1.2649999999999999</v>
      </c>
      <c r="G112" s="84">
        <f t="shared" si="9"/>
        <v>9.8037499999999991</v>
      </c>
      <c r="H112" s="80"/>
      <c r="I112" s="80"/>
      <c r="J112" s="80"/>
      <c r="K112" s="81"/>
    </row>
    <row r="113" spans="1:11">
      <c r="A113" s="77"/>
      <c r="B113" s="94"/>
      <c r="C113" s="83">
        <v>2</v>
      </c>
      <c r="D113" s="80">
        <f>0.48*2</f>
        <v>0.96</v>
      </c>
      <c r="E113" s="80"/>
      <c r="F113" s="80">
        <v>2.19</v>
      </c>
      <c r="G113" s="84">
        <f t="shared" si="9"/>
        <v>4.2047999999999996</v>
      </c>
      <c r="H113" s="80"/>
      <c r="I113" s="80"/>
      <c r="J113" s="80"/>
      <c r="K113" s="81"/>
    </row>
    <row r="114" spans="1:11">
      <c r="A114" s="77"/>
      <c r="B114" s="94"/>
      <c r="C114" s="83">
        <v>2</v>
      </c>
      <c r="D114" s="80">
        <v>3.69</v>
      </c>
      <c r="E114" s="80"/>
      <c r="F114" s="80">
        <v>1.28</v>
      </c>
      <c r="G114" s="84">
        <f t="shared" si="9"/>
        <v>9.4464000000000006</v>
      </c>
      <c r="H114" s="80"/>
      <c r="I114" s="80"/>
      <c r="J114" s="80"/>
      <c r="K114" s="81"/>
    </row>
    <row r="115" spans="1:11">
      <c r="A115" s="77"/>
      <c r="B115" s="94"/>
      <c r="C115" s="83">
        <v>2</v>
      </c>
      <c r="D115" s="80">
        <f>0.48*2</f>
        <v>0.96</v>
      </c>
      <c r="E115" s="80"/>
      <c r="F115" s="80">
        <v>2.19</v>
      </c>
      <c r="G115" s="84">
        <f t="shared" si="9"/>
        <v>4.2047999999999996</v>
      </c>
      <c r="H115" s="80"/>
      <c r="I115" s="80"/>
      <c r="J115" s="80"/>
      <c r="K115" s="81"/>
    </row>
    <row r="116" spans="1:11">
      <c r="A116" s="77"/>
      <c r="B116" s="94"/>
      <c r="C116" s="83">
        <v>2</v>
      </c>
      <c r="D116" s="80">
        <f>1.73+2.44</f>
        <v>4.17</v>
      </c>
      <c r="E116" s="80"/>
      <c r="F116" s="80">
        <v>1.1200000000000001</v>
      </c>
      <c r="G116" s="84">
        <f t="shared" si="9"/>
        <v>9.3408000000000015</v>
      </c>
      <c r="H116" s="80"/>
      <c r="I116" s="80"/>
      <c r="J116" s="80"/>
      <c r="K116" s="81"/>
    </row>
    <row r="117" spans="1:11">
      <c r="A117" s="77"/>
      <c r="B117" s="94"/>
      <c r="C117" s="83">
        <v>2</v>
      </c>
      <c r="D117" s="80">
        <f>0.34*2</f>
        <v>0.68</v>
      </c>
      <c r="E117" s="80"/>
      <c r="F117" s="80">
        <v>2.2599999999999998</v>
      </c>
      <c r="G117" s="84">
        <f t="shared" si="9"/>
        <v>3.0735999999999999</v>
      </c>
      <c r="H117" s="80"/>
      <c r="I117" s="80"/>
      <c r="J117" s="80"/>
      <c r="K117" s="81"/>
    </row>
    <row r="118" spans="1:11">
      <c r="A118" s="77"/>
      <c r="B118" s="94"/>
      <c r="C118" s="83">
        <v>2</v>
      </c>
      <c r="D118" s="80">
        <f>0.34*2</f>
        <v>0.68</v>
      </c>
      <c r="E118" s="80"/>
      <c r="F118" s="80">
        <v>2.15</v>
      </c>
      <c r="G118" s="84">
        <f t="shared" si="9"/>
        <v>2.9239999999999999</v>
      </c>
      <c r="H118" s="80"/>
      <c r="I118" s="80"/>
      <c r="J118" s="80"/>
      <c r="K118" s="81"/>
    </row>
    <row r="119" spans="1:11">
      <c r="A119" s="77"/>
      <c r="B119" s="94"/>
      <c r="C119" s="83">
        <v>2</v>
      </c>
      <c r="D119" s="80">
        <v>2.5</v>
      </c>
      <c r="E119" s="80"/>
      <c r="F119" s="80">
        <v>1.1599999999999999</v>
      </c>
      <c r="G119" s="84">
        <f t="shared" si="9"/>
        <v>5.8</v>
      </c>
      <c r="H119" s="80"/>
      <c r="I119" s="80"/>
      <c r="J119" s="80"/>
      <c r="K119" s="81"/>
    </row>
    <row r="120" spans="1:11">
      <c r="A120" s="77"/>
      <c r="B120" s="94"/>
      <c r="C120" s="83">
        <v>2</v>
      </c>
      <c r="D120" s="80">
        <f>0.48*2</f>
        <v>0.96</v>
      </c>
      <c r="E120" s="80"/>
      <c r="F120" s="80">
        <v>2.1800000000000002</v>
      </c>
      <c r="G120" s="84">
        <f t="shared" si="9"/>
        <v>4.1856</v>
      </c>
      <c r="H120" s="80"/>
      <c r="I120" s="80"/>
      <c r="J120" s="80"/>
      <c r="K120" s="81"/>
    </row>
    <row r="121" spans="1:11">
      <c r="A121" s="77"/>
      <c r="B121" s="94"/>
      <c r="C121" s="83">
        <v>2</v>
      </c>
      <c r="D121" s="80">
        <v>3.94</v>
      </c>
      <c r="E121" s="80"/>
      <c r="F121" s="80">
        <v>1.2</v>
      </c>
      <c r="G121" s="84">
        <f t="shared" si="9"/>
        <v>9.4559999999999995</v>
      </c>
      <c r="H121" s="80"/>
      <c r="I121" s="80"/>
      <c r="J121" s="80"/>
      <c r="K121" s="81"/>
    </row>
    <row r="122" spans="1:11">
      <c r="A122" s="77"/>
      <c r="B122" s="94"/>
      <c r="C122" s="83">
        <v>2</v>
      </c>
      <c r="D122" s="80">
        <f>0.48*2</f>
        <v>0.96</v>
      </c>
      <c r="E122" s="80"/>
      <c r="F122" s="80">
        <v>2.15</v>
      </c>
      <c r="G122" s="84">
        <f t="shared" si="9"/>
        <v>4.1280000000000001</v>
      </c>
      <c r="H122" s="80"/>
      <c r="I122" s="80"/>
      <c r="J122" s="80"/>
      <c r="K122" s="81"/>
    </row>
    <row r="123" spans="1:11">
      <c r="A123" s="77"/>
      <c r="B123" s="94"/>
      <c r="C123" s="83">
        <v>2</v>
      </c>
      <c r="D123" s="80">
        <v>4</v>
      </c>
      <c r="E123" s="80"/>
      <c r="F123" s="80">
        <v>1.1499999999999999</v>
      </c>
      <c r="G123" s="84">
        <f t="shared" si="9"/>
        <v>9.1999999999999993</v>
      </c>
      <c r="H123" s="80"/>
      <c r="I123" s="80"/>
      <c r="J123" s="80"/>
      <c r="K123" s="81"/>
    </row>
    <row r="124" spans="1:11">
      <c r="A124" s="77"/>
      <c r="B124" s="94"/>
      <c r="C124" s="83">
        <v>2</v>
      </c>
      <c r="D124" s="80">
        <f>0.48*2</f>
        <v>0.96</v>
      </c>
      <c r="E124" s="80"/>
      <c r="F124" s="80">
        <v>2.08</v>
      </c>
      <c r="G124" s="84">
        <f t="shared" si="9"/>
        <v>3.9935999999999998</v>
      </c>
      <c r="H124" s="80"/>
      <c r="I124" s="80"/>
      <c r="J124" s="80"/>
      <c r="K124" s="81"/>
    </row>
    <row r="125" spans="1:11">
      <c r="A125" s="77"/>
      <c r="B125" s="94"/>
      <c r="C125" s="83">
        <v>2</v>
      </c>
      <c r="D125" s="80">
        <v>3.97</v>
      </c>
      <c r="E125" s="80"/>
      <c r="F125" s="80">
        <v>1.25</v>
      </c>
      <c r="G125" s="84">
        <f t="shared" si="9"/>
        <v>9.9250000000000007</v>
      </c>
      <c r="H125" s="80"/>
      <c r="I125" s="80"/>
      <c r="J125" s="80"/>
      <c r="K125" s="81"/>
    </row>
    <row r="126" spans="1:11">
      <c r="A126" s="77"/>
      <c r="B126" s="94"/>
      <c r="C126" s="83">
        <v>2</v>
      </c>
      <c r="D126" s="80">
        <f>0.48*2</f>
        <v>0.96</v>
      </c>
      <c r="E126" s="80"/>
      <c r="F126" s="80">
        <v>2.25</v>
      </c>
      <c r="G126" s="84">
        <f t="shared" si="9"/>
        <v>4.32</v>
      </c>
      <c r="H126" s="80"/>
      <c r="I126" s="80"/>
      <c r="J126" s="80"/>
      <c r="K126" s="81"/>
    </row>
    <row r="127" spans="1:11">
      <c r="A127" s="77"/>
      <c r="B127" s="94"/>
      <c r="C127" s="83">
        <v>2</v>
      </c>
      <c r="D127" s="80">
        <v>4</v>
      </c>
      <c r="E127" s="80"/>
      <c r="F127" s="80">
        <v>1.23</v>
      </c>
      <c r="G127" s="84">
        <f t="shared" si="9"/>
        <v>9.84</v>
      </c>
      <c r="H127" s="80"/>
      <c r="I127" s="80"/>
      <c r="J127" s="80"/>
      <c r="K127" s="81"/>
    </row>
    <row r="128" spans="1:11">
      <c r="A128" s="77"/>
      <c r="B128" s="94"/>
      <c r="C128" s="83">
        <v>2</v>
      </c>
      <c r="D128" s="80">
        <f>0.48*2</f>
        <v>0.96</v>
      </c>
      <c r="E128" s="80"/>
      <c r="F128" s="80">
        <v>2.25</v>
      </c>
      <c r="G128" s="84">
        <f t="shared" si="9"/>
        <v>4.32</v>
      </c>
      <c r="H128" s="80"/>
      <c r="I128" s="80"/>
      <c r="J128" s="80"/>
      <c r="K128" s="81"/>
    </row>
    <row r="129" spans="1:11">
      <c r="A129" s="77"/>
      <c r="B129" s="94"/>
      <c r="C129" s="83">
        <v>2</v>
      </c>
      <c r="D129" s="80">
        <v>4.0599999999999996</v>
      </c>
      <c r="E129" s="80"/>
      <c r="F129" s="80">
        <v>1.32</v>
      </c>
      <c r="G129" s="84">
        <f t="shared" si="9"/>
        <v>10.718399999999999</v>
      </c>
      <c r="H129" s="80"/>
      <c r="I129" s="80"/>
      <c r="J129" s="80"/>
      <c r="K129" s="81"/>
    </row>
    <row r="130" spans="1:11">
      <c r="A130" s="77"/>
      <c r="B130" s="94"/>
      <c r="C130" s="83">
        <v>2</v>
      </c>
      <c r="D130" s="80">
        <f>0.48*2</f>
        <v>0.96</v>
      </c>
      <c r="E130" s="80"/>
      <c r="F130" s="80">
        <v>2.1800000000000002</v>
      </c>
      <c r="G130" s="84">
        <f t="shared" si="9"/>
        <v>4.1856</v>
      </c>
      <c r="H130" s="80"/>
      <c r="I130" s="80"/>
      <c r="J130" s="80"/>
      <c r="K130" s="81"/>
    </row>
    <row r="131" spans="1:11">
      <c r="A131" s="77"/>
      <c r="B131" s="94"/>
      <c r="C131" s="83">
        <v>2</v>
      </c>
      <c r="D131" s="80">
        <f>3.92</f>
        <v>3.92</v>
      </c>
      <c r="E131" s="80"/>
      <c r="F131" s="80">
        <v>1.32</v>
      </c>
      <c r="G131" s="84">
        <f t="shared" si="9"/>
        <v>10.348800000000001</v>
      </c>
      <c r="H131" s="80"/>
      <c r="I131" s="80"/>
      <c r="J131" s="80"/>
      <c r="K131" s="81"/>
    </row>
    <row r="132" spans="1:11">
      <c r="A132" s="77"/>
      <c r="B132" s="94"/>
      <c r="C132" s="83">
        <v>2</v>
      </c>
      <c r="D132" s="80">
        <f>0.48*2</f>
        <v>0.96</v>
      </c>
      <c r="E132" s="80"/>
      <c r="F132" s="80">
        <v>2.2799999999999998</v>
      </c>
      <c r="G132" s="84">
        <f t="shared" si="9"/>
        <v>4.3775999999999993</v>
      </c>
      <c r="H132" s="80"/>
      <c r="I132" s="80"/>
      <c r="J132" s="80"/>
      <c r="K132" s="81"/>
    </row>
    <row r="133" spans="1:11">
      <c r="A133" s="77"/>
      <c r="B133" s="94"/>
      <c r="C133" s="83">
        <v>2</v>
      </c>
      <c r="D133" s="80">
        <v>3.62</v>
      </c>
      <c r="E133" s="80"/>
      <c r="F133" s="80">
        <v>1.32</v>
      </c>
      <c r="G133" s="84">
        <f t="shared" si="9"/>
        <v>9.5568000000000008</v>
      </c>
      <c r="H133" s="80"/>
      <c r="I133" s="80"/>
      <c r="J133" s="80"/>
      <c r="K133" s="81"/>
    </row>
    <row r="134" spans="1:11">
      <c r="A134" s="77"/>
      <c r="B134" s="94"/>
      <c r="C134" s="83">
        <v>2</v>
      </c>
      <c r="D134" s="80">
        <f>0.48*2</f>
        <v>0.96</v>
      </c>
      <c r="E134" s="80"/>
      <c r="F134" s="80">
        <v>2.2000000000000002</v>
      </c>
      <c r="G134" s="84">
        <f t="shared" si="9"/>
        <v>4.2240000000000002</v>
      </c>
      <c r="H134" s="80"/>
      <c r="I134" s="80"/>
      <c r="J134" s="80"/>
      <c r="K134" s="81"/>
    </row>
    <row r="135" spans="1:11">
      <c r="A135" s="77"/>
      <c r="B135" s="94"/>
      <c r="C135" s="83">
        <f>-2*16</f>
        <v>-32</v>
      </c>
      <c r="D135" s="80">
        <v>0.23</v>
      </c>
      <c r="E135" s="80"/>
      <c r="F135" s="80">
        <v>1.35</v>
      </c>
      <c r="G135" s="84">
        <f t="shared" si="9"/>
        <v>-9.9360000000000017</v>
      </c>
      <c r="H135" s="80"/>
      <c r="I135" s="80"/>
      <c r="J135" s="80"/>
      <c r="K135" s="81"/>
    </row>
    <row r="136" spans="1:11">
      <c r="A136" s="77"/>
      <c r="B136" s="92"/>
      <c r="C136" s="83"/>
      <c r="D136" s="80"/>
      <c r="E136" s="80"/>
      <c r="F136" s="80"/>
      <c r="G136" s="80">
        <f>SUM(G104:G135)</f>
        <v>200.82485</v>
      </c>
      <c r="H136" s="80" t="s">
        <v>23</v>
      </c>
      <c r="I136" s="80">
        <v>253.8</v>
      </c>
      <c r="J136" s="80">
        <f>G136*I136</f>
        <v>50969.34693</v>
      </c>
      <c r="K136" s="81"/>
    </row>
    <row r="137" spans="1:11">
      <c r="A137" s="77"/>
      <c r="B137" s="92" t="s">
        <v>135</v>
      </c>
      <c r="C137" s="83"/>
      <c r="D137" s="80"/>
      <c r="E137" s="80"/>
      <c r="F137" s="80"/>
      <c r="G137" s="80"/>
      <c r="H137" s="80"/>
      <c r="I137" s="80"/>
      <c r="J137" s="80">
        <f>0.13*G136*2304/100</f>
        <v>601.51059071999998</v>
      </c>
      <c r="K137" s="81"/>
    </row>
    <row r="138" spans="1:11">
      <c r="A138" s="77"/>
      <c r="B138" s="92" t="s">
        <v>136</v>
      </c>
      <c r="C138" s="83"/>
      <c r="D138" s="80"/>
      <c r="E138" s="80"/>
      <c r="F138" s="80"/>
      <c r="G138" s="80"/>
      <c r="H138" s="80"/>
      <c r="I138" s="80"/>
      <c r="J138" s="80">
        <f>0.13*G136*10432/100</f>
        <v>2723.5062857600001</v>
      </c>
      <c r="K138" s="81"/>
    </row>
    <row r="139" spans="1:11">
      <c r="A139" s="77"/>
      <c r="B139" s="92"/>
      <c r="C139" s="83"/>
      <c r="D139" s="80"/>
      <c r="E139" s="80"/>
      <c r="F139" s="80"/>
      <c r="G139" s="80"/>
      <c r="H139" s="80"/>
      <c r="I139" s="80"/>
      <c r="J139" s="80"/>
      <c r="K139" s="81"/>
    </row>
    <row r="140" spans="1:11" ht="31.5">
      <c r="A140" s="77">
        <v>15</v>
      </c>
      <c r="B140" s="120" t="s">
        <v>141</v>
      </c>
      <c r="C140" s="83"/>
      <c r="D140" s="80"/>
      <c r="E140" s="80"/>
      <c r="F140" s="80"/>
      <c r="G140" s="80"/>
      <c r="H140" s="80"/>
      <c r="I140" s="80"/>
      <c r="J140" s="80"/>
      <c r="K140" s="81"/>
    </row>
    <row r="141" spans="1:11">
      <c r="A141" s="77"/>
      <c r="B141" s="94" t="s">
        <v>142</v>
      </c>
      <c r="C141" s="83">
        <v>1</v>
      </c>
      <c r="D141" s="80">
        <f>0.9</f>
        <v>0.9</v>
      </c>
      <c r="E141" s="80"/>
      <c r="F141" s="80"/>
      <c r="G141" s="84">
        <f t="shared" ref="G141:G143" si="10">PRODUCT(C141:F141)</f>
        <v>0.9</v>
      </c>
      <c r="H141" s="80"/>
      <c r="I141" s="80"/>
      <c r="J141" s="80"/>
      <c r="K141" s="81"/>
    </row>
    <row r="142" spans="1:11">
      <c r="A142" s="77"/>
      <c r="B142" s="94" t="s">
        <v>143</v>
      </c>
      <c r="C142" s="83">
        <v>1</v>
      </c>
      <c r="D142" s="80">
        <f>1.5</f>
        <v>1.5</v>
      </c>
      <c r="E142" s="80"/>
      <c r="F142" s="80"/>
      <c r="G142" s="84">
        <f t="shared" si="10"/>
        <v>1.5</v>
      </c>
      <c r="H142" s="80"/>
      <c r="I142" s="80"/>
      <c r="J142" s="80"/>
      <c r="K142" s="81"/>
    </row>
    <row r="143" spans="1:11">
      <c r="A143" s="77"/>
      <c r="B143" s="94" t="s">
        <v>144</v>
      </c>
      <c r="C143" s="83">
        <v>2</v>
      </c>
      <c r="D143" s="80">
        <v>0.9</v>
      </c>
      <c r="E143" s="80"/>
      <c r="F143" s="80"/>
      <c r="G143" s="84">
        <f t="shared" si="10"/>
        <v>1.8</v>
      </c>
      <c r="H143" s="80"/>
      <c r="I143" s="80"/>
      <c r="J143" s="80"/>
      <c r="K143" s="81"/>
    </row>
    <row r="144" spans="1:11">
      <c r="A144" s="77"/>
      <c r="B144" s="92"/>
      <c r="C144" s="83"/>
      <c r="D144" s="80"/>
      <c r="E144" s="80"/>
      <c r="F144" s="80"/>
      <c r="G144" s="80">
        <f>SUM(G141:G143)</f>
        <v>4.2</v>
      </c>
      <c r="H144" s="80" t="s">
        <v>145</v>
      </c>
      <c r="I144" s="80">
        <v>248</v>
      </c>
      <c r="J144" s="80">
        <f>G144*I144</f>
        <v>1041.6000000000001</v>
      </c>
      <c r="K144" s="81"/>
    </row>
    <row r="145" spans="1:11">
      <c r="A145" s="77"/>
      <c r="B145" s="94" t="s">
        <v>146</v>
      </c>
      <c r="C145" s="83"/>
      <c r="D145" s="80"/>
      <c r="E145" s="80"/>
      <c r="F145" s="80"/>
      <c r="G145" s="80"/>
      <c r="H145" s="80"/>
      <c r="I145" s="80"/>
      <c r="J145" s="80">
        <f>0.13*J144</f>
        <v>135.40800000000002</v>
      </c>
      <c r="K145" s="81"/>
    </row>
    <row r="146" spans="1:11">
      <c r="A146" s="77"/>
      <c r="B146" s="92"/>
      <c r="C146" s="83"/>
      <c r="D146" s="80"/>
      <c r="E146" s="80"/>
      <c r="F146" s="80"/>
      <c r="G146" s="80"/>
      <c r="H146" s="80"/>
      <c r="I146" s="80"/>
      <c r="J146" s="80"/>
      <c r="K146" s="81"/>
    </row>
    <row r="147" spans="1:11" ht="31.5">
      <c r="A147" s="77">
        <v>16</v>
      </c>
      <c r="B147" s="120" t="s">
        <v>147</v>
      </c>
      <c r="C147" s="83"/>
      <c r="D147" s="80"/>
      <c r="E147" s="80"/>
      <c r="F147" s="80"/>
      <c r="G147" s="80"/>
      <c r="H147" s="80"/>
      <c r="I147" s="80"/>
      <c r="J147" s="80"/>
      <c r="K147" s="81"/>
    </row>
    <row r="148" spans="1:11">
      <c r="A148" s="77"/>
      <c r="B148" s="94" t="s">
        <v>148</v>
      </c>
      <c r="C148" s="83">
        <v>1</v>
      </c>
      <c r="D148" s="80">
        <v>9</v>
      </c>
      <c r="E148" s="80"/>
      <c r="F148" s="80"/>
      <c r="G148" s="84">
        <f t="shared" ref="G148" si="11">PRODUCT(C148:F148)</f>
        <v>9</v>
      </c>
      <c r="H148" s="80"/>
      <c r="I148" s="80"/>
      <c r="J148" s="80"/>
      <c r="K148" s="81"/>
    </row>
    <row r="149" spans="1:11">
      <c r="A149" s="77"/>
      <c r="B149" s="92"/>
      <c r="C149" s="83"/>
      <c r="D149" s="80"/>
      <c r="E149" s="80"/>
      <c r="F149" s="80"/>
      <c r="G149" s="80">
        <f>SUM(G148:G148)</f>
        <v>9</v>
      </c>
      <c r="H149" s="80" t="s">
        <v>145</v>
      </c>
      <c r="I149" s="80">
        <v>75</v>
      </c>
      <c r="J149" s="80">
        <f>G149*I149</f>
        <v>675</v>
      </c>
      <c r="K149" s="81"/>
    </row>
    <row r="150" spans="1:11">
      <c r="A150" s="77"/>
      <c r="B150" s="94" t="s">
        <v>146</v>
      </c>
      <c r="C150" s="83"/>
      <c r="D150" s="80"/>
      <c r="E150" s="80"/>
      <c r="F150" s="80"/>
      <c r="G150" s="80"/>
      <c r="H150" s="80"/>
      <c r="I150" s="80"/>
      <c r="J150" s="80">
        <f>0.13*J149</f>
        <v>87.75</v>
      </c>
      <c r="K150" s="81"/>
    </row>
    <row r="151" spans="1:11">
      <c r="A151" s="77"/>
      <c r="B151" s="92"/>
      <c r="C151" s="83"/>
      <c r="D151" s="80"/>
      <c r="E151" s="80"/>
      <c r="F151" s="80"/>
      <c r="G151" s="80"/>
      <c r="H151" s="80"/>
      <c r="I151" s="80"/>
      <c r="J151" s="80"/>
      <c r="K151" s="81"/>
    </row>
    <row r="152" spans="1:11" ht="47.25">
      <c r="A152" s="77">
        <v>17</v>
      </c>
      <c r="B152" s="120" t="s">
        <v>150</v>
      </c>
      <c r="C152" s="83"/>
      <c r="D152" s="80"/>
      <c r="E152" s="80"/>
      <c r="F152" s="80"/>
      <c r="G152" s="80"/>
      <c r="H152" s="80"/>
      <c r="I152" s="80"/>
      <c r="J152" s="80"/>
      <c r="K152" s="81"/>
    </row>
    <row r="153" spans="1:11">
      <c r="A153" s="77"/>
      <c r="B153" s="94" t="s">
        <v>148</v>
      </c>
      <c r="C153" s="83">
        <v>1</v>
      </c>
      <c r="D153" s="80"/>
      <c r="E153" s="80"/>
      <c r="F153" s="80"/>
      <c r="G153" s="84">
        <f t="shared" ref="G153" si="12">PRODUCT(C153:F153)</f>
        <v>1</v>
      </c>
      <c r="H153" s="80"/>
      <c r="I153" s="80"/>
      <c r="J153" s="80"/>
      <c r="K153" s="81"/>
    </row>
    <row r="154" spans="1:11">
      <c r="A154" s="77"/>
      <c r="B154" s="92"/>
      <c r="C154" s="83"/>
      <c r="D154" s="80"/>
      <c r="E154" s="80"/>
      <c r="F154" s="80"/>
      <c r="G154" s="80">
        <f>SUM(G153:G153)</f>
        <v>1</v>
      </c>
      <c r="H154" s="80" t="s">
        <v>149</v>
      </c>
      <c r="I154" s="80">
        <v>1070</v>
      </c>
      <c r="J154" s="80">
        <f>G154*I154</f>
        <v>1070</v>
      </c>
      <c r="K154" s="81"/>
    </row>
    <row r="155" spans="1:11">
      <c r="A155" s="77"/>
      <c r="B155" s="94" t="s">
        <v>146</v>
      </c>
      <c r="C155" s="83"/>
      <c r="D155" s="80"/>
      <c r="E155" s="80"/>
      <c r="F155" s="80"/>
      <c r="G155" s="80"/>
      <c r="H155" s="80"/>
      <c r="I155" s="80"/>
      <c r="J155" s="80">
        <f>0.13*J154</f>
        <v>139.1</v>
      </c>
      <c r="K155" s="81"/>
    </row>
    <row r="156" spans="1:11">
      <c r="A156" s="77"/>
      <c r="B156" s="92"/>
      <c r="C156" s="83"/>
      <c r="D156" s="80"/>
      <c r="E156" s="80"/>
      <c r="F156" s="80"/>
      <c r="G156" s="80"/>
      <c r="H156" s="80"/>
      <c r="I156" s="80"/>
      <c r="J156" s="80"/>
      <c r="K156" s="81"/>
    </row>
    <row r="157" spans="1:11">
      <c r="A157" s="77">
        <v>18</v>
      </c>
      <c r="B157" s="120" t="s">
        <v>151</v>
      </c>
      <c r="C157" s="83"/>
      <c r="D157" s="80"/>
      <c r="E157" s="80"/>
      <c r="F157" s="80"/>
      <c r="G157" s="80"/>
      <c r="H157" s="80"/>
      <c r="I157" s="80"/>
      <c r="J157" s="80"/>
      <c r="K157" s="81"/>
    </row>
    <row r="158" spans="1:11">
      <c r="A158" s="77"/>
      <c r="B158" s="94" t="s">
        <v>152</v>
      </c>
      <c r="C158" s="83">
        <v>2</v>
      </c>
      <c r="D158" s="80"/>
      <c r="E158" s="80"/>
      <c r="F158" s="80"/>
      <c r="G158" s="84">
        <f t="shared" ref="G158" si="13">PRODUCT(C158:F158)</f>
        <v>2</v>
      </c>
      <c r="H158" s="80"/>
      <c r="I158" s="80"/>
      <c r="J158" s="80"/>
      <c r="K158" s="81"/>
    </row>
    <row r="159" spans="1:11">
      <c r="A159" s="77"/>
      <c r="B159" s="92"/>
      <c r="C159" s="83"/>
      <c r="D159" s="80"/>
      <c r="E159" s="80"/>
      <c r="F159" s="80"/>
      <c r="G159" s="80">
        <f>SUM(G158:G158)</f>
        <v>2</v>
      </c>
      <c r="H159" s="80" t="s">
        <v>149</v>
      </c>
      <c r="I159" s="80">
        <v>750</v>
      </c>
      <c r="J159" s="80">
        <f>G159*I159</f>
        <v>1500</v>
      </c>
      <c r="K159" s="81"/>
    </row>
    <row r="160" spans="1:11">
      <c r="A160" s="77"/>
      <c r="B160" s="94" t="s">
        <v>146</v>
      </c>
      <c r="C160" s="83"/>
      <c r="D160" s="80"/>
      <c r="E160" s="80"/>
      <c r="F160" s="80"/>
      <c r="G160" s="80"/>
      <c r="H160" s="80"/>
      <c r="I160" s="80"/>
      <c r="J160" s="80">
        <f>0.13*J159</f>
        <v>195</v>
      </c>
      <c r="K160" s="81"/>
    </row>
    <row r="161" spans="1:11">
      <c r="A161" s="77"/>
      <c r="B161" s="92"/>
      <c r="C161" s="83"/>
      <c r="D161" s="80"/>
      <c r="E161" s="80"/>
      <c r="F161" s="80"/>
      <c r="G161" s="80"/>
      <c r="H161" s="80"/>
      <c r="I161" s="80"/>
      <c r="J161" s="80"/>
      <c r="K161" s="81"/>
    </row>
    <row r="162" spans="1:11" ht="33" customHeight="1">
      <c r="A162" s="77">
        <v>19</v>
      </c>
      <c r="B162" s="93" t="s">
        <v>127</v>
      </c>
      <c r="C162" s="83">
        <v>1</v>
      </c>
      <c r="D162" s="80"/>
      <c r="E162" s="80"/>
      <c r="F162" s="80"/>
      <c r="G162" s="80">
        <v>1</v>
      </c>
      <c r="H162" s="80" t="s">
        <v>128</v>
      </c>
      <c r="I162" s="84">
        <v>15000</v>
      </c>
      <c r="J162" s="84">
        <f>G162*I162</f>
        <v>15000</v>
      </c>
      <c r="K162" s="81"/>
    </row>
    <row r="163" spans="1:11">
      <c r="A163" s="77"/>
      <c r="B163" s="99"/>
      <c r="C163" s="83"/>
      <c r="D163" s="80"/>
      <c r="E163" s="80"/>
      <c r="F163" s="84"/>
      <c r="G163" s="80"/>
      <c r="H163" s="80"/>
      <c r="I163" s="84"/>
      <c r="J163" s="84"/>
      <c r="K163" s="81"/>
    </row>
    <row r="164" spans="1:11" ht="33" customHeight="1">
      <c r="A164" s="77">
        <v>20</v>
      </c>
      <c r="B164" s="93" t="s">
        <v>75</v>
      </c>
      <c r="C164" s="83">
        <v>1</v>
      </c>
      <c r="D164" s="80"/>
      <c r="E164" s="80"/>
      <c r="F164" s="80"/>
      <c r="G164" s="80">
        <v>1</v>
      </c>
      <c r="H164" s="80" t="s">
        <v>33</v>
      </c>
      <c r="I164" s="84">
        <v>500</v>
      </c>
      <c r="J164" s="84">
        <f>G164*I164</f>
        <v>500</v>
      </c>
      <c r="K164" s="81"/>
    </row>
    <row r="165" spans="1:11">
      <c r="A165" s="100"/>
      <c r="B165" s="101"/>
      <c r="C165" s="80"/>
      <c r="D165" s="84"/>
      <c r="E165" s="84"/>
      <c r="F165" s="84"/>
      <c r="G165" s="84"/>
      <c r="H165" s="80"/>
      <c r="I165" s="84"/>
      <c r="J165" s="102">
        <f>SUM(J12:J164)</f>
        <v>530004.91742540663</v>
      </c>
      <c r="K165" s="103"/>
    </row>
    <row r="166" spans="1:11">
      <c r="A166" s="104"/>
      <c r="B166" s="105"/>
      <c r="C166" s="65"/>
      <c r="D166" s="65"/>
      <c r="E166" s="65"/>
      <c r="F166" s="65"/>
      <c r="G166" s="65"/>
      <c r="H166" s="65"/>
      <c r="I166" s="65"/>
      <c r="J166" s="106"/>
      <c r="K166" s="107"/>
    </row>
    <row r="167" spans="1:11">
      <c r="A167" s="104"/>
      <c r="B167" s="75" t="s">
        <v>12</v>
      </c>
      <c r="C167" s="155" t="s">
        <v>66</v>
      </c>
      <c r="D167" s="155"/>
      <c r="E167" s="75" t="s">
        <v>67</v>
      </c>
      <c r="F167" s="108"/>
      <c r="G167" s="109"/>
      <c r="H167" s="108"/>
      <c r="I167" s="109"/>
      <c r="J167" s="108"/>
      <c r="K167" s="108"/>
    </row>
    <row r="168" spans="1:11">
      <c r="A168" s="104"/>
      <c r="B168" s="79" t="s">
        <v>13</v>
      </c>
      <c r="C168" s="156">
        <f>+J165</f>
        <v>530004.91742540663</v>
      </c>
      <c r="D168" s="156"/>
      <c r="E168" s="110"/>
      <c r="F168" s="108"/>
      <c r="G168" s="111"/>
      <c r="H168" s="108"/>
      <c r="I168" s="109"/>
      <c r="J168" s="108"/>
      <c r="K168" s="108"/>
    </row>
    <row r="169" spans="1:11">
      <c r="A169" s="104"/>
      <c r="B169" s="79" t="s">
        <v>14</v>
      </c>
      <c r="C169" s="156">
        <v>480000</v>
      </c>
      <c r="D169" s="156"/>
      <c r="E169" s="112">
        <v>100</v>
      </c>
      <c r="F169" s="108"/>
      <c r="G169" s="111"/>
      <c r="H169" s="108"/>
      <c r="I169" s="109"/>
      <c r="J169" s="108"/>
      <c r="K169" s="108"/>
    </row>
    <row r="170" spans="1:11">
      <c r="A170" s="104"/>
      <c r="B170" s="79" t="s">
        <v>19</v>
      </c>
      <c r="C170" s="156">
        <f>0.95*C169</f>
        <v>456000</v>
      </c>
      <c r="D170" s="156"/>
      <c r="E170" s="113">
        <f>C170/C168*100</f>
        <v>86.036937584485301</v>
      </c>
      <c r="F170" s="108"/>
      <c r="G170" s="111"/>
      <c r="H170" s="108"/>
      <c r="I170" s="109"/>
      <c r="J170" s="108"/>
      <c r="K170" s="108"/>
    </row>
    <row r="171" spans="1:11">
      <c r="A171" s="104"/>
      <c r="B171" s="79" t="s">
        <v>15</v>
      </c>
      <c r="C171" s="156">
        <f>C168-C170</f>
        <v>74004.917425406631</v>
      </c>
      <c r="D171" s="156"/>
      <c r="E171" s="113">
        <f>C171/C169*100</f>
        <v>15.417691130293049</v>
      </c>
      <c r="F171" s="108"/>
      <c r="G171" s="111"/>
      <c r="H171" s="108"/>
      <c r="I171" s="109"/>
      <c r="J171" s="108"/>
      <c r="K171" s="108"/>
    </row>
    <row r="172" spans="1:11">
      <c r="A172" s="104"/>
      <c r="B172" s="79" t="s">
        <v>20</v>
      </c>
      <c r="C172" s="156">
        <f>E172*C169/100</f>
        <v>9600</v>
      </c>
      <c r="D172" s="156"/>
      <c r="E172" s="113">
        <v>2</v>
      </c>
      <c r="F172" s="108"/>
      <c r="G172" s="111"/>
      <c r="H172" s="108"/>
      <c r="I172" s="109"/>
      <c r="J172" s="108"/>
      <c r="K172" s="108"/>
    </row>
    <row r="173" spans="1:11">
      <c r="A173" s="104"/>
      <c r="B173" s="79" t="s">
        <v>21</v>
      </c>
      <c r="C173" s="154">
        <f>E173*C169/100</f>
        <v>14400</v>
      </c>
      <c r="D173" s="154"/>
      <c r="E173" s="113">
        <v>3</v>
      </c>
      <c r="F173" s="108"/>
      <c r="G173" s="114"/>
      <c r="H173" s="108"/>
      <c r="I173" s="109"/>
      <c r="J173" s="108"/>
      <c r="K173" s="108"/>
    </row>
    <row r="174" spans="1:11">
      <c r="F174" s="37"/>
    </row>
  </sheetData>
  <mergeCells count="14">
    <mergeCell ref="A6:F6"/>
    <mergeCell ref="H6:K6"/>
    <mergeCell ref="A1:K1"/>
    <mergeCell ref="A2:K2"/>
    <mergeCell ref="A3:K3"/>
    <mergeCell ref="A4:K4"/>
    <mergeCell ref="J5:K5"/>
    <mergeCell ref="C173:D173"/>
    <mergeCell ref="C167:D167"/>
    <mergeCell ref="C168:D168"/>
    <mergeCell ref="C169:D169"/>
    <mergeCell ref="C170:D170"/>
    <mergeCell ref="C171:D171"/>
    <mergeCell ref="C172:D172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4D04-1B58-42BA-A05B-E669B2EB3EFE}">
  <dimension ref="A1:N4"/>
  <sheetViews>
    <sheetView workbookViewId="0">
      <selection activeCell="F3" sqref="F3"/>
    </sheetView>
  </sheetViews>
  <sheetFormatPr defaultRowHeight="15"/>
  <cols>
    <col min="1" max="1" width="7" bestFit="1" customWidth="1"/>
    <col min="2" max="2" width="8" bestFit="1" customWidth="1"/>
    <col min="3" max="3" width="6.85546875" bestFit="1" customWidth="1"/>
    <col min="4" max="4" width="13.5703125" bestFit="1" customWidth="1"/>
    <col min="5" max="5" width="13.28515625" bestFit="1" customWidth="1"/>
    <col min="6" max="6" width="19.140625" bestFit="1" customWidth="1"/>
    <col min="7" max="7" width="18.85546875" bestFit="1" customWidth="1"/>
    <col min="8" max="8" width="15.85546875" bestFit="1" customWidth="1"/>
    <col min="9" max="9" width="4.5703125" bestFit="1" customWidth="1"/>
    <col min="10" max="10" width="13.140625" bestFit="1" customWidth="1"/>
  </cols>
  <sheetData>
    <row r="1" spans="1:14">
      <c r="A1" s="180" t="s">
        <v>3</v>
      </c>
      <c r="B1" s="180" t="s">
        <v>4</v>
      </c>
      <c r="C1" s="180" t="s">
        <v>5</v>
      </c>
      <c r="D1" s="180" t="s">
        <v>163</v>
      </c>
      <c r="E1" s="180" t="s">
        <v>166</v>
      </c>
      <c r="F1" s="180" t="s">
        <v>164</v>
      </c>
      <c r="G1" s="180" t="s">
        <v>165</v>
      </c>
      <c r="H1" s="180" t="s">
        <v>161</v>
      </c>
      <c r="I1" s="182" t="s">
        <v>162</v>
      </c>
      <c r="J1" s="176" t="s">
        <v>167</v>
      </c>
      <c r="K1" s="179" t="s">
        <v>168</v>
      </c>
      <c r="L1" s="179"/>
      <c r="M1" s="177" t="s">
        <v>169</v>
      </c>
      <c r="N1" s="177"/>
    </row>
    <row r="2" spans="1:14">
      <c r="A2" s="181"/>
      <c r="B2" s="181"/>
      <c r="C2" s="181"/>
      <c r="D2" s="181"/>
      <c r="E2" s="181"/>
      <c r="F2" s="181"/>
      <c r="G2" s="181"/>
      <c r="H2" s="181"/>
      <c r="I2" s="183"/>
      <c r="J2" s="176"/>
      <c r="K2" s="127" t="s">
        <v>3</v>
      </c>
      <c r="L2" s="125" t="s">
        <v>4</v>
      </c>
      <c r="M2" s="122" t="s">
        <v>3</v>
      </c>
      <c r="N2" s="122" t="s">
        <v>5</v>
      </c>
    </row>
    <row r="3" spans="1:14">
      <c r="A3" s="123">
        <f>14.5/3.281</f>
        <v>4.4193843340444987</v>
      </c>
      <c r="B3" s="123">
        <f>14/3.281</f>
        <v>4.2669917708015843</v>
      </c>
      <c r="C3" s="123">
        <f>5.5/3.281</f>
        <v>1.6763181956720512</v>
      </c>
      <c r="D3" s="123">
        <v>0.125</v>
      </c>
      <c r="E3" s="123">
        <v>2.5000000000000001E-2</v>
      </c>
      <c r="F3" s="123">
        <f>8/12/3.281</f>
        <v>0.20319008432388497</v>
      </c>
      <c r="G3" s="123">
        <f>1.5/12/3.281</f>
        <v>3.8098140810728431E-2</v>
      </c>
      <c r="H3" s="123">
        <v>0.05</v>
      </c>
      <c r="I3" s="126">
        <v>7.4999999999999997E-2</v>
      </c>
      <c r="J3" s="124">
        <v>8</v>
      </c>
      <c r="K3" s="128">
        <f>2/3.281</f>
        <v>0.6095702529716549</v>
      </c>
      <c r="L3" s="126">
        <f>2/3.281</f>
        <v>0.6095702529716549</v>
      </c>
      <c r="M3" s="123">
        <f>1/3.281</f>
        <v>0.30478512648582745</v>
      </c>
      <c r="N3" s="123">
        <f>1/3.281</f>
        <v>0.30478512648582745</v>
      </c>
    </row>
    <row r="4" spans="1:14">
      <c r="J4" s="124">
        <f>57*J3/1000</f>
        <v>0.45600000000000002</v>
      </c>
      <c r="M4" s="178">
        <f>SQRT(('Size of water tank'!M3)^2+('Size of water tank'!N3)^2)</f>
        <v>0.43103125948585641</v>
      </c>
      <c r="N4" s="178"/>
    </row>
  </sheetData>
  <sheetProtection algorithmName="SHA-512" hashValue="FJvrNP3q0MiFodO2bgVO1VomBYM83VDIGAlEPXy+3L7uGnsbugwG4+twkxW5BfXcDD4dyEyGPhARCa/cu3l7XQ==" saltValue="6UJ1dKK5+0v9OnpfIn6j6Q==" spinCount="100000" sheet="1" objects="1" scenarios="1"/>
  <mergeCells count="13">
    <mergeCell ref="J1:J2"/>
    <mergeCell ref="M1:N1"/>
    <mergeCell ref="M4:N4"/>
    <mergeCell ref="K1:L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E67D-5D7A-4E99-87D9-10A521F06797}">
  <dimension ref="A1:S321"/>
  <sheetViews>
    <sheetView tabSelected="1" view="pageBreakPreview" topLeftCell="A304" zoomScale="80" zoomScaleNormal="100" zoomScaleSheetLayoutView="80" workbookViewId="0">
      <selection activeCell="I67" sqref="I67"/>
    </sheetView>
  </sheetViews>
  <sheetFormatPr defaultColWidth="9.140625" defaultRowHeight="16.5"/>
  <cols>
    <col min="1" max="1" width="4.42578125" style="69" customWidth="1"/>
    <col min="2" max="2" width="30.5703125" style="5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50" t="s">
        <v>11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09"/>
    </row>
    <row r="2" spans="1:12" ht="20.25">
      <c r="A2" s="151" t="s">
        <v>16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18"/>
    </row>
    <row r="3" spans="1:12">
      <c r="A3" s="150" t="s">
        <v>17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09"/>
    </row>
    <row r="4" spans="1:12">
      <c r="A4" s="152" t="s">
        <v>22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</row>
    <row r="5" spans="1:12" ht="20.25">
      <c r="A5" s="119" t="s">
        <v>139</v>
      </c>
      <c r="G5" s="4"/>
      <c r="J5" s="153" t="s">
        <v>78</v>
      </c>
      <c r="K5" s="153"/>
    </row>
    <row r="6" spans="1:12">
      <c r="A6" s="148" t="s">
        <v>27</v>
      </c>
      <c r="B6" s="148"/>
      <c r="C6" s="148"/>
      <c r="D6" s="148"/>
      <c r="E6" s="148"/>
      <c r="F6" s="148"/>
      <c r="G6" s="61"/>
      <c r="H6" s="149" t="s">
        <v>140</v>
      </c>
      <c r="I6" s="149"/>
      <c r="J6" s="149"/>
      <c r="K6" s="149"/>
    </row>
    <row r="7" spans="1:12">
      <c r="B7" s="3"/>
      <c r="C7" s="4"/>
      <c r="D7" s="61"/>
      <c r="E7" s="61"/>
      <c r="F7" s="61"/>
      <c r="G7" s="61"/>
      <c r="I7" s="62"/>
      <c r="J7" s="61"/>
      <c r="K7" s="5"/>
    </row>
    <row r="8" spans="1:12" s="4" customFormat="1">
      <c r="A8" s="70" t="s">
        <v>0</v>
      </c>
      <c r="B8" s="66" t="s">
        <v>1</v>
      </c>
      <c r="C8" s="63" t="s">
        <v>2</v>
      </c>
      <c r="D8" s="67" t="s">
        <v>3</v>
      </c>
      <c r="E8" s="67" t="s">
        <v>4</v>
      </c>
      <c r="F8" s="67" t="s">
        <v>5</v>
      </c>
      <c r="G8" s="64" t="s">
        <v>6</v>
      </c>
      <c r="H8" s="63" t="s">
        <v>7</v>
      </c>
      <c r="I8" s="67" t="s">
        <v>8</v>
      </c>
      <c r="J8" s="67" t="s">
        <v>9</v>
      </c>
      <c r="K8" s="68" t="s">
        <v>129</v>
      </c>
    </row>
    <row r="9" spans="1:12">
      <c r="A9" s="71" t="s">
        <v>76</v>
      </c>
      <c r="B9" s="72" t="s">
        <v>77</v>
      </c>
      <c r="C9" s="73"/>
      <c r="D9" s="74"/>
      <c r="E9" s="74"/>
      <c r="F9" s="74"/>
      <c r="G9" s="74"/>
      <c r="H9" s="75"/>
      <c r="I9" s="74"/>
      <c r="J9" s="74"/>
      <c r="K9" s="76"/>
    </row>
    <row r="10" spans="1:12" ht="30.75">
      <c r="A10" s="77">
        <v>1</v>
      </c>
      <c r="B10" s="115" t="s">
        <v>80</v>
      </c>
      <c r="C10" s="79"/>
      <c r="D10" s="79"/>
      <c r="E10" s="79"/>
      <c r="F10" s="79"/>
      <c r="G10" s="79"/>
      <c r="H10" s="80"/>
      <c r="I10" s="80"/>
      <c r="J10" s="80"/>
      <c r="K10" s="81"/>
    </row>
    <row r="11" spans="1:12">
      <c r="A11" s="77"/>
      <c r="B11" s="82" t="s">
        <v>130</v>
      </c>
      <c r="C11" s="83">
        <v>1</v>
      </c>
      <c r="D11" s="84">
        <v>5</v>
      </c>
      <c r="E11" s="84">
        <f>11/3.281</f>
        <v>3.3526363913441024</v>
      </c>
      <c r="F11" s="84">
        <v>7.4999999999999997E-2</v>
      </c>
      <c r="G11" s="84">
        <f>PRODUCT(C11:F11)</f>
        <v>1.2572386467540384</v>
      </c>
      <c r="H11" s="80"/>
      <c r="I11" s="80"/>
      <c r="J11" s="80"/>
      <c r="K11" s="81"/>
    </row>
    <row r="12" spans="1:12">
      <c r="A12" s="77"/>
      <c r="B12" s="82"/>
      <c r="C12" s="83"/>
      <c r="D12" s="84"/>
      <c r="E12" s="84"/>
      <c r="F12" s="84"/>
      <c r="G12" s="84">
        <f>SUM(G11:G11)</f>
        <v>1.2572386467540384</v>
      </c>
      <c r="H12" s="80" t="s">
        <v>24</v>
      </c>
      <c r="I12" s="80">
        <v>3740</v>
      </c>
      <c r="J12" s="80">
        <f>G12*I12</f>
        <v>4702.072538860104</v>
      </c>
      <c r="K12" s="81"/>
    </row>
    <row r="13" spans="1:12">
      <c r="A13" s="77"/>
      <c r="B13" s="78"/>
      <c r="C13" s="83"/>
      <c r="D13" s="84"/>
      <c r="E13" s="84"/>
      <c r="F13" s="84"/>
      <c r="G13" s="84"/>
      <c r="H13" s="80"/>
      <c r="I13" s="84"/>
      <c r="J13" s="84"/>
      <c r="K13" s="81"/>
    </row>
    <row r="14" spans="1:12" ht="45.75">
      <c r="A14" s="77">
        <v>2</v>
      </c>
      <c r="B14" s="115" t="s">
        <v>79</v>
      </c>
      <c r="C14" s="79"/>
      <c r="D14" s="79"/>
      <c r="E14" s="79"/>
      <c r="F14" s="79"/>
      <c r="G14" s="79"/>
      <c r="H14" s="80"/>
      <c r="I14" s="80"/>
      <c r="J14" s="80"/>
      <c r="K14" s="81"/>
    </row>
    <row r="15" spans="1:12">
      <c r="A15" s="77"/>
      <c r="B15" s="85" t="str">
        <f>B11</f>
        <v>-water tank</v>
      </c>
      <c r="C15" s="83">
        <v>2</v>
      </c>
      <c r="D15" s="84">
        <f>D11</f>
        <v>5</v>
      </c>
      <c r="E15" s="84">
        <v>0.23</v>
      </c>
      <c r="F15" s="84">
        <v>1.4</v>
      </c>
      <c r="G15" s="84">
        <f>PRODUCT(C15:F15)</f>
        <v>3.22</v>
      </c>
      <c r="H15" s="84"/>
      <c r="I15" s="84"/>
      <c r="J15" s="84"/>
      <c r="K15" s="81"/>
    </row>
    <row r="16" spans="1:12">
      <c r="A16" s="77"/>
      <c r="B16" s="85"/>
      <c r="C16" s="83">
        <v>2</v>
      </c>
      <c r="D16" s="84">
        <f>E11-0.23*2</f>
        <v>2.8926363913441024</v>
      </c>
      <c r="E16" s="84">
        <v>0.23</v>
      </c>
      <c r="F16" s="84">
        <v>1.4</v>
      </c>
      <c r="G16" s="84">
        <f t="shared" ref="G16:G17" si="0">PRODUCT(C16:F16)</f>
        <v>1.8628578360256021</v>
      </c>
      <c r="H16" s="84"/>
      <c r="I16" s="84"/>
      <c r="J16" s="84"/>
      <c r="K16" s="81"/>
    </row>
    <row r="17" spans="1:11">
      <c r="A17" s="77"/>
      <c r="B17" s="85"/>
      <c r="C17" s="83">
        <v>1</v>
      </c>
      <c r="D17" s="84">
        <f>D11</f>
        <v>5</v>
      </c>
      <c r="E17" s="84">
        <v>0.23</v>
      </c>
      <c r="F17" s="84">
        <v>0.45</v>
      </c>
      <c r="G17" s="84">
        <f t="shared" si="0"/>
        <v>0.51750000000000007</v>
      </c>
      <c r="H17" s="84"/>
      <c r="I17" s="84"/>
      <c r="J17" s="84"/>
      <c r="K17" s="81"/>
    </row>
    <row r="18" spans="1:11">
      <c r="A18" s="77"/>
      <c r="B18" s="79"/>
      <c r="C18" s="83"/>
      <c r="D18" s="84"/>
      <c r="E18" s="84"/>
      <c r="F18" s="86"/>
      <c r="G18" s="84">
        <f>SUM(G15:G17)</f>
        <v>5.6003578360256023</v>
      </c>
      <c r="H18" s="80" t="s">
        <v>24</v>
      </c>
      <c r="I18" s="84">
        <v>1982.2</v>
      </c>
      <c r="J18" s="84">
        <f>G18*I18</f>
        <v>11101.029302569948</v>
      </c>
      <c r="K18" s="81"/>
    </row>
    <row r="19" spans="1:11">
      <c r="A19" s="77"/>
      <c r="B19" s="87"/>
      <c r="C19" s="83"/>
      <c r="D19" s="84"/>
      <c r="E19" s="84"/>
      <c r="F19" s="86"/>
      <c r="G19" s="84"/>
      <c r="H19" s="80"/>
      <c r="I19" s="84"/>
      <c r="J19" s="84"/>
      <c r="K19" s="81"/>
    </row>
    <row r="20" spans="1:11" s="145" customFormat="1" ht="45.75">
      <c r="A20" s="77">
        <v>3</v>
      </c>
      <c r="B20" s="116" t="s">
        <v>194</v>
      </c>
      <c r="C20" s="83"/>
      <c r="D20" s="84"/>
      <c r="E20" s="84"/>
      <c r="F20" s="86"/>
      <c r="G20" s="84"/>
      <c r="H20" s="80"/>
      <c r="I20" s="84"/>
      <c r="J20" s="84"/>
      <c r="K20" s="81"/>
    </row>
    <row r="21" spans="1:11" s="145" customFormat="1">
      <c r="A21" s="77"/>
      <c r="B21" s="146" t="s">
        <v>198</v>
      </c>
      <c r="C21" s="83">
        <f>C160</f>
        <v>1</v>
      </c>
      <c r="D21" s="84">
        <f>D160</f>
        <v>13.994818652849741</v>
      </c>
      <c r="E21" s="84">
        <f t="shared" ref="E21" si="1">E160</f>
        <v>7.6196281621456867</v>
      </c>
      <c r="F21" s="84"/>
      <c r="G21" s="84">
        <f>PRODUCT(C21:F21)</f>
        <v>106.63531433137565</v>
      </c>
      <c r="H21" s="80"/>
      <c r="I21" s="84"/>
      <c r="J21" s="84"/>
      <c r="K21" s="81"/>
    </row>
    <row r="22" spans="1:11" s="145" customFormat="1">
      <c r="A22" s="134"/>
      <c r="B22" s="144"/>
      <c r="C22" s="83">
        <f t="shared" ref="C22:E22" si="2">C161</f>
        <v>1</v>
      </c>
      <c r="D22" s="84">
        <f t="shared" si="2"/>
        <v>2.2858884486437061</v>
      </c>
      <c r="E22" s="84">
        <f t="shared" si="2"/>
        <v>9.1568119475769585</v>
      </c>
      <c r="F22" s="84"/>
      <c r="G22" s="84">
        <f t="shared" ref="G22:G24" si="3">PRODUCT(C22:F22)</f>
        <v>20.931450657368845</v>
      </c>
      <c r="H22" s="136"/>
      <c r="I22" s="139"/>
      <c r="J22" s="139"/>
      <c r="K22" s="137"/>
    </row>
    <row r="23" spans="1:11" s="145" customFormat="1">
      <c r="A23" s="134"/>
      <c r="B23" s="144"/>
      <c r="C23" s="83">
        <f t="shared" ref="C23:E23" si="4">C162</f>
        <v>1</v>
      </c>
      <c r="D23" s="84">
        <f t="shared" si="4"/>
        <v>2.6668698567509903</v>
      </c>
      <c r="E23" s="84">
        <f t="shared" si="4"/>
        <v>8.7880219445291061</v>
      </c>
      <c r="F23" s="84"/>
      <c r="G23" s="84">
        <f t="shared" si="3"/>
        <v>23.436510824330895</v>
      </c>
      <c r="H23" s="136"/>
      <c r="I23" s="139"/>
      <c r="J23" s="139"/>
      <c r="K23" s="137"/>
    </row>
    <row r="24" spans="1:11" s="145" customFormat="1">
      <c r="A24" s="134"/>
      <c r="B24" s="144"/>
      <c r="C24" s="83">
        <f t="shared" ref="C24:E24" si="5">C163</f>
        <v>1</v>
      </c>
      <c r="D24" s="84">
        <f t="shared" si="5"/>
        <v>3.9622066443157573</v>
      </c>
      <c r="E24" s="84">
        <f t="shared" si="5"/>
        <v>8.3053946967387979</v>
      </c>
      <c r="F24" s="84"/>
      <c r="G24" s="84">
        <f t="shared" si="3"/>
        <v>32.907690051083321</v>
      </c>
      <c r="H24" s="136"/>
      <c r="I24" s="139"/>
      <c r="J24" s="139"/>
      <c r="K24" s="137"/>
    </row>
    <row r="25" spans="1:11" s="145" customFormat="1">
      <c r="A25" s="77"/>
      <c r="B25" s="79"/>
      <c r="C25" s="83"/>
      <c r="D25" s="84"/>
      <c r="E25" s="84"/>
      <c r="F25" s="86"/>
      <c r="G25" s="84">
        <f>SUM(G21:G24)</f>
        <v>183.9109658641587</v>
      </c>
      <c r="H25" s="80" t="s">
        <v>23</v>
      </c>
      <c r="I25" s="84">
        <v>23</v>
      </c>
      <c r="J25" s="84">
        <f>G25*I25</f>
        <v>4229.9522148756496</v>
      </c>
      <c r="K25" s="81"/>
    </row>
    <row r="26" spans="1:11" s="145" customFormat="1">
      <c r="A26" s="77"/>
      <c r="B26" s="79"/>
      <c r="C26" s="83"/>
      <c r="D26" s="84"/>
      <c r="E26" s="84"/>
      <c r="F26" s="86"/>
      <c r="G26" s="84"/>
      <c r="H26" s="80"/>
      <c r="I26" s="84"/>
      <c r="J26" s="84"/>
      <c r="K26" s="81"/>
    </row>
    <row r="27" spans="1:11" ht="45.75">
      <c r="A27" s="77">
        <v>4</v>
      </c>
      <c r="B27" s="116" t="s">
        <v>82</v>
      </c>
      <c r="C27" s="83"/>
      <c r="D27" s="84"/>
      <c r="E27" s="84"/>
      <c r="F27" s="86"/>
      <c r="G27" s="84"/>
      <c r="H27" s="80"/>
      <c r="I27" s="84"/>
      <c r="J27" s="84"/>
      <c r="K27" s="81"/>
    </row>
    <row r="28" spans="1:11">
      <c r="A28" s="77"/>
      <c r="B28" s="87"/>
      <c r="C28" s="83">
        <v>1</v>
      </c>
      <c r="D28" s="84">
        <f>'Size of water tank'!A3+0.15</f>
        <v>4.5693843340444991</v>
      </c>
      <c r="E28" s="84">
        <f>'Size of water tank'!B3+0.15</f>
        <v>4.4169917708015847</v>
      </c>
      <c r="F28" s="86">
        <v>0.125</v>
      </c>
      <c r="G28" s="84">
        <f t="shared" ref="G28" si="6">PRODUCT(C28:F28)</f>
        <v>2.522866625138029</v>
      </c>
      <c r="H28" s="80"/>
      <c r="I28" s="84"/>
      <c r="J28" s="84"/>
      <c r="K28" s="81"/>
    </row>
    <row r="29" spans="1:11">
      <c r="A29" s="77"/>
      <c r="B29" s="79"/>
      <c r="C29" s="83"/>
      <c r="D29" s="84"/>
      <c r="E29" s="84"/>
      <c r="F29" s="86"/>
      <c r="G29" s="84">
        <f>SUM(G28)</f>
        <v>2.522866625138029</v>
      </c>
      <c r="H29" s="80" t="s">
        <v>24</v>
      </c>
      <c r="I29" s="84">
        <v>770.43</v>
      </c>
      <c r="J29" s="84">
        <f>G29*I29</f>
        <v>1943.6921340050915</v>
      </c>
      <c r="K29" s="81"/>
    </row>
    <row r="30" spans="1:11">
      <c r="A30" s="77"/>
      <c r="B30" s="79"/>
      <c r="C30" s="83"/>
      <c r="D30" s="84"/>
      <c r="E30" s="84"/>
      <c r="F30" s="86"/>
      <c r="G30" s="84"/>
      <c r="H30" s="80"/>
      <c r="I30" s="84"/>
      <c r="J30" s="84"/>
      <c r="K30" s="81"/>
    </row>
    <row r="31" spans="1:11">
      <c r="A31" s="88">
        <v>5</v>
      </c>
      <c r="B31" s="117" t="s">
        <v>81</v>
      </c>
      <c r="C31" s="89"/>
      <c r="D31" s="90"/>
      <c r="E31" s="90"/>
      <c r="F31" s="86"/>
      <c r="G31" s="90"/>
      <c r="H31" s="86"/>
      <c r="I31" s="90"/>
      <c r="J31" s="90"/>
      <c r="K31" s="81"/>
    </row>
    <row r="32" spans="1:11">
      <c r="A32" s="88"/>
      <c r="B32" s="91" t="s">
        <v>109</v>
      </c>
      <c r="C32" s="89">
        <f>C28</f>
        <v>1</v>
      </c>
      <c r="D32" s="90">
        <f>D28</f>
        <v>4.5693843340444991</v>
      </c>
      <c r="E32" s="90">
        <f>E28</f>
        <v>4.4169917708015847</v>
      </c>
      <c r="F32" s="86"/>
      <c r="G32" s="90">
        <f>PRODUCT(C32:F32)</f>
        <v>20.182933001104232</v>
      </c>
      <c r="H32" s="86"/>
      <c r="I32" s="90"/>
      <c r="J32" s="90"/>
      <c r="K32" s="81"/>
    </row>
    <row r="33" spans="1:11">
      <c r="A33" s="88"/>
      <c r="B33" s="81"/>
      <c r="C33" s="89"/>
      <c r="D33" s="90"/>
      <c r="E33" s="90"/>
      <c r="F33" s="86"/>
      <c r="G33" s="90">
        <f>SUM(G32)</f>
        <v>20.182933001104232</v>
      </c>
      <c r="H33" s="86" t="s">
        <v>23</v>
      </c>
      <c r="I33" s="90">
        <f>Sheet1!H8/10</f>
        <v>166.5</v>
      </c>
      <c r="J33" s="90">
        <f>G33*I33</f>
        <v>3360.4583446838546</v>
      </c>
      <c r="K33" s="81"/>
    </row>
    <row r="34" spans="1:11">
      <c r="A34" s="77"/>
      <c r="B34" s="79"/>
      <c r="C34" s="83"/>
      <c r="D34" s="84"/>
      <c r="E34" s="84"/>
      <c r="F34" s="86"/>
      <c r="G34" s="84"/>
      <c r="H34" s="80"/>
      <c r="I34" s="84"/>
      <c r="J34" s="84"/>
      <c r="K34" s="81"/>
    </row>
    <row r="35" spans="1:11" ht="30.75">
      <c r="A35" s="77">
        <v>6</v>
      </c>
      <c r="B35" s="115" t="s">
        <v>108</v>
      </c>
      <c r="C35" s="83"/>
      <c r="D35" s="84"/>
      <c r="E35" s="84"/>
      <c r="F35" s="84"/>
      <c r="G35" s="84"/>
      <c r="H35" s="80"/>
      <c r="I35" s="84"/>
      <c r="J35" s="84"/>
      <c r="K35" s="81"/>
    </row>
    <row r="36" spans="1:11">
      <c r="A36" s="77"/>
      <c r="B36" s="92" t="str">
        <f>B32</f>
        <v>-for flooring</v>
      </c>
      <c r="C36" s="83">
        <f>C28</f>
        <v>1</v>
      </c>
      <c r="D36" s="84">
        <f>D28</f>
        <v>4.5693843340444991</v>
      </c>
      <c r="E36" s="84">
        <f>E28</f>
        <v>4.4169917708015847</v>
      </c>
      <c r="F36" s="84">
        <f>'Size of water tank'!I3</f>
        <v>7.4999999999999997E-2</v>
      </c>
      <c r="G36" s="90">
        <f>PRODUCT(C36:F36)</f>
        <v>1.5137199750828174</v>
      </c>
      <c r="H36" s="80"/>
      <c r="I36" s="84"/>
      <c r="J36" s="84"/>
      <c r="K36" s="81"/>
    </row>
    <row r="37" spans="1:11">
      <c r="A37" s="77"/>
      <c r="B37" s="93"/>
      <c r="C37" s="83"/>
      <c r="D37" s="84"/>
      <c r="E37" s="84" t="s">
        <v>31</v>
      </c>
      <c r="F37" s="84"/>
      <c r="G37" s="84">
        <f>SUM(G36)</f>
        <v>1.5137199750828174</v>
      </c>
      <c r="H37" s="80" t="s">
        <v>24</v>
      </c>
      <c r="I37" s="84">
        <v>13351.1</v>
      </c>
      <c r="J37" s="84">
        <f>G37*I37</f>
        <v>20209.826759328203</v>
      </c>
      <c r="K37" s="81"/>
    </row>
    <row r="38" spans="1:11">
      <c r="A38" s="77"/>
      <c r="B38" s="92" t="s">
        <v>28</v>
      </c>
      <c r="C38" s="83"/>
      <c r="D38" s="84"/>
      <c r="E38" s="84"/>
      <c r="F38" s="84"/>
      <c r="G38" s="84"/>
      <c r="H38" s="80"/>
      <c r="I38" s="84"/>
      <c r="J38" s="84">
        <f>0.13*G37*4169.92</f>
        <v>820.57185580465443</v>
      </c>
      <c r="K38" s="81"/>
    </row>
    <row r="39" spans="1:11">
      <c r="A39" s="77"/>
      <c r="B39" s="92" t="s">
        <v>29</v>
      </c>
      <c r="C39" s="83"/>
      <c r="D39" s="84"/>
      <c r="E39" s="84"/>
      <c r="F39" s="84"/>
      <c r="G39" s="84"/>
      <c r="H39" s="80"/>
      <c r="I39" s="84"/>
      <c r="J39" s="84">
        <f>0.13*G37*1414.16</f>
        <v>278.28349119520522</v>
      </c>
      <c r="K39" s="81"/>
    </row>
    <row r="40" spans="1:11">
      <c r="A40" s="77"/>
      <c r="B40" s="92" t="s">
        <v>30</v>
      </c>
      <c r="C40" s="83"/>
      <c r="D40" s="84"/>
      <c r="E40" s="84"/>
      <c r="F40" s="84"/>
      <c r="G40" s="84"/>
      <c r="H40" s="80"/>
      <c r="I40" s="84"/>
      <c r="J40" s="84">
        <f>0.13*G37*(1652.5+737.97+349.56)</f>
        <v>539.19295863240245</v>
      </c>
      <c r="K40" s="81"/>
    </row>
    <row r="41" spans="1:11">
      <c r="A41" s="77"/>
      <c r="B41" s="78"/>
      <c r="C41" s="83"/>
      <c r="D41" s="84"/>
      <c r="E41" s="84"/>
      <c r="F41" s="84"/>
      <c r="G41" s="84"/>
      <c r="H41" s="80"/>
      <c r="I41" s="84"/>
      <c r="J41" s="84"/>
      <c r="K41" s="81"/>
    </row>
    <row r="42" spans="1:11" ht="45.75">
      <c r="A42" s="77">
        <v>7</v>
      </c>
      <c r="B42" s="115" t="s">
        <v>71</v>
      </c>
      <c r="C42" s="83"/>
      <c r="D42" s="84"/>
      <c r="E42" s="84"/>
      <c r="F42" s="84"/>
      <c r="G42" s="84"/>
      <c r="H42" s="80"/>
      <c r="I42" s="84"/>
      <c r="J42" s="84"/>
      <c r="K42" s="81"/>
    </row>
    <row r="43" spans="1:11">
      <c r="A43" s="77"/>
      <c r="B43" s="94" t="s">
        <v>131</v>
      </c>
      <c r="C43" s="89">
        <f>TRUNC(('Size of water tank'!A3-'Size of water tank'!G3*2)/0.15,0)+1</f>
        <v>29</v>
      </c>
      <c r="D43" s="90">
        <f>('Size of water tank'!B3-'Size of water tank'!G3*2)+(('Size of water tank'!C3+'Size of water tank'!D3*2-'Size of water tank'!E3*4)*2)+((57*'Size of water tank'!J3/1000)*2)</f>
        <v>8.7554318805242293</v>
      </c>
      <c r="E43" s="84"/>
      <c r="F43" s="84">
        <f>10*10/162</f>
        <v>0.61728395061728392</v>
      </c>
      <c r="G43" s="90">
        <f>PRODUCT(C43:F43)</f>
        <v>156.73303983654483</v>
      </c>
      <c r="H43" s="80"/>
      <c r="I43" s="84"/>
      <c r="J43" s="84"/>
      <c r="K43" s="81"/>
    </row>
    <row r="44" spans="1:11">
      <c r="A44" s="77"/>
      <c r="B44" s="92"/>
      <c r="C44" s="89">
        <f>TRUNC(('Size of water tank'!A3-'Size of water tank'!F3*2+'Size of water tank'!G3*2)/0.15,0)+1</f>
        <v>28</v>
      </c>
      <c r="D44" s="90">
        <f>('Size of water tank'!B3-'Size of water tank'!F3*2+'Size of water tank'!G3*2)+(('Size of water tank'!C3+'Size of water tank'!D3*2-'Size of water tank'!E3*4)*2)+((57*'Size of water tank'!J3/1000)*2)</f>
        <v>8.5014442751193737</v>
      </c>
      <c r="E44" s="84"/>
      <c r="F44" s="84">
        <f>10*10/162</f>
        <v>0.61728395061728392</v>
      </c>
      <c r="G44" s="90">
        <f t="shared" ref="G44:G57" si="7">PRODUCT(C44:F44)</f>
        <v>146.93854302675459</v>
      </c>
      <c r="H44" s="80"/>
      <c r="I44" s="84"/>
      <c r="J44" s="84"/>
      <c r="K44" s="81"/>
    </row>
    <row r="45" spans="1:11">
      <c r="A45" s="77"/>
      <c r="B45" s="94" t="s">
        <v>110</v>
      </c>
      <c r="C45" s="89">
        <f>TRUNC(('Size of water tank'!B3-'Size of water tank'!G3*2)/0.15,0)+1</f>
        <v>28</v>
      </c>
      <c r="D45" s="90">
        <f>('Size of water tank'!A3-'Size of water tank'!G3*2)+(('Size of water tank'!C3+'Size of water tank'!D3*2-'Size of water tank'!E3*4)*2)+((57*'Size of water tank'!J3/1000)*2)</f>
        <v>8.9078244437671437</v>
      </c>
      <c r="E45" s="84"/>
      <c r="F45" s="84">
        <f>10*10/162</f>
        <v>0.61728395061728392</v>
      </c>
      <c r="G45" s="90">
        <f t="shared" si="7"/>
        <v>153.9623977935062</v>
      </c>
      <c r="H45" s="80"/>
      <c r="I45" s="84"/>
      <c r="J45" s="84"/>
      <c r="K45" s="81"/>
    </row>
    <row r="46" spans="1:11">
      <c r="A46" s="77"/>
      <c r="B46" s="92"/>
      <c r="C46" s="89">
        <f>TRUNC(('Size of water tank'!B3-'Size of water tank'!F3*2+'Size of water tank'!G3*2)/0.15,0)+1</f>
        <v>27</v>
      </c>
      <c r="D46" s="90">
        <f>('Size of water tank'!A3-'Size of water tank'!F3*2+'Size of water tank'!G3*2)+(('Size of water tank'!C3+'Size of water tank'!D3*2-'Size of water tank'!E3*4)*2)+((57*'Size of water tank'!J3/1000)*2)</f>
        <v>8.6538368383622881</v>
      </c>
      <c r="E46" s="84"/>
      <c r="F46" s="84">
        <f>10*10/162</f>
        <v>0.61728395061728392</v>
      </c>
      <c r="G46" s="90">
        <f t="shared" si="7"/>
        <v>144.23061397270479</v>
      </c>
      <c r="H46" s="80"/>
      <c r="I46" s="84"/>
      <c r="J46" s="84"/>
      <c r="K46" s="81"/>
    </row>
    <row r="47" spans="1:11">
      <c r="A47" s="77"/>
      <c r="B47" s="94" t="s">
        <v>132</v>
      </c>
      <c r="C47" s="83">
        <f>TRUNC(('Size of water tank'!C3+'Size of water tank'!D3-'Size of water tank'!E3)/0.15,0)+1</f>
        <v>12</v>
      </c>
      <c r="D47" s="84">
        <f>('Size of water tank'!A3-'Size of water tank'!G3*2)*2+('Size of water tank'!B3-'Size of water tank'!G3*2)*2</f>
        <v>17.067967083206337</v>
      </c>
      <c r="E47" s="84"/>
      <c r="F47" s="84">
        <f>8*8/162</f>
        <v>0.39506172839506171</v>
      </c>
      <c r="G47" s="90">
        <f t="shared" si="7"/>
        <v>80.914806912978179</v>
      </c>
      <c r="H47" s="80"/>
      <c r="I47" s="84"/>
      <c r="J47" s="84"/>
      <c r="K47" s="81"/>
    </row>
    <row r="48" spans="1:11">
      <c r="A48" s="77"/>
      <c r="B48" s="92"/>
      <c r="C48" s="83">
        <f>TRUNC(('Size of water tank'!C3+'Size of water tank'!E3)/0.15,0)+1</f>
        <v>12</v>
      </c>
      <c r="D48" s="84">
        <f>('Size of water tank'!A3-'Size of water tank'!F3*2+'Size of water tank'!G3*2)*2+('Size of water tank'!B3-'Size of water tank'!F3*2+'Size of water tank'!G3*2)*2</f>
        <v>16.052016661586915</v>
      </c>
      <c r="E48" s="84"/>
      <c r="F48" s="84">
        <f>8*8/162</f>
        <v>0.39506172839506171</v>
      </c>
      <c r="G48" s="90">
        <f t="shared" si="7"/>
        <v>76.098449358634255</v>
      </c>
      <c r="H48" s="80"/>
      <c r="I48" s="84"/>
      <c r="J48" s="84"/>
      <c r="K48" s="81"/>
    </row>
    <row r="49" spans="1:11">
      <c r="A49" s="77"/>
      <c r="B49" s="94" t="s">
        <v>111</v>
      </c>
      <c r="C49" s="83">
        <f>2*(TRUNC(('Size of water tank'!B3-'Size of water tank'!G3*2)/0.15,0)+1)</f>
        <v>56</v>
      </c>
      <c r="D49" s="84">
        <f>'Size of water tank'!A3</f>
        <v>4.4193843340444987</v>
      </c>
      <c r="E49" s="84"/>
      <c r="F49" s="84">
        <f t="shared" ref="F49:F54" si="8">8*8/162</f>
        <v>0.39506172839506171</v>
      </c>
      <c r="G49" s="90">
        <f t="shared" si="7"/>
        <v>97.77205835318199</v>
      </c>
      <c r="H49" s="80"/>
      <c r="I49" s="84"/>
      <c r="J49" s="84"/>
      <c r="K49" s="81"/>
    </row>
    <row r="50" spans="1:11">
      <c r="A50" s="77"/>
      <c r="B50" s="92"/>
      <c r="C50" s="83">
        <f>2*(TRUNC(('Size of water tank'!A3-'Size of water tank'!G3*2)/0.15,0)+1)</f>
        <v>58</v>
      </c>
      <c r="D50" s="84">
        <f>'Size of water tank'!B3</f>
        <v>4.2669917708015843</v>
      </c>
      <c r="E50" s="84"/>
      <c r="F50" s="84">
        <f t="shared" si="8"/>
        <v>0.39506172839506171</v>
      </c>
      <c r="G50" s="90">
        <f t="shared" si="7"/>
        <v>97.772058353181976</v>
      </c>
      <c r="H50" s="80"/>
      <c r="I50" s="84"/>
      <c r="J50" s="84"/>
      <c r="K50" s="81"/>
    </row>
    <row r="51" spans="1:11">
      <c r="A51" s="77"/>
      <c r="B51" s="94" t="s">
        <v>122</v>
      </c>
      <c r="C51" s="83">
        <f>-2*(TRUNC('Size of water tank'!L3/0.15,0)+1)</f>
        <v>-10</v>
      </c>
      <c r="D51" s="84">
        <f>'Size of water tank'!K3</f>
        <v>0.6095702529716549</v>
      </c>
      <c r="E51" s="84"/>
      <c r="F51" s="84">
        <f t="shared" si="8"/>
        <v>0.39506172839506171</v>
      </c>
      <c r="G51" s="90">
        <f t="shared" si="7"/>
        <v>-2.4081787771719698</v>
      </c>
      <c r="H51" s="80"/>
      <c r="I51" s="84"/>
      <c r="J51" s="84"/>
      <c r="K51" s="81"/>
    </row>
    <row r="52" spans="1:11">
      <c r="A52" s="77"/>
      <c r="B52" s="94"/>
      <c r="C52" s="83">
        <f>-2*(TRUNC('Size of water tank'!K3/0.15,0)+1)</f>
        <v>-10</v>
      </c>
      <c r="D52" s="84">
        <f>'Size of water tank'!L3</f>
        <v>0.6095702529716549</v>
      </c>
      <c r="E52" s="84"/>
      <c r="F52" s="84">
        <f t="shared" si="8"/>
        <v>0.39506172839506171</v>
      </c>
      <c r="G52" s="90">
        <f t="shared" si="7"/>
        <v>-2.4081787771719698</v>
      </c>
      <c r="H52" s="80"/>
      <c r="I52" s="84"/>
      <c r="J52" s="84"/>
      <c r="K52" s="81"/>
    </row>
    <row r="53" spans="1:11">
      <c r="A53" s="77"/>
      <c r="B53" s="94" t="s">
        <v>118</v>
      </c>
      <c r="C53" s="83">
        <f>2*(TRUNC(((('Size of water tank'!A3-'Size of water tank'!F3*2)+('Size of water tank'!A3-'Size of water tank'!F3*2-'Size of water tank'!M3*2))/2)/0.15,0)+1)</f>
        <v>50</v>
      </c>
      <c r="D53" s="84">
        <f>(2*57*('Size of water tank'!J3/1000))+SQRT(('Size of water tank'!M3)^2+('Size of water tank'!N3)^2)</f>
        <v>1.3430312594858564</v>
      </c>
      <c r="E53" s="84"/>
      <c r="F53" s="84">
        <f t="shared" si="8"/>
        <v>0.39506172839506171</v>
      </c>
      <c r="G53" s="90">
        <f t="shared" si="7"/>
        <v>26.529012533053951</v>
      </c>
      <c r="H53" s="80"/>
      <c r="I53" s="84"/>
      <c r="J53" s="84"/>
      <c r="K53" s="81"/>
    </row>
    <row r="54" spans="1:11">
      <c r="A54" s="77"/>
      <c r="B54" s="94"/>
      <c r="C54" s="83">
        <f>2*(TRUNC(((('Size of water tank'!B3-'Size of water tank'!F3*2)+('Size of water tank'!B3-'Size of water tank'!F3*2-'Size of water tank'!M3*2))/2)/0.15,0)+1)</f>
        <v>48</v>
      </c>
      <c r="D54" s="84">
        <f>(2*57*('Size of water tank'!J3/1000))+SQRT(('Size of water tank'!M3)^2+('Size of water tank'!N3)^2)</f>
        <v>1.3430312594858564</v>
      </c>
      <c r="E54" s="84"/>
      <c r="F54" s="84">
        <f t="shared" si="8"/>
        <v>0.39506172839506171</v>
      </c>
      <c r="G54" s="90">
        <f t="shared" si="7"/>
        <v>25.467852031731795</v>
      </c>
      <c r="H54" s="80"/>
      <c r="I54" s="84"/>
      <c r="J54" s="84"/>
      <c r="K54" s="81"/>
    </row>
    <row r="55" spans="1:11">
      <c r="A55" s="77"/>
      <c r="B55" s="94" t="s">
        <v>132</v>
      </c>
      <c r="C55" s="83">
        <f>TRUNC(((SQRT(('Size of water tank'!M3)^2+('Size of water tank'!N3)^2))/0.15)+1)-2</f>
        <v>1</v>
      </c>
      <c r="D55" s="84">
        <f>(((('Size of water tank'!A3-'Size of water tank'!F3*2)+('Size of water tank'!A3-'Size of water tank'!F3*2-'Size of water tank'!M3*2))/2)+((('Size of water tank'!B3-'Size of water tank'!F3*2)+('Size of water tank'!B3-'Size of water tank'!F3*2-'Size of water tank'!M3*2))/2))*2</f>
        <v>14.528091029157777</v>
      </c>
      <c r="E55" s="84"/>
      <c r="F55" s="84">
        <f>8*8/162</f>
        <v>0.39506172839506171</v>
      </c>
      <c r="G55" s="90">
        <f t="shared" si="7"/>
        <v>5.7394927522598618</v>
      </c>
      <c r="H55" s="80"/>
      <c r="I55" s="84"/>
      <c r="J55" s="84"/>
      <c r="K55" s="81"/>
    </row>
    <row r="56" spans="1:11">
      <c r="A56" s="77"/>
      <c r="B56" s="94" t="s">
        <v>172</v>
      </c>
      <c r="C56" s="83">
        <f>TRUNC((D57-0.1)/0.15,0)+1</f>
        <v>5</v>
      </c>
      <c r="D56" s="84">
        <v>1.5</v>
      </c>
      <c r="E56" s="84"/>
      <c r="F56" s="84">
        <f>12*12/162</f>
        <v>0.88888888888888884</v>
      </c>
      <c r="G56" s="90">
        <f t="shared" si="7"/>
        <v>6.6666666666666661</v>
      </c>
      <c r="H56" s="80"/>
      <c r="I56" s="84"/>
      <c r="J56" s="84"/>
      <c r="K56" s="81"/>
    </row>
    <row r="57" spans="1:11">
      <c r="A57" s="77"/>
      <c r="B57" s="94"/>
      <c r="C57" s="83">
        <f>TRUNC(D56/0.15,0)+1</f>
        <v>11</v>
      </c>
      <c r="D57" s="84">
        <f>2.33/3.281</f>
        <v>0.71014934471197799</v>
      </c>
      <c r="E57" s="84"/>
      <c r="F57" s="84">
        <f>12*12/162</f>
        <v>0.88888888888888884</v>
      </c>
      <c r="G57" s="90">
        <f t="shared" si="7"/>
        <v>6.9436824816282297</v>
      </c>
      <c r="H57" s="80"/>
      <c r="I57" s="84"/>
      <c r="J57" s="84"/>
      <c r="K57" s="81"/>
    </row>
    <row r="58" spans="1:11">
      <c r="A58" s="77"/>
      <c r="B58" s="92"/>
      <c r="C58" s="83"/>
      <c r="D58" s="84"/>
      <c r="E58" s="84"/>
      <c r="F58" s="84"/>
      <c r="G58" s="84">
        <f>SUM(G43:G57)</f>
        <v>1020.9523165184833</v>
      </c>
      <c r="H58" s="80" t="s">
        <v>18</v>
      </c>
      <c r="I58" s="84">
        <f>132360/1000</f>
        <v>132.36000000000001</v>
      </c>
      <c r="J58" s="95">
        <f>G58*I58</f>
        <v>135133.24861438645</v>
      </c>
      <c r="K58" s="81"/>
    </row>
    <row r="59" spans="1:11">
      <c r="A59" s="77"/>
      <c r="B59" s="92" t="s">
        <v>72</v>
      </c>
      <c r="C59" s="83"/>
      <c r="D59" s="84"/>
      <c r="E59" s="84"/>
      <c r="F59" s="84"/>
      <c r="G59" s="84"/>
      <c r="H59" s="80"/>
      <c r="I59" s="84"/>
      <c r="J59" s="84">
        <f>0.13*G58*106200/1000</f>
        <v>14095.26768185418</v>
      </c>
      <c r="K59" s="81"/>
    </row>
    <row r="60" spans="1:11">
      <c r="A60" s="77"/>
      <c r="B60" s="92"/>
      <c r="C60" s="83"/>
      <c r="D60" s="84"/>
      <c r="E60" s="84"/>
      <c r="F60" s="84"/>
      <c r="G60" s="84"/>
      <c r="H60" s="80"/>
      <c r="I60" s="84"/>
      <c r="J60" s="84"/>
      <c r="K60" s="81"/>
    </row>
    <row r="61" spans="1:11" ht="30.75">
      <c r="A61" s="77">
        <v>8</v>
      </c>
      <c r="B61" s="115" t="s">
        <v>112</v>
      </c>
      <c r="C61" s="83"/>
      <c r="D61" s="84"/>
      <c r="E61" s="84"/>
      <c r="F61" s="84"/>
      <c r="G61" s="84"/>
      <c r="H61" s="80"/>
      <c r="I61" s="84"/>
      <c r="J61" s="84"/>
      <c r="K61" s="81"/>
    </row>
    <row r="62" spans="1:11">
      <c r="A62" s="77"/>
      <c r="B62" s="94" t="s">
        <v>113</v>
      </c>
      <c r="C62" s="83">
        <v>1</v>
      </c>
      <c r="D62" s="84">
        <f>('Size of water tank'!A3+'Size of water tank'!B3)*2</f>
        <v>17.372752209692166</v>
      </c>
      <c r="E62" s="84"/>
      <c r="F62" s="84">
        <f>'Size of water tank'!C3+'Size of water tank'!D3</f>
        <v>1.8013181956720512</v>
      </c>
      <c r="G62" s="84">
        <f>PRODUCT(C62:F62)</f>
        <v>31.293854664220333</v>
      </c>
      <c r="H62" s="80"/>
      <c r="I62" s="84"/>
      <c r="J62" s="84"/>
      <c r="K62" s="81"/>
    </row>
    <row r="63" spans="1:11">
      <c r="A63" s="77"/>
      <c r="B63" s="92"/>
      <c r="C63" s="83">
        <v>1</v>
      </c>
      <c r="D63" s="84">
        <f>(('Size of water tank'!A3-'Size of water tank'!F3*2)+('Size of water tank'!B3-'Size of water tank'!F3*2))*2</f>
        <v>15.747231535101086</v>
      </c>
      <c r="E63" s="84"/>
      <c r="F63" s="84">
        <f>'Size of water tank'!C3+'Size of water tank'!D3-'Size of water tank'!N3</f>
        <v>1.4965330691862238</v>
      </c>
      <c r="G63" s="84">
        <f t="shared" ref="G63:G66" si="9">PRODUCT(C63:F63)</f>
        <v>23.566252740410917</v>
      </c>
      <c r="H63" s="80"/>
      <c r="I63" s="84"/>
      <c r="J63" s="84"/>
      <c r="K63" s="81"/>
    </row>
    <row r="64" spans="1:11">
      <c r="A64" s="77"/>
      <c r="B64" s="94" t="s">
        <v>114</v>
      </c>
      <c r="C64" s="83">
        <v>1</v>
      </c>
      <c r="D64" s="129">
        <f>'Size of water tank'!A3-'Size of water tank'!F3*2</f>
        <v>4.0130041653967288</v>
      </c>
      <c r="E64" s="129">
        <f>'Size of water tank'!B3-'Size of water tank'!F3*2</f>
        <v>3.8606116021538144</v>
      </c>
      <c r="F64" s="84"/>
      <c r="G64" s="84">
        <f t="shared" si="9"/>
        <v>15.492650440422196</v>
      </c>
      <c r="H64" s="80"/>
      <c r="I64" s="84"/>
      <c r="J64" s="84"/>
      <c r="K64" s="81"/>
    </row>
    <row r="65" spans="1:11">
      <c r="A65" s="77"/>
      <c r="B65" s="94" t="s">
        <v>122</v>
      </c>
      <c r="C65" s="83">
        <v>-1</v>
      </c>
      <c r="D65" s="84">
        <f>'Size of water tank'!K3</f>
        <v>0.6095702529716549</v>
      </c>
      <c r="E65" s="84">
        <f>'Size of water tank'!L3</f>
        <v>0.6095702529716549</v>
      </c>
      <c r="F65" s="84"/>
      <c r="G65" s="84">
        <f t="shared" si="9"/>
        <v>-0.37157589330792734</v>
      </c>
      <c r="H65" s="80"/>
      <c r="I65" s="84"/>
      <c r="J65" s="84"/>
      <c r="K65" s="81"/>
    </row>
    <row r="66" spans="1:11">
      <c r="A66" s="77"/>
      <c r="B66" s="94" t="str">
        <f>B56</f>
        <v>-for kitchen setup at ward office</v>
      </c>
      <c r="C66" s="83">
        <v>1</v>
      </c>
      <c r="D66" s="84">
        <f>D56</f>
        <v>1.5</v>
      </c>
      <c r="E66" s="84">
        <f>D57</f>
        <v>0.71014934471197799</v>
      </c>
      <c r="F66" s="84"/>
      <c r="G66" s="84">
        <f t="shared" si="9"/>
        <v>1.065224017067967</v>
      </c>
      <c r="H66" s="80"/>
      <c r="I66" s="84"/>
      <c r="J66" s="84"/>
      <c r="K66" s="81"/>
    </row>
    <row r="67" spans="1:11">
      <c r="A67" s="77"/>
      <c r="B67" s="92"/>
      <c r="C67" s="83"/>
      <c r="D67" s="84"/>
      <c r="E67" s="84"/>
      <c r="F67" s="84"/>
      <c r="G67" s="84">
        <f>SUM(G62:G66)</f>
        <v>71.046405968813474</v>
      </c>
      <c r="H67" s="80" t="s">
        <v>23</v>
      </c>
      <c r="I67" s="84">
        <v>922.71</v>
      </c>
      <c r="J67" s="84">
        <f>G67*I67</f>
        <v>65555.229251483877</v>
      </c>
      <c r="K67" s="81"/>
    </row>
    <row r="68" spans="1:11">
      <c r="A68" s="77"/>
      <c r="B68" s="92" t="s">
        <v>72</v>
      </c>
      <c r="C68" s="83"/>
      <c r="D68" s="84"/>
      <c r="E68" s="84"/>
      <c r="F68" s="84"/>
      <c r="G68" s="84"/>
      <c r="H68" s="80"/>
      <c r="I68" s="84"/>
      <c r="J68" s="84">
        <f>0.13*G67*46827.87/100</f>
        <v>4325.0374214772683</v>
      </c>
      <c r="K68" s="81"/>
    </row>
    <row r="69" spans="1:11">
      <c r="A69" s="77"/>
      <c r="B69" s="92"/>
      <c r="C69" s="83"/>
      <c r="D69" s="84"/>
      <c r="E69" s="84"/>
      <c r="F69" s="84"/>
      <c r="G69" s="84"/>
      <c r="H69" s="80"/>
      <c r="I69" s="84"/>
      <c r="J69" s="84"/>
      <c r="K69" s="81"/>
    </row>
    <row r="70" spans="1:11" ht="30.75">
      <c r="A70" s="77">
        <v>9</v>
      </c>
      <c r="B70" s="115" t="s">
        <v>119</v>
      </c>
      <c r="C70" s="83"/>
      <c r="D70" s="84"/>
      <c r="E70" s="84"/>
      <c r="F70" s="84"/>
      <c r="G70" s="84"/>
      <c r="H70" s="80"/>
      <c r="I70" s="84"/>
      <c r="J70" s="84"/>
      <c r="K70" s="81"/>
    </row>
    <row r="71" spans="1:11">
      <c r="A71" s="77"/>
      <c r="B71" s="94" t="s">
        <v>117</v>
      </c>
      <c r="C71" s="83">
        <v>2</v>
      </c>
      <c r="D71" s="84">
        <f>'Size of water tank'!A3</f>
        <v>4.4193843340444987</v>
      </c>
      <c r="E71" s="84">
        <f>'Size of water tank'!B3</f>
        <v>4.2669917708015843</v>
      </c>
      <c r="F71" s="84">
        <f>'Size of water tank'!D3</f>
        <v>0.125</v>
      </c>
      <c r="G71" s="84">
        <f t="shared" ref="G71:G77" si="10">PRODUCT(C71:F71)</f>
        <v>4.7143691463443291</v>
      </c>
      <c r="H71" s="80"/>
      <c r="I71" s="84"/>
      <c r="J71" s="84"/>
      <c r="K71" s="81"/>
    </row>
    <row r="72" spans="1:11">
      <c r="A72" s="77"/>
      <c r="B72" s="94" t="s">
        <v>116</v>
      </c>
      <c r="C72" s="83">
        <v>2</v>
      </c>
      <c r="D72" s="84">
        <f>'Size of water tank'!A3</f>
        <v>4.4193843340444987</v>
      </c>
      <c r="E72" s="84">
        <f>'Size of water tank'!F3</f>
        <v>0.20319008432388497</v>
      </c>
      <c r="F72" s="84">
        <f>'Size of water tank'!C3</f>
        <v>1.6763181956720512</v>
      </c>
      <c r="G72" s="84">
        <f t="shared" si="10"/>
        <v>3.0105839166216812</v>
      </c>
      <c r="H72" s="80"/>
      <c r="I72" s="84"/>
      <c r="J72" s="84"/>
      <c r="K72" s="81"/>
    </row>
    <row r="73" spans="1:11">
      <c r="A73" s="77"/>
      <c r="B73" s="93"/>
      <c r="C73" s="83">
        <v>2</v>
      </c>
      <c r="D73" s="84">
        <f>'Size of water tank'!B3-'Size of water tank'!F3*2</f>
        <v>3.8606116021538144</v>
      </c>
      <c r="E73" s="84">
        <f>'Size of water tank'!F3</f>
        <v>0.20319008432388497</v>
      </c>
      <c r="F73" s="84">
        <f>'Size of water tank'!C3</f>
        <v>1.6763181956720512</v>
      </c>
      <c r="G73" s="84">
        <f t="shared" si="10"/>
        <v>2.6299353754396293</v>
      </c>
      <c r="H73" s="80"/>
      <c r="I73" s="84"/>
      <c r="J73" s="84"/>
      <c r="K73" s="81"/>
    </row>
    <row r="74" spans="1:11">
      <c r="A74" s="77"/>
      <c r="B74" s="94" t="s">
        <v>115</v>
      </c>
      <c r="C74" s="83">
        <f>2*0.5</f>
        <v>1</v>
      </c>
      <c r="D74" s="84">
        <f>(('Size of water tank'!A3-('Size of water tank'!F3)*2)+('Size of water tank'!A3-('Size of water tank'!F3)*2-('Size of water tank'!M3)*2))/2</f>
        <v>3.7082190389109013</v>
      </c>
      <c r="E74" s="84">
        <f>'Size of water tank'!M3</f>
        <v>0.30478512648582745</v>
      </c>
      <c r="F74" s="84">
        <f>'Size of water tank'!N3</f>
        <v>0.30478512648582745</v>
      </c>
      <c r="G74" s="84">
        <f t="shared" si="10"/>
        <v>0.34447120049119545</v>
      </c>
      <c r="H74" s="80"/>
      <c r="I74" s="84"/>
      <c r="J74" s="84"/>
      <c r="K74" s="81"/>
    </row>
    <row r="75" spans="1:11">
      <c r="A75" s="77"/>
      <c r="B75" s="94"/>
      <c r="C75" s="83">
        <f>2*0.5</f>
        <v>1</v>
      </c>
      <c r="D75" s="84">
        <f>(('Size of water tank'!B3-'Size of water tank'!F3*2)+('Size of water tank'!B3-'Size of water tank'!F3*2-'Size of water tank'!M3*2))/2</f>
        <v>3.5558264756679869</v>
      </c>
      <c r="E75" s="84">
        <f>'Size of water tank'!M3</f>
        <v>0.30478512648582745</v>
      </c>
      <c r="F75" s="84">
        <f>'Size of water tank'!N3</f>
        <v>0.30478512648582745</v>
      </c>
      <c r="G75" s="84">
        <f t="shared" si="10"/>
        <v>0.33031484978607778</v>
      </c>
      <c r="H75" s="80"/>
      <c r="I75" s="84"/>
      <c r="J75" s="84"/>
      <c r="K75" s="81"/>
    </row>
    <row r="76" spans="1:11">
      <c r="A76" s="77"/>
      <c r="B76" s="94" t="s">
        <v>122</v>
      </c>
      <c r="C76" s="83">
        <v>-1</v>
      </c>
      <c r="D76" s="84">
        <v>0.6</v>
      </c>
      <c r="E76" s="84">
        <v>0.6</v>
      </c>
      <c r="F76" s="84">
        <f>0.42/3.281</f>
        <v>0.12800975312404753</v>
      </c>
      <c r="G76" s="84">
        <f t="shared" si="10"/>
        <v>-4.6083511124657105E-2</v>
      </c>
      <c r="H76" s="80"/>
      <c r="I76" s="84"/>
      <c r="J76" s="84"/>
      <c r="K76" s="81"/>
    </row>
    <row r="77" spans="1:11">
      <c r="A77" s="77"/>
      <c r="B77" s="94" t="str">
        <f>B66</f>
        <v>-for kitchen setup at ward office</v>
      </c>
      <c r="C77" s="83">
        <v>1</v>
      </c>
      <c r="D77" s="84">
        <f>D66</f>
        <v>1.5</v>
      </c>
      <c r="E77" s="84">
        <f>E66</f>
        <v>0.71014934471197799</v>
      </c>
      <c r="F77" s="84">
        <v>0.125</v>
      </c>
      <c r="G77" s="84">
        <f t="shared" si="10"/>
        <v>0.13315300213349587</v>
      </c>
      <c r="H77" s="80"/>
      <c r="I77" s="84"/>
      <c r="J77" s="84"/>
      <c r="K77" s="81"/>
    </row>
    <row r="78" spans="1:11">
      <c r="A78" s="77"/>
      <c r="B78" s="94"/>
      <c r="C78" s="83"/>
      <c r="D78" s="84"/>
      <c r="E78" s="84" t="s">
        <v>31</v>
      </c>
      <c r="F78" s="84"/>
      <c r="G78" s="84">
        <f>SUM(G71:G77)</f>
        <v>11.116743979691751</v>
      </c>
      <c r="H78" s="80" t="s">
        <v>24</v>
      </c>
      <c r="I78" s="84">
        <v>13957.29</v>
      </c>
      <c r="J78" s="95">
        <f>G78*I78</f>
        <v>155159.6195803119</v>
      </c>
      <c r="K78" s="81"/>
    </row>
    <row r="79" spans="1:11">
      <c r="A79" s="77"/>
      <c r="B79" s="92" t="s">
        <v>28</v>
      </c>
      <c r="C79" s="83"/>
      <c r="D79" s="84"/>
      <c r="E79" s="84"/>
      <c r="F79" s="84"/>
      <c r="G79" s="84"/>
      <c r="H79" s="80"/>
      <c r="I79" s="84"/>
      <c r="J79" s="84">
        <f>0.13*G78*5212.4</f>
        <v>7532.8391215668862</v>
      </c>
      <c r="K79" s="81"/>
    </row>
    <row r="80" spans="1:11">
      <c r="A80" s="77"/>
      <c r="B80" s="92" t="s">
        <v>29</v>
      </c>
      <c r="C80" s="83"/>
      <c r="D80" s="84"/>
      <c r="E80" s="84"/>
      <c r="F80" s="84"/>
      <c r="G80" s="84"/>
      <c r="H80" s="80"/>
      <c r="I80" s="84"/>
      <c r="J80" s="84">
        <f>0.13*G78*1350.6</f>
        <v>1951.8556744663183</v>
      </c>
      <c r="K80" s="81"/>
    </row>
    <row r="81" spans="1:11">
      <c r="A81" s="77"/>
      <c r="B81" s="92" t="s">
        <v>30</v>
      </c>
      <c r="C81" s="83"/>
      <c r="D81" s="84"/>
      <c r="E81" s="84"/>
      <c r="F81" s="84"/>
      <c r="G81" s="84"/>
      <c r="H81" s="80"/>
      <c r="I81" s="84"/>
      <c r="J81" s="84">
        <f>0.13*G78*(1912.03+921.59)</f>
        <v>4095.0816498454383</v>
      </c>
      <c r="K81" s="81"/>
    </row>
    <row r="82" spans="1:11">
      <c r="A82" s="77"/>
      <c r="B82" s="92" t="s">
        <v>120</v>
      </c>
      <c r="C82" s="83"/>
      <c r="D82" s="84"/>
      <c r="E82" s="84"/>
      <c r="F82" s="84"/>
      <c r="G82" s="84"/>
      <c r="H82" s="80"/>
      <c r="I82" s="84"/>
      <c r="J82" s="84">
        <f>0.13*G78*392.92</f>
        <v>567.83883578506277</v>
      </c>
      <c r="K82" s="81"/>
    </row>
    <row r="83" spans="1:11">
      <c r="A83" s="77"/>
      <c r="B83" s="92" t="s">
        <v>121</v>
      </c>
      <c r="C83" s="83"/>
      <c r="D83" s="84"/>
      <c r="E83" s="84"/>
      <c r="F83" s="84"/>
      <c r="G83" s="84"/>
      <c r="H83" s="80"/>
      <c r="I83" s="84"/>
      <c r="J83" s="84">
        <f>0.13*G78*14.15</f>
        <v>20.449250550642976</v>
      </c>
      <c r="K83" s="81"/>
    </row>
    <row r="84" spans="1:11">
      <c r="A84" s="77"/>
      <c r="B84" s="92"/>
      <c r="C84" s="83"/>
      <c r="D84" s="84"/>
      <c r="E84" s="84"/>
      <c r="F84" s="84"/>
      <c r="G84" s="84"/>
      <c r="H84" s="80"/>
      <c r="I84" s="84"/>
      <c r="J84" s="84"/>
      <c r="K84" s="81"/>
    </row>
    <row r="85" spans="1:11" ht="30.75">
      <c r="A85" s="77">
        <v>10</v>
      </c>
      <c r="B85" s="115" t="s">
        <v>69</v>
      </c>
      <c r="C85" s="83"/>
      <c r="D85" s="80"/>
      <c r="E85" s="80"/>
      <c r="F85" s="80"/>
      <c r="G85" s="84"/>
      <c r="H85" s="80"/>
      <c r="I85" s="84"/>
      <c r="J85" s="84"/>
      <c r="K85" s="81"/>
    </row>
    <row r="86" spans="1:11">
      <c r="A86" s="77"/>
      <c r="B86" s="92" t="s">
        <v>124</v>
      </c>
      <c r="C86" s="83">
        <v>2</v>
      </c>
      <c r="D86" s="80">
        <f>'Size of water tank'!A3-'Size of water tank'!F3*2</f>
        <v>4.0130041653967288</v>
      </c>
      <c r="E86" s="80"/>
      <c r="F86" s="80">
        <f>'Size of water tank'!C3-'Size of water tank'!N3</f>
        <v>1.3715330691862238</v>
      </c>
      <c r="G86" s="84">
        <f t="shared" ref="G86:G89" si="11">PRODUCT(C86:F86)</f>
        <v>11.007935839247352</v>
      </c>
      <c r="H86" s="80"/>
      <c r="I86" s="84"/>
      <c r="J86" s="84"/>
      <c r="K86" s="81"/>
    </row>
    <row r="87" spans="1:11">
      <c r="A87" s="77"/>
      <c r="B87" s="96"/>
      <c r="C87" s="83">
        <v>2</v>
      </c>
      <c r="D87" s="80">
        <f>'Size of water tank'!B3-'Size of water tank'!F3*2</f>
        <v>3.8606116021538144</v>
      </c>
      <c r="E87" s="80"/>
      <c r="F87" s="80">
        <f>'Size of water tank'!C3-'Size of water tank'!N3</f>
        <v>1.3715330691862238</v>
      </c>
      <c r="G87" s="84">
        <f t="shared" si="11"/>
        <v>10.589912959275932</v>
      </c>
      <c r="H87" s="80"/>
      <c r="I87" s="97"/>
      <c r="J87" s="84"/>
      <c r="K87" s="81"/>
    </row>
    <row r="88" spans="1:11">
      <c r="A88" s="77"/>
      <c r="B88" s="94" t="s">
        <v>170</v>
      </c>
      <c r="C88" s="83">
        <v>1</v>
      </c>
      <c r="D88" s="80">
        <f>D74*2+D75*2</f>
        <v>14.528091029157777</v>
      </c>
      <c r="E88" s="80"/>
      <c r="F88" s="80">
        <f>SQRT(('Size of water tank'!M3)^2+('Size of water tank'!N3)^2)</f>
        <v>0.43103125948585641</v>
      </c>
      <c r="G88" s="84">
        <f t="shared" si="11"/>
        <v>6.2620613742230482</v>
      </c>
      <c r="H88" s="80"/>
      <c r="I88" s="97"/>
      <c r="J88" s="84"/>
      <c r="K88" s="81"/>
    </row>
    <row r="89" spans="1:11">
      <c r="A89" s="134"/>
      <c r="B89" s="141" t="str">
        <f>B131</f>
        <v>-for kitchen</v>
      </c>
      <c r="C89" s="135">
        <f>C131</f>
        <v>3</v>
      </c>
      <c r="D89" s="139">
        <f>D131</f>
        <v>0.71014934471197799</v>
      </c>
      <c r="E89" s="139"/>
      <c r="F89" s="140">
        <f>F131</f>
        <v>0.8</v>
      </c>
      <c r="G89" s="84">
        <f t="shared" si="11"/>
        <v>1.7043584273087473</v>
      </c>
      <c r="H89" s="136"/>
      <c r="I89" s="139"/>
      <c r="J89" s="139"/>
      <c r="K89" s="137"/>
    </row>
    <row r="90" spans="1:11">
      <c r="A90" s="77"/>
      <c r="B90" s="96"/>
      <c r="C90" s="83"/>
      <c r="D90" s="84"/>
      <c r="E90" s="84"/>
      <c r="F90" s="86"/>
      <c r="G90" s="84">
        <f>SUM(G86:G89)</f>
        <v>29.56426860005508</v>
      </c>
      <c r="H90" s="80" t="s">
        <v>23</v>
      </c>
      <c r="I90" s="84">
        <v>415.5</v>
      </c>
      <c r="J90" s="84">
        <f>G90*I90</f>
        <v>12283.953603322885</v>
      </c>
      <c r="K90" s="81"/>
    </row>
    <row r="91" spans="1:11">
      <c r="A91" s="77"/>
      <c r="B91" s="92" t="s">
        <v>28</v>
      </c>
      <c r="C91" s="83"/>
      <c r="D91" s="84"/>
      <c r="E91" s="84"/>
      <c r="F91" s="86"/>
      <c r="G91" s="84"/>
      <c r="H91" s="80"/>
      <c r="I91" s="97"/>
      <c r="J91" s="84">
        <f>0.13*G90*7010.67/100</f>
        <v>269.44493023025262</v>
      </c>
      <c r="K91" s="81"/>
    </row>
    <row r="92" spans="1:11">
      <c r="A92" s="77"/>
      <c r="B92" s="92" t="s">
        <v>29</v>
      </c>
      <c r="C92" s="83"/>
      <c r="D92" s="84"/>
      <c r="E92" s="84"/>
      <c r="F92" s="86"/>
      <c r="G92" s="84"/>
      <c r="H92" s="80"/>
      <c r="I92" s="97"/>
      <c r="J92" s="84">
        <f>0.13*G90*4639.73/100</f>
        <v>178.32129113725361</v>
      </c>
      <c r="K92" s="81"/>
    </row>
    <row r="93" spans="1:11">
      <c r="A93" s="77"/>
      <c r="B93" s="92"/>
      <c r="C93" s="83"/>
      <c r="D93" s="84"/>
      <c r="E93" s="84"/>
      <c r="F93" s="86"/>
      <c r="G93" s="84"/>
      <c r="H93" s="80"/>
      <c r="I93" s="97"/>
      <c r="J93" s="84"/>
      <c r="K93" s="81"/>
    </row>
    <row r="94" spans="1:11" ht="30.75">
      <c r="A94" s="77">
        <v>11</v>
      </c>
      <c r="B94" s="115" t="s">
        <v>68</v>
      </c>
      <c r="C94" s="83"/>
      <c r="D94" s="80"/>
      <c r="E94" s="80"/>
      <c r="F94" s="84"/>
      <c r="G94" s="80"/>
      <c r="H94" s="86"/>
      <c r="I94" s="84"/>
      <c r="J94" s="80"/>
      <c r="K94" s="81"/>
    </row>
    <row r="95" spans="1:11">
      <c r="A95" s="77"/>
      <c r="B95" s="92" t="s">
        <v>123</v>
      </c>
      <c r="C95" s="83">
        <v>1</v>
      </c>
      <c r="D95" s="80">
        <f>'Size of water tank'!A3-'Size of water tank'!F3*2-'Size of water tank'!M3*2</f>
        <v>3.4034339124250739</v>
      </c>
      <c r="E95" s="80">
        <f>'Size of water tank'!B3-'Size of water tank'!F3*2-'Size of water tank'!M3*2</f>
        <v>3.2510413491821595</v>
      </c>
      <c r="F95" s="84"/>
      <c r="G95" s="84">
        <f t="shared" ref="G95:G100" si="12">PRODUCT(C95:F95)</f>
        <v>11.064704378502729</v>
      </c>
      <c r="H95" s="86"/>
      <c r="I95" s="131"/>
      <c r="J95" s="132"/>
      <c r="K95" s="81"/>
    </row>
    <row r="96" spans="1:11">
      <c r="A96" s="77"/>
      <c r="B96" s="94" t="s">
        <v>173</v>
      </c>
      <c r="C96" s="83">
        <v>1</v>
      </c>
      <c r="D96" s="80">
        <f>13.583/3.281</f>
        <v>4.1398963730569944</v>
      </c>
      <c r="E96" s="80">
        <f>16.75/3.281</f>
        <v>5.1051508686376099</v>
      </c>
      <c r="F96" s="84"/>
      <c r="G96" s="84">
        <f t="shared" si="12"/>
        <v>21.134795564981605</v>
      </c>
      <c r="H96" s="86"/>
      <c r="I96" s="84"/>
      <c r="J96" s="80"/>
      <c r="K96" s="81"/>
    </row>
    <row r="97" spans="1:11">
      <c r="A97" s="134"/>
      <c r="B97" s="142" t="s">
        <v>200</v>
      </c>
      <c r="C97" s="135">
        <v>1</v>
      </c>
      <c r="D97" s="136">
        <f>(30.083+29.917+16.083)/3.281</f>
        <v>23.188966778421211</v>
      </c>
      <c r="E97" s="136">
        <v>0.45</v>
      </c>
      <c r="F97" s="139"/>
      <c r="G97" s="84">
        <f t="shared" si="12"/>
        <v>10.435035050289546</v>
      </c>
      <c r="H97" s="140"/>
      <c r="I97" s="139"/>
      <c r="J97" s="136"/>
      <c r="K97" s="137"/>
    </row>
    <row r="98" spans="1:11">
      <c r="A98" s="134"/>
      <c r="B98" s="142"/>
      <c r="C98" s="135">
        <v>1</v>
      </c>
      <c r="D98" s="136">
        <f>21/3.281</f>
        <v>6.4004876562023769</v>
      </c>
      <c r="E98" s="136">
        <f>0.9</f>
        <v>0.9</v>
      </c>
      <c r="F98" s="139"/>
      <c r="G98" s="84">
        <f t="shared" si="12"/>
        <v>5.7604388905821393</v>
      </c>
      <c r="H98" s="140"/>
      <c r="I98" s="139"/>
      <c r="J98" s="136"/>
      <c r="K98" s="137"/>
    </row>
    <row r="99" spans="1:11">
      <c r="A99" s="134"/>
      <c r="B99" s="142"/>
      <c r="C99" s="135">
        <v>1</v>
      </c>
      <c r="D99" s="136">
        <f>(33.5+16.5)/3.281</f>
        <v>15.239256324291373</v>
      </c>
      <c r="E99" s="136">
        <v>0.6</v>
      </c>
      <c r="F99" s="139"/>
      <c r="G99" s="84">
        <f t="shared" si="12"/>
        <v>9.1435537945748244</v>
      </c>
      <c r="H99" s="140"/>
      <c r="I99" s="139"/>
      <c r="J99" s="136"/>
      <c r="K99" s="137"/>
    </row>
    <row r="100" spans="1:11">
      <c r="A100" s="134"/>
      <c r="B100" s="142"/>
      <c r="C100" s="135">
        <v>1</v>
      </c>
      <c r="D100" s="136">
        <f>33.917/3.281</f>
        <v>10.337397135019812</v>
      </c>
      <c r="E100" s="136">
        <v>0.6</v>
      </c>
      <c r="F100" s="139"/>
      <c r="G100" s="84">
        <f t="shared" si="12"/>
        <v>6.2024382810118865</v>
      </c>
      <c r="H100" s="140"/>
      <c r="I100" s="139"/>
      <c r="J100" s="136"/>
      <c r="K100" s="137"/>
    </row>
    <row r="101" spans="1:11">
      <c r="A101" s="77"/>
      <c r="B101" s="94"/>
      <c r="C101" s="83"/>
      <c r="D101" s="80"/>
      <c r="E101" s="80"/>
      <c r="F101" s="84"/>
      <c r="G101" s="80">
        <f>SUM(G95:G100)</f>
        <v>63.740965959942734</v>
      </c>
      <c r="H101" s="86" t="s">
        <v>23</v>
      </c>
      <c r="I101" s="84">
        <v>689.98</v>
      </c>
      <c r="J101" s="80">
        <f>G101*I101</f>
        <v>43979.991693041287</v>
      </c>
      <c r="K101" s="81"/>
    </row>
    <row r="102" spans="1:11">
      <c r="A102" s="77"/>
      <c r="B102" s="92" t="s">
        <v>28</v>
      </c>
      <c r="C102" s="83"/>
      <c r="D102" s="80"/>
      <c r="E102" s="80"/>
      <c r="F102" s="86"/>
      <c r="G102" s="80"/>
      <c r="H102" s="86"/>
      <c r="I102" s="84"/>
      <c r="J102" s="98">
        <f>0.13*G101*1694.03/10</f>
        <v>1403.7284113465835</v>
      </c>
      <c r="K102" s="81"/>
    </row>
    <row r="103" spans="1:11">
      <c r="A103" s="77"/>
      <c r="B103" s="92" t="s">
        <v>29</v>
      </c>
      <c r="C103" s="83"/>
      <c r="D103" s="80"/>
      <c r="E103" s="80"/>
      <c r="F103" s="86"/>
      <c r="G103" s="80"/>
      <c r="H103" s="86"/>
      <c r="I103" s="84"/>
      <c r="J103" s="98">
        <f>0.13*G101*572.02/10</f>
        <v>473.99439552928379</v>
      </c>
      <c r="K103" s="81"/>
    </row>
    <row r="104" spans="1:11">
      <c r="A104" s="77"/>
      <c r="B104" s="92" t="s">
        <v>30</v>
      </c>
      <c r="C104" s="83"/>
      <c r="D104" s="80"/>
      <c r="E104" s="80"/>
      <c r="F104" s="86"/>
      <c r="G104" s="80"/>
      <c r="H104" s="86"/>
      <c r="I104" s="84"/>
      <c r="J104" s="98">
        <f>0.13*G101*1207.6/10</f>
        <v>1000.6566764119491</v>
      </c>
      <c r="K104" s="81"/>
    </row>
    <row r="105" spans="1:11" ht="18" customHeight="1">
      <c r="A105" s="77"/>
      <c r="B105" s="92"/>
      <c r="C105" s="83"/>
      <c r="D105" s="84"/>
      <c r="E105" s="84"/>
      <c r="F105" s="86"/>
      <c r="G105" s="84"/>
      <c r="H105" s="80"/>
      <c r="I105" s="84"/>
      <c r="J105" s="84"/>
      <c r="K105" s="81"/>
    </row>
    <row r="106" spans="1:11" ht="30.75">
      <c r="A106" s="77">
        <v>12</v>
      </c>
      <c r="B106" s="115" t="s">
        <v>70</v>
      </c>
      <c r="C106" s="83"/>
      <c r="D106" s="80"/>
      <c r="E106" s="80"/>
      <c r="F106" s="80"/>
      <c r="G106" s="80"/>
      <c r="H106" s="80"/>
      <c r="I106" s="80"/>
      <c r="J106" s="80"/>
      <c r="K106" s="81"/>
    </row>
    <row r="107" spans="1:11">
      <c r="A107" s="77"/>
      <c r="B107" s="92" t="str">
        <f>B86</f>
        <v>-At shear wall</v>
      </c>
      <c r="C107" s="83">
        <f>C72</f>
        <v>2</v>
      </c>
      <c r="D107" s="80">
        <f>D86</f>
        <v>4.0130041653967288</v>
      </c>
      <c r="E107" s="80"/>
      <c r="F107" s="80">
        <f>F86</f>
        <v>1.3715330691862238</v>
      </c>
      <c r="G107" s="84">
        <f>PRODUCT(C107:F107)</f>
        <v>11.007935839247352</v>
      </c>
      <c r="H107" s="80"/>
      <c r="I107" s="80"/>
      <c r="J107" s="80"/>
      <c r="K107" s="81"/>
    </row>
    <row r="108" spans="1:11">
      <c r="A108" s="77"/>
      <c r="B108" s="92"/>
      <c r="C108" s="83">
        <f>C73</f>
        <v>2</v>
      </c>
      <c r="D108" s="80">
        <f>D87</f>
        <v>3.8606116021538144</v>
      </c>
      <c r="E108" s="80"/>
      <c r="F108" s="80">
        <f>F87</f>
        <v>1.3715330691862238</v>
      </c>
      <c r="G108" s="84">
        <f t="shared" ref="G108:G115" si="13">PRODUCT(C108:F108)</f>
        <v>10.589912959275932</v>
      </c>
      <c r="H108" s="80"/>
      <c r="I108" s="80"/>
      <c r="J108" s="80"/>
      <c r="K108" s="81"/>
    </row>
    <row r="109" spans="1:11">
      <c r="A109" s="77"/>
      <c r="B109" s="94" t="s">
        <v>118</v>
      </c>
      <c r="C109" s="83">
        <v>1</v>
      </c>
      <c r="D109" s="80">
        <f>D88</f>
        <v>14.528091029157777</v>
      </c>
      <c r="E109" s="80"/>
      <c r="F109" s="80">
        <f>F88</f>
        <v>0.43103125948585641</v>
      </c>
      <c r="G109" s="84">
        <f t="shared" si="13"/>
        <v>6.2620613742230482</v>
      </c>
      <c r="H109" s="80"/>
      <c r="I109" s="80"/>
      <c r="J109" s="80"/>
      <c r="K109" s="81"/>
    </row>
    <row r="110" spans="1:11">
      <c r="A110" s="77"/>
      <c r="B110" s="94" t="s">
        <v>125</v>
      </c>
      <c r="C110" s="83">
        <v>1</v>
      </c>
      <c r="D110" s="80">
        <f t="shared" ref="D110:E112" si="14">D95</f>
        <v>3.4034339124250739</v>
      </c>
      <c r="E110" s="80">
        <f t="shared" si="14"/>
        <v>3.2510413491821595</v>
      </c>
      <c r="F110" s="80"/>
      <c r="G110" s="84">
        <f t="shared" si="13"/>
        <v>11.064704378502729</v>
      </c>
      <c r="H110" s="80"/>
      <c r="I110" s="80"/>
      <c r="J110" s="80"/>
      <c r="K110" s="81"/>
    </row>
    <row r="111" spans="1:11">
      <c r="A111" s="77"/>
      <c r="B111" s="94" t="str">
        <f>B96</f>
        <v>-at roof of ward office</v>
      </c>
      <c r="C111" s="83">
        <f>C96</f>
        <v>1</v>
      </c>
      <c r="D111" s="80">
        <f t="shared" si="14"/>
        <v>4.1398963730569944</v>
      </c>
      <c r="E111" s="80">
        <f t="shared" si="14"/>
        <v>5.1051508686376099</v>
      </c>
      <c r="F111" s="80"/>
      <c r="G111" s="84">
        <f t="shared" si="13"/>
        <v>21.134795564981605</v>
      </c>
      <c r="H111" s="80"/>
      <c r="I111" s="80"/>
      <c r="J111" s="80"/>
      <c r="K111" s="81"/>
    </row>
    <row r="112" spans="1:11">
      <c r="A112" s="134"/>
      <c r="B112" s="142" t="str">
        <f>B97</f>
        <v>-at cantilever</v>
      </c>
      <c r="C112" s="135">
        <f>C97</f>
        <v>1</v>
      </c>
      <c r="D112" s="136">
        <f t="shared" si="14"/>
        <v>23.188966778421211</v>
      </c>
      <c r="E112" s="136">
        <f t="shared" si="14"/>
        <v>0.45</v>
      </c>
      <c r="F112" s="136"/>
      <c r="G112" s="84">
        <f t="shared" si="13"/>
        <v>10.435035050289546</v>
      </c>
      <c r="H112" s="136"/>
      <c r="I112" s="136"/>
      <c r="J112" s="136"/>
      <c r="K112" s="137"/>
    </row>
    <row r="113" spans="1:11">
      <c r="A113" s="134"/>
      <c r="B113" s="142"/>
      <c r="C113" s="135">
        <f t="shared" ref="C113:E113" si="15">C98</f>
        <v>1</v>
      </c>
      <c r="D113" s="136">
        <f t="shared" si="15"/>
        <v>6.4004876562023769</v>
      </c>
      <c r="E113" s="136">
        <f t="shared" si="15"/>
        <v>0.9</v>
      </c>
      <c r="F113" s="136"/>
      <c r="G113" s="84">
        <f t="shared" si="13"/>
        <v>5.7604388905821393</v>
      </c>
      <c r="H113" s="136"/>
      <c r="I113" s="136"/>
      <c r="J113" s="136"/>
      <c r="K113" s="137"/>
    </row>
    <row r="114" spans="1:11">
      <c r="A114" s="134"/>
      <c r="B114" s="142"/>
      <c r="C114" s="135">
        <f t="shared" ref="C114:E114" si="16">C99</f>
        <v>1</v>
      </c>
      <c r="D114" s="136">
        <f t="shared" si="16"/>
        <v>15.239256324291373</v>
      </c>
      <c r="E114" s="136">
        <f t="shared" si="16"/>
        <v>0.6</v>
      </c>
      <c r="F114" s="136"/>
      <c r="G114" s="84">
        <f t="shared" si="13"/>
        <v>9.1435537945748244</v>
      </c>
      <c r="H114" s="136"/>
      <c r="I114" s="136"/>
      <c r="J114" s="136"/>
      <c r="K114" s="137"/>
    </row>
    <row r="115" spans="1:11">
      <c r="A115" s="134"/>
      <c r="B115" s="142"/>
      <c r="C115" s="135">
        <f t="shared" ref="C115:E115" si="17">C100</f>
        <v>1</v>
      </c>
      <c r="D115" s="136">
        <f t="shared" si="17"/>
        <v>10.337397135019812</v>
      </c>
      <c r="E115" s="136">
        <f t="shared" si="17"/>
        <v>0.6</v>
      </c>
      <c r="F115" s="136"/>
      <c r="G115" s="84">
        <f t="shared" si="13"/>
        <v>6.2024382810118865</v>
      </c>
      <c r="H115" s="136"/>
      <c r="I115" s="136"/>
      <c r="J115" s="136"/>
      <c r="K115" s="137"/>
    </row>
    <row r="116" spans="1:11">
      <c r="A116" s="77"/>
      <c r="B116" s="92"/>
      <c r="C116" s="83"/>
      <c r="D116" s="80"/>
      <c r="E116" s="80"/>
      <c r="F116" s="80"/>
      <c r="G116" s="80">
        <f>SUM(G107:G115)</f>
        <v>91.600876132689052</v>
      </c>
      <c r="H116" s="80" t="s">
        <v>23</v>
      </c>
      <c r="I116" s="80">
        <v>287.32</v>
      </c>
      <c r="J116" s="80">
        <f>G116*I116</f>
        <v>26318.763730444218</v>
      </c>
      <c r="K116" s="81"/>
    </row>
    <row r="117" spans="1:11">
      <c r="A117" s="77"/>
      <c r="B117" s="92" t="s">
        <v>28</v>
      </c>
      <c r="C117" s="83"/>
      <c r="D117" s="80"/>
      <c r="E117" s="80"/>
      <c r="F117" s="80"/>
      <c r="G117" s="80"/>
      <c r="H117" s="80"/>
      <c r="I117" s="80"/>
      <c r="J117" s="80">
        <f>0.13*G116*693.24/10</f>
        <v>825.51808781292971</v>
      </c>
      <c r="K117" s="81"/>
    </row>
    <row r="118" spans="1:11">
      <c r="A118" s="77"/>
      <c r="B118" s="92"/>
      <c r="C118" s="83"/>
      <c r="D118" s="80"/>
      <c r="E118" s="80"/>
      <c r="F118" s="80"/>
      <c r="G118" s="80"/>
      <c r="H118" s="80"/>
      <c r="I118" s="80"/>
      <c r="J118" s="80"/>
      <c r="K118" s="81"/>
    </row>
    <row r="119" spans="1:11">
      <c r="A119" s="77"/>
      <c r="B119" s="92"/>
      <c r="C119" s="83"/>
      <c r="D119" s="80"/>
      <c r="E119" s="80"/>
      <c r="F119" s="80"/>
      <c r="G119" s="80"/>
      <c r="H119" s="80"/>
      <c r="I119" s="80"/>
      <c r="J119" s="80"/>
      <c r="K119" s="81"/>
    </row>
    <row r="120" spans="1:11" ht="33" customHeight="1">
      <c r="A120" s="77">
        <v>13</v>
      </c>
      <c r="B120" s="96" t="s">
        <v>73</v>
      </c>
      <c r="C120" s="83">
        <v>1</v>
      </c>
      <c r="D120" s="84"/>
      <c r="E120" s="84"/>
      <c r="F120" s="86"/>
      <c r="G120" s="84">
        <f t="shared" ref="G120" si="18">PRODUCT(C120:F120)</f>
        <v>1</v>
      </c>
      <c r="H120" s="80" t="s">
        <v>33</v>
      </c>
      <c r="I120" s="84">
        <v>4659</v>
      </c>
      <c r="J120" s="84">
        <f>G120*I120</f>
        <v>4659</v>
      </c>
      <c r="K120" s="81"/>
    </row>
    <row r="121" spans="1:11">
      <c r="A121" s="77"/>
      <c r="B121" s="85" t="s">
        <v>74</v>
      </c>
      <c r="C121" s="83"/>
      <c r="D121" s="84"/>
      <c r="E121" s="84"/>
      <c r="F121" s="86"/>
      <c r="G121" s="84"/>
      <c r="H121" s="80"/>
      <c r="I121" s="84"/>
      <c r="J121" s="84">
        <f>0.13*J120</f>
        <v>605.67000000000007</v>
      </c>
      <c r="K121" s="81"/>
    </row>
    <row r="122" spans="1:11">
      <c r="A122" s="77"/>
      <c r="B122" s="96"/>
      <c r="C122" s="83"/>
      <c r="D122" s="84"/>
      <c r="E122" s="84"/>
      <c r="F122" s="86"/>
      <c r="G122" s="84"/>
      <c r="H122" s="80"/>
      <c r="I122" s="84"/>
      <c r="J122" s="84"/>
      <c r="K122" s="81"/>
    </row>
    <row r="123" spans="1:11" ht="30.75">
      <c r="A123" s="77">
        <v>14</v>
      </c>
      <c r="B123" s="115" t="s">
        <v>126</v>
      </c>
      <c r="C123" s="83"/>
      <c r="D123" s="80"/>
      <c r="E123" s="80"/>
      <c r="F123" s="80"/>
      <c r="G123" s="80"/>
      <c r="H123" s="80"/>
      <c r="I123" s="80"/>
      <c r="J123" s="80"/>
      <c r="K123" s="81"/>
    </row>
    <row r="124" spans="1:11">
      <c r="A124" s="77"/>
      <c r="B124" s="94" t="s">
        <v>171</v>
      </c>
      <c r="C124" s="83">
        <v>1</v>
      </c>
      <c r="D124" s="80">
        <f>G116</f>
        <v>91.600876132689052</v>
      </c>
      <c r="E124" s="80"/>
      <c r="F124" s="80"/>
      <c r="G124" s="84">
        <f t="shared" ref="G124" si="19">PRODUCT(C124:F124)</f>
        <v>91.600876132689052</v>
      </c>
      <c r="H124" s="80"/>
      <c r="I124" s="80"/>
      <c r="J124" s="80"/>
      <c r="K124" s="81"/>
    </row>
    <row r="125" spans="1:11">
      <c r="A125" s="77"/>
      <c r="B125" s="92"/>
      <c r="C125" s="83"/>
      <c r="D125" s="80"/>
      <c r="E125" s="80"/>
      <c r="F125" s="80"/>
      <c r="G125" s="80">
        <f>SUM(G124:G124)</f>
        <v>91.600876132689052</v>
      </c>
      <c r="H125" s="80" t="s">
        <v>23</v>
      </c>
      <c r="I125" s="80">
        <v>452.86</v>
      </c>
      <c r="J125" s="80">
        <f>G125*I125</f>
        <v>41482.372765449567</v>
      </c>
      <c r="K125" s="81"/>
    </row>
    <row r="126" spans="1:11">
      <c r="A126" s="77"/>
      <c r="B126" s="92" t="s">
        <v>28</v>
      </c>
      <c r="C126" s="83"/>
      <c r="D126" s="80"/>
      <c r="E126" s="80"/>
      <c r="F126" s="80"/>
      <c r="G126" s="80"/>
      <c r="H126" s="80"/>
      <c r="I126" s="80"/>
      <c r="J126" s="80">
        <f>0.13*G125*1759.18/10</f>
        <v>2094.8515805763514</v>
      </c>
      <c r="K126" s="81"/>
    </row>
    <row r="127" spans="1:11">
      <c r="A127" s="77"/>
      <c r="B127" s="92" t="s">
        <v>137</v>
      </c>
      <c r="C127" s="83"/>
      <c r="D127" s="80"/>
      <c r="E127" s="80"/>
      <c r="F127" s="80"/>
      <c r="G127" s="80"/>
      <c r="H127" s="80"/>
      <c r="I127" s="80"/>
      <c r="J127" s="80">
        <f>0.13*G125*572.02/10</f>
        <v>681.16793115047028</v>
      </c>
      <c r="K127" s="81"/>
    </row>
    <row r="128" spans="1:11">
      <c r="A128" s="77"/>
      <c r="B128" s="92" t="s">
        <v>138</v>
      </c>
      <c r="C128" s="83"/>
      <c r="D128" s="80"/>
      <c r="E128" s="80"/>
      <c r="F128" s="80"/>
      <c r="G128" s="80"/>
      <c r="H128" s="80"/>
      <c r="I128" s="80"/>
      <c r="J128" s="80">
        <f>0.13*G125*515.7/10</f>
        <v>614.10143368116076</v>
      </c>
      <c r="K128" s="81"/>
    </row>
    <row r="129" spans="1:11" s="130" customFormat="1">
      <c r="A129" s="77"/>
      <c r="B129" s="92"/>
      <c r="C129" s="83"/>
      <c r="D129" s="80"/>
      <c r="E129" s="80"/>
      <c r="F129" s="80"/>
      <c r="G129" s="80"/>
      <c r="H129" s="80"/>
      <c r="I129" s="80"/>
      <c r="J129" s="80"/>
      <c r="K129" s="81"/>
    </row>
    <row r="130" spans="1:11" ht="30.75">
      <c r="A130" s="77">
        <v>15</v>
      </c>
      <c r="B130" s="115" t="s">
        <v>174</v>
      </c>
      <c r="C130" s="83"/>
      <c r="D130" s="80"/>
      <c r="E130" s="80"/>
      <c r="F130" s="80"/>
      <c r="G130" s="80"/>
      <c r="H130" s="80"/>
      <c r="I130" s="80"/>
      <c r="J130" s="80"/>
      <c r="K130" s="81"/>
    </row>
    <row r="131" spans="1:11">
      <c r="A131" s="77"/>
      <c r="B131" s="94" t="s">
        <v>148</v>
      </c>
      <c r="C131" s="83">
        <v>3</v>
      </c>
      <c r="D131" s="80">
        <f>2.33/3.281</f>
        <v>0.71014934471197799</v>
      </c>
      <c r="E131" s="80">
        <v>0.1</v>
      </c>
      <c r="F131" s="80">
        <v>0.8</v>
      </c>
      <c r="G131" s="84">
        <f t="shared" ref="G131" si="20">PRODUCT(C131:F131)</f>
        <v>0.17043584273087475</v>
      </c>
      <c r="H131" s="80"/>
      <c r="I131" s="80"/>
      <c r="J131" s="80"/>
      <c r="K131" s="81"/>
    </row>
    <row r="132" spans="1:11">
      <c r="A132" s="77"/>
      <c r="B132" s="92"/>
      <c r="C132" s="83"/>
      <c r="D132" s="80"/>
      <c r="E132" s="80"/>
      <c r="F132" s="80"/>
      <c r="G132" s="80">
        <f>SUM(G131:G131)</f>
        <v>0.17043584273087475</v>
      </c>
      <c r="H132" s="80" t="s">
        <v>24</v>
      </c>
      <c r="I132" s="80">
        <v>15170.83</v>
      </c>
      <c r="J132" s="80">
        <f>G132*I132</f>
        <v>2585.6531959768367</v>
      </c>
      <c r="K132" s="81"/>
    </row>
    <row r="133" spans="1:11">
      <c r="A133" s="77"/>
      <c r="B133" s="92" t="s">
        <v>36</v>
      </c>
      <c r="C133" s="83"/>
      <c r="D133" s="80"/>
      <c r="E133" s="80"/>
      <c r="F133" s="80"/>
      <c r="G133" s="80"/>
      <c r="H133" s="80"/>
      <c r="I133" s="80"/>
      <c r="J133" s="80">
        <f>0.13*G131*8481.2</f>
        <v>187.91506101798237</v>
      </c>
      <c r="K133" s="81"/>
    </row>
    <row r="134" spans="1:11">
      <c r="A134" s="77"/>
      <c r="B134" s="92" t="s">
        <v>28</v>
      </c>
      <c r="C134" s="83"/>
      <c r="D134" s="80"/>
      <c r="E134" s="80"/>
      <c r="F134" s="80"/>
      <c r="G134" s="80"/>
      <c r="H134" s="80"/>
      <c r="I134" s="80"/>
      <c r="J134" s="80">
        <f>0.13*G132*1303.1</f>
        <v>28.872343066138374</v>
      </c>
      <c r="K134" s="81"/>
    </row>
    <row r="135" spans="1:11">
      <c r="A135" s="77"/>
      <c r="B135" s="92" t="s">
        <v>137</v>
      </c>
      <c r="C135" s="83"/>
      <c r="D135" s="80"/>
      <c r="E135" s="80"/>
      <c r="F135" s="80"/>
      <c r="G135" s="80"/>
      <c r="H135" s="80"/>
      <c r="I135" s="80"/>
      <c r="J135" s="80">
        <f>0.13*G132*949.13</f>
        <v>21.02955028345017</v>
      </c>
      <c r="K135" s="81"/>
    </row>
    <row r="136" spans="1:11">
      <c r="A136" s="77"/>
      <c r="B136" s="92" t="s">
        <v>175</v>
      </c>
      <c r="C136" s="83"/>
      <c r="D136" s="80"/>
      <c r="E136" s="80"/>
      <c r="F136" s="80"/>
      <c r="G136" s="80"/>
      <c r="H136" s="80"/>
      <c r="I136" s="80"/>
      <c r="J136" s="80">
        <f>0.13*G132*36.4</f>
        <v>0.80650240780249927</v>
      </c>
      <c r="K136" s="81"/>
    </row>
    <row r="137" spans="1:11" s="130" customFormat="1">
      <c r="A137" s="77"/>
      <c r="B137" s="92"/>
      <c r="C137" s="83"/>
      <c r="D137" s="80"/>
      <c r="E137" s="80"/>
      <c r="F137" s="80"/>
      <c r="G137" s="80"/>
      <c r="H137" s="80"/>
      <c r="I137" s="80"/>
      <c r="J137" s="80"/>
      <c r="K137" s="81"/>
    </row>
    <row r="138" spans="1:11" ht="69">
      <c r="A138" s="77">
        <v>16</v>
      </c>
      <c r="B138" s="138" t="s">
        <v>176</v>
      </c>
      <c r="C138" s="138"/>
      <c r="D138" s="80"/>
      <c r="E138" s="80"/>
      <c r="F138" s="80"/>
      <c r="G138" s="80"/>
      <c r="H138" s="80"/>
      <c r="I138" s="80"/>
      <c r="J138" s="80"/>
      <c r="K138" s="81"/>
    </row>
    <row r="139" spans="1:11">
      <c r="A139" s="77"/>
      <c r="B139" s="94" t="s">
        <v>148</v>
      </c>
      <c r="C139" s="83">
        <v>1</v>
      </c>
      <c r="D139" s="80">
        <v>3.23</v>
      </c>
      <c r="E139" s="80">
        <f>13.33/3.281</f>
        <v>4.06278573605608</v>
      </c>
      <c r="F139" s="80"/>
      <c r="G139" s="84">
        <f t="shared" ref="G139:G141" si="21">PRODUCT(C139:F139)</f>
        <v>13.122797927461137</v>
      </c>
      <c r="H139" s="80"/>
      <c r="I139" s="80"/>
      <c r="J139" s="80"/>
      <c r="K139" s="81"/>
    </row>
    <row r="140" spans="1:11">
      <c r="A140" s="134"/>
      <c r="B140" s="142" t="s">
        <v>179</v>
      </c>
      <c r="C140" s="135">
        <v>-1</v>
      </c>
      <c r="D140" s="136">
        <f>5/3.281</f>
        <v>1.5239256324291375</v>
      </c>
      <c r="E140" s="136">
        <f>D131</f>
        <v>0.71014934471197799</v>
      </c>
      <c r="F140" s="136"/>
      <c r="G140" s="84">
        <f t="shared" si="21"/>
        <v>-1.0822147892593386</v>
      </c>
      <c r="H140" s="136"/>
      <c r="I140" s="136"/>
      <c r="J140" s="136"/>
      <c r="K140" s="137"/>
    </row>
    <row r="141" spans="1:11">
      <c r="A141" s="134"/>
      <c r="B141" s="142" t="s">
        <v>186</v>
      </c>
      <c r="C141" s="135">
        <v>1</v>
      </c>
      <c r="D141" s="136">
        <f>D140</f>
        <v>1.5239256324291375</v>
      </c>
      <c r="E141" s="136">
        <f>2.5/3.281</f>
        <v>0.76196281621456874</v>
      </c>
      <c r="F141" s="136"/>
      <c r="G141" s="84">
        <f t="shared" si="21"/>
        <v>1.1611746665872733</v>
      </c>
      <c r="H141" s="136"/>
      <c r="I141" s="136"/>
      <c r="J141" s="136"/>
      <c r="K141" s="137"/>
    </row>
    <row r="142" spans="1:11">
      <c r="A142" s="77"/>
      <c r="B142" s="92"/>
      <c r="C142" s="83"/>
      <c r="D142" s="80"/>
      <c r="E142" s="80"/>
      <c r="F142" s="80"/>
      <c r="G142" s="80">
        <f>SUM(G139:G141)</f>
        <v>13.201757804789072</v>
      </c>
      <c r="H142" s="80" t="s">
        <v>23</v>
      </c>
      <c r="I142" s="80">
        <v>2988.15</v>
      </c>
      <c r="J142" s="80">
        <f>G142*I142</f>
        <v>39448.832584380463</v>
      </c>
      <c r="K142" s="81"/>
    </row>
    <row r="143" spans="1:11">
      <c r="A143" s="77"/>
      <c r="B143" s="92" t="s">
        <v>177</v>
      </c>
      <c r="C143" s="83"/>
      <c r="D143" s="80"/>
      <c r="E143" s="80"/>
      <c r="F143" s="80"/>
      <c r="G143" s="80"/>
      <c r="H143" s="80"/>
      <c r="I143" s="80"/>
      <c r="J143" s="80">
        <f>0.13*G139*6746.52/10</f>
        <v>1150.9318427564765</v>
      </c>
      <c r="K143" s="81"/>
    </row>
    <row r="144" spans="1:11">
      <c r="A144" s="77"/>
      <c r="B144" s="92" t="s">
        <v>28</v>
      </c>
      <c r="C144" s="83"/>
      <c r="D144" s="80"/>
      <c r="E144" s="80"/>
      <c r="F144" s="80"/>
      <c r="G144" s="80"/>
      <c r="H144" s="80"/>
      <c r="I144" s="80"/>
      <c r="J144" s="80">
        <f>0.13*G142*729.73/10</f>
        <v>125.23834339755349</v>
      </c>
      <c r="K144" s="81"/>
    </row>
    <row r="145" spans="1:11">
      <c r="A145" s="77"/>
      <c r="B145" s="92" t="s">
        <v>137</v>
      </c>
      <c r="C145" s="83"/>
      <c r="D145" s="80"/>
      <c r="E145" s="80"/>
      <c r="F145" s="80"/>
      <c r="G145" s="80"/>
      <c r="H145" s="80"/>
      <c r="I145" s="80"/>
      <c r="J145" s="80">
        <f>0.13*G142*515.24/10</f>
        <v>88.426957987413772</v>
      </c>
      <c r="K145" s="81"/>
    </row>
    <row r="146" spans="1:11">
      <c r="A146" s="77"/>
      <c r="B146" s="92" t="s">
        <v>178</v>
      </c>
      <c r="C146" s="83"/>
      <c r="D146" s="80"/>
      <c r="E146" s="80"/>
      <c r="F146" s="80"/>
      <c r="G146" s="80"/>
      <c r="H146" s="80"/>
      <c r="I146" s="80"/>
      <c r="J146" s="80">
        <f>0.13*G142*100.06/10</f>
        <v>17.172582517313529</v>
      </c>
      <c r="K146" s="81"/>
    </row>
    <row r="147" spans="1:11" s="130" customFormat="1">
      <c r="A147" s="77"/>
      <c r="B147" s="92"/>
      <c r="C147" s="83"/>
      <c r="D147" s="80"/>
      <c r="E147" s="80"/>
      <c r="F147" s="80"/>
      <c r="G147" s="80"/>
      <c r="H147" s="80"/>
      <c r="I147" s="80"/>
      <c r="J147" s="80"/>
      <c r="K147" s="81"/>
    </row>
    <row r="148" spans="1:11" ht="30">
      <c r="A148" s="77">
        <v>17</v>
      </c>
      <c r="B148" s="138" t="s">
        <v>180</v>
      </c>
      <c r="C148" s="138"/>
      <c r="D148" s="80"/>
      <c r="E148" s="80"/>
      <c r="F148" s="80"/>
      <c r="G148" s="80"/>
      <c r="H148" s="80"/>
      <c r="I148" s="80"/>
      <c r="J148" s="80"/>
      <c r="K148" s="81"/>
    </row>
    <row r="149" spans="1:11">
      <c r="A149" s="77"/>
      <c r="B149" s="94" t="s">
        <v>148</v>
      </c>
      <c r="C149" s="83">
        <f>1</f>
        <v>1</v>
      </c>
      <c r="D149" s="80">
        <f>D140</f>
        <v>1.5239256324291375</v>
      </c>
      <c r="E149" s="80">
        <f>E140</f>
        <v>0.71014934471197799</v>
      </c>
      <c r="F149" s="80"/>
      <c r="G149" s="84">
        <f t="shared" ref="G149" si="22">PRODUCT(C149:F149)</f>
        <v>1.0822147892593386</v>
      </c>
      <c r="H149" s="80"/>
      <c r="I149" s="80"/>
      <c r="J149" s="80"/>
      <c r="K149" s="81"/>
    </row>
    <row r="150" spans="1:11">
      <c r="A150" s="77"/>
      <c r="B150" s="92"/>
      <c r="C150" s="83"/>
      <c r="D150" s="80"/>
      <c r="E150" s="80"/>
      <c r="F150" s="80"/>
      <c r="G150" s="80">
        <f>SUM(G149:G149)</f>
        <v>1.0822147892593386</v>
      </c>
      <c r="H150" s="80" t="s">
        <v>23</v>
      </c>
      <c r="I150" s="80">
        <v>7012.25</v>
      </c>
      <c r="J150" s="80">
        <f>G150*I150</f>
        <v>7588.7606559837968</v>
      </c>
      <c r="K150" s="81"/>
    </row>
    <row r="151" spans="1:11">
      <c r="A151" s="77"/>
      <c r="B151" s="92" t="s">
        <v>181</v>
      </c>
      <c r="C151" s="83"/>
      <c r="D151" s="80"/>
      <c r="E151" s="80"/>
      <c r="F151" s="80"/>
      <c r="G151" s="80"/>
      <c r="H151" s="80"/>
      <c r="I151" s="80"/>
      <c r="J151" s="80">
        <f>0.13*G149*43319.76/10</f>
        <v>609.45670420914666</v>
      </c>
      <c r="K151" s="81"/>
    </row>
    <row r="152" spans="1:11">
      <c r="A152" s="77"/>
      <c r="B152" s="92" t="s">
        <v>28</v>
      </c>
      <c r="C152" s="83"/>
      <c r="D152" s="80"/>
      <c r="E152" s="80"/>
      <c r="F152" s="80"/>
      <c r="G152" s="80"/>
      <c r="H152" s="80"/>
      <c r="I152" s="80"/>
      <c r="J152" s="80">
        <f>0.13*G150*1694.03/10</f>
        <v>23.832956152836964</v>
      </c>
      <c r="K152" s="81"/>
    </row>
    <row r="153" spans="1:11">
      <c r="A153" s="77"/>
      <c r="B153" s="92" t="s">
        <v>137</v>
      </c>
      <c r="C153" s="83"/>
      <c r="D153" s="80"/>
      <c r="E153" s="80"/>
      <c r="F153" s="80"/>
      <c r="G153" s="80"/>
      <c r="H153" s="80"/>
      <c r="I153" s="80"/>
      <c r="J153" s="80">
        <f>0.13*G150*620.32/10</f>
        <v>8.7271532149535886</v>
      </c>
      <c r="K153" s="81"/>
    </row>
    <row r="154" spans="1:11">
      <c r="A154" s="77"/>
      <c r="B154" s="92" t="s">
        <v>182</v>
      </c>
      <c r="C154" s="83"/>
      <c r="D154" s="80"/>
      <c r="E154" s="80"/>
      <c r="F154" s="80"/>
      <c r="G154" s="80"/>
      <c r="H154" s="80"/>
      <c r="I154" s="80"/>
      <c r="J154" s="80">
        <f>0.13*G150*46.25/10</f>
        <v>0.65068164204217738</v>
      </c>
      <c r="K154" s="81"/>
    </row>
    <row r="155" spans="1:11">
      <c r="A155" s="134"/>
      <c r="B155" s="92" t="s">
        <v>183</v>
      </c>
      <c r="C155" s="135"/>
      <c r="D155" s="136"/>
      <c r="E155" s="136"/>
      <c r="F155" s="136"/>
      <c r="G155" s="136"/>
      <c r="H155" s="136"/>
      <c r="I155" s="136"/>
      <c r="J155" s="80">
        <f>0.13*G150*43.3/10</f>
        <v>0.60917870487408166</v>
      </c>
      <c r="K155" s="137"/>
    </row>
    <row r="156" spans="1:11">
      <c r="A156" s="134"/>
      <c r="B156" s="92" t="s">
        <v>184</v>
      </c>
      <c r="C156" s="135"/>
      <c r="D156" s="136"/>
      <c r="E156" s="136"/>
      <c r="F156" s="136"/>
      <c r="G156" s="136"/>
      <c r="H156" s="136"/>
      <c r="I156" s="136"/>
      <c r="J156" s="80">
        <f>0.13*G150*118.89/10</f>
        <v>1.6726387118355561</v>
      </c>
      <c r="K156" s="137"/>
    </row>
    <row r="157" spans="1:11">
      <c r="A157" s="77"/>
      <c r="B157" s="92" t="s">
        <v>185</v>
      </c>
      <c r="C157" s="83"/>
      <c r="D157" s="80"/>
      <c r="E157" s="80"/>
      <c r="F157" s="80"/>
      <c r="G157" s="80"/>
      <c r="H157" s="80"/>
      <c r="I157" s="80"/>
      <c r="J157" s="80">
        <f>0.13*G150*120/10</f>
        <v>1.6882550712445681</v>
      </c>
      <c r="K157" s="81"/>
    </row>
    <row r="158" spans="1:11" s="130" customFormat="1">
      <c r="A158" s="77"/>
      <c r="B158" s="92"/>
      <c r="C158" s="83"/>
      <c r="D158" s="80"/>
      <c r="E158" s="80"/>
      <c r="F158" s="80"/>
      <c r="G158" s="80"/>
      <c r="H158" s="80"/>
      <c r="I158" s="80"/>
      <c r="J158" s="80"/>
      <c r="K158" s="81"/>
    </row>
    <row r="159" spans="1:11" ht="75">
      <c r="A159" s="77">
        <v>18</v>
      </c>
      <c r="B159" s="138" t="s">
        <v>192</v>
      </c>
      <c r="C159" s="138"/>
      <c r="D159" s="80"/>
      <c r="E159" s="80"/>
      <c r="F159" s="80"/>
      <c r="G159" s="80"/>
      <c r="H159" s="80"/>
      <c r="I159" s="80"/>
      <c r="J159" s="80"/>
      <c r="K159" s="81"/>
    </row>
    <row r="160" spans="1:11">
      <c r="A160" s="77"/>
      <c r="B160" s="94" t="s">
        <v>188</v>
      </c>
      <c r="C160" s="83">
        <f>1</f>
        <v>1</v>
      </c>
      <c r="D160" s="80">
        <f>45.917/3.281</f>
        <v>13.994818652849741</v>
      </c>
      <c r="E160" s="80">
        <f>((13.75+36.25)/2)/3.281</f>
        <v>7.6196281621456867</v>
      </c>
      <c r="F160" s="80"/>
      <c r="G160" s="84">
        <f t="shared" ref="G160:G163" si="23">PRODUCT(C160:F160)</f>
        <v>106.63531433137565</v>
      </c>
      <c r="H160" s="80"/>
      <c r="I160" s="80"/>
      <c r="J160" s="80"/>
      <c r="K160" s="81"/>
    </row>
    <row r="161" spans="1:19">
      <c r="A161" s="134"/>
      <c r="B161" s="142"/>
      <c r="C161" s="135">
        <v>1</v>
      </c>
      <c r="D161" s="136">
        <f>7.5/3.281</f>
        <v>2.2858884486437061</v>
      </c>
      <c r="E161" s="136">
        <f>((29.17+30.917)/2)/3.281</f>
        <v>9.1568119475769585</v>
      </c>
      <c r="F161" s="136"/>
      <c r="G161" s="84">
        <f t="shared" si="23"/>
        <v>20.931450657368845</v>
      </c>
      <c r="H161" s="136"/>
      <c r="I161" s="136"/>
      <c r="J161" s="136"/>
      <c r="K161" s="137"/>
    </row>
    <row r="162" spans="1:19">
      <c r="A162" s="134"/>
      <c r="B162" s="142"/>
      <c r="C162" s="135">
        <v>1</v>
      </c>
      <c r="D162" s="136">
        <f>8.75/3.281</f>
        <v>2.6668698567509903</v>
      </c>
      <c r="E162" s="136">
        <f>((30.917+26.75)/2)/3.281</f>
        <v>8.7880219445291061</v>
      </c>
      <c r="F162" s="136"/>
      <c r="G162" s="84">
        <f t="shared" si="23"/>
        <v>23.436510824330895</v>
      </c>
      <c r="H162" s="136"/>
      <c r="I162" s="136"/>
      <c r="J162" s="136"/>
      <c r="K162" s="137"/>
    </row>
    <row r="163" spans="1:19">
      <c r="A163" s="134"/>
      <c r="B163" s="142"/>
      <c r="C163" s="135">
        <v>1</v>
      </c>
      <c r="D163" s="136">
        <f>13/3.281</f>
        <v>3.9622066443157573</v>
      </c>
      <c r="E163" s="136">
        <f>27.25/3.281</f>
        <v>8.3053946967387979</v>
      </c>
      <c r="F163" s="136"/>
      <c r="G163" s="84">
        <f t="shared" si="23"/>
        <v>32.907690051083321</v>
      </c>
      <c r="H163" s="136"/>
      <c r="I163" s="136"/>
      <c r="J163" s="136"/>
      <c r="K163" s="137"/>
    </row>
    <row r="164" spans="1:19">
      <c r="A164" s="134"/>
      <c r="B164" s="142" t="s">
        <v>196</v>
      </c>
      <c r="C164" s="135">
        <f>-C171/2</f>
        <v>-25</v>
      </c>
      <c r="D164" s="136">
        <f>D171</f>
        <v>0.76196281621456874</v>
      </c>
      <c r="E164" s="136">
        <f>E171</f>
        <v>6.3496901351214066E-2</v>
      </c>
      <c r="F164" s="136"/>
      <c r="G164" s="90">
        <f>C164*(2*(D164/2)*PI())*E164</f>
        <v>-3.7999352105053701</v>
      </c>
      <c r="H164" s="136"/>
      <c r="I164" s="136"/>
      <c r="J164" s="136"/>
      <c r="K164" s="137"/>
    </row>
    <row r="165" spans="1:19">
      <c r="A165" s="77"/>
      <c r="B165" s="92"/>
      <c r="C165" s="83"/>
      <c r="D165" s="80"/>
      <c r="E165" s="80"/>
      <c r="F165" s="80"/>
      <c r="G165" s="80">
        <f>SUM(G160:G164)</f>
        <v>180.11103065365333</v>
      </c>
      <c r="H165" s="80" t="s">
        <v>23</v>
      </c>
      <c r="I165" s="80">
        <v>1832.98</v>
      </c>
      <c r="J165" s="80">
        <f>G165*I165</f>
        <v>330139.91696753347</v>
      </c>
      <c r="K165" s="81"/>
    </row>
    <row r="166" spans="1:19">
      <c r="A166" s="77"/>
      <c r="B166" s="92" t="s">
        <v>189</v>
      </c>
      <c r="C166" s="83"/>
      <c r="D166" s="80"/>
      <c r="E166" s="80"/>
      <c r="F166" s="80"/>
      <c r="G166" s="80"/>
      <c r="H166" s="80"/>
      <c r="I166" s="80"/>
      <c r="J166" s="80">
        <f>0.13*G160*6036.36/10</f>
        <v>8367.9588982254554</v>
      </c>
      <c r="K166" s="81"/>
    </row>
    <row r="167" spans="1:19">
      <c r="A167" s="77"/>
      <c r="B167" s="92" t="s">
        <v>190</v>
      </c>
      <c r="C167" s="83"/>
      <c r="D167" s="80"/>
      <c r="E167" s="80"/>
      <c r="F167" s="80"/>
      <c r="G167" s="80"/>
      <c r="H167" s="80"/>
      <c r="I167" s="80"/>
      <c r="J167" s="80">
        <f>0.13*G165*35.93/10</f>
        <v>84.128061308014935</v>
      </c>
      <c r="K167" s="81"/>
    </row>
    <row r="168" spans="1:19">
      <c r="A168" s="77"/>
      <c r="B168" s="92" t="s">
        <v>191</v>
      </c>
      <c r="C168" s="83"/>
      <c r="D168" s="80"/>
      <c r="E168" s="80"/>
      <c r="F168" s="80"/>
      <c r="G168" s="80"/>
      <c r="H168" s="80"/>
      <c r="I168" s="80"/>
      <c r="J168" s="80">
        <f>0.13*G165*927.59/10</f>
        <v>2171.8994820122903</v>
      </c>
      <c r="K168" s="81"/>
      <c r="M168" s="130"/>
      <c r="N168" s="130"/>
      <c r="O168" s="130"/>
      <c r="P168" s="130"/>
      <c r="Q168" s="130"/>
      <c r="R168" s="130"/>
      <c r="S168" s="130"/>
    </row>
    <row r="169" spans="1:19" s="130" customFormat="1">
      <c r="A169" s="77"/>
      <c r="B169" s="143"/>
      <c r="C169" s="83"/>
      <c r="D169" s="80"/>
      <c r="E169" s="80"/>
      <c r="F169" s="80"/>
      <c r="G169" s="80"/>
      <c r="H169" s="80"/>
      <c r="I169" s="80"/>
      <c r="J169" s="80"/>
      <c r="K169" s="81"/>
      <c r="M169" s="1"/>
      <c r="N169" s="1"/>
      <c r="O169" s="1"/>
      <c r="P169" s="1"/>
      <c r="Q169" s="1"/>
      <c r="R169" s="1"/>
      <c r="S169" s="1"/>
    </row>
    <row r="170" spans="1:19">
      <c r="A170" s="88">
        <v>19</v>
      </c>
      <c r="B170" s="117" t="s">
        <v>193</v>
      </c>
      <c r="C170" s="89"/>
      <c r="D170" s="90"/>
      <c r="E170" s="90"/>
      <c r="F170" s="86"/>
      <c r="G170" s="90"/>
      <c r="H170" s="86"/>
      <c r="I170" s="90"/>
      <c r="J170" s="90"/>
      <c r="K170" s="81"/>
    </row>
    <row r="171" spans="1:19">
      <c r="A171" s="88"/>
      <c r="B171" s="91" t="s">
        <v>197</v>
      </c>
      <c r="C171" s="89">
        <v>50</v>
      </c>
      <c r="D171" s="90">
        <f>2.5/3.281</f>
        <v>0.76196281621456874</v>
      </c>
      <c r="E171" s="90">
        <f>2.5/12/3.281</f>
        <v>6.3496901351214066E-2</v>
      </c>
      <c r="F171" s="86"/>
      <c r="G171" s="90">
        <f>C171*(2*(D171/2)*PI())*E171</f>
        <v>7.5998704210107402</v>
      </c>
      <c r="H171" s="86"/>
      <c r="I171" s="90"/>
      <c r="J171" s="90"/>
      <c r="K171" s="81"/>
    </row>
    <row r="172" spans="1:19">
      <c r="A172" s="88"/>
      <c r="B172" s="81"/>
      <c r="C172" s="89"/>
      <c r="D172" s="90"/>
      <c r="E172" s="90"/>
      <c r="F172" s="86"/>
      <c r="G172" s="90">
        <f>SUM(G171)</f>
        <v>7.5998704210107402</v>
      </c>
      <c r="H172" s="86" t="s">
        <v>23</v>
      </c>
      <c r="I172" s="90">
        <v>1834.54</v>
      </c>
      <c r="J172" s="90">
        <f>G172*I172</f>
        <v>13942.266282161043</v>
      </c>
      <c r="K172" s="81"/>
    </row>
    <row r="173" spans="1:19">
      <c r="A173" s="77"/>
      <c r="B173" s="92" t="s">
        <v>199</v>
      </c>
      <c r="C173" s="83"/>
      <c r="D173" s="80"/>
      <c r="E173" s="80"/>
      <c r="F173" s="80"/>
      <c r="G173" s="80"/>
      <c r="H173" s="80"/>
      <c r="I173" s="80"/>
      <c r="J173" s="80">
        <f>0.13*G172*13765.47/10</f>
        <v>1360.0052476960393</v>
      </c>
      <c r="K173" s="81"/>
    </row>
    <row r="174" spans="1:19">
      <c r="A174" s="77"/>
      <c r="B174" s="79"/>
      <c r="C174" s="83"/>
      <c r="D174" s="84"/>
      <c r="E174" s="84"/>
      <c r="F174" s="86"/>
      <c r="G174" s="84"/>
      <c r="H174" s="80"/>
      <c r="I174" s="84"/>
      <c r="J174" s="84"/>
      <c r="K174" s="81"/>
    </row>
    <row r="175" spans="1:19" ht="30.75">
      <c r="A175" s="77">
        <v>20</v>
      </c>
      <c r="B175" s="115" t="s">
        <v>133</v>
      </c>
      <c r="C175" s="83"/>
      <c r="D175" s="80"/>
      <c r="E175" s="80"/>
      <c r="F175" s="80"/>
      <c r="G175" s="80"/>
      <c r="H175" s="80"/>
      <c r="I175" s="80"/>
      <c r="J175" s="80"/>
      <c r="K175" s="81"/>
    </row>
    <row r="176" spans="1:19">
      <c r="A176" s="77"/>
      <c r="B176" s="94" t="s">
        <v>134</v>
      </c>
      <c r="C176" s="83">
        <v>2</v>
      </c>
      <c r="D176" s="80">
        <v>3.415</v>
      </c>
      <c r="E176" s="80"/>
      <c r="F176" s="80">
        <v>1.43</v>
      </c>
      <c r="G176" s="84">
        <f>PRODUCT(C176:F176)</f>
        <v>9.7668999999999997</v>
      </c>
      <c r="H176" s="80"/>
      <c r="I176" s="80"/>
      <c r="J176" s="80"/>
      <c r="K176" s="81"/>
    </row>
    <row r="177" spans="1:11">
      <c r="A177" s="77"/>
      <c r="B177" s="94"/>
      <c r="C177" s="83">
        <v>2</v>
      </c>
      <c r="D177" s="80">
        <f>0.48*2</f>
        <v>0.96</v>
      </c>
      <c r="E177" s="80"/>
      <c r="F177" s="80">
        <v>2.2000000000000002</v>
      </c>
      <c r="G177" s="84">
        <f t="shared" ref="G177:G208" si="24">PRODUCT(C177:F177)</f>
        <v>4.2240000000000002</v>
      </c>
      <c r="H177" s="80"/>
      <c r="I177" s="80"/>
      <c r="J177" s="80"/>
      <c r="K177" s="81"/>
    </row>
    <row r="178" spans="1:11">
      <c r="A178" s="77"/>
      <c r="B178" s="94"/>
      <c r="C178" s="83">
        <v>2</v>
      </c>
      <c r="D178" s="80">
        <v>4</v>
      </c>
      <c r="E178" s="80"/>
      <c r="F178" s="80">
        <v>1.39</v>
      </c>
      <c r="G178" s="84">
        <f t="shared" si="24"/>
        <v>11.12</v>
      </c>
      <c r="H178" s="80"/>
      <c r="I178" s="80"/>
      <c r="J178" s="80"/>
      <c r="K178" s="81"/>
    </row>
    <row r="179" spans="1:11">
      <c r="A179" s="77"/>
      <c r="B179" s="94"/>
      <c r="C179" s="83">
        <v>2</v>
      </c>
      <c r="D179" s="80">
        <f>0.48*2</f>
        <v>0.96</v>
      </c>
      <c r="E179" s="80"/>
      <c r="F179" s="80">
        <v>2.2000000000000002</v>
      </c>
      <c r="G179" s="84">
        <f t="shared" si="24"/>
        <v>4.2240000000000002</v>
      </c>
      <c r="H179" s="80"/>
      <c r="I179" s="80"/>
      <c r="J179" s="80"/>
      <c r="K179" s="81"/>
    </row>
    <row r="180" spans="1:11">
      <c r="A180" s="77"/>
      <c r="B180" s="94"/>
      <c r="C180" s="83">
        <v>2</v>
      </c>
      <c r="D180" s="80">
        <v>3.91</v>
      </c>
      <c r="E180" s="80"/>
      <c r="F180" s="80">
        <v>1.3</v>
      </c>
      <c r="G180" s="84">
        <f t="shared" si="24"/>
        <v>10.166</v>
      </c>
      <c r="H180" s="80"/>
      <c r="I180" s="80"/>
      <c r="J180" s="80"/>
      <c r="K180" s="81"/>
    </row>
    <row r="181" spans="1:11">
      <c r="A181" s="77"/>
      <c r="B181" s="94"/>
      <c r="C181" s="83">
        <v>2</v>
      </c>
      <c r="D181" s="80">
        <f>0.48*2</f>
        <v>0.96</v>
      </c>
      <c r="E181" s="80"/>
      <c r="F181" s="80">
        <v>2.31</v>
      </c>
      <c r="G181" s="84">
        <f t="shared" si="24"/>
        <v>4.4352</v>
      </c>
      <c r="H181" s="80"/>
      <c r="I181" s="80"/>
      <c r="J181" s="80"/>
      <c r="K181" s="81"/>
    </row>
    <row r="182" spans="1:11">
      <c r="A182" s="77"/>
      <c r="B182" s="94"/>
      <c r="C182" s="83">
        <v>2</v>
      </c>
      <c r="D182" s="80">
        <v>3.96</v>
      </c>
      <c r="E182" s="80"/>
      <c r="F182" s="80">
        <v>1.37</v>
      </c>
      <c r="G182" s="84">
        <f t="shared" si="24"/>
        <v>10.8504</v>
      </c>
      <c r="H182" s="80"/>
      <c r="I182" s="80"/>
      <c r="J182" s="80"/>
      <c r="K182" s="81"/>
    </row>
    <row r="183" spans="1:11">
      <c r="A183" s="77"/>
      <c r="B183" s="94"/>
      <c r="C183" s="83">
        <v>2</v>
      </c>
      <c r="D183" s="80">
        <f>0.48*2</f>
        <v>0.96</v>
      </c>
      <c r="E183" s="80"/>
      <c r="F183" s="80">
        <v>2.29</v>
      </c>
      <c r="G183" s="84">
        <f t="shared" si="24"/>
        <v>4.3967999999999998</v>
      </c>
      <c r="H183" s="80"/>
      <c r="I183" s="80"/>
      <c r="J183" s="80"/>
      <c r="K183" s="81"/>
    </row>
    <row r="184" spans="1:11">
      <c r="A184" s="77"/>
      <c r="B184" s="94"/>
      <c r="C184" s="83">
        <v>2</v>
      </c>
      <c r="D184" s="80">
        <v>3.875</v>
      </c>
      <c r="E184" s="80"/>
      <c r="F184" s="80">
        <v>1.2649999999999999</v>
      </c>
      <c r="G184" s="84">
        <f t="shared" si="24"/>
        <v>9.8037499999999991</v>
      </c>
      <c r="H184" s="80"/>
      <c r="I184" s="80"/>
      <c r="J184" s="80"/>
      <c r="K184" s="81"/>
    </row>
    <row r="185" spans="1:11">
      <c r="A185" s="77"/>
      <c r="B185" s="94"/>
      <c r="C185" s="83">
        <v>2</v>
      </c>
      <c r="D185" s="80">
        <f>0.48*2</f>
        <v>0.96</v>
      </c>
      <c r="E185" s="80"/>
      <c r="F185" s="80">
        <v>2.19</v>
      </c>
      <c r="G185" s="84">
        <f t="shared" si="24"/>
        <v>4.2047999999999996</v>
      </c>
      <c r="H185" s="80"/>
      <c r="I185" s="80"/>
      <c r="J185" s="80"/>
      <c r="K185" s="81"/>
    </row>
    <row r="186" spans="1:11">
      <c r="A186" s="77"/>
      <c r="B186" s="94"/>
      <c r="C186" s="83">
        <v>2</v>
      </c>
      <c r="D186" s="80">
        <v>3.69</v>
      </c>
      <c r="E186" s="80"/>
      <c r="F186" s="80">
        <v>1.28</v>
      </c>
      <c r="G186" s="84">
        <f t="shared" si="24"/>
        <v>9.4464000000000006</v>
      </c>
      <c r="H186" s="80"/>
      <c r="I186" s="80"/>
      <c r="J186" s="80"/>
      <c r="K186" s="81"/>
    </row>
    <row r="187" spans="1:11">
      <c r="A187" s="77"/>
      <c r="B187" s="94"/>
      <c r="C187" s="83">
        <v>2</v>
      </c>
      <c r="D187" s="80">
        <f>0.48*2</f>
        <v>0.96</v>
      </c>
      <c r="E187" s="80"/>
      <c r="F187" s="80">
        <v>2.19</v>
      </c>
      <c r="G187" s="84">
        <f t="shared" si="24"/>
        <v>4.2047999999999996</v>
      </c>
      <c r="H187" s="80"/>
      <c r="I187" s="80"/>
      <c r="J187" s="80"/>
      <c r="K187" s="81"/>
    </row>
    <row r="188" spans="1:11">
      <c r="A188" s="77"/>
      <c r="B188" s="94"/>
      <c r="C188" s="83">
        <v>2</v>
      </c>
      <c r="D188" s="80">
        <f>1.73+2.44</f>
        <v>4.17</v>
      </c>
      <c r="E188" s="80"/>
      <c r="F188" s="80">
        <v>1.1200000000000001</v>
      </c>
      <c r="G188" s="84">
        <f t="shared" si="24"/>
        <v>9.3408000000000015</v>
      </c>
      <c r="H188" s="80"/>
      <c r="I188" s="80"/>
      <c r="J188" s="80"/>
      <c r="K188" s="81"/>
    </row>
    <row r="189" spans="1:11">
      <c r="A189" s="77"/>
      <c r="B189" s="94"/>
      <c r="C189" s="83">
        <v>2</v>
      </c>
      <c r="D189" s="80">
        <f>0.34*2</f>
        <v>0.68</v>
      </c>
      <c r="E189" s="80"/>
      <c r="F189" s="80">
        <v>2.2599999999999998</v>
      </c>
      <c r="G189" s="84">
        <f t="shared" si="24"/>
        <v>3.0735999999999999</v>
      </c>
      <c r="H189" s="80"/>
      <c r="I189" s="80"/>
      <c r="J189" s="80"/>
      <c r="K189" s="81"/>
    </row>
    <row r="190" spans="1:11">
      <c r="A190" s="77"/>
      <c r="B190" s="94"/>
      <c r="C190" s="83">
        <v>2</v>
      </c>
      <c r="D190" s="80">
        <f>0.34*2</f>
        <v>0.68</v>
      </c>
      <c r="E190" s="80"/>
      <c r="F190" s="80">
        <v>2.15</v>
      </c>
      <c r="G190" s="84">
        <f t="shared" si="24"/>
        <v>2.9239999999999999</v>
      </c>
      <c r="H190" s="80"/>
      <c r="I190" s="80"/>
      <c r="J190" s="80"/>
      <c r="K190" s="81"/>
    </row>
    <row r="191" spans="1:11">
      <c r="A191" s="77"/>
      <c r="B191" s="94"/>
      <c r="C191" s="83">
        <v>2</v>
      </c>
      <c r="D191" s="80">
        <v>2.5</v>
      </c>
      <c r="E191" s="80"/>
      <c r="F191" s="80">
        <v>1.1599999999999999</v>
      </c>
      <c r="G191" s="84">
        <f t="shared" si="24"/>
        <v>5.8</v>
      </c>
      <c r="H191" s="80"/>
      <c r="I191" s="80"/>
      <c r="J191" s="80"/>
      <c r="K191" s="81"/>
    </row>
    <row r="192" spans="1:11">
      <c r="A192" s="77"/>
      <c r="B192" s="94"/>
      <c r="C192" s="83">
        <v>2</v>
      </c>
      <c r="D192" s="80">
        <f>0.48*2</f>
        <v>0.96</v>
      </c>
      <c r="E192" s="80"/>
      <c r="F192" s="80">
        <v>2.1800000000000002</v>
      </c>
      <c r="G192" s="84">
        <f t="shared" si="24"/>
        <v>4.1856</v>
      </c>
      <c r="H192" s="80"/>
      <c r="I192" s="80"/>
      <c r="J192" s="80"/>
      <c r="K192" s="81"/>
    </row>
    <row r="193" spans="1:11">
      <c r="A193" s="77"/>
      <c r="B193" s="94"/>
      <c r="C193" s="83">
        <v>2</v>
      </c>
      <c r="D193" s="80">
        <v>3.94</v>
      </c>
      <c r="E193" s="80"/>
      <c r="F193" s="80">
        <v>1.2</v>
      </c>
      <c r="G193" s="84">
        <f t="shared" si="24"/>
        <v>9.4559999999999995</v>
      </c>
      <c r="H193" s="80"/>
      <c r="I193" s="80"/>
      <c r="J193" s="80"/>
      <c r="K193" s="81"/>
    </row>
    <row r="194" spans="1:11">
      <c r="A194" s="77"/>
      <c r="B194" s="94"/>
      <c r="C194" s="83">
        <v>2</v>
      </c>
      <c r="D194" s="80">
        <f>0.48*2</f>
        <v>0.96</v>
      </c>
      <c r="E194" s="80"/>
      <c r="F194" s="80">
        <v>2.15</v>
      </c>
      <c r="G194" s="84">
        <f t="shared" si="24"/>
        <v>4.1280000000000001</v>
      </c>
      <c r="H194" s="80"/>
      <c r="I194" s="80"/>
      <c r="J194" s="80"/>
      <c r="K194" s="81"/>
    </row>
    <row r="195" spans="1:11">
      <c r="A195" s="77"/>
      <c r="B195" s="94"/>
      <c r="C195" s="83">
        <v>2</v>
      </c>
      <c r="D195" s="80">
        <v>4</v>
      </c>
      <c r="E195" s="80"/>
      <c r="F195" s="80">
        <v>1.1499999999999999</v>
      </c>
      <c r="G195" s="84">
        <f t="shared" si="24"/>
        <v>9.1999999999999993</v>
      </c>
      <c r="H195" s="80"/>
      <c r="I195" s="80"/>
      <c r="J195" s="80"/>
      <c r="K195" s="81"/>
    </row>
    <row r="196" spans="1:11">
      <c r="A196" s="77"/>
      <c r="B196" s="94"/>
      <c r="C196" s="83">
        <v>2</v>
      </c>
      <c r="D196" s="80">
        <f>0.48*2</f>
        <v>0.96</v>
      </c>
      <c r="E196" s="80"/>
      <c r="F196" s="80">
        <v>2.08</v>
      </c>
      <c r="G196" s="84">
        <f t="shared" si="24"/>
        <v>3.9935999999999998</v>
      </c>
      <c r="H196" s="80"/>
      <c r="I196" s="80"/>
      <c r="J196" s="80"/>
      <c r="K196" s="81"/>
    </row>
    <row r="197" spans="1:11">
      <c r="A197" s="77"/>
      <c r="B197" s="94"/>
      <c r="C197" s="83">
        <v>2</v>
      </c>
      <c r="D197" s="80">
        <v>3.97</v>
      </c>
      <c r="E197" s="80"/>
      <c r="F197" s="80">
        <v>1.25</v>
      </c>
      <c r="G197" s="84">
        <f t="shared" si="24"/>
        <v>9.9250000000000007</v>
      </c>
      <c r="H197" s="80"/>
      <c r="I197" s="80"/>
      <c r="J197" s="80"/>
      <c r="K197" s="81"/>
    </row>
    <row r="198" spans="1:11">
      <c r="A198" s="77"/>
      <c r="B198" s="94"/>
      <c r="C198" s="83">
        <v>2</v>
      </c>
      <c r="D198" s="80">
        <f>0.48*2</f>
        <v>0.96</v>
      </c>
      <c r="E198" s="80"/>
      <c r="F198" s="80">
        <v>2.25</v>
      </c>
      <c r="G198" s="84">
        <f t="shared" si="24"/>
        <v>4.32</v>
      </c>
      <c r="H198" s="80"/>
      <c r="I198" s="80"/>
      <c r="J198" s="80"/>
      <c r="K198" s="81"/>
    </row>
    <row r="199" spans="1:11">
      <c r="A199" s="77"/>
      <c r="B199" s="94"/>
      <c r="C199" s="83">
        <v>2</v>
      </c>
      <c r="D199" s="80">
        <v>4</v>
      </c>
      <c r="E199" s="80"/>
      <c r="F199" s="80">
        <v>1.23</v>
      </c>
      <c r="G199" s="84">
        <f t="shared" si="24"/>
        <v>9.84</v>
      </c>
      <c r="H199" s="80"/>
      <c r="I199" s="80"/>
      <c r="J199" s="80"/>
      <c r="K199" s="81"/>
    </row>
    <row r="200" spans="1:11">
      <c r="A200" s="77"/>
      <c r="B200" s="94"/>
      <c r="C200" s="83">
        <v>2</v>
      </c>
      <c r="D200" s="80">
        <f>0.48*2</f>
        <v>0.96</v>
      </c>
      <c r="E200" s="80"/>
      <c r="F200" s="80">
        <v>2.25</v>
      </c>
      <c r="G200" s="84">
        <f t="shared" si="24"/>
        <v>4.32</v>
      </c>
      <c r="H200" s="80"/>
      <c r="I200" s="80"/>
      <c r="J200" s="80"/>
      <c r="K200" s="81"/>
    </row>
    <row r="201" spans="1:11">
      <c r="A201" s="77"/>
      <c r="B201" s="94"/>
      <c r="C201" s="83">
        <v>2</v>
      </c>
      <c r="D201" s="80">
        <v>4.0599999999999996</v>
      </c>
      <c r="E201" s="80"/>
      <c r="F201" s="80">
        <v>1.32</v>
      </c>
      <c r="G201" s="84">
        <f t="shared" si="24"/>
        <v>10.718399999999999</v>
      </c>
      <c r="H201" s="80"/>
      <c r="I201" s="80"/>
      <c r="J201" s="80"/>
      <c r="K201" s="81"/>
    </row>
    <row r="202" spans="1:11">
      <c r="A202" s="77"/>
      <c r="B202" s="94"/>
      <c r="C202" s="83">
        <v>2</v>
      </c>
      <c r="D202" s="80">
        <f>0.48*2</f>
        <v>0.96</v>
      </c>
      <c r="E202" s="80"/>
      <c r="F202" s="80">
        <v>2.1800000000000002</v>
      </c>
      <c r="G202" s="84">
        <f t="shared" si="24"/>
        <v>4.1856</v>
      </c>
      <c r="H202" s="80"/>
      <c r="I202" s="80"/>
      <c r="J202" s="80"/>
      <c r="K202" s="81"/>
    </row>
    <row r="203" spans="1:11">
      <c r="A203" s="77"/>
      <c r="B203" s="94"/>
      <c r="C203" s="83">
        <v>2</v>
      </c>
      <c r="D203" s="80">
        <f>3.92</f>
        <v>3.92</v>
      </c>
      <c r="E203" s="80"/>
      <c r="F203" s="80">
        <v>1.32</v>
      </c>
      <c r="G203" s="84">
        <f t="shared" si="24"/>
        <v>10.348800000000001</v>
      </c>
      <c r="H203" s="80"/>
      <c r="I203" s="80"/>
      <c r="J203" s="80"/>
      <c r="K203" s="81"/>
    </row>
    <row r="204" spans="1:11">
      <c r="A204" s="77"/>
      <c r="B204" s="94"/>
      <c r="C204" s="83">
        <v>2</v>
      </c>
      <c r="D204" s="80">
        <f>0.48*2</f>
        <v>0.96</v>
      </c>
      <c r="E204" s="80"/>
      <c r="F204" s="80">
        <v>2.2799999999999998</v>
      </c>
      <c r="G204" s="84">
        <f t="shared" si="24"/>
        <v>4.3775999999999993</v>
      </c>
      <c r="H204" s="80"/>
      <c r="I204" s="80"/>
      <c r="J204" s="80"/>
      <c r="K204" s="81"/>
    </row>
    <row r="205" spans="1:11">
      <c r="A205" s="77"/>
      <c r="B205" s="94"/>
      <c r="C205" s="83">
        <v>2</v>
      </c>
      <c r="D205" s="80">
        <v>3.62</v>
      </c>
      <c r="E205" s="80"/>
      <c r="F205" s="80">
        <v>1.32</v>
      </c>
      <c r="G205" s="84">
        <f t="shared" si="24"/>
        <v>9.5568000000000008</v>
      </c>
      <c r="H205" s="80"/>
      <c r="I205" s="80"/>
      <c r="J205" s="80"/>
      <c r="K205" s="81"/>
    </row>
    <row r="206" spans="1:11">
      <c r="A206" s="77"/>
      <c r="B206" s="94"/>
      <c r="C206" s="83">
        <v>2</v>
      </c>
      <c r="D206" s="80">
        <f>0.48*2</f>
        <v>0.96</v>
      </c>
      <c r="E206" s="80"/>
      <c r="F206" s="80">
        <v>2.2000000000000002</v>
      </c>
      <c r="G206" s="84">
        <f t="shared" si="24"/>
        <v>4.2240000000000002</v>
      </c>
      <c r="H206" s="80"/>
      <c r="I206" s="80"/>
      <c r="J206" s="80"/>
      <c r="K206" s="81"/>
    </row>
    <row r="207" spans="1:11">
      <c r="A207" s="77"/>
      <c r="B207" s="94"/>
      <c r="C207" s="83">
        <f>-2*16</f>
        <v>-32</v>
      </c>
      <c r="D207" s="80">
        <v>0.23</v>
      </c>
      <c r="E207" s="80"/>
      <c r="F207" s="80">
        <v>1.35</v>
      </c>
      <c r="G207" s="84">
        <f t="shared" si="24"/>
        <v>-9.9360000000000017</v>
      </c>
      <c r="H207" s="80"/>
      <c r="I207" s="80"/>
      <c r="J207" s="80"/>
      <c r="K207" s="81"/>
    </row>
    <row r="208" spans="1:11">
      <c r="A208" s="134"/>
      <c r="B208" s="142" t="s">
        <v>195</v>
      </c>
      <c r="C208" s="135">
        <v>1</v>
      </c>
      <c r="D208" s="136">
        <f>((14.583+17.75)*2)/3.281</f>
        <v>19.709234989332518</v>
      </c>
      <c r="E208" s="136"/>
      <c r="F208" s="136">
        <f>0.52</f>
        <v>0.52</v>
      </c>
      <c r="G208" s="84">
        <f t="shared" si="24"/>
        <v>10.24880219445291</v>
      </c>
      <c r="H208" s="136"/>
      <c r="I208" s="136"/>
      <c r="J208" s="136"/>
      <c r="K208" s="137"/>
    </row>
    <row r="209" spans="1:11">
      <c r="A209" s="134"/>
      <c r="B209" s="142"/>
      <c r="C209" s="135">
        <v>1</v>
      </c>
      <c r="D209" s="136">
        <f>((13.583+16.75)*2)/3.281</f>
        <v>18.49009448338921</v>
      </c>
      <c r="E209" s="136"/>
      <c r="F209" s="136">
        <f>0.52</f>
        <v>0.52</v>
      </c>
      <c r="G209" s="84">
        <f t="shared" ref="G209:G210" si="25">PRODUCT(C209:F209)</f>
        <v>9.6148491313623889</v>
      </c>
      <c r="H209" s="136"/>
      <c r="I209" s="136"/>
      <c r="J209" s="136"/>
      <c r="K209" s="137"/>
    </row>
    <row r="210" spans="1:11">
      <c r="A210" s="134"/>
      <c r="B210" s="142" t="s">
        <v>203</v>
      </c>
      <c r="C210" s="135">
        <v>2</v>
      </c>
      <c r="D210" s="136">
        <f>2.5/3.281</f>
        <v>0.76196281621456874</v>
      </c>
      <c r="E210" s="136"/>
      <c r="F210" s="136">
        <f>7/3.281</f>
        <v>2.1334958854007922</v>
      </c>
      <c r="G210" s="139">
        <f t="shared" si="25"/>
        <v>3.251289066444365</v>
      </c>
      <c r="H210" s="136"/>
      <c r="I210" s="136"/>
      <c r="J210" s="136"/>
      <c r="K210" s="137"/>
    </row>
    <row r="211" spans="1:11">
      <c r="A211" s="77"/>
      <c r="B211" s="92"/>
      <c r="C211" s="83"/>
      <c r="D211" s="80"/>
      <c r="E211" s="80"/>
      <c r="F211" s="80"/>
      <c r="G211" s="80">
        <f>SUM(G176:G210)</f>
        <v>223.93979039225965</v>
      </c>
      <c r="H211" s="80" t="s">
        <v>23</v>
      </c>
      <c r="I211" s="80">
        <v>253.8</v>
      </c>
      <c r="J211" s="80">
        <f>G211*I211</f>
        <v>56835.918801555505</v>
      </c>
      <c r="K211" s="81"/>
    </row>
    <row r="212" spans="1:11">
      <c r="A212" s="77"/>
      <c r="B212" s="92" t="s">
        <v>135</v>
      </c>
      <c r="C212" s="83"/>
      <c r="D212" s="80"/>
      <c r="E212" s="80"/>
      <c r="F212" s="80"/>
      <c r="G212" s="80"/>
      <c r="H212" s="80"/>
      <c r="I212" s="80"/>
      <c r="J212" s="80">
        <f>0.13*G211*2304/100</f>
        <v>670.74446018289609</v>
      </c>
      <c r="K212" s="81"/>
    </row>
    <row r="213" spans="1:11">
      <c r="A213" s="77"/>
      <c r="B213" s="92" t="s">
        <v>136</v>
      </c>
      <c r="C213" s="83"/>
      <c r="D213" s="80"/>
      <c r="E213" s="80"/>
      <c r="F213" s="80"/>
      <c r="G213" s="80"/>
      <c r="H213" s="80"/>
      <c r="I213" s="80"/>
      <c r="J213" s="80">
        <f>0.13*G211*10432/100</f>
        <v>3036.9818613836687</v>
      </c>
      <c r="K213" s="81"/>
    </row>
    <row r="214" spans="1:11">
      <c r="A214" s="77"/>
      <c r="B214" s="92"/>
      <c r="C214" s="83"/>
      <c r="D214" s="80"/>
      <c r="E214" s="80"/>
      <c r="F214" s="80"/>
      <c r="G214" s="80"/>
      <c r="H214" s="80"/>
      <c r="I214" s="80"/>
      <c r="J214" s="80"/>
      <c r="K214" s="81"/>
    </row>
    <row r="215" spans="1:11" ht="30.75">
      <c r="A215" s="134">
        <v>21</v>
      </c>
      <c r="B215" s="115" t="s">
        <v>201</v>
      </c>
      <c r="C215" s="135"/>
      <c r="D215" s="136"/>
      <c r="E215" s="136"/>
      <c r="F215" s="136"/>
      <c r="G215" s="136"/>
      <c r="H215" s="136"/>
      <c r="I215" s="136"/>
      <c r="J215" s="136"/>
      <c r="K215" s="137"/>
    </row>
    <row r="216" spans="1:11">
      <c r="A216" s="134"/>
      <c r="B216" s="142" t="s">
        <v>202</v>
      </c>
      <c r="C216" s="135">
        <v>1</v>
      </c>
      <c r="D216" s="136">
        <f>(2*(12.33+13))/3.281</f>
        <v>15.440414507772019</v>
      </c>
      <c r="E216" s="136"/>
      <c r="F216" s="136">
        <f>8.75/3.281</f>
        <v>2.6668698567509903</v>
      </c>
      <c r="G216" s="84">
        <f t="shared" ref="G216:G219" si="26">PRODUCT(C216:F216)</f>
        <v>41.177576026517876</v>
      </c>
      <c r="H216" s="136"/>
      <c r="I216" s="136"/>
      <c r="J216" s="136"/>
      <c r="K216" s="137"/>
    </row>
    <row r="217" spans="1:11">
      <c r="A217" s="134"/>
      <c r="B217" s="142" t="s">
        <v>204</v>
      </c>
      <c r="C217" s="135">
        <v>1</v>
      </c>
      <c r="D217" s="136">
        <f>12.33/3.281</f>
        <v>3.7580006095702529</v>
      </c>
      <c r="E217" s="136">
        <f>13/3.281</f>
        <v>3.9622066443157573</v>
      </c>
      <c r="F217" s="136"/>
      <c r="G217" s="84">
        <f t="shared" si="26"/>
        <v>14.889974984581922</v>
      </c>
      <c r="H217" s="136"/>
      <c r="I217" s="136"/>
      <c r="J217" s="136"/>
      <c r="K217" s="137"/>
    </row>
    <row r="218" spans="1:11">
      <c r="A218" s="134"/>
      <c r="B218" s="142" t="s">
        <v>205</v>
      </c>
      <c r="C218" s="135">
        <v>1</v>
      </c>
      <c r="D218" s="136">
        <f>(2*(17.25+13.42))/3.281</f>
        <v>18.695519658640659</v>
      </c>
      <c r="E218" s="136"/>
      <c r="F218" s="136">
        <f>8.75/3.281</f>
        <v>2.6668698567509903</v>
      </c>
      <c r="G218" s="84">
        <f t="shared" si="26"/>
        <v>49.858517833924338</v>
      </c>
      <c r="H218" s="136"/>
      <c r="I218" s="136"/>
      <c r="J218" s="136"/>
      <c r="K218" s="137"/>
    </row>
    <row r="219" spans="1:11">
      <c r="A219" s="134"/>
      <c r="B219" s="142" t="s">
        <v>204</v>
      </c>
      <c r="C219" s="135">
        <v>1</v>
      </c>
      <c r="D219" s="136">
        <f>17.25/3.281</f>
        <v>5.2575434318805243</v>
      </c>
      <c r="E219" s="136">
        <f>13.42/3.281</f>
        <v>4.0902163974398045</v>
      </c>
      <c r="F219" s="136"/>
      <c r="G219" s="84">
        <f t="shared" si="26"/>
        <v>21.504490355329665</v>
      </c>
      <c r="H219" s="136"/>
      <c r="I219" s="136"/>
      <c r="J219" s="136"/>
      <c r="K219" s="137"/>
    </row>
    <row r="220" spans="1:11">
      <c r="A220" s="134"/>
      <c r="B220" s="142" t="s">
        <v>206</v>
      </c>
      <c r="C220" s="135">
        <v>1</v>
      </c>
      <c r="D220" s="136">
        <f>(2*(10.833+13.42))/3.281</f>
        <v>14.783907345321548</v>
      </c>
      <c r="E220" s="136"/>
      <c r="F220" s="136">
        <f>8.75/3.281</f>
        <v>2.6668698567509903</v>
      </c>
      <c r="G220" s="84">
        <f t="shared" ref="G220:G224" si="27">PRODUCT(C220:F220)</f>
        <v>39.426756864237589</v>
      </c>
      <c r="H220" s="136"/>
      <c r="I220" s="136"/>
      <c r="J220" s="136"/>
      <c r="K220" s="137"/>
    </row>
    <row r="221" spans="1:11">
      <c r="A221" s="134"/>
      <c r="B221" s="142" t="s">
        <v>204</v>
      </c>
      <c r="C221" s="135">
        <v>1</v>
      </c>
      <c r="D221" s="136">
        <f>10.833/3.281</f>
        <v>3.3017372752209693</v>
      </c>
      <c r="E221" s="136">
        <f>13.42/3.281</f>
        <v>4.0902163974398045</v>
      </c>
      <c r="F221" s="136"/>
      <c r="G221" s="84">
        <f t="shared" si="27"/>
        <v>13.504819943147028</v>
      </c>
      <c r="H221" s="136"/>
      <c r="I221" s="136"/>
      <c r="J221" s="136"/>
      <c r="K221" s="137"/>
    </row>
    <row r="222" spans="1:11">
      <c r="A222" s="134"/>
      <c r="B222" s="142" t="s">
        <v>210</v>
      </c>
      <c r="C222" s="135">
        <v>-3</v>
      </c>
      <c r="D222" s="136">
        <f>3.5/3.281</f>
        <v>1.0667479427003961</v>
      </c>
      <c r="E222" s="136"/>
      <c r="F222" s="136">
        <f>7/3.281</f>
        <v>2.1334958854007922</v>
      </c>
      <c r="G222" s="84">
        <f t="shared" si="27"/>
        <v>-6.8277070395331645</v>
      </c>
      <c r="H222" s="136"/>
      <c r="I222" s="136"/>
      <c r="J222" s="136"/>
      <c r="K222" s="137"/>
    </row>
    <row r="223" spans="1:11">
      <c r="A223" s="134"/>
      <c r="B223" s="142" t="s">
        <v>211</v>
      </c>
      <c r="C223" s="135">
        <v>-6</v>
      </c>
      <c r="D223" s="136">
        <f>6/3.281</f>
        <v>1.8287107589149649</v>
      </c>
      <c r="E223" s="136"/>
      <c r="F223" s="136">
        <f>4/3.281</f>
        <v>1.2191405059433098</v>
      </c>
      <c r="G223" s="84">
        <f t="shared" si="27"/>
        <v>-13.376732159085387</v>
      </c>
      <c r="H223" s="136"/>
      <c r="I223" s="136"/>
      <c r="J223" s="136"/>
      <c r="K223" s="137"/>
    </row>
    <row r="224" spans="1:11">
      <c r="A224" s="134"/>
      <c r="B224" s="142"/>
      <c r="C224" s="135">
        <v>-1</v>
      </c>
      <c r="D224" s="136">
        <f>4/3.281</f>
        <v>1.2191405059433098</v>
      </c>
      <c r="E224" s="136"/>
      <c r="F224" s="136">
        <f>4/3.281</f>
        <v>1.2191405059433098</v>
      </c>
      <c r="G224" s="84">
        <f t="shared" si="27"/>
        <v>-1.4863035732317094</v>
      </c>
      <c r="H224" s="136"/>
      <c r="I224" s="136"/>
      <c r="J224" s="136"/>
      <c r="K224" s="137"/>
    </row>
    <row r="225" spans="1:11">
      <c r="A225" s="77"/>
      <c r="B225" s="92"/>
      <c r="C225" s="83"/>
      <c r="D225" s="80"/>
      <c r="E225" s="80"/>
      <c r="F225" s="80"/>
      <c r="G225" s="80">
        <f>SUM(G216:G224)</f>
        <v>158.67139323588816</v>
      </c>
      <c r="H225" s="80" t="s">
        <v>23</v>
      </c>
      <c r="I225" s="80">
        <v>300.02999999999997</v>
      </c>
      <c r="J225" s="80">
        <f>G225*I225</f>
        <v>47606.178112563517</v>
      </c>
      <c r="K225" s="81"/>
    </row>
    <row r="226" spans="1:11">
      <c r="A226" s="77"/>
      <c r="B226" s="92" t="s">
        <v>207</v>
      </c>
      <c r="C226" s="83"/>
      <c r="D226" s="80"/>
      <c r="E226" s="80"/>
      <c r="F226" s="80"/>
      <c r="G226" s="80"/>
      <c r="H226" s="80"/>
      <c r="I226" s="80"/>
      <c r="J226" s="80">
        <f>0.13*G225*670.32/10</f>
        <v>1382.6879080804474</v>
      </c>
      <c r="K226" s="81"/>
    </row>
    <row r="227" spans="1:11">
      <c r="A227" s="134"/>
      <c r="B227" s="133"/>
      <c r="C227" s="135"/>
      <c r="D227" s="136"/>
      <c r="E227" s="136"/>
      <c r="F227" s="136"/>
      <c r="G227" s="136"/>
      <c r="H227" s="136"/>
      <c r="I227" s="136"/>
      <c r="J227" s="136"/>
      <c r="K227" s="137"/>
    </row>
    <row r="228" spans="1:11" ht="30.75">
      <c r="A228" s="134">
        <v>22</v>
      </c>
      <c r="B228" s="115" t="s">
        <v>208</v>
      </c>
      <c r="C228" s="135"/>
      <c r="D228" s="136"/>
      <c r="E228" s="136"/>
      <c r="F228" s="136"/>
      <c r="G228" s="136"/>
      <c r="H228" s="136"/>
      <c r="I228" s="136"/>
      <c r="J228" s="136"/>
      <c r="K228" s="137"/>
    </row>
    <row r="229" spans="1:11">
      <c r="A229" s="134"/>
      <c r="B229" s="142" t="s">
        <v>205</v>
      </c>
      <c r="C229" s="135">
        <v>1</v>
      </c>
      <c r="D229" s="136">
        <f>17.25/3.281</f>
        <v>5.2575434318805243</v>
      </c>
      <c r="E229" s="136"/>
      <c r="F229" s="136">
        <f>8.75/3.281</f>
        <v>2.6668698567509903</v>
      </c>
      <c r="G229" s="84">
        <f t="shared" ref="G229:G233" si="28">PRODUCT(C229:F229)</f>
        <v>14.021184099041324</v>
      </c>
      <c r="H229" s="136"/>
      <c r="I229" s="136"/>
      <c r="J229" s="136"/>
      <c r="K229" s="137"/>
    </row>
    <row r="230" spans="1:11">
      <c r="A230" s="134"/>
      <c r="B230" s="142" t="s">
        <v>206</v>
      </c>
      <c r="C230" s="135">
        <v>1</v>
      </c>
      <c r="D230" s="136">
        <f>(2*(10.833))/3.281</f>
        <v>6.6034745504419385</v>
      </c>
      <c r="E230" s="136"/>
      <c r="F230" s="136">
        <f>8.75/3.281</f>
        <v>2.6668698567509903</v>
      </c>
      <c r="G230" s="84">
        <f t="shared" si="28"/>
        <v>17.610607228395903</v>
      </c>
      <c r="H230" s="136"/>
      <c r="I230" s="136"/>
      <c r="J230" s="136"/>
      <c r="K230" s="137"/>
    </row>
    <row r="231" spans="1:11">
      <c r="A231" s="134"/>
      <c r="B231" s="142" t="s">
        <v>210</v>
      </c>
      <c r="C231" s="135">
        <v>-1</v>
      </c>
      <c r="D231" s="136">
        <f>3.5/3.281</f>
        <v>1.0667479427003961</v>
      </c>
      <c r="E231" s="136"/>
      <c r="F231" s="136">
        <f>7/3.281</f>
        <v>2.1334958854007922</v>
      </c>
      <c r="G231" s="84">
        <f t="shared" si="28"/>
        <v>-2.2759023465110548</v>
      </c>
      <c r="H231" s="136"/>
      <c r="I231" s="136"/>
      <c r="J231" s="136"/>
      <c r="K231" s="137"/>
    </row>
    <row r="232" spans="1:11">
      <c r="A232" s="134"/>
      <c r="B232" s="142" t="s">
        <v>211</v>
      </c>
      <c r="C232" s="135">
        <v>-2</v>
      </c>
      <c r="D232" s="136">
        <f>6/3.281</f>
        <v>1.8287107589149649</v>
      </c>
      <c r="E232" s="136"/>
      <c r="F232" s="136">
        <f>4/3.281</f>
        <v>1.2191405059433098</v>
      </c>
      <c r="G232" s="84">
        <f t="shared" si="28"/>
        <v>-4.4589107196951288</v>
      </c>
      <c r="H232" s="136"/>
      <c r="I232" s="136"/>
      <c r="J232" s="136"/>
      <c r="K232" s="137"/>
    </row>
    <row r="233" spans="1:11">
      <c r="A233" s="134"/>
      <c r="B233" s="142"/>
      <c r="C233" s="135">
        <v>-1</v>
      </c>
      <c r="D233" s="136">
        <f>4/3.281</f>
        <v>1.2191405059433098</v>
      </c>
      <c r="E233" s="136"/>
      <c r="F233" s="136">
        <f>4/3.281</f>
        <v>1.2191405059433098</v>
      </c>
      <c r="G233" s="84">
        <f t="shared" si="28"/>
        <v>-1.4863035732317094</v>
      </c>
      <c r="H233" s="136"/>
      <c r="I233" s="136"/>
      <c r="J233" s="136"/>
      <c r="K233" s="137"/>
    </row>
    <row r="234" spans="1:11">
      <c r="A234" s="77"/>
      <c r="B234" s="92"/>
      <c r="C234" s="83"/>
      <c r="D234" s="80"/>
      <c r="E234" s="80"/>
      <c r="F234" s="80"/>
      <c r="G234" s="80">
        <f>SUM(G229:G233)</f>
        <v>23.410674687999336</v>
      </c>
      <c r="H234" s="80" t="s">
        <v>23</v>
      </c>
      <c r="I234" s="80">
        <v>60.3</v>
      </c>
      <c r="J234" s="80">
        <f>G234*I234</f>
        <v>1411.6636836863599</v>
      </c>
      <c r="K234" s="81"/>
    </row>
    <row r="235" spans="1:11">
      <c r="A235" s="77"/>
      <c r="B235" s="92" t="s">
        <v>209</v>
      </c>
      <c r="C235" s="83"/>
      <c r="D235" s="80"/>
      <c r="E235" s="80"/>
      <c r="F235" s="80"/>
      <c r="G235" s="80"/>
      <c r="H235" s="80"/>
      <c r="I235" s="80"/>
      <c r="J235" s="80">
        <f>0.13*G234*2070/100</f>
        <v>62.998125585406221</v>
      </c>
      <c r="K235" s="81"/>
    </row>
    <row r="236" spans="1:11">
      <c r="A236" s="134"/>
      <c r="B236" s="133"/>
      <c r="C236" s="135"/>
      <c r="D236" s="136"/>
      <c r="E236" s="136"/>
      <c r="F236" s="136"/>
      <c r="G236" s="136"/>
      <c r="H236" s="136"/>
      <c r="I236" s="136"/>
      <c r="J236" s="136"/>
      <c r="K236" s="137"/>
    </row>
    <row r="237" spans="1:11" ht="30.75">
      <c r="A237" s="134">
        <v>23</v>
      </c>
      <c r="B237" s="115" t="s">
        <v>212</v>
      </c>
      <c r="C237" s="135"/>
      <c r="D237" s="136"/>
      <c r="E237" s="136"/>
      <c r="F237" s="136"/>
      <c r="G237" s="136"/>
      <c r="H237" s="136"/>
      <c r="I237" s="136"/>
      <c r="J237" s="136"/>
      <c r="K237" s="137"/>
    </row>
    <row r="238" spans="1:11">
      <c r="A238" s="134"/>
      <c r="B238" s="120" t="s">
        <v>214</v>
      </c>
      <c r="C238" s="135"/>
      <c r="D238" s="136"/>
      <c r="E238" s="136"/>
      <c r="F238" s="136"/>
      <c r="G238" s="136"/>
      <c r="H238" s="136"/>
      <c r="I238" s="136"/>
      <c r="J238" s="136"/>
      <c r="K238" s="137"/>
    </row>
    <row r="239" spans="1:11">
      <c r="A239" s="134"/>
      <c r="B239" s="142" t="s">
        <v>215</v>
      </c>
      <c r="C239" s="135">
        <v>1</v>
      </c>
      <c r="D239" s="136">
        <f>2*(28.25/3.281)+2*(13.42/3.281)</f>
        <v>25.400792441328861</v>
      </c>
      <c r="E239" s="136"/>
      <c r="F239" s="136">
        <f>8.75/3.281</f>
        <v>2.6668698567509903</v>
      </c>
      <c r="G239" s="84">
        <f t="shared" ref="G239:G246" si="29">PRODUCT(C239:F239)</f>
        <v>67.74060769936834</v>
      </c>
      <c r="H239" s="136"/>
      <c r="I239" s="136"/>
      <c r="J239" s="136"/>
      <c r="K239" s="137"/>
    </row>
    <row r="240" spans="1:11" ht="31.5">
      <c r="A240" s="134"/>
      <c r="B240" s="142" t="s">
        <v>218</v>
      </c>
      <c r="C240" s="135">
        <v>1</v>
      </c>
      <c r="D240" s="136">
        <f>2*(28.25/3.281)+2*(13.083/3.281)</f>
        <v>25.195367266077415</v>
      </c>
      <c r="E240" s="136"/>
      <c r="F240" s="136">
        <f>8.75/3.281</f>
        <v>2.6668698567509903</v>
      </c>
      <c r="G240" s="84">
        <f t="shared" si="29"/>
        <v>67.192765491672461</v>
      </c>
      <c r="H240" s="136"/>
      <c r="I240" s="136"/>
      <c r="J240" s="136"/>
      <c r="K240" s="137"/>
    </row>
    <row r="241" spans="1:11">
      <c r="A241" s="134"/>
      <c r="B241" s="142" t="s">
        <v>210</v>
      </c>
      <c r="C241" s="135">
        <v>-1</v>
      </c>
      <c r="D241" s="136">
        <v>1.2</v>
      </c>
      <c r="E241" s="136"/>
      <c r="F241" s="136">
        <f>8/3.281</f>
        <v>2.4382810118866196</v>
      </c>
      <c r="G241" s="84">
        <f t="shared" si="29"/>
        <v>-2.9259372142639433</v>
      </c>
      <c r="H241" s="136"/>
      <c r="I241" s="136"/>
      <c r="J241" s="136"/>
      <c r="K241" s="137"/>
    </row>
    <row r="242" spans="1:11">
      <c r="A242" s="134"/>
      <c r="B242" s="142"/>
      <c r="C242" s="135">
        <v>-1</v>
      </c>
      <c r="D242" s="136">
        <f t="shared" ref="D242" si="30">3.5/3.281</f>
        <v>1.0667479427003961</v>
      </c>
      <c r="E242" s="136"/>
      <c r="F242" s="136">
        <v>2.1</v>
      </c>
      <c r="G242" s="84">
        <f t="shared" ref="G242:G243" si="31">PRODUCT(C242:F242)</f>
        <v>-2.2401706796708321</v>
      </c>
      <c r="H242" s="136"/>
      <c r="I242" s="136"/>
      <c r="J242" s="136"/>
      <c r="K242" s="137"/>
    </row>
    <row r="243" spans="1:11">
      <c r="A243" s="134"/>
      <c r="B243" s="142"/>
      <c r="C243" s="135">
        <v>-1</v>
      </c>
      <c r="D243" s="136">
        <v>0.75</v>
      </c>
      <c r="E243" s="136"/>
      <c r="F243" s="136">
        <v>1.8</v>
      </c>
      <c r="G243" s="84">
        <f t="shared" si="31"/>
        <v>-1.35</v>
      </c>
      <c r="H243" s="136"/>
      <c r="I243" s="136"/>
      <c r="J243" s="136"/>
      <c r="K243" s="137"/>
    </row>
    <row r="244" spans="1:11">
      <c r="A244" s="134"/>
      <c r="B244" s="142" t="s">
        <v>211</v>
      </c>
      <c r="C244" s="135">
        <v>-1</v>
      </c>
      <c r="D244" s="136">
        <v>0.9</v>
      </c>
      <c r="E244" s="136"/>
      <c r="F244" s="136">
        <v>1.8</v>
      </c>
      <c r="G244" s="84">
        <f t="shared" si="29"/>
        <v>-1.62</v>
      </c>
      <c r="H244" s="136"/>
      <c r="I244" s="136"/>
      <c r="J244" s="136"/>
      <c r="K244" s="137"/>
    </row>
    <row r="245" spans="1:11">
      <c r="A245" s="134"/>
      <c r="B245" s="142"/>
      <c r="C245" s="135">
        <v>-6</v>
      </c>
      <c r="D245" s="136">
        <v>1.8</v>
      </c>
      <c r="E245" s="136"/>
      <c r="F245" s="136">
        <v>1.2</v>
      </c>
      <c r="G245" s="84">
        <f t="shared" si="29"/>
        <v>-12.96</v>
      </c>
      <c r="H245" s="136"/>
      <c r="I245" s="136"/>
      <c r="J245" s="136"/>
      <c r="K245" s="137"/>
    </row>
    <row r="246" spans="1:11">
      <c r="A246" s="134"/>
      <c r="B246" s="142"/>
      <c r="C246" s="135">
        <v>-1</v>
      </c>
      <c r="D246" s="136">
        <v>1.2</v>
      </c>
      <c r="E246" s="136"/>
      <c r="F246" s="136">
        <v>1.2</v>
      </c>
      <c r="G246" s="84">
        <f t="shared" si="29"/>
        <v>-1.44</v>
      </c>
      <c r="H246" s="136"/>
      <c r="I246" s="136"/>
      <c r="J246" s="136"/>
      <c r="K246" s="137"/>
    </row>
    <row r="247" spans="1:11">
      <c r="A247" s="134"/>
      <c r="B247" s="120" t="s">
        <v>217</v>
      </c>
      <c r="C247" s="135"/>
      <c r="D247" s="136"/>
      <c r="E247" s="136"/>
      <c r="F247" s="136"/>
      <c r="G247" s="84"/>
      <c r="H247" s="136"/>
      <c r="I247" s="136"/>
      <c r="J247" s="136"/>
      <c r="K247" s="137"/>
    </row>
    <row r="248" spans="1:11">
      <c r="A248" s="134"/>
      <c r="B248" s="142" t="s">
        <v>216</v>
      </c>
      <c r="C248" s="135">
        <v>1</v>
      </c>
      <c r="D248" s="136">
        <f>2*(15.5/3.281)+2*(13.083/3.281)</f>
        <v>17.423346540688812</v>
      </c>
      <c r="E248" s="136"/>
      <c r="F248" s="136">
        <f>8.75/3.281</f>
        <v>2.6668698567509903</v>
      </c>
      <c r="G248" s="84">
        <f t="shared" ref="G248" si="32">PRODUCT(C248:F248)</f>
        <v>46.465797693089634</v>
      </c>
      <c r="H248" s="136"/>
      <c r="I248" s="136"/>
      <c r="J248" s="136"/>
      <c r="K248" s="137"/>
    </row>
    <row r="249" spans="1:11">
      <c r="A249" s="134"/>
      <c r="B249" s="142" t="s">
        <v>210</v>
      </c>
      <c r="C249" s="135">
        <v>-4</v>
      </c>
      <c r="D249" s="136">
        <f>3.5/3.281</f>
        <v>1.0667479427003961</v>
      </c>
      <c r="E249" s="136"/>
      <c r="F249" s="136">
        <v>2.1</v>
      </c>
      <c r="G249" s="84">
        <f t="shared" ref="G249:G251" si="33">PRODUCT(C249:F249)</f>
        <v>-8.9606827186833282</v>
      </c>
      <c r="H249" s="136"/>
      <c r="I249" s="136"/>
      <c r="J249" s="136"/>
      <c r="K249" s="137"/>
    </row>
    <row r="250" spans="1:11">
      <c r="A250" s="134"/>
      <c r="B250" s="142"/>
      <c r="C250" s="135">
        <v>-1</v>
      </c>
      <c r="D250" s="136">
        <v>0.75</v>
      </c>
      <c r="E250" s="136"/>
      <c r="F250" s="136">
        <v>1.8</v>
      </c>
      <c r="G250" s="84">
        <f t="shared" si="33"/>
        <v>-1.35</v>
      </c>
      <c r="H250" s="136"/>
      <c r="I250" s="136"/>
      <c r="J250" s="136"/>
      <c r="K250" s="137"/>
    </row>
    <row r="251" spans="1:11">
      <c r="A251" s="134"/>
      <c r="B251" s="142" t="s">
        <v>211</v>
      </c>
      <c r="C251" s="135">
        <v>-1</v>
      </c>
      <c r="D251" s="136">
        <v>0.9</v>
      </c>
      <c r="E251" s="136"/>
      <c r="F251" s="136">
        <v>1.8</v>
      </c>
      <c r="G251" s="84">
        <f t="shared" si="33"/>
        <v>-1.62</v>
      </c>
      <c r="H251" s="136"/>
      <c r="I251" s="136"/>
      <c r="J251" s="136"/>
      <c r="K251" s="137"/>
    </row>
    <row r="252" spans="1:11">
      <c r="A252" s="134"/>
      <c r="B252" s="147" t="s">
        <v>219</v>
      </c>
      <c r="C252" s="135"/>
      <c r="D252" s="136"/>
      <c r="E252" s="136"/>
      <c r="F252" s="136"/>
      <c r="G252" s="84"/>
      <c r="H252" s="136"/>
      <c r="I252" s="136"/>
      <c r="J252" s="136"/>
      <c r="K252" s="137"/>
    </row>
    <row r="253" spans="1:11">
      <c r="A253" s="134"/>
      <c r="B253" s="142" t="s">
        <v>216</v>
      </c>
      <c r="C253" s="135">
        <v>1</v>
      </c>
      <c r="D253" s="136">
        <f>2*(10.5/3.281)+2*(13.5/3.281)</f>
        <v>14.629686071319718</v>
      </c>
      <c r="E253" s="136"/>
      <c r="F253" s="136">
        <f>8.75/3.281</f>
        <v>2.6668698567509903</v>
      </c>
      <c r="G253" s="84">
        <f t="shared" ref="G253:G257" si="34">PRODUCT(C253:F253)</f>
        <v>39.015468797332375</v>
      </c>
      <c r="H253" s="136"/>
      <c r="I253" s="136"/>
      <c r="J253" s="136"/>
      <c r="K253" s="137"/>
    </row>
    <row r="254" spans="1:11">
      <c r="A254" s="134"/>
      <c r="B254" s="142" t="s">
        <v>220</v>
      </c>
      <c r="C254" s="135">
        <v>1</v>
      </c>
      <c r="D254" s="136">
        <f>2*(10.917/3.281)+(13.17/3.281)</f>
        <v>10.668698567509905</v>
      </c>
      <c r="E254" s="136"/>
      <c r="F254" s="136">
        <f>8.667/3.281</f>
        <v>2.6415726912526667</v>
      </c>
      <c r="G254" s="84">
        <f t="shared" si="34"/>
        <v>28.182142787140609</v>
      </c>
      <c r="H254" s="136"/>
      <c r="I254" s="136"/>
      <c r="J254" s="136"/>
      <c r="K254" s="137"/>
    </row>
    <row r="255" spans="1:11">
      <c r="A255" s="134"/>
      <c r="B255" s="142"/>
      <c r="C255" s="135">
        <v>1</v>
      </c>
      <c r="D255" s="136">
        <f>(13.17/3.281)</f>
        <v>4.0140201158183482</v>
      </c>
      <c r="E255" s="136">
        <f>(10.917/3.281)</f>
        <v>3.3273392258457783</v>
      </c>
      <c r="F255" s="136"/>
      <c r="G255" s="84">
        <f t="shared" si="34"/>
        <v>13.356006584696404</v>
      </c>
      <c r="H255" s="136"/>
      <c r="I255" s="136"/>
      <c r="J255" s="136"/>
      <c r="K255" s="137"/>
    </row>
    <row r="256" spans="1:11">
      <c r="A256" s="134"/>
      <c r="B256" s="142" t="s">
        <v>221</v>
      </c>
      <c r="C256" s="135">
        <v>-1</v>
      </c>
      <c r="D256" s="136">
        <v>1.5</v>
      </c>
      <c r="E256" s="136"/>
      <c r="F256" s="136">
        <v>0.9</v>
      </c>
      <c r="G256" s="84">
        <f t="shared" si="34"/>
        <v>-1.35</v>
      </c>
      <c r="H256" s="136"/>
      <c r="I256" s="136"/>
      <c r="J256" s="136"/>
      <c r="K256" s="137"/>
    </row>
    <row r="257" spans="1:11">
      <c r="A257" s="134"/>
      <c r="B257" s="142" t="s">
        <v>210</v>
      </c>
      <c r="C257" s="135">
        <v>-1</v>
      </c>
      <c r="D257" s="136">
        <f>3.5/3.281</f>
        <v>1.0667479427003961</v>
      </c>
      <c r="E257" s="136"/>
      <c r="F257" s="136">
        <v>1.8</v>
      </c>
      <c r="G257" s="84">
        <f t="shared" si="34"/>
        <v>-1.920146296860713</v>
      </c>
      <c r="H257" s="136"/>
      <c r="I257" s="136"/>
      <c r="J257" s="136"/>
      <c r="K257" s="137"/>
    </row>
    <row r="258" spans="1:11">
      <c r="A258" s="134"/>
      <c r="B258" s="142" t="s">
        <v>211</v>
      </c>
      <c r="C258" s="135">
        <v>-1</v>
      </c>
      <c r="D258" s="136">
        <v>1.8</v>
      </c>
      <c r="E258" s="136"/>
      <c r="F258" s="136">
        <f>4.5/3.281</f>
        <v>1.3715330691862238</v>
      </c>
      <c r="G258" s="84">
        <f>PRODUCT(C258:F258)</f>
        <v>-2.4687595245352028</v>
      </c>
      <c r="H258" s="136"/>
      <c r="I258" s="136"/>
      <c r="J258" s="136"/>
      <c r="K258" s="137"/>
    </row>
    <row r="259" spans="1:11">
      <c r="A259" s="77"/>
      <c r="B259" s="92"/>
      <c r="C259" s="83"/>
      <c r="D259" s="80"/>
      <c r="E259" s="80"/>
      <c r="F259" s="80"/>
      <c r="G259" s="80">
        <f>SUM(G239:G258)</f>
        <v>221.74709261928581</v>
      </c>
      <c r="H259" s="80" t="s">
        <v>23</v>
      </c>
      <c r="I259" s="80">
        <v>125.5</v>
      </c>
      <c r="J259" s="80">
        <f>G259*I259</f>
        <v>27829.260123720371</v>
      </c>
      <c r="K259" s="81"/>
    </row>
    <row r="260" spans="1:11">
      <c r="A260" s="77"/>
      <c r="B260" s="92" t="s">
        <v>213</v>
      </c>
      <c r="C260" s="83"/>
      <c r="D260" s="80"/>
      <c r="E260" s="80"/>
      <c r="F260" s="80"/>
      <c r="G260" s="80"/>
      <c r="H260" s="80"/>
      <c r="I260" s="80"/>
      <c r="J260" s="80">
        <f>0.13*G259*3696/100</f>
        <v>1065.4504306171445</v>
      </c>
      <c r="K260" s="81"/>
    </row>
    <row r="261" spans="1:11">
      <c r="A261" s="134"/>
      <c r="B261" s="133"/>
      <c r="C261" s="135"/>
      <c r="D261" s="136"/>
      <c r="E261" s="136"/>
      <c r="F261" s="136"/>
      <c r="G261" s="136"/>
      <c r="H261" s="136"/>
      <c r="I261" s="136"/>
      <c r="J261" s="136"/>
      <c r="K261" s="137"/>
    </row>
    <row r="262" spans="1:11" ht="30.75">
      <c r="A262" s="134">
        <v>24</v>
      </c>
      <c r="B262" s="115" t="s">
        <v>222</v>
      </c>
      <c r="C262" s="135"/>
      <c r="D262" s="136"/>
      <c r="E262" s="136"/>
      <c r="F262" s="136"/>
      <c r="G262" s="136"/>
      <c r="H262" s="136"/>
      <c r="I262" s="136"/>
      <c r="J262" s="136"/>
      <c r="K262" s="137"/>
    </row>
    <row r="263" spans="1:11">
      <c r="A263" s="134"/>
      <c r="B263" s="120" t="s">
        <v>214</v>
      </c>
      <c r="C263" s="135"/>
      <c r="D263" s="136"/>
      <c r="E263" s="136"/>
      <c r="F263" s="136"/>
      <c r="G263" s="136"/>
      <c r="H263" s="136"/>
      <c r="I263" s="136"/>
      <c r="J263" s="136"/>
      <c r="K263" s="137"/>
    </row>
    <row r="264" spans="1:11">
      <c r="A264" s="134"/>
      <c r="B264" s="142" t="s">
        <v>223</v>
      </c>
      <c r="C264" s="135">
        <v>1</v>
      </c>
      <c r="D264" s="136">
        <f>2*(29.917/3.281)+2*(28.5/3.281)</f>
        <v>35.609265467845169</v>
      </c>
      <c r="E264" s="136"/>
      <c r="F264" s="136">
        <f>9.33/3.281</f>
        <v>2.8436452301127706</v>
      </c>
      <c r="G264" s="84">
        <f t="shared" ref="G264:G269" si="35">PRODUCT(C264:F264)</f>
        <v>101.26011789545731</v>
      </c>
      <c r="H264" s="136"/>
      <c r="I264" s="136"/>
      <c r="J264" s="136"/>
      <c r="K264" s="137"/>
    </row>
    <row r="265" spans="1:11">
      <c r="A265" s="134"/>
      <c r="B265" s="142" t="s">
        <v>210</v>
      </c>
      <c r="C265" s="135">
        <v>-1</v>
      </c>
      <c r="D265" s="136">
        <v>1.2</v>
      </c>
      <c r="E265" s="136"/>
      <c r="F265" s="136">
        <f>8/3.281</f>
        <v>2.4382810118866196</v>
      </c>
      <c r="G265" s="84">
        <f t="shared" si="35"/>
        <v>-2.9259372142639433</v>
      </c>
      <c r="H265" s="136"/>
      <c r="I265" s="136"/>
      <c r="J265" s="136"/>
      <c r="K265" s="137"/>
    </row>
    <row r="266" spans="1:11">
      <c r="A266" s="134"/>
      <c r="B266" s="142" t="s">
        <v>211</v>
      </c>
      <c r="C266" s="135">
        <v>-1</v>
      </c>
      <c r="D266" s="136">
        <v>0.9</v>
      </c>
      <c r="E266" s="136"/>
      <c r="F266" s="136">
        <v>1.8</v>
      </c>
      <c r="G266" s="84">
        <f t="shared" si="35"/>
        <v>-1.62</v>
      </c>
      <c r="H266" s="136"/>
      <c r="I266" s="136"/>
      <c r="J266" s="136"/>
      <c r="K266" s="137"/>
    </row>
    <row r="267" spans="1:11">
      <c r="A267" s="134"/>
      <c r="B267" s="142"/>
      <c r="C267" s="135">
        <v>-6</v>
      </c>
      <c r="D267" s="136">
        <v>1.8</v>
      </c>
      <c r="E267" s="136"/>
      <c r="F267" s="136">
        <v>1.2</v>
      </c>
      <c r="G267" s="84">
        <f t="shared" si="35"/>
        <v>-12.96</v>
      </c>
      <c r="H267" s="136"/>
      <c r="I267" s="136"/>
      <c r="J267" s="136"/>
      <c r="K267" s="137"/>
    </row>
    <row r="268" spans="1:11">
      <c r="A268" s="134"/>
      <c r="B268" s="142"/>
      <c r="C268" s="135">
        <v>-1</v>
      </c>
      <c r="D268" s="136">
        <v>1.2</v>
      </c>
      <c r="E268" s="136"/>
      <c r="F268" s="136">
        <v>1.2</v>
      </c>
      <c r="G268" s="84">
        <f t="shared" si="35"/>
        <v>-1.44</v>
      </c>
      <c r="H268" s="136"/>
      <c r="I268" s="136"/>
      <c r="J268" s="136"/>
      <c r="K268" s="137"/>
    </row>
    <row r="269" spans="1:11">
      <c r="A269" s="134"/>
      <c r="B269" s="142"/>
      <c r="C269" s="135">
        <v>-1</v>
      </c>
      <c r="D269" s="136">
        <v>0.9</v>
      </c>
      <c r="E269" s="136"/>
      <c r="F269" s="136">
        <v>1.2</v>
      </c>
      <c r="G269" s="139">
        <f t="shared" si="35"/>
        <v>-1.08</v>
      </c>
      <c r="H269" s="136"/>
      <c r="I269" s="136"/>
      <c r="J269" s="136"/>
      <c r="K269" s="137"/>
    </row>
    <row r="270" spans="1:11">
      <c r="A270" s="134"/>
      <c r="B270" s="120" t="s">
        <v>217</v>
      </c>
      <c r="C270" s="135"/>
      <c r="D270" s="136"/>
      <c r="E270" s="136"/>
      <c r="F270" s="136"/>
      <c r="G270" s="84"/>
      <c r="H270" s="136"/>
      <c r="I270" s="136"/>
      <c r="J270" s="136"/>
      <c r="K270" s="137"/>
    </row>
    <row r="271" spans="1:11">
      <c r="A271" s="134"/>
      <c r="B271" s="142" t="s">
        <v>223</v>
      </c>
      <c r="C271" s="135">
        <v>1</v>
      </c>
      <c r="D271" s="136">
        <f>2*(29.917/3.281)+2*(28.5/3.281)</f>
        <v>35.609265467845169</v>
      </c>
      <c r="E271" s="136"/>
      <c r="F271" s="136">
        <f>9.33/3.281</f>
        <v>2.8436452301127706</v>
      </c>
      <c r="G271" s="84">
        <f t="shared" ref="G271" si="36">PRODUCT(C271:F271)</f>
        <v>101.26011789545731</v>
      </c>
      <c r="H271" s="136"/>
      <c r="I271" s="136"/>
      <c r="J271" s="136"/>
      <c r="K271" s="137"/>
    </row>
    <row r="272" spans="1:11">
      <c r="A272" s="134"/>
      <c r="B272" s="142" t="s">
        <v>210</v>
      </c>
      <c r="C272" s="135">
        <v>-1</v>
      </c>
      <c r="D272" s="136">
        <f>3.5/3.281</f>
        <v>1.0667479427003961</v>
      </c>
      <c r="E272" s="136"/>
      <c r="F272" s="136">
        <v>2.1</v>
      </c>
      <c r="G272" s="84">
        <f t="shared" ref="G272:G276" si="37">PRODUCT(C272:F272)</f>
        <v>-2.2401706796708321</v>
      </c>
      <c r="H272" s="136"/>
      <c r="I272" s="136"/>
      <c r="J272" s="136"/>
      <c r="K272" s="137"/>
    </row>
    <row r="273" spans="1:11">
      <c r="A273" s="134"/>
      <c r="B273" s="142" t="s">
        <v>211</v>
      </c>
      <c r="C273" s="135">
        <v>-1</v>
      </c>
      <c r="D273" s="136">
        <v>0.9</v>
      </c>
      <c r="E273" s="136"/>
      <c r="F273" s="136">
        <v>1.8</v>
      </c>
      <c r="G273" s="84">
        <f t="shared" si="37"/>
        <v>-1.62</v>
      </c>
      <c r="H273" s="136"/>
      <c r="I273" s="136"/>
      <c r="J273" s="136"/>
      <c r="K273" s="137"/>
    </row>
    <row r="274" spans="1:11">
      <c r="A274" s="134"/>
      <c r="B274" s="142"/>
      <c r="C274" s="135">
        <v>-6</v>
      </c>
      <c r="D274" s="136">
        <v>1.8</v>
      </c>
      <c r="E274" s="136"/>
      <c r="F274" s="136">
        <v>1.2</v>
      </c>
      <c r="G274" s="84">
        <f t="shared" si="37"/>
        <v>-12.96</v>
      </c>
      <c r="H274" s="136"/>
      <c r="I274" s="136"/>
      <c r="J274" s="136"/>
      <c r="K274" s="137"/>
    </row>
    <row r="275" spans="1:11">
      <c r="A275" s="134"/>
      <c r="B275" s="142"/>
      <c r="C275" s="135">
        <v>-1</v>
      </c>
      <c r="D275" s="136">
        <v>1.2</v>
      </c>
      <c r="E275" s="136"/>
      <c r="F275" s="136">
        <v>1.2</v>
      </c>
      <c r="G275" s="84">
        <f t="shared" si="37"/>
        <v>-1.44</v>
      </c>
      <c r="H275" s="136"/>
      <c r="I275" s="136"/>
      <c r="J275" s="136"/>
      <c r="K275" s="137"/>
    </row>
    <row r="276" spans="1:11">
      <c r="A276" s="134"/>
      <c r="B276" s="142"/>
      <c r="C276" s="135">
        <v>-1</v>
      </c>
      <c r="D276" s="136">
        <v>0.9</v>
      </c>
      <c r="E276" s="136"/>
      <c r="F276" s="136">
        <v>1.2</v>
      </c>
      <c r="G276" s="139">
        <f t="shared" si="37"/>
        <v>-1.08</v>
      </c>
      <c r="H276" s="136"/>
      <c r="I276" s="136"/>
      <c r="J276" s="136"/>
      <c r="K276" s="137"/>
    </row>
    <row r="277" spans="1:11">
      <c r="A277" s="134"/>
      <c r="B277" s="147" t="s">
        <v>219</v>
      </c>
      <c r="C277" s="135"/>
      <c r="D277" s="136"/>
      <c r="E277" s="136"/>
      <c r="F277" s="136"/>
      <c r="G277" s="84"/>
      <c r="H277" s="136"/>
      <c r="I277" s="136"/>
      <c r="J277" s="136"/>
      <c r="K277" s="137"/>
    </row>
    <row r="278" spans="1:11">
      <c r="A278" s="134"/>
      <c r="B278" s="142" t="s">
        <v>224</v>
      </c>
      <c r="C278" s="135">
        <v>1</v>
      </c>
      <c r="D278" s="136">
        <f>(11.833/3.281)+(14.833/3.281)</f>
        <v>8.1274001828710745</v>
      </c>
      <c r="E278" s="136"/>
      <c r="F278" s="136">
        <f>9.33/3.281</f>
        <v>2.8436452301127706</v>
      </c>
      <c r="G278" s="84">
        <f t="shared" ref="G278" si="38">PRODUCT(C278:F278)</f>
        <v>23.11144276323899</v>
      </c>
      <c r="H278" s="136"/>
      <c r="I278" s="136"/>
      <c r="J278" s="136"/>
      <c r="K278" s="137"/>
    </row>
    <row r="279" spans="1:11">
      <c r="A279" s="77"/>
      <c r="B279" s="92"/>
      <c r="C279" s="83"/>
      <c r="D279" s="80"/>
      <c r="E279" s="80"/>
      <c r="F279" s="80"/>
      <c r="G279" s="80">
        <f>SUM(G264:G278)</f>
        <v>186.26557066021883</v>
      </c>
      <c r="H279" s="80" t="s">
        <v>23</v>
      </c>
      <c r="I279" s="80">
        <v>192.85</v>
      </c>
      <c r="J279" s="80">
        <f>G279*I279</f>
        <v>35921.315301823197</v>
      </c>
      <c r="K279" s="81"/>
    </row>
    <row r="280" spans="1:11">
      <c r="A280" s="77"/>
      <c r="B280" s="92" t="s">
        <v>213</v>
      </c>
      <c r="C280" s="83"/>
      <c r="D280" s="80"/>
      <c r="E280" s="80"/>
      <c r="F280" s="80"/>
      <c r="G280" s="80"/>
      <c r="H280" s="80"/>
      <c r="I280" s="80"/>
      <c r="J280" s="80">
        <f>0.13*G279*10432/100</f>
        <v>2526.0591630656236</v>
      </c>
      <c r="K280" s="81"/>
    </row>
    <row r="281" spans="1:11">
      <c r="A281" s="134"/>
      <c r="B281" s="133"/>
      <c r="C281" s="135"/>
      <c r="D281" s="136"/>
      <c r="E281" s="136"/>
      <c r="F281" s="136"/>
      <c r="G281" s="136"/>
      <c r="H281" s="136"/>
      <c r="I281" s="136"/>
      <c r="J281" s="136"/>
      <c r="K281" s="137"/>
    </row>
    <row r="282" spans="1:11" ht="31.5">
      <c r="A282" s="77">
        <v>25</v>
      </c>
      <c r="B282" s="120" t="s">
        <v>141</v>
      </c>
      <c r="C282" s="83"/>
      <c r="D282" s="80"/>
      <c r="E282" s="80"/>
      <c r="F282" s="80"/>
      <c r="G282" s="80"/>
      <c r="H282" s="80"/>
      <c r="I282" s="80"/>
      <c r="J282" s="80"/>
      <c r="K282" s="81"/>
    </row>
    <row r="283" spans="1:11">
      <c r="A283" s="77"/>
      <c r="B283" s="94" t="s">
        <v>142</v>
      </c>
      <c r="C283" s="83">
        <v>1</v>
      </c>
      <c r="D283" s="80">
        <f>0.9</f>
        <v>0.9</v>
      </c>
      <c r="E283" s="80"/>
      <c r="F283" s="80"/>
      <c r="G283" s="84">
        <f t="shared" ref="G283:G285" si="39">PRODUCT(C283:F283)</f>
        <v>0.9</v>
      </c>
      <c r="H283" s="80"/>
      <c r="I283" s="80"/>
      <c r="J283" s="80"/>
      <c r="K283" s="81"/>
    </row>
    <row r="284" spans="1:11">
      <c r="A284" s="77"/>
      <c r="B284" s="94" t="s">
        <v>143</v>
      </c>
      <c r="C284" s="83">
        <v>1</v>
      </c>
      <c r="D284" s="80">
        <f>1.5</f>
        <v>1.5</v>
      </c>
      <c r="E284" s="80"/>
      <c r="F284" s="80"/>
      <c r="G284" s="84">
        <f t="shared" si="39"/>
        <v>1.5</v>
      </c>
      <c r="H284" s="80"/>
      <c r="I284" s="80"/>
      <c r="J284" s="80"/>
      <c r="K284" s="81"/>
    </row>
    <row r="285" spans="1:11">
      <c r="A285" s="77"/>
      <c r="B285" s="94" t="s">
        <v>144</v>
      </c>
      <c r="C285" s="83">
        <v>2</v>
      </c>
      <c r="D285" s="80">
        <v>0.9</v>
      </c>
      <c r="E285" s="80"/>
      <c r="F285" s="80"/>
      <c r="G285" s="84">
        <f t="shared" si="39"/>
        <v>1.8</v>
      </c>
      <c r="H285" s="80"/>
      <c r="I285" s="80"/>
      <c r="J285" s="80"/>
      <c r="K285" s="81"/>
    </row>
    <row r="286" spans="1:11">
      <c r="A286" s="77"/>
      <c r="B286" s="92"/>
      <c r="C286" s="83"/>
      <c r="D286" s="80"/>
      <c r="E286" s="80"/>
      <c r="F286" s="80"/>
      <c r="G286" s="80">
        <f>SUM(G283:G285)</f>
        <v>4.2</v>
      </c>
      <c r="H286" s="80" t="s">
        <v>145</v>
      </c>
      <c r="I286" s="80">
        <v>248</v>
      </c>
      <c r="J286" s="80">
        <f>G286*I286</f>
        <v>1041.6000000000001</v>
      </c>
      <c r="K286" s="81"/>
    </row>
    <row r="287" spans="1:11">
      <c r="A287" s="77"/>
      <c r="B287" s="94" t="s">
        <v>146</v>
      </c>
      <c r="C287" s="83"/>
      <c r="D287" s="80"/>
      <c r="E287" s="80"/>
      <c r="F287" s="80"/>
      <c r="G287" s="80"/>
      <c r="H287" s="80"/>
      <c r="I287" s="80"/>
      <c r="J287" s="80">
        <f>0.13*J286</f>
        <v>135.40800000000002</v>
      </c>
      <c r="K287" s="81"/>
    </row>
    <row r="288" spans="1:11">
      <c r="A288" s="77"/>
      <c r="B288" s="92"/>
      <c r="C288" s="83"/>
      <c r="D288" s="80"/>
      <c r="E288" s="80"/>
      <c r="F288" s="80"/>
      <c r="G288" s="80"/>
      <c r="H288" s="80"/>
      <c r="I288" s="80"/>
      <c r="J288" s="80"/>
      <c r="K288" s="81"/>
    </row>
    <row r="289" spans="1:11" ht="31.5">
      <c r="A289" s="77">
        <v>26</v>
      </c>
      <c r="B289" s="120" t="s">
        <v>147</v>
      </c>
      <c r="C289" s="83"/>
      <c r="D289" s="80"/>
      <c r="E289" s="80"/>
      <c r="F289" s="80"/>
      <c r="G289" s="80"/>
      <c r="H289" s="80"/>
      <c r="I289" s="80"/>
      <c r="J289" s="80"/>
      <c r="K289" s="81"/>
    </row>
    <row r="290" spans="1:11">
      <c r="A290" s="77"/>
      <c r="B290" s="94" t="s">
        <v>148</v>
      </c>
      <c r="C290" s="83">
        <v>1</v>
      </c>
      <c r="D290" s="80">
        <v>9</v>
      </c>
      <c r="E290" s="80"/>
      <c r="F290" s="80"/>
      <c r="G290" s="84">
        <f t="shared" ref="G290" si="40">PRODUCT(C290:F290)</f>
        <v>9</v>
      </c>
      <c r="H290" s="80"/>
      <c r="I290" s="80"/>
      <c r="J290" s="80"/>
      <c r="K290" s="81"/>
    </row>
    <row r="291" spans="1:11">
      <c r="A291" s="77"/>
      <c r="B291" s="92"/>
      <c r="C291" s="83"/>
      <c r="D291" s="80"/>
      <c r="E291" s="80"/>
      <c r="F291" s="80"/>
      <c r="G291" s="80">
        <f>SUM(G290:G290)</f>
        <v>9</v>
      </c>
      <c r="H291" s="80" t="s">
        <v>145</v>
      </c>
      <c r="I291" s="80">
        <v>75</v>
      </c>
      <c r="J291" s="80">
        <f>G291*I291</f>
        <v>675</v>
      </c>
      <c r="K291" s="81"/>
    </row>
    <row r="292" spans="1:11">
      <c r="A292" s="77"/>
      <c r="B292" s="94" t="s">
        <v>146</v>
      </c>
      <c r="C292" s="83"/>
      <c r="D292" s="80"/>
      <c r="E292" s="80"/>
      <c r="F292" s="80"/>
      <c r="G292" s="80"/>
      <c r="H292" s="80"/>
      <c r="I292" s="80"/>
      <c r="J292" s="80">
        <f>0.13*J291</f>
        <v>87.75</v>
      </c>
      <c r="K292" s="81"/>
    </row>
    <row r="293" spans="1:11">
      <c r="A293" s="77"/>
      <c r="B293" s="92"/>
      <c r="C293" s="83"/>
      <c r="D293" s="80"/>
      <c r="E293" s="80"/>
      <c r="F293" s="80"/>
      <c r="G293" s="80"/>
      <c r="H293" s="80"/>
      <c r="I293" s="80"/>
      <c r="J293" s="80"/>
      <c r="K293" s="81"/>
    </row>
    <row r="294" spans="1:11" ht="47.25">
      <c r="A294" s="77">
        <v>27</v>
      </c>
      <c r="B294" s="120" t="s">
        <v>150</v>
      </c>
      <c r="C294" s="83"/>
      <c r="D294" s="80"/>
      <c r="E294" s="80"/>
      <c r="F294" s="80"/>
      <c r="G294" s="80"/>
      <c r="H294" s="80"/>
      <c r="I294" s="80"/>
      <c r="J294" s="80"/>
      <c r="K294" s="81"/>
    </row>
    <row r="295" spans="1:11">
      <c r="A295" s="77"/>
      <c r="B295" s="94" t="s">
        <v>148</v>
      </c>
      <c r="C295" s="83">
        <v>1</v>
      </c>
      <c r="D295" s="80"/>
      <c r="E295" s="80"/>
      <c r="F295" s="80"/>
      <c r="G295" s="84">
        <f t="shared" ref="G295" si="41">PRODUCT(C295:F295)</f>
        <v>1</v>
      </c>
      <c r="H295" s="80"/>
      <c r="I295" s="80"/>
      <c r="J295" s="80"/>
      <c r="K295" s="81"/>
    </row>
    <row r="296" spans="1:11">
      <c r="A296" s="77"/>
      <c r="B296" s="92"/>
      <c r="C296" s="83"/>
      <c r="D296" s="80"/>
      <c r="E296" s="80"/>
      <c r="F296" s="80"/>
      <c r="G296" s="80">
        <f>SUM(G295:G295)</f>
        <v>1</v>
      </c>
      <c r="H296" s="80" t="s">
        <v>149</v>
      </c>
      <c r="I296" s="80">
        <v>1070</v>
      </c>
      <c r="J296" s="80">
        <f>G296*I296</f>
        <v>1070</v>
      </c>
      <c r="K296" s="81"/>
    </row>
    <row r="297" spans="1:11">
      <c r="A297" s="77"/>
      <c r="B297" s="94" t="s">
        <v>146</v>
      </c>
      <c r="C297" s="83"/>
      <c r="D297" s="80"/>
      <c r="E297" s="80"/>
      <c r="F297" s="80"/>
      <c r="G297" s="80"/>
      <c r="H297" s="80"/>
      <c r="I297" s="80"/>
      <c r="J297" s="80">
        <f>0.13*J296</f>
        <v>139.1</v>
      </c>
      <c r="K297" s="81"/>
    </row>
    <row r="298" spans="1:11">
      <c r="A298" s="77"/>
      <c r="B298" s="92"/>
      <c r="C298" s="83"/>
      <c r="D298" s="80"/>
      <c r="E298" s="80"/>
      <c r="F298" s="80"/>
      <c r="G298" s="80"/>
      <c r="H298" s="80"/>
      <c r="I298" s="80"/>
      <c r="J298" s="80"/>
      <c r="K298" s="81"/>
    </row>
    <row r="299" spans="1:11">
      <c r="A299" s="77">
        <v>28</v>
      </c>
      <c r="B299" s="120" t="s">
        <v>151</v>
      </c>
      <c r="C299" s="83"/>
      <c r="D299" s="80"/>
      <c r="E299" s="80"/>
      <c r="F299" s="80"/>
      <c r="G299" s="80"/>
      <c r="H299" s="80"/>
      <c r="I299" s="80"/>
      <c r="J299" s="80"/>
      <c r="K299" s="81"/>
    </row>
    <row r="300" spans="1:11">
      <c r="A300" s="77"/>
      <c r="B300" s="94" t="s">
        <v>152</v>
      </c>
      <c r="C300" s="83">
        <v>2</v>
      </c>
      <c r="D300" s="80"/>
      <c r="E300" s="80"/>
      <c r="F300" s="80"/>
      <c r="G300" s="84">
        <f t="shared" ref="G300" si="42">PRODUCT(C300:F300)</f>
        <v>2</v>
      </c>
      <c r="H300" s="80"/>
      <c r="I300" s="80"/>
      <c r="J300" s="80"/>
      <c r="K300" s="81"/>
    </row>
    <row r="301" spans="1:11">
      <c r="A301" s="77"/>
      <c r="B301" s="92"/>
      <c r="C301" s="83"/>
      <c r="D301" s="80"/>
      <c r="E301" s="80"/>
      <c r="F301" s="80"/>
      <c r="G301" s="80">
        <f>SUM(G300:G300)</f>
        <v>2</v>
      </c>
      <c r="H301" s="80" t="s">
        <v>149</v>
      </c>
      <c r="I301" s="80">
        <v>750</v>
      </c>
      <c r="J301" s="80">
        <f>G301*I301</f>
        <v>1500</v>
      </c>
      <c r="K301" s="81"/>
    </row>
    <row r="302" spans="1:11">
      <c r="A302" s="77"/>
      <c r="B302" s="94" t="s">
        <v>146</v>
      </c>
      <c r="C302" s="83"/>
      <c r="D302" s="80"/>
      <c r="E302" s="80"/>
      <c r="F302" s="80"/>
      <c r="G302" s="80"/>
      <c r="H302" s="80"/>
      <c r="I302" s="80"/>
      <c r="J302" s="80">
        <f>0.13*J301</f>
        <v>195</v>
      </c>
      <c r="K302" s="81"/>
    </row>
    <row r="303" spans="1:11">
      <c r="A303" s="77"/>
      <c r="B303" s="92"/>
      <c r="C303" s="83"/>
      <c r="D303" s="80"/>
      <c r="E303" s="80"/>
      <c r="F303" s="80"/>
      <c r="G303" s="80"/>
      <c r="H303" s="80"/>
      <c r="I303" s="80"/>
      <c r="J303" s="80"/>
      <c r="K303" s="81"/>
    </row>
    <row r="304" spans="1:11" ht="47.25">
      <c r="A304" s="77">
        <v>29</v>
      </c>
      <c r="B304" s="120" t="s">
        <v>225</v>
      </c>
      <c r="C304" s="83"/>
      <c r="D304" s="80"/>
      <c r="E304" s="80"/>
      <c r="F304" s="80"/>
      <c r="G304" s="80"/>
      <c r="H304" s="80"/>
      <c r="I304" s="80"/>
      <c r="J304" s="80"/>
      <c r="K304" s="81"/>
    </row>
    <row r="305" spans="1:11">
      <c r="A305" s="77"/>
      <c r="B305" s="94" t="s">
        <v>226</v>
      </c>
      <c r="C305" s="83">
        <v>1</v>
      </c>
      <c r="D305" s="80"/>
      <c r="E305" s="80"/>
      <c r="F305" s="80"/>
      <c r="G305" s="84">
        <f t="shared" ref="G305" si="43">PRODUCT(C305:F305)</f>
        <v>1</v>
      </c>
      <c r="H305" s="80"/>
      <c r="I305" s="80"/>
      <c r="J305" s="80"/>
      <c r="K305" s="81"/>
    </row>
    <row r="306" spans="1:11">
      <c r="A306" s="77"/>
      <c r="B306" s="92"/>
      <c r="C306" s="83"/>
      <c r="D306" s="80"/>
      <c r="E306" s="80"/>
      <c r="F306" s="80"/>
      <c r="G306" s="80">
        <f>SUM(G305:G305)</f>
        <v>1</v>
      </c>
      <c r="H306" s="80" t="s">
        <v>149</v>
      </c>
      <c r="I306" s="80">
        <v>8656</v>
      </c>
      <c r="J306" s="80">
        <f>G306*I306</f>
        <v>8656</v>
      </c>
      <c r="K306" s="81"/>
    </row>
    <row r="307" spans="1:11">
      <c r="A307" s="77"/>
      <c r="B307" s="94" t="s">
        <v>146</v>
      </c>
      <c r="C307" s="83"/>
      <c r="D307" s="80"/>
      <c r="E307" s="80"/>
      <c r="F307" s="80"/>
      <c r="G307" s="80"/>
      <c r="H307" s="80"/>
      <c r="I307" s="80"/>
      <c r="J307" s="80">
        <f>0.13*J306</f>
        <v>1125.28</v>
      </c>
      <c r="K307" s="81"/>
    </row>
    <row r="308" spans="1:11">
      <c r="A308" s="77"/>
      <c r="B308" s="92"/>
      <c r="C308" s="83"/>
      <c r="D308" s="80"/>
      <c r="E308" s="80"/>
      <c r="F308" s="80"/>
      <c r="G308" s="80"/>
      <c r="H308" s="80"/>
      <c r="I308" s="80"/>
      <c r="J308" s="80"/>
      <c r="K308" s="81"/>
    </row>
    <row r="309" spans="1:11" ht="47.25" customHeight="1">
      <c r="A309" s="77">
        <v>30</v>
      </c>
      <c r="B309" s="93" t="s">
        <v>187</v>
      </c>
      <c r="C309" s="83">
        <v>1</v>
      </c>
      <c r="D309" s="80"/>
      <c r="E309" s="80"/>
      <c r="F309" s="80"/>
      <c r="G309" s="80">
        <v>1</v>
      </c>
      <c r="H309" s="80" t="s">
        <v>128</v>
      </c>
      <c r="I309" s="84">
        <v>25000</v>
      </c>
      <c r="J309" s="84">
        <f>G309*I309</f>
        <v>25000</v>
      </c>
      <c r="K309" s="81"/>
    </row>
    <row r="310" spans="1:11">
      <c r="A310" s="77"/>
      <c r="B310" s="99"/>
      <c r="C310" s="83"/>
      <c r="D310" s="80"/>
      <c r="E310" s="80"/>
      <c r="F310" s="84"/>
      <c r="G310" s="80"/>
      <c r="H310" s="80"/>
      <c r="I310" s="84"/>
      <c r="J310" s="84"/>
      <c r="K310" s="81"/>
    </row>
    <row r="311" spans="1:11" ht="33" customHeight="1">
      <c r="A311" s="77">
        <v>31</v>
      </c>
      <c r="B311" s="93" t="s">
        <v>75</v>
      </c>
      <c r="C311" s="83">
        <v>1</v>
      </c>
      <c r="D311" s="80"/>
      <c r="E311" s="80"/>
      <c r="F311" s="80"/>
      <c r="G311" s="80">
        <v>1</v>
      </c>
      <c r="H311" s="80" t="s">
        <v>33</v>
      </c>
      <c r="I311" s="84">
        <v>500</v>
      </c>
      <c r="J311" s="84">
        <f>G311*I311</f>
        <v>500</v>
      </c>
      <c r="K311" s="81"/>
    </row>
    <row r="312" spans="1:11">
      <c r="A312" s="100"/>
      <c r="B312" s="101"/>
      <c r="C312" s="80"/>
      <c r="D312" s="84"/>
      <c r="E312" s="84"/>
      <c r="F312" s="84"/>
      <c r="G312" s="84"/>
      <c r="H312" s="80"/>
      <c r="I312" s="84"/>
      <c r="J312" s="102">
        <f>SUM(J12:J311)</f>
        <v>1198923.9313105005</v>
      </c>
      <c r="K312" s="103"/>
    </row>
    <row r="313" spans="1:11">
      <c r="A313" s="104"/>
      <c r="B313" s="105"/>
      <c r="C313" s="65"/>
      <c r="D313" s="65"/>
      <c r="E313" s="65"/>
      <c r="F313" s="65"/>
      <c r="G313" s="65"/>
      <c r="H313" s="65"/>
      <c r="I313" s="65"/>
      <c r="J313" s="106"/>
      <c r="K313" s="107"/>
    </row>
    <row r="314" spans="1:11">
      <c r="A314" s="104"/>
      <c r="B314" s="75" t="s">
        <v>12</v>
      </c>
      <c r="C314" s="155" t="s">
        <v>66</v>
      </c>
      <c r="D314" s="155"/>
      <c r="E314" s="75" t="s">
        <v>67</v>
      </c>
      <c r="F314" s="108"/>
      <c r="G314" s="109"/>
      <c r="H314" s="108"/>
      <c r="I314" s="109"/>
      <c r="J314" s="108"/>
      <c r="K314" s="108"/>
    </row>
    <row r="315" spans="1:11">
      <c r="A315" s="104"/>
      <c r="B315" s="79" t="s">
        <v>13</v>
      </c>
      <c r="C315" s="156">
        <f>+J312</f>
        <v>1198923.9313105005</v>
      </c>
      <c r="D315" s="156"/>
      <c r="E315" s="110"/>
      <c r="F315" s="108"/>
      <c r="G315" s="111"/>
      <c r="H315" s="108"/>
      <c r="I315" s="109"/>
      <c r="J315" s="108"/>
      <c r="K315" s="108"/>
    </row>
    <row r="316" spans="1:11">
      <c r="A316" s="104"/>
      <c r="B316" s="79" t="s">
        <v>14</v>
      </c>
      <c r="C316" s="156">
        <v>1050000</v>
      </c>
      <c r="D316" s="156"/>
      <c r="E316" s="112">
        <v>100</v>
      </c>
      <c r="F316" s="108"/>
      <c r="G316" s="111"/>
      <c r="H316" s="108"/>
      <c r="I316" s="109"/>
      <c r="J316" s="108"/>
      <c r="K316" s="108"/>
    </row>
    <row r="317" spans="1:11">
      <c r="A317" s="104"/>
      <c r="B317" s="79" t="s">
        <v>19</v>
      </c>
      <c r="C317" s="156">
        <f>0.95*C316</f>
        <v>997500</v>
      </c>
      <c r="D317" s="156"/>
      <c r="E317" s="113">
        <f>C317/C315*100</f>
        <v>83.199607076795004</v>
      </c>
      <c r="F317" s="108"/>
      <c r="G317" s="111"/>
      <c r="H317" s="108"/>
      <c r="I317" s="109"/>
      <c r="J317" s="108"/>
      <c r="K317" s="108"/>
    </row>
    <row r="318" spans="1:11">
      <c r="A318" s="104"/>
      <c r="B318" s="79" t="s">
        <v>15</v>
      </c>
      <c r="C318" s="156">
        <f>C315-C317</f>
        <v>201423.93131050048</v>
      </c>
      <c r="D318" s="156"/>
      <c r="E318" s="113">
        <f>C318/C316*100</f>
        <v>19.183231553380999</v>
      </c>
      <c r="F318" s="108"/>
      <c r="G318" s="111"/>
      <c r="H318" s="108"/>
      <c r="I318" s="109"/>
      <c r="J318" s="108"/>
      <c r="K318" s="108"/>
    </row>
    <row r="319" spans="1:11">
      <c r="A319" s="104"/>
      <c r="B319" s="79" t="s">
        <v>20</v>
      </c>
      <c r="C319" s="156">
        <f>E319*C316/100</f>
        <v>21000</v>
      </c>
      <c r="D319" s="156"/>
      <c r="E319" s="113">
        <v>2</v>
      </c>
      <c r="F319" s="108"/>
      <c r="G319" s="111"/>
      <c r="H319" s="108"/>
      <c r="I319" s="109"/>
      <c r="J319" s="108"/>
      <c r="K319" s="108"/>
    </row>
    <row r="320" spans="1:11">
      <c r="A320" s="104"/>
      <c r="B320" s="79" t="s">
        <v>21</v>
      </c>
      <c r="C320" s="154">
        <f>E320*C316/100</f>
        <v>31500</v>
      </c>
      <c r="D320" s="154"/>
      <c r="E320" s="113">
        <v>3</v>
      </c>
      <c r="F320" s="108"/>
      <c r="G320" s="114"/>
      <c r="H320" s="108"/>
      <c r="I320" s="109"/>
      <c r="J320" s="108"/>
      <c r="K320" s="108"/>
    </row>
    <row r="321" spans="6:6">
      <c r="F321" s="37"/>
    </row>
  </sheetData>
  <mergeCells count="14">
    <mergeCell ref="C320:D320"/>
    <mergeCell ref="C314:D314"/>
    <mergeCell ref="C315:D315"/>
    <mergeCell ref="C316:D316"/>
    <mergeCell ref="C317:D317"/>
    <mergeCell ref="C318:D318"/>
    <mergeCell ref="C319:D319"/>
    <mergeCell ref="A6:F6"/>
    <mergeCell ref="H6:K6"/>
    <mergeCell ref="A1:K1"/>
    <mergeCell ref="A2:K2"/>
    <mergeCell ref="A3:K3"/>
    <mergeCell ref="A4:K4"/>
    <mergeCell ref="J5:K5"/>
  </mergeCells>
  <phoneticPr fontId="84" type="noConversion"/>
  <printOptions horizontalCentered="1"/>
  <pageMargins left="0.511811023622047" right="0.511811023622047" top="0.39370078740157499" bottom="0.70866141732283505" header="0.31496062992126" footer="0.31496062992126"/>
  <pageSetup paperSize="9" scale="75" fitToHeight="2" orientation="portrait" r:id="rId1"/>
  <headerFooter>
    <oddHeader>&amp;RPage &amp;P of &amp;N</oddHeader>
    <oddFooter>&amp;LPrepared By:&amp;CChecked By:&amp;RApproved By: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1B00-3C11-4007-B4C5-4159037E8E50}">
  <dimension ref="B1:L26"/>
  <sheetViews>
    <sheetView workbookViewId="0">
      <selection activeCell="D10" sqref="D10"/>
    </sheetView>
  </sheetViews>
  <sheetFormatPr defaultRowHeight="15"/>
  <sheetData>
    <row r="1" spans="2:9">
      <c r="B1" t="s">
        <v>2</v>
      </c>
      <c r="C1" t="s">
        <v>153</v>
      </c>
      <c r="D1" t="s">
        <v>154</v>
      </c>
      <c r="E1" t="s">
        <v>155</v>
      </c>
      <c r="F1" t="s">
        <v>6</v>
      </c>
      <c r="G1" t="s">
        <v>156</v>
      </c>
      <c r="H1" t="s">
        <v>157</v>
      </c>
    </row>
    <row r="2" spans="2:9">
      <c r="B2">
        <v>1</v>
      </c>
      <c r="C2">
        <v>3.4</v>
      </c>
      <c r="D2">
        <v>0.23</v>
      </c>
      <c r="E2">
        <v>1.3</v>
      </c>
      <c r="F2" s="121">
        <f>PRODUCT(B2:E2)</f>
        <v>1.0166000000000002</v>
      </c>
      <c r="G2" t="s">
        <v>158</v>
      </c>
      <c r="H2" s="121">
        <f>B2*C2*E2</f>
        <v>4.42</v>
      </c>
      <c r="I2" t="s">
        <v>159</v>
      </c>
    </row>
    <row r="3" spans="2:9">
      <c r="B3">
        <v>1</v>
      </c>
      <c r="C3">
        <v>4</v>
      </c>
      <c r="D3">
        <v>0.35</v>
      </c>
      <c r="E3">
        <v>1.3</v>
      </c>
      <c r="F3" s="121">
        <f t="shared" ref="F3:F21" si="0">PRODUCT(B3:E3)</f>
        <v>1.8199999999999998</v>
      </c>
      <c r="G3" t="s">
        <v>158</v>
      </c>
      <c r="H3" s="121">
        <f t="shared" ref="H3:H21" si="1">B3*C3*E3</f>
        <v>5.2</v>
      </c>
      <c r="I3" t="s">
        <v>159</v>
      </c>
    </row>
    <row r="4" spans="2:9">
      <c r="B4">
        <v>1</v>
      </c>
      <c r="C4">
        <v>3.9</v>
      </c>
      <c r="D4">
        <v>0.23</v>
      </c>
      <c r="E4">
        <v>1.2</v>
      </c>
      <c r="F4" s="121">
        <f t="shared" si="0"/>
        <v>1.0764</v>
      </c>
      <c r="G4" t="s">
        <v>158</v>
      </c>
      <c r="H4" s="121">
        <f t="shared" si="1"/>
        <v>4.68</v>
      </c>
      <c r="I4" t="s">
        <v>159</v>
      </c>
    </row>
    <row r="5" spans="2:9">
      <c r="B5">
        <v>1</v>
      </c>
      <c r="C5">
        <v>3.97</v>
      </c>
      <c r="D5">
        <v>0.23</v>
      </c>
      <c r="E5">
        <v>1.35</v>
      </c>
      <c r="F5" s="121">
        <f t="shared" si="0"/>
        <v>1.2326850000000003</v>
      </c>
      <c r="G5" t="s">
        <v>158</v>
      </c>
      <c r="H5" s="121">
        <f t="shared" si="1"/>
        <v>5.3595000000000006</v>
      </c>
      <c r="I5" t="s">
        <v>159</v>
      </c>
    </row>
    <row r="6" spans="2:9">
      <c r="B6">
        <v>1</v>
      </c>
      <c r="C6">
        <v>3.89</v>
      </c>
      <c r="D6">
        <v>0.23</v>
      </c>
      <c r="E6">
        <v>1.2</v>
      </c>
      <c r="F6" s="121">
        <f t="shared" si="0"/>
        <v>1.0736399999999999</v>
      </c>
      <c r="G6" t="s">
        <v>158</v>
      </c>
      <c r="H6" s="121">
        <f t="shared" si="1"/>
        <v>4.6680000000000001</v>
      </c>
      <c r="I6" t="s">
        <v>159</v>
      </c>
    </row>
    <row r="7" spans="2:9">
      <c r="B7">
        <v>1</v>
      </c>
      <c r="C7">
        <v>3.7</v>
      </c>
      <c r="D7">
        <v>0.23</v>
      </c>
      <c r="E7">
        <v>1.2</v>
      </c>
      <c r="F7" s="121">
        <f t="shared" si="0"/>
        <v>1.0212000000000001</v>
      </c>
      <c r="G7" t="s">
        <v>158</v>
      </c>
      <c r="H7" s="121">
        <f t="shared" si="1"/>
        <v>4.4400000000000004</v>
      </c>
      <c r="I7" t="s">
        <v>159</v>
      </c>
    </row>
    <row r="8" spans="2:9">
      <c r="B8">
        <v>1</v>
      </c>
      <c r="C8">
        <v>3.95</v>
      </c>
      <c r="D8">
        <v>0.23</v>
      </c>
      <c r="E8">
        <v>1.04</v>
      </c>
      <c r="F8" s="121">
        <f t="shared" si="0"/>
        <v>0.94484000000000012</v>
      </c>
      <c r="G8" t="s">
        <v>158</v>
      </c>
      <c r="H8" s="121">
        <f t="shared" si="1"/>
        <v>4.1080000000000005</v>
      </c>
      <c r="I8" t="s">
        <v>159</v>
      </c>
    </row>
    <row r="9" spans="2:9">
      <c r="B9">
        <v>6</v>
      </c>
      <c r="C9">
        <v>0.45</v>
      </c>
      <c r="D9">
        <v>0.45</v>
      </c>
      <c r="E9">
        <v>2.25</v>
      </c>
      <c r="F9" s="121">
        <f t="shared" si="0"/>
        <v>2.7337500000000001</v>
      </c>
      <c r="G9" t="s">
        <v>158</v>
      </c>
      <c r="H9" s="121">
        <f t="shared" si="1"/>
        <v>6.0750000000000002</v>
      </c>
      <c r="I9" t="s">
        <v>159</v>
      </c>
    </row>
    <row r="10" spans="2:9">
      <c r="B10">
        <v>1</v>
      </c>
      <c r="C10">
        <v>29.51</v>
      </c>
      <c r="D10">
        <v>0.35</v>
      </c>
      <c r="E10">
        <v>0.45</v>
      </c>
      <c r="F10" s="121">
        <f t="shared" si="0"/>
        <v>4.6478250000000001</v>
      </c>
      <c r="G10" t="s">
        <v>158</v>
      </c>
      <c r="H10" s="121">
        <f t="shared" si="1"/>
        <v>13.279500000000001</v>
      </c>
      <c r="I10" t="s">
        <v>159</v>
      </c>
    </row>
    <row r="11" spans="2:9">
      <c r="F11" s="121"/>
      <c r="H11" s="121"/>
    </row>
    <row r="12" spans="2:9">
      <c r="B12">
        <v>1</v>
      </c>
      <c r="C12">
        <v>2.4500000000000002</v>
      </c>
      <c r="D12">
        <v>0.23</v>
      </c>
      <c r="E12">
        <v>1.1000000000000001</v>
      </c>
      <c r="F12" s="121">
        <f t="shared" si="0"/>
        <v>0.61985000000000012</v>
      </c>
      <c r="G12" t="s">
        <v>158</v>
      </c>
      <c r="H12" s="121">
        <f t="shared" si="1"/>
        <v>2.6950000000000003</v>
      </c>
      <c r="I12" t="s">
        <v>159</v>
      </c>
    </row>
    <row r="13" spans="2:9">
      <c r="B13">
        <v>1</v>
      </c>
      <c r="C13">
        <v>3.92</v>
      </c>
      <c r="D13">
        <v>0.23</v>
      </c>
      <c r="E13">
        <v>1.1299999999999999</v>
      </c>
      <c r="F13" s="121">
        <f t="shared" si="0"/>
        <v>1.0188079999999999</v>
      </c>
      <c r="G13" t="s">
        <v>158</v>
      </c>
      <c r="H13" s="121">
        <f t="shared" si="1"/>
        <v>4.4295999999999998</v>
      </c>
      <c r="I13" t="s">
        <v>159</v>
      </c>
    </row>
    <row r="14" spans="2:9">
      <c r="B14">
        <v>1</v>
      </c>
      <c r="C14">
        <v>3.95</v>
      </c>
      <c r="D14">
        <v>0.23</v>
      </c>
      <c r="E14">
        <v>1.25</v>
      </c>
      <c r="F14" s="121">
        <f t="shared" si="0"/>
        <v>1.1356250000000001</v>
      </c>
      <c r="G14" t="s">
        <v>158</v>
      </c>
      <c r="H14" s="121">
        <f t="shared" si="1"/>
        <v>4.9375</v>
      </c>
      <c r="I14" t="s">
        <v>159</v>
      </c>
    </row>
    <row r="15" spans="2:9">
      <c r="B15">
        <v>1</v>
      </c>
      <c r="C15">
        <v>4</v>
      </c>
      <c r="D15">
        <v>0.23</v>
      </c>
      <c r="E15">
        <v>1.25</v>
      </c>
      <c r="F15" s="121">
        <f t="shared" si="0"/>
        <v>1.1500000000000001</v>
      </c>
      <c r="G15" t="s">
        <v>158</v>
      </c>
      <c r="H15" s="121">
        <f t="shared" si="1"/>
        <v>5</v>
      </c>
      <c r="I15" t="s">
        <v>159</v>
      </c>
    </row>
    <row r="16" spans="2:9">
      <c r="B16">
        <v>1</v>
      </c>
      <c r="C16">
        <v>4</v>
      </c>
      <c r="D16">
        <v>0.23</v>
      </c>
      <c r="E16">
        <v>1.1000000000000001</v>
      </c>
      <c r="F16" s="121">
        <f t="shared" si="0"/>
        <v>1.0120000000000002</v>
      </c>
      <c r="G16" t="s">
        <v>158</v>
      </c>
      <c r="H16" s="121">
        <f t="shared" si="1"/>
        <v>4.4000000000000004</v>
      </c>
      <c r="I16" t="s">
        <v>159</v>
      </c>
    </row>
    <row r="17" spans="2:12">
      <c r="B17">
        <v>1</v>
      </c>
      <c r="C17">
        <v>3.97</v>
      </c>
      <c r="D17">
        <v>0.23</v>
      </c>
      <c r="E17">
        <v>1.1000000000000001</v>
      </c>
      <c r="F17" s="121">
        <f t="shared" si="0"/>
        <v>1.0044100000000002</v>
      </c>
      <c r="G17" t="s">
        <v>158</v>
      </c>
      <c r="H17" s="121">
        <f t="shared" si="1"/>
        <v>4.3670000000000009</v>
      </c>
      <c r="I17" t="s">
        <v>159</v>
      </c>
    </row>
    <row r="18" spans="2:12">
      <c r="B18">
        <v>1</v>
      </c>
      <c r="C18">
        <v>3.95</v>
      </c>
      <c r="D18">
        <v>0.23</v>
      </c>
      <c r="E18">
        <v>1.1499999999999999</v>
      </c>
      <c r="F18" s="121">
        <f t="shared" si="0"/>
        <v>1.044775</v>
      </c>
      <c r="G18" t="s">
        <v>158</v>
      </c>
      <c r="H18" s="121">
        <f t="shared" si="1"/>
        <v>4.5424999999999995</v>
      </c>
      <c r="I18" t="s">
        <v>159</v>
      </c>
    </row>
    <row r="19" spans="2:12">
      <c r="B19">
        <v>1</v>
      </c>
      <c r="C19">
        <v>3.65</v>
      </c>
      <c r="D19">
        <v>0.23</v>
      </c>
      <c r="E19">
        <v>1.17</v>
      </c>
      <c r="F19" s="121">
        <f t="shared" si="0"/>
        <v>0.98221499999999995</v>
      </c>
      <c r="G19" t="s">
        <v>158</v>
      </c>
      <c r="H19" s="121">
        <f t="shared" si="1"/>
        <v>4.2704999999999993</v>
      </c>
      <c r="I19" t="s">
        <v>159</v>
      </c>
    </row>
    <row r="20" spans="2:12">
      <c r="B20">
        <v>8</v>
      </c>
      <c r="C20">
        <v>0.45</v>
      </c>
      <c r="D20">
        <v>0.45</v>
      </c>
      <c r="E20">
        <v>2.2000000000000002</v>
      </c>
      <c r="F20" s="121">
        <f t="shared" si="0"/>
        <v>3.5640000000000005</v>
      </c>
      <c r="G20" t="s">
        <v>158</v>
      </c>
      <c r="H20" s="121">
        <f t="shared" si="1"/>
        <v>7.9200000000000008</v>
      </c>
      <c r="I20" t="s">
        <v>159</v>
      </c>
    </row>
    <row r="21" spans="2:12">
      <c r="B21">
        <v>1</v>
      </c>
      <c r="C21">
        <v>33.49</v>
      </c>
      <c r="D21">
        <v>0.35</v>
      </c>
      <c r="E21">
        <v>0.45</v>
      </c>
      <c r="F21" s="121">
        <f t="shared" si="0"/>
        <v>5.2746750000000002</v>
      </c>
      <c r="G21" t="s">
        <v>158</v>
      </c>
      <c r="H21" s="121">
        <f t="shared" si="1"/>
        <v>15.070500000000001</v>
      </c>
      <c r="I21" t="s">
        <v>159</v>
      </c>
    </row>
    <row r="22" spans="2:12">
      <c r="F22" s="121">
        <f>SUM(F2:F21)</f>
        <v>32.373298000000005</v>
      </c>
      <c r="G22" t="s">
        <v>158</v>
      </c>
      <c r="H22" s="121">
        <f>SUM(H2:H21)</f>
        <v>109.86260000000001</v>
      </c>
      <c r="I22" t="s">
        <v>159</v>
      </c>
      <c r="J22">
        <f>CONVERT(H22,"m^2","ft^2")</f>
        <v>1182.5511845468138</v>
      </c>
      <c r="K22">
        <v>1234.6600000000001</v>
      </c>
      <c r="L22">
        <f>K22-J22</f>
        <v>52.108815453186253</v>
      </c>
    </row>
    <row r="24" spans="2:12">
      <c r="G24" t="s">
        <v>160</v>
      </c>
      <c r="H24">
        <v>187.39</v>
      </c>
      <c r="J24">
        <f>CONVERT(H24,"m^2","ft^2")</f>
        <v>2017.0491729872347</v>
      </c>
      <c r="K24">
        <v>2129</v>
      </c>
      <c r="L24">
        <f>K24-J24</f>
        <v>111.95082701276533</v>
      </c>
    </row>
    <row r="26" spans="2:12">
      <c r="H26">
        <v>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WCR</vt:lpstr>
      <vt:lpstr>Sheet1</vt:lpstr>
      <vt:lpstr>include dhara marmat</vt:lpstr>
      <vt:lpstr>Size of water tank</vt:lpstr>
      <vt:lpstr>water tank estimate</vt:lpstr>
      <vt:lpstr>measurement</vt:lpstr>
      <vt:lpstr>'include dhara marmat'!Print_Area</vt:lpstr>
      <vt:lpstr>'water tank estimate'!Print_Area</vt:lpstr>
      <vt:lpstr>'include dhara marmat'!Print_Titles</vt:lpstr>
      <vt:lpstr>'water tank estimate'!Print_Titles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2026-09-01T08:23:29Z</cp:lastPrinted>
  <dcterms:created xsi:type="dcterms:W3CDTF">2015-02-11T06:39:48Z</dcterms:created>
  <dcterms:modified xsi:type="dcterms:W3CDTF">2026-09-14T08:02:50Z</dcterms:modified>
</cp:coreProperties>
</file>