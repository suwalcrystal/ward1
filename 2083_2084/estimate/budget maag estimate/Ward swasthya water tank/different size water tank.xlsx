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estimate\budget maag estimate\Ward swasthya water tank\"/>
    </mc:Choice>
  </mc:AlternateContent>
  <xr:revisionPtr revIDLastSave="0" documentId="13_ncr:1_{9C6E881A-3B32-47F8-B3CB-F223C7A08773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WCR" sheetId="27" state="hidden" r:id="rId1"/>
    <sheet name="Sheet1" sheetId="30" r:id="rId2"/>
    <sheet name="include dhara marmat" sheetId="31" state="hidden" r:id="rId3"/>
    <sheet name="Size of water tank" sheetId="33" r:id="rId4"/>
    <sheet name="With formula" sheetId="34" r:id="rId5"/>
    <sheet name="measurement" sheetId="32" state="hidden" r:id="rId6"/>
  </sheets>
  <definedNames>
    <definedName name="_xlnm.Print_Area" localSheetId="2">'include dhara marmat'!$A$1:$K$173</definedName>
    <definedName name="_xlnm.Print_Area" localSheetId="4">'With formula'!$A$1:$K$182</definedName>
    <definedName name="_xlnm.Print_Titles" localSheetId="2">'include dhara marmat'!$1:$8</definedName>
    <definedName name="_xlnm.Print_Titles" localSheetId="0">WCR!$1:$11</definedName>
    <definedName name="_xlnm.Print_Titles" localSheetId="4">'With formula'!$1:$8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0" i="34" l="1"/>
  <c r="B70" i="34"/>
  <c r="D59" i="34"/>
  <c r="B59" i="34"/>
  <c r="D50" i="34"/>
  <c r="C49" i="34" s="1"/>
  <c r="F50" i="34"/>
  <c r="C50" i="34"/>
  <c r="F49" i="34"/>
  <c r="E87" i="34"/>
  <c r="E97" i="34" s="1"/>
  <c r="D87" i="34"/>
  <c r="D97" i="34" s="1"/>
  <c r="F81" i="34"/>
  <c r="F96" i="34" s="1"/>
  <c r="F80" i="34"/>
  <c r="F95" i="34" s="1"/>
  <c r="F79" i="34"/>
  <c r="D80" i="34"/>
  <c r="D79" i="34"/>
  <c r="D48" i="34"/>
  <c r="D68" i="34"/>
  <c r="D67" i="34"/>
  <c r="D81" i="34" s="1"/>
  <c r="F68" i="34"/>
  <c r="E68" i="34"/>
  <c r="F67" i="34"/>
  <c r="E67" i="34"/>
  <c r="C68" i="34"/>
  <c r="C67" i="34"/>
  <c r="F66" i="34"/>
  <c r="E66" i="34"/>
  <c r="D66" i="34"/>
  <c r="F65" i="34"/>
  <c r="E65" i="34"/>
  <c r="D65" i="34"/>
  <c r="F64" i="34"/>
  <c r="E64" i="34"/>
  <c r="D64" i="34"/>
  <c r="F55" i="34"/>
  <c r="E57" i="34"/>
  <c r="D57" i="34"/>
  <c r="E58" i="34"/>
  <c r="D58" i="34"/>
  <c r="F56" i="34"/>
  <c r="D56" i="34"/>
  <c r="D55" i="34"/>
  <c r="C48" i="34"/>
  <c r="F48" i="34"/>
  <c r="J4" i="33"/>
  <c r="M4" i="33"/>
  <c r="C47" i="34"/>
  <c r="C46" i="34"/>
  <c r="D47" i="34"/>
  <c r="F47" i="34"/>
  <c r="D46" i="34"/>
  <c r="N3" i="33"/>
  <c r="M3" i="33"/>
  <c r="C45" i="34"/>
  <c r="C44" i="34"/>
  <c r="D45" i="34"/>
  <c r="D44" i="34"/>
  <c r="L3" i="33"/>
  <c r="K3" i="33"/>
  <c r="D37" i="34"/>
  <c r="C38" i="34"/>
  <c r="G3" i="33"/>
  <c r="J36" i="34"/>
  <c r="F29" i="34"/>
  <c r="C29" i="34"/>
  <c r="C25" i="34"/>
  <c r="C182" i="34"/>
  <c r="C181" i="34"/>
  <c r="C179" i="34"/>
  <c r="J173" i="34"/>
  <c r="J171" i="34"/>
  <c r="G167" i="34"/>
  <c r="G168" i="34" s="1"/>
  <c r="J168" i="34" s="1"/>
  <c r="J169" i="34" s="1"/>
  <c r="G162" i="34"/>
  <c r="G163" i="34" s="1"/>
  <c r="J163" i="34" s="1"/>
  <c r="J164" i="34" s="1"/>
  <c r="G157" i="34"/>
  <c r="G158" i="34" s="1"/>
  <c r="J158" i="34" s="1"/>
  <c r="J159" i="34" s="1"/>
  <c r="G152" i="34"/>
  <c r="D151" i="34"/>
  <c r="G151" i="34" s="1"/>
  <c r="D150" i="34"/>
  <c r="G150" i="34" s="1"/>
  <c r="C144" i="34"/>
  <c r="G144" i="34" s="1"/>
  <c r="D143" i="34"/>
  <c r="G143" i="34" s="1"/>
  <c r="G142" i="34"/>
  <c r="D141" i="34"/>
  <c r="G141" i="34" s="1"/>
  <c r="D140" i="34"/>
  <c r="G140" i="34" s="1"/>
  <c r="D139" i="34"/>
  <c r="G139" i="34" s="1"/>
  <c r="G138" i="34"/>
  <c r="D137" i="34"/>
  <c r="G137" i="34" s="1"/>
  <c r="G136" i="34"/>
  <c r="D135" i="34"/>
  <c r="G135" i="34" s="1"/>
  <c r="G134" i="34"/>
  <c r="D133" i="34"/>
  <c r="G133" i="34" s="1"/>
  <c r="G132" i="34"/>
  <c r="D131" i="34"/>
  <c r="G131" i="34" s="1"/>
  <c r="G130" i="34"/>
  <c r="D129" i="34"/>
  <c r="G129" i="34" s="1"/>
  <c r="G128" i="34"/>
  <c r="D127" i="34"/>
  <c r="G127" i="34" s="1"/>
  <c r="D126" i="34"/>
  <c r="G126" i="34" s="1"/>
  <c r="D125" i="34"/>
  <c r="G125" i="34" s="1"/>
  <c r="D124" i="34"/>
  <c r="G124" i="34" s="1"/>
  <c r="G123" i="34"/>
  <c r="D122" i="34"/>
  <c r="G122" i="34" s="1"/>
  <c r="G121" i="34"/>
  <c r="D120" i="34"/>
  <c r="G120" i="34" s="1"/>
  <c r="G119" i="34"/>
  <c r="D118" i="34"/>
  <c r="G118" i="34" s="1"/>
  <c r="G117" i="34"/>
  <c r="D116" i="34"/>
  <c r="G116" i="34" s="1"/>
  <c r="G115" i="34"/>
  <c r="D114" i="34"/>
  <c r="G114" i="34" s="1"/>
  <c r="G113" i="34"/>
  <c r="G102" i="34"/>
  <c r="J102" i="34" s="1"/>
  <c r="J103" i="34" s="1"/>
  <c r="C95" i="34"/>
  <c r="C94" i="34"/>
  <c r="B94" i="34"/>
  <c r="F69" i="34"/>
  <c r="G69" i="34" s="1"/>
  <c r="I51" i="34"/>
  <c r="F46" i="34"/>
  <c r="F45" i="34"/>
  <c r="F44" i="34"/>
  <c r="F43" i="34"/>
  <c r="F42" i="34"/>
  <c r="F41" i="34"/>
  <c r="F40" i="34"/>
  <c r="F39" i="34"/>
  <c r="F38" i="34"/>
  <c r="F37" i="34"/>
  <c r="F36" i="34"/>
  <c r="B29" i="34"/>
  <c r="I26" i="34"/>
  <c r="D17" i="34"/>
  <c r="G17" i="34" s="1"/>
  <c r="D15" i="34"/>
  <c r="G15" i="34" s="1"/>
  <c r="B15" i="34"/>
  <c r="E11" i="34"/>
  <c r="G11" i="34" s="1"/>
  <c r="G12" i="34" s="1"/>
  <c r="J12" i="34" s="1"/>
  <c r="C3" i="33"/>
  <c r="C41" i="34" s="1"/>
  <c r="F3" i="33"/>
  <c r="B3" i="33"/>
  <c r="E21" i="34" s="1"/>
  <c r="A3" i="33"/>
  <c r="D21" i="34" s="1"/>
  <c r="J24" i="32"/>
  <c r="L24" i="32" s="1"/>
  <c r="H22" i="32"/>
  <c r="J22" i="32" s="1"/>
  <c r="L22" i="32" s="1"/>
  <c r="F22" i="32"/>
  <c r="H21" i="32"/>
  <c r="F21" i="32"/>
  <c r="H20" i="32"/>
  <c r="F20" i="32"/>
  <c r="H19" i="32"/>
  <c r="F19" i="32"/>
  <c r="H18" i="32"/>
  <c r="F18" i="32"/>
  <c r="H17" i="32"/>
  <c r="F17" i="32"/>
  <c r="H16" i="32"/>
  <c r="F16" i="32"/>
  <c r="H15" i="32"/>
  <c r="F15" i="32"/>
  <c r="H14" i="32"/>
  <c r="F14" i="32"/>
  <c r="H13" i="32"/>
  <c r="F13" i="32"/>
  <c r="H12" i="32"/>
  <c r="F12" i="32"/>
  <c r="H10" i="32"/>
  <c r="F10" i="32"/>
  <c r="H9" i="32"/>
  <c r="F9" i="32"/>
  <c r="H8" i="32"/>
  <c r="F8" i="32"/>
  <c r="H7" i="32"/>
  <c r="F7" i="32"/>
  <c r="H6" i="32"/>
  <c r="F6" i="32"/>
  <c r="H5" i="32"/>
  <c r="F5" i="32"/>
  <c r="H4" i="32"/>
  <c r="F4" i="32"/>
  <c r="H3" i="32"/>
  <c r="F3" i="32"/>
  <c r="H2" i="32"/>
  <c r="F2" i="32"/>
  <c r="G158" i="31"/>
  <c r="G159" i="31" s="1"/>
  <c r="J159" i="31" s="1"/>
  <c r="J160" i="31" s="1"/>
  <c r="G153" i="31"/>
  <c r="G154" i="31" s="1"/>
  <c r="J154" i="31" s="1"/>
  <c r="J155" i="31" s="1"/>
  <c r="G148" i="31"/>
  <c r="G149" i="31" s="1"/>
  <c r="G143" i="31"/>
  <c r="D142" i="31"/>
  <c r="G142" i="31" s="1"/>
  <c r="D141" i="31"/>
  <c r="G141" i="31" s="1"/>
  <c r="C173" i="31"/>
  <c r="C172" i="31"/>
  <c r="C170" i="31"/>
  <c r="J164" i="31"/>
  <c r="J162" i="31"/>
  <c r="C135" i="31"/>
  <c r="G135" i="31" s="1"/>
  <c r="D134" i="31"/>
  <c r="G134" i="31" s="1"/>
  <c r="G133" i="31"/>
  <c r="D132" i="31"/>
  <c r="G132" i="31" s="1"/>
  <c r="D131" i="31"/>
  <c r="G131" i="31" s="1"/>
  <c r="D130" i="31"/>
  <c r="G130" i="31" s="1"/>
  <c r="G129" i="31"/>
  <c r="D128" i="31"/>
  <c r="G128" i="31" s="1"/>
  <c r="G127" i="31"/>
  <c r="D126" i="31"/>
  <c r="G126" i="31" s="1"/>
  <c r="G125" i="31"/>
  <c r="D124" i="31"/>
  <c r="G124" i="31" s="1"/>
  <c r="G123" i="31"/>
  <c r="D122" i="31"/>
  <c r="G122" i="31" s="1"/>
  <c r="G121" i="31"/>
  <c r="D120" i="31"/>
  <c r="G120" i="31" s="1"/>
  <c r="G119" i="31"/>
  <c r="D118" i="31"/>
  <c r="G118" i="31" s="1"/>
  <c r="D117" i="31"/>
  <c r="G117" i="31" s="1"/>
  <c r="D116" i="31"/>
  <c r="G116" i="31" s="1"/>
  <c r="D115" i="31"/>
  <c r="G115" i="31" s="1"/>
  <c r="G114" i="31"/>
  <c r="D113" i="31"/>
  <c r="G113" i="31" s="1"/>
  <c r="G112" i="31"/>
  <c r="D111" i="31"/>
  <c r="G111" i="31" s="1"/>
  <c r="G110" i="31"/>
  <c r="D109" i="31"/>
  <c r="G109" i="31" s="1"/>
  <c r="G108" i="31"/>
  <c r="D107" i="31"/>
  <c r="G107" i="31" s="1"/>
  <c r="G106" i="31"/>
  <c r="D105" i="31"/>
  <c r="G105" i="31" s="1"/>
  <c r="G104" i="31"/>
  <c r="E97" i="31"/>
  <c r="D97" i="31"/>
  <c r="G97" i="31" s="1"/>
  <c r="F96" i="31"/>
  <c r="D96" i="31"/>
  <c r="G96" i="31" s="1"/>
  <c r="G92" i="31"/>
  <c r="J92" i="31" s="1"/>
  <c r="J93" i="31" s="1"/>
  <c r="C86" i="31"/>
  <c r="C85" i="31"/>
  <c r="B85" i="31"/>
  <c r="E79" i="31"/>
  <c r="D79" i="31"/>
  <c r="D87" i="31" s="1"/>
  <c r="F73" i="31"/>
  <c r="D73" i="31"/>
  <c r="F72" i="31"/>
  <c r="D72" i="31"/>
  <c r="F63" i="31"/>
  <c r="G63" i="31" s="1"/>
  <c r="F62" i="31"/>
  <c r="E62" i="31"/>
  <c r="D62" i="31"/>
  <c r="G62" i="31" s="1"/>
  <c r="F61" i="31"/>
  <c r="F86" i="31" s="1"/>
  <c r="D61" i="31"/>
  <c r="G61" i="31" s="1"/>
  <c r="F60" i="31"/>
  <c r="F85" i="31" s="1"/>
  <c r="F59" i="31"/>
  <c r="G54" i="31"/>
  <c r="E53" i="31"/>
  <c r="D53" i="31"/>
  <c r="F52" i="31"/>
  <c r="D52" i="31"/>
  <c r="G52" i="31" s="1"/>
  <c r="F51" i="31"/>
  <c r="D51" i="31"/>
  <c r="G51" i="31" s="1"/>
  <c r="I47" i="31"/>
  <c r="F46" i="31"/>
  <c r="D46" i="31"/>
  <c r="C46" i="31"/>
  <c r="G46" i="31" s="1"/>
  <c r="F45" i="31"/>
  <c r="C45" i="31"/>
  <c r="F44" i="31"/>
  <c r="C44" i="31"/>
  <c r="G44" i="31" s="1"/>
  <c r="F43" i="31"/>
  <c r="D43" i="31"/>
  <c r="F42" i="31"/>
  <c r="D42" i="31"/>
  <c r="C43" i="31" s="1"/>
  <c r="C42" i="31"/>
  <c r="G42" i="31" s="1"/>
  <c r="F41" i="31"/>
  <c r="D41" i="31"/>
  <c r="G41" i="31" s="1"/>
  <c r="F40" i="31"/>
  <c r="D40" i="31"/>
  <c r="F39" i="31"/>
  <c r="D39" i="31"/>
  <c r="F38" i="31"/>
  <c r="D38" i="31"/>
  <c r="F37" i="31"/>
  <c r="D37" i="31"/>
  <c r="F36" i="31"/>
  <c r="D36" i="31"/>
  <c r="G36" i="31" s="1"/>
  <c r="B29" i="31"/>
  <c r="C25" i="31"/>
  <c r="D21" i="31"/>
  <c r="C21" i="31"/>
  <c r="D17" i="31"/>
  <c r="D15" i="31"/>
  <c r="G15" i="31" s="1"/>
  <c r="B15" i="31"/>
  <c r="E11" i="31"/>
  <c r="E59" i="34" l="1"/>
  <c r="E70" i="34" s="1"/>
  <c r="G70" i="34" s="1"/>
  <c r="G49" i="34"/>
  <c r="G50" i="34"/>
  <c r="G80" i="34"/>
  <c r="G56" i="34"/>
  <c r="G58" i="34"/>
  <c r="G81" i="34"/>
  <c r="D96" i="34"/>
  <c r="G96" i="34" s="1"/>
  <c r="G79" i="34"/>
  <c r="G82" i="34" s="1"/>
  <c r="J83" i="34" s="1"/>
  <c r="G47" i="34"/>
  <c r="F94" i="34"/>
  <c r="G68" i="34"/>
  <c r="G66" i="34"/>
  <c r="G67" i="34"/>
  <c r="G44" i="34"/>
  <c r="G48" i="34"/>
  <c r="D16" i="34"/>
  <c r="G16" i="34" s="1"/>
  <c r="G18" i="34" s="1"/>
  <c r="J18" i="34" s="1"/>
  <c r="G87" i="34"/>
  <c r="J91" i="34" s="1"/>
  <c r="G153" i="34"/>
  <c r="J153" i="34" s="1"/>
  <c r="J154" i="34" s="1"/>
  <c r="G55" i="34"/>
  <c r="D94" i="34"/>
  <c r="G97" i="34"/>
  <c r="G57" i="34"/>
  <c r="G46" i="34"/>
  <c r="G45" i="34"/>
  <c r="D38" i="34"/>
  <c r="G38" i="34" s="1"/>
  <c r="D39" i="34"/>
  <c r="D40" i="34"/>
  <c r="D41" i="34"/>
  <c r="G41" i="34" s="1"/>
  <c r="C40" i="34"/>
  <c r="D42" i="34"/>
  <c r="C39" i="34"/>
  <c r="C36" i="34"/>
  <c r="D43" i="34"/>
  <c r="D36" i="34"/>
  <c r="C37" i="34"/>
  <c r="G37" i="34" s="1"/>
  <c r="C42" i="34"/>
  <c r="C43" i="34"/>
  <c r="E29" i="34"/>
  <c r="E25" i="34"/>
  <c r="D29" i="34"/>
  <c r="D25" i="34"/>
  <c r="G65" i="34" s="1"/>
  <c r="G145" i="34"/>
  <c r="D95" i="34"/>
  <c r="G95" i="34" s="1"/>
  <c r="G39" i="31"/>
  <c r="J149" i="31"/>
  <c r="J150" i="31" s="1"/>
  <c r="G144" i="31"/>
  <c r="J144" i="31" s="1"/>
  <c r="J145" i="31" s="1"/>
  <c r="G37" i="31"/>
  <c r="G45" i="31"/>
  <c r="G38" i="31"/>
  <c r="G43" i="31"/>
  <c r="G98" i="31"/>
  <c r="G53" i="31"/>
  <c r="G55" i="31" s="1"/>
  <c r="G40" i="31"/>
  <c r="E87" i="31"/>
  <c r="G87" i="31" s="1"/>
  <c r="G79" i="31"/>
  <c r="D86" i="31"/>
  <c r="G86" i="31" s="1"/>
  <c r="G73" i="31"/>
  <c r="D85" i="31"/>
  <c r="G85" i="31" s="1"/>
  <c r="G72" i="31"/>
  <c r="C29" i="31"/>
  <c r="G17" i="31"/>
  <c r="D25" i="31"/>
  <c r="G11" i="31"/>
  <c r="G12" i="31" s="1"/>
  <c r="J12" i="31" s="1"/>
  <c r="E21" i="31"/>
  <c r="D16" i="31"/>
  <c r="G16" i="31" s="1"/>
  <c r="G18" i="31" s="1"/>
  <c r="J18" i="31" s="1"/>
  <c r="G136" i="31"/>
  <c r="G59" i="34" l="1"/>
  <c r="G60" i="34" s="1"/>
  <c r="J60" i="34" s="1"/>
  <c r="G94" i="34"/>
  <c r="G98" i="34" s="1"/>
  <c r="J87" i="34"/>
  <c r="G39" i="34"/>
  <c r="J89" i="34"/>
  <c r="J90" i="34"/>
  <c r="G40" i="34"/>
  <c r="G36" i="34"/>
  <c r="J84" i="34"/>
  <c r="J82" i="34"/>
  <c r="G25" i="34"/>
  <c r="G26" i="34" s="1"/>
  <c r="J26" i="34" s="1"/>
  <c r="G42" i="34"/>
  <c r="G43" i="34"/>
  <c r="J147" i="34"/>
  <c r="J146" i="34"/>
  <c r="J145" i="34"/>
  <c r="G64" i="34"/>
  <c r="G71" i="34" s="1"/>
  <c r="G29" i="34"/>
  <c r="G30" i="34" s="1"/>
  <c r="G21" i="34"/>
  <c r="G22" i="34" s="1"/>
  <c r="J22" i="34" s="1"/>
  <c r="G47" i="31"/>
  <c r="G88" i="31"/>
  <c r="J55" i="31"/>
  <c r="J56" i="31"/>
  <c r="G74" i="31"/>
  <c r="J99" i="31"/>
  <c r="J98" i="31"/>
  <c r="J101" i="31"/>
  <c r="J100" i="31"/>
  <c r="J82" i="31"/>
  <c r="J80" i="31"/>
  <c r="J81" i="31"/>
  <c r="J79" i="31"/>
  <c r="J89" i="31"/>
  <c r="J88" i="31"/>
  <c r="D29" i="31"/>
  <c r="D59" i="31"/>
  <c r="G21" i="31"/>
  <c r="G22" i="31" s="1"/>
  <c r="J22" i="31" s="1"/>
  <c r="E25" i="31"/>
  <c r="J138" i="31"/>
  <c r="J137" i="31"/>
  <c r="J136" i="31"/>
  <c r="J61" i="34" l="1"/>
  <c r="G51" i="34"/>
  <c r="J52" i="34" s="1"/>
  <c r="J98" i="34"/>
  <c r="D106" i="34"/>
  <c r="G106" i="34" s="1"/>
  <c r="G107" i="34" s="1"/>
  <c r="J99" i="34"/>
  <c r="J33" i="34"/>
  <c r="J32" i="34"/>
  <c r="J31" i="34"/>
  <c r="J30" i="34"/>
  <c r="J72" i="34"/>
  <c r="J71" i="34"/>
  <c r="J74" i="34"/>
  <c r="J73" i="34"/>
  <c r="J76" i="34"/>
  <c r="J75" i="34"/>
  <c r="J48" i="31"/>
  <c r="J47" i="31"/>
  <c r="J75" i="31"/>
  <c r="J74" i="31"/>
  <c r="J76" i="31"/>
  <c r="D60" i="31"/>
  <c r="G60" i="31" s="1"/>
  <c r="G25" i="31"/>
  <c r="G26" i="31" s="1"/>
  <c r="E29" i="31"/>
  <c r="G29" i="31" s="1"/>
  <c r="G30" i="31" s="1"/>
  <c r="E59" i="31"/>
  <c r="G59" i="31" s="1"/>
  <c r="J110" i="34" l="1"/>
  <c r="J109" i="34"/>
  <c r="J108" i="34"/>
  <c r="J107" i="34"/>
  <c r="J51" i="34"/>
  <c r="J30" i="31"/>
  <c r="J31" i="31"/>
  <c r="J32" i="31"/>
  <c r="J33" i="31"/>
  <c r="G64" i="31"/>
  <c r="J174" i="34" l="1"/>
  <c r="C177" i="34" s="1"/>
  <c r="C180" i="34" s="1"/>
  <c r="E180" i="34" s="1"/>
  <c r="J68" i="31"/>
  <c r="J67" i="31"/>
  <c r="J64" i="31"/>
  <c r="J69" i="31"/>
  <c r="J66" i="31"/>
  <c r="J65" i="31"/>
  <c r="D7" i="30"/>
  <c r="G7" i="30" s="1"/>
  <c r="D6" i="30"/>
  <c r="G6" i="30" s="1"/>
  <c r="G4" i="30"/>
  <c r="G5" i="30"/>
  <c r="E179" i="34" l="1"/>
  <c r="H7" i="30"/>
  <c r="H5" i="30"/>
  <c r="H8" i="30" s="1"/>
  <c r="I26" i="31" l="1"/>
  <c r="J26" i="31" s="1"/>
  <c r="J165" i="31" s="1"/>
  <c r="C168" i="31" s="1"/>
  <c r="C171" i="31" s="1"/>
  <c r="E171" i="31" s="1"/>
  <c r="H9" i="30"/>
  <c r="H10" i="30" s="1"/>
  <c r="B10" i="30" s="1"/>
  <c r="D10" i="30" s="1"/>
  <c r="E170" i="31" l="1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C19" i="27" l="1"/>
  <c r="I19" i="27" s="1"/>
  <c r="E42" i="27"/>
  <c r="C41" i="27"/>
  <c r="I41" i="27" s="1"/>
  <c r="H30" i="27"/>
  <c r="H27" i="27"/>
  <c r="E14" i="27"/>
  <c r="C14" i="27"/>
  <c r="I14" i="27" s="1"/>
  <c r="H28" i="27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E37" i="27"/>
  <c r="C32" i="27"/>
  <c r="I32" i="27" s="1"/>
  <c r="E19" i="27"/>
  <c r="E41" i="27"/>
  <c r="E39" i="27" l="1"/>
  <c r="E29" i="27"/>
  <c r="E28" i="27"/>
  <c r="E30" i="27"/>
  <c r="E20" i="27"/>
  <c r="E36" i="27"/>
  <c r="C35" i="27"/>
  <c r="I35" i="27" s="1"/>
  <c r="C27" i="27"/>
  <c r="I27" i="27" s="1"/>
  <c r="E17" i="27"/>
  <c r="C16" i="27"/>
  <c r="I16" i="27" s="1"/>
  <c r="H51" i="27"/>
  <c r="I6" i="27" s="1"/>
  <c r="E27" i="27"/>
  <c r="E35" i="27"/>
  <c r="E33" i="27"/>
  <c r="E32" i="27"/>
  <c r="C22" i="27" l="1"/>
  <c r="I22" i="27" s="1"/>
  <c r="E24" i="27"/>
  <c r="E25" i="27"/>
  <c r="E22" i="27" l="1"/>
  <c r="E51" i="27" s="1"/>
  <c r="C6" i="27" s="1"/>
  <c r="E2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857B10AA-89E0-4805-98CE-692106C2779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7AE934D4-926E-4583-9D1E-4CD61B19FC6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" authorId="0" shapeId="0" xr:uid="{939D02E8-1D53-47F7-B50A-37D917123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57*dia</t>
        </r>
      </text>
    </comment>
    <comment ref="M4" authorId="0" shapeId="0" xr:uid="{446E0234-02B1-41B8-ABE3-CFAA9DECD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hypoteneous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4D240594-E502-42D5-9D02-C8D07555397A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31529F7F-543F-4708-87D1-56730B0847B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<sst xmlns="http://schemas.openxmlformats.org/spreadsheetml/2006/main" count="393" uniqueCount="174">
  <si>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</si>
  <si>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</si>
  <si>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</si>
  <si>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</si>
  <si>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</si>
  <si>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</si>
  <si>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</si>
  <si>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</si>
  <si>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</si>
  <si>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</si>
  <si>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</si>
  <si>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</si>
  <si>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</si>
  <si>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</si>
  <si>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</si>
  <si>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</si>
  <si>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</si>
  <si>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</si>
  <si>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</si>
  <si>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</si>
  <si>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</si>
  <si>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</si>
  <si>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</si>
  <si>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</si>
  <si>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</si>
  <si>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</si>
  <si>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</si>
  <si>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</si>
  <si>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</si>
  <si>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</si>
  <si>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</si>
  <si>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</si>
  <si>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</si>
  <si>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</si>
  <si>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stone soling</t>
  </si>
  <si>
    <t>vat on stone</t>
  </si>
  <si>
    <t>vat on brick</t>
  </si>
  <si>
    <t>plastering work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</si>
  <si>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</si>
  <si>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</si>
  <si>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</si>
  <si>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</si>
  <si>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</si>
  <si>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</si>
  <si>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</si>
  <si>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</si>
  <si>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</si>
  <si>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</si>
  <si>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</si>
  <si>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</si>
  <si>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</si>
  <si>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</si>
  <si>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</si>
  <si>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</si>
  <si>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</si>
  <si>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</si>
  <si>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</si>
  <si>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</si>
  <si>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</si>
  <si>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</si>
  <si>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</si>
  <si>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</si>
  <si>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</si>
  <si>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</si>
  <si>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</si>
  <si>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</si>
  <si>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 xml:space="preserve">Amount </t>
  </si>
  <si>
    <t>Percent</t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</si>
  <si>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</si>
  <si>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</si>
  <si>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</si>
  <si>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</si>
  <si>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</si>
  <si>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square frame medium duty 24"X24</t>
  </si>
  <si>
    <t>vat for material</t>
  </si>
  <si>
    <t>Information Board  and photographs</t>
  </si>
  <si>
    <t>A.</t>
  </si>
  <si>
    <t>kfgL 6\ofÍL dd{t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</si>
  <si>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</si>
  <si>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</si>
  <si>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</si>
  <si>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</si>
  <si>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</si>
  <si>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</si>
  <si>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</si>
  <si>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</si>
  <si>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</si>
  <si>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</si>
  <si>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</si>
  <si>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</si>
  <si>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</si>
  <si>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</si>
  <si>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</si>
  <si>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</si>
  <si>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</si>
  <si>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</si>
  <si>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</si>
  <si>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</si>
  <si>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</si>
  <si>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</si>
  <si>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</si>
  <si>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</si>
  <si>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</si>
  <si>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</si>
  <si>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</si>
  <si>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</si>
  <si>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</si>
  <si>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</si>
  <si>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</si>
  <si>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</si>
  <si>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</si>
  <si>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</si>
  <si>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</si>
  <si>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</si>
  <si>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</si>
  <si>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</si>
  <si>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</si>
  <si>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</si>
  <si>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</si>
  <si>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</si>
  <si>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</si>
  <si>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</si>
  <si>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</si>
  <si>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</si>
  <si>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</si>
  <si>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</si>
  <si>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</si>
  <si>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</si>
  <si>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</si>
  <si>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</si>
  <si>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</si>
  <si>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</si>
  <si>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</si>
  <si>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</si>
  <si>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</si>
  <si>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</si>
  <si>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</si>
  <si>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</si>
  <si>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</si>
  <si>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</si>
  <si>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</si>
  <si>
    <t>20mm GI Pipe threaded -Medium class</t>
  </si>
  <si>
    <t>- for kitchen</t>
  </si>
  <si>
    <t>-for outside dhara</t>
  </si>
  <si>
    <t>-for water tank inlet and overflow</t>
  </si>
  <si>
    <t>rm</t>
  </si>
  <si>
    <t>-13% VAT on materials</t>
  </si>
  <si>
    <t>PPR pipe (PN-16) 20mm OD 2.80mm thick 0.148kg/m</t>
  </si>
  <si>
    <t>-for kitchen</t>
  </si>
  <si>
    <t>set</t>
  </si>
  <si>
    <t>Porcelain clay  white glaze wash basin large size regular complete set</t>
  </si>
  <si>
    <t>Brass tap-1'2" ordinary</t>
  </si>
  <si>
    <t>-for kitchen and outside dhara</t>
  </si>
  <si>
    <t>L</t>
  </si>
  <si>
    <t>B</t>
  </si>
  <si>
    <t>H</t>
  </si>
  <si>
    <t xml:space="preserve">Unit </t>
  </si>
  <si>
    <t>Area</t>
  </si>
  <si>
    <t>m3</t>
  </si>
  <si>
    <t>m2</t>
  </si>
  <si>
    <t>plaster</t>
  </si>
  <si>
    <t>Soiling thickness</t>
  </si>
  <si>
    <t>PCC</t>
  </si>
  <si>
    <t>Slab thickness</t>
  </si>
  <si>
    <t>Shear wall thickness</t>
  </si>
  <si>
    <t>Cover for shear wall</t>
  </si>
  <si>
    <t>Cover for slab</t>
  </si>
  <si>
    <t>Vertical rebar</t>
  </si>
  <si>
    <t>Opening</t>
  </si>
  <si>
    <t>Fillet</t>
  </si>
  <si>
    <t>-at fillet</t>
  </si>
  <si>
    <t>-as of item no. 11</t>
  </si>
  <si>
    <t>-for kitchen setup at ward office</t>
  </si>
  <si>
    <t>-at roof of ward 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</si>
</sst>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8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4" fillId="0" borderId="0"/>
    <xf numFmtId="0" fontId="53" fillId="0" borderId="0"/>
    <xf numFmtId="168" fontId="55" fillId="0" borderId="0"/>
    <xf numFmtId="179" fontId="2" fillId="0" borderId="0" applyFont="0" applyFill="0" applyBorder="0" applyAlignment="0" applyProtection="0"/>
    <xf numFmtId="165" fontId="55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172">
    <xf numFmtId="0" fontId="0" fillId="0" borderId="0" xfId="0"/>
    <xf numFmtId="0" fontId="50" fillId="0" borderId="0" xfId="0" applyFont="1"/>
    <xf numFmtId="0" fontId="49" fillId="0" borderId="0" xfId="0" applyFont="1"/>
    <xf numFmtId="0" fontId="50" fillId="0" borderId="0" xfId="0" applyFont="1" applyAlignment="1">
      <alignment horizontal="left" vertical="top" wrapText="1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wrapText="1"/>
    </xf>
    <xf numFmtId="0" fontId="61" fillId="0" borderId="0" xfId="0" applyFont="1"/>
    <xf numFmtId="0" fontId="0" fillId="0" borderId="0" xfId="0" applyAlignment="1">
      <alignment horizontal="left"/>
    </xf>
    <xf numFmtId="0" fontId="62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7" fillId="0" borderId="0" xfId="0" applyFont="1" applyAlignment="1">
      <alignment horizontal="center"/>
    </xf>
    <xf numFmtId="43" fontId="0" fillId="0" borderId="0" xfId="0" applyNumberFormat="1"/>
    <xf numFmtId="0" fontId="63" fillId="32" borderId="20" xfId="0" applyFont="1" applyFill="1" applyBorder="1"/>
    <xf numFmtId="0" fontId="63" fillId="32" borderId="20" xfId="0" applyFont="1" applyFill="1" applyBorder="1" applyAlignment="1">
      <alignment horizontal="center"/>
    </xf>
    <xf numFmtId="43" fontId="63" fillId="0" borderId="20" xfId="0" applyNumberFormat="1" applyFont="1" applyBorder="1"/>
    <xf numFmtId="2" fontId="63" fillId="0" borderId="20" xfId="0" applyNumberFormat="1" applyFont="1" applyBorder="1"/>
    <xf numFmtId="0" fontId="63" fillId="0" borderId="20" xfId="0" applyFont="1" applyBorder="1"/>
    <xf numFmtId="0" fontId="63" fillId="0" borderId="22" xfId="0" applyFont="1" applyBorder="1"/>
    <xf numFmtId="0" fontId="48" fillId="0" borderId="22" xfId="0" applyFont="1" applyBorder="1"/>
    <xf numFmtId="43" fontId="48" fillId="0" borderId="22" xfId="0" applyNumberFormat="1" applyFont="1" applyBorder="1"/>
    <xf numFmtId="0" fontId="64" fillId="2" borderId="20" xfId="0" applyFont="1" applyFill="1" applyBorder="1" applyAlignment="1">
      <alignment vertical="top"/>
    </xf>
    <xf numFmtId="0" fontId="54" fillId="2" borderId="20" xfId="0" applyFont="1" applyFill="1" applyBorder="1" applyAlignment="1">
      <alignment horizontal="left" vertical="top" wrapText="1"/>
    </xf>
    <xf numFmtId="0" fontId="64" fillId="2" borderId="20" xfId="0" applyFont="1" applyFill="1" applyBorder="1" applyAlignment="1">
      <alignment horizontal="right" vertical="top"/>
    </xf>
    <xf numFmtId="0" fontId="54" fillId="0" borderId="20" xfId="0" applyFont="1" applyBorder="1" applyAlignment="1">
      <alignment horizontal="justify" vertical="justify"/>
    </xf>
    <xf numFmtId="0" fontId="64" fillId="0" borderId="20" xfId="0" applyFont="1" applyBorder="1"/>
    <xf numFmtId="0" fontId="64" fillId="0" borderId="20" xfId="0" applyFont="1" applyBorder="1" applyAlignment="1">
      <alignment horizontal="right"/>
    </xf>
    <xf numFmtId="0" fontId="6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 wrapText="1"/>
    </xf>
    <xf numFmtId="0" fontId="54" fillId="0" borderId="20" xfId="0" applyFont="1" applyBorder="1" applyAlignment="1">
      <alignment horizontal="left" vertical="top" wrapText="1"/>
    </xf>
    <xf numFmtId="0" fontId="54" fillId="0" borderId="20" xfId="0" applyFont="1" applyBorder="1" applyAlignment="1">
      <alignment horizontal="right" vertical="top" wrapText="1"/>
    </xf>
    <xf numFmtId="0" fontId="54" fillId="0" borderId="20" xfId="0" applyFont="1" applyBorder="1" applyAlignment="1">
      <alignment horizontal="right" vertical="justify"/>
    </xf>
    <xf numFmtId="0" fontId="64" fillId="2" borderId="20" xfId="0" applyFont="1" applyFill="1" applyBorder="1" applyAlignment="1">
      <alignment horizontal="right" vertical="center"/>
    </xf>
    <xf numFmtId="0" fontId="64" fillId="2" borderId="20" xfId="0" applyFont="1" applyFill="1" applyBorder="1" applyAlignment="1">
      <alignment wrapText="1"/>
    </xf>
    <xf numFmtId="0" fontId="5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/>
    </xf>
    <xf numFmtId="43" fontId="50" fillId="0" borderId="0" xfId="0" applyNumberFormat="1" applyFont="1" applyAlignment="1">
      <alignment horizontal="center"/>
    </xf>
    <xf numFmtId="1" fontId="67" fillId="0" borderId="19" xfId="0" applyNumberFormat="1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70" fillId="0" borderId="0" xfId="0" applyFont="1"/>
    <xf numFmtId="0" fontId="71" fillId="0" borderId="19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 wrapText="1"/>
    </xf>
    <xf numFmtId="2" fontId="72" fillId="0" borderId="24" xfId="0" applyNumberFormat="1" applyFont="1" applyBorder="1" applyAlignment="1">
      <alignment horizontal="center"/>
    </xf>
    <xf numFmtId="0" fontId="71" fillId="0" borderId="24" xfId="0" applyFont="1" applyBorder="1" applyAlignment="1">
      <alignment horizontal="center"/>
    </xf>
    <xf numFmtId="2" fontId="67" fillId="0" borderId="24" xfId="0" applyNumberFormat="1" applyFont="1" applyBorder="1" applyAlignment="1">
      <alignment horizontal="center" vertical="center" wrapText="1"/>
    </xf>
    <xf numFmtId="2" fontId="67" fillId="0" borderId="24" xfId="0" applyNumberFormat="1" applyFont="1" applyBorder="1" applyAlignment="1">
      <alignment horizontal="center" vertical="center"/>
    </xf>
    <xf numFmtId="0" fontId="71" fillId="0" borderId="25" xfId="0" applyFont="1" applyBorder="1" applyAlignment="1">
      <alignment horizontal="center"/>
    </xf>
    <xf numFmtId="2" fontId="72" fillId="0" borderId="25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 vertical="center"/>
    </xf>
    <xf numFmtId="2" fontId="67" fillId="0" borderId="24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 vertical="center"/>
    </xf>
    <xf numFmtId="0" fontId="71" fillId="0" borderId="0" xfId="0" applyFont="1"/>
    <xf numFmtId="0" fontId="73" fillId="0" borderId="0" xfId="0" applyFont="1"/>
    <xf numFmtId="2" fontId="67" fillId="0" borderId="19" xfId="0" applyNumberFormat="1" applyFont="1" applyBorder="1" applyAlignment="1">
      <alignment horizontal="center"/>
    </xf>
    <xf numFmtId="0" fontId="74" fillId="0" borderId="0" xfId="0" applyFont="1"/>
    <xf numFmtId="2" fontId="67" fillId="0" borderId="26" xfId="0" applyNumberFormat="1" applyFont="1" applyBorder="1" applyAlignment="1">
      <alignment horizontal="center"/>
    </xf>
    <xf numFmtId="0" fontId="70" fillId="0" borderId="0" xfId="0" applyFont="1" applyAlignment="1">
      <alignment horizontal="right"/>
    </xf>
    <xf numFmtId="0" fontId="67" fillId="0" borderId="0" xfId="0" applyFont="1" applyAlignment="1">
      <alignment horizontal="center"/>
    </xf>
    <xf numFmtId="43" fontId="50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0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76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4" fillId="0" borderId="19" xfId="0" applyNumberFormat="1" applyFont="1" applyBorder="1" applyAlignment="1">
      <alignment horizontal="right" vertical="center"/>
    </xf>
    <xf numFmtId="0" fontId="70" fillId="0" borderId="19" xfId="0" quotePrefix="1" applyFont="1" applyBorder="1" applyAlignment="1">
      <alignment wrapText="1"/>
    </xf>
    <xf numFmtId="0" fontId="64" fillId="0" borderId="19" xfId="0" applyFont="1" applyBorder="1"/>
    <xf numFmtId="2" fontId="64" fillId="0" borderId="19" xfId="0" applyNumberFormat="1" applyFont="1" applyBorder="1" applyAlignment="1">
      <alignment horizontal="right"/>
    </xf>
    <xf numFmtId="0" fontId="54" fillId="0" borderId="19" xfId="0" applyFont="1" applyBorder="1"/>
    <xf numFmtId="0" fontId="54" fillId="0" borderId="19" xfId="0" quotePrefix="1" applyFont="1" applyBorder="1" applyAlignment="1">
      <alignment horizontal="right" vertical="justify"/>
    </xf>
    <xf numFmtId="182" fontId="64" fillId="0" borderId="19" xfId="0" applyNumberFormat="1" applyFont="1" applyBorder="1" applyAlignment="1">
      <alignment horizontal="right"/>
    </xf>
    <xf numFmtId="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justify"/>
    </xf>
    <xf numFmtId="2" fontId="54" fillId="0" borderId="19" xfId="0" applyNumberFormat="1" applyFont="1" applyBorder="1" applyAlignment="1">
      <alignment horizontal="right"/>
    </xf>
    <xf numFmtId="0" fontId="64" fillId="0" borderId="19" xfId="0" applyFont="1" applyBorder="1" applyAlignment="1">
      <alignment horizontal="right"/>
    </xf>
    <xf numFmtId="1" fontId="54" fillId="0" borderId="19" xfId="0" applyNumberFormat="1" applyFont="1" applyBorder="1" applyAlignment="1">
      <alignment horizontal="right" vertical="center"/>
    </xf>
    <xf numFmtId="182" fontId="54" fillId="0" borderId="19" xfId="0" applyNumberFormat="1" applyFont="1" applyBorder="1" applyAlignment="1">
      <alignment horizontal="right"/>
    </xf>
    <xf numFmtId="2" fontId="54" fillId="0" borderId="19" xfId="1" applyNumberFormat="1" applyFont="1" applyFill="1" applyBorder="1" applyAlignment="1">
      <alignment horizontal="right"/>
    </xf>
    <xf numFmtId="0" fontId="54" fillId="0" borderId="19" xfId="0" quotePrefix="1" applyFont="1" applyBorder="1" applyAlignment="1">
      <alignment horizontal="right"/>
    </xf>
    <xf numFmtId="0" fontId="64" fillId="0" borderId="19" xfId="0" applyFont="1" applyBorder="1" applyAlignment="1">
      <alignment horizontal="right" vertical="top" wrapText="1"/>
    </xf>
    <xf numFmtId="0" fontId="64" fillId="0" borderId="19" xfId="0" applyFont="1" applyBorder="1" applyAlignment="1">
      <alignment horizontal="left" vertical="top" wrapText="1"/>
    </xf>
    <xf numFmtId="0" fontId="64" fillId="0" borderId="19" xfId="0" quotePrefix="1" applyFont="1" applyBorder="1" applyAlignment="1">
      <alignment horizontal="right" vertical="top" wrapText="1"/>
    </xf>
    <xf numFmtId="18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justify" vertical="justify"/>
    </xf>
    <xf numFmtId="2" fontId="54" fillId="0" borderId="19" xfId="734" applyNumberFormat="1" applyBorder="1" applyAlignment="1">
      <alignment horizontal="right"/>
    </xf>
    <xf numFmtId="2" fontId="64" fillId="0" borderId="19" xfId="32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top" wrapText="1"/>
    </xf>
    <xf numFmtId="1" fontId="64" fillId="0" borderId="19" xfId="0" applyNumberFormat="1" applyFont="1" applyBorder="1" applyAlignment="1">
      <alignment vertical="center"/>
    </xf>
    <xf numFmtId="0" fontId="77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4" fillId="0" borderId="19" xfId="0" applyFont="1" applyBorder="1" applyAlignment="1">
      <alignment wrapText="1"/>
    </xf>
    <xf numFmtId="1" fontId="64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4" fillId="0" borderId="0" xfId="0" applyFont="1" applyAlignment="1">
      <alignment wrapText="1"/>
    </xf>
    <xf numFmtId="0" fontId="64" fillId="0" borderId="0" xfId="0" applyFont="1"/>
    <xf numFmtId="0" fontId="48" fillId="0" borderId="0" xfId="0" applyFont="1"/>
    <xf numFmtId="43" fontId="64" fillId="0" borderId="19" xfId="0" applyNumberFormat="1" applyFont="1" applyBorder="1"/>
    <xf numFmtId="43" fontId="64" fillId="0" borderId="0" xfId="0" applyNumberFormat="1" applyFont="1"/>
    <xf numFmtId="183" fontId="64" fillId="0" borderId="19" xfId="1" applyNumberFormat="1" applyFont="1" applyFill="1" applyBorder="1" applyAlignment="1"/>
    <xf numFmtId="43" fontId="64" fillId="0" borderId="19" xfId="1" applyFont="1" applyFill="1" applyBorder="1" applyAlignment="1"/>
    <xf numFmtId="43" fontId="64" fillId="0" borderId="0" xfId="1" applyFont="1" applyFill="1" applyBorder="1" applyAlignment="1"/>
    <xf numFmtId="0" fontId="78" fillId="0" borderId="19" xfId="0" quotePrefix="1" applyFont="1" applyBorder="1" applyAlignment="1">
      <alignment wrapText="1"/>
    </xf>
    <xf numFmtId="0" fontId="78" fillId="0" borderId="19" xfId="0" applyFont="1" applyBorder="1" applyAlignment="1">
      <alignment wrapText="1"/>
    </xf>
    <xf numFmtId="0" fontId="78" fillId="0" borderId="19" xfId="0" applyFont="1" applyBorder="1"/>
    <xf numFmtId="0" fontId="51" fillId="0" borderId="0" xfId="0" applyFont="1"/>
    <xf numFmtId="1" fontId="79" fillId="0" borderId="0" xfId="0" applyNumberFormat="1" applyFont="1"/>
    <xf numFmtId="0" fontId="64" fillId="0" borderId="19" xfId="0" applyFont="1" applyBorder="1" applyAlignment="1">
      <alignment vertical="top" wrapText="1"/>
    </xf>
    <xf numFmtId="2" fontId="0" fillId="0" borderId="0" xfId="0" applyNumberFormat="1"/>
    <xf numFmtId="0" fontId="57" fillId="0" borderId="19" xfId="0" applyFont="1" applyBorder="1"/>
    <xf numFmtId="2" fontId="0" fillId="0" borderId="19" xfId="0" applyNumberFormat="1" applyBorder="1"/>
    <xf numFmtId="0" fontId="0" fillId="0" borderId="19" xfId="0" applyBorder="1"/>
    <xf numFmtId="0" fontId="57" fillId="0" borderId="28" xfId="0" applyFont="1" applyBorder="1" applyAlignment="1">
      <alignment horizontal="center"/>
    </xf>
    <xf numFmtId="2" fontId="0" fillId="0" borderId="28" xfId="0" applyNumberFormat="1" applyBorder="1"/>
    <xf numFmtId="0" fontId="57" fillId="0" borderId="23" xfId="0" applyFont="1" applyBorder="1" applyAlignment="1">
      <alignment horizontal="center"/>
    </xf>
    <xf numFmtId="2" fontId="0" fillId="0" borderId="23" xfId="0" applyNumberFormat="1" applyBorder="1"/>
    <xf numFmtId="2" fontId="64" fillId="0" borderId="19" xfId="1" quotePrefix="1" applyNumberFormat="1" applyFont="1" applyFill="1" applyBorder="1" applyAlignment="1">
      <alignment horizontal="right"/>
    </xf>
    <xf numFmtId="1" fontId="64" fillId="33" borderId="19" xfId="0" applyNumberFormat="1" applyFont="1" applyFill="1" applyBorder="1" applyAlignment="1">
      <alignment horizontal="right" vertical="center"/>
    </xf>
    <xf numFmtId="0" fontId="64" fillId="33" borderId="19" xfId="0" applyFont="1" applyFill="1" applyBorder="1" applyAlignment="1">
      <alignment horizontal="right" vertical="top" wrapText="1"/>
    </xf>
    <xf numFmtId="182" fontId="64" fillId="33" borderId="19" xfId="0" applyNumberFormat="1" applyFont="1" applyFill="1" applyBorder="1" applyAlignment="1">
      <alignment horizontal="right"/>
    </xf>
    <xf numFmtId="2" fontId="64" fillId="33" borderId="19" xfId="0" applyNumberFormat="1" applyFont="1" applyFill="1" applyBorder="1" applyAlignment="1">
      <alignment horizontal="right"/>
    </xf>
    <xf numFmtId="0" fontId="54" fillId="33" borderId="19" xfId="0" applyFont="1" applyFill="1" applyBorder="1"/>
    <xf numFmtId="0" fontId="50" fillId="33" borderId="0" xfId="0" applyFont="1" applyFill="1"/>
    <xf numFmtId="43" fontId="64" fillId="0" borderId="19" xfId="1" applyFont="1" applyFill="1" applyBorder="1" applyAlignment="1">
      <alignment horizontal="center"/>
    </xf>
    <xf numFmtId="0" fontId="48" fillId="0" borderId="19" xfId="0" applyFont="1" applyBorder="1" applyAlignment="1">
      <alignment horizontal="center"/>
    </xf>
    <xf numFmtId="43" fontId="64" fillId="0" borderId="19" xfId="0" applyNumberFormat="1" applyFont="1" applyBorder="1" applyAlignment="1">
      <alignment horizontal="center"/>
    </xf>
    <xf numFmtId="0" fontId="48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0" fillId="0" borderId="0" xfId="0" quotePrefix="1" applyFont="1" applyAlignment="1">
      <alignment horizontal="right"/>
    </xf>
    <xf numFmtId="0" fontId="50" fillId="0" borderId="0" xfId="0" applyFont="1"/>
    <xf numFmtId="0" fontId="50" fillId="0" borderId="0" xfId="0" applyFont="1" applyAlignment="1">
      <alignment horizontal="right"/>
    </xf>
    <xf numFmtId="0" fontId="58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3" fillId="32" borderId="21" xfId="0" applyFont="1" applyFill="1" applyBorder="1" applyAlignment="1">
      <alignment horizontal="center" vertical="center"/>
    </xf>
    <xf numFmtId="0" fontId="63" fillId="32" borderId="20" xfId="0" applyFont="1" applyFill="1" applyBorder="1" applyAlignment="1">
      <alignment horizontal="center" vertical="center"/>
    </xf>
    <xf numFmtId="0" fontId="63" fillId="32" borderId="21" xfId="0" applyFont="1" applyFill="1" applyBorder="1" applyAlignment="1">
      <alignment horizontal="center"/>
    </xf>
    <xf numFmtId="0" fontId="68" fillId="0" borderId="13" xfId="0" applyFont="1" applyBorder="1" applyAlignment="1">
      <alignment horizontal="center"/>
    </xf>
    <xf numFmtId="0" fontId="68" fillId="0" borderId="0" xfId="0" applyFont="1" applyAlignment="1">
      <alignment horizontal="center"/>
    </xf>
    <xf numFmtId="0" fontId="69" fillId="0" borderId="27" xfId="0" applyFont="1" applyBorder="1" applyAlignment="1">
      <alignment horizontal="center"/>
    </xf>
    <xf numFmtId="0" fontId="69" fillId="0" borderId="26" xfId="0" applyFont="1" applyBorder="1" applyAlignment="1">
      <alignment horizontal="center"/>
    </xf>
    <xf numFmtId="0" fontId="71" fillId="0" borderId="24" xfId="0" applyFont="1" applyBorder="1" applyAlignment="1">
      <alignment horizontal="center" vertical="center" wrapText="1"/>
    </xf>
    <xf numFmtId="0" fontId="71" fillId="0" borderId="25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/>
    </xf>
    <xf numFmtId="0" fontId="71" fillId="0" borderId="25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4" xfId="0" applyFont="1" applyBorder="1" applyAlignment="1">
      <alignment horizontal="center" vertical="center"/>
    </xf>
    <xf numFmtId="0" fontId="57" fillId="0" borderId="25" xfId="0" applyFont="1" applyBorder="1" applyAlignment="1">
      <alignment horizontal="center" vertical="center"/>
    </xf>
    <xf numFmtId="0" fontId="57" fillId="0" borderId="30" xfId="0" applyFont="1" applyBorder="1" applyAlignment="1">
      <alignment horizontal="center" vertical="center"/>
    </xf>
    <xf numFmtId="0" fontId="57" fillId="0" borderId="27" xfId="0" applyFont="1" applyBorder="1" applyAlignment="1">
      <alignment horizontal="center" vertical="center"/>
    </xf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45" t="s">
        <v>11</v>
      </c>
      <c r="B1" s="145"/>
      <c r="C1" s="145"/>
      <c r="D1" s="145"/>
      <c r="E1" s="145"/>
      <c r="F1" s="145"/>
      <c r="G1" s="145"/>
      <c r="H1" s="145"/>
      <c r="I1" s="145"/>
      <c r="J1" s="145"/>
    </row>
    <row r="2" spans="1:10" ht="25.5">
      <c r="A2" s="146" t="s">
        <v>49</v>
      </c>
      <c r="B2" s="146"/>
      <c r="C2" s="146"/>
      <c r="D2" s="146"/>
      <c r="E2" s="146"/>
      <c r="F2" s="146"/>
      <c r="G2" s="146"/>
      <c r="H2" s="146"/>
      <c r="I2" s="146"/>
      <c r="J2" s="146"/>
    </row>
    <row r="3" spans="1:10" ht="18.75">
      <c r="A3" s="147" t="s">
        <v>50</v>
      </c>
      <c r="B3" s="147"/>
      <c r="C3" s="147"/>
      <c r="D3" s="147"/>
      <c r="E3" s="147"/>
      <c r="F3" s="147"/>
      <c r="G3" s="147"/>
      <c r="H3" s="147"/>
      <c r="I3" s="147"/>
      <c r="J3" s="147"/>
    </row>
    <row r="4" spans="1:10">
      <c r="A4" s="148" t="s">
        <v>51</v>
      </c>
      <c r="B4" s="148"/>
      <c r="C4" s="148"/>
      <c r="D4" s="148"/>
      <c r="E4" s="148"/>
      <c r="F4" s="148"/>
      <c r="G4" s="148"/>
      <c r="H4" s="148"/>
      <c r="I4" s="148"/>
      <c r="J4" s="148"/>
    </row>
    <row r="5" spans="1:10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ht="15.75">
      <c r="A6" s="6" t="s">
        <v>52</v>
      </c>
      <c r="B6" s="6"/>
      <c r="C6" s="149" t="e">
        <f>E51</f>
        <v>#REF!</v>
      </c>
      <c r="D6" s="150"/>
      <c r="E6" s="6"/>
      <c r="F6" s="6"/>
      <c r="G6" s="6" t="s">
        <v>53</v>
      </c>
      <c r="H6" s="6"/>
      <c r="I6" s="149" t="e">
        <f>H51</f>
        <v>#REF!</v>
      </c>
      <c r="J6" s="150"/>
    </row>
    <row r="7" spans="1:10">
      <c r="A7" s="7"/>
      <c r="B7" s="7"/>
      <c r="C7" s="151"/>
      <c r="D7" s="151"/>
      <c r="E7" s="151"/>
      <c r="F7" s="151"/>
      <c r="H7" s="152"/>
      <c r="I7" s="152"/>
      <c r="J7" s="152"/>
    </row>
    <row r="8" spans="1:10" ht="16.5">
      <c r="A8" t="s">
        <v>54</v>
      </c>
      <c r="B8" s="8" t="e">
        <f>#REF!</f>
        <v>#REF!</v>
      </c>
      <c r="D8" s="9"/>
      <c r="G8" s="10"/>
      <c r="J8" s="11" t="s">
        <v>55</v>
      </c>
    </row>
    <row r="9" spans="1:10">
      <c r="A9" t="s">
        <v>56</v>
      </c>
      <c r="D9" s="9"/>
      <c r="G9" s="10"/>
      <c r="J9" s="11" t="s">
        <v>65</v>
      </c>
    </row>
    <row r="10" spans="1:10">
      <c r="A10" s="153" t="s">
        <v>57</v>
      </c>
      <c r="B10" s="153" t="s">
        <v>12</v>
      </c>
      <c r="C10" s="155" t="s">
        <v>58</v>
      </c>
      <c r="D10" s="155"/>
      <c r="E10" s="155"/>
      <c r="F10" s="155" t="s">
        <v>59</v>
      </c>
      <c r="G10" s="155"/>
      <c r="H10" s="155"/>
      <c r="I10" s="153" t="s">
        <v>60</v>
      </c>
      <c r="J10" s="153" t="s">
        <v>10</v>
      </c>
    </row>
    <row r="11" spans="1:10">
      <c r="A11" s="154"/>
      <c r="B11" s="154"/>
      <c r="C11" s="14" t="s">
        <v>61</v>
      </c>
      <c r="D11" s="15" t="s">
        <v>8</v>
      </c>
      <c r="E11" s="14" t="s">
        <v>62</v>
      </c>
      <c r="F11" s="14" t="s">
        <v>61</v>
      </c>
      <c r="G11" s="14" t="s">
        <v>8</v>
      </c>
      <c r="H11" s="14" t="s">
        <v>63</v>
      </c>
      <c r="I11" s="154"/>
      <c r="J11" s="154"/>
    </row>
    <row r="12" spans="1:10" ht="15.75">
      <c r="A12" s="22">
        <v>1</v>
      </c>
      <c r="B12" s="23" t="s">
        <v>41</v>
      </c>
      <c r="C12" s="16" t="e">
        <f>#REF!</f>
        <v>#REF!</v>
      </c>
      <c r="D12" s="16" t="e">
        <f>#REF!</f>
        <v>#REF!</v>
      </c>
      <c r="E12" s="16" t="e">
        <f>#REF!</f>
        <v>#REF!</v>
      </c>
      <c r="F12" s="16" t="e">
        <f>#REF!</f>
        <v>#REF!</v>
      </c>
      <c r="G12" s="16" t="e">
        <f>#REF!</f>
        <v>#REF!</v>
      </c>
      <c r="H12" s="16" t="e">
        <f>#REF!</f>
        <v>#REF!</v>
      </c>
      <c r="I12" s="17" t="e">
        <f>F12-C12</f>
        <v>#REF!</v>
      </c>
      <c r="J12" s="18"/>
    </row>
    <row r="13" spans="1:10" ht="15.75">
      <c r="A13" s="24"/>
      <c r="B13" s="25"/>
      <c r="C13" s="18"/>
      <c r="D13" s="18"/>
      <c r="E13" s="18"/>
      <c r="F13" s="18"/>
      <c r="G13" s="18"/>
      <c r="H13" s="18"/>
      <c r="I13" s="17"/>
      <c r="J13" s="18"/>
    </row>
    <row r="14" spans="1:10" ht="31.5">
      <c r="A14" s="24">
        <v>2</v>
      </c>
      <c r="B14" s="25" t="s">
        <v>40</v>
      </c>
      <c r="C14" s="16" t="e">
        <f>#REF!</f>
        <v>#REF!</v>
      </c>
      <c r="D14" s="16" t="e">
        <f>#REF!</f>
        <v>#REF!</v>
      </c>
      <c r="E14" s="16" t="e">
        <f>#REF!</f>
        <v>#REF!</v>
      </c>
      <c r="F14" s="16" t="e">
        <f>#REF!</f>
        <v>#REF!</v>
      </c>
      <c r="G14" s="16" t="e">
        <f>#REF!</f>
        <v>#REF!</v>
      </c>
      <c r="H14" s="16" t="e">
        <f>#REF!</f>
        <v>#REF!</v>
      </c>
      <c r="I14" s="17" t="e">
        <f>F14-C14</f>
        <v>#REF!</v>
      </c>
      <c r="J14" s="18"/>
    </row>
    <row r="15" spans="1:10" ht="15.75">
      <c r="A15" s="24"/>
      <c r="B15" s="25"/>
      <c r="C15" s="16"/>
      <c r="D15" s="18"/>
      <c r="E15" s="18"/>
      <c r="F15" s="18"/>
      <c r="G15" s="18"/>
      <c r="H15" s="18"/>
      <c r="I15" s="17"/>
      <c r="J15" s="18"/>
    </row>
    <row r="16" spans="1:10" ht="15.75">
      <c r="A16" s="24">
        <v>3</v>
      </c>
      <c r="B16" s="26" t="s">
        <v>34</v>
      </c>
      <c r="C16" s="16" t="e">
        <f>#REF!</f>
        <v>#REF!</v>
      </c>
      <c r="D16" s="16" t="e">
        <f>#REF!</f>
        <v>#REF!</v>
      </c>
      <c r="E16" s="16" t="e">
        <f>#REF!</f>
        <v>#REF!</v>
      </c>
      <c r="F16" s="16" t="e">
        <f>#REF!</f>
        <v>#REF!</v>
      </c>
      <c r="G16" s="16" t="e">
        <f>#REF!</f>
        <v>#REF!</v>
      </c>
      <c r="H16" s="16" t="e">
        <f>#REF!</f>
        <v>#REF!</v>
      </c>
      <c r="I16" s="17" t="e">
        <f>F16-C16</f>
        <v>#REF!</v>
      </c>
      <c r="J16" s="18"/>
    </row>
    <row r="17" spans="1:13" ht="15.75">
      <c r="A17" s="24"/>
      <c r="B17" s="27" t="s">
        <v>35</v>
      </c>
      <c r="C17" s="18"/>
      <c r="D17" s="18"/>
      <c r="E17" s="16" t="e">
        <f>#REF!</f>
        <v>#REF!</v>
      </c>
      <c r="F17" s="18"/>
      <c r="G17" s="18"/>
      <c r="H17" s="16" t="e">
        <f>#REF!</f>
        <v>#REF!</v>
      </c>
      <c r="I17" s="17"/>
      <c r="J17" s="18"/>
    </row>
    <row r="18" spans="1:13" ht="15.75">
      <c r="A18" s="24"/>
      <c r="B18" s="27"/>
      <c r="C18" s="18"/>
      <c r="D18" s="18"/>
      <c r="E18" s="18"/>
      <c r="F18" s="18"/>
      <c r="G18" s="18"/>
      <c r="H18" s="18"/>
      <c r="I18" s="17"/>
      <c r="J18" s="18"/>
    </row>
    <row r="19" spans="1:13" ht="15.75">
      <c r="A19" s="24">
        <v>4</v>
      </c>
      <c r="B19" s="26" t="s">
        <v>39</v>
      </c>
      <c r="C19" s="16" t="e">
        <f>#REF!</f>
        <v>#REF!</v>
      </c>
      <c r="D19" s="16" t="e">
        <f>#REF!</f>
        <v>#REF!</v>
      </c>
      <c r="E19" s="16" t="e">
        <f>#REF!</f>
        <v>#REF!</v>
      </c>
      <c r="F19" s="16" t="e">
        <f>#REF!</f>
        <v>#REF!</v>
      </c>
      <c r="G19" s="16" t="e">
        <f>#REF!</f>
        <v>#REF!</v>
      </c>
      <c r="H19" s="16" t="e">
        <f>#REF!</f>
        <v>#REF!</v>
      </c>
      <c r="I19" s="17" t="e">
        <f>F19-C19</f>
        <v>#REF!</v>
      </c>
      <c r="J19" s="18"/>
      <c r="M19" s="13"/>
    </row>
    <row r="20" spans="1:13" ht="15.75">
      <c r="A20" s="24"/>
      <c r="B20" s="28" t="s">
        <v>35</v>
      </c>
      <c r="C20" s="18"/>
      <c r="D20" s="18"/>
      <c r="E20" s="16" t="e">
        <f>#REF!</f>
        <v>#REF!</v>
      </c>
      <c r="F20" s="18"/>
      <c r="G20" s="18"/>
      <c r="H20" s="16" t="e">
        <f>#REF!</f>
        <v>#REF!</v>
      </c>
      <c r="I20" s="17"/>
      <c r="J20" s="18"/>
    </row>
    <row r="21" spans="1:13" ht="15.75">
      <c r="A21" s="24"/>
      <c r="B21" s="27"/>
      <c r="C21" s="18"/>
      <c r="D21" s="18"/>
      <c r="E21" s="18"/>
      <c r="F21" s="18"/>
      <c r="G21" s="18"/>
      <c r="H21" s="18"/>
      <c r="I21" s="17"/>
      <c r="J21" s="18"/>
    </row>
    <row r="22" spans="1:13" ht="15.75">
      <c r="A22" s="24">
        <v>5</v>
      </c>
      <c r="B22" s="26" t="s">
        <v>46</v>
      </c>
      <c r="C22" s="16" t="e">
        <f>#REF!</f>
        <v>#REF!</v>
      </c>
      <c r="D22" s="16" t="e">
        <f>#REF!</f>
        <v>#REF!</v>
      </c>
      <c r="E22" s="16" t="e">
        <f>#REF!</f>
        <v>#REF!</v>
      </c>
      <c r="F22" s="16" t="e">
        <f>#REF!</f>
        <v>#REF!</v>
      </c>
      <c r="G22" s="16" t="e">
        <f>#REF!</f>
        <v>#REF!</v>
      </c>
      <c r="H22" s="16" t="e">
        <f>#REF!</f>
        <v>#REF!</v>
      </c>
      <c r="I22" s="17" t="e">
        <f>F22-C22</f>
        <v>#REF!</v>
      </c>
      <c r="J22" s="18"/>
    </row>
    <row r="23" spans="1:13" ht="15.75">
      <c r="A23" s="24"/>
      <c r="B23" s="28" t="s">
        <v>28</v>
      </c>
      <c r="C23" s="18"/>
      <c r="D23" s="18"/>
      <c r="E23" s="16" t="e">
        <f>#REF!</f>
        <v>#REF!</v>
      </c>
      <c r="F23" s="18"/>
      <c r="G23" s="18"/>
      <c r="H23" s="16" t="e">
        <f>#REF!</f>
        <v>#REF!</v>
      </c>
      <c r="I23" s="17"/>
      <c r="J23" s="18"/>
    </row>
    <row r="24" spans="1:13" ht="15.75">
      <c r="A24" s="24"/>
      <c r="B24" s="28" t="s">
        <v>36</v>
      </c>
      <c r="C24" s="18"/>
      <c r="D24" s="18"/>
      <c r="E24" s="16" t="e">
        <f>#REF!</f>
        <v>#REF!</v>
      </c>
      <c r="F24" s="18"/>
      <c r="G24" s="18"/>
      <c r="H24" s="16" t="e">
        <f>#REF!</f>
        <v>#REF!</v>
      </c>
      <c r="I24" s="17"/>
      <c r="J24" s="18"/>
    </row>
    <row r="25" spans="1:13" ht="15.75">
      <c r="A25" s="24"/>
      <c r="B25" s="28" t="s">
        <v>29</v>
      </c>
      <c r="C25" s="18"/>
      <c r="D25" s="18"/>
      <c r="E25" s="16" t="e">
        <f>#REF!</f>
        <v>#REF!</v>
      </c>
      <c r="F25" s="18"/>
      <c r="G25" s="18"/>
      <c r="H25" s="16" t="e">
        <f>#REF!</f>
        <v>#REF!</v>
      </c>
      <c r="I25" s="17"/>
      <c r="J25" s="18"/>
    </row>
    <row r="26" spans="1:13" ht="15.75">
      <c r="A26" s="24"/>
      <c r="B26" s="28"/>
      <c r="C26" s="18"/>
      <c r="D26" s="18"/>
      <c r="E26" s="18"/>
      <c r="F26" s="18"/>
      <c r="G26" s="18"/>
      <c r="H26" s="18"/>
      <c r="I26" s="17"/>
      <c r="J26" s="18"/>
    </row>
    <row r="27" spans="1:13" ht="31.5">
      <c r="A27" s="24">
        <v>6</v>
      </c>
      <c r="B27" s="29" t="s">
        <v>25</v>
      </c>
      <c r="C27" s="16" t="e">
        <f>#REF!</f>
        <v>#REF!</v>
      </c>
      <c r="D27" s="16" t="e">
        <f>#REF!</f>
        <v>#REF!</v>
      </c>
      <c r="E27" s="16" t="e">
        <f>#REF!</f>
        <v>#REF!</v>
      </c>
      <c r="F27" s="16" t="e">
        <f>#REF!</f>
        <v>#REF!</v>
      </c>
      <c r="G27" s="16" t="e">
        <f>#REF!</f>
        <v>#REF!</v>
      </c>
      <c r="H27" s="16" t="e">
        <f>#REF!</f>
        <v>#REF!</v>
      </c>
      <c r="I27" s="17" t="e">
        <f>F27-C27</f>
        <v>#REF!</v>
      </c>
      <c r="J27" s="18"/>
    </row>
    <row r="28" spans="1:13" ht="15.75">
      <c r="A28" s="24"/>
      <c r="B28" s="28" t="s">
        <v>28</v>
      </c>
      <c r="C28" s="18"/>
      <c r="D28" s="18"/>
      <c r="E28" s="16" t="e">
        <f>#REF!</f>
        <v>#REF!</v>
      </c>
      <c r="F28" s="18"/>
      <c r="G28" s="18"/>
      <c r="H28" s="16" t="e">
        <f>#REF!</f>
        <v>#REF!</v>
      </c>
      <c r="I28" s="17"/>
      <c r="J28" s="18"/>
    </row>
    <row r="29" spans="1:13" ht="15.75">
      <c r="A29" s="24"/>
      <c r="B29" s="28" t="s">
        <v>30</v>
      </c>
      <c r="C29" s="18"/>
      <c r="D29" s="18"/>
      <c r="E29" s="16" t="e">
        <f>#REF!</f>
        <v>#REF!</v>
      </c>
      <c r="F29" s="18"/>
      <c r="G29" s="18"/>
      <c r="H29" s="16" t="e">
        <f>#REF!</f>
        <v>#REF!</v>
      </c>
      <c r="I29" s="17"/>
      <c r="J29" s="18"/>
    </row>
    <row r="30" spans="1:13" ht="15.75">
      <c r="A30" s="24"/>
      <c r="B30" s="28" t="s">
        <v>29</v>
      </c>
      <c r="C30" s="18"/>
      <c r="D30" s="18"/>
      <c r="E30" s="16" t="e">
        <f>#REF!</f>
        <v>#REF!</v>
      </c>
      <c r="F30" s="18"/>
      <c r="G30" s="18"/>
      <c r="H30" s="16" t="e">
        <f>#REF!</f>
        <v>#REF!</v>
      </c>
      <c r="I30" s="17"/>
      <c r="J30" s="18"/>
    </row>
    <row r="31" spans="1:13" ht="15.75">
      <c r="A31" s="24"/>
      <c r="B31" s="28"/>
      <c r="C31" s="18"/>
      <c r="D31" s="18"/>
      <c r="E31" s="18"/>
      <c r="F31" s="18"/>
      <c r="G31" s="18"/>
      <c r="H31" s="18"/>
      <c r="I31" s="17"/>
      <c r="J31" s="18"/>
    </row>
    <row r="32" spans="1:13" ht="15.75">
      <c r="A32" s="26">
        <v>7</v>
      </c>
      <c r="B32" s="30" t="s">
        <v>26</v>
      </c>
      <c r="C32" s="17" t="e">
        <f>#REF!</f>
        <v>#REF!</v>
      </c>
      <c r="D32" s="16" t="e">
        <f>#REF!</f>
        <v>#REF!</v>
      </c>
      <c r="E32" s="16" t="e">
        <f>#REF!</f>
        <v>#REF!</v>
      </c>
      <c r="F32" s="17" t="e">
        <f>#REF!</f>
        <v>#REF!</v>
      </c>
      <c r="G32" s="16" t="e">
        <f>#REF!</f>
        <v>#REF!</v>
      </c>
      <c r="H32" s="16" t="e">
        <f>#REF!</f>
        <v>#REF!</v>
      </c>
      <c r="I32" s="17" t="e">
        <f>F32-C32</f>
        <v>#REF!</v>
      </c>
      <c r="J32" s="18"/>
    </row>
    <row r="33" spans="1:10" ht="15.75">
      <c r="A33" s="26"/>
      <c r="B33" s="28" t="s">
        <v>28</v>
      </c>
      <c r="C33" s="18"/>
      <c r="D33" s="18"/>
      <c r="E33" s="16" t="e">
        <f>#REF!</f>
        <v>#REF!</v>
      </c>
      <c r="F33" s="18"/>
      <c r="G33" s="18"/>
      <c r="H33" s="16" t="e">
        <f>#REF!</f>
        <v>#REF!</v>
      </c>
      <c r="I33" s="17"/>
      <c r="J33" s="18"/>
    </row>
    <row r="34" spans="1:10" ht="15.75">
      <c r="A34" s="24"/>
      <c r="B34" s="28"/>
      <c r="C34" s="18"/>
      <c r="D34" s="18"/>
      <c r="E34" s="18"/>
      <c r="F34" s="18"/>
      <c r="G34" s="18"/>
      <c r="H34" s="18"/>
      <c r="I34" s="17"/>
      <c r="J34" s="18"/>
    </row>
    <row r="35" spans="1:10" ht="15.75">
      <c r="A35" s="24">
        <v>8</v>
      </c>
      <c r="B35" s="25" t="s">
        <v>37</v>
      </c>
      <c r="C35" s="16" t="e">
        <f>#REF!</f>
        <v>#REF!</v>
      </c>
      <c r="D35" s="16" t="e">
        <f>#REF!</f>
        <v>#REF!</v>
      </c>
      <c r="E35" s="16" t="e">
        <f>#REF!</f>
        <v>#REF!</v>
      </c>
      <c r="F35" s="16" t="e">
        <f>#REF!</f>
        <v>#REF!</v>
      </c>
      <c r="G35" s="16" t="e">
        <f>#REF!</f>
        <v>#REF!</v>
      </c>
      <c r="H35" s="16" t="e">
        <f>#REF!</f>
        <v>#REF!</v>
      </c>
      <c r="I35" s="17" t="e">
        <f>F35-C35</f>
        <v>#REF!</v>
      </c>
      <c r="J35" s="18"/>
    </row>
    <row r="36" spans="1:10" ht="15.75">
      <c r="A36" s="24"/>
      <c r="B36" s="28" t="s">
        <v>28</v>
      </c>
      <c r="C36" s="18"/>
      <c r="D36" s="18"/>
      <c r="E36" s="16" t="e">
        <f>#REF!</f>
        <v>#REF!</v>
      </c>
      <c r="F36" s="18"/>
      <c r="G36" s="18"/>
      <c r="H36" s="16" t="e">
        <f>#REF!</f>
        <v>#REF!</v>
      </c>
      <c r="I36" s="17"/>
      <c r="J36" s="18"/>
    </row>
    <row r="37" spans="1:10" ht="15.75">
      <c r="A37" s="24"/>
      <c r="B37" s="28" t="s">
        <v>29</v>
      </c>
      <c r="C37" s="18"/>
      <c r="D37" s="18"/>
      <c r="E37" s="16" t="e">
        <f>#REF!</f>
        <v>#REF!</v>
      </c>
      <c r="F37" s="18"/>
      <c r="G37" s="18"/>
      <c r="H37" s="16" t="e">
        <f>#REF!</f>
        <v>#REF!</v>
      </c>
      <c r="I37" s="17"/>
      <c r="J37" s="18"/>
    </row>
    <row r="38" spans="1:10" ht="15.75">
      <c r="A38" s="26"/>
      <c r="B38" s="28"/>
      <c r="C38" s="18"/>
      <c r="D38" s="18"/>
      <c r="E38" s="18"/>
      <c r="F38" s="18"/>
      <c r="G38" s="18"/>
      <c r="H38" s="18"/>
      <c r="I38" s="17"/>
      <c r="J38" s="18"/>
    </row>
    <row r="39" spans="1:10" ht="15.75">
      <c r="A39" s="24">
        <v>9</v>
      </c>
      <c r="B39" s="25" t="s">
        <v>38</v>
      </c>
      <c r="C39" s="16" t="e">
        <f>#REF!</f>
        <v>#REF!</v>
      </c>
      <c r="D39" s="16" t="e">
        <f>#REF!</f>
        <v>#REF!</v>
      </c>
      <c r="E39" s="16" t="e">
        <f>#REF!</f>
        <v>#REF!</v>
      </c>
      <c r="F39" s="16" t="e">
        <f>#REF!</f>
        <v>#REF!</v>
      </c>
      <c r="G39" s="16" t="e">
        <f>#REF!</f>
        <v>#REF!</v>
      </c>
      <c r="H39" s="16" t="e">
        <f>#REF!</f>
        <v>#REF!</v>
      </c>
      <c r="I39" s="17" t="e">
        <f>F39-C39</f>
        <v>#REF!</v>
      </c>
      <c r="J39" s="18"/>
    </row>
    <row r="40" spans="1:10" ht="15.75">
      <c r="A40" s="24"/>
      <c r="B40" s="25"/>
      <c r="C40" s="18"/>
      <c r="D40" s="18"/>
      <c r="E40" s="18"/>
      <c r="F40" s="18"/>
      <c r="G40" s="18"/>
      <c r="H40" s="18"/>
      <c r="I40" s="17"/>
      <c r="J40" s="18"/>
    </row>
    <row r="41" spans="1:10" ht="15.75">
      <c r="A41" s="26">
        <v>10</v>
      </c>
      <c r="B41" s="30" t="s">
        <v>42</v>
      </c>
      <c r="C41" s="17" t="e">
        <f>#REF!</f>
        <v>#REF!</v>
      </c>
      <c r="D41" s="16" t="e">
        <f>#REF!</f>
        <v>#REF!</v>
      </c>
      <c r="E41" s="16" t="e">
        <f>#REF!</f>
        <v>#REF!</v>
      </c>
      <c r="F41" s="17" t="e">
        <f>#REF!</f>
        <v>#REF!</v>
      </c>
      <c r="G41" s="16" t="e">
        <f>#REF!</f>
        <v>#REF!</v>
      </c>
      <c r="H41" s="16" t="e">
        <f>#REF!</f>
        <v>#REF!</v>
      </c>
      <c r="I41" s="17" t="e">
        <f>F41-C41</f>
        <v>#REF!</v>
      </c>
      <c r="J41" s="18"/>
    </row>
    <row r="42" spans="1:10" ht="15.75">
      <c r="A42" s="26"/>
      <c r="B42" s="31" t="s">
        <v>47</v>
      </c>
      <c r="C42" s="18"/>
      <c r="D42" s="16"/>
      <c r="E42" s="16" t="e">
        <f>#REF!</f>
        <v>#REF!</v>
      </c>
      <c r="F42" s="18"/>
      <c r="G42" s="18"/>
      <c r="H42" s="16" t="e">
        <f>#REF!</f>
        <v>#REF!</v>
      </c>
      <c r="I42" s="17"/>
      <c r="J42" s="18"/>
    </row>
    <row r="43" spans="1:10" ht="15.75">
      <c r="A43" s="26"/>
      <c r="B43" s="30"/>
      <c r="C43" s="18"/>
      <c r="D43" s="18"/>
      <c r="E43" s="18"/>
      <c r="F43" s="18"/>
      <c r="G43" s="18"/>
      <c r="H43" s="18"/>
      <c r="I43" s="17"/>
      <c r="J43" s="18"/>
    </row>
    <row r="44" spans="1:10" ht="15.75">
      <c r="A44" s="26">
        <v>11</v>
      </c>
      <c r="B44" s="30" t="s">
        <v>43</v>
      </c>
      <c r="C44" s="18" t="e">
        <f>#REF!</f>
        <v>#REF!</v>
      </c>
      <c r="D44" s="16" t="e">
        <f>#REF!</f>
        <v>#REF!</v>
      </c>
      <c r="E44" s="16" t="e">
        <f>#REF!</f>
        <v>#REF!</v>
      </c>
      <c r="F44" s="18" t="e">
        <f>#REF!</f>
        <v>#REF!</v>
      </c>
      <c r="G44" s="16" t="e">
        <f>#REF!</f>
        <v>#REF!</v>
      </c>
      <c r="H44" s="16" t="e">
        <f>#REF!</f>
        <v>#REF!</v>
      </c>
      <c r="I44" s="17" t="e">
        <f>F44-C44</f>
        <v>#REF!</v>
      </c>
      <c r="J44" s="18"/>
    </row>
    <row r="45" spans="1:10" ht="15.75">
      <c r="A45" s="24"/>
      <c r="B45" s="32" t="s">
        <v>48</v>
      </c>
      <c r="C45" s="18"/>
      <c r="D45" s="18"/>
      <c r="E45" s="16" t="e">
        <f>#REF!</f>
        <v>#REF!</v>
      </c>
      <c r="F45" s="18"/>
      <c r="G45" s="18"/>
      <c r="H45" s="16" t="e">
        <f>#REF!</f>
        <v>#REF!</v>
      </c>
      <c r="I45" s="17"/>
      <c r="J45" s="18"/>
    </row>
    <row r="46" spans="1:10" ht="15.75">
      <c r="A46" s="24"/>
      <c r="B46" s="25"/>
      <c r="C46" s="18"/>
      <c r="D46" s="18"/>
      <c r="E46" s="18"/>
      <c r="F46" s="18"/>
      <c r="G46" s="18"/>
      <c r="H46" s="18"/>
      <c r="I46" s="17"/>
      <c r="J46" s="18"/>
    </row>
    <row r="47" spans="1:10" ht="15.75">
      <c r="A47" s="33">
        <v>12</v>
      </c>
      <c r="B47" s="34" t="s">
        <v>44</v>
      </c>
      <c r="C47" s="16" t="e">
        <f>#REF!</f>
        <v>#REF!</v>
      </c>
      <c r="D47" s="16" t="e">
        <f>#REF!</f>
        <v>#REF!</v>
      </c>
      <c r="E47" s="16" t="e">
        <f>#REF!</f>
        <v>#REF!</v>
      </c>
      <c r="F47" s="16" t="e">
        <f>#REF!</f>
        <v>#REF!</v>
      </c>
      <c r="G47" s="16" t="e">
        <f>#REF!</f>
        <v>#REF!</v>
      </c>
      <c r="H47" s="16" t="e">
        <f>#REF!</f>
        <v>#REF!</v>
      </c>
      <c r="I47" s="17" t="e">
        <f>F47-C47</f>
        <v>#REF!</v>
      </c>
      <c r="J47" s="18"/>
    </row>
    <row r="48" spans="1:10" ht="15.75">
      <c r="A48" s="22"/>
      <c r="B48" s="35" t="s">
        <v>45</v>
      </c>
      <c r="C48" s="18"/>
      <c r="D48" s="18"/>
      <c r="E48" s="16" t="e">
        <f>#REF!</f>
        <v>#REF!</v>
      </c>
      <c r="F48" s="18"/>
      <c r="G48" s="18"/>
      <c r="H48" s="16" t="e">
        <f>#REF!</f>
        <v>#REF!</v>
      </c>
      <c r="I48" s="17"/>
      <c r="J48" s="18"/>
    </row>
    <row r="49" spans="1:10" ht="15.75">
      <c r="A49" s="26"/>
      <c r="B49" s="30"/>
      <c r="C49" s="18"/>
      <c r="D49" s="18"/>
      <c r="E49" s="18"/>
      <c r="F49" s="18"/>
      <c r="G49" s="18"/>
      <c r="H49" s="18"/>
      <c r="I49" s="17"/>
      <c r="J49" s="18"/>
    </row>
    <row r="50" spans="1:10" ht="15.75">
      <c r="A50" s="24">
        <v>12</v>
      </c>
      <c r="B50" s="36" t="s">
        <v>32</v>
      </c>
      <c r="C50" s="18">
        <v>1</v>
      </c>
      <c r="D50" s="18">
        <v>500</v>
      </c>
      <c r="E50" s="18">
        <v>500</v>
      </c>
      <c r="F50" s="17" t="e">
        <f>#REF!</f>
        <v>#REF!</v>
      </c>
      <c r="G50" s="16" t="e">
        <f>#REF!</f>
        <v>#REF!</v>
      </c>
      <c r="H50" s="16" t="e">
        <f>#REF!</f>
        <v>#REF!</v>
      </c>
      <c r="I50" s="17" t="e">
        <f>F50-C50</f>
        <v>#REF!</v>
      </c>
      <c r="J50" s="18"/>
    </row>
    <row r="51" spans="1:10" ht="15.75">
      <c r="A51" s="19"/>
      <c r="B51" s="20" t="s">
        <v>64</v>
      </c>
      <c r="C51" s="20"/>
      <c r="D51" s="20"/>
      <c r="E51" s="21" t="e">
        <f>SUM(E12:E50)</f>
        <v>#REF!</v>
      </c>
      <c r="F51" s="20"/>
      <c r="G51" s="20"/>
      <c r="H51" s="21" t="e">
        <f>SUM(H12:H50)</f>
        <v>#REF!</v>
      </c>
      <c r="I51" s="20"/>
      <c r="J51" s="20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="80" zoomScaleNormal="80" workbookViewId="0">
      <selection activeCell="F8" sqref="F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20.25">
      <c r="A1" s="38">
        <v>152</v>
      </c>
      <c r="B1" s="156" t="s">
        <v>83</v>
      </c>
      <c r="C1" s="157"/>
      <c r="D1" s="157"/>
      <c r="E1" s="157"/>
      <c r="F1" s="157"/>
      <c r="G1" s="157"/>
      <c r="H1" s="157"/>
    </row>
    <row r="2" spans="1:8" ht="15.75">
      <c r="A2" s="39" t="s">
        <v>84</v>
      </c>
      <c r="B2" s="158" t="s">
        <v>85</v>
      </c>
      <c r="C2" s="159"/>
      <c r="D2" s="159"/>
      <c r="E2" s="159"/>
      <c r="F2" s="159"/>
      <c r="G2" s="159"/>
      <c r="H2" s="159"/>
    </row>
    <row r="3" spans="1:8" ht="31.5">
      <c r="A3" s="40"/>
      <c r="B3" s="41" t="s">
        <v>86</v>
      </c>
      <c r="C3" s="41" t="s">
        <v>87</v>
      </c>
      <c r="D3" s="41" t="s">
        <v>88</v>
      </c>
      <c r="E3" s="41" t="s">
        <v>89</v>
      </c>
      <c r="F3" s="41" t="s">
        <v>90</v>
      </c>
      <c r="G3" s="41" t="s">
        <v>91</v>
      </c>
      <c r="H3" s="41" t="s">
        <v>92</v>
      </c>
    </row>
    <row r="4" spans="1:8" ht="17.25">
      <c r="A4" s="40"/>
      <c r="B4" s="160" t="s">
        <v>93</v>
      </c>
      <c r="C4" s="42" t="s">
        <v>94</v>
      </c>
      <c r="D4" s="43">
        <v>0.5</v>
      </c>
      <c r="E4" s="44" t="s">
        <v>95</v>
      </c>
      <c r="F4" s="45">
        <v>1330</v>
      </c>
      <c r="G4" s="45">
        <f>FLOOR(D4*F4,0.01)</f>
        <v>665</v>
      </c>
      <c r="H4" s="46"/>
    </row>
    <row r="5" spans="1:8" ht="17.25">
      <c r="A5" s="40"/>
      <c r="B5" s="161"/>
      <c r="C5" s="47" t="s">
        <v>96</v>
      </c>
      <c r="D5" s="48">
        <v>1</v>
      </c>
      <c r="E5" s="47" t="s">
        <v>95</v>
      </c>
      <c r="F5" s="49">
        <v>1000</v>
      </c>
      <c r="G5" s="49">
        <f>FLOOR(D5*F5,0.01)</f>
        <v>1000</v>
      </c>
      <c r="H5" s="50">
        <f>SUM(G4+G5)</f>
        <v>1665</v>
      </c>
    </row>
    <row r="6" spans="1:8" ht="17.25">
      <c r="A6" s="40"/>
      <c r="B6" s="162" t="s">
        <v>97</v>
      </c>
      <c r="C6" s="44" t="s">
        <v>98</v>
      </c>
      <c r="D6" s="43">
        <f>420*0</f>
        <v>0</v>
      </c>
      <c r="E6" s="44" t="s">
        <v>99</v>
      </c>
      <c r="F6" s="51">
        <v>15.145</v>
      </c>
      <c r="G6" s="52">
        <f>FLOOR(D6*F6,0.01)</f>
        <v>0</v>
      </c>
      <c r="H6" s="46"/>
    </row>
    <row r="7" spans="1:8" ht="17.25">
      <c r="A7" s="40"/>
      <c r="B7" s="163"/>
      <c r="C7" s="47" t="s">
        <v>100</v>
      </c>
      <c r="D7" s="48">
        <f>0.71*0</f>
        <v>0</v>
      </c>
      <c r="E7" s="47" t="s">
        <v>101</v>
      </c>
      <c r="F7" s="49">
        <v>3389.76</v>
      </c>
      <c r="G7" s="49">
        <f>FLOOR(D7*F7,0.01)</f>
        <v>0</v>
      </c>
      <c r="H7" s="53">
        <f>SUM(G6:G7)</f>
        <v>0</v>
      </c>
    </row>
    <row r="8" spans="1:8" ht="19.5">
      <c r="A8" s="40"/>
      <c r="B8" s="40"/>
      <c r="C8" s="40"/>
      <c r="D8" s="40"/>
      <c r="E8" s="40"/>
      <c r="F8" s="54" t="s">
        <v>102</v>
      </c>
      <c r="G8" s="55"/>
      <c r="H8" s="49">
        <f>SUM(H7,H5)</f>
        <v>1665</v>
      </c>
    </row>
    <row r="9" spans="1:8" ht="19.5">
      <c r="A9" s="40"/>
      <c r="B9" s="40" t="s">
        <v>103</v>
      </c>
      <c r="C9" s="40"/>
      <c r="D9" s="40"/>
      <c r="E9" s="40"/>
      <c r="F9" s="54" t="s">
        <v>104</v>
      </c>
      <c r="G9" s="55"/>
      <c r="H9" s="56">
        <f>FLOOR(H8*0.15,0.01)</f>
        <v>249.75</v>
      </c>
    </row>
    <row r="10" spans="1:8" ht="19.5">
      <c r="A10" s="57"/>
      <c r="B10" s="58">
        <f>+H10</f>
        <v>1914.75</v>
      </c>
      <c r="C10" s="59" t="s">
        <v>105</v>
      </c>
      <c r="D10" s="56">
        <f>INT(B10/B11*100)/100</f>
        <v>191.47</v>
      </c>
      <c r="E10" s="40" t="s">
        <v>106</v>
      </c>
      <c r="F10" s="54" t="s">
        <v>107</v>
      </c>
      <c r="G10" s="55"/>
      <c r="H10" s="56">
        <f>SUM(H8:H9)</f>
        <v>1914.75</v>
      </c>
    </row>
    <row r="11" spans="1:8" ht="16.5">
      <c r="A11" s="40"/>
      <c r="B11" s="60">
        <v>10</v>
      </c>
      <c r="C11" s="40"/>
      <c r="D11" s="40"/>
      <c r="E11" s="40"/>
      <c r="F11" s="40"/>
      <c r="G11" s="40"/>
      <c r="H11" s="40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51010-D468-4D9B-BD2C-99595ACF4C8F}">
  <dimension ref="A1:L174"/>
  <sheetViews>
    <sheetView view="pageBreakPreview" topLeftCell="A153" zoomScaleNormal="100" zoomScaleSheetLayoutView="100" workbookViewId="0">
      <selection activeCell="A165" sqref="A165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39" t="s">
        <v>11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09"/>
    </row>
    <row r="2" spans="1:12" ht="20.25">
      <c r="A2" s="140" t="s">
        <v>16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18"/>
    </row>
    <row r="3" spans="1:12">
      <c r="A3" s="139" t="s">
        <v>17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09"/>
    </row>
    <row r="4" spans="1:12">
      <c r="A4" s="141" t="s">
        <v>22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</row>
    <row r="5" spans="1:12" ht="20.25">
      <c r="A5" s="119" t="s">
        <v>139</v>
      </c>
      <c r="G5" s="4"/>
      <c r="J5" s="142" t="s">
        <v>78</v>
      </c>
      <c r="K5" s="142"/>
    </row>
    <row r="6" spans="1:12">
      <c r="A6" s="143" t="s">
        <v>27</v>
      </c>
      <c r="B6" s="143"/>
      <c r="C6" s="143"/>
      <c r="D6" s="143"/>
      <c r="E6" s="143"/>
      <c r="F6" s="143"/>
      <c r="G6" s="61"/>
      <c r="H6" s="144" t="s">
        <v>140</v>
      </c>
      <c r="I6" s="144"/>
      <c r="J6" s="144"/>
      <c r="K6" s="144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C11*D11*E11*F11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C15*D15*F15</f>
        <v>14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>C16*D16*F16</f>
        <v>8.0993818957634858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>C17*D17*F17</f>
        <v>2.25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24.349381895763486</v>
      </c>
      <c r="H18" s="80" t="s">
        <v>24</v>
      </c>
      <c r="I18" s="84">
        <v>1982.2</v>
      </c>
      <c r="J18" s="84">
        <f>G18*I18</f>
        <v>48265.34479378238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f>C11</f>
        <v>1</v>
      </c>
      <c r="D21" s="84">
        <f>D11</f>
        <v>5</v>
      </c>
      <c r="E21" s="84">
        <f>E11</f>
        <v>3.3526363913441024</v>
      </c>
      <c r="F21" s="86">
        <v>7.4999999999999997E-2</v>
      </c>
      <c r="G21" s="84">
        <f>C21*D21*E21*F21</f>
        <v>1.2572386467540384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1.2572386467540384</v>
      </c>
      <c r="H22" s="80" t="s">
        <v>24</v>
      </c>
      <c r="I22" s="84">
        <v>770.43</v>
      </c>
      <c r="J22" s="84">
        <f>G22*I22</f>
        <v>968.61437061871379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C17</f>
        <v>1</v>
      </c>
      <c r="D25" s="90">
        <f>D17</f>
        <v>5</v>
      </c>
      <c r="E25" s="90">
        <f>E21</f>
        <v>3.3526363913441024</v>
      </c>
      <c r="F25" s="86"/>
      <c r="G25" s="90">
        <f>PRODUCT(C25:F25)</f>
        <v>16.763181956720512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16.763181956720512</v>
      </c>
      <c r="H26" s="86" t="s">
        <v>23</v>
      </c>
      <c r="I26" s="90">
        <f>Sheet1!H8/10</f>
        <v>166.5</v>
      </c>
      <c r="J26" s="90">
        <f>G26*I26</f>
        <v>2791.0697957939651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C25</f>
        <v>1</v>
      </c>
      <c r="D29" s="84">
        <f>D25</f>
        <v>5</v>
      </c>
      <c r="E29" s="84">
        <f>E25</f>
        <v>3.3526363913441024</v>
      </c>
      <c r="F29" s="84">
        <v>7.4999999999999997E-2</v>
      </c>
      <c r="G29" s="84">
        <f>C29*D29*E29*F29</f>
        <v>1.2572386467540384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1.2572386467540384</v>
      </c>
      <c r="H30" s="80" t="s">
        <v>24</v>
      </c>
      <c r="I30" s="84">
        <v>13351.1</v>
      </c>
      <c r="J30" s="84">
        <f>G30*I30</f>
        <v>16785.518896677844</v>
      </c>
      <c r="K30" s="81"/>
    </row>
    <row r="31" spans="1:11">
      <c r="A31" s="77"/>
      <c r="B31" s="92" t="s">
        <v>28</v>
      </c>
      <c r="C31" s="83"/>
      <c r="D31" s="84"/>
      <c r="E31" s="84"/>
      <c r="F31" s="84"/>
      <c r="G31" s="84"/>
      <c r="H31" s="80"/>
      <c r="I31" s="84"/>
      <c r="J31" s="84">
        <f>0.13*G30*4169.92</f>
        <v>681.53599512343794</v>
      </c>
      <c r="K31" s="81"/>
    </row>
    <row r="32" spans="1:11">
      <c r="A32" s="77"/>
      <c r="B32" s="92" t="s">
        <v>29</v>
      </c>
      <c r="C32" s="83"/>
      <c r="D32" s="84"/>
      <c r="E32" s="84"/>
      <c r="F32" s="84"/>
      <c r="G32" s="84"/>
      <c r="H32" s="80"/>
      <c r="I32" s="84"/>
      <c r="J32" s="84">
        <f>0.13*G30*1414.16</f>
        <v>231.13175861017984</v>
      </c>
      <c r="K32" s="81"/>
    </row>
    <row r="33" spans="1:11">
      <c r="A33" s="77"/>
      <c r="B33" s="92" t="s">
        <v>30</v>
      </c>
      <c r="C33" s="83"/>
      <c r="D33" s="84"/>
      <c r="E33" s="84"/>
      <c r="F33" s="84"/>
      <c r="G33" s="84"/>
      <c r="H33" s="80"/>
      <c r="I33" s="84"/>
      <c r="J33" s="84">
        <f>0.13*G30*(1652.5+737.97+349.56)</f>
        <v>447.83330920451084</v>
      </c>
      <c r="K33" s="81"/>
    </row>
    <row r="34" spans="1:11">
      <c r="A34" s="77"/>
      <c r="B34" s="78"/>
      <c r="C34" s="83"/>
      <c r="D34" s="84"/>
      <c r="E34" s="84"/>
      <c r="F34" s="84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71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4" t="s">
        <v>131</v>
      </c>
      <c r="C36" s="83">
        <v>33</v>
      </c>
      <c r="D36" s="84">
        <f>(2+5.917+16.17+5.917+2)/3.281</f>
        <v>9.7543431880524238</v>
      </c>
      <c r="E36" s="84"/>
      <c r="F36" s="84">
        <f>10*10/162</f>
        <v>0.61728395061728392</v>
      </c>
      <c r="G36" s="84">
        <f>C36*D36*F36</f>
        <v>198.69958346032715</v>
      </c>
      <c r="H36" s="80"/>
      <c r="I36" s="84"/>
      <c r="J36" s="84"/>
      <c r="K36" s="81"/>
    </row>
    <row r="37" spans="1:11">
      <c r="A37" s="77"/>
      <c r="B37" s="92"/>
      <c r="C37" s="83">
        <v>32</v>
      </c>
      <c r="D37" s="84">
        <f>(2+5.5+15.667+5.5+2)/3.281</f>
        <v>9.3468454739408724</v>
      </c>
      <c r="E37" s="84"/>
      <c r="F37" s="84">
        <f>10*10/162</f>
        <v>0.61728395061728392</v>
      </c>
      <c r="G37" s="84">
        <f t="shared" ref="G37" si="0">C37*D37*F37</f>
        <v>184.62904639883203</v>
      </c>
      <c r="H37" s="80"/>
      <c r="I37" s="84"/>
      <c r="J37" s="84"/>
      <c r="K37" s="81"/>
    </row>
    <row r="38" spans="1:11">
      <c r="A38" s="77"/>
      <c r="B38" s="94" t="s">
        <v>110</v>
      </c>
      <c r="C38" s="83">
        <v>23</v>
      </c>
      <c r="D38" s="84">
        <f>(2+5.917+10.75+5.917+2)/3.281</f>
        <v>8.1024078024992381</v>
      </c>
      <c r="E38" s="84"/>
      <c r="F38" s="84">
        <f>10*10/162</f>
        <v>0.61728395061728392</v>
      </c>
      <c r="G38" s="84">
        <f>C38*D38*F38</f>
        <v>115.03418485029782</v>
      </c>
      <c r="H38" s="80"/>
      <c r="I38" s="84"/>
      <c r="J38" s="84"/>
      <c r="K38" s="81"/>
    </row>
    <row r="39" spans="1:11">
      <c r="A39" s="77"/>
      <c r="B39" s="92"/>
      <c r="C39" s="83">
        <v>22</v>
      </c>
      <c r="D39" s="84">
        <f>(2+5.5+10.25+5.5+2)/3.281</f>
        <v>7.6958244437671439</v>
      </c>
      <c r="E39" s="84"/>
      <c r="F39" s="84">
        <f>10*10/162</f>
        <v>0.61728395061728392</v>
      </c>
      <c r="G39" s="84">
        <f t="shared" ref="G39" si="1">C39*D39*F39</f>
        <v>104.51119614992416</v>
      </c>
      <c r="H39" s="80"/>
      <c r="I39" s="84"/>
      <c r="J39" s="84"/>
      <c r="K39" s="81"/>
    </row>
    <row r="40" spans="1:11">
      <c r="A40" s="77"/>
      <c r="B40" s="94" t="s">
        <v>132</v>
      </c>
      <c r="C40" s="83">
        <v>12</v>
      </c>
      <c r="D40" s="84">
        <f>(16.17+10.75+16.17+10.75)/3.281</f>
        <v>16.409631209996952</v>
      </c>
      <c r="E40" s="84"/>
      <c r="F40" s="84">
        <f>8*8/162</f>
        <v>0.39506172839506171</v>
      </c>
      <c r="G40" s="84">
        <f>C40*D40*F40</f>
        <v>77.79380721776333</v>
      </c>
      <c r="H40" s="80"/>
      <c r="I40" s="84"/>
      <c r="J40" s="84"/>
      <c r="K40" s="81"/>
    </row>
    <row r="41" spans="1:11">
      <c r="A41" s="77"/>
      <c r="B41" s="92"/>
      <c r="C41" s="83">
        <v>11</v>
      </c>
      <c r="D41" s="84">
        <f>(15.667+10.25+15.667+10.25)/3.281</f>
        <v>15.798232246266382</v>
      </c>
      <c r="E41" s="84"/>
      <c r="F41" s="84">
        <f>8*8/162</f>
        <v>0.39506172839506171</v>
      </c>
      <c r="G41" s="84">
        <f>C41*D41*F41</f>
        <v>68.654046304762545</v>
      </c>
      <c r="H41" s="80"/>
      <c r="I41" s="84"/>
      <c r="J41" s="84"/>
      <c r="K41" s="81"/>
    </row>
    <row r="42" spans="1:11">
      <c r="A42" s="77"/>
      <c r="B42" s="94" t="s">
        <v>111</v>
      </c>
      <c r="C42" s="83">
        <f>2*TRUNC((D43/0.15),0)</f>
        <v>42</v>
      </c>
      <c r="D42" s="84">
        <f>(16.17/3.281)</f>
        <v>4.928375495275831</v>
      </c>
      <c r="E42" s="84"/>
      <c r="F42" s="84">
        <f t="shared" ref="F42:F46" si="2">8*8/162</f>
        <v>0.39506172839506171</v>
      </c>
      <c r="G42" s="84">
        <f t="shared" ref="G42:G43" si="3">C42*D42*F42</f>
        <v>81.774526736428598</v>
      </c>
      <c r="H42" s="80"/>
      <c r="I42" s="84"/>
      <c r="J42" s="84"/>
      <c r="K42" s="81"/>
    </row>
    <row r="43" spans="1:11">
      <c r="A43" s="77"/>
      <c r="B43" s="92"/>
      <c r="C43" s="83">
        <f>2*TRUNC((D42/0.15),0)</f>
        <v>64</v>
      </c>
      <c r="D43" s="84">
        <f>10.75/3.281</f>
        <v>3.2764401097226452</v>
      </c>
      <c r="E43" s="84"/>
      <c r="F43" s="84">
        <f t="shared" si="2"/>
        <v>0.39506172839506171</v>
      </c>
      <c r="G43" s="84">
        <f t="shared" si="3"/>
        <v>82.841349934715765</v>
      </c>
      <c r="H43" s="80"/>
      <c r="I43" s="84"/>
      <c r="J43" s="84"/>
      <c r="K43" s="81"/>
    </row>
    <row r="44" spans="1:11">
      <c r="A44" s="77"/>
      <c r="B44" s="94" t="s">
        <v>122</v>
      </c>
      <c r="C44" s="83">
        <f>-2*5</f>
        <v>-10</v>
      </c>
      <c r="D44" s="84">
        <v>0.6</v>
      </c>
      <c r="E44" s="84"/>
      <c r="F44" s="84">
        <f t="shared" si="2"/>
        <v>0.39506172839506171</v>
      </c>
      <c r="G44" s="84">
        <f t="shared" ref="G44:G45" si="4">PRODUCT(C44:F44)</f>
        <v>-2.3703703703703702</v>
      </c>
      <c r="H44" s="80"/>
      <c r="I44" s="84"/>
      <c r="J44" s="84"/>
      <c r="K44" s="81"/>
    </row>
    <row r="45" spans="1:11">
      <c r="A45" s="77"/>
      <c r="B45" s="94"/>
      <c r="C45" s="83">
        <f>-2*5</f>
        <v>-10</v>
      </c>
      <c r="D45" s="84">
        <v>0.6</v>
      </c>
      <c r="E45" s="84"/>
      <c r="F45" s="84">
        <f t="shared" si="2"/>
        <v>0.39506172839506171</v>
      </c>
      <c r="G45" s="84">
        <f t="shared" si="4"/>
        <v>-2.3703703703703702</v>
      </c>
      <c r="H45" s="80"/>
      <c r="I45" s="84"/>
      <c r="J45" s="84"/>
      <c r="K45" s="81"/>
    </row>
    <row r="46" spans="1:11">
      <c r="A46" s="77"/>
      <c r="B46" s="94" t="s">
        <v>118</v>
      </c>
      <c r="C46" s="83">
        <f>28*2+17*2</f>
        <v>90</v>
      </c>
      <c r="D46" s="84">
        <f>(1+1.42+1)/3.281</f>
        <v>1.04236513258153</v>
      </c>
      <c r="E46" s="84"/>
      <c r="F46" s="84">
        <f t="shared" si="2"/>
        <v>0.39506172839506171</v>
      </c>
      <c r="G46" s="84">
        <f t="shared" ref="G46" si="5">C46*D46*F46</f>
        <v>37.061871380676621</v>
      </c>
      <c r="H46" s="80"/>
      <c r="I46" s="84"/>
      <c r="J46" s="84"/>
      <c r="K46" s="81"/>
    </row>
    <row r="47" spans="1:11">
      <c r="A47" s="77"/>
      <c r="B47" s="92"/>
      <c r="C47" s="83"/>
      <c r="D47" s="84"/>
      <c r="E47" s="84"/>
      <c r="F47" s="84"/>
      <c r="G47" s="84">
        <f>SUM(G36:G46)</f>
        <v>946.25887169298721</v>
      </c>
      <c r="H47" s="80" t="s">
        <v>18</v>
      </c>
      <c r="I47" s="84">
        <f>132360/1000</f>
        <v>132.36000000000001</v>
      </c>
      <c r="J47" s="95">
        <f>G47*I47</f>
        <v>125246.82425728381</v>
      </c>
      <c r="K47" s="81"/>
    </row>
    <row r="48" spans="1:11">
      <c r="A48" s="77"/>
      <c r="B48" s="92" t="s">
        <v>72</v>
      </c>
      <c r="C48" s="83"/>
      <c r="D48" s="84"/>
      <c r="E48" s="84"/>
      <c r="F48" s="84"/>
      <c r="G48" s="84"/>
      <c r="H48" s="80"/>
      <c r="I48" s="84"/>
      <c r="J48" s="84">
        <f>0.13*G47*106200/1000</f>
        <v>13064.049982593382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((16.42+11)*2)/3.281</f>
        <v>16.714416336482781</v>
      </c>
      <c r="E51" s="84"/>
      <c r="F51" s="84">
        <f>4.583/3.281</f>
        <v>1.3968302346845474</v>
      </c>
      <c r="G51" s="84">
        <f>PRODUCT(C51:F51)</f>
        <v>23.347202093904475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((15.42+10)*2)/3.281</f>
        <v>15.49527583053947</v>
      </c>
      <c r="E52" s="84"/>
      <c r="F52" s="84">
        <f>4.17/3.281</f>
        <v>1.2709539774459007</v>
      </c>
      <c r="G52" s="84">
        <f t="shared" ref="G52:G54" si="6">PRODUCT(C52:F52)</f>
        <v>19.693782448445472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84">
        <f>(15.42/3.281)</f>
        <v>4.6997866504114594</v>
      </c>
      <c r="E53" s="84">
        <f>10/3.281</f>
        <v>3.047851264858275</v>
      </c>
      <c r="F53" s="84"/>
      <c r="G53" s="84">
        <f t="shared" si="6"/>
        <v>14.324250687020601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v>0.6</v>
      </c>
      <c r="E54" s="84">
        <v>0.6</v>
      </c>
      <c r="F54" s="84"/>
      <c r="G54" s="84">
        <f t="shared" si="6"/>
        <v>-0.36</v>
      </c>
      <c r="H54" s="80"/>
      <c r="I54" s="84"/>
      <c r="J54" s="84"/>
      <c r="K54" s="81"/>
    </row>
    <row r="55" spans="1:11">
      <c r="A55" s="77"/>
      <c r="B55" s="92"/>
      <c r="C55" s="83"/>
      <c r="D55" s="84"/>
      <c r="E55" s="84"/>
      <c r="F55" s="84"/>
      <c r="G55" s="84">
        <f>SUM(G51:G54)</f>
        <v>57.005235229370548</v>
      </c>
      <c r="H55" s="80" t="s">
        <v>23</v>
      </c>
      <c r="I55" s="84">
        <v>922.71</v>
      </c>
      <c r="J55" s="84">
        <f>G55*I55</f>
        <v>52599.300598492504</v>
      </c>
      <c r="K55" s="81"/>
    </row>
    <row r="56" spans="1:11">
      <c r="A56" s="77"/>
      <c r="B56" s="92" t="s">
        <v>72</v>
      </c>
      <c r="C56" s="83"/>
      <c r="D56" s="84"/>
      <c r="E56" s="84"/>
      <c r="F56" s="84"/>
      <c r="G56" s="84"/>
      <c r="H56" s="80"/>
      <c r="I56" s="84"/>
      <c r="J56" s="84">
        <f>0.13*G55*46827.87/100</f>
        <v>3470.2638680324994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D25</f>
        <v>5</v>
      </c>
      <c r="E59" s="84">
        <f>E25</f>
        <v>3.3526363913441024</v>
      </c>
      <c r="F59" s="84">
        <f>0.42/3.281</f>
        <v>0.12800975312404753</v>
      </c>
      <c r="G59" s="84">
        <f>C59*D59*E59*F59</f>
        <v>4.2917015677065615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D59</f>
        <v>5</v>
      </c>
      <c r="E60" s="84">
        <v>0.15</v>
      </c>
      <c r="F60" s="84">
        <f>5.25/3.281</f>
        <v>1.6001219140505942</v>
      </c>
      <c r="G60" s="84">
        <f>C60*D60*E60*F60</f>
        <v>2.4001828710758915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10/3.281</f>
        <v>3.047851264858275</v>
      </c>
      <c r="E61" s="84">
        <v>0.15</v>
      </c>
      <c r="F61" s="84">
        <f>5.25/3.281</f>
        <v>1.6001219140505942</v>
      </c>
      <c r="G61" s="84">
        <f>C61*D61*E61*F61</f>
        <v>1.4630800798999641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v>0.5</v>
      </c>
      <c r="D62" s="84">
        <f>(13.42*2+8*2)/3.281</f>
        <v>13.05699481865285</v>
      </c>
      <c r="E62" s="84">
        <f>1/3.281</f>
        <v>0.30478512648582745</v>
      </c>
      <c r="F62" s="84">
        <f>1/3.281</f>
        <v>0.30478512648582745</v>
      </c>
      <c r="G62" s="84">
        <f>C62*D62*E62*F62</f>
        <v>0.60645806420723891</v>
      </c>
      <c r="H62" s="80"/>
      <c r="I62" s="84"/>
      <c r="J62" s="84"/>
      <c r="K62" s="81"/>
    </row>
    <row r="63" spans="1:11">
      <c r="A63" s="77"/>
      <c r="B63" s="94" t="s">
        <v>122</v>
      </c>
      <c r="C63" s="83">
        <v>-1</v>
      </c>
      <c r="D63" s="84">
        <v>0.6</v>
      </c>
      <c r="E63" s="84">
        <v>0.6</v>
      </c>
      <c r="F63" s="84">
        <f>0.42/3.281</f>
        <v>0.12800975312404753</v>
      </c>
      <c r="G63" s="84">
        <f>C63*D63*E63*F63</f>
        <v>-4.6083511124657105E-2</v>
      </c>
      <c r="H63" s="80"/>
      <c r="I63" s="84"/>
      <c r="J63" s="84"/>
      <c r="K63" s="81"/>
    </row>
    <row r="64" spans="1:11">
      <c r="A64" s="77"/>
      <c r="B64" s="94"/>
      <c r="C64" s="83"/>
      <c r="D64" s="84"/>
      <c r="E64" s="84" t="s">
        <v>31</v>
      </c>
      <c r="F64" s="84"/>
      <c r="G64" s="84">
        <f>SUM(G59:G63)</f>
        <v>8.7153390717649994</v>
      </c>
      <c r="H64" s="80" t="s">
        <v>24</v>
      </c>
      <c r="I64" s="84">
        <v>13957.29</v>
      </c>
      <c r="J64" s="95">
        <f>G64*I64</f>
        <v>121642.51487295491</v>
      </c>
      <c r="K64" s="81"/>
    </row>
    <row r="65" spans="1:11">
      <c r="A65" s="77"/>
      <c r="B65" s="92" t="s">
        <v>28</v>
      </c>
      <c r="C65" s="83"/>
      <c r="D65" s="84"/>
      <c r="E65" s="84"/>
      <c r="F65" s="84"/>
      <c r="G65" s="84"/>
      <c r="H65" s="80"/>
      <c r="I65" s="84"/>
      <c r="J65" s="84">
        <f>0.13*G64*5212.4</f>
        <v>5905.6183390968245</v>
      </c>
      <c r="K65" s="81"/>
    </row>
    <row r="66" spans="1:11">
      <c r="A66" s="77"/>
      <c r="B66" s="92" t="s">
        <v>29</v>
      </c>
      <c r="C66" s="83"/>
      <c r="D66" s="84"/>
      <c r="E66" s="84"/>
      <c r="F66" s="84"/>
      <c r="G66" s="84"/>
      <c r="H66" s="80"/>
      <c r="I66" s="84"/>
      <c r="J66" s="84">
        <f>0.13*G64*1350.6</f>
        <v>1530.221803542355</v>
      </c>
      <c r="K66" s="81"/>
    </row>
    <row r="67" spans="1:11">
      <c r="A67" s="77"/>
      <c r="B67" s="92" t="s">
        <v>30</v>
      </c>
      <c r="C67" s="83"/>
      <c r="D67" s="84"/>
      <c r="E67" s="84"/>
      <c r="F67" s="84"/>
      <c r="G67" s="84"/>
      <c r="H67" s="80"/>
      <c r="I67" s="84"/>
      <c r="J67" s="84">
        <f>0.13*G64*(1912.03+921.59)</f>
        <v>3210.4746830695158</v>
      </c>
      <c r="K67" s="81"/>
    </row>
    <row r="68" spans="1:11">
      <c r="A68" s="77"/>
      <c r="B68" s="92" t="s">
        <v>120</v>
      </c>
      <c r="C68" s="83"/>
      <c r="D68" s="84"/>
      <c r="E68" s="84"/>
      <c r="F68" s="84"/>
      <c r="G68" s="84"/>
      <c r="H68" s="80"/>
      <c r="I68" s="84"/>
      <c r="J68" s="84">
        <f>0.13*G64*392.92</f>
        <v>445.17603365012752</v>
      </c>
      <c r="K68" s="81"/>
    </row>
    <row r="69" spans="1:11">
      <c r="A69" s="77"/>
      <c r="B69" s="92" t="s">
        <v>121</v>
      </c>
      <c r="C69" s="83"/>
      <c r="D69" s="84"/>
      <c r="E69" s="84"/>
      <c r="F69" s="84"/>
      <c r="G69" s="84"/>
      <c r="H69" s="80"/>
      <c r="I69" s="84"/>
      <c r="J69" s="84">
        <f>0.13*G64*14.15</f>
        <v>16.031866222511717</v>
      </c>
      <c r="K69" s="81"/>
    </row>
    <row r="70" spans="1:11">
      <c r="A70" s="77"/>
      <c r="B70" s="92"/>
      <c r="C70" s="83"/>
      <c r="D70" s="84"/>
      <c r="E70" s="84"/>
      <c r="F70" s="84"/>
      <c r="G70" s="84"/>
      <c r="H70" s="80"/>
      <c r="I70" s="84"/>
      <c r="J70" s="84"/>
      <c r="K70" s="81"/>
    </row>
    <row r="71" spans="1:11" ht="30.75">
      <c r="A71" s="77">
        <v>9</v>
      </c>
      <c r="B71" s="115" t="s">
        <v>69</v>
      </c>
      <c r="C71" s="83"/>
      <c r="D71" s="80"/>
      <c r="E71" s="80"/>
      <c r="F71" s="80"/>
      <c r="G71" s="84"/>
      <c r="H71" s="80"/>
      <c r="I71" s="84"/>
      <c r="J71" s="84"/>
      <c r="K71" s="81"/>
    </row>
    <row r="72" spans="1:11">
      <c r="A72" s="77"/>
      <c r="B72" s="92" t="s">
        <v>124</v>
      </c>
      <c r="C72" s="83">
        <v>2</v>
      </c>
      <c r="D72" s="80">
        <f>15.42/3.281</f>
        <v>4.6997866504114594</v>
      </c>
      <c r="E72" s="80"/>
      <c r="F72" s="80">
        <f>5.25/3.281</f>
        <v>1.6001219140505942</v>
      </c>
      <c r="G72" s="84">
        <f>C72*D72*F72</f>
        <v>15.040463221371631</v>
      </c>
      <c r="H72" s="80"/>
      <c r="I72" s="84"/>
      <c r="J72" s="84"/>
      <c r="K72" s="81"/>
    </row>
    <row r="73" spans="1:11">
      <c r="A73" s="77"/>
      <c r="B73" s="96"/>
      <c r="C73" s="83">
        <v>2</v>
      </c>
      <c r="D73" s="80">
        <f>10/3.281</f>
        <v>3.047851264858275</v>
      </c>
      <c r="E73" s="80"/>
      <c r="F73" s="80">
        <f>5.25/3.281</f>
        <v>1.6001219140505942</v>
      </c>
      <c r="G73" s="84">
        <f>C73*D73*F73</f>
        <v>9.7538671993330954</v>
      </c>
      <c r="H73" s="80"/>
      <c r="I73" s="97"/>
      <c r="J73" s="84"/>
      <c r="K73" s="81"/>
    </row>
    <row r="74" spans="1:11">
      <c r="A74" s="77"/>
      <c r="B74" s="96"/>
      <c r="C74" s="83"/>
      <c r="D74" s="84"/>
      <c r="E74" s="84"/>
      <c r="F74" s="86"/>
      <c r="G74" s="84">
        <f>SUM(G72:G73)</f>
        <v>24.794330420704725</v>
      </c>
      <c r="H74" s="80" t="s">
        <v>23</v>
      </c>
      <c r="I74" s="84">
        <v>415.5</v>
      </c>
      <c r="J74" s="84">
        <f>G74*I74</f>
        <v>10302.044289802812</v>
      </c>
      <c r="K74" s="81"/>
    </row>
    <row r="75" spans="1:11">
      <c r="A75" s="77"/>
      <c r="B75" s="92" t="s">
        <v>28</v>
      </c>
      <c r="C75" s="83"/>
      <c r="D75" s="84"/>
      <c r="E75" s="84"/>
      <c r="F75" s="86"/>
      <c r="G75" s="84"/>
      <c r="H75" s="80"/>
      <c r="I75" s="97"/>
      <c r="J75" s="84">
        <f>0.13*G74*7010.67/100</f>
        <v>225.97232898567862</v>
      </c>
      <c r="K75" s="81"/>
    </row>
    <row r="76" spans="1:11">
      <c r="A76" s="77"/>
      <c r="B76" s="92" t="s">
        <v>29</v>
      </c>
      <c r="C76" s="83"/>
      <c r="D76" s="84"/>
      <c r="E76" s="84"/>
      <c r="F76" s="86"/>
      <c r="G76" s="84"/>
      <c r="H76" s="80"/>
      <c r="I76" s="97"/>
      <c r="J76" s="84">
        <f>0.13*G74*4639.73/100</f>
        <v>149.55069828771323</v>
      </c>
      <c r="K76" s="81"/>
    </row>
    <row r="77" spans="1:11">
      <c r="A77" s="77"/>
      <c r="B77" s="92"/>
      <c r="C77" s="83"/>
      <c r="D77" s="84"/>
      <c r="E77" s="84"/>
      <c r="F77" s="86"/>
      <c r="G77" s="84"/>
      <c r="H77" s="80"/>
      <c r="I77" s="97"/>
      <c r="J77" s="84"/>
      <c r="K77" s="81"/>
    </row>
    <row r="78" spans="1:11" ht="30.75">
      <c r="A78" s="77">
        <v>10</v>
      </c>
      <c r="B78" s="115" t="s">
        <v>68</v>
      </c>
      <c r="C78" s="83"/>
      <c r="D78" s="80"/>
      <c r="E78" s="80"/>
      <c r="F78" s="84"/>
      <c r="G78" s="80"/>
      <c r="H78" s="86"/>
      <c r="I78" s="84"/>
      <c r="J78" s="80"/>
      <c r="K78" s="81"/>
    </row>
    <row r="79" spans="1:11">
      <c r="A79" s="77"/>
      <c r="B79" s="92" t="s">
        <v>123</v>
      </c>
      <c r="C79" s="83">
        <v>1</v>
      </c>
      <c r="D79" s="80">
        <f>13.42/3.281</f>
        <v>4.0902163974398045</v>
      </c>
      <c r="E79" s="80">
        <f>8/3.281</f>
        <v>2.4382810118866196</v>
      </c>
      <c r="F79" s="84"/>
      <c r="G79" s="80">
        <f>E79*D79*C79</f>
        <v>9.9730969763847703</v>
      </c>
      <c r="H79" s="86" t="s">
        <v>23</v>
      </c>
      <c r="I79" s="84">
        <v>689.98</v>
      </c>
      <c r="J79" s="80">
        <f>G79*I79</f>
        <v>6881.2374517659637</v>
      </c>
      <c r="K79" s="81"/>
    </row>
    <row r="80" spans="1:11">
      <c r="A80" s="77"/>
      <c r="B80" s="92" t="s">
        <v>28</v>
      </c>
      <c r="C80" s="83"/>
      <c r="D80" s="80"/>
      <c r="E80" s="80"/>
      <c r="F80" s="86"/>
      <c r="G80" s="80"/>
      <c r="H80" s="86"/>
      <c r="I80" s="84"/>
      <c r="J80" s="98">
        <f>0.13*G79*1694.03/10</f>
        <v>219.63143112176621</v>
      </c>
      <c r="K80" s="81"/>
    </row>
    <row r="81" spans="1:11">
      <c r="A81" s="77"/>
      <c r="B81" s="92" t="s">
        <v>29</v>
      </c>
      <c r="C81" s="83"/>
      <c r="D81" s="80"/>
      <c r="E81" s="80"/>
      <c r="F81" s="86"/>
      <c r="G81" s="80"/>
      <c r="H81" s="86"/>
      <c r="I81" s="84"/>
      <c r="J81" s="98">
        <f>0.13*G79*572.02/10</f>
        <v>74.162542121611025</v>
      </c>
      <c r="K81" s="81"/>
    </row>
    <row r="82" spans="1:11">
      <c r="A82" s="77"/>
      <c r="B82" s="92" t="s">
        <v>30</v>
      </c>
      <c r="C82" s="83"/>
      <c r="D82" s="80"/>
      <c r="E82" s="80"/>
      <c r="F82" s="86"/>
      <c r="G82" s="80"/>
      <c r="H82" s="86"/>
      <c r="I82" s="84"/>
      <c r="J82" s="98">
        <f>0.13*G79*1207.6/10</f>
        <v>156.56565481286924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B72</f>
        <v>-At shear wall</v>
      </c>
      <c r="C85" s="83">
        <f>C60</f>
        <v>2</v>
      </c>
      <c r="D85" s="80">
        <f>D72</f>
        <v>4.6997866504114594</v>
      </c>
      <c r="E85" s="80"/>
      <c r="F85" s="80">
        <f>F60+0.3+0.3</f>
        <v>2.2001219140505941</v>
      </c>
      <c r="G85" s="84">
        <f>PRODUCT(C85:F85)</f>
        <v>20.680207201865382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D73</f>
        <v>3.047851264858275</v>
      </c>
      <c r="E86" s="80"/>
      <c r="F86" s="80">
        <f>F61+0.3+0.3</f>
        <v>2.2001219140505941</v>
      </c>
      <c r="G86" s="84">
        <f t="shared" ref="G86:G87" si="7">PRODUCT(C86:F86)</f>
        <v>13.411288717163025</v>
      </c>
      <c r="H86" s="80"/>
      <c r="I86" s="80"/>
      <c r="J86" s="80"/>
      <c r="K86" s="81"/>
    </row>
    <row r="87" spans="1:11">
      <c r="A87" s="77"/>
      <c r="B87" s="94" t="s">
        <v>125</v>
      </c>
      <c r="C87" s="83">
        <v>1</v>
      </c>
      <c r="D87" s="80">
        <f>D79</f>
        <v>4.0902163974398045</v>
      </c>
      <c r="E87" s="80">
        <f>E79</f>
        <v>2.4382810118866196</v>
      </c>
      <c r="F87" s="80"/>
      <c r="G87" s="84">
        <f t="shared" si="7"/>
        <v>9.9730969763847703</v>
      </c>
      <c r="H87" s="80"/>
      <c r="I87" s="80"/>
      <c r="J87" s="80"/>
      <c r="K87" s="81"/>
    </row>
    <row r="88" spans="1:11">
      <c r="A88" s="77"/>
      <c r="B88" s="92"/>
      <c r="C88" s="83"/>
      <c r="D88" s="80"/>
      <c r="E88" s="80"/>
      <c r="F88" s="80"/>
      <c r="G88" s="80">
        <f>SUM(G85:G87)</f>
        <v>44.06459289541317</v>
      </c>
      <c r="H88" s="80" t="s">
        <v>23</v>
      </c>
      <c r="I88" s="80">
        <v>287.32</v>
      </c>
      <c r="J88" s="80">
        <f>G88*I88</f>
        <v>12660.638830710112</v>
      </c>
      <c r="K88" s="81"/>
    </row>
    <row r="89" spans="1:11">
      <c r="A89" s="77"/>
      <c r="B89" s="92" t="s">
        <v>28</v>
      </c>
      <c r="C89" s="83"/>
      <c r="D89" s="80"/>
      <c r="E89" s="80"/>
      <c r="F89" s="80"/>
      <c r="G89" s="80"/>
      <c r="H89" s="80"/>
      <c r="I89" s="80"/>
      <c r="J89" s="80">
        <f>0.13*G88*693.24/10</f>
        <v>397.11539892461093</v>
      </c>
      <c r="K89" s="81"/>
    </row>
    <row r="90" spans="1:11">
      <c r="A90" s="77"/>
      <c r="B90" s="92"/>
      <c r="C90" s="83"/>
      <c r="D90" s="80"/>
      <c r="E90" s="80"/>
      <c r="F90" s="80"/>
      <c r="G90" s="80"/>
      <c r="H90" s="80"/>
      <c r="I90" s="80"/>
      <c r="J90" s="80"/>
      <c r="K90" s="81"/>
    </row>
    <row r="91" spans="1:11">
      <c r="A91" s="77"/>
      <c r="B91" s="92"/>
      <c r="C91" s="83"/>
      <c r="D91" s="80"/>
      <c r="E91" s="80"/>
      <c r="F91" s="80"/>
      <c r="G91" s="80"/>
      <c r="H91" s="80"/>
      <c r="I91" s="80"/>
      <c r="J91" s="80"/>
      <c r="K91" s="81"/>
    </row>
    <row r="92" spans="1:11" ht="33" customHeight="1">
      <c r="A92" s="77">
        <v>12</v>
      </c>
      <c r="B92" s="96" t="s">
        <v>73</v>
      </c>
      <c r="C92" s="83">
        <v>1</v>
      </c>
      <c r="D92" s="84"/>
      <c r="E92" s="84"/>
      <c r="F92" s="86"/>
      <c r="G92" s="84">
        <f>+C92</f>
        <v>1</v>
      </c>
      <c r="H92" s="80" t="s">
        <v>33</v>
      </c>
      <c r="I92" s="84">
        <v>4659</v>
      </c>
      <c r="J92" s="84">
        <f>G92*I92</f>
        <v>4659</v>
      </c>
      <c r="K92" s="81"/>
    </row>
    <row r="93" spans="1:11">
      <c r="A93" s="77"/>
      <c r="B93" s="85" t="s">
        <v>74</v>
      </c>
      <c r="C93" s="83"/>
      <c r="D93" s="84"/>
      <c r="E93" s="84"/>
      <c r="F93" s="86"/>
      <c r="G93" s="84"/>
      <c r="H93" s="80"/>
      <c r="I93" s="84"/>
      <c r="J93" s="84">
        <f>0.13*J92</f>
        <v>605.67000000000007</v>
      </c>
      <c r="K93" s="81"/>
    </row>
    <row r="94" spans="1:11">
      <c r="A94" s="77"/>
      <c r="B94" s="96"/>
      <c r="C94" s="83"/>
      <c r="D94" s="84"/>
      <c r="E94" s="84"/>
      <c r="F94" s="86"/>
      <c r="G94" s="84"/>
      <c r="H94" s="80"/>
      <c r="I94" s="84"/>
      <c r="J94" s="84"/>
      <c r="K94" s="81"/>
    </row>
    <row r="95" spans="1:11" ht="30.75">
      <c r="A95" s="77">
        <v>13</v>
      </c>
      <c r="B95" s="115" t="s">
        <v>126</v>
      </c>
      <c r="C95" s="83"/>
      <c r="D95" s="80"/>
      <c r="E95" s="80"/>
      <c r="F95" s="80"/>
      <c r="G95" s="80"/>
      <c r="H95" s="80"/>
      <c r="I95" s="80"/>
      <c r="J95" s="80"/>
      <c r="K95" s="81"/>
    </row>
    <row r="96" spans="1:11">
      <c r="A96" s="77"/>
      <c r="B96" s="94" t="s">
        <v>123</v>
      </c>
      <c r="C96" s="83">
        <v>1</v>
      </c>
      <c r="D96" s="80">
        <f>(15.42*2+10*2)/3.281</f>
        <v>15.49527583053947</v>
      </c>
      <c r="E96" s="80"/>
      <c r="F96" s="80">
        <f>5.25/3.281</f>
        <v>1.6001219140505942</v>
      </c>
      <c r="G96" s="84">
        <f t="shared" ref="G96:G97" si="8">PRODUCT(C96:F96)</f>
        <v>24.794330420704728</v>
      </c>
      <c r="H96" s="80"/>
      <c r="I96" s="80"/>
      <c r="J96" s="80"/>
      <c r="K96" s="81"/>
    </row>
    <row r="97" spans="1:11">
      <c r="A97" s="77"/>
      <c r="B97" s="92"/>
      <c r="C97" s="83">
        <v>1</v>
      </c>
      <c r="D97" s="80">
        <f>13.42/3.281</f>
        <v>4.0902163974398045</v>
      </c>
      <c r="E97" s="80">
        <f>8/3.281</f>
        <v>2.4382810118866196</v>
      </c>
      <c r="F97" s="80"/>
      <c r="G97" s="84">
        <f t="shared" si="8"/>
        <v>9.9730969763847703</v>
      </c>
      <c r="H97" s="80"/>
      <c r="I97" s="80"/>
      <c r="J97" s="80"/>
      <c r="K97" s="81"/>
    </row>
    <row r="98" spans="1:11">
      <c r="A98" s="77"/>
      <c r="B98" s="92"/>
      <c r="C98" s="83"/>
      <c r="D98" s="80"/>
      <c r="E98" s="80"/>
      <c r="F98" s="80"/>
      <c r="G98" s="80">
        <f>SUM(G96:G97)</f>
        <v>34.767427397089499</v>
      </c>
      <c r="H98" s="80" t="s">
        <v>23</v>
      </c>
      <c r="I98" s="80">
        <v>452.86</v>
      </c>
      <c r="J98" s="80">
        <f>G98*I98</f>
        <v>15744.777171045951</v>
      </c>
      <c r="K98" s="81"/>
    </row>
    <row r="99" spans="1:11">
      <c r="A99" s="77"/>
      <c r="B99" s="92" t="s">
        <v>28</v>
      </c>
      <c r="C99" s="83"/>
      <c r="D99" s="80"/>
      <c r="E99" s="80"/>
      <c r="F99" s="80"/>
      <c r="G99" s="80"/>
      <c r="H99" s="80"/>
      <c r="I99" s="80"/>
      <c r="J99" s="80">
        <f>0.13*G98*1759.18/10</f>
        <v>795.10811806935476</v>
      </c>
      <c r="K99" s="81"/>
    </row>
    <row r="100" spans="1:11">
      <c r="A100" s="77"/>
      <c r="B100" s="92" t="s">
        <v>137</v>
      </c>
      <c r="C100" s="83"/>
      <c r="D100" s="80"/>
      <c r="E100" s="80"/>
      <c r="F100" s="80"/>
      <c r="G100" s="80"/>
      <c r="H100" s="80"/>
      <c r="I100" s="80"/>
      <c r="J100" s="80">
        <f>0.13*G98*572.02/10</f>
        <v>258.53962965588073</v>
      </c>
      <c r="K100" s="81"/>
    </row>
    <row r="101" spans="1:11">
      <c r="A101" s="77"/>
      <c r="B101" s="92" t="s">
        <v>138</v>
      </c>
      <c r="C101" s="83"/>
      <c r="D101" s="80"/>
      <c r="E101" s="80"/>
      <c r="F101" s="80"/>
      <c r="G101" s="80"/>
      <c r="H101" s="80"/>
      <c r="I101" s="80"/>
      <c r="J101" s="80">
        <f>0.13*G98*515.7/10</f>
        <v>233.08431001282776</v>
      </c>
      <c r="K101" s="81"/>
    </row>
    <row r="102" spans="1:11">
      <c r="A102" s="77"/>
      <c r="B102" s="92"/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 ht="30.75">
      <c r="A103" s="77">
        <v>14</v>
      </c>
      <c r="B103" s="115" t="s">
        <v>133</v>
      </c>
      <c r="C103" s="83"/>
      <c r="D103" s="80"/>
      <c r="E103" s="80"/>
      <c r="F103" s="80"/>
      <c r="G103" s="80"/>
      <c r="H103" s="80"/>
      <c r="I103" s="80"/>
      <c r="J103" s="80"/>
      <c r="K103" s="81"/>
    </row>
    <row r="104" spans="1:11">
      <c r="A104" s="77"/>
      <c r="B104" s="94" t="s">
        <v>134</v>
      </c>
      <c r="C104" s="83">
        <v>2</v>
      </c>
      <c r="D104" s="80">
        <v>3.415</v>
      </c>
      <c r="E104" s="80"/>
      <c r="F104" s="80">
        <v>1.43</v>
      </c>
      <c r="G104" s="84">
        <f>PRODUCT(C104:F104)</f>
        <v>9.7668999999999997</v>
      </c>
      <c r="H104" s="80"/>
      <c r="I104" s="80"/>
      <c r="J104" s="80"/>
      <c r="K104" s="81"/>
    </row>
    <row r="105" spans="1:11">
      <c r="A105" s="77"/>
      <c r="B105" s="94"/>
      <c r="C105" s="83">
        <v>2</v>
      </c>
      <c r="D105" s="80">
        <f>0.48*2</f>
        <v>0.96</v>
      </c>
      <c r="E105" s="80"/>
      <c r="F105" s="80">
        <v>2.2000000000000002</v>
      </c>
      <c r="G105" s="84">
        <f t="shared" ref="G105:G135" si="9">PRODUCT(C105:F105)</f>
        <v>4.2240000000000002</v>
      </c>
      <c r="H105" s="80"/>
      <c r="I105" s="80"/>
      <c r="J105" s="80"/>
      <c r="K105" s="81"/>
    </row>
    <row r="106" spans="1:11">
      <c r="A106" s="77"/>
      <c r="B106" s="94"/>
      <c r="C106" s="83">
        <v>2</v>
      </c>
      <c r="D106" s="80">
        <v>4</v>
      </c>
      <c r="E106" s="80"/>
      <c r="F106" s="80">
        <v>1.39</v>
      </c>
      <c r="G106" s="84">
        <f t="shared" si="9"/>
        <v>11.12</v>
      </c>
      <c r="H106" s="80"/>
      <c r="I106" s="80"/>
      <c r="J106" s="80"/>
      <c r="K106" s="81"/>
    </row>
    <row r="107" spans="1:11">
      <c r="A107" s="77"/>
      <c r="B107" s="94"/>
      <c r="C107" s="83">
        <v>2</v>
      </c>
      <c r="D107" s="80">
        <f>0.48*2</f>
        <v>0.96</v>
      </c>
      <c r="E107" s="80"/>
      <c r="F107" s="80">
        <v>2.2000000000000002</v>
      </c>
      <c r="G107" s="84">
        <f t="shared" si="9"/>
        <v>4.2240000000000002</v>
      </c>
      <c r="H107" s="80"/>
      <c r="I107" s="80"/>
      <c r="J107" s="80"/>
      <c r="K107" s="81"/>
    </row>
    <row r="108" spans="1:11">
      <c r="A108" s="77"/>
      <c r="B108" s="94"/>
      <c r="C108" s="83">
        <v>2</v>
      </c>
      <c r="D108" s="80">
        <v>3.91</v>
      </c>
      <c r="E108" s="80"/>
      <c r="F108" s="80">
        <v>1.3</v>
      </c>
      <c r="G108" s="84">
        <f t="shared" si="9"/>
        <v>10.166</v>
      </c>
      <c r="H108" s="80"/>
      <c r="I108" s="80"/>
      <c r="J108" s="80"/>
      <c r="K108" s="81"/>
    </row>
    <row r="109" spans="1:11">
      <c r="A109" s="77"/>
      <c r="B109" s="94"/>
      <c r="C109" s="83">
        <v>2</v>
      </c>
      <c r="D109" s="80">
        <f>0.48*2</f>
        <v>0.96</v>
      </c>
      <c r="E109" s="80"/>
      <c r="F109" s="80">
        <v>2.31</v>
      </c>
      <c r="G109" s="84">
        <f t="shared" si="9"/>
        <v>4.4352</v>
      </c>
      <c r="H109" s="80"/>
      <c r="I109" s="80"/>
      <c r="J109" s="80"/>
      <c r="K109" s="81"/>
    </row>
    <row r="110" spans="1:11">
      <c r="A110" s="77"/>
      <c r="B110" s="94"/>
      <c r="C110" s="83">
        <v>2</v>
      </c>
      <c r="D110" s="80">
        <v>3.96</v>
      </c>
      <c r="E110" s="80"/>
      <c r="F110" s="80">
        <v>1.37</v>
      </c>
      <c r="G110" s="84">
        <f t="shared" si="9"/>
        <v>10.8504</v>
      </c>
      <c r="H110" s="80"/>
      <c r="I110" s="80"/>
      <c r="J110" s="80"/>
      <c r="K110" s="81"/>
    </row>
    <row r="111" spans="1:11">
      <c r="A111" s="77"/>
      <c r="B111" s="94"/>
      <c r="C111" s="83">
        <v>2</v>
      </c>
      <c r="D111" s="80">
        <f>0.48*2</f>
        <v>0.96</v>
      </c>
      <c r="E111" s="80"/>
      <c r="F111" s="80">
        <v>2.29</v>
      </c>
      <c r="G111" s="84">
        <f t="shared" si="9"/>
        <v>4.3967999999999998</v>
      </c>
      <c r="H111" s="80"/>
      <c r="I111" s="80"/>
      <c r="J111" s="80"/>
      <c r="K111" s="81"/>
    </row>
    <row r="112" spans="1:11">
      <c r="A112" s="77"/>
      <c r="B112" s="94"/>
      <c r="C112" s="83">
        <v>2</v>
      </c>
      <c r="D112" s="80">
        <v>3.875</v>
      </c>
      <c r="E112" s="80"/>
      <c r="F112" s="80">
        <v>1.2649999999999999</v>
      </c>
      <c r="G112" s="84">
        <f t="shared" si="9"/>
        <v>9.8037499999999991</v>
      </c>
      <c r="H112" s="80"/>
      <c r="I112" s="80"/>
      <c r="J112" s="80"/>
      <c r="K112" s="81"/>
    </row>
    <row r="113" spans="1:11">
      <c r="A113" s="77"/>
      <c r="B113" s="94"/>
      <c r="C113" s="83">
        <v>2</v>
      </c>
      <c r="D113" s="80">
        <f>0.48*2</f>
        <v>0.96</v>
      </c>
      <c r="E113" s="80"/>
      <c r="F113" s="80">
        <v>2.19</v>
      </c>
      <c r="G113" s="84">
        <f t="shared" si="9"/>
        <v>4.2047999999999996</v>
      </c>
      <c r="H113" s="80"/>
      <c r="I113" s="80"/>
      <c r="J113" s="80"/>
      <c r="K113" s="81"/>
    </row>
    <row r="114" spans="1:11">
      <c r="A114" s="77"/>
      <c r="B114" s="94"/>
      <c r="C114" s="83">
        <v>2</v>
      </c>
      <c r="D114" s="80">
        <v>3.69</v>
      </c>
      <c r="E114" s="80"/>
      <c r="F114" s="80">
        <v>1.28</v>
      </c>
      <c r="G114" s="84">
        <f t="shared" si="9"/>
        <v>9.4464000000000006</v>
      </c>
      <c r="H114" s="80"/>
      <c r="I114" s="80"/>
      <c r="J114" s="80"/>
      <c r="K114" s="81"/>
    </row>
    <row r="115" spans="1:11">
      <c r="A115" s="77"/>
      <c r="B115" s="94"/>
      <c r="C115" s="83">
        <v>2</v>
      </c>
      <c r="D115" s="80">
        <f>0.48*2</f>
        <v>0.96</v>
      </c>
      <c r="E115" s="80"/>
      <c r="F115" s="80">
        <v>2.19</v>
      </c>
      <c r="G115" s="84">
        <f t="shared" si="9"/>
        <v>4.2047999999999996</v>
      </c>
      <c r="H115" s="80"/>
      <c r="I115" s="80"/>
      <c r="J115" s="80"/>
      <c r="K115" s="81"/>
    </row>
    <row r="116" spans="1:11">
      <c r="A116" s="77"/>
      <c r="B116" s="94"/>
      <c r="C116" s="83">
        <v>2</v>
      </c>
      <c r="D116" s="80">
        <f>1.73+2.44</f>
        <v>4.17</v>
      </c>
      <c r="E116" s="80"/>
      <c r="F116" s="80">
        <v>1.1200000000000001</v>
      </c>
      <c r="G116" s="84">
        <f t="shared" si="9"/>
        <v>9.3408000000000015</v>
      </c>
      <c r="H116" s="80"/>
      <c r="I116" s="80"/>
      <c r="J116" s="80"/>
      <c r="K116" s="81"/>
    </row>
    <row r="117" spans="1:11">
      <c r="A117" s="77"/>
      <c r="B117" s="94"/>
      <c r="C117" s="83">
        <v>2</v>
      </c>
      <c r="D117" s="80">
        <f>0.34*2</f>
        <v>0.68</v>
      </c>
      <c r="E117" s="80"/>
      <c r="F117" s="80">
        <v>2.2599999999999998</v>
      </c>
      <c r="G117" s="84">
        <f t="shared" si="9"/>
        <v>3.0735999999999999</v>
      </c>
      <c r="H117" s="80"/>
      <c r="I117" s="80"/>
      <c r="J117" s="80"/>
      <c r="K117" s="81"/>
    </row>
    <row r="118" spans="1:11">
      <c r="A118" s="77"/>
      <c r="B118" s="94"/>
      <c r="C118" s="83">
        <v>2</v>
      </c>
      <c r="D118" s="80">
        <f>0.34*2</f>
        <v>0.68</v>
      </c>
      <c r="E118" s="80"/>
      <c r="F118" s="80">
        <v>2.15</v>
      </c>
      <c r="G118" s="84">
        <f t="shared" si="9"/>
        <v>2.9239999999999999</v>
      </c>
      <c r="H118" s="80"/>
      <c r="I118" s="80"/>
      <c r="J118" s="80"/>
      <c r="K118" s="81"/>
    </row>
    <row r="119" spans="1:11">
      <c r="A119" s="77"/>
      <c r="B119" s="94"/>
      <c r="C119" s="83">
        <v>2</v>
      </c>
      <c r="D119" s="80">
        <v>2.5</v>
      </c>
      <c r="E119" s="80"/>
      <c r="F119" s="80">
        <v>1.1599999999999999</v>
      </c>
      <c r="G119" s="84">
        <f t="shared" si="9"/>
        <v>5.8</v>
      </c>
      <c r="H119" s="80"/>
      <c r="I119" s="80"/>
      <c r="J119" s="80"/>
      <c r="K119" s="81"/>
    </row>
    <row r="120" spans="1:11">
      <c r="A120" s="77"/>
      <c r="B120" s="94"/>
      <c r="C120" s="83">
        <v>2</v>
      </c>
      <c r="D120" s="80">
        <f>0.48*2</f>
        <v>0.96</v>
      </c>
      <c r="E120" s="80"/>
      <c r="F120" s="80">
        <v>2.1800000000000002</v>
      </c>
      <c r="G120" s="84">
        <f t="shared" si="9"/>
        <v>4.1856</v>
      </c>
      <c r="H120" s="80"/>
      <c r="I120" s="80"/>
      <c r="J120" s="80"/>
      <c r="K120" s="81"/>
    </row>
    <row r="121" spans="1:11">
      <c r="A121" s="77"/>
      <c r="B121" s="94"/>
      <c r="C121" s="83">
        <v>2</v>
      </c>
      <c r="D121" s="80">
        <v>3.94</v>
      </c>
      <c r="E121" s="80"/>
      <c r="F121" s="80">
        <v>1.2</v>
      </c>
      <c r="G121" s="84">
        <f t="shared" si="9"/>
        <v>9.4559999999999995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2.15</v>
      </c>
      <c r="G122" s="84">
        <f t="shared" si="9"/>
        <v>4.1280000000000001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1.1499999999999999</v>
      </c>
      <c r="G123" s="84">
        <f t="shared" si="9"/>
        <v>9.1999999999999993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2.08</v>
      </c>
      <c r="G124" s="84">
        <f t="shared" si="9"/>
        <v>3.9935999999999998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3.97</v>
      </c>
      <c r="E125" s="80"/>
      <c r="F125" s="80">
        <v>1.25</v>
      </c>
      <c r="G125" s="84">
        <f t="shared" si="9"/>
        <v>9.9250000000000007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2.25</v>
      </c>
      <c r="G126" s="84">
        <f t="shared" si="9"/>
        <v>4.32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4</v>
      </c>
      <c r="E127" s="80"/>
      <c r="F127" s="80">
        <v>1.23</v>
      </c>
      <c r="G127" s="84">
        <f t="shared" si="9"/>
        <v>9.84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2.25</v>
      </c>
      <c r="G128" s="84">
        <f t="shared" si="9"/>
        <v>4.32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4.0599999999999996</v>
      </c>
      <c r="E129" s="80"/>
      <c r="F129" s="80">
        <v>1.32</v>
      </c>
      <c r="G129" s="84">
        <f t="shared" si="9"/>
        <v>10.718399999999999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2.1800000000000002</v>
      </c>
      <c r="G130" s="84">
        <f t="shared" si="9"/>
        <v>4.1856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f>3.92</f>
        <v>3.92</v>
      </c>
      <c r="E131" s="80"/>
      <c r="F131" s="80">
        <v>1.32</v>
      </c>
      <c r="G131" s="84">
        <f t="shared" si="9"/>
        <v>10.348800000000001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2.2799999999999998</v>
      </c>
      <c r="G132" s="84">
        <f t="shared" si="9"/>
        <v>4.3775999999999993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v>3.62</v>
      </c>
      <c r="E133" s="80"/>
      <c r="F133" s="80">
        <v>1.32</v>
      </c>
      <c r="G133" s="84">
        <f t="shared" si="9"/>
        <v>9.5568000000000008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0.48*2</f>
        <v>0.96</v>
      </c>
      <c r="E134" s="80"/>
      <c r="F134" s="80">
        <v>2.2000000000000002</v>
      </c>
      <c r="G134" s="84">
        <f t="shared" si="9"/>
        <v>4.2240000000000002</v>
      </c>
      <c r="H134" s="80"/>
      <c r="I134" s="80"/>
      <c r="J134" s="80"/>
      <c r="K134" s="81"/>
    </row>
    <row r="135" spans="1:11">
      <c r="A135" s="77"/>
      <c r="B135" s="94"/>
      <c r="C135" s="83">
        <f>-2*16</f>
        <v>-32</v>
      </c>
      <c r="D135" s="80">
        <v>0.23</v>
      </c>
      <c r="E135" s="80"/>
      <c r="F135" s="80">
        <v>1.35</v>
      </c>
      <c r="G135" s="84">
        <f t="shared" si="9"/>
        <v>-9.9360000000000017</v>
      </c>
      <c r="H135" s="80"/>
      <c r="I135" s="80"/>
      <c r="J135" s="80"/>
      <c r="K135" s="81"/>
    </row>
    <row r="136" spans="1:11">
      <c r="A136" s="77"/>
      <c r="B136" s="92"/>
      <c r="C136" s="83"/>
      <c r="D136" s="80"/>
      <c r="E136" s="80"/>
      <c r="F136" s="80"/>
      <c r="G136" s="80">
        <f>SUM(G104:G135)</f>
        <v>200.82485</v>
      </c>
      <c r="H136" s="80" t="s">
        <v>23</v>
      </c>
      <c r="I136" s="80">
        <v>253.8</v>
      </c>
      <c r="J136" s="80">
        <f>G136*I136</f>
        <v>50969.34693</v>
      </c>
      <c r="K136" s="81"/>
    </row>
    <row r="137" spans="1:11">
      <c r="A137" s="77"/>
      <c r="B137" s="92" t="s">
        <v>135</v>
      </c>
      <c r="C137" s="83"/>
      <c r="D137" s="80"/>
      <c r="E137" s="80"/>
      <c r="F137" s="80"/>
      <c r="G137" s="80"/>
      <c r="H137" s="80"/>
      <c r="I137" s="80"/>
      <c r="J137" s="80">
        <f>0.13*G136*2304/100</f>
        <v>601.51059071999998</v>
      </c>
      <c r="K137" s="81"/>
    </row>
    <row r="138" spans="1:11">
      <c r="A138" s="77"/>
      <c r="B138" s="92" t="s">
        <v>136</v>
      </c>
      <c r="C138" s="83"/>
      <c r="D138" s="80"/>
      <c r="E138" s="80"/>
      <c r="F138" s="80"/>
      <c r="G138" s="80"/>
      <c r="H138" s="80"/>
      <c r="I138" s="80"/>
      <c r="J138" s="80">
        <f>0.13*G136*10432/100</f>
        <v>2723.5062857600001</v>
      </c>
      <c r="K138" s="81"/>
    </row>
    <row r="139" spans="1:11">
      <c r="A139" s="77"/>
      <c r="B139" s="92"/>
      <c r="C139" s="83"/>
      <c r="D139" s="80"/>
      <c r="E139" s="80"/>
      <c r="F139" s="80"/>
      <c r="G139" s="80"/>
      <c r="H139" s="80"/>
      <c r="I139" s="80"/>
      <c r="J139" s="80"/>
      <c r="K139" s="81"/>
    </row>
    <row r="140" spans="1:11" ht="31.5">
      <c r="A140" s="77">
        <v>15</v>
      </c>
      <c r="B140" s="120" t="s">
        <v>141</v>
      </c>
      <c r="C140" s="83"/>
      <c r="D140" s="80"/>
      <c r="E140" s="80"/>
      <c r="F140" s="80"/>
      <c r="G140" s="80"/>
      <c r="H140" s="80"/>
      <c r="I140" s="80"/>
      <c r="J140" s="80"/>
      <c r="K140" s="81"/>
    </row>
    <row r="141" spans="1:11">
      <c r="A141" s="77"/>
      <c r="B141" s="94" t="s">
        <v>142</v>
      </c>
      <c r="C141" s="83">
        <v>1</v>
      </c>
      <c r="D141" s="80">
        <f>0.9</f>
        <v>0.9</v>
      </c>
      <c r="E141" s="80"/>
      <c r="F141" s="80"/>
      <c r="G141" s="84">
        <f t="shared" ref="G141:G143" si="10">PRODUCT(C141:F141)</f>
        <v>0.9</v>
      </c>
      <c r="H141" s="80"/>
      <c r="I141" s="80"/>
      <c r="J141" s="80"/>
      <c r="K141" s="81"/>
    </row>
    <row r="142" spans="1:11">
      <c r="A142" s="77"/>
      <c r="B142" s="94" t="s">
        <v>143</v>
      </c>
      <c r="C142" s="83">
        <v>1</v>
      </c>
      <c r="D142" s="80">
        <f>1.5</f>
        <v>1.5</v>
      </c>
      <c r="E142" s="80"/>
      <c r="F142" s="80"/>
      <c r="G142" s="84">
        <f t="shared" si="10"/>
        <v>1.5</v>
      </c>
      <c r="H142" s="80"/>
      <c r="I142" s="80"/>
      <c r="J142" s="80"/>
      <c r="K142" s="81"/>
    </row>
    <row r="143" spans="1:11">
      <c r="A143" s="77"/>
      <c r="B143" s="94" t="s">
        <v>144</v>
      </c>
      <c r="C143" s="83">
        <v>2</v>
      </c>
      <c r="D143" s="80">
        <v>0.9</v>
      </c>
      <c r="E143" s="80"/>
      <c r="F143" s="80"/>
      <c r="G143" s="84">
        <f t="shared" si="10"/>
        <v>1.8</v>
      </c>
      <c r="H143" s="80"/>
      <c r="I143" s="80"/>
      <c r="J143" s="80"/>
      <c r="K143" s="81"/>
    </row>
    <row r="144" spans="1:11">
      <c r="A144" s="77"/>
      <c r="B144" s="92"/>
      <c r="C144" s="83"/>
      <c r="D144" s="80"/>
      <c r="E144" s="80"/>
      <c r="F144" s="80"/>
      <c r="G144" s="80">
        <f>SUM(G141:G143)</f>
        <v>4.2</v>
      </c>
      <c r="H144" s="80" t="s">
        <v>145</v>
      </c>
      <c r="I144" s="80">
        <v>248</v>
      </c>
      <c r="J144" s="80">
        <f>G144*I144</f>
        <v>1041.6000000000001</v>
      </c>
      <c r="K144" s="81"/>
    </row>
    <row r="145" spans="1:11">
      <c r="A145" s="77"/>
      <c r="B145" s="94" t="s">
        <v>146</v>
      </c>
      <c r="C145" s="83"/>
      <c r="D145" s="80"/>
      <c r="E145" s="80"/>
      <c r="F145" s="80"/>
      <c r="G145" s="80"/>
      <c r="H145" s="80"/>
      <c r="I145" s="80"/>
      <c r="J145" s="80">
        <f>0.13*J144</f>
        <v>135.40800000000002</v>
      </c>
      <c r="K145" s="81"/>
    </row>
    <row r="146" spans="1:11">
      <c r="A146" s="77"/>
      <c r="B146" s="92"/>
      <c r="C146" s="83"/>
      <c r="D146" s="80"/>
      <c r="E146" s="80"/>
      <c r="F146" s="80"/>
      <c r="G146" s="80"/>
      <c r="H146" s="80"/>
      <c r="I146" s="80"/>
      <c r="J146" s="80"/>
      <c r="K146" s="81"/>
    </row>
    <row r="147" spans="1:11" ht="31.5">
      <c r="A147" s="77">
        <v>16</v>
      </c>
      <c r="B147" s="120" t="s">
        <v>147</v>
      </c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>
      <c r="A148" s="77"/>
      <c r="B148" s="94" t="s">
        <v>148</v>
      </c>
      <c r="C148" s="83">
        <v>1</v>
      </c>
      <c r="D148" s="80">
        <v>9</v>
      </c>
      <c r="E148" s="80"/>
      <c r="F148" s="80"/>
      <c r="G148" s="84">
        <f t="shared" ref="G148" si="11">PRODUCT(C148:F148)</f>
        <v>9</v>
      </c>
      <c r="H148" s="80"/>
      <c r="I148" s="80"/>
      <c r="J148" s="80"/>
      <c r="K148" s="81"/>
    </row>
    <row r="149" spans="1:11">
      <c r="A149" s="77"/>
      <c r="B149" s="92"/>
      <c r="C149" s="83"/>
      <c r="D149" s="80"/>
      <c r="E149" s="80"/>
      <c r="F149" s="80"/>
      <c r="G149" s="80">
        <f>SUM(G148:G148)</f>
        <v>9</v>
      </c>
      <c r="H149" s="80" t="s">
        <v>145</v>
      </c>
      <c r="I149" s="80">
        <v>75</v>
      </c>
      <c r="J149" s="80">
        <f>G149*I149</f>
        <v>675</v>
      </c>
      <c r="K149" s="81"/>
    </row>
    <row r="150" spans="1:11">
      <c r="A150" s="77"/>
      <c r="B150" s="94" t="s">
        <v>146</v>
      </c>
      <c r="C150" s="83"/>
      <c r="D150" s="80"/>
      <c r="E150" s="80"/>
      <c r="F150" s="80"/>
      <c r="G150" s="80"/>
      <c r="H150" s="80"/>
      <c r="I150" s="80"/>
      <c r="J150" s="80">
        <f>0.13*J149</f>
        <v>87.75</v>
      </c>
      <c r="K150" s="81"/>
    </row>
    <row r="151" spans="1:11">
      <c r="A151" s="77"/>
      <c r="B151" s="92"/>
      <c r="C151" s="83"/>
      <c r="D151" s="80"/>
      <c r="E151" s="80"/>
      <c r="F151" s="80"/>
      <c r="G151" s="80"/>
      <c r="H151" s="80"/>
      <c r="I151" s="80"/>
      <c r="J151" s="80"/>
      <c r="K151" s="81"/>
    </row>
    <row r="152" spans="1:11" ht="47.25">
      <c r="A152" s="77">
        <v>17</v>
      </c>
      <c r="B152" s="120" t="s">
        <v>150</v>
      </c>
      <c r="C152" s="83"/>
      <c r="D152" s="80"/>
      <c r="E152" s="80"/>
      <c r="F152" s="80"/>
      <c r="G152" s="80"/>
      <c r="H152" s="80"/>
      <c r="I152" s="80"/>
      <c r="J152" s="80"/>
      <c r="K152" s="81"/>
    </row>
    <row r="153" spans="1:11">
      <c r="A153" s="77"/>
      <c r="B153" s="94" t="s">
        <v>148</v>
      </c>
      <c r="C153" s="83">
        <v>1</v>
      </c>
      <c r="D153" s="80"/>
      <c r="E153" s="80"/>
      <c r="F153" s="80"/>
      <c r="G153" s="84">
        <f t="shared" ref="G153" si="12">PRODUCT(C153:F153)</f>
        <v>1</v>
      </c>
      <c r="H153" s="80"/>
      <c r="I153" s="80"/>
      <c r="J153" s="80"/>
      <c r="K153" s="81"/>
    </row>
    <row r="154" spans="1:11">
      <c r="A154" s="77"/>
      <c r="B154" s="92"/>
      <c r="C154" s="83"/>
      <c r="D154" s="80"/>
      <c r="E154" s="80"/>
      <c r="F154" s="80"/>
      <c r="G154" s="80">
        <f>SUM(G153:G153)</f>
        <v>1</v>
      </c>
      <c r="H154" s="80" t="s">
        <v>149</v>
      </c>
      <c r="I154" s="80">
        <v>1070</v>
      </c>
      <c r="J154" s="80">
        <f>G154*I154</f>
        <v>1070</v>
      </c>
      <c r="K154" s="81"/>
    </row>
    <row r="155" spans="1:11">
      <c r="A155" s="77"/>
      <c r="B155" s="94" t="s">
        <v>146</v>
      </c>
      <c r="C155" s="83"/>
      <c r="D155" s="80"/>
      <c r="E155" s="80"/>
      <c r="F155" s="80"/>
      <c r="G155" s="80"/>
      <c r="H155" s="80"/>
      <c r="I155" s="80"/>
      <c r="J155" s="80">
        <f>0.13*J154</f>
        <v>139.1</v>
      </c>
      <c r="K155" s="81"/>
    </row>
    <row r="156" spans="1:11">
      <c r="A156" s="77"/>
      <c r="B156" s="92"/>
      <c r="C156" s="83"/>
      <c r="D156" s="80"/>
      <c r="E156" s="80"/>
      <c r="F156" s="80"/>
      <c r="G156" s="80"/>
      <c r="H156" s="80"/>
      <c r="I156" s="80"/>
      <c r="J156" s="80"/>
      <c r="K156" s="81"/>
    </row>
    <row r="157" spans="1:11">
      <c r="A157" s="77">
        <v>18</v>
      </c>
      <c r="B157" s="120" t="s">
        <v>151</v>
      </c>
      <c r="C157" s="83"/>
      <c r="D157" s="80"/>
      <c r="E157" s="80"/>
      <c r="F157" s="80"/>
      <c r="G157" s="80"/>
      <c r="H157" s="80"/>
      <c r="I157" s="80"/>
      <c r="J157" s="80"/>
      <c r="K157" s="81"/>
    </row>
    <row r="158" spans="1:11">
      <c r="A158" s="77"/>
      <c r="B158" s="94" t="s">
        <v>152</v>
      </c>
      <c r="C158" s="83">
        <v>2</v>
      </c>
      <c r="D158" s="80"/>
      <c r="E158" s="80"/>
      <c r="F158" s="80"/>
      <c r="G158" s="84">
        <f t="shared" ref="G158" si="13">PRODUCT(C158:F158)</f>
        <v>2</v>
      </c>
      <c r="H158" s="80"/>
      <c r="I158" s="80"/>
      <c r="J158" s="80"/>
      <c r="K158" s="81"/>
    </row>
    <row r="159" spans="1:11">
      <c r="A159" s="77"/>
      <c r="B159" s="92"/>
      <c r="C159" s="83"/>
      <c r="D159" s="80"/>
      <c r="E159" s="80"/>
      <c r="F159" s="80"/>
      <c r="G159" s="80">
        <f>SUM(G158:G158)</f>
        <v>2</v>
      </c>
      <c r="H159" s="80" t="s">
        <v>149</v>
      </c>
      <c r="I159" s="80">
        <v>750</v>
      </c>
      <c r="J159" s="80">
        <f>G159*I159</f>
        <v>1500</v>
      </c>
      <c r="K159" s="81"/>
    </row>
    <row r="160" spans="1:11">
      <c r="A160" s="77"/>
      <c r="B160" s="94" t="s">
        <v>146</v>
      </c>
      <c r="C160" s="83"/>
      <c r="D160" s="80"/>
      <c r="E160" s="80"/>
      <c r="F160" s="80"/>
      <c r="G160" s="80"/>
      <c r="H160" s="80"/>
      <c r="I160" s="80"/>
      <c r="J160" s="80">
        <f>0.13*J159</f>
        <v>195</v>
      </c>
      <c r="K160" s="81"/>
    </row>
    <row r="161" spans="1:11">
      <c r="A161" s="77"/>
      <c r="B161" s="92"/>
      <c r="C161" s="83"/>
      <c r="D161" s="80"/>
      <c r="E161" s="80"/>
      <c r="F161" s="80"/>
      <c r="G161" s="80"/>
      <c r="H161" s="80"/>
      <c r="I161" s="80"/>
      <c r="J161" s="80"/>
      <c r="K161" s="81"/>
    </row>
    <row r="162" spans="1:11" ht="33" customHeight="1">
      <c r="A162" s="77">
        <v>19</v>
      </c>
      <c r="B162" s="93" t="s">
        <v>127</v>
      </c>
      <c r="C162" s="83">
        <v>1</v>
      </c>
      <c r="D162" s="80"/>
      <c r="E162" s="80"/>
      <c r="F162" s="80"/>
      <c r="G162" s="80">
        <v>1</v>
      </c>
      <c r="H162" s="80" t="s">
        <v>128</v>
      </c>
      <c r="I162" s="84">
        <v>15000</v>
      </c>
      <c r="J162" s="84">
        <f>G162*I162</f>
        <v>15000</v>
      </c>
      <c r="K162" s="81"/>
    </row>
    <row r="163" spans="1:11">
      <c r="A163" s="77"/>
      <c r="B163" s="99"/>
      <c r="C163" s="83"/>
      <c r="D163" s="80"/>
      <c r="E163" s="80"/>
      <c r="F163" s="84"/>
      <c r="G163" s="80"/>
      <c r="H163" s="80"/>
      <c r="I163" s="84"/>
      <c r="J163" s="84"/>
      <c r="K163" s="81"/>
    </row>
    <row r="164" spans="1:11" ht="33" customHeight="1">
      <c r="A164" s="77">
        <v>20</v>
      </c>
      <c r="B164" s="93" t="s">
        <v>75</v>
      </c>
      <c r="C164" s="83">
        <v>1</v>
      </c>
      <c r="D164" s="80"/>
      <c r="E164" s="80"/>
      <c r="F164" s="80"/>
      <c r="G164" s="80">
        <v>1</v>
      </c>
      <c r="H164" s="80" t="s">
        <v>33</v>
      </c>
      <c r="I164" s="84">
        <v>500</v>
      </c>
      <c r="J164" s="84">
        <f>G164*I164</f>
        <v>500</v>
      </c>
      <c r="K164" s="81"/>
    </row>
    <row r="165" spans="1:11">
      <c r="A165" s="100"/>
      <c r="B165" s="101"/>
      <c r="C165" s="80"/>
      <c r="D165" s="84"/>
      <c r="E165" s="84"/>
      <c r="F165" s="84"/>
      <c r="G165" s="84"/>
      <c r="H165" s="80"/>
      <c r="I165" s="84"/>
      <c r="J165" s="102">
        <f>SUM(J12:J164)</f>
        <v>530004.91742540663</v>
      </c>
      <c r="K165" s="103"/>
    </row>
    <row r="166" spans="1:11">
      <c r="A166" s="104"/>
      <c r="B166" s="105"/>
      <c r="C166" s="65"/>
      <c r="D166" s="65"/>
      <c r="E166" s="65"/>
      <c r="F166" s="65"/>
      <c r="G166" s="65"/>
      <c r="H166" s="65"/>
      <c r="I166" s="65"/>
      <c r="J166" s="106"/>
      <c r="K166" s="107"/>
    </row>
    <row r="167" spans="1:11">
      <c r="A167" s="104"/>
      <c r="B167" s="75" t="s">
        <v>12</v>
      </c>
      <c r="C167" s="137" t="s">
        <v>66</v>
      </c>
      <c r="D167" s="137"/>
      <c r="E167" s="75" t="s">
        <v>67</v>
      </c>
      <c r="F167" s="108"/>
      <c r="G167" s="109"/>
      <c r="H167" s="108"/>
      <c r="I167" s="109"/>
      <c r="J167" s="108"/>
      <c r="K167" s="108"/>
    </row>
    <row r="168" spans="1:11">
      <c r="A168" s="104"/>
      <c r="B168" s="79" t="s">
        <v>13</v>
      </c>
      <c r="C168" s="138">
        <f>+J165</f>
        <v>530004.91742540663</v>
      </c>
      <c r="D168" s="138"/>
      <c r="E168" s="110"/>
      <c r="F168" s="108"/>
      <c r="G168" s="111"/>
      <c r="H168" s="108"/>
      <c r="I168" s="109"/>
      <c r="J168" s="108"/>
      <c r="K168" s="108"/>
    </row>
    <row r="169" spans="1:11">
      <c r="A169" s="104"/>
      <c r="B169" s="79" t="s">
        <v>14</v>
      </c>
      <c r="C169" s="138">
        <v>480000</v>
      </c>
      <c r="D169" s="138"/>
      <c r="E169" s="112">
        <v>100</v>
      </c>
      <c r="F169" s="108"/>
      <c r="G169" s="111"/>
      <c r="H169" s="108"/>
      <c r="I169" s="109"/>
      <c r="J169" s="108"/>
      <c r="K169" s="108"/>
    </row>
    <row r="170" spans="1:11">
      <c r="A170" s="104"/>
      <c r="B170" s="79" t="s">
        <v>19</v>
      </c>
      <c r="C170" s="138">
        <f>0.95*C169</f>
        <v>456000</v>
      </c>
      <c r="D170" s="138"/>
      <c r="E170" s="113">
        <f>C170/C168*100</f>
        <v>86.036937584485301</v>
      </c>
      <c r="F170" s="108"/>
      <c r="G170" s="111"/>
      <c r="H170" s="108"/>
      <c r="I170" s="109"/>
      <c r="J170" s="108"/>
      <c r="K170" s="108"/>
    </row>
    <row r="171" spans="1:11">
      <c r="A171" s="104"/>
      <c r="B171" s="79" t="s">
        <v>15</v>
      </c>
      <c r="C171" s="138">
        <f>C168-C170</f>
        <v>74004.917425406631</v>
      </c>
      <c r="D171" s="138"/>
      <c r="E171" s="113">
        <f>C171/C169*100</f>
        <v>15.417691130293049</v>
      </c>
      <c r="F171" s="108"/>
      <c r="G171" s="111"/>
      <c r="H171" s="108"/>
      <c r="I171" s="109"/>
      <c r="J171" s="108"/>
      <c r="K171" s="108"/>
    </row>
    <row r="172" spans="1:11">
      <c r="A172" s="104"/>
      <c r="B172" s="79" t="s">
        <v>20</v>
      </c>
      <c r="C172" s="138">
        <f>E172*C169/100</f>
        <v>9600</v>
      </c>
      <c r="D172" s="138"/>
      <c r="E172" s="113">
        <v>2</v>
      </c>
      <c r="F172" s="108"/>
      <c r="G172" s="111"/>
      <c r="H172" s="108"/>
      <c r="I172" s="109"/>
      <c r="J172" s="108"/>
      <c r="K172" s="108"/>
    </row>
    <row r="173" spans="1:11">
      <c r="A173" s="104"/>
      <c r="B173" s="79" t="s">
        <v>21</v>
      </c>
      <c r="C173" s="136">
        <f>E173*C169/100</f>
        <v>14400</v>
      </c>
      <c r="D173" s="136"/>
      <c r="E173" s="113">
        <v>3</v>
      </c>
      <c r="F173" s="108"/>
      <c r="G173" s="114"/>
      <c r="H173" s="108"/>
      <c r="I173" s="109"/>
      <c r="J173" s="108"/>
      <c r="K173" s="108"/>
    </row>
    <row r="174" spans="1:11">
      <c r="F174" s="37"/>
    </row>
  </sheetData>
  <mergeCells count="14">
    <mergeCell ref="C173:D173"/>
    <mergeCell ref="C167:D167"/>
    <mergeCell ref="C168:D168"/>
    <mergeCell ref="C169:D169"/>
    <mergeCell ref="C170:D170"/>
    <mergeCell ref="C171:D171"/>
    <mergeCell ref="C172:D172"/>
    <mergeCell ref="A6:F6"/>
    <mergeCell ref="H6:K6"/>
    <mergeCell ref="A1:K1"/>
    <mergeCell ref="A2:K2"/>
    <mergeCell ref="A3:K3"/>
    <mergeCell ref="A4:K4"/>
    <mergeCell ref="J5:K5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4D04-1B58-42BA-A05B-E669B2EB3EFE}">
  <dimension ref="A1:N4"/>
  <sheetViews>
    <sheetView workbookViewId="0">
      <selection activeCell="M4" sqref="M4:N4"/>
    </sheetView>
  </sheetViews>
  <sheetFormatPr defaultRowHeight="15"/>
  <cols>
    <col min="1" max="1" width="7" bestFit="1" customWidth="1"/>
    <col min="2" max="2" width="8" bestFit="1" customWidth="1"/>
    <col min="3" max="3" width="6.85546875" bestFit="1" customWidth="1"/>
    <col min="4" max="4" width="13.5703125" bestFit="1" customWidth="1"/>
    <col min="5" max="5" width="13.28515625" bestFit="1" customWidth="1"/>
    <col min="6" max="6" width="19.140625" bestFit="1" customWidth="1"/>
    <col min="7" max="7" width="18.85546875" bestFit="1" customWidth="1"/>
    <col min="8" max="8" width="15.85546875" bestFit="1" customWidth="1"/>
    <col min="9" max="9" width="4.5703125" bestFit="1" customWidth="1"/>
    <col min="10" max="10" width="13.140625" bestFit="1" customWidth="1"/>
  </cols>
  <sheetData>
    <row r="1" spans="1:14">
      <c r="A1" s="168" t="s">
        <v>3</v>
      </c>
      <c r="B1" s="168" t="s">
        <v>4</v>
      </c>
      <c r="C1" s="168" t="s">
        <v>5</v>
      </c>
      <c r="D1" s="168" t="s">
        <v>163</v>
      </c>
      <c r="E1" s="168" t="s">
        <v>166</v>
      </c>
      <c r="F1" s="168" t="s">
        <v>164</v>
      </c>
      <c r="G1" s="168" t="s">
        <v>165</v>
      </c>
      <c r="H1" s="168" t="s">
        <v>161</v>
      </c>
      <c r="I1" s="170" t="s">
        <v>162</v>
      </c>
      <c r="J1" s="164" t="s">
        <v>167</v>
      </c>
      <c r="K1" s="167" t="s">
        <v>168</v>
      </c>
      <c r="L1" s="167"/>
      <c r="M1" s="165" t="s">
        <v>169</v>
      </c>
      <c r="N1" s="165"/>
    </row>
    <row r="2" spans="1:14">
      <c r="A2" s="169"/>
      <c r="B2" s="169"/>
      <c r="C2" s="169"/>
      <c r="D2" s="169"/>
      <c r="E2" s="169"/>
      <c r="F2" s="169"/>
      <c r="G2" s="169"/>
      <c r="H2" s="169"/>
      <c r="I2" s="171"/>
      <c r="J2" s="164"/>
      <c r="K2" s="127" t="s">
        <v>3</v>
      </c>
      <c r="L2" s="125" t="s">
        <v>4</v>
      </c>
      <c r="M2" s="122" t="s">
        <v>3</v>
      </c>
      <c r="N2" s="122" t="s">
        <v>5</v>
      </c>
    </row>
    <row r="3" spans="1:14">
      <c r="A3" s="123">
        <f>14.5/3.281</f>
        <v>4.4193843340444987</v>
      </c>
      <c r="B3" s="123">
        <f>14/3.281</f>
        <v>4.2669917708015843</v>
      </c>
      <c r="C3" s="123">
        <f>5.5/3.281</f>
        <v>1.6763181956720512</v>
      </c>
      <c r="D3" s="123">
        <v>0.125</v>
      </c>
      <c r="E3" s="123">
        <v>2.5000000000000001E-2</v>
      </c>
      <c r="F3" s="123">
        <f>8/12/3.281</f>
        <v>0.20319008432388497</v>
      </c>
      <c r="G3" s="123">
        <f>1.5/12/3.281</f>
        <v>3.8098140810728431E-2</v>
      </c>
      <c r="H3" s="123">
        <v>0.05</v>
      </c>
      <c r="I3" s="126">
        <v>7.4999999999999997E-2</v>
      </c>
      <c r="J3" s="124">
        <v>8</v>
      </c>
      <c r="K3" s="128">
        <f>2/3.281</f>
        <v>0.6095702529716549</v>
      </c>
      <c r="L3" s="126">
        <f>2/3.281</f>
        <v>0.6095702529716549</v>
      </c>
      <c r="M3" s="123">
        <f>1/3.281</f>
        <v>0.30478512648582745</v>
      </c>
      <c r="N3" s="123">
        <f>1/3.281</f>
        <v>0.30478512648582745</v>
      </c>
    </row>
    <row r="4" spans="1:14">
      <c r="J4" s="124">
        <f>57*J3/1000</f>
        <v>0.45600000000000002</v>
      </c>
      <c r="M4" s="166">
        <f>SQRT(('Size of water tank'!M3)^2+('Size of water tank'!N3)^2)</f>
        <v>0.43103125948585641</v>
      </c>
      <c r="N4" s="166"/>
    </row>
  </sheetData>
  <mergeCells count="13">
    <mergeCell ref="J1:J2"/>
    <mergeCell ref="M1:N1"/>
    <mergeCell ref="M4:N4"/>
    <mergeCell ref="K1:L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E67D-5D7A-4E99-87D9-10A521F06797}">
  <dimension ref="A1:L183"/>
  <sheetViews>
    <sheetView tabSelected="1" view="pageBreakPreview" topLeftCell="A83" zoomScaleNormal="100" zoomScaleSheetLayoutView="100" workbookViewId="0">
      <selection activeCell="K89" sqref="K89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39" t="s">
        <v>11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09"/>
    </row>
    <row r="2" spans="1:12" ht="20.25">
      <c r="A2" s="140" t="s">
        <v>16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18"/>
    </row>
    <row r="3" spans="1:12">
      <c r="A3" s="139" t="s">
        <v>17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09"/>
    </row>
    <row r="4" spans="1:12">
      <c r="A4" s="141" t="s">
        <v>22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</row>
    <row r="5" spans="1:12" ht="20.25">
      <c r="A5" s="119" t="s">
        <v>139</v>
      </c>
      <c r="G5" s="4"/>
      <c r="J5" s="142" t="s">
        <v>78</v>
      </c>
      <c r="K5" s="142"/>
    </row>
    <row r="6" spans="1:12">
      <c r="A6" s="143" t="s">
        <v>27</v>
      </c>
      <c r="B6" s="143"/>
      <c r="C6" s="143"/>
      <c r="D6" s="143"/>
      <c r="E6" s="143"/>
      <c r="F6" s="143"/>
      <c r="G6" s="61"/>
      <c r="H6" s="144" t="s">
        <v>140</v>
      </c>
      <c r="I6" s="144"/>
      <c r="J6" s="144"/>
      <c r="K6" s="144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C11*D11*E11*F11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C15*D15*F15</f>
        <v>14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>C16*D16*F16</f>
        <v>8.0993818957634858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>C17*D17*F17</f>
        <v>2.25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24.349381895763486</v>
      </c>
      <c r="H18" s="80" t="s">
        <v>24</v>
      </c>
      <c r="I18" s="84">
        <v>1982.2</v>
      </c>
      <c r="J18" s="84">
        <f>G18*I18</f>
        <v>48265.34479378238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v>1</v>
      </c>
      <c r="D21" s="84">
        <f>'Size of water tank'!A3+0.15</f>
        <v>4.5693843340444991</v>
      </c>
      <c r="E21" s="84">
        <f>'Size of water tank'!B3+0.15</f>
        <v>4.4169917708015847</v>
      </c>
      <c r="F21" s="86">
        <v>0.125</v>
      </c>
      <c r="G21" s="84">
        <f>C21*D21*E21*F21</f>
        <v>2.522866625138029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2.522866625138029</v>
      </c>
      <c r="H22" s="80" t="s">
        <v>24</v>
      </c>
      <c r="I22" s="84">
        <v>770.43</v>
      </c>
      <c r="J22" s="84">
        <f>G22*I22</f>
        <v>1943.6921340050915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C21</f>
        <v>1</v>
      </c>
      <c r="D25" s="90">
        <f>D21</f>
        <v>4.5693843340444991</v>
      </c>
      <c r="E25" s="90">
        <f>E21</f>
        <v>4.4169917708015847</v>
      </c>
      <c r="F25" s="86"/>
      <c r="G25" s="90">
        <f>PRODUCT(C25:F25)</f>
        <v>20.182933001104232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20.182933001104232</v>
      </c>
      <c r="H26" s="86" t="s">
        <v>23</v>
      </c>
      <c r="I26" s="90">
        <f>Sheet1!H8/10</f>
        <v>166.5</v>
      </c>
      <c r="J26" s="90">
        <f>G26*I26</f>
        <v>3360.4583446838546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C21</f>
        <v>1</v>
      </c>
      <c r="D29" s="84">
        <f>D21</f>
        <v>4.5693843340444991</v>
      </c>
      <c r="E29" s="84">
        <f>E21</f>
        <v>4.4169917708015847</v>
      </c>
      <c r="F29" s="84">
        <f>'Size of water tank'!I3</f>
        <v>7.4999999999999997E-2</v>
      </c>
      <c r="G29" s="84">
        <f>C29*D29*E29*F29</f>
        <v>1.5137199750828174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1.5137199750828174</v>
      </c>
      <c r="H30" s="80" t="s">
        <v>24</v>
      </c>
      <c r="I30" s="84">
        <v>13351.1</v>
      </c>
      <c r="J30" s="84">
        <f>G30*I30</f>
        <v>20209.826759328203</v>
      </c>
      <c r="K30" s="81"/>
    </row>
    <row r="31" spans="1:11">
      <c r="A31" s="77"/>
      <c r="B31" s="92" t="s">
        <v>28</v>
      </c>
      <c r="C31" s="83"/>
      <c r="D31" s="84"/>
      <c r="E31" s="84"/>
      <c r="F31" s="84"/>
      <c r="G31" s="84"/>
      <c r="H31" s="80"/>
      <c r="I31" s="84"/>
      <c r="J31" s="84">
        <f>0.13*G30*4169.92</f>
        <v>820.57185580465443</v>
      </c>
      <c r="K31" s="81"/>
    </row>
    <row r="32" spans="1:11">
      <c r="A32" s="77"/>
      <c r="B32" s="92" t="s">
        <v>29</v>
      </c>
      <c r="C32" s="83"/>
      <c r="D32" s="84"/>
      <c r="E32" s="84"/>
      <c r="F32" s="84"/>
      <c r="G32" s="84"/>
      <c r="H32" s="80"/>
      <c r="I32" s="84"/>
      <c r="J32" s="84">
        <f>0.13*G30*1414.16</f>
        <v>278.28349119520522</v>
      </c>
      <c r="K32" s="81"/>
    </row>
    <row r="33" spans="1:11">
      <c r="A33" s="77"/>
      <c r="B33" s="92" t="s">
        <v>30</v>
      </c>
      <c r="C33" s="83"/>
      <c r="D33" s="84"/>
      <c r="E33" s="84"/>
      <c r="F33" s="84"/>
      <c r="G33" s="84"/>
      <c r="H33" s="80"/>
      <c r="I33" s="84"/>
      <c r="J33" s="84">
        <f>0.13*G30*(1652.5+737.97+349.56)</f>
        <v>539.19295863240245</v>
      </c>
      <c r="K33" s="81"/>
    </row>
    <row r="34" spans="1:11">
      <c r="A34" s="77"/>
      <c r="B34" s="78"/>
      <c r="C34" s="83"/>
      <c r="D34" s="84"/>
      <c r="E34" s="84"/>
      <c r="F34" s="84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71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4" t="s">
        <v>131</v>
      </c>
      <c r="C36" s="89">
        <f>TRUNC(('Size of water tank'!A3-'Size of water tank'!G3*2)/0.15,0)+1</f>
        <v>29</v>
      </c>
      <c r="D36" s="90">
        <f>('Size of water tank'!B3-'Size of water tank'!G3*2)+(('Size of water tank'!C3+'Size of water tank'!D3*2-'Size of water tank'!E3*4)*2)+((57*'Size of water tank'!J3/1000)*2)</f>
        <v>8.7554318805242293</v>
      </c>
      <c r="E36" s="84"/>
      <c r="F36" s="84">
        <f>10*10/162</f>
        <v>0.61728395061728392</v>
      </c>
      <c r="G36" s="84">
        <f>C36*D36*F36</f>
        <v>156.73303983654483</v>
      </c>
      <c r="H36" s="80"/>
      <c r="I36" s="84"/>
      <c r="J36" s="84">
        <f>13.833/3.281</f>
        <v>4.2160926546784516</v>
      </c>
      <c r="K36" s="81"/>
    </row>
    <row r="37" spans="1:11">
      <c r="A37" s="77"/>
      <c r="B37" s="92"/>
      <c r="C37" s="89">
        <f>TRUNC(('Size of water tank'!A3-'Size of water tank'!F3*2+'Size of water tank'!G3*2)/0.15,0)+1</f>
        <v>28</v>
      </c>
      <c r="D37" s="90">
        <f>('Size of water tank'!B3-'Size of water tank'!F3*2+'Size of water tank'!G3*2)+(('Size of water tank'!C3+'Size of water tank'!D3*2-'Size of water tank'!E3*4)*2)+((57*'Size of water tank'!J3/1000)*2)</f>
        <v>8.5014442751193737</v>
      </c>
      <c r="E37" s="84"/>
      <c r="F37" s="84">
        <f>10*10/162</f>
        <v>0.61728395061728392</v>
      </c>
      <c r="G37" s="84">
        <f t="shared" ref="G37" si="0">C37*D37*F37</f>
        <v>146.93854302675459</v>
      </c>
      <c r="H37" s="80"/>
      <c r="I37" s="84"/>
      <c r="J37" s="84"/>
      <c r="K37" s="81"/>
    </row>
    <row r="38" spans="1:11">
      <c r="A38" s="77"/>
      <c r="B38" s="94" t="s">
        <v>110</v>
      </c>
      <c r="C38" s="89">
        <f>TRUNC(('Size of water tank'!B3-'Size of water tank'!G3*2)/0.15,0)+1</f>
        <v>28</v>
      </c>
      <c r="D38" s="90">
        <f>('Size of water tank'!A3-'Size of water tank'!G3*2)+(('Size of water tank'!C3+'Size of water tank'!D3*2-'Size of water tank'!E3*4)*2)+((57*'Size of water tank'!J3/1000)*2)</f>
        <v>8.9078244437671437</v>
      </c>
      <c r="E38" s="84"/>
      <c r="F38" s="84">
        <f>10*10/162</f>
        <v>0.61728395061728392</v>
      </c>
      <c r="G38" s="84">
        <f>C38*D38*F38</f>
        <v>153.9623977935062</v>
      </c>
      <c r="H38" s="80"/>
      <c r="I38" s="84"/>
      <c r="J38" s="84"/>
      <c r="K38" s="81"/>
    </row>
    <row r="39" spans="1:11">
      <c r="A39" s="77"/>
      <c r="B39" s="92"/>
      <c r="C39" s="89">
        <f>TRUNC(('Size of water tank'!B3-'Size of water tank'!F3*2+'Size of water tank'!G3*2)/0.15,0)+1</f>
        <v>27</v>
      </c>
      <c r="D39" s="90">
        <f>('Size of water tank'!A3-'Size of water tank'!F3*2+'Size of water tank'!G3*2)+(('Size of water tank'!C3+'Size of water tank'!D3*2-'Size of water tank'!E3*4)*2)+((57*'Size of water tank'!J3/1000)*2)</f>
        <v>8.6538368383622881</v>
      </c>
      <c r="E39" s="84"/>
      <c r="F39" s="84">
        <f>10*10/162</f>
        <v>0.61728395061728392</v>
      </c>
      <c r="G39" s="84">
        <f t="shared" ref="G39" si="1">C39*D39*F39</f>
        <v>144.23061397270479</v>
      </c>
      <c r="H39" s="80"/>
      <c r="I39" s="84"/>
      <c r="J39" s="84"/>
      <c r="K39" s="81"/>
    </row>
    <row r="40" spans="1:11">
      <c r="A40" s="77"/>
      <c r="B40" s="94" t="s">
        <v>132</v>
      </c>
      <c r="C40" s="83">
        <f>TRUNC(('Size of water tank'!C3+'Size of water tank'!D3-'Size of water tank'!E3)/0.15,0)+1</f>
        <v>12</v>
      </c>
      <c r="D40" s="84">
        <f>('Size of water tank'!A3-'Size of water tank'!G3*2)*2+('Size of water tank'!B3-'Size of water tank'!G3*2)*2</f>
        <v>17.067967083206337</v>
      </c>
      <c r="E40" s="84"/>
      <c r="F40" s="84">
        <f>8*8/162</f>
        <v>0.39506172839506171</v>
      </c>
      <c r="G40" s="84">
        <f>C40*D40*F40</f>
        <v>80.914806912978179</v>
      </c>
      <c r="H40" s="80"/>
      <c r="I40" s="84"/>
      <c r="J40" s="84"/>
      <c r="K40" s="81"/>
    </row>
    <row r="41" spans="1:11">
      <c r="A41" s="77"/>
      <c r="B41" s="92"/>
      <c r="C41" s="83">
        <f>TRUNC(('Size of water tank'!C3+'Size of water tank'!E3)/0.15,0)+1</f>
        <v>12</v>
      </c>
      <c r="D41" s="84">
        <f>('Size of water tank'!A3-'Size of water tank'!F3*2+'Size of water tank'!G3*2)*2+('Size of water tank'!B3-'Size of water tank'!F3*2+'Size of water tank'!G3*2)*2</f>
        <v>16.052016661586915</v>
      </c>
      <c r="E41" s="84"/>
      <c r="F41" s="84">
        <f>8*8/162</f>
        <v>0.39506172839506171</v>
      </c>
      <c r="G41" s="84">
        <f>C41*D41*F41</f>
        <v>76.098449358634255</v>
      </c>
      <c r="H41" s="80"/>
      <c r="I41" s="84"/>
      <c r="J41" s="84"/>
      <c r="K41" s="81"/>
    </row>
    <row r="42" spans="1:11">
      <c r="A42" s="77"/>
      <c r="B42" s="94" t="s">
        <v>111</v>
      </c>
      <c r="C42" s="83">
        <f>2*(TRUNC(('Size of water tank'!B3-'Size of water tank'!G3*2)/0.15,0)+1)</f>
        <v>56</v>
      </c>
      <c r="D42" s="84">
        <f>'Size of water tank'!A3</f>
        <v>4.4193843340444987</v>
      </c>
      <c r="E42" s="84"/>
      <c r="F42" s="84">
        <f t="shared" ref="F42:F47" si="2">8*8/162</f>
        <v>0.39506172839506171</v>
      </c>
      <c r="G42" s="84">
        <f t="shared" ref="G42:G43" si="3">C42*D42*F42</f>
        <v>97.77205835318199</v>
      </c>
      <c r="H42" s="80"/>
      <c r="I42" s="84"/>
      <c r="J42" s="84"/>
      <c r="K42" s="81"/>
    </row>
    <row r="43" spans="1:11">
      <c r="A43" s="77"/>
      <c r="B43" s="92"/>
      <c r="C43" s="83">
        <f>2*(TRUNC(('Size of water tank'!A3-'Size of water tank'!G3*2)/0.15,0)+1)</f>
        <v>58</v>
      </c>
      <c r="D43" s="84">
        <f>'Size of water tank'!B3</f>
        <v>4.2669917708015843</v>
      </c>
      <c r="E43" s="84"/>
      <c r="F43" s="84">
        <f t="shared" si="2"/>
        <v>0.39506172839506171</v>
      </c>
      <c r="G43" s="84">
        <f t="shared" si="3"/>
        <v>97.772058353181976</v>
      </c>
      <c r="H43" s="80"/>
      <c r="I43" s="84"/>
      <c r="J43" s="84"/>
      <c r="K43" s="81"/>
    </row>
    <row r="44" spans="1:11">
      <c r="A44" s="77"/>
      <c r="B44" s="94" t="s">
        <v>122</v>
      </c>
      <c r="C44" s="83">
        <f>2*(TRUNC('Size of water tank'!L3/0.15,0)+1)</f>
        <v>10</v>
      </c>
      <c r="D44" s="84">
        <f>'Size of water tank'!K3</f>
        <v>0.6095702529716549</v>
      </c>
      <c r="E44" s="84"/>
      <c r="F44" s="84">
        <f t="shared" si="2"/>
        <v>0.39506172839506171</v>
      </c>
      <c r="G44" s="84">
        <f t="shared" ref="G44:G45" si="4">PRODUCT(C44:F44)</f>
        <v>2.4081787771719698</v>
      </c>
      <c r="H44" s="80"/>
      <c r="I44" s="84"/>
      <c r="J44" s="84"/>
      <c r="K44" s="81"/>
    </row>
    <row r="45" spans="1:11">
      <c r="A45" s="77"/>
      <c r="B45" s="94"/>
      <c r="C45" s="83">
        <f>2*(TRUNC('Size of water tank'!K3/0.15,0)+1)</f>
        <v>10</v>
      </c>
      <c r="D45" s="84">
        <f>'Size of water tank'!L3</f>
        <v>0.6095702529716549</v>
      </c>
      <c r="E45" s="84"/>
      <c r="F45" s="84">
        <f t="shared" si="2"/>
        <v>0.39506172839506171</v>
      </c>
      <c r="G45" s="84">
        <f t="shared" si="4"/>
        <v>2.4081787771719698</v>
      </c>
      <c r="H45" s="80"/>
      <c r="I45" s="84"/>
      <c r="J45" s="84"/>
      <c r="K45" s="81"/>
    </row>
    <row r="46" spans="1:11">
      <c r="A46" s="77"/>
      <c r="B46" s="94" t="s">
        <v>118</v>
      </c>
      <c r="C46" s="83">
        <f>2*(TRUNC(((('Size of water tank'!A3-'Size of water tank'!F3*2)+('Size of water tank'!A3-'Size of water tank'!F3*2-'Size of water tank'!M3*2))/2)/0.15,0)+1)</f>
        <v>50</v>
      </c>
      <c r="D46" s="84">
        <f>(2*57*('Size of water tank'!J3/1000))+SQRT(('Size of water tank'!M3)^2+('Size of water tank'!N3)^2)</f>
        <v>1.3430312594858564</v>
      </c>
      <c r="E46" s="84"/>
      <c r="F46" s="84">
        <f t="shared" si="2"/>
        <v>0.39506172839506171</v>
      </c>
      <c r="G46" s="84">
        <f t="shared" ref="G46" si="5">C46*D46*F46</f>
        <v>26.529012533053951</v>
      </c>
      <c r="H46" s="80"/>
      <c r="I46" s="84"/>
      <c r="J46" s="84"/>
      <c r="K46" s="81"/>
    </row>
    <row r="47" spans="1:11">
      <c r="A47" s="77"/>
      <c r="B47" s="94"/>
      <c r="C47" s="83">
        <f>2*(TRUNC(((('Size of water tank'!B3-'Size of water tank'!F3*2)+('Size of water tank'!B3-'Size of water tank'!F3*2-'Size of water tank'!M3*2))/2)/0.15,0)+1)</f>
        <v>48</v>
      </c>
      <c r="D47" s="84">
        <f>(2*57*('Size of water tank'!J3/1000))+SQRT(('Size of water tank'!M3)^2+('Size of water tank'!N3)^2)</f>
        <v>1.3430312594858564</v>
      </c>
      <c r="E47" s="84"/>
      <c r="F47" s="84">
        <f t="shared" si="2"/>
        <v>0.39506172839506171</v>
      </c>
      <c r="G47" s="84">
        <f t="shared" ref="G47" si="6">C47*D47*F47</f>
        <v>25.467852031731795</v>
      </c>
      <c r="H47" s="80"/>
      <c r="I47" s="84"/>
      <c r="J47" s="84"/>
      <c r="K47" s="81"/>
    </row>
    <row r="48" spans="1:11">
      <c r="A48" s="77"/>
      <c r="B48" s="94" t="s">
        <v>132</v>
      </c>
      <c r="C48" s="83">
        <f>TRUNC(((SQRT(('Size of water tank'!M3)^2+('Size of water tank'!N3)^2))/0.15)+1)-2</f>
        <v>1</v>
      </c>
      <c r="D48" s="84">
        <f>(((('Size of water tank'!A3-'Size of water tank'!F3*2)+('Size of water tank'!A3-'Size of water tank'!F3*2-'Size of water tank'!M3*2))/2)+((('Size of water tank'!B3-'Size of water tank'!F3*2)+('Size of water tank'!B3-'Size of water tank'!F3*2-'Size of water tank'!M3*2))/2))*2</f>
        <v>14.528091029157777</v>
      </c>
      <c r="E48" s="84"/>
      <c r="F48" s="84">
        <f>8*8/162</f>
        <v>0.39506172839506171</v>
      </c>
      <c r="G48" s="84">
        <f>C48*D48*F48</f>
        <v>5.7394927522598618</v>
      </c>
      <c r="H48" s="80"/>
      <c r="I48" s="84"/>
      <c r="J48" s="84"/>
      <c r="K48" s="81"/>
    </row>
    <row r="49" spans="1:11">
      <c r="A49" s="77"/>
      <c r="B49" s="94" t="s">
        <v>172</v>
      </c>
      <c r="C49" s="83">
        <f>TRUNC((D50-0.1)/0.15,0)+1</f>
        <v>4</v>
      </c>
      <c r="D49" s="84">
        <v>1.5</v>
      </c>
      <c r="E49" s="84"/>
      <c r="F49" s="84">
        <f>12*12/162</f>
        <v>0.88888888888888884</v>
      </c>
      <c r="G49" s="84">
        <f>C49*D49*F49</f>
        <v>5.333333333333333</v>
      </c>
      <c r="H49" s="80"/>
      <c r="I49" s="84"/>
      <c r="J49" s="84"/>
      <c r="K49" s="81"/>
    </row>
    <row r="50" spans="1:11">
      <c r="A50" s="77"/>
      <c r="B50" s="94"/>
      <c r="C50" s="83">
        <f>TRUNC(D49/0.15,0)+1</f>
        <v>11</v>
      </c>
      <c r="D50" s="84">
        <f>2.25/3.281</f>
        <v>0.68576653459311188</v>
      </c>
      <c r="E50" s="84"/>
      <c r="F50" s="84">
        <f>12*12/162</f>
        <v>0.88888888888888884</v>
      </c>
      <c r="G50" s="84">
        <f>C50*D50*F50</f>
        <v>6.7052727826882048</v>
      </c>
      <c r="H50" s="80"/>
      <c r="I50" s="84"/>
      <c r="J50" s="84"/>
      <c r="K50" s="81"/>
    </row>
    <row r="51" spans="1:11">
      <c r="A51" s="77"/>
      <c r="B51" s="92"/>
      <c r="C51" s="83"/>
      <c r="D51" s="84"/>
      <c r="E51" s="84"/>
      <c r="F51" s="84"/>
      <c r="G51" s="84">
        <f>SUM(G36:G50)</f>
        <v>1029.0132885948979</v>
      </c>
      <c r="H51" s="80" t="s">
        <v>18</v>
      </c>
      <c r="I51" s="84">
        <f>132360/1000</f>
        <v>132.36000000000001</v>
      </c>
      <c r="J51" s="95">
        <f>G51*I51</f>
        <v>136200.19887842069</v>
      </c>
      <c r="K51" s="81"/>
    </row>
    <row r="52" spans="1:11">
      <c r="A52" s="77"/>
      <c r="B52" s="92" t="s">
        <v>72</v>
      </c>
      <c r="C52" s="83"/>
      <c r="D52" s="84"/>
      <c r="E52" s="84"/>
      <c r="F52" s="84"/>
      <c r="G52" s="84"/>
      <c r="H52" s="80"/>
      <c r="I52" s="84"/>
      <c r="J52" s="84">
        <f>0.13*G51*106200/1000</f>
        <v>14206.557462341161</v>
      </c>
      <c r="K52" s="81"/>
    </row>
    <row r="53" spans="1:11">
      <c r="A53" s="77"/>
      <c r="B53" s="92"/>
      <c r="C53" s="83"/>
      <c r="D53" s="84"/>
      <c r="E53" s="84"/>
      <c r="F53" s="84"/>
      <c r="G53" s="84"/>
      <c r="H53" s="80"/>
      <c r="I53" s="84"/>
      <c r="J53" s="84"/>
      <c r="K53" s="81"/>
    </row>
    <row r="54" spans="1:11" ht="30.75">
      <c r="A54" s="77">
        <v>7</v>
      </c>
      <c r="B54" s="115" t="s">
        <v>112</v>
      </c>
      <c r="C54" s="83"/>
      <c r="D54" s="84"/>
      <c r="E54" s="84"/>
      <c r="F54" s="84"/>
      <c r="G54" s="84"/>
      <c r="H54" s="80"/>
      <c r="I54" s="84"/>
      <c r="J54" s="84"/>
      <c r="K54" s="81"/>
    </row>
    <row r="55" spans="1:11">
      <c r="A55" s="77"/>
      <c r="B55" s="94" t="s">
        <v>113</v>
      </c>
      <c r="C55" s="83">
        <v>1</v>
      </c>
      <c r="D55" s="84">
        <f>('Size of water tank'!A3+'Size of water tank'!B3)*2</f>
        <v>17.372752209692166</v>
      </c>
      <c r="E55" s="84"/>
      <c r="F55" s="84">
        <f>'Size of water tank'!C3+'Size of water tank'!D3</f>
        <v>1.8013181956720512</v>
      </c>
      <c r="G55" s="84">
        <f>PRODUCT(C55:F55)</f>
        <v>31.293854664220333</v>
      </c>
      <c r="H55" s="80"/>
      <c r="I55" s="84"/>
      <c r="J55" s="84"/>
      <c r="K55" s="81"/>
    </row>
    <row r="56" spans="1:11">
      <c r="A56" s="77"/>
      <c r="B56" s="92"/>
      <c r="C56" s="83">
        <v>1</v>
      </c>
      <c r="D56" s="84">
        <f>(('Size of water tank'!A3-'Size of water tank'!F3*2)+('Size of water tank'!B3-'Size of water tank'!F3*2))*2</f>
        <v>15.747231535101086</v>
      </c>
      <c r="E56" s="84"/>
      <c r="F56" s="84">
        <f>'Size of water tank'!C3+'Size of water tank'!D3-'Size of water tank'!N3</f>
        <v>1.4965330691862238</v>
      </c>
      <c r="G56" s="84">
        <f t="shared" ref="G56:G59" si="7">PRODUCT(C56:F56)</f>
        <v>23.566252740410917</v>
      </c>
      <c r="H56" s="80"/>
      <c r="I56" s="84"/>
      <c r="J56" s="84"/>
      <c r="K56" s="81"/>
    </row>
    <row r="57" spans="1:11">
      <c r="A57" s="77"/>
      <c r="B57" s="94" t="s">
        <v>114</v>
      </c>
      <c r="C57" s="83">
        <v>1</v>
      </c>
      <c r="D57" s="129">
        <f>'Size of water tank'!A3-'Size of water tank'!F3*2</f>
        <v>4.0130041653967288</v>
      </c>
      <c r="E57" s="129">
        <f>'Size of water tank'!B3-'Size of water tank'!F3*2</f>
        <v>3.8606116021538144</v>
      </c>
      <c r="F57" s="84"/>
      <c r="G57" s="84">
        <f t="shared" si="7"/>
        <v>15.492650440422196</v>
      </c>
      <c r="H57" s="80"/>
      <c r="I57" s="84"/>
      <c r="J57" s="84"/>
      <c r="K57" s="81"/>
    </row>
    <row r="58" spans="1:11">
      <c r="A58" s="77"/>
      <c r="B58" s="94" t="s">
        <v>122</v>
      </c>
      <c r="C58" s="83">
        <v>-1</v>
      </c>
      <c r="D58" s="84">
        <f>'Size of water tank'!K3</f>
        <v>0.6095702529716549</v>
      </c>
      <c r="E58" s="84">
        <f>'Size of water tank'!L3</f>
        <v>0.6095702529716549</v>
      </c>
      <c r="F58" s="84"/>
      <c r="G58" s="84">
        <f t="shared" si="7"/>
        <v>-0.37157589330792734</v>
      </c>
      <c r="H58" s="80"/>
      <c r="I58" s="84"/>
      <c r="J58" s="84"/>
      <c r="K58" s="81"/>
    </row>
    <row r="59" spans="1:11">
      <c r="A59" s="77"/>
      <c r="B59" s="94" t="str">
        <f>B49</f>
        <v>-for kitchen setup at ward office</v>
      </c>
      <c r="C59" s="83">
        <v>1</v>
      </c>
      <c r="D59" s="84">
        <f>D49</f>
        <v>1.5</v>
      </c>
      <c r="E59" s="84">
        <f>D50</f>
        <v>0.68576653459311188</v>
      </c>
      <c r="F59" s="84"/>
      <c r="G59" s="84">
        <f t="shared" si="7"/>
        <v>1.0286498018896677</v>
      </c>
      <c r="H59" s="80"/>
      <c r="I59" s="84"/>
      <c r="J59" s="84"/>
      <c r="K59" s="81"/>
    </row>
    <row r="60" spans="1:11">
      <c r="A60" s="77"/>
      <c r="B60" s="92"/>
      <c r="C60" s="83"/>
      <c r="D60" s="84"/>
      <c r="E60" s="84"/>
      <c r="F60" s="84"/>
      <c r="G60" s="84">
        <f>SUM(G55:G59)</f>
        <v>71.009831753635183</v>
      </c>
      <c r="H60" s="80" t="s">
        <v>23</v>
      </c>
      <c r="I60" s="84">
        <v>922.71</v>
      </c>
      <c r="J60" s="84">
        <f>G60*I60</f>
        <v>65521.48185739672</v>
      </c>
      <c r="K60" s="81"/>
    </row>
    <row r="61" spans="1:11">
      <c r="A61" s="77"/>
      <c r="B61" s="92" t="s">
        <v>72</v>
      </c>
      <c r="C61" s="83"/>
      <c r="D61" s="84"/>
      <c r="E61" s="84"/>
      <c r="F61" s="84"/>
      <c r="G61" s="84"/>
      <c r="H61" s="80"/>
      <c r="I61" s="84"/>
      <c r="J61" s="84">
        <f>0.13*G60*46827.87/100</f>
        <v>4322.8109211054307</v>
      </c>
      <c r="K61" s="81"/>
    </row>
    <row r="62" spans="1:11">
      <c r="A62" s="77"/>
      <c r="B62" s="92"/>
      <c r="C62" s="83"/>
      <c r="D62" s="84"/>
      <c r="E62" s="84"/>
      <c r="F62" s="84"/>
      <c r="G62" s="84"/>
      <c r="H62" s="80"/>
      <c r="I62" s="84"/>
      <c r="J62" s="84"/>
      <c r="K62" s="81"/>
    </row>
    <row r="63" spans="1:11" ht="30.75">
      <c r="A63" s="77">
        <v>8</v>
      </c>
      <c r="B63" s="115" t="s">
        <v>119</v>
      </c>
      <c r="C63" s="83"/>
      <c r="D63" s="84"/>
      <c r="E63" s="84"/>
      <c r="F63" s="84"/>
      <c r="G63" s="84"/>
      <c r="H63" s="80"/>
      <c r="I63" s="84"/>
      <c r="J63" s="84"/>
      <c r="K63" s="81"/>
    </row>
    <row r="64" spans="1:11">
      <c r="A64" s="77"/>
      <c r="B64" s="94" t="s">
        <v>117</v>
      </c>
      <c r="C64" s="83">
        <v>2</v>
      </c>
      <c r="D64" s="84">
        <f>'Size of water tank'!A3</f>
        <v>4.4193843340444987</v>
      </c>
      <c r="E64" s="84">
        <f>'Size of water tank'!B3</f>
        <v>4.2669917708015843</v>
      </c>
      <c r="F64" s="84">
        <f>'Size of water tank'!D3</f>
        <v>0.125</v>
      </c>
      <c r="G64" s="84">
        <f t="shared" ref="G64:G70" si="8">C64*D64*E64*F64</f>
        <v>4.7143691463443291</v>
      </c>
      <c r="H64" s="80"/>
      <c r="I64" s="84"/>
      <c r="J64" s="84"/>
      <c r="K64" s="81"/>
    </row>
    <row r="65" spans="1:11">
      <c r="A65" s="77"/>
      <c r="B65" s="94" t="s">
        <v>116</v>
      </c>
      <c r="C65" s="83">
        <v>2</v>
      </c>
      <c r="D65" s="84">
        <f>'Size of water tank'!A3</f>
        <v>4.4193843340444987</v>
      </c>
      <c r="E65" s="84">
        <f>'Size of water tank'!F3</f>
        <v>0.20319008432388497</v>
      </c>
      <c r="F65" s="84">
        <f>'Size of water tank'!C3</f>
        <v>1.6763181956720512</v>
      </c>
      <c r="G65" s="84">
        <f t="shared" si="8"/>
        <v>3.0105839166216812</v>
      </c>
      <c r="H65" s="80"/>
      <c r="I65" s="84"/>
      <c r="J65" s="84"/>
      <c r="K65" s="81"/>
    </row>
    <row r="66" spans="1:11">
      <c r="A66" s="77"/>
      <c r="B66" s="93"/>
      <c r="C66" s="83">
        <v>2</v>
      </c>
      <c r="D66" s="84">
        <f>'Size of water tank'!B3-'Size of water tank'!F3*2</f>
        <v>3.8606116021538144</v>
      </c>
      <c r="E66" s="84">
        <f>'Size of water tank'!F3</f>
        <v>0.20319008432388497</v>
      </c>
      <c r="F66" s="84">
        <f>'Size of water tank'!C3</f>
        <v>1.6763181956720512</v>
      </c>
      <c r="G66" s="84">
        <f t="shared" si="8"/>
        <v>2.6299353754396293</v>
      </c>
      <c r="H66" s="80"/>
      <c r="I66" s="84"/>
      <c r="J66" s="84"/>
      <c r="K66" s="81"/>
    </row>
    <row r="67" spans="1:11">
      <c r="A67" s="77"/>
      <c r="B67" s="94" t="s">
        <v>115</v>
      </c>
      <c r="C67" s="83">
        <f>2*0.5</f>
        <v>1</v>
      </c>
      <c r="D67" s="84">
        <f>(('Size of water tank'!A3-('Size of water tank'!F3)*2)+('Size of water tank'!A3-('Size of water tank'!F3)*2-('Size of water tank'!M3)*2))/2</f>
        <v>3.7082190389109013</v>
      </c>
      <c r="E67" s="84">
        <f>'Size of water tank'!M3</f>
        <v>0.30478512648582745</v>
      </c>
      <c r="F67" s="84">
        <f>'Size of water tank'!N3</f>
        <v>0.30478512648582745</v>
      </c>
      <c r="G67" s="84">
        <f t="shared" si="8"/>
        <v>0.34447120049119545</v>
      </c>
      <c r="H67" s="80"/>
      <c r="I67" s="84"/>
      <c r="J67" s="84"/>
      <c r="K67" s="81"/>
    </row>
    <row r="68" spans="1:11">
      <c r="A68" s="77"/>
      <c r="B68" s="94"/>
      <c r="C68" s="83">
        <f>2*0.5</f>
        <v>1</v>
      </c>
      <c r="D68" s="84">
        <f>(('Size of water tank'!B3-'Size of water tank'!F3*2)+('Size of water tank'!B3-'Size of water tank'!F3*2-'Size of water tank'!M3*2))/2</f>
        <v>3.5558264756679869</v>
      </c>
      <c r="E68" s="84">
        <f>'Size of water tank'!M3</f>
        <v>0.30478512648582745</v>
      </c>
      <c r="F68" s="84">
        <f>'Size of water tank'!N3</f>
        <v>0.30478512648582745</v>
      </c>
      <c r="G68" s="84">
        <f t="shared" si="8"/>
        <v>0.33031484978607778</v>
      </c>
      <c r="H68" s="80"/>
      <c r="I68" s="84"/>
      <c r="J68" s="84"/>
      <c r="K68" s="81"/>
    </row>
    <row r="69" spans="1:11">
      <c r="A69" s="77"/>
      <c r="B69" s="94" t="s">
        <v>122</v>
      </c>
      <c r="C69" s="83">
        <v>-1</v>
      </c>
      <c r="D69" s="84">
        <v>0.6</v>
      </c>
      <c r="E69" s="84">
        <v>0.6</v>
      </c>
      <c r="F69" s="84">
        <f>0.42/3.281</f>
        <v>0.12800975312404753</v>
      </c>
      <c r="G69" s="84">
        <f t="shared" si="8"/>
        <v>-4.6083511124657105E-2</v>
      </c>
      <c r="H69" s="80"/>
      <c r="I69" s="84"/>
      <c r="J69" s="84"/>
      <c r="K69" s="81"/>
    </row>
    <row r="70" spans="1:11">
      <c r="A70" s="77"/>
      <c r="B70" s="94" t="str">
        <f>B59</f>
        <v>-for kitchen setup at ward office</v>
      </c>
      <c r="C70" s="83">
        <v>1</v>
      </c>
      <c r="D70" s="84">
        <f>D59</f>
        <v>1.5</v>
      </c>
      <c r="E70" s="84">
        <f>E59</f>
        <v>0.68576653459311188</v>
      </c>
      <c r="F70" s="84">
        <v>0.125</v>
      </c>
      <c r="G70" s="84">
        <f t="shared" si="8"/>
        <v>0.12858122523620846</v>
      </c>
      <c r="H70" s="80"/>
      <c r="I70" s="84"/>
      <c r="J70" s="84"/>
      <c r="K70" s="81"/>
    </row>
    <row r="71" spans="1:11">
      <c r="A71" s="77"/>
      <c r="B71" s="94"/>
      <c r="C71" s="83"/>
      <c r="D71" s="84"/>
      <c r="E71" s="84" t="s">
        <v>31</v>
      </c>
      <c r="F71" s="84"/>
      <c r="G71" s="84">
        <f>SUM(G64:G70)</f>
        <v>11.112172202794465</v>
      </c>
      <c r="H71" s="80" t="s">
        <v>24</v>
      </c>
      <c r="I71" s="84">
        <v>13957.29</v>
      </c>
      <c r="J71" s="95">
        <f>G71*I71</f>
        <v>155095.80996434117</v>
      </c>
      <c r="K71" s="81"/>
    </row>
    <row r="72" spans="1:11">
      <c r="A72" s="77"/>
      <c r="B72" s="92" t="s">
        <v>28</v>
      </c>
      <c r="C72" s="83"/>
      <c r="D72" s="84"/>
      <c r="E72" s="84"/>
      <c r="F72" s="84"/>
      <c r="G72" s="84"/>
      <c r="H72" s="80"/>
      <c r="I72" s="84"/>
      <c r="J72" s="84">
        <f>0.13*G71*5212.4</f>
        <v>7529.7412306799624</v>
      </c>
      <c r="K72" s="81"/>
    </row>
    <row r="73" spans="1:11">
      <c r="A73" s="77"/>
      <c r="B73" s="92" t="s">
        <v>29</v>
      </c>
      <c r="C73" s="83"/>
      <c r="D73" s="84"/>
      <c r="E73" s="84"/>
      <c r="F73" s="84"/>
      <c r="G73" s="84"/>
      <c r="H73" s="80"/>
      <c r="I73" s="84"/>
      <c r="J73" s="84">
        <f>0.13*G71*1350.6</f>
        <v>1951.0529710222465</v>
      </c>
      <c r="K73" s="81"/>
    </row>
    <row r="74" spans="1:11">
      <c r="A74" s="77"/>
      <c r="B74" s="92" t="s">
        <v>30</v>
      </c>
      <c r="C74" s="83"/>
      <c r="D74" s="84"/>
      <c r="E74" s="84"/>
      <c r="F74" s="84"/>
      <c r="G74" s="84"/>
      <c r="H74" s="80"/>
      <c r="I74" s="84"/>
      <c r="J74" s="84">
        <f>0.13*G71*(1912.03+921.59)</f>
        <v>4093.3975416467188</v>
      </c>
      <c r="K74" s="81"/>
    </row>
    <row r="75" spans="1:11">
      <c r="A75" s="77"/>
      <c r="B75" s="92" t="s">
        <v>120</v>
      </c>
      <c r="C75" s="83"/>
      <c r="D75" s="84"/>
      <c r="E75" s="84"/>
      <c r="F75" s="84"/>
      <c r="G75" s="84"/>
      <c r="H75" s="80"/>
      <c r="I75" s="84"/>
      <c r="J75" s="84">
        <f>0.13*G71*392.92</f>
        <v>567.60531124986016</v>
      </c>
      <c r="K75" s="81"/>
    </row>
    <row r="76" spans="1:11">
      <c r="A76" s="77"/>
      <c r="B76" s="92" t="s">
        <v>121</v>
      </c>
      <c r="C76" s="83"/>
      <c r="D76" s="84"/>
      <c r="E76" s="84"/>
      <c r="F76" s="84"/>
      <c r="G76" s="84"/>
      <c r="H76" s="80"/>
      <c r="I76" s="84"/>
      <c r="J76" s="84">
        <f>0.13*G71*14.15</f>
        <v>20.44084076704042</v>
      </c>
      <c r="K76" s="81"/>
    </row>
    <row r="77" spans="1:11">
      <c r="A77" s="77"/>
      <c r="B77" s="92"/>
      <c r="C77" s="83"/>
      <c r="D77" s="84"/>
      <c r="E77" s="84"/>
      <c r="F77" s="84"/>
      <c r="G77" s="84"/>
      <c r="H77" s="80"/>
      <c r="I77" s="84"/>
      <c r="J77" s="84"/>
      <c r="K77" s="81"/>
    </row>
    <row r="78" spans="1:11" ht="30.75">
      <c r="A78" s="77">
        <v>9</v>
      </c>
      <c r="B78" s="115" t="s">
        <v>69</v>
      </c>
      <c r="C78" s="83"/>
      <c r="D78" s="80"/>
      <c r="E78" s="80"/>
      <c r="F78" s="80"/>
      <c r="G78" s="84"/>
      <c r="H78" s="80"/>
      <c r="I78" s="84"/>
      <c r="J78" s="84"/>
      <c r="K78" s="81"/>
    </row>
    <row r="79" spans="1:11">
      <c r="A79" s="77"/>
      <c r="B79" s="92" t="s">
        <v>124</v>
      </c>
      <c r="C79" s="83">
        <v>2</v>
      </c>
      <c r="D79" s="80">
        <f>'Size of water tank'!A3-'Size of water tank'!F3*2</f>
        <v>4.0130041653967288</v>
      </c>
      <c r="E79" s="80"/>
      <c r="F79" s="80">
        <f>'Size of water tank'!C3-'Size of water tank'!N3</f>
        <v>1.3715330691862238</v>
      </c>
      <c r="G79" s="84">
        <f>C79*D79*F79</f>
        <v>11.007935839247352</v>
      </c>
      <c r="H79" s="80"/>
      <c r="I79" s="84"/>
      <c r="J79" s="84"/>
      <c r="K79" s="81"/>
    </row>
    <row r="80" spans="1:11">
      <c r="A80" s="77"/>
      <c r="B80" s="96"/>
      <c r="C80" s="83">
        <v>2</v>
      </c>
      <c r="D80" s="80">
        <f>'Size of water tank'!B3-'Size of water tank'!F3*2</f>
        <v>3.8606116021538144</v>
      </c>
      <c r="E80" s="80"/>
      <c r="F80" s="80">
        <f>'Size of water tank'!C3-'Size of water tank'!N3</f>
        <v>1.3715330691862238</v>
      </c>
      <c r="G80" s="84">
        <f>C80*D80*F80</f>
        <v>10.589912959275932</v>
      </c>
      <c r="H80" s="80"/>
      <c r="I80" s="97"/>
      <c r="J80" s="84"/>
      <c r="K80" s="81"/>
    </row>
    <row r="81" spans="1:11">
      <c r="A81" s="77"/>
      <c r="B81" s="94" t="s">
        <v>170</v>
      </c>
      <c r="C81" s="83">
        <v>1</v>
      </c>
      <c r="D81" s="80">
        <f>D67*2+D68*2</f>
        <v>14.528091029157777</v>
      </c>
      <c r="E81" s="80"/>
      <c r="F81" s="80">
        <f>SQRT(('Size of water tank'!M3)^2+('Size of water tank'!N3)^2)</f>
        <v>0.43103125948585641</v>
      </c>
      <c r="G81" s="84">
        <f>C81*D81*F81</f>
        <v>6.2620613742230482</v>
      </c>
      <c r="H81" s="80"/>
      <c r="I81" s="97"/>
      <c r="J81" s="84"/>
      <c r="K81" s="81"/>
    </row>
    <row r="82" spans="1:11">
      <c r="A82" s="77"/>
      <c r="B82" s="96"/>
      <c r="C82" s="83"/>
      <c r="D82" s="84"/>
      <c r="E82" s="84"/>
      <c r="F82" s="86"/>
      <c r="G82" s="84">
        <f>SUM(G79:G80)</f>
        <v>21.597848798523284</v>
      </c>
      <c r="H82" s="80" t="s">
        <v>23</v>
      </c>
      <c r="I82" s="84">
        <v>415.5</v>
      </c>
      <c r="J82" s="84">
        <f>G82*I82</f>
        <v>8973.9061757864238</v>
      </c>
      <c r="K82" s="81"/>
    </row>
    <row r="83" spans="1:11">
      <c r="A83" s="77"/>
      <c r="B83" s="92" t="s">
        <v>28</v>
      </c>
      <c r="C83" s="83"/>
      <c r="D83" s="84"/>
      <c r="E83" s="84"/>
      <c r="F83" s="86"/>
      <c r="G83" s="84"/>
      <c r="H83" s="80"/>
      <c r="I83" s="97"/>
      <c r="J83" s="84">
        <f>0.13*G82*7010.67/100</f>
        <v>196.84000782724624</v>
      </c>
      <c r="K83" s="81"/>
    </row>
    <row r="84" spans="1:11">
      <c r="A84" s="77"/>
      <c r="B84" s="92" t="s">
        <v>29</v>
      </c>
      <c r="C84" s="83"/>
      <c r="D84" s="84"/>
      <c r="E84" s="84"/>
      <c r="F84" s="86"/>
      <c r="G84" s="84"/>
      <c r="H84" s="80"/>
      <c r="I84" s="97"/>
      <c r="J84" s="84">
        <f>0.13*G82*4639.73/100</f>
        <v>130.27064310776416</v>
      </c>
      <c r="K84" s="81"/>
    </row>
    <row r="85" spans="1:11">
      <c r="A85" s="77"/>
      <c r="B85" s="92"/>
      <c r="C85" s="83"/>
      <c r="D85" s="84"/>
      <c r="E85" s="84"/>
      <c r="F85" s="86"/>
      <c r="G85" s="84"/>
      <c r="H85" s="80"/>
      <c r="I85" s="97"/>
      <c r="J85" s="84"/>
      <c r="K85" s="81"/>
    </row>
    <row r="86" spans="1:11" ht="30.75">
      <c r="A86" s="77">
        <v>10</v>
      </c>
      <c r="B86" s="115" t="s">
        <v>68</v>
      </c>
      <c r="C86" s="83"/>
      <c r="D86" s="80"/>
      <c r="E86" s="80"/>
      <c r="F86" s="84"/>
      <c r="G86" s="80"/>
      <c r="H86" s="86"/>
      <c r="I86" s="84"/>
      <c r="J86" s="80"/>
      <c r="K86" s="81"/>
    </row>
    <row r="87" spans="1:11">
      <c r="A87" s="77"/>
      <c r="B87" s="92" t="s">
        <v>123</v>
      </c>
      <c r="C87" s="83">
        <v>1</v>
      </c>
      <c r="D87" s="80">
        <f>'Size of water tank'!A3-'Size of water tank'!F3*2-'Size of water tank'!M3*2</f>
        <v>3.4034339124250739</v>
      </c>
      <c r="E87" s="80">
        <f>'Size of water tank'!B3-'Size of water tank'!F3*2-'Size of water tank'!M3*2</f>
        <v>3.2510413491821595</v>
      </c>
      <c r="F87" s="84"/>
      <c r="G87" s="80">
        <f>E87*D87*C87</f>
        <v>11.064704378502729</v>
      </c>
      <c r="H87" s="86" t="s">
        <v>23</v>
      </c>
      <c r="I87" s="84">
        <v>689.98</v>
      </c>
      <c r="J87" s="80">
        <f>G87*I87</f>
        <v>7634.424727079313</v>
      </c>
      <c r="K87" s="81"/>
    </row>
    <row r="88" spans="1:11">
      <c r="A88" s="77"/>
      <c r="B88" s="94" t="s">
        <v>173</v>
      </c>
      <c r="C88" s="83">
        <v>1</v>
      </c>
      <c r="D88" s="80"/>
      <c r="E88" s="80"/>
      <c r="F88" s="84"/>
      <c r="G88" s="80"/>
      <c r="H88" s="86"/>
      <c r="I88" s="84"/>
      <c r="J88" s="80"/>
      <c r="K88" s="81"/>
    </row>
    <row r="89" spans="1:11">
      <c r="A89" s="77"/>
      <c r="B89" s="92" t="s">
        <v>28</v>
      </c>
      <c r="C89" s="83"/>
      <c r="D89" s="80"/>
      <c r="E89" s="80"/>
      <c r="F89" s="86"/>
      <c r="G89" s="80"/>
      <c r="H89" s="86"/>
      <c r="I89" s="84"/>
      <c r="J89" s="98">
        <f>0.13*G87*1694.03/10</f>
        <v>243.67123505809474</v>
      </c>
      <c r="K89" s="81"/>
    </row>
    <row r="90" spans="1:11">
      <c r="A90" s="77"/>
      <c r="B90" s="92" t="s">
        <v>29</v>
      </c>
      <c r="C90" s="83"/>
      <c r="D90" s="80"/>
      <c r="E90" s="80"/>
      <c r="F90" s="86"/>
      <c r="G90" s="80"/>
      <c r="H90" s="86"/>
      <c r="I90" s="84"/>
      <c r="J90" s="98">
        <f>0.13*G87*572.02/10</f>
        <v>82.280018581684701</v>
      </c>
      <c r="K90" s="81"/>
    </row>
    <row r="91" spans="1:11">
      <c r="A91" s="77"/>
      <c r="B91" s="92" t="s">
        <v>30</v>
      </c>
      <c r="C91" s="83"/>
      <c r="D91" s="80"/>
      <c r="E91" s="80"/>
      <c r="F91" s="86"/>
      <c r="G91" s="80"/>
      <c r="H91" s="86"/>
      <c r="I91" s="84"/>
      <c r="J91" s="98">
        <f>0.13*G87*1207.6/10</f>
        <v>173.70258109723864</v>
      </c>
      <c r="K91" s="81"/>
    </row>
    <row r="92" spans="1:11" ht="18" customHeight="1">
      <c r="A92" s="77"/>
      <c r="B92" s="92"/>
      <c r="C92" s="83"/>
      <c r="D92" s="84"/>
      <c r="E92" s="84"/>
      <c r="F92" s="86"/>
      <c r="G92" s="84"/>
      <c r="H92" s="80"/>
      <c r="I92" s="84"/>
      <c r="J92" s="84"/>
      <c r="K92" s="81"/>
    </row>
    <row r="93" spans="1:11" ht="30.75">
      <c r="A93" s="77">
        <v>11</v>
      </c>
      <c r="B93" s="115" t="s">
        <v>70</v>
      </c>
      <c r="C93" s="83"/>
      <c r="D93" s="80"/>
      <c r="E93" s="80"/>
      <c r="F93" s="80"/>
      <c r="G93" s="80"/>
      <c r="H93" s="80"/>
      <c r="I93" s="80"/>
      <c r="J93" s="80"/>
      <c r="K93" s="81"/>
    </row>
    <row r="94" spans="1:11">
      <c r="A94" s="77"/>
      <c r="B94" s="92" t="str">
        <f>B79</f>
        <v>-At shear wall</v>
      </c>
      <c r="C94" s="83">
        <f>C65</f>
        <v>2</v>
      </c>
      <c r="D94" s="80">
        <f>D79</f>
        <v>4.0130041653967288</v>
      </c>
      <c r="E94" s="80"/>
      <c r="F94" s="80">
        <f>F79</f>
        <v>1.3715330691862238</v>
      </c>
      <c r="G94" s="84">
        <f>PRODUCT(C94:F94)</f>
        <v>11.007935839247352</v>
      </c>
      <c r="H94" s="80"/>
      <c r="I94" s="80"/>
      <c r="J94" s="80"/>
      <c r="K94" s="81"/>
    </row>
    <row r="95" spans="1:11">
      <c r="A95" s="77"/>
      <c r="B95" s="92"/>
      <c r="C95" s="83">
        <f>C66</f>
        <v>2</v>
      </c>
      <c r="D95" s="80">
        <f>D80</f>
        <v>3.8606116021538144</v>
      </c>
      <c r="E95" s="80"/>
      <c r="F95" s="80">
        <f>F80</f>
        <v>1.3715330691862238</v>
      </c>
      <c r="G95" s="84">
        <f t="shared" ref="G95:G97" si="9">PRODUCT(C95:F95)</f>
        <v>10.589912959275932</v>
      </c>
      <c r="H95" s="80"/>
      <c r="I95" s="80"/>
      <c r="J95" s="80"/>
      <c r="K95" s="81"/>
    </row>
    <row r="96" spans="1:11">
      <c r="A96" s="77"/>
      <c r="B96" s="94" t="s">
        <v>118</v>
      </c>
      <c r="C96" s="83">
        <v>1</v>
      </c>
      <c r="D96" s="80">
        <f>D81</f>
        <v>14.528091029157777</v>
      </c>
      <c r="E96" s="80"/>
      <c r="F96" s="80">
        <f>F81</f>
        <v>0.43103125948585641</v>
      </c>
      <c r="G96" s="84">
        <f t="shared" si="9"/>
        <v>6.2620613742230482</v>
      </c>
      <c r="H96" s="80"/>
      <c r="I96" s="80"/>
      <c r="J96" s="80"/>
      <c r="K96" s="81"/>
    </row>
    <row r="97" spans="1:11">
      <c r="A97" s="77"/>
      <c r="B97" s="94" t="s">
        <v>125</v>
      </c>
      <c r="C97" s="83">
        <v>1</v>
      </c>
      <c r="D97" s="80">
        <f>D87</f>
        <v>3.4034339124250739</v>
      </c>
      <c r="E97" s="80">
        <f>E87</f>
        <v>3.2510413491821595</v>
      </c>
      <c r="F97" s="80"/>
      <c r="G97" s="84">
        <f t="shared" si="9"/>
        <v>11.064704378502729</v>
      </c>
      <c r="H97" s="80"/>
      <c r="I97" s="80"/>
      <c r="J97" s="80"/>
      <c r="K97" s="81"/>
    </row>
    <row r="98" spans="1:11">
      <c r="A98" s="77"/>
      <c r="B98" s="92"/>
      <c r="C98" s="83"/>
      <c r="D98" s="80"/>
      <c r="E98" s="80"/>
      <c r="F98" s="80"/>
      <c r="G98" s="80">
        <f>SUM(G94:G97)</f>
        <v>38.924614551249064</v>
      </c>
      <c r="H98" s="80" t="s">
        <v>23</v>
      </c>
      <c r="I98" s="80">
        <v>287.32</v>
      </c>
      <c r="J98" s="80">
        <f>G98*I98</f>
        <v>11183.820252864882</v>
      </c>
      <c r="K98" s="81"/>
    </row>
    <row r="99" spans="1:11">
      <c r="A99" s="77"/>
      <c r="B99" s="92" t="s">
        <v>28</v>
      </c>
      <c r="C99" s="83"/>
      <c r="D99" s="80"/>
      <c r="E99" s="80"/>
      <c r="F99" s="80"/>
      <c r="G99" s="80"/>
      <c r="H99" s="80"/>
      <c r="I99" s="80"/>
      <c r="J99" s="80">
        <f>0.13*G98*693.24/10</f>
        <v>350.79329728960272</v>
      </c>
      <c r="K99" s="81"/>
    </row>
    <row r="100" spans="1:11">
      <c r="A100" s="77"/>
      <c r="B100" s="92"/>
      <c r="C100" s="83"/>
      <c r="D100" s="80"/>
      <c r="E100" s="80"/>
      <c r="F100" s="80"/>
      <c r="G100" s="80"/>
      <c r="H100" s="80"/>
      <c r="I100" s="80"/>
      <c r="J100" s="80"/>
      <c r="K100" s="81"/>
    </row>
    <row r="101" spans="1:11">
      <c r="A101" s="77"/>
      <c r="B101" s="92"/>
      <c r="C101" s="83"/>
      <c r="D101" s="80"/>
      <c r="E101" s="80"/>
      <c r="F101" s="80"/>
      <c r="G101" s="80"/>
      <c r="H101" s="80"/>
      <c r="I101" s="80"/>
      <c r="J101" s="80"/>
      <c r="K101" s="81"/>
    </row>
    <row r="102" spans="1:11" ht="33" customHeight="1">
      <c r="A102" s="77">
        <v>12</v>
      </c>
      <c r="B102" s="96" t="s">
        <v>73</v>
      </c>
      <c r="C102" s="83">
        <v>1</v>
      </c>
      <c r="D102" s="84"/>
      <c r="E102" s="84"/>
      <c r="F102" s="86"/>
      <c r="G102" s="84">
        <f>+C102</f>
        <v>1</v>
      </c>
      <c r="H102" s="80" t="s">
        <v>33</v>
      </c>
      <c r="I102" s="84">
        <v>4659</v>
      </c>
      <c r="J102" s="84">
        <f>G102*I102</f>
        <v>4659</v>
      </c>
      <c r="K102" s="81"/>
    </row>
    <row r="103" spans="1:11">
      <c r="A103" s="77"/>
      <c r="B103" s="85" t="s">
        <v>74</v>
      </c>
      <c r="C103" s="83"/>
      <c r="D103" s="84"/>
      <c r="E103" s="84"/>
      <c r="F103" s="86"/>
      <c r="G103" s="84"/>
      <c r="H103" s="80"/>
      <c r="I103" s="84"/>
      <c r="J103" s="84">
        <f>0.13*J102</f>
        <v>605.67000000000007</v>
      </c>
      <c r="K103" s="81"/>
    </row>
    <row r="104" spans="1:11">
      <c r="A104" s="77"/>
      <c r="B104" s="96"/>
      <c r="C104" s="83"/>
      <c r="D104" s="84"/>
      <c r="E104" s="84"/>
      <c r="F104" s="86"/>
      <c r="G104" s="84"/>
      <c r="H104" s="80"/>
      <c r="I104" s="84"/>
      <c r="J104" s="84"/>
      <c r="K104" s="81"/>
    </row>
    <row r="105" spans="1:11" ht="30.75">
      <c r="A105" s="77">
        <v>13</v>
      </c>
      <c r="B105" s="115" t="s">
        <v>126</v>
      </c>
      <c r="C105" s="83"/>
      <c r="D105" s="80"/>
      <c r="E105" s="80"/>
      <c r="F105" s="80"/>
      <c r="G105" s="80"/>
      <c r="H105" s="80"/>
      <c r="I105" s="80"/>
      <c r="J105" s="80"/>
      <c r="K105" s="81"/>
    </row>
    <row r="106" spans="1:11">
      <c r="A106" s="77"/>
      <c r="B106" s="94" t="s">
        <v>171</v>
      </c>
      <c r="C106" s="83">
        <v>1</v>
      </c>
      <c r="D106" s="80">
        <f>G98</f>
        <v>38.924614551249064</v>
      </c>
      <c r="E106" s="80"/>
      <c r="F106" s="80"/>
      <c r="G106" s="84">
        <f t="shared" ref="G106" si="10">PRODUCT(C106:F106)</f>
        <v>38.924614551249064</v>
      </c>
      <c r="H106" s="80"/>
      <c r="I106" s="80"/>
      <c r="J106" s="80"/>
      <c r="K106" s="81"/>
    </row>
    <row r="107" spans="1:11">
      <c r="A107" s="77"/>
      <c r="B107" s="92"/>
      <c r="C107" s="83"/>
      <c r="D107" s="80"/>
      <c r="E107" s="80"/>
      <c r="F107" s="80"/>
      <c r="G107" s="80">
        <f>SUM(G106:G106)</f>
        <v>38.924614551249064</v>
      </c>
      <c r="H107" s="80" t="s">
        <v>23</v>
      </c>
      <c r="I107" s="80">
        <v>452.86</v>
      </c>
      <c r="J107" s="80">
        <f>G107*I107</f>
        <v>17627.400945678652</v>
      </c>
      <c r="K107" s="81"/>
    </row>
    <row r="108" spans="1:11">
      <c r="A108" s="77"/>
      <c r="B108" s="92" t="s">
        <v>28</v>
      </c>
      <c r="C108" s="83"/>
      <c r="D108" s="80"/>
      <c r="E108" s="80"/>
      <c r="F108" s="80"/>
      <c r="G108" s="80"/>
      <c r="H108" s="80"/>
      <c r="I108" s="80"/>
      <c r="J108" s="80">
        <f>0.13*G107*1759.18/10</f>
        <v>890.18024454146234</v>
      </c>
      <c r="K108" s="81"/>
    </row>
    <row r="109" spans="1:11">
      <c r="A109" s="77"/>
      <c r="B109" s="92" t="s">
        <v>137</v>
      </c>
      <c r="C109" s="83"/>
      <c r="D109" s="80"/>
      <c r="E109" s="80"/>
      <c r="F109" s="80"/>
      <c r="G109" s="80"/>
      <c r="H109" s="80"/>
      <c r="I109" s="80"/>
      <c r="J109" s="80">
        <f>0.13*G107*572.02/10</f>
        <v>289.45355420287137</v>
      </c>
      <c r="K109" s="81"/>
    </row>
    <row r="110" spans="1:11">
      <c r="A110" s="77"/>
      <c r="B110" s="92" t="s">
        <v>138</v>
      </c>
      <c r="C110" s="83"/>
      <c r="D110" s="80"/>
      <c r="E110" s="80"/>
      <c r="F110" s="80"/>
      <c r="G110" s="80"/>
      <c r="H110" s="80"/>
      <c r="I110" s="80"/>
      <c r="J110" s="80">
        <f>0.13*G107*515.7/10</f>
        <v>260.95450841302886</v>
      </c>
      <c r="K110" s="81"/>
    </row>
    <row r="111" spans="1:11" s="135" customFormat="1">
      <c r="A111" s="130"/>
      <c r="B111" s="131"/>
      <c r="C111" s="132"/>
      <c r="D111" s="133"/>
      <c r="E111" s="133"/>
      <c r="F111" s="133"/>
      <c r="G111" s="133"/>
      <c r="H111" s="133"/>
      <c r="I111" s="133"/>
      <c r="J111" s="133"/>
      <c r="K111" s="134"/>
    </row>
    <row r="112" spans="1:11" ht="30.75">
      <c r="A112" s="77">
        <v>14</v>
      </c>
      <c r="B112" s="115" t="s">
        <v>133</v>
      </c>
      <c r="C112" s="83"/>
      <c r="D112" s="80"/>
      <c r="E112" s="80"/>
      <c r="F112" s="80"/>
      <c r="G112" s="80"/>
      <c r="H112" s="80"/>
      <c r="I112" s="80"/>
      <c r="J112" s="80"/>
      <c r="K112" s="81"/>
    </row>
    <row r="113" spans="1:11">
      <c r="A113" s="77"/>
      <c r="B113" s="94" t="s">
        <v>134</v>
      </c>
      <c r="C113" s="83">
        <v>2</v>
      </c>
      <c r="D113" s="80">
        <v>3.415</v>
      </c>
      <c r="E113" s="80"/>
      <c r="F113" s="80">
        <v>1.43</v>
      </c>
      <c r="G113" s="84">
        <f>PRODUCT(C113:F113)</f>
        <v>9.7668999999999997</v>
      </c>
      <c r="H113" s="80"/>
      <c r="I113" s="80"/>
      <c r="J113" s="80"/>
      <c r="K113" s="81"/>
    </row>
    <row r="114" spans="1:11">
      <c r="A114" s="77"/>
      <c r="B114" s="94"/>
      <c r="C114" s="83">
        <v>2</v>
      </c>
      <c r="D114" s="80">
        <f>0.48*2</f>
        <v>0.96</v>
      </c>
      <c r="E114" s="80"/>
      <c r="F114" s="80">
        <v>2.2000000000000002</v>
      </c>
      <c r="G114" s="84">
        <f t="shared" ref="G114:G144" si="11">PRODUCT(C114:F114)</f>
        <v>4.2240000000000002</v>
      </c>
      <c r="H114" s="80"/>
      <c r="I114" s="80"/>
      <c r="J114" s="80"/>
      <c r="K114" s="81"/>
    </row>
    <row r="115" spans="1:11">
      <c r="A115" s="77"/>
      <c r="B115" s="94"/>
      <c r="C115" s="83">
        <v>2</v>
      </c>
      <c r="D115" s="80">
        <v>4</v>
      </c>
      <c r="E115" s="80"/>
      <c r="F115" s="80">
        <v>1.39</v>
      </c>
      <c r="G115" s="84">
        <f t="shared" si="11"/>
        <v>11.12</v>
      </c>
      <c r="H115" s="80"/>
      <c r="I115" s="80"/>
      <c r="J115" s="80"/>
      <c r="K115" s="81"/>
    </row>
    <row r="116" spans="1:11">
      <c r="A116" s="77"/>
      <c r="B116" s="94"/>
      <c r="C116" s="83">
        <v>2</v>
      </c>
      <c r="D116" s="80">
        <f>0.48*2</f>
        <v>0.96</v>
      </c>
      <c r="E116" s="80"/>
      <c r="F116" s="80">
        <v>2.2000000000000002</v>
      </c>
      <c r="G116" s="84">
        <f t="shared" si="11"/>
        <v>4.2240000000000002</v>
      </c>
      <c r="H116" s="80"/>
      <c r="I116" s="80"/>
      <c r="J116" s="80"/>
      <c r="K116" s="81"/>
    </row>
    <row r="117" spans="1:11">
      <c r="A117" s="77"/>
      <c r="B117" s="94"/>
      <c r="C117" s="83">
        <v>2</v>
      </c>
      <c r="D117" s="80">
        <v>3.91</v>
      </c>
      <c r="E117" s="80"/>
      <c r="F117" s="80">
        <v>1.3</v>
      </c>
      <c r="G117" s="84">
        <f t="shared" si="11"/>
        <v>10.166</v>
      </c>
      <c r="H117" s="80"/>
      <c r="I117" s="80"/>
      <c r="J117" s="80"/>
      <c r="K117" s="81"/>
    </row>
    <row r="118" spans="1:11">
      <c r="A118" s="77"/>
      <c r="B118" s="94"/>
      <c r="C118" s="83">
        <v>2</v>
      </c>
      <c r="D118" s="80">
        <f>0.48*2</f>
        <v>0.96</v>
      </c>
      <c r="E118" s="80"/>
      <c r="F118" s="80">
        <v>2.31</v>
      </c>
      <c r="G118" s="84">
        <f t="shared" si="11"/>
        <v>4.4352</v>
      </c>
      <c r="H118" s="80"/>
      <c r="I118" s="80"/>
      <c r="J118" s="80"/>
      <c r="K118" s="81"/>
    </row>
    <row r="119" spans="1:11">
      <c r="A119" s="77"/>
      <c r="B119" s="94"/>
      <c r="C119" s="83">
        <v>2</v>
      </c>
      <c r="D119" s="80">
        <v>3.96</v>
      </c>
      <c r="E119" s="80"/>
      <c r="F119" s="80">
        <v>1.37</v>
      </c>
      <c r="G119" s="84">
        <f t="shared" si="11"/>
        <v>10.8504</v>
      </c>
      <c r="H119" s="80"/>
      <c r="I119" s="80"/>
      <c r="J119" s="80"/>
      <c r="K119" s="81"/>
    </row>
    <row r="120" spans="1:11">
      <c r="A120" s="77"/>
      <c r="B120" s="94"/>
      <c r="C120" s="83">
        <v>2</v>
      </c>
      <c r="D120" s="80">
        <f>0.48*2</f>
        <v>0.96</v>
      </c>
      <c r="E120" s="80"/>
      <c r="F120" s="80">
        <v>2.29</v>
      </c>
      <c r="G120" s="84">
        <f t="shared" si="11"/>
        <v>4.3967999999999998</v>
      </c>
      <c r="H120" s="80"/>
      <c r="I120" s="80"/>
      <c r="J120" s="80"/>
      <c r="K120" s="81"/>
    </row>
    <row r="121" spans="1:11">
      <c r="A121" s="77"/>
      <c r="B121" s="94"/>
      <c r="C121" s="83">
        <v>2</v>
      </c>
      <c r="D121" s="80">
        <v>3.875</v>
      </c>
      <c r="E121" s="80"/>
      <c r="F121" s="80">
        <v>1.2649999999999999</v>
      </c>
      <c r="G121" s="84">
        <f t="shared" si="11"/>
        <v>9.8037499999999991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2.19</v>
      </c>
      <c r="G122" s="84">
        <f t="shared" si="11"/>
        <v>4.2047999999999996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3.69</v>
      </c>
      <c r="E123" s="80"/>
      <c r="F123" s="80">
        <v>1.28</v>
      </c>
      <c r="G123" s="84">
        <f t="shared" si="11"/>
        <v>9.4464000000000006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2.19</v>
      </c>
      <c r="G124" s="84">
        <f t="shared" si="11"/>
        <v>4.2047999999999996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f>1.73+2.44</f>
        <v>4.17</v>
      </c>
      <c r="E125" s="80"/>
      <c r="F125" s="80">
        <v>1.1200000000000001</v>
      </c>
      <c r="G125" s="84">
        <f t="shared" si="11"/>
        <v>9.3408000000000015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0.34*2</f>
        <v>0.68</v>
      </c>
      <c r="E126" s="80"/>
      <c r="F126" s="80">
        <v>2.2599999999999998</v>
      </c>
      <c r="G126" s="84">
        <f t="shared" si="11"/>
        <v>3.0735999999999999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f>0.34*2</f>
        <v>0.68</v>
      </c>
      <c r="E127" s="80"/>
      <c r="F127" s="80">
        <v>2.15</v>
      </c>
      <c r="G127" s="84">
        <f t="shared" si="11"/>
        <v>2.9239999999999999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v>2.5</v>
      </c>
      <c r="E128" s="80"/>
      <c r="F128" s="80">
        <v>1.1599999999999999</v>
      </c>
      <c r="G128" s="84">
        <f t="shared" si="11"/>
        <v>5.8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f>0.48*2</f>
        <v>0.96</v>
      </c>
      <c r="E129" s="80"/>
      <c r="F129" s="80">
        <v>2.1800000000000002</v>
      </c>
      <c r="G129" s="84">
        <f t="shared" si="11"/>
        <v>4.1856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v>3.94</v>
      </c>
      <c r="E130" s="80"/>
      <c r="F130" s="80">
        <v>1.2</v>
      </c>
      <c r="G130" s="84">
        <f t="shared" si="11"/>
        <v>9.4559999999999995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f>0.48*2</f>
        <v>0.96</v>
      </c>
      <c r="E131" s="80"/>
      <c r="F131" s="80">
        <v>2.15</v>
      </c>
      <c r="G131" s="84">
        <f t="shared" si="11"/>
        <v>4.1280000000000001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v>4</v>
      </c>
      <c r="E132" s="80"/>
      <c r="F132" s="80">
        <v>1.1499999999999999</v>
      </c>
      <c r="G132" s="84">
        <f t="shared" si="11"/>
        <v>9.1999999999999993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f>0.48*2</f>
        <v>0.96</v>
      </c>
      <c r="E133" s="80"/>
      <c r="F133" s="80">
        <v>2.08</v>
      </c>
      <c r="G133" s="84">
        <f t="shared" si="11"/>
        <v>3.9935999999999998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v>3.97</v>
      </c>
      <c r="E134" s="80"/>
      <c r="F134" s="80">
        <v>1.25</v>
      </c>
      <c r="G134" s="84">
        <f t="shared" si="11"/>
        <v>9.9250000000000007</v>
      </c>
      <c r="H134" s="80"/>
      <c r="I134" s="80"/>
      <c r="J134" s="80"/>
      <c r="K134" s="81"/>
    </row>
    <row r="135" spans="1:11">
      <c r="A135" s="77"/>
      <c r="B135" s="94"/>
      <c r="C135" s="83">
        <v>2</v>
      </c>
      <c r="D135" s="80">
        <f>0.48*2</f>
        <v>0.96</v>
      </c>
      <c r="E135" s="80"/>
      <c r="F135" s="80">
        <v>2.25</v>
      </c>
      <c r="G135" s="84">
        <f t="shared" si="11"/>
        <v>4.32</v>
      </c>
      <c r="H135" s="80"/>
      <c r="I135" s="80"/>
      <c r="J135" s="80"/>
      <c r="K135" s="81"/>
    </row>
    <row r="136" spans="1:11">
      <c r="A136" s="77"/>
      <c r="B136" s="94"/>
      <c r="C136" s="83">
        <v>2</v>
      </c>
      <c r="D136" s="80">
        <v>4</v>
      </c>
      <c r="E136" s="80"/>
      <c r="F136" s="80">
        <v>1.23</v>
      </c>
      <c r="G136" s="84">
        <f t="shared" si="11"/>
        <v>9.84</v>
      </c>
      <c r="H136" s="80"/>
      <c r="I136" s="80"/>
      <c r="J136" s="80"/>
      <c r="K136" s="81"/>
    </row>
    <row r="137" spans="1:11">
      <c r="A137" s="77"/>
      <c r="B137" s="94"/>
      <c r="C137" s="83">
        <v>2</v>
      </c>
      <c r="D137" s="80">
        <f>0.48*2</f>
        <v>0.96</v>
      </c>
      <c r="E137" s="80"/>
      <c r="F137" s="80">
        <v>2.25</v>
      </c>
      <c r="G137" s="84">
        <f t="shared" si="11"/>
        <v>4.32</v>
      </c>
      <c r="H137" s="80"/>
      <c r="I137" s="80"/>
      <c r="J137" s="80"/>
      <c r="K137" s="81"/>
    </row>
    <row r="138" spans="1:11">
      <c r="A138" s="77"/>
      <c r="B138" s="94"/>
      <c r="C138" s="83">
        <v>2</v>
      </c>
      <c r="D138" s="80">
        <v>4.0599999999999996</v>
      </c>
      <c r="E138" s="80"/>
      <c r="F138" s="80">
        <v>1.32</v>
      </c>
      <c r="G138" s="84">
        <f t="shared" si="11"/>
        <v>10.718399999999999</v>
      </c>
      <c r="H138" s="80"/>
      <c r="I138" s="80"/>
      <c r="J138" s="80"/>
      <c r="K138" s="81"/>
    </row>
    <row r="139" spans="1:11">
      <c r="A139" s="77"/>
      <c r="B139" s="94"/>
      <c r="C139" s="83">
        <v>2</v>
      </c>
      <c r="D139" s="80">
        <f>0.48*2</f>
        <v>0.96</v>
      </c>
      <c r="E139" s="80"/>
      <c r="F139" s="80">
        <v>2.1800000000000002</v>
      </c>
      <c r="G139" s="84">
        <f t="shared" si="11"/>
        <v>4.1856</v>
      </c>
      <c r="H139" s="80"/>
      <c r="I139" s="80"/>
      <c r="J139" s="80"/>
      <c r="K139" s="81"/>
    </row>
    <row r="140" spans="1:11">
      <c r="A140" s="77"/>
      <c r="B140" s="94"/>
      <c r="C140" s="83">
        <v>2</v>
      </c>
      <c r="D140" s="80">
        <f>3.92</f>
        <v>3.92</v>
      </c>
      <c r="E140" s="80"/>
      <c r="F140" s="80">
        <v>1.32</v>
      </c>
      <c r="G140" s="84">
        <f t="shared" si="11"/>
        <v>10.348800000000001</v>
      </c>
      <c r="H140" s="80"/>
      <c r="I140" s="80"/>
      <c r="J140" s="80"/>
      <c r="K140" s="81"/>
    </row>
    <row r="141" spans="1:11">
      <c r="A141" s="77"/>
      <c r="B141" s="94"/>
      <c r="C141" s="83">
        <v>2</v>
      </c>
      <c r="D141" s="80">
        <f>0.48*2</f>
        <v>0.96</v>
      </c>
      <c r="E141" s="80"/>
      <c r="F141" s="80">
        <v>2.2799999999999998</v>
      </c>
      <c r="G141" s="84">
        <f t="shared" si="11"/>
        <v>4.3775999999999993</v>
      </c>
      <c r="H141" s="80"/>
      <c r="I141" s="80"/>
      <c r="J141" s="80"/>
      <c r="K141" s="81"/>
    </row>
    <row r="142" spans="1:11">
      <c r="A142" s="77"/>
      <c r="B142" s="94"/>
      <c r="C142" s="83">
        <v>2</v>
      </c>
      <c r="D142" s="80">
        <v>3.62</v>
      </c>
      <c r="E142" s="80"/>
      <c r="F142" s="80">
        <v>1.32</v>
      </c>
      <c r="G142" s="84">
        <f t="shared" si="11"/>
        <v>9.5568000000000008</v>
      </c>
      <c r="H142" s="80"/>
      <c r="I142" s="80"/>
      <c r="J142" s="80"/>
      <c r="K142" s="81"/>
    </row>
    <row r="143" spans="1:11">
      <c r="A143" s="77"/>
      <c r="B143" s="94"/>
      <c r="C143" s="83">
        <v>2</v>
      </c>
      <c r="D143" s="80">
        <f>0.48*2</f>
        <v>0.96</v>
      </c>
      <c r="E143" s="80"/>
      <c r="F143" s="80">
        <v>2.2000000000000002</v>
      </c>
      <c r="G143" s="84">
        <f t="shared" si="11"/>
        <v>4.2240000000000002</v>
      </c>
      <c r="H143" s="80"/>
      <c r="I143" s="80"/>
      <c r="J143" s="80"/>
      <c r="K143" s="81"/>
    </row>
    <row r="144" spans="1:11">
      <c r="A144" s="77"/>
      <c r="B144" s="94"/>
      <c r="C144" s="83">
        <f>-2*16</f>
        <v>-32</v>
      </c>
      <c r="D144" s="80">
        <v>0.23</v>
      </c>
      <c r="E144" s="80"/>
      <c r="F144" s="80">
        <v>1.35</v>
      </c>
      <c r="G144" s="84">
        <f t="shared" si="11"/>
        <v>-9.9360000000000017</v>
      </c>
      <c r="H144" s="80"/>
      <c r="I144" s="80"/>
      <c r="J144" s="80"/>
      <c r="K144" s="81"/>
    </row>
    <row r="145" spans="1:11">
      <c r="A145" s="77"/>
      <c r="B145" s="92"/>
      <c r="C145" s="83"/>
      <c r="D145" s="80"/>
      <c r="E145" s="80"/>
      <c r="F145" s="80"/>
      <c r="G145" s="80">
        <f>SUM(G113:G144)</f>
        <v>200.82485</v>
      </c>
      <c r="H145" s="80" t="s">
        <v>23</v>
      </c>
      <c r="I145" s="80">
        <v>253.8</v>
      </c>
      <c r="J145" s="80">
        <f>G145*I145</f>
        <v>50969.34693</v>
      </c>
      <c r="K145" s="81"/>
    </row>
    <row r="146" spans="1:11">
      <c r="A146" s="77"/>
      <c r="B146" s="92" t="s">
        <v>135</v>
      </c>
      <c r="C146" s="83"/>
      <c r="D146" s="80"/>
      <c r="E146" s="80"/>
      <c r="F146" s="80"/>
      <c r="G146" s="80"/>
      <c r="H146" s="80"/>
      <c r="I146" s="80"/>
      <c r="J146" s="80">
        <f>0.13*G145*2304/100</f>
        <v>601.51059071999998</v>
      </c>
      <c r="K146" s="81"/>
    </row>
    <row r="147" spans="1:11">
      <c r="A147" s="77"/>
      <c r="B147" s="92" t="s">
        <v>136</v>
      </c>
      <c r="C147" s="83"/>
      <c r="D147" s="80"/>
      <c r="E147" s="80"/>
      <c r="F147" s="80"/>
      <c r="G147" s="80"/>
      <c r="H147" s="80"/>
      <c r="I147" s="80"/>
      <c r="J147" s="80">
        <f>0.13*G145*10432/100</f>
        <v>2723.5062857600001</v>
      </c>
      <c r="K147" s="81"/>
    </row>
    <row r="148" spans="1:11">
      <c r="A148" s="77"/>
      <c r="B148" s="92"/>
      <c r="C148" s="83"/>
      <c r="D148" s="80"/>
      <c r="E148" s="80"/>
      <c r="F148" s="80"/>
      <c r="G148" s="80"/>
      <c r="H148" s="80"/>
      <c r="I148" s="80"/>
      <c r="J148" s="80"/>
      <c r="K148" s="81"/>
    </row>
    <row r="149" spans="1:11" ht="31.5">
      <c r="A149" s="77">
        <v>15</v>
      </c>
      <c r="B149" s="120" t="s">
        <v>141</v>
      </c>
      <c r="C149" s="83"/>
      <c r="D149" s="80"/>
      <c r="E149" s="80"/>
      <c r="F149" s="80"/>
      <c r="G149" s="80"/>
      <c r="H149" s="80"/>
      <c r="I149" s="80"/>
      <c r="J149" s="80"/>
      <c r="K149" s="81"/>
    </row>
    <row r="150" spans="1:11">
      <c r="A150" s="77"/>
      <c r="B150" s="94" t="s">
        <v>142</v>
      </c>
      <c r="C150" s="83">
        <v>1</v>
      </c>
      <c r="D150" s="80">
        <f>0.9</f>
        <v>0.9</v>
      </c>
      <c r="E150" s="80"/>
      <c r="F150" s="80"/>
      <c r="G150" s="84">
        <f t="shared" ref="G150:G152" si="12">PRODUCT(C150:F150)</f>
        <v>0.9</v>
      </c>
      <c r="H150" s="80"/>
      <c r="I150" s="80"/>
      <c r="J150" s="80"/>
      <c r="K150" s="81"/>
    </row>
    <row r="151" spans="1:11">
      <c r="A151" s="77"/>
      <c r="B151" s="94" t="s">
        <v>143</v>
      </c>
      <c r="C151" s="83">
        <v>1</v>
      </c>
      <c r="D151" s="80">
        <f>1.5</f>
        <v>1.5</v>
      </c>
      <c r="E151" s="80"/>
      <c r="F151" s="80"/>
      <c r="G151" s="84">
        <f t="shared" si="12"/>
        <v>1.5</v>
      </c>
      <c r="H151" s="80"/>
      <c r="I151" s="80"/>
      <c r="J151" s="80"/>
      <c r="K151" s="81"/>
    </row>
    <row r="152" spans="1:11">
      <c r="A152" s="77"/>
      <c r="B152" s="94" t="s">
        <v>144</v>
      </c>
      <c r="C152" s="83">
        <v>2</v>
      </c>
      <c r="D152" s="80">
        <v>0.9</v>
      </c>
      <c r="E152" s="80"/>
      <c r="F152" s="80"/>
      <c r="G152" s="84">
        <f t="shared" si="12"/>
        <v>1.8</v>
      </c>
      <c r="H152" s="80"/>
      <c r="I152" s="80"/>
      <c r="J152" s="80"/>
      <c r="K152" s="81"/>
    </row>
    <row r="153" spans="1:11">
      <c r="A153" s="77"/>
      <c r="B153" s="92"/>
      <c r="C153" s="83"/>
      <c r="D153" s="80"/>
      <c r="E153" s="80"/>
      <c r="F153" s="80"/>
      <c r="G153" s="80">
        <f>SUM(G150:G152)</f>
        <v>4.2</v>
      </c>
      <c r="H153" s="80" t="s">
        <v>145</v>
      </c>
      <c r="I153" s="80">
        <v>248</v>
      </c>
      <c r="J153" s="80">
        <f>G153*I153</f>
        <v>1041.6000000000001</v>
      </c>
      <c r="K153" s="81"/>
    </row>
    <row r="154" spans="1:11">
      <c r="A154" s="77"/>
      <c r="B154" s="94" t="s">
        <v>146</v>
      </c>
      <c r="C154" s="83"/>
      <c r="D154" s="80"/>
      <c r="E154" s="80"/>
      <c r="F154" s="80"/>
      <c r="G154" s="80"/>
      <c r="H154" s="80"/>
      <c r="I154" s="80"/>
      <c r="J154" s="80">
        <f>0.13*J153</f>
        <v>135.40800000000002</v>
      </c>
      <c r="K154" s="81"/>
    </row>
    <row r="155" spans="1:11">
      <c r="A155" s="77"/>
      <c r="B155" s="92"/>
      <c r="C155" s="83"/>
      <c r="D155" s="80"/>
      <c r="E155" s="80"/>
      <c r="F155" s="80"/>
      <c r="G155" s="80"/>
      <c r="H155" s="80"/>
      <c r="I155" s="80"/>
      <c r="J155" s="80"/>
      <c r="K155" s="81"/>
    </row>
    <row r="156" spans="1:11" ht="31.5">
      <c r="A156" s="77">
        <v>16</v>
      </c>
      <c r="B156" s="120" t="s">
        <v>147</v>
      </c>
      <c r="C156" s="83"/>
      <c r="D156" s="80"/>
      <c r="E156" s="80"/>
      <c r="F156" s="80"/>
      <c r="G156" s="80"/>
      <c r="H156" s="80"/>
      <c r="I156" s="80"/>
      <c r="J156" s="80"/>
      <c r="K156" s="81"/>
    </row>
    <row r="157" spans="1:11">
      <c r="A157" s="77"/>
      <c r="B157" s="94" t="s">
        <v>148</v>
      </c>
      <c r="C157" s="83">
        <v>1</v>
      </c>
      <c r="D157" s="80">
        <v>9</v>
      </c>
      <c r="E157" s="80"/>
      <c r="F157" s="80"/>
      <c r="G157" s="84">
        <f t="shared" ref="G157" si="13">PRODUCT(C157:F157)</f>
        <v>9</v>
      </c>
      <c r="H157" s="80"/>
      <c r="I157" s="80"/>
      <c r="J157" s="80"/>
      <c r="K157" s="81"/>
    </row>
    <row r="158" spans="1:11">
      <c r="A158" s="77"/>
      <c r="B158" s="92"/>
      <c r="C158" s="83"/>
      <c r="D158" s="80"/>
      <c r="E158" s="80"/>
      <c r="F158" s="80"/>
      <c r="G158" s="80">
        <f>SUM(G157:G157)</f>
        <v>9</v>
      </c>
      <c r="H158" s="80" t="s">
        <v>145</v>
      </c>
      <c r="I158" s="80">
        <v>75</v>
      </c>
      <c r="J158" s="80">
        <f>G158*I158</f>
        <v>675</v>
      </c>
      <c r="K158" s="81"/>
    </row>
    <row r="159" spans="1:11">
      <c r="A159" s="77"/>
      <c r="B159" s="94" t="s">
        <v>146</v>
      </c>
      <c r="C159" s="83"/>
      <c r="D159" s="80"/>
      <c r="E159" s="80"/>
      <c r="F159" s="80"/>
      <c r="G159" s="80"/>
      <c r="H159" s="80"/>
      <c r="I159" s="80"/>
      <c r="J159" s="80">
        <f>0.13*J158</f>
        <v>87.75</v>
      </c>
      <c r="K159" s="81"/>
    </row>
    <row r="160" spans="1:11">
      <c r="A160" s="77"/>
      <c r="B160" s="92"/>
      <c r="C160" s="83"/>
      <c r="D160" s="80"/>
      <c r="E160" s="80"/>
      <c r="F160" s="80"/>
      <c r="G160" s="80"/>
      <c r="H160" s="80"/>
      <c r="I160" s="80"/>
      <c r="J160" s="80"/>
      <c r="K160" s="81"/>
    </row>
    <row r="161" spans="1:11" ht="47.25">
      <c r="A161" s="77">
        <v>17</v>
      </c>
      <c r="B161" s="120" t="s">
        <v>150</v>
      </c>
      <c r="C161" s="83"/>
      <c r="D161" s="80"/>
      <c r="E161" s="80"/>
      <c r="F161" s="80"/>
      <c r="G161" s="80"/>
      <c r="H161" s="80"/>
      <c r="I161" s="80"/>
      <c r="J161" s="80"/>
      <c r="K161" s="81"/>
    </row>
    <row r="162" spans="1:11">
      <c r="A162" s="77"/>
      <c r="B162" s="94" t="s">
        <v>148</v>
      </c>
      <c r="C162" s="83">
        <v>1</v>
      </c>
      <c r="D162" s="80"/>
      <c r="E162" s="80"/>
      <c r="F162" s="80"/>
      <c r="G162" s="84">
        <f t="shared" ref="G162" si="14">PRODUCT(C162:F162)</f>
        <v>1</v>
      </c>
      <c r="H162" s="80"/>
      <c r="I162" s="80"/>
      <c r="J162" s="80"/>
      <c r="K162" s="81"/>
    </row>
    <row r="163" spans="1:11">
      <c r="A163" s="77"/>
      <c r="B163" s="92"/>
      <c r="C163" s="83"/>
      <c r="D163" s="80"/>
      <c r="E163" s="80"/>
      <c r="F163" s="80"/>
      <c r="G163" s="80">
        <f>SUM(G162:G162)</f>
        <v>1</v>
      </c>
      <c r="H163" s="80" t="s">
        <v>149</v>
      </c>
      <c r="I163" s="80">
        <v>1070</v>
      </c>
      <c r="J163" s="80">
        <f>G163*I163</f>
        <v>1070</v>
      </c>
      <c r="K163" s="81"/>
    </row>
    <row r="164" spans="1:11">
      <c r="A164" s="77"/>
      <c r="B164" s="94" t="s">
        <v>146</v>
      </c>
      <c r="C164" s="83"/>
      <c r="D164" s="80"/>
      <c r="E164" s="80"/>
      <c r="F164" s="80"/>
      <c r="G164" s="80"/>
      <c r="H164" s="80"/>
      <c r="I164" s="80"/>
      <c r="J164" s="80">
        <f>0.13*J163</f>
        <v>139.1</v>
      </c>
      <c r="K164" s="81"/>
    </row>
    <row r="165" spans="1:11">
      <c r="A165" s="77"/>
      <c r="B165" s="92"/>
      <c r="C165" s="83"/>
      <c r="D165" s="80"/>
      <c r="E165" s="80"/>
      <c r="F165" s="80"/>
      <c r="G165" s="80"/>
      <c r="H165" s="80"/>
      <c r="I165" s="80"/>
      <c r="J165" s="80"/>
      <c r="K165" s="81"/>
    </row>
    <row r="166" spans="1:11">
      <c r="A166" s="77">
        <v>18</v>
      </c>
      <c r="B166" s="120" t="s">
        <v>151</v>
      </c>
      <c r="C166" s="83"/>
      <c r="D166" s="80"/>
      <c r="E166" s="80"/>
      <c r="F166" s="80"/>
      <c r="G166" s="80"/>
      <c r="H166" s="80"/>
      <c r="I166" s="80"/>
      <c r="J166" s="80"/>
      <c r="K166" s="81"/>
    </row>
    <row r="167" spans="1:11">
      <c r="A167" s="77"/>
      <c r="B167" s="94" t="s">
        <v>152</v>
      </c>
      <c r="C167" s="83">
        <v>2</v>
      </c>
      <c r="D167" s="80"/>
      <c r="E167" s="80"/>
      <c r="F167" s="80"/>
      <c r="G167" s="84">
        <f t="shared" ref="G167" si="15">PRODUCT(C167:F167)</f>
        <v>2</v>
      </c>
      <c r="H167" s="80"/>
      <c r="I167" s="80"/>
      <c r="J167" s="80"/>
      <c r="K167" s="81"/>
    </row>
    <row r="168" spans="1:11">
      <c r="A168" s="77"/>
      <c r="B168" s="92"/>
      <c r="C168" s="83"/>
      <c r="D168" s="80"/>
      <c r="E168" s="80"/>
      <c r="F168" s="80"/>
      <c r="G168" s="80">
        <f>SUM(G167:G167)</f>
        <v>2</v>
      </c>
      <c r="H168" s="80" t="s">
        <v>149</v>
      </c>
      <c r="I168" s="80">
        <v>750</v>
      </c>
      <c r="J168" s="80">
        <f>G168*I168</f>
        <v>1500</v>
      </c>
      <c r="K168" s="81"/>
    </row>
    <row r="169" spans="1:11">
      <c r="A169" s="77"/>
      <c r="B169" s="94" t="s">
        <v>146</v>
      </c>
      <c r="C169" s="83"/>
      <c r="D169" s="80"/>
      <c r="E169" s="80"/>
      <c r="F169" s="80"/>
      <c r="G169" s="80"/>
      <c r="H169" s="80"/>
      <c r="I169" s="80"/>
      <c r="J169" s="80">
        <f>0.13*J168</f>
        <v>195</v>
      </c>
      <c r="K169" s="81"/>
    </row>
    <row r="170" spans="1:11">
      <c r="A170" s="77"/>
      <c r="B170" s="92"/>
      <c r="C170" s="83"/>
      <c r="D170" s="80"/>
      <c r="E170" s="80"/>
      <c r="F170" s="80"/>
      <c r="G170" s="80"/>
      <c r="H170" s="80"/>
      <c r="I170" s="80"/>
      <c r="J170" s="80"/>
      <c r="K170" s="81"/>
    </row>
    <row r="171" spans="1:11" ht="33" customHeight="1">
      <c r="A171" s="77">
        <v>19</v>
      </c>
      <c r="B171" s="93" t="s">
        <v>127</v>
      </c>
      <c r="C171" s="83">
        <v>1</v>
      </c>
      <c r="D171" s="80"/>
      <c r="E171" s="80"/>
      <c r="F171" s="80"/>
      <c r="G171" s="80">
        <v>1</v>
      </c>
      <c r="H171" s="80" t="s">
        <v>128</v>
      </c>
      <c r="I171" s="84">
        <v>15000</v>
      </c>
      <c r="J171" s="84">
        <f>G171*I171</f>
        <v>15000</v>
      </c>
      <c r="K171" s="81"/>
    </row>
    <row r="172" spans="1:11">
      <c r="A172" s="77"/>
      <c r="B172" s="99"/>
      <c r="C172" s="83"/>
      <c r="D172" s="80"/>
      <c r="E172" s="80"/>
      <c r="F172" s="84"/>
      <c r="G172" s="80"/>
      <c r="H172" s="80"/>
      <c r="I172" s="84"/>
      <c r="J172" s="84"/>
      <c r="K172" s="81"/>
    </row>
    <row r="173" spans="1:11" ht="33" customHeight="1">
      <c r="A173" s="77">
        <v>20</v>
      </c>
      <c r="B173" s="93" t="s">
        <v>75</v>
      </c>
      <c r="C173" s="83">
        <v>1</v>
      </c>
      <c r="D173" s="80"/>
      <c r="E173" s="80"/>
      <c r="F173" s="80"/>
      <c r="G173" s="80">
        <v>1</v>
      </c>
      <c r="H173" s="80" t="s">
        <v>33</v>
      </c>
      <c r="I173" s="84">
        <v>500</v>
      </c>
      <c r="J173" s="84">
        <f>G173*I173</f>
        <v>500</v>
      </c>
      <c r="K173" s="81"/>
    </row>
    <row r="174" spans="1:11">
      <c r="A174" s="100"/>
      <c r="B174" s="101"/>
      <c r="C174" s="80"/>
      <c r="D174" s="84"/>
      <c r="E174" s="84"/>
      <c r="F174" s="84"/>
      <c r="G174" s="84"/>
      <c r="H174" s="80"/>
      <c r="I174" s="84"/>
      <c r="J174" s="102">
        <f>SUM(J12:J173)</f>
        <v>597573.34594592568</v>
      </c>
      <c r="K174" s="103"/>
    </row>
    <row r="175" spans="1:11">
      <c r="A175" s="104"/>
      <c r="B175" s="105"/>
      <c r="C175" s="65"/>
      <c r="D175" s="65"/>
      <c r="E175" s="65"/>
      <c r="F175" s="65"/>
      <c r="G175" s="65"/>
      <c r="H175" s="65"/>
      <c r="I175" s="65"/>
      <c r="J175" s="106"/>
      <c r="K175" s="107"/>
    </row>
    <row r="176" spans="1:11">
      <c r="A176" s="104"/>
      <c r="B176" s="75" t="s">
        <v>12</v>
      </c>
      <c r="C176" s="137" t="s">
        <v>66</v>
      </c>
      <c r="D176" s="137"/>
      <c r="E176" s="75" t="s">
        <v>67</v>
      </c>
      <c r="F176" s="108"/>
      <c r="G176" s="109"/>
      <c r="H176" s="108"/>
      <c r="I176" s="109"/>
      <c r="J176" s="108"/>
      <c r="K176" s="108"/>
    </row>
    <row r="177" spans="1:11">
      <c r="A177" s="104"/>
      <c r="B177" s="79" t="s">
        <v>13</v>
      </c>
      <c r="C177" s="138">
        <f>+J174</f>
        <v>597573.34594592568</v>
      </c>
      <c r="D177" s="138"/>
      <c r="E177" s="110"/>
      <c r="F177" s="108"/>
      <c r="G177" s="111"/>
      <c r="H177" s="108"/>
      <c r="I177" s="109"/>
      <c r="J177" s="108"/>
      <c r="K177" s="108"/>
    </row>
    <row r="178" spans="1:11">
      <c r="A178" s="104"/>
      <c r="B178" s="79" t="s">
        <v>14</v>
      </c>
      <c r="C178" s="138">
        <v>480000</v>
      </c>
      <c r="D178" s="138"/>
      <c r="E178" s="112">
        <v>100</v>
      </c>
      <c r="F178" s="108"/>
      <c r="G178" s="111"/>
      <c r="H178" s="108"/>
      <c r="I178" s="109"/>
      <c r="J178" s="108"/>
      <c r="K178" s="108"/>
    </row>
    <row r="179" spans="1:11">
      <c r="A179" s="104"/>
      <c r="B179" s="79" t="s">
        <v>19</v>
      </c>
      <c r="C179" s="138">
        <f>0.95*C178</f>
        <v>456000</v>
      </c>
      <c r="D179" s="138"/>
      <c r="E179" s="113">
        <f>C179/C177*100</f>
        <v>76.308624387886155</v>
      </c>
      <c r="F179" s="108"/>
      <c r="G179" s="111"/>
      <c r="H179" s="108"/>
      <c r="I179" s="109"/>
      <c r="J179" s="108"/>
      <c r="K179" s="108"/>
    </row>
    <row r="180" spans="1:11">
      <c r="A180" s="104"/>
      <c r="B180" s="79" t="s">
        <v>15</v>
      </c>
      <c r="C180" s="138">
        <f>C177-C179</f>
        <v>141573.34594592568</v>
      </c>
      <c r="D180" s="138"/>
      <c r="E180" s="113">
        <f>C180/C178*100</f>
        <v>29.494447072067853</v>
      </c>
      <c r="F180" s="108"/>
      <c r="G180" s="111"/>
      <c r="H180" s="108"/>
      <c r="I180" s="109"/>
      <c r="J180" s="108"/>
      <c r="K180" s="108"/>
    </row>
    <row r="181" spans="1:11">
      <c r="A181" s="104"/>
      <c r="B181" s="79" t="s">
        <v>20</v>
      </c>
      <c r="C181" s="138">
        <f>E181*C178/100</f>
        <v>9600</v>
      </c>
      <c r="D181" s="138"/>
      <c r="E181" s="113">
        <v>2</v>
      </c>
      <c r="F181" s="108"/>
      <c r="G181" s="111"/>
      <c r="H181" s="108"/>
      <c r="I181" s="109"/>
      <c r="J181" s="108"/>
      <c r="K181" s="108"/>
    </row>
    <row r="182" spans="1:11">
      <c r="A182" s="104"/>
      <c r="B182" s="79" t="s">
        <v>21</v>
      </c>
      <c r="C182" s="136">
        <f>E182*C178/100</f>
        <v>14400</v>
      </c>
      <c r="D182" s="136"/>
      <c r="E182" s="113">
        <v>3</v>
      </c>
      <c r="F182" s="108"/>
      <c r="G182" s="114"/>
      <c r="H182" s="108"/>
      <c r="I182" s="109"/>
      <c r="J182" s="108"/>
      <c r="K182" s="108"/>
    </row>
    <row r="183" spans="1:11">
      <c r="F183" s="37"/>
    </row>
  </sheetData>
  <mergeCells count="14">
    <mergeCell ref="A6:F6"/>
    <mergeCell ref="H6:K6"/>
    <mergeCell ref="A1:K1"/>
    <mergeCell ref="A2:K2"/>
    <mergeCell ref="A3:K3"/>
    <mergeCell ref="A4:K4"/>
    <mergeCell ref="J5:K5"/>
    <mergeCell ref="C182:D182"/>
    <mergeCell ref="C176:D176"/>
    <mergeCell ref="C177:D177"/>
    <mergeCell ref="C178:D178"/>
    <mergeCell ref="C179:D179"/>
    <mergeCell ref="C180:D180"/>
    <mergeCell ref="C181:D181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1B00-3C11-4007-B4C5-4159037E8E50}">
  <dimension ref="B1:L26"/>
  <sheetViews>
    <sheetView workbookViewId="0">
      <selection activeCell="D10" sqref="D10"/>
    </sheetView>
  </sheetViews>
  <sheetFormatPr defaultRowHeight="15"/>
  <sheetData>
    <row r="1" spans="2:9">
      <c r="B1" t="s">
        <v>2</v>
      </c>
      <c r="C1" t="s">
        <v>153</v>
      </c>
      <c r="D1" t="s">
        <v>154</v>
      </c>
      <c r="E1" t="s">
        <v>155</v>
      </c>
      <c r="F1" t="s">
        <v>6</v>
      </c>
      <c r="G1" t="s">
        <v>156</v>
      </c>
      <c r="H1" t="s">
        <v>157</v>
      </c>
    </row>
    <row r="2" spans="2:9">
      <c r="B2">
        <v>1</v>
      </c>
      <c r="C2">
        <v>3.4</v>
      </c>
      <c r="D2">
        <v>0.23</v>
      </c>
      <c r="E2">
        <v>1.3</v>
      </c>
      <c r="F2" s="121">
        <f>PRODUCT(B2:E2)</f>
        <v>1.0166000000000002</v>
      </c>
      <c r="G2" t="s">
        <v>158</v>
      </c>
      <c r="H2" s="121">
        <f>B2*C2*E2</f>
        <v>4.42</v>
      </c>
      <c r="I2" t="s">
        <v>159</v>
      </c>
    </row>
    <row r="3" spans="2:9">
      <c r="B3">
        <v>1</v>
      </c>
      <c r="C3">
        <v>4</v>
      </c>
      <c r="D3">
        <v>0.35</v>
      </c>
      <c r="E3">
        <v>1.3</v>
      </c>
      <c r="F3" s="121">
        <f t="shared" ref="F3:F21" si="0">PRODUCT(B3:E3)</f>
        <v>1.8199999999999998</v>
      </c>
      <c r="G3" t="s">
        <v>158</v>
      </c>
      <c r="H3" s="121">
        <f t="shared" ref="H3:H21" si="1">B3*C3*E3</f>
        <v>5.2</v>
      </c>
      <c r="I3" t="s">
        <v>159</v>
      </c>
    </row>
    <row r="4" spans="2:9">
      <c r="B4">
        <v>1</v>
      </c>
      <c r="C4">
        <v>3.9</v>
      </c>
      <c r="D4">
        <v>0.23</v>
      </c>
      <c r="E4">
        <v>1.2</v>
      </c>
      <c r="F4" s="121">
        <f t="shared" si="0"/>
        <v>1.0764</v>
      </c>
      <c r="G4" t="s">
        <v>158</v>
      </c>
      <c r="H4" s="121">
        <f t="shared" si="1"/>
        <v>4.68</v>
      </c>
      <c r="I4" t="s">
        <v>159</v>
      </c>
    </row>
    <row r="5" spans="2:9">
      <c r="B5">
        <v>1</v>
      </c>
      <c r="C5">
        <v>3.97</v>
      </c>
      <c r="D5">
        <v>0.23</v>
      </c>
      <c r="E5">
        <v>1.35</v>
      </c>
      <c r="F5" s="121">
        <f t="shared" si="0"/>
        <v>1.2326850000000003</v>
      </c>
      <c r="G5" t="s">
        <v>158</v>
      </c>
      <c r="H5" s="121">
        <f t="shared" si="1"/>
        <v>5.3595000000000006</v>
      </c>
      <c r="I5" t="s">
        <v>159</v>
      </c>
    </row>
    <row r="6" spans="2:9">
      <c r="B6">
        <v>1</v>
      </c>
      <c r="C6">
        <v>3.89</v>
      </c>
      <c r="D6">
        <v>0.23</v>
      </c>
      <c r="E6">
        <v>1.2</v>
      </c>
      <c r="F6" s="121">
        <f t="shared" si="0"/>
        <v>1.0736399999999999</v>
      </c>
      <c r="G6" t="s">
        <v>158</v>
      </c>
      <c r="H6" s="121">
        <f t="shared" si="1"/>
        <v>4.6680000000000001</v>
      </c>
      <c r="I6" t="s">
        <v>159</v>
      </c>
    </row>
    <row r="7" spans="2:9">
      <c r="B7">
        <v>1</v>
      </c>
      <c r="C7">
        <v>3.7</v>
      </c>
      <c r="D7">
        <v>0.23</v>
      </c>
      <c r="E7">
        <v>1.2</v>
      </c>
      <c r="F7" s="121">
        <f t="shared" si="0"/>
        <v>1.0212000000000001</v>
      </c>
      <c r="G7" t="s">
        <v>158</v>
      </c>
      <c r="H7" s="121">
        <f t="shared" si="1"/>
        <v>4.4400000000000004</v>
      </c>
      <c r="I7" t="s">
        <v>159</v>
      </c>
    </row>
    <row r="8" spans="2:9">
      <c r="B8">
        <v>1</v>
      </c>
      <c r="C8">
        <v>3.95</v>
      </c>
      <c r="D8">
        <v>0.23</v>
      </c>
      <c r="E8">
        <v>1.04</v>
      </c>
      <c r="F8" s="121">
        <f t="shared" si="0"/>
        <v>0.94484000000000012</v>
      </c>
      <c r="G8" t="s">
        <v>158</v>
      </c>
      <c r="H8" s="121">
        <f t="shared" si="1"/>
        <v>4.1080000000000005</v>
      </c>
      <c r="I8" t="s">
        <v>159</v>
      </c>
    </row>
    <row r="9" spans="2:9">
      <c r="B9">
        <v>6</v>
      </c>
      <c r="C9">
        <v>0.45</v>
      </c>
      <c r="D9">
        <v>0.45</v>
      </c>
      <c r="E9">
        <v>2.25</v>
      </c>
      <c r="F9" s="121">
        <f t="shared" si="0"/>
        <v>2.7337500000000001</v>
      </c>
      <c r="G9" t="s">
        <v>158</v>
      </c>
      <c r="H9" s="121">
        <f t="shared" si="1"/>
        <v>6.0750000000000002</v>
      </c>
      <c r="I9" t="s">
        <v>159</v>
      </c>
    </row>
    <row r="10" spans="2:9">
      <c r="B10">
        <v>1</v>
      </c>
      <c r="C10">
        <v>29.51</v>
      </c>
      <c r="D10">
        <v>0.35</v>
      </c>
      <c r="E10">
        <v>0.45</v>
      </c>
      <c r="F10" s="121">
        <f t="shared" si="0"/>
        <v>4.6478250000000001</v>
      </c>
      <c r="G10" t="s">
        <v>158</v>
      </c>
      <c r="H10" s="121">
        <f t="shared" si="1"/>
        <v>13.279500000000001</v>
      </c>
      <c r="I10" t="s">
        <v>159</v>
      </c>
    </row>
    <row r="11" spans="2:9">
      <c r="F11" s="121"/>
      <c r="H11" s="121"/>
    </row>
    <row r="12" spans="2:9">
      <c r="B12">
        <v>1</v>
      </c>
      <c r="C12">
        <v>2.4500000000000002</v>
      </c>
      <c r="D12">
        <v>0.23</v>
      </c>
      <c r="E12">
        <v>1.1000000000000001</v>
      </c>
      <c r="F12" s="121">
        <f t="shared" si="0"/>
        <v>0.61985000000000012</v>
      </c>
      <c r="G12" t="s">
        <v>158</v>
      </c>
      <c r="H12" s="121">
        <f t="shared" si="1"/>
        <v>2.6950000000000003</v>
      </c>
      <c r="I12" t="s">
        <v>159</v>
      </c>
    </row>
    <row r="13" spans="2:9">
      <c r="B13">
        <v>1</v>
      </c>
      <c r="C13">
        <v>3.92</v>
      </c>
      <c r="D13">
        <v>0.23</v>
      </c>
      <c r="E13">
        <v>1.1299999999999999</v>
      </c>
      <c r="F13" s="121">
        <f t="shared" si="0"/>
        <v>1.0188079999999999</v>
      </c>
      <c r="G13" t="s">
        <v>158</v>
      </c>
      <c r="H13" s="121">
        <f t="shared" si="1"/>
        <v>4.4295999999999998</v>
      </c>
      <c r="I13" t="s">
        <v>159</v>
      </c>
    </row>
    <row r="14" spans="2:9">
      <c r="B14">
        <v>1</v>
      </c>
      <c r="C14">
        <v>3.95</v>
      </c>
      <c r="D14">
        <v>0.23</v>
      </c>
      <c r="E14">
        <v>1.25</v>
      </c>
      <c r="F14" s="121">
        <f t="shared" si="0"/>
        <v>1.1356250000000001</v>
      </c>
      <c r="G14" t="s">
        <v>158</v>
      </c>
      <c r="H14" s="121">
        <f t="shared" si="1"/>
        <v>4.9375</v>
      </c>
      <c r="I14" t="s">
        <v>159</v>
      </c>
    </row>
    <row r="15" spans="2:9">
      <c r="B15">
        <v>1</v>
      </c>
      <c r="C15">
        <v>4</v>
      </c>
      <c r="D15">
        <v>0.23</v>
      </c>
      <c r="E15">
        <v>1.25</v>
      </c>
      <c r="F15" s="121">
        <f t="shared" si="0"/>
        <v>1.1500000000000001</v>
      </c>
      <c r="G15" t="s">
        <v>158</v>
      </c>
      <c r="H15" s="121">
        <f t="shared" si="1"/>
        <v>5</v>
      </c>
      <c r="I15" t="s">
        <v>159</v>
      </c>
    </row>
    <row r="16" spans="2:9">
      <c r="B16">
        <v>1</v>
      </c>
      <c r="C16">
        <v>4</v>
      </c>
      <c r="D16">
        <v>0.23</v>
      </c>
      <c r="E16">
        <v>1.1000000000000001</v>
      </c>
      <c r="F16" s="121">
        <f t="shared" si="0"/>
        <v>1.0120000000000002</v>
      </c>
      <c r="G16" t="s">
        <v>158</v>
      </c>
      <c r="H16" s="121">
        <f t="shared" si="1"/>
        <v>4.4000000000000004</v>
      </c>
      <c r="I16" t="s">
        <v>159</v>
      </c>
    </row>
    <row r="17" spans="2:12">
      <c r="B17">
        <v>1</v>
      </c>
      <c r="C17">
        <v>3.97</v>
      </c>
      <c r="D17">
        <v>0.23</v>
      </c>
      <c r="E17">
        <v>1.1000000000000001</v>
      </c>
      <c r="F17" s="121">
        <f t="shared" si="0"/>
        <v>1.0044100000000002</v>
      </c>
      <c r="G17" t="s">
        <v>158</v>
      </c>
      <c r="H17" s="121">
        <f t="shared" si="1"/>
        <v>4.3670000000000009</v>
      </c>
      <c r="I17" t="s">
        <v>159</v>
      </c>
    </row>
    <row r="18" spans="2:12">
      <c r="B18">
        <v>1</v>
      </c>
      <c r="C18">
        <v>3.95</v>
      </c>
      <c r="D18">
        <v>0.23</v>
      </c>
      <c r="E18">
        <v>1.1499999999999999</v>
      </c>
      <c r="F18" s="121">
        <f t="shared" si="0"/>
        <v>1.044775</v>
      </c>
      <c r="G18" t="s">
        <v>158</v>
      </c>
      <c r="H18" s="121">
        <f t="shared" si="1"/>
        <v>4.5424999999999995</v>
      </c>
      <c r="I18" t="s">
        <v>159</v>
      </c>
    </row>
    <row r="19" spans="2:12">
      <c r="B19">
        <v>1</v>
      </c>
      <c r="C19">
        <v>3.65</v>
      </c>
      <c r="D19">
        <v>0.23</v>
      </c>
      <c r="E19">
        <v>1.17</v>
      </c>
      <c r="F19" s="121">
        <f t="shared" si="0"/>
        <v>0.98221499999999995</v>
      </c>
      <c r="G19" t="s">
        <v>158</v>
      </c>
      <c r="H19" s="121">
        <f t="shared" si="1"/>
        <v>4.2704999999999993</v>
      </c>
      <c r="I19" t="s">
        <v>159</v>
      </c>
    </row>
    <row r="20" spans="2:12">
      <c r="B20">
        <v>8</v>
      </c>
      <c r="C20">
        <v>0.45</v>
      </c>
      <c r="D20">
        <v>0.45</v>
      </c>
      <c r="E20">
        <v>2.2000000000000002</v>
      </c>
      <c r="F20" s="121">
        <f t="shared" si="0"/>
        <v>3.5640000000000005</v>
      </c>
      <c r="G20" t="s">
        <v>158</v>
      </c>
      <c r="H20" s="121">
        <f t="shared" si="1"/>
        <v>7.9200000000000008</v>
      </c>
      <c r="I20" t="s">
        <v>159</v>
      </c>
    </row>
    <row r="21" spans="2:12">
      <c r="B21">
        <v>1</v>
      </c>
      <c r="C21">
        <v>33.49</v>
      </c>
      <c r="D21">
        <v>0.35</v>
      </c>
      <c r="E21">
        <v>0.45</v>
      </c>
      <c r="F21" s="121">
        <f t="shared" si="0"/>
        <v>5.2746750000000002</v>
      </c>
      <c r="G21" t="s">
        <v>158</v>
      </c>
      <c r="H21" s="121">
        <f t="shared" si="1"/>
        <v>15.070500000000001</v>
      </c>
      <c r="I21" t="s">
        <v>159</v>
      </c>
    </row>
    <row r="22" spans="2:12">
      <c r="F22" s="121">
        <f>SUM(F2:F21)</f>
        <v>32.373298000000005</v>
      </c>
      <c r="G22" t="s">
        <v>158</v>
      </c>
      <c r="H22" s="121">
        <f>SUM(H2:H21)</f>
        <v>109.86260000000001</v>
      </c>
      <c r="I22" t="s">
        <v>159</v>
      </c>
      <c r="J22">
        <f>CONVERT(H22,"m^2","ft^2")</f>
        <v>1182.5511845468138</v>
      </c>
      <c r="K22">
        <v>1234.6600000000001</v>
      </c>
      <c r="L22">
        <f>K22-J22</f>
        <v>52.108815453186253</v>
      </c>
    </row>
    <row r="24" spans="2:12">
      <c r="G24" t="s">
        <v>160</v>
      </c>
      <c r="H24">
        <v>187.39</v>
      </c>
      <c r="J24">
        <f>CONVERT(H24,"m^2","ft^2")</f>
        <v>2017.0491729872347</v>
      </c>
      <c r="K24">
        <v>2129</v>
      </c>
      <c r="L24">
        <f>K24-J24</f>
        <v>111.95082701276533</v>
      </c>
    </row>
    <row r="26" spans="2:12">
      <c r="H26">
        <v>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WCR</vt:lpstr>
      <vt:lpstr>Sheet1</vt:lpstr>
      <vt:lpstr>include dhara marmat</vt:lpstr>
      <vt:lpstr>Size of water tank</vt:lpstr>
      <vt:lpstr>With formula</vt:lpstr>
      <vt:lpstr>measurement</vt:lpstr>
      <vt:lpstr>'include dhara marmat'!Print_Area</vt:lpstr>
      <vt:lpstr>'With formula'!Print_Area</vt:lpstr>
      <vt:lpstr>'include dhara marmat'!Print_Titles</vt:lpstr>
      <vt:lpstr>WCR!Print_Titles</vt:lpstr>
      <vt:lpstr>'With formula'!Print_Titles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2026-07-23T05:47:00Z</cp:lastPrinted>
  <dcterms:created xsi:type="dcterms:W3CDTF">2015-02-11T06:39:48Z</dcterms:created>
  <dcterms:modified xsi:type="dcterms:W3CDTF">2026-08-21T10:11:45Z</dcterms:modified>
</cp:coreProperties>
</file>