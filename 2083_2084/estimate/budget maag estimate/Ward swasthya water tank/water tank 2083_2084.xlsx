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82_2083\2083_2084\estimate\budget maag estimate\Ward swasthya water tank\"/>
    </mc:Choice>
  </mc:AlternateContent>
  <xr:revisionPtr revIDLastSave="0" documentId="13_ncr:1_{98BD193F-7F3F-4D35-8634-FCF5564E520F}" xr6:coauthVersionLast="47" xr6:coauthVersionMax="47" xr10:uidLastSave="{00000000-0000-0000-0000-000000000000}"/>
  <bookViews>
    <workbookView xWindow="-105" yWindow="0" windowWidth="10455" windowHeight="10905" firstSheet="2" activeTab="2" xr2:uid="{00000000-000D-0000-FFFF-FFFF00000000}"/>
  </bookViews>
  <sheets>
    <sheet name="ESTIMATE" sheetId="25" state="hidden" r:id="rId1"/>
    <sheet name="WCR" sheetId="27" state="hidden" r:id="rId2"/>
    <sheet name="me" sheetId="29" r:id="rId3"/>
    <sheet name="Sheet1" sheetId="30" r:id="rId4"/>
    <sheet name="include dhara marmat" sheetId="31" r:id="rId5"/>
    <sheet name="measurement" sheetId="32" r:id="rId6"/>
  </sheets>
  <externalReferences>
    <externalReference r:id="rId7"/>
    <externalReference r:id="rId8"/>
  </externalReferences>
  <definedNames>
    <definedName name="_xlnm.Print_Area" localSheetId="0">ESTIMATE!$A$1:$L$71</definedName>
    <definedName name="_xlnm.Print_Area" localSheetId="4">'include dhara marmat'!$A$1:$K$173</definedName>
    <definedName name="_xlnm.Print_Area" localSheetId="2">me!$A$1:$K$158</definedName>
    <definedName name="_xlnm.Print_Titles" localSheetId="0">ESTIMATE!$1:$8</definedName>
    <definedName name="_xlnm.Print_Titles" localSheetId="4">'include dhara marmat'!$1:$8</definedName>
    <definedName name="_xlnm.Print_Titles" localSheetId="2">me!$1:$8</definedName>
    <definedName name="_xlnm.Print_Titles" localSheetId="1">WCR!$1:$11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" i="29" l="1"/>
  <c r="J24" i="32"/>
  <c r="L24" i="32" s="1"/>
  <c r="H22" i="32"/>
  <c r="J22" i="32" s="1"/>
  <c r="L22" i="32" s="1"/>
  <c r="F22" i="32"/>
  <c r="H21" i="32"/>
  <c r="F21" i="32"/>
  <c r="H20" i="32"/>
  <c r="F20" i="32"/>
  <c r="H19" i="32"/>
  <c r="F19" i="32"/>
  <c r="H18" i="32"/>
  <c r="F18" i="32"/>
  <c r="H17" i="32"/>
  <c r="F17" i="32"/>
  <c r="H16" i="32"/>
  <c r="F16" i="32"/>
  <c r="H15" i="32"/>
  <c r="F15" i="32"/>
  <c r="H14" i="32"/>
  <c r="F14" i="32"/>
  <c r="H13" i="32"/>
  <c r="F13" i="32"/>
  <c r="H12" i="32"/>
  <c r="F12" i="32"/>
  <c r="H10" i="32"/>
  <c r="F10" i="32"/>
  <c r="H9" i="32"/>
  <c r="F9" i="32"/>
  <c r="H8" i="32"/>
  <c r="F8" i="32"/>
  <c r="H7" i="32"/>
  <c r="F7" i="32"/>
  <c r="H6" i="32"/>
  <c r="F6" i="32"/>
  <c r="H5" i="32"/>
  <c r="F5" i="32"/>
  <c r="H4" i="32"/>
  <c r="F4" i="32"/>
  <c r="H3" i="32"/>
  <c r="F3" i="32"/>
  <c r="H2" i="32"/>
  <c r="F2" i="32"/>
  <c r="G158" i="31"/>
  <c r="G159" i="31" s="1"/>
  <c r="J159" i="31" s="1"/>
  <c r="J160" i="31" s="1"/>
  <c r="G153" i="31"/>
  <c r="G154" i="31" s="1"/>
  <c r="J154" i="31" s="1"/>
  <c r="J155" i="31" s="1"/>
  <c r="G148" i="31"/>
  <c r="G149" i="31" s="1"/>
  <c r="G143" i="31"/>
  <c r="D142" i="31"/>
  <c r="G142" i="31" s="1"/>
  <c r="D141" i="31"/>
  <c r="G141" i="31" s="1"/>
  <c r="C173" i="31"/>
  <c r="C172" i="31"/>
  <c r="C170" i="31"/>
  <c r="J164" i="31"/>
  <c r="J162" i="31"/>
  <c r="C135" i="31"/>
  <c r="G135" i="31" s="1"/>
  <c r="D134" i="31"/>
  <c r="G134" i="31" s="1"/>
  <c r="G133" i="31"/>
  <c r="D132" i="31"/>
  <c r="G132" i="31" s="1"/>
  <c r="D131" i="31"/>
  <c r="G131" i="31" s="1"/>
  <c r="D130" i="31"/>
  <c r="G130" i="31" s="1"/>
  <c r="G129" i="31"/>
  <c r="D128" i="31"/>
  <c r="G128" i="31" s="1"/>
  <c r="G127" i="31"/>
  <c r="D126" i="31"/>
  <c r="G126" i="31" s="1"/>
  <c r="G125" i="31"/>
  <c r="D124" i="31"/>
  <c r="G124" i="31" s="1"/>
  <c r="G123" i="31"/>
  <c r="D122" i="31"/>
  <c r="G122" i="31" s="1"/>
  <c r="G121" i="31"/>
  <c r="D120" i="31"/>
  <c r="G120" i="31" s="1"/>
  <c r="G119" i="31"/>
  <c r="D118" i="31"/>
  <c r="G118" i="31" s="1"/>
  <c r="D117" i="31"/>
  <c r="G117" i="31" s="1"/>
  <c r="D116" i="31"/>
  <c r="G116" i="31" s="1"/>
  <c r="D115" i="31"/>
  <c r="G115" i="31" s="1"/>
  <c r="G114" i="31"/>
  <c r="D113" i="31"/>
  <c r="G113" i="31" s="1"/>
  <c r="G112" i="31"/>
  <c r="D111" i="31"/>
  <c r="G111" i="31" s="1"/>
  <c r="G110" i="31"/>
  <c r="D109" i="31"/>
  <c r="G109" i="31" s="1"/>
  <c r="G108" i="31"/>
  <c r="D107" i="31"/>
  <c r="G107" i="31" s="1"/>
  <c r="G106" i="31"/>
  <c r="D105" i="31"/>
  <c r="G105" i="31" s="1"/>
  <c r="G104" i="31"/>
  <c r="E97" i="31"/>
  <c r="D97" i="31"/>
  <c r="G97" i="31" s="1"/>
  <c r="F96" i="31"/>
  <c r="D96" i="31"/>
  <c r="G96" i="31" s="1"/>
  <c r="G92" i="31"/>
  <c r="J92" i="31" s="1"/>
  <c r="J93" i="31" s="1"/>
  <c r="C86" i="31"/>
  <c r="C85" i="31"/>
  <c r="B85" i="31"/>
  <c r="E79" i="31"/>
  <c r="D79" i="31"/>
  <c r="D87" i="31" s="1"/>
  <c r="F73" i="31"/>
  <c r="D73" i="31"/>
  <c r="F72" i="31"/>
  <c r="D72" i="31"/>
  <c r="F63" i="31"/>
  <c r="G63" i="31" s="1"/>
  <c r="F62" i="31"/>
  <c r="E62" i="31"/>
  <c r="D62" i="31"/>
  <c r="G62" i="31" s="1"/>
  <c r="F61" i="31"/>
  <c r="F86" i="31" s="1"/>
  <c r="D61" i="31"/>
  <c r="G61" i="31" s="1"/>
  <c r="F60" i="31"/>
  <c r="F85" i="31" s="1"/>
  <c r="F59" i="31"/>
  <c r="G54" i="31"/>
  <c r="E53" i="31"/>
  <c r="D53" i="31"/>
  <c r="F52" i="31"/>
  <c r="D52" i="31"/>
  <c r="G52" i="31" s="1"/>
  <c r="F51" i="31"/>
  <c r="D51" i="31"/>
  <c r="G51" i="31" s="1"/>
  <c r="I47" i="31"/>
  <c r="F46" i="31"/>
  <c r="D46" i="31"/>
  <c r="C46" i="31"/>
  <c r="G46" i="31" s="1"/>
  <c r="F45" i="31"/>
  <c r="C45" i="31"/>
  <c r="F44" i="31"/>
  <c r="C44" i="31"/>
  <c r="G44" i="31" s="1"/>
  <c r="F43" i="31"/>
  <c r="D43" i="31"/>
  <c r="F42" i="31"/>
  <c r="D42" i="31"/>
  <c r="C43" i="31" s="1"/>
  <c r="C42" i="31"/>
  <c r="G42" i="31" s="1"/>
  <c r="F41" i="31"/>
  <c r="D41" i="31"/>
  <c r="G41" i="31" s="1"/>
  <c r="F40" i="31"/>
  <c r="D40" i="31"/>
  <c r="F39" i="31"/>
  <c r="D39" i="31"/>
  <c r="F38" i="31"/>
  <c r="D38" i="31"/>
  <c r="F37" i="31"/>
  <c r="D37" i="31"/>
  <c r="F36" i="31"/>
  <c r="D36" i="31"/>
  <c r="G36" i="31" s="1"/>
  <c r="B29" i="31"/>
  <c r="C25" i="31"/>
  <c r="D21" i="31"/>
  <c r="C21" i="31"/>
  <c r="D17" i="31"/>
  <c r="D15" i="31"/>
  <c r="G15" i="31" s="1"/>
  <c r="B15" i="31"/>
  <c r="E11" i="31"/>
  <c r="C142" i="29"/>
  <c r="G142" i="29" s="1"/>
  <c r="G113" i="29"/>
  <c r="G115" i="29"/>
  <c r="G117" i="29"/>
  <c r="G119" i="29"/>
  <c r="G121" i="29"/>
  <c r="G126" i="29"/>
  <c r="G128" i="29"/>
  <c r="G130" i="29"/>
  <c r="G132" i="29"/>
  <c r="G134" i="29"/>
  <c r="G136" i="29"/>
  <c r="G140" i="29"/>
  <c r="G111" i="29"/>
  <c r="D141" i="29"/>
  <c r="G141" i="29" s="1"/>
  <c r="D139" i="29"/>
  <c r="G139" i="29" s="1"/>
  <c r="D138" i="29"/>
  <c r="G138" i="29" s="1"/>
  <c r="D137" i="29"/>
  <c r="G137" i="29" s="1"/>
  <c r="D135" i="29"/>
  <c r="G135" i="29" s="1"/>
  <c r="D133" i="29"/>
  <c r="G133" i="29" s="1"/>
  <c r="D131" i="29"/>
  <c r="G131" i="29" s="1"/>
  <c r="D129" i="29"/>
  <c r="G129" i="29" s="1"/>
  <c r="D125" i="29"/>
  <c r="G125" i="29" s="1"/>
  <c r="D124" i="29"/>
  <c r="G124" i="29" s="1"/>
  <c r="D127" i="29"/>
  <c r="G127" i="29" s="1"/>
  <c r="D123" i="29"/>
  <c r="G123" i="29" s="1"/>
  <c r="D122" i="29"/>
  <c r="G122" i="29" s="1"/>
  <c r="D120" i="29"/>
  <c r="G120" i="29" s="1"/>
  <c r="D118" i="29"/>
  <c r="G118" i="29" s="1"/>
  <c r="D116" i="29"/>
  <c r="G116" i="29" s="1"/>
  <c r="D114" i="29"/>
  <c r="G114" i="29" s="1"/>
  <c r="D112" i="29"/>
  <c r="G112" i="29" s="1"/>
  <c r="B15" i="29"/>
  <c r="G143" i="29" l="1"/>
  <c r="G39" i="31"/>
  <c r="J149" i="31"/>
  <c r="J150" i="31" s="1"/>
  <c r="G144" i="31"/>
  <c r="J144" i="31" s="1"/>
  <c r="J145" i="31" s="1"/>
  <c r="G37" i="31"/>
  <c r="G45" i="31"/>
  <c r="G38" i="31"/>
  <c r="G43" i="31"/>
  <c r="G98" i="31"/>
  <c r="G53" i="31"/>
  <c r="G55" i="31" s="1"/>
  <c r="G40" i="31"/>
  <c r="E87" i="31"/>
  <c r="G87" i="31" s="1"/>
  <c r="G79" i="31"/>
  <c r="D86" i="31"/>
  <c r="G86" i="31" s="1"/>
  <c r="G73" i="31"/>
  <c r="D85" i="31"/>
  <c r="G85" i="31" s="1"/>
  <c r="G72" i="31"/>
  <c r="C29" i="31"/>
  <c r="G17" i="31"/>
  <c r="D25" i="31"/>
  <c r="G11" i="31"/>
  <c r="G12" i="31" s="1"/>
  <c r="J12" i="31" s="1"/>
  <c r="E21" i="31"/>
  <c r="D16" i="31"/>
  <c r="G16" i="31" s="1"/>
  <c r="G18" i="31" s="1"/>
  <c r="J18" i="31" s="1"/>
  <c r="G136" i="31"/>
  <c r="J147" i="29"/>
  <c r="D104" i="29"/>
  <c r="E104" i="29"/>
  <c r="F103" i="29"/>
  <c r="D103" i="29"/>
  <c r="C46" i="29"/>
  <c r="C45" i="29"/>
  <c r="F45" i="29"/>
  <c r="F46" i="29"/>
  <c r="G56" i="29"/>
  <c r="F68" i="29"/>
  <c r="G68" i="29" s="1"/>
  <c r="F79" i="29"/>
  <c r="F78" i="29"/>
  <c r="E85" i="29"/>
  <c r="E94" i="29" s="1"/>
  <c r="D85" i="29"/>
  <c r="D94" i="29" s="1"/>
  <c r="D67" i="29"/>
  <c r="F67" i="29"/>
  <c r="E67" i="29"/>
  <c r="F66" i="29"/>
  <c r="F65" i="29"/>
  <c r="C47" i="29"/>
  <c r="D47" i="29"/>
  <c r="D40" i="29"/>
  <c r="D39" i="29"/>
  <c r="D38" i="29"/>
  <c r="D37" i="29"/>
  <c r="G103" i="29" l="1"/>
  <c r="G47" i="31"/>
  <c r="G88" i="31"/>
  <c r="J55" i="31"/>
  <c r="J56" i="31"/>
  <c r="G74" i="31"/>
  <c r="J99" i="31"/>
  <c r="J98" i="31"/>
  <c r="J101" i="31"/>
  <c r="J100" i="31"/>
  <c r="J82" i="31"/>
  <c r="J80" i="31"/>
  <c r="J81" i="31"/>
  <c r="J79" i="31"/>
  <c r="J89" i="31"/>
  <c r="J88" i="31"/>
  <c r="D29" i="31"/>
  <c r="D59" i="31"/>
  <c r="G21" i="31"/>
  <c r="G22" i="31" s="1"/>
  <c r="J22" i="31" s="1"/>
  <c r="E25" i="31"/>
  <c r="J138" i="31"/>
  <c r="J137" i="31"/>
  <c r="J136" i="31"/>
  <c r="J144" i="29"/>
  <c r="J145" i="29"/>
  <c r="J143" i="29"/>
  <c r="G104" i="29"/>
  <c r="G45" i="29"/>
  <c r="G46" i="29"/>
  <c r="G94" i="29"/>
  <c r="B92" i="29"/>
  <c r="D78" i="29"/>
  <c r="D92" i="29" s="1"/>
  <c r="D79" i="29"/>
  <c r="D93" i="29" s="1"/>
  <c r="G105" i="29" l="1"/>
  <c r="J48" i="31"/>
  <c r="J47" i="31"/>
  <c r="J75" i="31"/>
  <c r="J74" i="31"/>
  <c r="J76" i="31"/>
  <c r="D60" i="31"/>
  <c r="G60" i="31" s="1"/>
  <c r="G25" i="31"/>
  <c r="G26" i="31" s="1"/>
  <c r="E29" i="31"/>
  <c r="G29" i="31" s="1"/>
  <c r="G30" i="31" s="1"/>
  <c r="E59" i="31"/>
  <c r="G59" i="31" s="1"/>
  <c r="G78" i="29"/>
  <c r="G85" i="29"/>
  <c r="J105" i="29" l="1"/>
  <c r="J107" i="29"/>
  <c r="J89" i="29"/>
  <c r="J88" i="29"/>
  <c r="J106" i="29"/>
  <c r="J108" i="29"/>
  <c r="J30" i="31"/>
  <c r="J31" i="31"/>
  <c r="J32" i="31"/>
  <c r="J33" i="31"/>
  <c r="G64" i="31"/>
  <c r="J85" i="29"/>
  <c r="J87" i="29"/>
  <c r="J68" i="31" l="1"/>
  <c r="J67" i="31"/>
  <c r="J64" i="31"/>
  <c r="J69" i="31"/>
  <c r="J66" i="31"/>
  <c r="J65" i="31"/>
  <c r="F47" i="29"/>
  <c r="D66" i="29"/>
  <c r="F64" i="29"/>
  <c r="E55" i="29"/>
  <c r="D55" i="29"/>
  <c r="F54" i="29"/>
  <c r="F53" i="29"/>
  <c r="D54" i="29"/>
  <c r="D53" i="29"/>
  <c r="F43" i="29"/>
  <c r="F44" i="29"/>
  <c r="D44" i="29"/>
  <c r="C43" i="29" s="1"/>
  <c r="D43" i="29"/>
  <c r="C44" i="29" s="1"/>
  <c r="F40" i="29"/>
  <c r="D41" i="29"/>
  <c r="F39" i="29"/>
  <c r="F42" i="29"/>
  <c r="F41" i="29"/>
  <c r="D42" i="29"/>
  <c r="F37" i="29"/>
  <c r="B29" i="29"/>
  <c r="D7" i="30"/>
  <c r="G7" i="30" s="1"/>
  <c r="D6" i="30"/>
  <c r="G6" i="30" s="1"/>
  <c r="G4" i="30"/>
  <c r="G5" i="30"/>
  <c r="G55" i="29" l="1"/>
  <c r="G53" i="29"/>
  <c r="G54" i="29"/>
  <c r="G67" i="29"/>
  <c r="G47" i="29"/>
  <c r="G43" i="29"/>
  <c r="G44" i="29"/>
  <c r="G41" i="29"/>
  <c r="G42" i="29"/>
  <c r="G40" i="29"/>
  <c r="G39" i="29"/>
  <c r="H7" i="30"/>
  <c r="H5" i="30"/>
  <c r="H8" i="30" s="1"/>
  <c r="C25" i="29"/>
  <c r="C29" i="29" s="1"/>
  <c r="D17" i="29"/>
  <c r="D25" i="29" s="1"/>
  <c r="D21" i="29"/>
  <c r="C21" i="29"/>
  <c r="I26" i="29" l="1"/>
  <c r="I26" i="31"/>
  <c r="J26" i="31" s="1"/>
  <c r="J165" i="31" s="1"/>
  <c r="C168" i="31" s="1"/>
  <c r="C171" i="31" s="1"/>
  <c r="E171" i="31" s="1"/>
  <c r="G57" i="29"/>
  <c r="D29" i="29"/>
  <c r="D64" i="29"/>
  <c r="D65" i="29" s="1"/>
  <c r="H9" i="30"/>
  <c r="H10" i="30" s="1"/>
  <c r="B10" i="30" s="1"/>
  <c r="D10" i="30" s="1"/>
  <c r="G17" i="29"/>
  <c r="J57" i="29" l="1"/>
  <c r="J61" i="29"/>
  <c r="J60" i="29"/>
  <c r="J59" i="29"/>
  <c r="J58" i="29"/>
  <c r="E170" i="31"/>
  <c r="E11" i="29"/>
  <c r="C158" i="29"/>
  <c r="C157" i="29"/>
  <c r="C155" i="29"/>
  <c r="J149" i="29"/>
  <c r="G99" i="29"/>
  <c r="J99" i="29" s="1"/>
  <c r="J100" i="29" s="1"/>
  <c r="C93" i="29"/>
  <c r="C92" i="29"/>
  <c r="F93" i="29"/>
  <c r="F92" i="29"/>
  <c r="F38" i="29"/>
  <c r="G38" i="29" s="1"/>
  <c r="D15" i="29"/>
  <c r="G15" i="29" s="1"/>
  <c r="G92" i="29" l="1"/>
  <c r="G93" i="29"/>
  <c r="E21" i="29"/>
  <c r="D16" i="29"/>
  <c r="G16" i="29" s="1"/>
  <c r="G18" i="29" s="1"/>
  <c r="J18" i="29" s="1"/>
  <c r="G11" i="29"/>
  <c r="G12" i="29" s="1"/>
  <c r="J12" i="29" s="1"/>
  <c r="J67" i="25"/>
  <c r="F63" i="25"/>
  <c r="F65" i="25" s="1"/>
  <c r="E63" i="25"/>
  <c r="E65" i="25" s="1"/>
  <c r="E67" i="25" s="1"/>
  <c r="H67" i="25" s="1"/>
  <c r="K68" i="25" s="1"/>
  <c r="J63" i="25"/>
  <c r="G95" i="29" l="1"/>
  <c r="J96" i="29" s="1"/>
  <c r="G21" i="29"/>
  <c r="G22" i="29" s="1"/>
  <c r="J22" i="29" s="1"/>
  <c r="E25" i="29"/>
  <c r="E64" i="29" s="1"/>
  <c r="G64" i="29" s="1"/>
  <c r="K67" i="25"/>
  <c r="H65" i="25"/>
  <c r="H63" i="25"/>
  <c r="K63" i="25" s="1"/>
  <c r="G25" i="29" l="1"/>
  <c r="G26" i="29" s="1"/>
  <c r="J26" i="29" s="1"/>
  <c r="E29" i="29"/>
  <c r="G29" i="29" s="1"/>
  <c r="G30" i="29" s="1"/>
  <c r="J34" i="29" s="1"/>
  <c r="G37" i="29"/>
  <c r="G48" i="29" s="1"/>
  <c r="J50" i="29" s="1"/>
  <c r="G79" i="29"/>
  <c r="G80" i="29" s="1"/>
  <c r="G65" i="29"/>
  <c r="K65" i="25"/>
  <c r="K66" i="25"/>
  <c r="J80" i="29" l="1"/>
  <c r="J82" i="29"/>
  <c r="J48" i="29"/>
  <c r="J49" i="29"/>
  <c r="J33" i="29"/>
  <c r="J32" i="29"/>
  <c r="J31" i="29"/>
  <c r="J30" i="29"/>
  <c r="J81" i="29"/>
  <c r="G66" i="29"/>
  <c r="G69" i="29" s="1"/>
  <c r="J73" i="29" s="1"/>
  <c r="N68" i="25"/>
  <c r="N69" i="25" s="1"/>
  <c r="J69" i="29" l="1"/>
  <c r="J71" i="29"/>
  <c r="J70" i="29"/>
  <c r="J75" i="29"/>
  <c r="J74" i="29"/>
  <c r="J72" i="29"/>
  <c r="J95" i="29"/>
  <c r="H10" i="25"/>
  <c r="J10" i="25"/>
  <c r="E18" i="25"/>
  <c r="H18" i="25" s="1"/>
  <c r="K57" i="25"/>
  <c r="K58" i="25" s="1"/>
  <c r="J26" i="25"/>
  <c r="G25" i="25"/>
  <c r="G24" i="25"/>
  <c r="D48" i="25"/>
  <c r="D49" i="25"/>
  <c r="D47" i="25"/>
  <c r="J50" i="25"/>
  <c r="J43" i="25"/>
  <c r="D42" i="25"/>
  <c r="D41" i="25"/>
  <c r="J36" i="25"/>
  <c r="G30" i="25"/>
  <c r="G49" i="25" s="1"/>
  <c r="G42" i="25" s="1"/>
  <c r="G29" i="25"/>
  <c r="G48" i="25" s="1"/>
  <c r="G41" i="25" s="1"/>
  <c r="J31" i="25"/>
  <c r="J19" i="25"/>
  <c r="J14" i="25"/>
  <c r="E13" i="25"/>
  <c r="H13" i="25" s="1"/>
  <c r="E12" i="25"/>
  <c r="H12" i="25" s="1"/>
  <c r="K10" i="25" l="1"/>
  <c r="E16" i="25"/>
  <c r="E17" i="25"/>
  <c r="E25" i="25" s="1"/>
  <c r="D24" i="25" s="1"/>
  <c r="H14" i="25"/>
  <c r="K14" i="25" s="1"/>
  <c r="E41" i="25" l="1"/>
  <c r="H41" i="25" s="1"/>
  <c r="E24" i="25"/>
  <c r="D25" i="25" s="1"/>
  <c r="H25" i="25" s="1"/>
  <c r="E30" i="25"/>
  <c r="E42" i="25"/>
  <c r="H42" i="25" s="1"/>
  <c r="E28" i="25"/>
  <c r="E29" i="25"/>
  <c r="E48" i="25" s="1"/>
  <c r="H48" i="25" s="1"/>
  <c r="H17" i="25"/>
  <c r="F28" i="25"/>
  <c r="H43" i="25" l="1"/>
  <c r="K45" i="25" s="1"/>
  <c r="K44" i="25"/>
  <c r="H24" i="25"/>
  <c r="H26" i="25" s="1"/>
  <c r="K26" i="25" s="1"/>
  <c r="K27" i="25" s="1"/>
  <c r="H30" i="25"/>
  <c r="E49" i="25"/>
  <c r="H49" i="25" s="1"/>
  <c r="F36" i="25"/>
  <c r="G47" i="25"/>
  <c r="E36" i="25"/>
  <c r="E47" i="25"/>
  <c r="H47" i="25" l="1"/>
  <c r="H50" i="25" s="1"/>
  <c r="K50" i="25" l="1"/>
  <c r="K51" i="25"/>
  <c r="B8" i="27" l="1"/>
  <c r="G12" i="27" l="1"/>
  <c r="G14" i="27"/>
  <c r="G16" i="27"/>
  <c r="G19" i="27"/>
  <c r="G22" i="27"/>
  <c r="G27" i="27"/>
  <c r="G32" i="27"/>
  <c r="G35" i="27"/>
  <c r="G39" i="27"/>
  <c r="G41" i="27"/>
  <c r="G44" i="27"/>
  <c r="G47" i="27"/>
  <c r="G50" i="27"/>
  <c r="F50" i="27"/>
  <c r="I50" i="27" s="1"/>
  <c r="F47" i="27"/>
  <c r="D12" i="27"/>
  <c r="D14" i="27"/>
  <c r="D16" i="27"/>
  <c r="D19" i="27"/>
  <c r="D22" i="27"/>
  <c r="D27" i="27"/>
  <c r="D32" i="27"/>
  <c r="D35" i="27"/>
  <c r="D39" i="27"/>
  <c r="D41" i="27"/>
  <c r="D44" i="27"/>
  <c r="D47" i="27"/>
  <c r="C47" i="27"/>
  <c r="I47" i="27" l="1"/>
  <c r="H50" i="27"/>
  <c r="F41" i="27"/>
  <c r="F19" i="27"/>
  <c r="H14" i="27" l="1"/>
  <c r="F14" i="27"/>
  <c r="H39" i="27"/>
  <c r="F39" i="27"/>
  <c r="H48" i="27"/>
  <c r="H47" i="27"/>
  <c r="H12" i="27"/>
  <c r="F12" i="27"/>
  <c r="F32" i="27"/>
  <c r="H44" i="27"/>
  <c r="F44" i="27"/>
  <c r="F27" i="27"/>
  <c r="H45" i="27"/>
  <c r="H20" i="27"/>
  <c r="H19" i="27"/>
  <c r="H41" i="27"/>
  <c r="H42" i="27"/>
  <c r="H29" i="27"/>
  <c r="F16" i="27"/>
  <c r="K79" i="25"/>
  <c r="K78" i="25"/>
  <c r="K76" i="25"/>
  <c r="K70" i="25"/>
  <c r="H54" i="25"/>
  <c r="H36" i="25"/>
  <c r="H29" i="25"/>
  <c r="K36" i="25" l="1"/>
  <c r="K37" i="25"/>
  <c r="K39" i="25"/>
  <c r="K38" i="25"/>
  <c r="C19" i="27"/>
  <c r="I19" i="27" s="1"/>
  <c r="E42" i="27"/>
  <c r="C41" i="27"/>
  <c r="I41" i="27" s="1"/>
  <c r="H30" i="27"/>
  <c r="H27" i="27"/>
  <c r="E14" i="27"/>
  <c r="C14" i="27"/>
  <c r="I14" i="27" s="1"/>
  <c r="H28" i="27"/>
  <c r="K54" i="25"/>
  <c r="C39" i="27"/>
  <c r="I39" i="27" s="1"/>
  <c r="E12" i="27"/>
  <c r="C12" i="27"/>
  <c r="I12" i="27" s="1"/>
  <c r="E45" i="27"/>
  <c r="C44" i="27"/>
  <c r="I44" i="27" s="1"/>
  <c r="E48" i="27"/>
  <c r="E47" i="27"/>
  <c r="H37" i="27"/>
  <c r="F35" i="27"/>
  <c r="H24" i="27"/>
  <c r="F22" i="27"/>
  <c r="H23" i="27"/>
  <c r="H25" i="27"/>
  <c r="H22" i="27"/>
  <c r="H35" i="27"/>
  <c r="H36" i="27"/>
  <c r="H17" i="27"/>
  <c r="H16" i="27"/>
  <c r="H32" i="27"/>
  <c r="H33" i="27"/>
  <c r="E44" i="27"/>
  <c r="E16" i="27"/>
  <c r="H28" i="25"/>
  <c r="H31" i="25" s="1"/>
  <c r="E37" i="27"/>
  <c r="C32" i="27"/>
  <c r="I32" i="27" s="1"/>
  <c r="E19" i="27"/>
  <c r="H16" i="25"/>
  <c r="H19" i="25" s="1"/>
  <c r="E41" i="27"/>
  <c r="E39" i="27" l="1"/>
  <c r="K55" i="25"/>
  <c r="K33" i="25"/>
  <c r="E29" i="27" s="1"/>
  <c r="K32" i="25"/>
  <c r="E28" i="27" s="1"/>
  <c r="K34" i="25"/>
  <c r="E30" i="27" s="1"/>
  <c r="E20" i="27"/>
  <c r="E36" i="27"/>
  <c r="C35" i="27"/>
  <c r="I35" i="27" s="1"/>
  <c r="C27" i="27"/>
  <c r="I27" i="27" s="1"/>
  <c r="E17" i="27"/>
  <c r="C16" i="27"/>
  <c r="I16" i="27" s="1"/>
  <c r="H51" i="27"/>
  <c r="I6" i="27" s="1"/>
  <c r="K31" i="25"/>
  <c r="E27" i="27" s="1"/>
  <c r="K43" i="25"/>
  <c r="E35" i="27" s="1"/>
  <c r="E33" i="27"/>
  <c r="E32" i="27"/>
  <c r="C22" i="27" l="1"/>
  <c r="I22" i="27" s="1"/>
  <c r="K21" i="25"/>
  <c r="E24" i="27" s="1"/>
  <c r="K20" i="25"/>
  <c r="K22" i="25"/>
  <c r="E25" i="27" s="1"/>
  <c r="K19" i="25"/>
  <c r="K71" i="25" l="1"/>
  <c r="K74" i="25" s="1"/>
  <c r="K77" i="25" s="1"/>
  <c r="L77" i="25" s="1"/>
  <c r="E22" i="27"/>
  <c r="E51" i="27" s="1"/>
  <c r="C6" i="27" s="1"/>
  <c r="E23" i="27"/>
  <c r="L76" i="25" l="1"/>
  <c r="J150" i="29" l="1"/>
  <c r="C153" i="29" s="1"/>
  <c r="E155" i="29" l="1"/>
  <c r="C156" i="29"/>
  <c r="E156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1" authorId="0" shapeId="0" xr:uid="{00000000-0006-0000-0200-000001000000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  <comment ref="F11" authorId="0" shapeId="0" xr:uid="{00000000-0006-0000-0200-000002000000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1" authorId="0" shapeId="0" xr:uid="{857B10AA-89E0-4805-98CE-692106C2779C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  <comment ref="F11" authorId="0" shapeId="0" xr:uid="{7AE934D4-926E-4583-9D1E-4CD61B19FC6C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</commentList>
</comments>
</file>

<file path=xl/sharedStrings.xml><?xml version="1.0" encoding="utf-8"?>
<sst xmlns="http://schemas.openxmlformats.org/spreadsheetml/2006/main" count="444" uniqueCount="202">
  <si>
    <t>S.N.</t>
  </si>
  <si>
    <t>Description of work</t>
  </si>
  <si>
    <t>No.</t>
  </si>
  <si>
    <t>Length</t>
  </si>
  <si>
    <t>Breadth</t>
  </si>
  <si>
    <t>Height</t>
  </si>
  <si>
    <t>Quantity</t>
  </si>
  <si>
    <t>Unit</t>
  </si>
  <si>
    <t>Rate</t>
  </si>
  <si>
    <t>Amount</t>
  </si>
  <si>
    <t>Remarks</t>
  </si>
  <si>
    <t>Government of Nepal</t>
  </si>
  <si>
    <t>Description</t>
  </si>
  <si>
    <t>Total Estimated</t>
  </si>
  <si>
    <t>Budget Allocated</t>
  </si>
  <si>
    <t>User Contribution</t>
  </si>
  <si>
    <t>Shankharapur Municipality</t>
  </si>
  <si>
    <t>Shankhu, Kathmandu</t>
  </si>
  <si>
    <t>kg</t>
  </si>
  <si>
    <t>Municipal Payment</t>
  </si>
  <si>
    <t>Maintenance 2%</t>
  </si>
  <si>
    <t>Contingencies 3%</t>
  </si>
  <si>
    <t>Detail Estimate Sheet</t>
  </si>
  <si>
    <t>sqm</t>
  </si>
  <si>
    <t>cum</t>
  </si>
  <si>
    <t>RCC works 1:1.5:3 ratio in water collection chamber with all work complete</t>
  </si>
  <si>
    <t>3mm punning all complete work</t>
  </si>
  <si>
    <t xml:space="preserve">Project:- </t>
  </si>
  <si>
    <t>Location:- Shankharapur Municipality- 1</t>
  </si>
  <si>
    <t>vat on cement</t>
  </si>
  <si>
    <t xml:space="preserve">vat on sand </t>
  </si>
  <si>
    <t>vat on aggregate</t>
  </si>
  <si>
    <t xml:space="preserve"> </t>
  </si>
  <si>
    <t>Information Board</t>
  </si>
  <si>
    <t>no.</t>
  </si>
  <si>
    <t>cu.m.</t>
  </si>
  <si>
    <t>stone soling</t>
  </si>
  <si>
    <t>vat on stone</t>
  </si>
  <si>
    <t>vat on brick</t>
  </si>
  <si>
    <t>plastering work</t>
  </si>
  <si>
    <t>sq.m.</t>
  </si>
  <si>
    <t xml:space="preserve">tap and fittings </t>
  </si>
  <si>
    <t xml:space="preserve">Dry Stone  Masonry work </t>
  </si>
  <si>
    <t>Dismantle the rcc work on the base of water tank</t>
  </si>
  <si>
    <t xml:space="preserve">Earthwork in excavaiton </t>
  </si>
  <si>
    <t>Iron frame for barbed wire</t>
  </si>
  <si>
    <t xml:space="preserve">Barbed wire </t>
  </si>
  <si>
    <t>Roof top PVC Water Tank</t>
  </si>
  <si>
    <t>vat on pvc water tank</t>
  </si>
  <si>
    <t xml:space="preserve">Brick  Masonry work in 1:6 </t>
  </si>
  <si>
    <t>Vat on iron frame</t>
  </si>
  <si>
    <t>vat on barbed wire</t>
  </si>
  <si>
    <t>Shankharapur Municipality Office</t>
  </si>
  <si>
    <t>Sankhu, Kathmandu</t>
  </si>
  <si>
    <t>Work Completion Report</t>
  </si>
  <si>
    <t xml:space="preserve">Total Estimated Amount: </t>
  </si>
  <si>
    <t>Total Valuated Amount :</t>
  </si>
  <si>
    <t>Project:</t>
  </si>
  <si>
    <t>Fiscal Year:079/80</t>
  </si>
  <si>
    <t>Location:Shankharapur-1</t>
  </si>
  <si>
    <t>S.No.</t>
  </si>
  <si>
    <t>Estimated</t>
  </si>
  <si>
    <t>Valuated</t>
  </si>
  <si>
    <t>Difference</t>
  </si>
  <si>
    <t xml:space="preserve">Quantity </t>
  </si>
  <si>
    <t>Amount (Rs)</t>
  </si>
  <si>
    <t>Amount(Rs)</t>
  </si>
  <si>
    <t>Total</t>
  </si>
  <si>
    <t>Date:2079/12/21</t>
  </si>
  <si>
    <t>F.Y.:-2080/081</t>
  </si>
  <si>
    <t>Date: 2080/05/21</t>
  </si>
  <si>
    <t xml:space="preserve">Amount </t>
  </si>
  <si>
    <t>Percent</t>
  </si>
  <si>
    <t>cf/=l;=l;= jf cf/=lj=l;= sfd eTsfO{ !) dL= k/ x6fpg] sfd</t>
  </si>
  <si>
    <t>l;d]G6 jf jh| Knfi6/ eTsfO{ !) dL= k/ x6fpg] sfd</t>
  </si>
  <si>
    <t>e'O{+tNnfdf lrDgL e§fsf] O{+6fsf] uf/f] l;d]G6 d;nf -!M$_ df</t>
  </si>
  <si>
    <r>
      <t>;'k/ :6«Sr/, 8]s :n]a ljdx?df l;d]G6 s+lqm6 ug]{ sfd -!M!</t>
    </r>
    <r>
      <rPr>
        <sz val="15"/>
        <rFont val="Arial"/>
        <family val="2"/>
      </rPr>
      <t>.</t>
    </r>
    <r>
      <rPr>
        <sz val="15"/>
        <rFont val="Preeti"/>
      </rPr>
      <t>%M#_</t>
    </r>
  </si>
  <si>
    <t xml:space="preserve">l;d]G6 s+qmL6 ˆnf]l/Ë -!M@M$_ -#* dL=dL=_ </t>
  </si>
  <si>
    <t>!@=% dL=dL= l;d]G6 afn'jf -!M$_ Knfi6/</t>
  </si>
  <si>
    <t># dL=dL= df]6fO{ d;Lgf] l;d]G6 3f]6\g] sfd</t>
  </si>
  <si>
    <t xml:space="preserve">cf/=;L=;L= nflu !) ld=ld= kmnfd] 808L sf6\g], df]8\g] #) dL6/ ;Dd </t>
  </si>
  <si>
    <t>vat on material</t>
  </si>
  <si>
    <t>vat on machine</t>
  </si>
  <si>
    <t>page 175</t>
  </si>
  <si>
    <t>1 HP water pump (mono block</t>
  </si>
  <si>
    <t xml:space="preserve">    </t>
  </si>
  <si>
    <t>page 196</t>
  </si>
  <si>
    <t>square frame medium duty 24"X24</t>
  </si>
  <si>
    <t>vat for material</t>
  </si>
  <si>
    <t>Information Board  and photographs</t>
  </si>
  <si>
    <t>sq.m</t>
  </si>
  <si>
    <t>m</t>
  </si>
  <si>
    <r>
      <t>5fgfdf</t>
    </r>
    <r>
      <rPr>
        <sz val="9"/>
        <rFont val="Preeti"/>
      </rPr>
      <t xml:space="preserve"> </t>
    </r>
    <r>
      <rPr>
        <sz val="9"/>
        <rFont val="Arial"/>
        <family val="2"/>
      </rPr>
      <t xml:space="preserve">Ridge cover UPVC PMMA(3MMTHICK) </t>
    </r>
    <r>
      <rPr>
        <b/>
        <sz val="9"/>
        <rFont val="Arial"/>
        <family val="2"/>
      </rPr>
      <t>Regular</t>
    </r>
    <r>
      <rPr>
        <sz val="14"/>
        <rFont val="Preeti"/>
      </rPr>
      <t xml:space="preserve"> nufpg] sfd lSnk tyf k]r cflb ;d]t k'/f sfo{ ug]{ .</t>
    </r>
  </si>
  <si>
    <t>gfªn]ef/] :jf:yo rf}sL 5fgf tyf kfgL 6\ofÍL dd{t</t>
  </si>
  <si>
    <t>A.</t>
  </si>
  <si>
    <t>kfgL 6\ofÍL dd{t</t>
  </si>
  <si>
    <t>5fgf dd{t</t>
  </si>
  <si>
    <t>B.</t>
  </si>
  <si>
    <t>h:tfkftfsf] 5fgf eTsfO{ ;fdfg ;'/lIft /fVg] sfd</t>
  </si>
  <si>
    <r>
      <t xml:space="preserve">dfn;fdfg pknAw u/L k'/fgf] </t>
    </r>
    <r>
      <rPr>
        <sz val="9"/>
        <rFont val="Arial"/>
        <family val="2"/>
      </rPr>
      <t xml:space="preserve">UPVC sheet </t>
    </r>
    <r>
      <rPr>
        <sz val="14"/>
        <rFont val="Preeti"/>
      </rPr>
      <t>5fgf 5fpg] sfd .</t>
    </r>
  </si>
  <si>
    <t>Date: 2081/02/21</t>
  </si>
  <si>
    <t>F.Y.:-2082/083</t>
  </si>
  <si>
    <t>l;d]G6 jf jh|df hf]8]sf] uf/f] eTsfO{ To;af6 cfPsf] ;fdfu+|L !) dL</t>
  </si>
  <si>
    <t>Kn]g l;d]G6 sqmL6 jf jh| s+qmL6 eTsfO{ !) dL= k/ x6fpg] sfd</t>
  </si>
  <si>
    <t>;'Vvf O{6f RofK6f] 5fKg] sfd</t>
  </si>
  <si>
    <t xml:space="preserve">;fx|f] k|sf/sf] Sn], g/d d'/d 9'+uf -#) ;]=dL=;Dd_ ld;]sf] df6f]df ;j} lsl;dsf] vGg] sfd </t>
  </si>
  <si>
    <t>;'Vvf O{6f RofK6f] 5fKg] sfd .</t>
  </si>
  <si>
    <t>H 15</t>
  </si>
  <si>
    <t>b/ ljZn]if0fsf] nflu !) j=dL= lnOPsf]</t>
  </si>
  <si>
    <t>;|f]t ;fwg</t>
  </si>
  <si>
    <t>tx÷lsl;d</t>
  </si>
  <si>
    <t>kl/df0f</t>
  </si>
  <si>
    <t>PsfO{</t>
  </si>
  <si>
    <t>b/ k|lt PsfO{</t>
  </si>
  <si>
    <t>/sd</t>
  </si>
  <si>
    <t>k|To]s ;|f]t ;fwgsf] hDdf</t>
  </si>
  <si>
    <t>&gt;lds</t>
  </si>
  <si>
    <t>s_ l;kfn'</t>
  </si>
  <si>
    <t>hjfg</t>
  </si>
  <si>
    <t>v_ HofdL</t>
  </si>
  <si>
    <t>lgdf{0f ;fdu|L</t>
  </si>
  <si>
    <t>O{6f</t>
  </si>
  <si>
    <t>uf]6f</t>
  </si>
  <si>
    <t xml:space="preserve">jfn'jf vf]nfsf] </t>
  </si>
  <si>
    <t>3=dL=</t>
  </si>
  <si>
    <t>jf:tljs b//]6</t>
  </si>
  <si>
    <t>b/ k|lt j=dL=sf]</t>
  </si>
  <si>
    <t>!%Ü 7]s]bf/ cf]e/x]8</t>
  </si>
  <si>
    <t>Ö ?=</t>
  </si>
  <si>
    <t>k}=</t>
  </si>
  <si>
    <t>hDdf b/ /]6</t>
  </si>
  <si>
    <t>hu leQf kvf{ndf l;d]G6 s+lqm6 ug]{ sfd -lk=;L=;L= !M@M$_</t>
  </si>
  <si>
    <t>-for flooring</t>
  </si>
  <si>
    <t>-Along short length</t>
  </si>
  <si>
    <t>-Slab</t>
  </si>
  <si>
    <t>kmnfd]sf] kfOk / KnfOaf]8{af6 kmdf{ agfpg] sfd</t>
  </si>
  <si>
    <t>-For shear wall</t>
  </si>
  <si>
    <t>-for slab</t>
  </si>
  <si>
    <t>-fillet</t>
  </si>
  <si>
    <t>-shear wall</t>
  </si>
  <si>
    <t>-floor and slab</t>
  </si>
  <si>
    <t>-for fillet</t>
  </si>
  <si>
    <t>d]lzgsf] k|of]u u/L ;'k/ :6«Sr/df l;d]G6 s+lqm6 ug]{ sfd -!M!=%M#_</t>
  </si>
  <si>
    <t>vat on diesel</t>
  </si>
  <si>
    <t>vat on petrol</t>
  </si>
  <si>
    <t>-deduction for opening</t>
  </si>
  <si>
    <t>-at water tank</t>
  </si>
  <si>
    <t>-At shear wall</t>
  </si>
  <si>
    <t>-at floor</t>
  </si>
  <si>
    <t>-!M@ efudf jf6/ k|'km sDkfp08 ld;fO{ 8]Dk k|'lkm+Ë ug</t>
  </si>
  <si>
    <t>Provisional sum for unforseen works</t>
  </si>
  <si>
    <t>PS</t>
  </si>
  <si>
    <t>Remark</t>
  </si>
  <si>
    <t>-water tank</t>
  </si>
  <si>
    <t>-Along long length</t>
  </si>
  <si>
    <t>-binder</t>
  </si>
  <si>
    <t xml:space="preserve"> Ps sf]6 k|fO{d/ ;lxt b'O{ sf]6 j]b/sf]6 k]G6 ug]{ sfd</t>
  </si>
  <si>
    <t>-ward compound</t>
  </si>
  <si>
    <t>vat on aster</t>
  </si>
  <si>
    <t>vat on weather coat</t>
  </si>
  <si>
    <t>vat on sand</t>
  </si>
  <si>
    <t>vat on water-proofing compound</t>
  </si>
  <si>
    <r>
      <rPr>
        <sz val="14"/>
        <color theme="1"/>
        <rFont val="Times New Roman"/>
        <family val="1"/>
      </rPr>
      <t>Project:-</t>
    </r>
    <r>
      <rPr>
        <sz val="16"/>
        <color theme="1"/>
        <rFont val="Preeti"/>
      </rPr>
      <t>gfªn]ef/] :jf:yo rf}sL kfgL 6\ofÍL dd{t tyf j8f sfof{no sDkfp08 /+u/f]ug</t>
    </r>
  </si>
  <si>
    <t>Date: 2082/04/01</t>
  </si>
  <si>
    <t>20mm GI Pipe threaded -Medium class</t>
  </si>
  <si>
    <t>- for kitchen</t>
  </si>
  <si>
    <t>-for outside dhara</t>
  </si>
  <si>
    <t>-for water tank inlet and overflow</t>
  </si>
  <si>
    <t>rm</t>
  </si>
  <si>
    <t>-13% VAT on materials</t>
  </si>
  <si>
    <t>PPR pipe (PN-16) 20mm OD 2.80mm thick 0.148kg/m</t>
  </si>
  <si>
    <t>-for kitchen</t>
  </si>
  <si>
    <t>set</t>
  </si>
  <si>
    <t>Porcelain clay  white glaze wash basin large size regular complete set</t>
  </si>
  <si>
    <t>Brass tap-1'2" ordinary</t>
  </si>
  <si>
    <t>-for kitchen and outside dhara</t>
  </si>
  <si>
    <t>L</t>
  </si>
  <si>
    <t>B</t>
  </si>
  <si>
    <t>H</t>
  </si>
  <si>
    <t xml:space="preserve">Unit </t>
  </si>
  <si>
    <t>Area</t>
  </si>
  <si>
    <t>m3</t>
  </si>
  <si>
    <t>m2</t>
  </si>
  <si>
    <t>plaster</t>
  </si>
  <si>
    <t>13% VAT on GI binding wire</t>
  </si>
  <si>
    <t>13% VAT on TMT rod</t>
  </si>
  <si>
    <t>13% VAT on cement</t>
  </si>
  <si>
    <t xml:space="preserve">13% VAT on sand </t>
  </si>
  <si>
    <t>13% VAT on aggregate</t>
  </si>
  <si>
    <t>13% VAT on water</t>
  </si>
  <si>
    <t>13% VAT on 15mm board</t>
  </si>
  <si>
    <t>13% VAT on local wood</t>
  </si>
  <si>
    <t>13% VAT on NMB 50-M iron props</t>
  </si>
  <si>
    <t>13% VAT on nails</t>
  </si>
  <si>
    <t>13% VAT on diesel</t>
  </si>
  <si>
    <t>13% VAT on petrol</t>
  </si>
  <si>
    <t>13% VAT for material</t>
  </si>
  <si>
    <t>13% VAT on sand</t>
  </si>
  <si>
    <t>13% VAT on water-proofing compound</t>
  </si>
  <si>
    <t>13% VAT on aster</t>
  </si>
  <si>
    <t>13% VAT on weather coat</t>
  </si>
  <si>
    <t>-at ward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</si>
</sst>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_);_(@_)"/>
    <numFmt numFmtId="166" formatCode="0.000"/>
    <numFmt numFmtId="167" formatCode="#."/>
    <numFmt numFmtId="168" formatCode="0.00_)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 * #,##0_)&quot;$&quot;_ ;_ * \(#,##0\)&quot;$&quot;_ ;_ * &quot;-&quot;_)&quot;$&quot;_ ;_ @_ "/>
    <numFmt numFmtId="172" formatCode="General_)"/>
    <numFmt numFmtId="173" formatCode="_ * #,##0_)_$_ ;_ * \(#,##0\)_$_ ;_ * &quot;-&quot;_)_$_ ;_ @_ "/>
    <numFmt numFmtId="174" formatCode="_ * #,##0.00_)&quot;$&quot;_ ;_ * \(#,##0.00\)&quot;$&quot;_ ;_ * &quot;-&quot;??_)&quot;$&quot;_ ;_ @_ "/>
    <numFmt numFmtId="175" formatCode="_ * #,##0.00_)_$_ ;_ * \(#,##0.00\)_$_ ;_ * &quot;-&quot;??_)_$_ ;_ @_ "/>
    <numFmt numFmtId="176" formatCode="mmmm\ d\,\ yyyy"/>
    <numFmt numFmtId="177" formatCode="&quot;$&quot;#,##0.00_);\(&quot;$&quot;#.##0\)"/>
    <numFmt numFmtId="178" formatCode="_ * #,##0_ ;_ * \-#,##0_ ;_ * &quot;-&quot;_ ;_ @_ "/>
    <numFmt numFmtId="179" formatCode="_ * #,##0.00_ ;_ * \-#,##0.00_ ;_ * &quot;-&quot;??_ ;_ @_ 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2" formatCode="0.0"/>
    <numFmt numFmtId="183" formatCode="_(* #,##0.0_);_(* \(#,##0.0\);_(* &quot;-&quot;??_);_(@_)"/>
  </numFmts>
  <fonts count="9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Tms Rmn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MS Sans Serif"/>
      <family val="2"/>
    </font>
    <font>
      <b/>
      <i/>
      <sz val="16"/>
      <name val="Helv"/>
    </font>
    <font>
      <b/>
      <sz val="11"/>
      <color indexed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9"/>
      <name val="Times New Roman"/>
      <family val="1"/>
    </font>
    <font>
      <sz val="10"/>
      <name val="BERNHARD"/>
    </font>
    <font>
      <sz val="10"/>
      <name val="Helv"/>
    </font>
    <font>
      <sz val="12"/>
      <color indexed="9"/>
      <name val="Helv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color indexed="8"/>
      <name val="Helvetica"/>
      <family val="2"/>
    </font>
    <font>
      <b/>
      <sz val="18"/>
      <name val="Arial"/>
      <family val="2"/>
    </font>
    <font>
      <u/>
      <sz val="8"/>
      <color indexed="12"/>
      <name val="Arial Narrow"/>
      <family val="2"/>
    </font>
    <font>
      <b/>
      <sz val="12"/>
      <color indexed="9"/>
      <name val="Helv"/>
    </font>
    <font>
      <sz val="12"/>
      <color indexed="13"/>
      <name val="Helv"/>
    </font>
    <font>
      <sz val="12"/>
      <name val="바탕체"/>
      <family val="3"/>
      <charset val="129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Preeti"/>
    </font>
    <font>
      <sz val="10"/>
      <name val="Arial"/>
      <family val="2"/>
    </font>
    <font>
      <sz val="12"/>
      <name val="Times New Roman"/>
      <family val="1"/>
    </font>
    <font>
      <sz val="12"/>
      <name val="Helv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Preeti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5"/>
      <name val="Preeti"/>
    </font>
    <font>
      <sz val="15"/>
      <name val="Arial"/>
      <family val="2"/>
    </font>
    <font>
      <sz val="8"/>
      <name val="Calibri"/>
      <family val="2"/>
      <scheme val="minor"/>
    </font>
    <font>
      <sz val="14"/>
      <name val="Preeti"/>
    </font>
    <font>
      <sz val="9"/>
      <name val="Arial"/>
      <family val="2"/>
    </font>
    <font>
      <sz val="9"/>
      <name val="Preeti"/>
    </font>
    <font>
      <b/>
      <sz val="9"/>
      <name val="Arial"/>
      <family val="2"/>
    </font>
    <font>
      <b/>
      <sz val="14.5"/>
      <color theme="1"/>
      <name val="Preeti"/>
    </font>
    <font>
      <b/>
      <sz val="14.5"/>
      <name val="Preeti"/>
    </font>
    <font>
      <sz val="10"/>
      <color indexed="81"/>
      <name val="Tahoma"/>
      <charset val="1"/>
    </font>
    <font>
      <b/>
      <sz val="10"/>
      <color indexed="81"/>
      <name val="Tahoma"/>
      <charset val="1"/>
    </font>
    <font>
      <sz val="10"/>
      <name val="FONTASY_ HIMALI_ TT"/>
      <family val="5"/>
    </font>
    <font>
      <sz val="16"/>
      <name val="Preeti"/>
    </font>
    <font>
      <sz val="11"/>
      <name val="Preeti"/>
    </font>
    <font>
      <sz val="12"/>
      <name val="Preeti"/>
    </font>
    <font>
      <sz val="13"/>
      <name val="Preeti"/>
    </font>
    <font>
      <sz val="10"/>
      <name val="Fontasy Himali"/>
      <family val="5"/>
    </font>
    <font>
      <sz val="13"/>
      <name val="FONTASY_ HIMALI_ TT"/>
      <family val="5"/>
    </font>
    <font>
      <sz val="10"/>
      <name val="Arial"/>
    </font>
    <font>
      <sz val="14"/>
      <color theme="1"/>
      <name val="Times New Roman"/>
      <family val="1"/>
    </font>
    <font>
      <b/>
      <sz val="12"/>
      <color theme="1"/>
      <name val="Preeti"/>
    </font>
    <font>
      <b/>
      <sz val="12"/>
      <name val="Times New Roman"/>
      <family val="1"/>
    </font>
    <font>
      <b/>
      <sz val="12"/>
      <name val="Preeti"/>
    </font>
    <font>
      <sz val="16"/>
      <color theme="1"/>
      <name val="Preeti"/>
      <family val="1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10"/>
      </left>
      <right style="medium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759">
    <xf numFmtId="0" fontId="0" fillId="0" borderId="0"/>
    <xf numFmtId="43" fontId="1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7" fontId="12" fillId="0" borderId="0">
      <protection locked="0"/>
    </xf>
    <xf numFmtId="167" fontId="12" fillId="0" borderId="0">
      <protection locked="0"/>
    </xf>
    <xf numFmtId="167" fontId="13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0" fontId="2" fillId="0" borderId="0"/>
    <xf numFmtId="0" fontId="14" fillId="5" borderId="0" applyNumberFormat="0" applyBorder="0" applyAlignment="0" applyProtection="0"/>
    <xf numFmtId="38" fontId="5" fillId="23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8" borderId="4" applyNumberFormat="0" applyAlignment="0" applyProtection="0"/>
    <xf numFmtId="10" fontId="5" fillId="24" borderId="1" applyNumberFormat="0" applyBorder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168" fontId="30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7" fillId="0" borderId="0"/>
    <xf numFmtId="10" fontId="2" fillId="0" borderId="0" applyFont="0" applyFill="0" applyBorder="0" applyAlignment="0" applyProtection="0"/>
    <xf numFmtId="0" fontId="1" fillId="0" borderId="0"/>
    <xf numFmtId="0" fontId="31" fillId="0" borderId="0">
      <alignment horizontal="left" vertical="center" indent="1"/>
    </xf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" fillId="0" borderId="0"/>
    <xf numFmtId="0" fontId="14" fillId="5" borderId="0" applyNumberFormat="0" applyBorder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7" fillId="13" borderId="0" applyNumberFormat="0" applyBorder="0" applyAlignment="0" applyProtection="0"/>
    <xf numFmtId="0" fontId="6" fillId="4" borderId="0" applyNumberFormat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4" fillId="0" borderId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7" fillId="15" borderId="0" applyNumberFormat="0" applyBorder="0" applyAlignment="0" applyProtection="0"/>
    <xf numFmtId="0" fontId="7" fillId="11" borderId="0" applyNumberFormat="0" applyBorder="0" applyAlignment="0" applyProtection="0"/>
    <xf numFmtId="0" fontId="6" fillId="10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7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2" fillId="0" borderId="0"/>
    <xf numFmtId="0" fontId="6" fillId="6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6" borderId="0" applyNumberFormat="0" applyBorder="0" applyAlignment="0" applyProtection="0"/>
    <xf numFmtId="0" fontId="4" fillId="0" borderId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7" fillId="0" borderId="1" applyNumberFormat="0" applyFont="0">
      <alignment horizontal="center" vertical="justify"/>
    </xf>
    <xf numFmtId="171" fontId="2" fillId="0" borderId="0" applyFill="0" applyBorder="0" applyAlignment="0"/>
    <xf numFmtId="172" fontId="36" fillId="0" borderId="0" applyFill="0" applyBorder="0" applyAlignment="0"/>
    <xf numFmtId="166" fontId="36" fillId="0" borderId="0" applyFill="0" applyBorder="0" applyAlignment="0"/>
    <xf numFmtId="173" fontId="2" fillId="0" borderId="0" applyFill="0" applyBorder="0" applyAlignment="0"/>
    <xf numFmtId="174" fontId="2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1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" fillId="0" borderId="0" applyFill="0" applyBorder="0" applyAlignment="0" applyProtection="0"/>
    <xf numFmtId="0" fontId="37" fillId="0" borderId="0"/>
    <xf numFmtId="0" fontId="38" fillId="0" borderId="0"/>
    <xf numFmtId="0" fontId="37" fillId="0" borderId="0"/>
    <xf numFmtId="0" fontId="38" fillId="0" borderId="0"/>
    <xf numFmtId="172" fontId="36" fillId="0" borderId="0" applyFont="0" applyFill="0" applyBorder="0" applyAlignment="0" applyProtection="0"/>
    <xf numFmtId="5" fontId="2" fillId="0" borderId="0" applyFill="0" applyBorder="0" applyAlignment="0" applyProtection="0"/>
    <xf numFmtId="0" fontId="39" fillId="0" borderId="0"/>
    <xf numFmtId="0" fontId="39" fillId="0" borderId="15"/>
    <xf numFmtId="176" fontId="2" fillId="0" borderId="0" applyFill="0" applyBorder="0" applyAlignment="0" applyProtection="0"/>
    <xf numFmtId="14" fontId="34" fillId="0" borderId="0" applyFill="0" applyBorder="0" applyAlignment="0"/>
    <xf numFmtId="38" fontId="29" fillId="0" borderId="16">
      <alignment vertical="center"/>
    </xf>
    <xf numFmtId="0" fontId="40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0" fontId="40" fillId="0" borderId="0">
      <protection locked="0"/>
    </xf>
    <xf numFmtId="0" fontId="40" fillId="0" borderId="0">
      <protection locked="0"/>
    </xf>
    <xf numFmtId="2" fontId="2" fillId="0" borderId="0" applyFill="0" applyBorder="0" applyAlignment="0" applyProtection="0"/>
    <xf numFmtId="0" fontId="42" fillId="28" borderId="17" applyNumberFormat="0" applyAlignment="0">
      <protection locked="0"/>
    </xf>
    <xf numFmtId="0" fontId="5" fillId="23" borderId="0" applyNumberFormat="0" applyBorder="0" applyAlignment="0" applyProtection="0"/>
    <xf numFmtId="0" fontId="32" fillId="0" borderId="14" applyNumberFormat="0" applyAlignment="0" applyProtection="0">
      <alignment horizontal="left" vertical="center"/>
    </xf>
    <xf numFmtId="0" fontId="32" fillId="0" borderId="3">
      <alignment horizontal="left" vertical="center"/>
    </xf>
    <xf numFmtId="0" fontId="4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5" fillId="24" borderId="1" applyNumberFormat="0" applyBorder="0" applyAlignment="0" applyProtection="0"/>
    <xf numFmtId="0" fontId="28" fillId="0" borderId="13" applyNumberFormat="0" applyFont="0" applyBorder="0">
      <alignment horizontal="center" vertical="top"/>
    </xf>
    <xf numFmtId="0" fontId="45" fillId="29" borderId="15"/>
    <xf numFmtId="0" fontId="45" fillId="27" borderId="15"/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2" fillId="0" borderId="0"/>
    <xf numFmtId="9" fontId="1" fillId="0" borderId="0" applyFont="0" applyFill="0" applyBorder="0" applyAlignment="0" applyProtection="0"/>
    <xf numFmtId="0" fontId="39" fillId="0" borderId="0"/>
    <xf numFmtId="3" fontId="3" fillId="0" borderId="2" applyBorder="0">
      <alignment horizontal="center" vertical="top"/>
    </xf>
    <xf numFmtId="0" fontId="35" fillId="0" borderId="0"/>
    <xf numFmtId="0" fontId="33" fillId="0" borderId="0"/>
    <xf numFmtId="0" fontId="39" fillId="0" borderId="15"/>
    <xf numFmtId="0" fontId="46" fillId="30" borderId="0"/>
    <xf numFmtId="0" fontId="46" fillId="31" borderId="0"/>
    <xf numFmtId="0" fontId="45" fillId="0" borderId="18"/>
    <xf numFmtId="0" fontId="45" fillId="0" borderId="15"/>
    <xf numFmtId="0" fontId="3" fillId="0" borderId="0">
      <alignment horizontal="center" vertical="center" textRotation="90"/>
    </xf>
    <xf numFmtId="9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47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5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" fillId="0" borderId="0"/>
    <xf numFmtId="0" fontId="16" fillId="0" borderId="7" applyNumberFormat="0" applyFill="0" applyAlignment="0" applyProtection="0"/>
    <xf numFmtId="0" fontId="14" fillId="5" borderId="0" applyNumberFormat="0" applyBorder="0" applyAlignment="0" applyProtection="0"/>
    <xf numFmtId="0" fontId="9" fillId="21" borderId="4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7" fillId="18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20" borderId="0" applyNumberFormat="0" applyBorder="0" applyAlignment="0" applyProtection="0"/>
    <xf numFmtId="0" fontId="7" fillId="16" borderId="0" applyNumberFormat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7" fillId="14" borderId="0" applyNumberFormat="0" applyBorder="0" applyAlignment="0" applyProtection="0"/>
    <xf numFmtId="0" fontId="26" fillId="0" borderId="0" applyNumberFormat="0" applyFill="0" applyBorder="0" applyAlignment="0" applyProtection="0"/>
    <xf numFmtId="0" fontId="23" fillId="21" borderId="11" applyNumberFormat="0" applyAlignment="0" applyProtection="0"/>
    <xf numFmtId="0" fontId="6" fillId="26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6" fillId="0" borderId="0"/>
    <xf numFmtId="0" fontId="55" fillId="0" borderId="0"/>
    <xf numFmtId="168" fontId="57" fillId="0" borderId="0"/>
    <xf numFmtId="179" fontId="2" fillId="0" borderId="0" applyFont="0" applyFill="0" applyBorder="0" applyAlignment="0" applyProtection="0"/>
    <xf numFmtId="165" fontId="57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8" fillId="0" borderId="0"/>
    <xf numFmtId="43" fontId="5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202">
    <xf numFmtId="0" fontId="0" fillId="0" borderId="0" xfId="0"/>
    <xf numFmtId="0" fontId="51" fillId="0" borderId="0" xfId="0" applyFont="1"/>
    <xf numFmtId="0" fontId="49" fillId="0" borderId="0" xfId="0" applyFont="1"/>
    <xf numFmtId="43" fontId="51" fillId="0" borderId="0" xfId="1" applyFont="1"/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top" wrapText="1"/>
    </xf>
    <xf numFmtId="0" fontId="51" fillId="0" borderId="0" xfId="0" applyFont="1" applyAlignment="1">
      <alignment horizontal="center"/>
    </xf>
    <xf numFmtId="43" fontId="49" fillId="0" borderId="0" xfId="1" applyFont="1"/>
    <xf numFmtId="0" fontId="51" fillId="0" borderId="0" xfId="0" applyFont="1" applyAlignment="1">
      <alignment wrapText="1"/>
    </xf>
    <xf numFmtId="0" fontId="49" fillId="0" borderId="0" xfId="0" applyFont="1" applyAlignment="1">
      <alignment horizontal="left" vertical="top" wrapText="1"/>
    </xf>
    <xf numFmtId="0" fontId="49" fillId="0" borderId="0" xfId="0" applyFont="1" applyAlignment="1">
      <alignment horizontal="center"/>
    </xf>
    <xf numFmtId="43" fontId="49" fillId="0" borderId="0" xfId="1" applyFont="1" applyBorder="1"/>
    <xf numFmtId="0" fontId="49" fillId="0" borderId="20" xfId="0" applyFont="1" applyBorder="1" applyAlignment="1">
      <alignment vertical="center"/>
    </xf>
    <xf numFmtId="0" fontId="49" fillId="0" borderId="21" xfId="0" applyFont="1" applyBorder="1" applyAlignment="1">
      <alignment horizontal="left" vertical="top" wrapText="1"/>
    </xf>
    <xf numFmtId="43" fontId="49" fillId="0" borderId="21" xfId="1" applyFont="1" applyBorder="1"/>
    <xf numFmtId="0" fontId="49" fillId="0" borderId="21" xfId="0" applyFont="1" applyBorder="1"/>
    <xf numFmtId="0" fontId="49" fillId="0" borderId="22" xfId="0" applyFont="1" applyBorder="1" applyAlignment="1">
      <alignment wrapText="1"/>
    </xf>
    <xf numFmtId="0" fontId="49" fillId="0" borderId="21" xfId="0" applyFont="1" applyBorder="1" applyAlignment="1">
      <alignment horizontal="center"/>
    </xf>
    <xf numFmtId="0" fontId="51" fillId="2" borderId="23" xfId="0" applyFont="1" applyFill="1" applyBorder="1" applyAlignment="1">
      <alignment horizontal="left" vertical="top" wrapText="1"/>
    </xf>
    <xf numFmtId="0" fontId="51" fillId="2" borderId="23" xfId="0" applyFont="1" applyFill="1" applyBorder="1" applyAlignment="1">
      <alignment horizontal="right" vertical="top" wrapText="1"/>
    </xf>
    <xf numFmtId="0" fontId="51" fillId="0" borderId="23" xfId="0" applyFont="1" applyBorder="1"/>
    <xf numFmtId="0" fontId="52" fillId="0" borderId="23" xfId="0" applyFont="1" applyBorder="1" applyAlignment="1">
      <alignment horizontal="justify" vertical="justify"/>
    </xf>
    <xf numFmtId="0" fontId="51" fillId="2" borderId="29" xfId="0" applyFont="1" applyFill="1" applyBorder="1" applyAlignment="1">
      <alignment vertical="center"/>
    </xf>
    <xf numFmtId="0" fontId="51" fillId="2" borderId="31" xfId="0" applyFont="1" applyFill="1" applyBorder="1" applyAlignment="1">
      <alignment wrapText="1"/>
    </xf>
    <xf numFmtId="2" fontId="51" fillId="2" borderId="23" xfId="0" applyNumberFormat="1" applyFont="1" applyFill="1" applyBorder="1" applyAlignment="1">
      <alignment horizontal="right"/>
    </xf>
    <xf numFmtId="0" fontId="52" fillId="0" borderId="28" xfId="0" applyFont="1" applyBorder="1"/>
    <xf numFmtId="0" fontId="50" fillId="2" borderId="30" xfId="0" applyFont="1" applyFill="1" applyBorder="1" applyAlignment="1">
      <alignment horizontal="left" vertical="top" wrapText="1"/>
    </xf>
    <xf numFmtId="0" fontId="51" fillId="0" borderId="23" xfId="0" applyFont="1" applyBorder="1" applyAlignment="1">
      <alignment horizontal="right"/>
    </xf>
    <xf numFmtId="0" fontId="54" fillId="0" borderId="0" xfId="0" applyFont="1"/>
    <xf numFmtId="0" fontId="52" fillId="0" borderId="23" xfId="0" applyFont="1" applyBorder="1" applyAlignment="1">
      <alignment horizontal="right" vertical="top" wrapText="1"/>
    </xf>
    <xf numFmtId="0" fontId="52" fillId="0" borderId="23" xfId="0" applyFont="1" applyBorder="1" applyAlignment="1">
      <alignment horizontal="right" vertical="justify"/>
    </xf>
    <xf numFmtId="0" fontId="63" fillId="0" borderId="0" xfId="0" applyFont="1"/>
    <xf numFmtId="0" fontId="0" fillId="0" borderId="0" xfId="0" applyAlignment="1">
      <alignment horizontal="left"/>
    </xf>
    <xf numFmtId="0" fontId="64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right"/>
    </xf>
    <xf numFmtId="0" fontId="59" fillId="0" borderId="0" xfId="0" applyFont="1" applyAlignment="1">
      <alignment horizontal="center"/>
    </xf>
    <xf numFmtId="43" fontId="0" fillId="0" borderId="0" xfId="0" applyNumberFormat="1"/>
    <xf numFmtId="0" fontId="65" fillId="32" borderId="23" xfId="0" applyFont="1" applyFill="1" applyBorder="1"/>
    <xf numFmtId="0" fontId="65" fillId="32" borderId="23" xfId="0" applyFont="1" applyFill="1" applyBorder="1" applyAlignment="1">
      <alignment horizontal="center"/>
    </xf>
    <xf numFmtId="43" fontId="65" fillId="0" borderId="23" xfId="0" applyNumberFormat="1" applyFont="1" applyBorder="1"/>
    <xf numFmtId="2" fontId="65" fillId="0" borderId="23" xfId="0" applyNumberFormat="1" applyFont="1" applyBorder="1"/>
    <xf numFmtId="0" fontId="65" fillId="0" borderId="23" xfId="0" applyFont="1" applyBorder="1"/>
    <xf numFmtId="0" fontId="65" fillId="0" borderId="33" xfId="0" applyFont="1" applyBorder="1"/>
    <xf numFmtId="0" fontId="48" fillId="0" borderId="33" xfId="0" applyFont="1" applyBorder="1"/>
    <xf numFmtId="43" fontId="48" fillId="0" borderId="33" xfId="0" applyNumberFormat="1" applyFont="1" applyBorder="1"/>
    <xf numFmtId="0" fontId="66" fillId="2" borderId="23" xfId="0" applyFont="1" applyFill="1" applyBorder="1" applyAlignment="1">
      <alignment vertical="top"/>
    </xf>
    <xf numFmtId="0" fontId="56" fillId="2" borderId="23" xfId="0" applyFont="1" applyFill="1" applyBorder="1" applyAlignment="1">
      <alignment horizontal="left" vertical="top" wrapText="1"/>
    </xf>
    <xf numFmtId="0" fontId="66" fillId="2" borderId="23" xfId="0" applyFont="1" applyFill="1" applyBorder="1" applyAlignment="1">
      <alignment horizontal="right" vertical="top"/>
    </xf>
    <xf numFmtId="0" fontId="56" fillId="0" borderId="23" xfId="0" applyFont="1" applyBorder="1" applyAlignment="1">
      <alignment horizontal="justify" vertical="justify"/>
    </xf>
    <xf numFmtId="0" fontId="66" fillId="0" borderId="23" xfId="0" applyFont="1" applyBorder="1"/>
    <xf numFmtId="0" fontId="66" fillId="0" borderId="23" xfId="0" applyFont="1" applyBorder="1" applyAlignment="1">
      <alignment horizontal="right"/>
    </xf>
    <xf numFmtId="0" fontId="6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 wrapText="1"/>
    </xf>
    <xf numFmtId="0" fontId="56" fillId="0" borderId="23" xfId="0" applyFont="1" applyBorder="1" applyAlignment="1">
      <alignment horizontal="left" vertical="top" wrapText="1"/>
    </xf>
    <xf numFmtId="0" fontId="56" fillId="0" borderId="23" xfId="0" applyFont="1" applyBorder="1" applyAlignment="1">
      <alignment horizontal="right" vertical="top" wrapText="1"/>
    </xf>
    <xf numFmtId="0" fontId="56" fillId="0" borderId="23" xfId="0" applyFont="1" applyBorder="1" applyAlignment="1">
      <alignment horizontal="right" vertical="justify"/>
    </xf>
    <xf numFmtId="0" fontId="66" fillId="2" borderId="23" xfId="0" applyFont="1" applyFill="1" applyBorder="1" applyAlignment="1">
      <alignment horizontal="right" vertical="center"/>
    </xf>
    <xf numFmtId="0" fontId="66" fillId="2" borderId="23" xfId="0" applyFont="1" applyFill="1" applyBorder="1" applyAlignment="1">
      <alignment wrapText="1"/>
    </xf>
    <xf numFmtId="0" fontId="5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/>
    </xf>
    <xf numFmtId="43" fontId="51" fillId="0" borderId="0" xfId="0" applyNumberFormat="1" applyFont="1" applyAlignment="1">
      <alignment horizontal="center"/>
    </xf>
    <xf numFmtId="43" fontId="51" fillId="0" borderId="0" xfId="1" applyFont="1" applyBorder="1" applyAlignment="1"/>
    <xf numFmtId="43" fontId="51" fillId="0" borderId="0" xfId="0" applyNumberFormat="1" applyFont="1"/>
    <xf numFmtId="0" fontId="49" fillId="0" borderId="1" xfId="0" applyFont="1" applyBorder="1"/>
    <xf numFmtId="0" fontId="51" fillId="0" borderId="1" xfId="0" applyFont="1" applyBorder="1"/>
    <xf numFmtId="43" fontId="51" fillId="0" borderId="1" xfId="0" applyNumberFormat="1" applyFont="1" applyBorder="1"/>
    <xf numFmtId="43" fontId="51" fillId="0" borderId="1" xfId="1" applyFont="1" applyBorder="1" applyAlignment="1"/>
    <xf numFmtId="2" fontId="51" fillId="2" borderId="23" xfId="32" applyNumberFormat="1" applyFont="1" applyFill="1" applyBorder="1" applyAlignment="1">
      <alignment horizontal="right"/>
    </xf>
    <xf numFmtId="2" fontId="51" fillId="2" borderId="23" xfId="1" applyNumberFormat="1" applyFont="1" applyFill="1" applyBorder="1" applyAlignment="1">
      <alignment horizontal="right"/>
    </xf>
    <xf numFmtId="2" fontId="52" fillId="0" borderId="23" xfId="0" applyNumberFormat="1" applyFont="1" applyBorder="1" applyAlignment="1">
      <alignment horizontal="right"/>
    </xf>
    <xf numFmtId="2" fontId="51" fillId="0" borderId="23" xfId="0" applyNumberFormat="1" applyFont="1" applyBorder="1" applyAlignment="1">
      <alignment horizontal="right"/>
    </xf>
    <xf numFmtId="2" fontId="51" fillId="0" borderId="23" xfId="1" applyNumberFormat="1" applyFont="1" applyBorder="1" applyAlignment="1">
      <alignment horizontal="right"/>
    </xf>
    <xf numFmtId="2" fontId="52" fillId="2" borderId="23" xfId="0" applyNumberFormat="1" applyFont="1" applyFill="1" applyBorder="1" applyAlignment="1">
      <alignment horizontal="right"/>
    </xf>
    <xf numFmtId="2" fontId="3" fillId="0" borderId="23" xfId="734" applyNumberFormat="1" applyFont="1" applyBorder="1" applyAlignment="1">
      <alignment horizontal="right"/>
    </xf>
    <xf numFmtId="2" fontId="51" fillId="2" borderId="30" xfId="0" applyNumberFormat="1" applyFont="1" applyFill="1" applyBorder="1" applyAlignment="1">
      <alignment horizontal="right"/>
    </xf>
    <xf numFmtId="2" fontId="51" fillId="2" borderId="30" xfId="1" applyNumberFormat="1" applyFont="1" applyFill="1" applyBorder="1" applyAlignment="1">
      <alignment horizontal="right"/>
    </xf>
    <xf numFmtId="2" fontId="49" fillId="2" borderId="30" xfId="1" applyNumberFormat="1" applyFont="1" applyFill="1" applyBorder="1" applyAlignment="1">
      <alignment horizontal="right"/>
    </xf>
    <xf numFmtId="0" fontId="67" fillId="2" borderId="23" xfId="0" quotePrefix="1" applyFont="1" applyFill="1" applyBorder="1" applyAlignment="1">
      <alignment wrapText="1"/>
    </xf>
    <xf numFmtId="182" fontId="51" fillId="2" borderId="27" xfId="0" applyNumberFormat="1" applyFont="1" applyFill="1" applyBorder="1" applyAlignment="1">
      <alignment horizontal="right" vertical="center"/>
    </xf>
    <xf numFmtId="182" fontId="51" fillId="0" borderId="27" xfId="0" applyNumberFormat="1" applyFont="1" applyBorder="1" applyAlignment="1">
      <alignment horizontal="right" vertical="center"/>
    </xf>
    <xf numFmtId="0" fontId="75" fillId="0" borderId="23" xfId="0" applyFont="1" applyBorder="1" applyAlignment="1">
      <alignment horizontal="left" vertical="top" wrapText="1"/>
    </xf>
    <xf numFmtId="0" fontId="49" fillId="0" borderId="24" xfId="0" applyFont="1" applyBorder="1" applyAlignment="1">
      <alignment vertical="center"/>
    </xf>
    <xf numFmtId="0" fontId="74" fillId="0" borderId="25" xfId="0" applyFont="1" applyBorder="1" applyAlignment="1">
      <alignment horizontal="left" vertical="top" wrapText="1"/>
    </xf>
    <xf numFmtId="0" fontId="49" fillId="0" borderId="25" xfId="0" applyFont="1" applyBorder="1" applyAlignment="1">
      <alignment horizontal="center"/>
    </xf>
    <xf numFmtId="43" fontId="49" fillId="0" borderId="25" xfId="1" applyFont="1" applyBorder="1"/>
    <xf numFmtId="0" fontId="49" fillId="0" borderId="25" xfId="0" applyFont="1" applyBorder="1"/>
    <xf numFmtId="0" fontId="49" fillId="0" borderId="26" xfId="0" applyFont="1" applyBorder="1" applyAlignment="1">
      <alignment wrapText="1"/>
    </xf>
    <xf numFmtId="0" fontId="70" fillId="2" borderId="23" xfId="0" applyFont="1" applyFill="1" applyBorder="1" applyAlignment="1">
      <alignment wrapText="1"/>
    </xf>
    <xf numFmtId="1" fontId="78" fillId="0" borderId="19" xfId="0" applyNumberFormat="1" applyFont="1" applyBorder="1" applyAlignment="1">
      <alignment horizontal="center"/>
    </xf>
    <xf numFmtId="0" fontId="27" fillId="0" borderId="34" xfId="0" applyFont="1" applyBorder="1" applyAlignment="1">
      <alignment horizontal="center"/>
    </xf>
    <xf numFmtId="0" fontId="81" fillId="0" borderId="0" xfId="0" applyFont="1"/>
    <xf numFmtId="0" fontId="82" fillId="0" borderId="19" xfId="0" applyFont="1" applyBorder="1" applyAlignment="1">
      <alignment horizontal="center" vertical="center" wrapText="1"/>
    </xf>
    <xf numFmtId="0" fontId="82" fillId="0" borderId="35" xfId="0" applyFont="1" applyBorder="1" applyAlignment="1">
      <alignment horizontal="center" vertical="center" wrapText="1"/>
    </xf>
    <xf numFmtId="2" fontId="83" fillId="0" borderId="35" xfId="0" applyNumberFormat="1" applyFont="1" applyBorder="1" applyAlignment="1">
      <alignment horizontal="center"/>
    </xf>
    <xf numFmtId="0" fontId="82" fillId="0" borderId="35" xfId="0" applyFont="1" applyBorder="1" applyAlignment="1">
      <alignment horizontal="center"/>
    </xf>
    <xf numFmtId="2" fontId="78" fillId="0" borderId="35" xfId="0" applyNumberFormat="1" applyFont="1" applyBorder="1" applyAlignment="1">
      <alignment horizontal="center" vertical="center" wrapText="1"/>
    </xf>
    <xf numFmtId="2" fontId="78" fillId="0" borderId="35" xfId="0" applyNumberFormat="1" applyFont="1" applyBorder="1" applyAlignment="1">
      <alignment horizontal="center" vertical="center"/>
    </xf>
    <xf numFmtId="0" fontId="82" fillId="0" borderId="36" xfId="0" applyFont="1" applyBorder="1" applyAlignment="1">
      <alignment horizontal="center"/>
    </xf>
    <xf numFmtId="2" fontId="83" fillId="0" borderId="36" xfId="0" applyNumberFormat="1" applyFont="1" applyBorder="1" applyAlignment="1">
      <alignment horizontal="center"/>
    </xf>
    <xf numFmtId="2" fontId="78" fillId="0" borderId="36" xfId="0" applyNumberFormat="1" applyFont="1" applyBorder="1" applyAlignment="1">
      <alignment horizontal="center"/>
    </xf>
    <xf numFmtId="2" fontId="78" fillId="0" borderId="2" xfId="0" applyNumberFormat="1" applyFont="1" applyBorder="1" applyAlignment="1">
      <alignment horizontal="center" vertical="center"/>
    </xf>
    <xf numFmtId="2" fontId="78" fillId="0" borderId="35" xfId="0" applyNumberFormat="1" applyFont="1" applyBorder="1" applyAlignment="1">
      <alignment horizontal="center"/>
    </xf>
    <xf numFmtId="2" fontId="78" fillId="0" borderId="2" xfId="0" applyNumberFormat="1" applyFont="1" applyBorder="1" applyAlignment="1">
      <alignment horizontal="center"/>
    </xf>
    <xf numFmtId="2" fontId="78" fillId="0" borderId="36" xfId="0" applyNumberFormat="1" applyFont="1" applyBorder="1" applyAlignment="1">
      <alignment horizontal="center" vertical="center"/>
    </xf>
    <xf numFmtId="0" fontId="82" fillId="0" borderId="0" xfId="0" applyFont="1"/>
    <xf numFmtId="0" fontId="84" fillId="0" borderId="0" xfId="0" applyFont="1"/>
    <xf numFmtId="2" fontId="78" fillId="0" borderId="19" xfId="0" applyNumberFormat="1" applyFont="1" applyBorder="1" applyAlignment="1">
      <alignment horizontal="center"/>
    </xf>
    <xf numFmtId="0" fontId="85" fillId="0" borderId="0" xfId="0" applyFont="1"/>
    <xf numFmtId="2" fontId="78" fillId="0" borderId="37" xfId="0" applyNumberFormat="1" applyFont="1" applyBorder="1" applyAlignment="1">
      <alignment horizontal="center"/>
    </xf>
    <xf numFmtId="0" fontId="81" fillId="0" borderId="0" xfId="0" applyFont="1" applyAlignment="1">
      <alignment horizontal="right"/>
    </xf>
    <xf numFmtId="0" fontId="78" fillId="0" borderId="0" xfId="0" applyFont="1" applyAlignment="1">
      <alignment horizontal="center"/>
    </xf>
    <xf numFmtId="43" fontId="51" fillId="0" borderId="0" xfId="1" applyFont="1" applyFill="1"/>
    <xf numFmtId="43" fontId="49" fillId="0" borderId="0" xfId="1" applyFont="1" applyFill="1"/>
    <xf numFmtId="0" fontId="49" fillId="0" borderId="19" xfId="0" applyFont="1" applyBorder="1" applyAlignment="1">
      <alignment horizontal="center"/>
    </xf>
    <xf numFmtId="43" fontId="49" fillId="0" borderId="19" xfId="1" applyFont="1" applyFill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49" fillId="0" borderId="19" xfId="0" applyFont="1" applyBorder="1" applyAlignment="1">
      <alignment horizontal="center" vertical="top" wrapText="1"/>
    </xf>
    <xf numFmtId="43" fontId="49" fillId="0" borderId="19" xfId="1" applyFont="1" applyFill="1" applyBorder="1" applyAlignment="1">
      <alignment horizontal="center"/>
    </xf>
    <xf numFmtId="0" fontId="49" fillId="0" borderId="19" xfId="0" applyFont="1" applyBorder="1" applyAlignment="1">
      <alignment horizontal="center" wrapText="1"/>
    </xf>
    <xf numFmtId="1" fontId="51" fillId="0" borderId="0" xfId="0" applyNumberFormat="1" applyFont="1" applyAlignment="1">
      <alignment vertical="center"/>
    </xf>
    <xf numFmtId="1" fontId="49" fillId="0" borderId="19" xfId="0" applyNumberFormat="1" applyFont="1" applyBorder="1" applyAlignment="1">
      <alignment horizontal="center" vertical="center"/>
    </xf>
    <xf numFmtId="1" fontId="48" fillId="0" borderId="19" xfId="0" applyNumberFormat="1" applyFont="1" applyBorder="1" applyAlignment="1">
      <alignment vertical="center"/>
    </xf>
    <xf numFmtId="0" fontId="87" fillId="0" borderId="19" xfId="0" applyFont="1" applyBorder="1" applyAlignment="1">
      <alignment horizontal="left" vertical="top" wrapText="1"/>
    </xf>
    <xf numFmtId="0" fontId="48" fillId="0" borderId="19" xfId="0" applyFont="1" applyBorder="1" applyAlignment="1">
      <alignment horizontal="center"/>
    </xf>
    <xf numFmtId="43" fontId="48" fillId="0" borderId="19" xfId="1" applyFont="1" applyFill="1" applyBorder="1"/>
    <xf numFmtId="0" fontId="48" fillId="0" borderId="19" xfId="0" applyFont="1" applyBorder="1"/>
    <xf numFmtId="0" fontId="48" fillId="0" borderId="19" xfId="0" applyFont="1" applyBorder="1" applyAlignment="1">
      <alignment wrapText="1"/>
    </xf>
    <xf numFmtId="1" fontId="66" fillId="0" borderId="19" xfId="0" applyNumberFormat="1" applyFont="1" applyBorder="1" applyAlignment="1">
      <alignment horizontal="right" vertical="center"/>
    </xf>
    <xf numFmtId="0" fontId="81" fillId="0" borderId="19" xfId="0" quotePrefix="1" applyFont="1" applyBorder="1" applyAlignment="1">
      <alignment wrapText="1"/>
    </xf>
    <xf numFmtId="0" fontId="66" fillId="0" borderId="19" xfId="0" applyFont="1" applyBorder="1"/>
    <xf numFmtId="2" fontId="66" fillId="0" borderId="19" xfId="0" applyNumberFormat="1" applyFont="1" applyBorder="1" applyAlignment="1">
      <alignment horizontal="right"/>
    </xf>
    <xf numFmtId="0" fontId="56" fillId="0" borderId="19" xfId="0" applyFont="1" applyBorder="1"/>
    <xf numFmtId="0" fontId="56" fillId="0" borderId="19" xfId="0" quotePrefix="1" applyFont="1" applyBorder="1" applyAlignment="1">
      <alignment horizontal="right" vertical="justify"/>
    </xf>
    <xf numFmtId="182" fontId="66" fillId="0" borderId="19" xfId="0" applyNumberFormat="1" applyFont="1" applyBorder="1" applyAlignment="1">
      <alignment horizontal="right"/>
    </xf>
    <xf numFmtId="2" fontId="66" fillId="0" borderId="19" xfId="1" applyNumberFormat="1" applyFont="1" applyFill="1" applyBorder="1" applyAlignment="1">
      <alignment horizontal="right"/>
    </xf>
    <xf numFmtId="0" fontId="56" fillId="0" borderId="19" xfId="0" applyFont="1" applyBorder="1" applyAlignment="1">
      <alignment horizontal="right" vertical="justify"/>
    </xf>
    <xf numFmtId="2" fontId="56" fillId="0" borderId="19" xfId="0" applyNumberFormat="1" applyFont="1" applyBorder="1" applyAlignment="1">
      <alignment horizontal="right"/>
    </xf>
    <xf numFmtId="0" fontId="66" fillId="0" borderId="19" xfId="0" applyFont="1" applyBorder="1" applyAlignment="1">
      <alignment horizontal="right"/>
    </xf>
    <xf numFmtId="1" fontId="56" fillId="0" borderId="19" xfId="0" applyNumberFormat="1" applyFont="1" applyBorder="1" applyAlignment="1">
      <alignment horizontal="right" vertical="center"/>
    </xf>
    <xf numFmtId="182" fontId="56" fillId="0" borderId="19" xfId="0" applyNumberFormat="1" applyFont="1" applyBorder="1" applyAlignment="1">
      <alignment horizontal="right"/>
    </xf>
    <xf numFmtId="2" fontId="56" fillId="0" borderId="19" xfId="1" applyNumberFormat="1" applyFont="1" applyFill="1" applyBorder="1" applyAlignment="1">
      <alignment horizontal="right"/>
    </xf>
    <xf numFmtId="0" fontId="56" fillId="0" borderId="19" xfId="0" quotePrefix="1" applyFont="1" applyBorder="1" applyAlignment="1">
      <alignment horizontal="right"/>
    </xf>
    <xf numFmtId="0" fontId="66" fillId="0" borderId="19" xfId="0" applyFont="1" applyBorder="1" applyAlignment="1">
      <alignment horizontal="right" vertical="top" wrapText="1"/>
    </xf>
    <xf numFmtId="0" fontId="66" fillId="0" borderId="19" xfId="0" applyFont="1" applyBorder="1" applyAlignment="1">
      <alignment horizontal="left" vertical="top" wrapText="1"/>
    </xf>
    <xf numFmtId="0" fontId="66" fillId="0" borderId="19" xfId="0" quotePrefix="1" applyFont="1" applyBorder="1" applyAlignment="1">
      <alignment horizontal="right" vertical="top" wrapText="1"/>
    </xf>
    <xf numFmtId="182" fontId="66" fillId="0" borderId="19" xfId="1" applyNumberFormat="1" applyFont="1" applyFill="1" applyBorder="1" applyAlignment="1">
      <alignment horizontal="right"/>
    </xf>
    <xf numFmtId="0" fontId="56" fillId="0" borderId="19" xfId="0" applyFont="1" applyBorder="1" applyAlignment="1">
      <alignment horizontal="justify" vertical="justify"/>
    </xf>
    <xf numFmtId="2" fontId="56" fillId="0" borderId="19" xfId="734" applyNumberFormat="1" applyBorder="1" applyAlignment="1">
      <alignment horizontal="right"/>
    </xf>
    <xf numFmtId="2" fontId="66" fillId="0" borderId="19" xfId="32" applyNumberFormat="1" applyFont="1" applyFill="1" applyBorder="1" applyAlignment="1">
      <alignment horizontal="right"/>
    </xf>
    <xf numFmtId="0" fontId="56" fillId="0" borderId="19" xfId="0" applyFont="1" applyBorder="1" applyAlignment="1">
      <alignment horizontal="right" vertical="top" wrapText="1"/>
    </xf>
    <xf numFmtId="1" fontId="66" fillId="0" borderId="19" xfId="0" applyNumberFormat="1" applyFont="1" applyBorder="1" applyAlignment="1">
      <alignment vertical="center"/>
    </xf>
    <xf numFmtId="0" fontId="88" fillId="0" borderId="19" xfId="0" applyFont="1" applyBorder="1" applyAlignment="1">
      <alignment horizontal="left" vertical="top" wrapText="1"/>
    </xf>
    <xf numFmtId="182" fontId="48" fillId="0" borderId="19" xfId="1" applyNumberFormat="1" applyFont="1" applyFill="1" applyBorder="1" applyAlignment="1">
      <alignment horizontal="right"/>
    </xf>
    <xf numFmtId="0" fontId="66" fillId="0" borderId="19" xfId="0" applyFont="1" applyBorder="1" applyAlignment="1">
      <alignment wrapText="1"/>
    </xf>
    <xf numFmtId="1" fontId="66" fillId="0" borderId="0" xfId="0" applyNumberFormat="1" applyFont="1" applyAlignment="1">
      <alignment vertical="center"/>
    </xf>
    <xf numFmtId="0" fontId="48" fillId="0" borderId="0" xfId="0" applyFont="1" applyAlignment="1">
      <alignment horizontal="left" vertical="top" wrapText="1"/>
    </xf>
    <xf numFmtId="43" fontId="48" fillId="0" borderId="0" xfId="1" applyFont="1" applyFill="1" applyBorder="1"/>
    <xf numFmtId="0" fontId="66" fillId="0" borderId="0" xfId="0" applyFont="1" applyAlignment="1">
      <alignment wrapText="1"/>
    </xf>
    <xf numFmtId="0" fontId="66" fillId="0" borderId="0" xfId="0" applyFont="1"/>
    <xf numFmtId="0" fontId="48" fillId="0" borderId="0" xfId="0" applyFont="1"/>
    <xf numFmtId="43" fontId="66" fillId="0" borderId="19" xfId="0" applyNumberFormat="1" applyFont="1" applyBorder="1"/>
    <xf numFmtId="43" fontId="66" fillId="0" borderId="0" xfId="0" applyNumberFormat="1" applyFont="1"/>
    <xf numFmtId="183" fontId="66" fillId="0" borderId="19" xfId="1" applyNumberFormat="1" applyFont="1" applyFill="1" applyBorder="1" applyAlignment="1"/>
    <xf numFmtId="43" fontId="66" fillId="0" borderId="19" xfId="1" applyFont="1" applyFill="1" applyBorder="1" applyAlignment="1"/>
    <xf numFmtId="43" fontId="66" fillId="0" borderId="0" xfId="1" applyFont="1" applyFill="1" applyBorder="1" applyAlignment="1"/>
    <xf numFmtId="0" fontId="89" fillId="0" borderId="19" xfId="0" quotePrefix="1" applyFont="1" applyBorder="1" applyAlignment="1">
      <alignment wrapText="1"/>
    </xf>
    <xf numFmtId="0" fontId="89" fillId="0" borderId="19" xfId="0" applyFont="1" applyBorder="1" applyAlignment="1">
      <alignment wrapText="1"/>
    </xf>
    <xf numFmtId="0" fontId="89" fillId="0" borderId="19" xfId="0" applyFont="1" applyBorder="1"/>
    <xf numFmtId="0" fontId="53" fillId="0" borderId="0" xfId="0" applyFont="1"/>
    <xf numFmtId="1" fontId="90" fillId="0" borderId="0" xfId="0" applyNumberFormat="1" applyFont="1"/>
    <xf numFmtId="0" fontId="66" fillId="0" borderId="19" xfId="0" applyFont="1" applyBorder="1" applyAlignment="1">
      <alignment vertical="top" wrapText="1"/>
    </xf>
    <xf numFmtId="2" fontId="0" fillId="0" borderId="0" xfId="0" applyNumberFormat="1"/>
    <xf numFmtId="0" fontId="51" fillId="0" borderId="0" xfId="0" applyFont="1" applyAlignment="1">
      <alignment horizontal="right"/>
    </xf>
    <xf numFmtId="0" fontId="51" fillId="0" borderId="0" xfId="0" applyFont="1"/>
    <xf numFmtId="0" fontId="48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1" fillId="0" borderId="0" xfId="0" quotePrefix="1" applyFont="1" applyAlignment="1">
      <alignment horizontal="right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43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5" fillId="32" borderId="32" xfId="0" applyFont="1" applyFill="1" applyBorder="1" applyAlignment="1">
      <alignment horizontal="center" vertical="center"/>
    </xf>
    <xf numFmtId="0" fontId="65" fillId="32" borderId="23" xfId="0" applyFont="1" applyFill="1" applyBorder="1" applyAlignment="1">
      <alignment horizontal="center" vertical="center"/>
    </xf>
    <xf numFmtId="0" fontId="65" fillId="32" borderId="32" xfId="0" applyFont="1" applyFill="1" applyBorder="1" applyAlignment="1">
      <alignment horizontal="center"/>
    </xf>
    <xf numFmtId="43" fontId="66" fillId="0" borderId="19" xfId="0" applyNumberFormat="1" applyFont="1" applyBorder="1" applyAlignment="1">
      <alignment horizontal="center"/>
    </xf>
    <xf numFmtId="43" fontId="66" fillId="0" borderId="19" xfId="1" applyFont="1" applyFill="1" applyBorder="1" applyAlignment="1">
      <alignment horizontal="center"/>
    </xf>
    <xf numFmtId="0" fontId="48" fillId="0" borderId="19" xfId="0" applyFont="1" applyBorder="1" applyAlignment="1">
      <alignment horizontal="center"/>
    </xf>
    <xf numFmtId="0" fontId="79" fillId="0" borderId="13" xfId="0" applyFont="1" applyBorder="1" applyAlignment="1">
      <alignment horizontal="center"/>
    </xf>
    <xf numFmtId="0" fontId="79" fillId="0" borderId="0" xfId="0" applyFont="1" applyAlignment="1">
      <alignment horizontal="center"/>
    </xf>
    <xf numFmtId="0" fontId="80" fillId="0" borderId="38" xfId="0" applyFont="1" applyBorder="1" applyAlignment="1">
      <alignment horizontal="center"/>
    </xf>
    <xf numFmtId="0" fontId="80" fillId="0" borderId="37" xfId="0" applyFont="1" applyBorder="1" applyAlignment="1">
      <alignment horizontal="center"/>
    </xf>
    <xf numFmtId="0" fontId="82" fillId="0" borderId="35" xfId="0" applyFont="1" applyBorder="1" applyAlignment="1">
      <alignment horizontal="center" vertical="center" wrapText="1"/>
    </xf>
    <xf numFmtId="0" fontId="82" fillId="0" borderId="36" xfId="0" applyFont="1" applyBorder="1" applyAlignment="1">
      <alignment horizontal="center" vertical="center" wrapText="1"/>
    </xf>
    <xf numFmtId="0" fontId="82" fillId="0" borderId="35" xfId="0" applyFont="1" applyBorder="1" applyAlignment="1">
      <alignment horizontal="center" vertical="center"/>
    </xf>
    <xf numFmtId="0" fontId="82" fillId="0" borderId="36" xfId="0" applyFont="1" applyBorder="1" applyAlignment="1">
      <alignment horizontal="center" vertical="center"/>
    </xf>
  </cellXfs>
  <cellStyles count="759">
    <cellStyle name="??" xfId="476" xr:uid="{00000000-0005-0000-0000-000000000000}"/>
    <cellStyle name="?? [0.00]_PERSONAL" xfId="477" xr:uid="{00000000-0005-0000-0000-000001000000}"/>
    <cellStyle name="???? [0.00]_PERSONAL" xfId="478" xr:uid="{00000000-0005-0000-0000-000002000000}"/>
    <cellStyle name="????_PERSONAL" xfId="479" xr:uid="{00000000-0005-0000-0000-000003000000}"/>
    <cellStyle name="??_PERSONAL" xfId="480" xr:uid="{00000000-0005-0000-0000-000004000000}"/>
    <cellStyle name="20% - Accent1 10" xfId="457" xr:uid="{00000000-0005-0000-0000-000005000000}"/>
    <cellStyle name="20% - Accent1 11" xfId="592" xr:uid="{00000000-0005-0000-0000-000006000000}"/>
    <cellStyle name="20% - Accent1 12" xfId="638" xr:uid="{00000000-0005-0000-0000-000007000000}"/>
    <cellStyle name="20% - Accent1 13" xfId="724" xr:uid="{00000000-0005-0000-0000-000008000000}"/>
    <cellStyle name="20% - Accent1 2" xfId="2" xr:uid="{00000000-0005-0000-0000-000009000000}"/>
    <cellStyle name="20% - Accent1 3" xfId="138" xr:uid="{00000000-0005-0000-0000-00000A000000}"/>
    <cellStyle name="20% - Accent1 4" xfId="209" xr:uid="{00000000-0005-0000-0000-00000B000000}"/>
    <cellStyle name="20% - Accent1 5" xfId="241" xr:uid="{00000000-0005-0000-0000-00000C000000}"/>
    <cellStyle name="20% - Accent1 6" xfId="267" xr:uid="{00000000-0005-0000-0000-00000D000000}"/>
    <cellStyle name="20% - Accent1 7" xfId="328" xr:uid="{00000000-0005-0000-0000-00000E000000}"/>
    <cellStyle name="20% - Accent1 8" xfId="370" xr:uid="{00000000-0005-0000-0000-00000F000000}"/>
    <cellStyle name="20% - Accent1 9" xfId="396" xr:uid="{00000000-0005-0000-0000-000010000000}"/>
    <cellStyle name="20% - Accent2 10" xfId="467" xr:uid="{00000000-0005-0000-0000-000011000000}"/>
    <cellStyle name="20% - Accent2 11" xfId="593" xr:uid="{00000000-0005-0000-0000-000012000000}"/>
    <cellStyle name="20% - Accent2 12" xfId="639" xr:uid="{00000000-0005-0000-0000-000013000000}"/>
    <cellStyle name="20% - Accent2 13" xfId="723" xr:uid="{00000000-0005-0000-0000-000014000000}"/>
    <cellStyle name="20% - Accent2 2" xfId="3" xr:uid="{00000000-0005-0000-0000-000015000000}"/>
    <cellStyle name="20% - Accent2 3" xfId="139" xr:uid="{00000000-0005-0000-0000-000016000000}"/>
    <cellStyle name="20% - Accent2 4" xfId="222" xr:uid="{00000000-0005-0000-0000-000017000000}"/>
    <cellStyle name="20% - Accent2 5" xfId="251" xr:uid="{00000000-0005-0000-0000-000018000000}"/>
    <cellStyle name="20% - Accent2 6" xfId="268" xr:uid="{00000000-0005-0000-0000-000019000000}"/>
    <cellStyle name="20% - Accent2 7" xfId="340" xr:uid="{00000000-0005-0000-0000-00001A000000}"/>
    <cellStyle name="20% - Accent2 8" xfId="380" xr:uid="{00000000-0005-0000-0000-00001B000000}"/>
    <cellStyle name="20% - Accent2 9" xfId="397" xr:uid="{00000000-0005-0000-0000-00001C000000}"/>
    <cellStyle name="20% - Accent3 10" xfId="456" xr:uid="{00000000-0005-0000-0000-00001D000000}"/>
    <cellStyle name="20% - Accent3 11" xfId="594" xr:uid="{00000000-0005-0000-0000-00001E000000}"/>
    <cellStyle name="20% - Accent3 12" xfId="640" xr:uid="{00000000-0005-0000-0000-00001F000000}"/>
    <cellStyle name="20% - Accent3 13" xfId="722" xr:uid="{00000000-0005-0000-0000-000020000000}"/>
    <cellStyle name="20% - Accent3 2" xfId="4" xr:uid="{00000000-0005-0000-0000-000021000000}"/>
    <cellStyle name="20% - Accent3 3" xfId="140" xr:uid="{00000000-0005-0000-0000-000022000000}"/>
    <cellStyle name="20% - Accent3 4" xfId="208" xr:uid="{00000000-0005-0000-0000-000023000000}"/>
    <cellStyle name="20% - Accent3 5" xfId="240" xr:uid="{00000000-0005-0000-0000-000024000000}"/>
    <cellStyle name="20% - Accent3 6" xfId="269" xr:uid="{00000000-0005-0000-0000-000025000000}"/>
    <cellStyle name="20% - Accent3 7" xfId="327" xr:uid="{00000000-0005-0000-0000-000026000000}"/>
    <cellStyle name="20% - Accent3 8" xfId="369" xr:uid="{00000000-0005-0000-0000-000027000000}"/>
    <cellStyle name="20% - Accent3 9" xfId="398" xr:uid="{00000000-0005-0000-0000-000028000000}"/>
    <cellStyle name="20% - Accent4 10" xfId="455" xr:uid="{00000000-0005-0000-0000-000029000000}"/>
    <cellStyle name="20% - Accent4 11" xfId="595" xr:uid="{00000000-0005-0000-0000-00002A000000}"/>
    <cellStyle name="20% - Accent4 12" xfId="641" xr:uid="{00000000-0005-0000-0000-00002B000000}"/>
    <cellStyle name="20% - Accent4 13" xfId="721" xr:uid="{00000000-0005-0000-0000-00002C000000}"/>
    <cellStyle name="20% - Accent4 2" xfId="5" xr:uid="{00000000-0005-0000-0000-00002D000000}"/>
    <cellStyle name="20% - Accent4 3" xfId="141" xr:uid="{00000000-0005-0000-0000-00002E000000}"/>
    <cellStyle name="20% - Accent4 4" xfId="207" xr:uid="{00000000-0005-0000-0000-00002F000000}"/>
    <cellStyle name="20% - Accent4 5" xfId="239" xr:uid="{00000000-0005-0000-0000-000030000000}"/>
    <cellStyle name="20% - Accent4 6" xfId="270" xr:uid="{00000000-0005-0000-0000-000031000000}"/>
    <cellStyle name="20% - Accent4 7" xfId="326" xr:uid="{00000000-0005-0000-0000-000032000000}"/>
    <cellStyle name="20% - Accent4 8" xfId="368" xr:uid="{00000000-0005-0000-0000-000033000000}"/>
    <cellStyle name="20% - Accent4 9" xfId="399" xr:uid="{00000000-0005-0000-0000-000034000000}"/>
    <cellStyle name="20% - Accent5 10" xfId="452" xr:uid="{00000000-0005-0000-0000-000035000000}"/>
    <cellStyle name="20% - Accent5 11" xfId="596" xr:uid="{00000000-0005-0000-0000-000036000000}"/>
    <cellStyle name="20% - Accent5 12" xfId="642" xr:uid="{00000000-0005-0000-0000-000037000000}"/>
    <cellStyle name="20% - Accent5 13" xfId="720" xr:uid="{00000000-0005-0000-0000-000038000000}"/>
    <cellStyle name="20% - Accent5 2" xfId="6" xr:uid="{00000000-0005-0000-0000-000039000000}"/>
    <cellStyle name="20% - Accent5 3" xfId="142" xr:uid="{00000000-0005-0000-0000-00003A000000}"/>
    <cellStyle name="20% - Accent5 4" xfId="204" xr:uid="{00000000-0005-0000-0000-00003B000000}"/>
    <cellStyle name="20% - Accent5 5" xfId="236" xr:uid="{00000000-0005-0000-0000-00003C000000}"/>
    <cellStyle name="20% - Accent5 6" xfId="271" xr:uid="{00000000-0005-0000-0000-00003D000000}"/>
    <cellStyle name="20% - Accent5 7" xfId="325" xr:uid="{00000000-0005-0000-0000-00003E000000}"/>
    <cellStyle name="20% - Accent5 8" xfId="365" xr:uid="{00000000-0005-0000-0000-00003F000000}"/>
    <cellStyle name="20% - Accent5 9" xfId="400" xr:uid="{00000000-0005-0000-0000-000040000000}"/>
    <cellStyle name="20% - Accent6 10" xfId="451" xr:uid="{00000000-0005-0000-0000-000041000000}"/>
    <cellStyle name="20% - Accent6 11" xfId="597" xr:uid="{00000000-0005-0000-0000-000042000000}"/>
    <cellStyle name="20% - Accent6 12" xfId="643" xr:uid="{00000000-0005-0000-0000-000043000000}"/>
    <cellStyle name="20% - Accent6 13" xfId="719" xr:uid="{00000000-0005-0000-0000-000044000000}"/>
    <cellStyle name="20% - Accent6 2" xfId="7" xr:uid="{00000000-0005-0000-0000-000045000000}"/>
    <cellStyle name="20% - Accent6 3" xfId="143" xr:uid="{00000000-0005-0000-0000-000046000000}"/>
    <cellStyle name="20% - Accent6 4" xfId="231" xr:uid="{00000000-0005-0000-0000-000047000000}"/>
    <cellStyle name="20% - Accent6 5" xfId="260" xr:uid="{00000000-0005-0000-0000-000048000000}"/>
    <cellStyle name="20% - Accent6 6" xfId="272" xr:uid="{00000000-0005-0000-0000-000049000000}"/>
    <cellStyle name="20% - Accent6 7" xfId="324" xr:uid="{00000000-0005-0000-0000-00004A000000}"/>
    <cellStyle name="20% - Accent6 8" xfId="389" xr:uid="{00000000-0005-0000-0000-00004B000000}"/>
    <cellStyle name="20% - Accent6 9" xfId="401" xr:uid="{00000000-0005-0000-0000-00004C000000}"/>
    <cellStyle name="40% - Accent1 10" xfId="466" xr:uid="{00000000-0005-0000-0000-00004D000000}"/>
    <cellStyle name="40% - Accent1 11" xfId="598" xr:uid="{00000000-0005-0000-0000-00004E000000}"/>
    <cellStyle name="40% - Accent1 12" xfId="644" xr:uid="{00000000-0005-0000-0000-00004F000000}"/>
    <cellStyle name="40% - Accent1 13" xfId="718" xr:uid="{00000000-0005-0000-0000-000050000000}"/>
    <cellStyle name="40% - Accent1 2" xfId="8" xr:uid="{00000000-0005-0000-0000-000051000000}"/>
    <cellStyle name="40% - Accent1 3" xfId="144" xr:uid="{00000000-0005-0000-0000-000052000000}"/>
    <cellStyle name="40% - Accent1 4" xfId="203" xr:uid="{00000000-0005-0000-0000-000053000000}"/>
    <cellStyle name="40% - Accent1 5" xfId="235" xr:uid="{00000000-0005-0000-0000-000054000000}"/>
    <cellStyle name="40% - Accent1 6" xfId="273" xr:uid="{00000000-0005-0000-0000-000055000000}"/>
    <cellStyle name="40% - Accent1 7" xfId="348" xr:uid="{00000000-0005-0000-0000-000056000000}"/>
    <cellStyle name="40% - Accent1 8" xfId="364" xr:uid="{00000000-0005-0000-0000-000057000000}"/>
    <cellStyle name="40% - Accent1 9" xfId="402" xr:uid="{00000000-0005-0000-0000-000058000000}"/>
    <cellStyle name="40% - Accent2 10" xfId="450" xr:uid="{00000000-0005-0000-0000-000059000000}"/>
    <cellStyle name="40% - Accent2 11" xfId="599" xr:uid="{00000000-0005-0000-0000-00005A000000}"/>
    <cellStyle name="40% - Accent2 12" xfId="645" xr:uid="{00000000-0005-0000-0000-00005B000000}"/>
    <cellStyle name="40% - Accent2 13" xfId="717" xr:uid="{00000000-0005-0000-0000-00005C000000}"/>
    <cellStyle name="40% - Accent2 2" xfId="9" xr:uid="{00000000-0005-0000-0000-00005D000000}"/>
    <cellStyle name="40% - Accent2 3" xfId="145" xr:uid="{00000000-0005-0000-0000-00005E000000}"/>
    <cellStyle name="40% - Accent2 4" xfId="221" xr:uid="{00000000-0005-0000-0000-00005F000000}"/>
    <cellStyle name="40% - Accent2 5" xfId="250" xr:uid="{00000000-0005-0000-0000-000060000000}"/>
    <cellStyle name="40% - Accent2 6" xfId="274" xr:uid="{00000000-0005-0000-0000-000061000000}"/>
    <cellStyle name="40% - Accent2 7" xfId="351" xr:uid="{00000000-0005-0000-0000-000062000000}"/>
    <cellStyle name="40% - Accent2 8" xfId="379" xr:uid="{00000000-0005-0000-0000-000063000000}"/>
    <cellStyle name="40% - Accent2 9" xfId="403" xr:uid="{00000000-0005-0000-0000-000064000000}"/>
    <cellStyle name="40% - Accent3 10" xfId="449" xr:uid="{00000000-0005-0000-0000-000065000000}"/>
    <cellStyle name="40% - Accent3 11" xfId="600" xr:uid="{00000000-0005-0000-0000-000066000000}"/>
    <cellStyle name="40% - Accent3 12" xfId="646" xr:uid="{00000000-0005-0000-0000-000067000000}"/>
    <cellStyle name="40% - Accent3 13" xfId="716" xr:uid="{00000000-0005-0000-0000-000068000000}"/>
    <cellStyle name="40% - Accent3 2" xfId="10" xr:uid="{00000000-0005-0000-0000-000069000000}"/>
    <cellStyle name="40% - Accent3 3" xfId="146" xr:uid="{00000000-0005-0000-0000-00006A000000}"/>
    <cellStyle name="40% - Accent3 4" xfId="202" xr:uid="{00000000-0005-0000-0000-00006B000000}"/>
    <cellStyle name="40% - Accent3 5" xfId="234" xr:uid="{00000000-0005-0000-0000-00006C000000}"/>
    <cellStyle name="40% - Accent3 6" xfId="275" xr:uid="{00000000-0005-0000-0000-00006D000000}"/>
    <cellStyle name="40% - Accent3 7" xfId="347" xr:uid="{00000000-0005-0000-0000-00006E000000}"/>
    <cellStyle name="40% - Accent3 8" xfId="363" xr:uid="{00000000-0005-0000-0000-00006F000000}"/>
    <cellStyle name="40% - Accent3 9" xfId="404" xr:uid="{00000000-0005-0000-0000-000070000000}"/>
    <cellStyle name="40% - Accent4 10" xfId="469" xr:uid="{00000000-0005-0000-0000-000071000000}"/>
    <cellStyle name="40% - Accent4 11" xfId="601" xr:uid="{00000000-0005-0000-0000-000072000000}"/>
    <cellStyle name="40% - Accent4 12" xfId="647" xr:uid="{00000000-0005-0000-0000-000073000000}"/>
    <cellStyle name="40% - Accent4 13" xfId="715" xr:uid="{00000000-0005-0000-0000-000074000000}"/>
    <cellStyle name="40% - Accent4 2" xfId="11" xr:uid="{00000000-0005-0000-0000-000075000000}"/>
    <cellStyle name="40% - Accent4 3" xfId="147" xr:uid="{00000000-0005-0000-0000-000076000000}"/>
    <cellStyle name="40% - Accent4 4" xfId="201" xr:uid="{00000000-0005-0000-0000-000077000000}"/>
    <cellStyle name="40% - Accent4 5" xfId="233" xr:uid="{00000000-0005-0000-0000-000078000000}"/>
    <cellStyle name="40% - Accent4 6" xfId="276" xr:uid="{00000000-0005-0000-0000-000079000000}"/>
    <cellStyle name="40% - Accent4 7" xfId="323" xr:uid="{00000000-0005-0000-0000-00007A000000}"/>
    <cellStyle name="40% - Accent4 8" xfId="362" xr:uid="{00000000-0005-0000-0000-00007B000000}"/>
    <cellStyle name="40% - Accent4 9" xfId="405" xr:uid="{00000000-0005-0000-0000-00007C000000}"/>
    <cellStyle name="40% - Accent5 10" xfId="448" xr:uid="{00000000-0005-0000-0000-00007D000000}"/>
    <cellStyle name="40% - Accent5 11" xfId="602" xr:uid="{00000000-0005-0000-0000-00007E000000}"/>
    <cellStyle name="40% - Accent5 12" xfId="648" xr:uid="{00000000-0005-0000-0000-00007F000000}"/>
    <cellStyle name="40% - Accent5 13" xfId="714" xr:uid="{00000000-0005-0000-0000-000080000000}"/>
    <cellStyle name="40% - Accent5 2" xfId="12" xr:uid="{00000000-0005-0000-0000-000081000000}"/>
    <cellStyle name="40% - Accent5 3" xfId="148" xr:uid="{00000000-0005-0000-0000-000082000000}"/>
    <cellStyle name="40% - Accent5 4" xfId="224" xr:uid="{00000000-0005-0000-0000-000083000000}"/>
    <cellStyle name="40% - Accent5 5" xfId="253" xr:uid="{00000000-0005-0000-0000-000084000000}"/>
    <cellStyle name="40% - Accent5 6" xfId="277" xr:uid="{00000000-0005-0000-0000-000085000000}"/>
    <cellStyle name="40% - Accent5 7" xfId="322" xr:uid="{00000000-0005-0000-0000-000086000000}"/>
    <cellStyle name="40% - Accent5 8" xfId="382" xr:uid="{00000000-0005-0000-0000-000087000000}"/>
    <cellStyle name="40% - Accent5 9" xfId="406" xr:uid="{00000000-0005-0000-0000-000088000000}"/>
    <cellStyle name="40% - Accent6 10" xfId="465" xr:uid="{00000000-0005-0000-0000-000089000000}"/>
    <cellStyle name="40% - Accent6 11" xfId="603" xr:uid="{00000000-0005-0000-0000-00008A000000}"/>
    <cellStyle name="40% - Accent6 12" xfId="649" xr:uid="{00000000-0005-0000-0000-00008B000000}"/>
    <cellStyle name="40% - Accent6 13" xfId="713" xr:uid="{00000000-0005-0000-0000-00008C000000}"/>
    <cellStyle name="40% - Accent6 2" xfId="13" xr:uid="{00000000-0005-0000-0000-00008D000000}"/>
    <cellStyle name="40% - Accent6 3" xfId="149" xr:uid="{00000000-0005-0000-0000-00008E000000}"/>
    <cellStyle name="40% - Accent6 4" xfId="200" xr:uid="{00000000-0005-0000-0000-00008F000000}"/>
    <cellStyle name="40% - Accent6 5" xfId="232" xr:uid="{00000000-0005-0000-0000-000090000000}"/>
    <cellStyle name="40% - Accent6 6" xfId="278" xr:uid="{00000000-0005-0000-0000-000091000000}"/>
    <cellStyle name="40% - Accent6 7" xfId="321" xr:uid="{00000000-0005-0000-0000-000092000000}"/>
    <cellStyle name="40% - Accent6 8" xfId="361" xr:uid="{00000000-0005-0000-0000-000093000000}"/>
    <cellStyle name="40% - Accent6 9" xfId="407" xr:uid="{00000000-0005-0000-0000-000094000000}"/>
    <cellStyle name="60% - Accent1 10" xfId="447" xr:uid="{00000000-0005-0000-0000-000095000000}"/>
    <cellStyle name="60% - Accent1 11" xfId="604" xr:uid="{00000000-0005-0000-0000-000096000000}"/>
    <cellStyle name="60% - Accent1 12" xfId="650" xr:uid="{00000000-0005-0000-0000-000097000000}"/>
    <cellStyle name="60% - Accent1 13" xfId="712" xr:uid="{00000000-0005-0000-0000-000098000000}"/>
    <cellStyle name="60% - Accent1 2" xfId="14" xr:uid="{00000000-0005-0000-0000-000099000000}"/>
    <cellStyle name="60% - Accent1 3" xfId="150" xr:uid="{00000000-0005-0000-0000-00009A000000}"/>
    <cellStyle name="60% - Accent1 4" xfId="220" xr:uid="{00000000-0005-0000-0000-00009B000000}"/>
    <cellStyle name="60% - Accent1 5" xfId="249" xr:uid="{00000000-0005-0000-0000-00009C000000}"/>
    <cellStyle name="60% - Accent1 6" xfId="279" xr:uid="{00000000-0005-0000-0000-00009D000000}"/>
    <cellStyle name="60% - Accent1 7" xfId="339" xr:uid="{00000000-0005-0000-0000-00009E000000}"/>
    <cellStyle name="60% - Accent1 8" xfId="378" xr:uid="{00000000-0005-0000-0000-00009F000000}"/>
    <cellStyle name="60% - Accent1 9" xfId="408" xr:uid="{00000000-0005-0000-0000-0000A0000000}"/>
    <cellStyle name="60% - Accent2 10" xfId="446" xr:uid="{00000000-0005-0000-0000-0000A1000000}"/>
    <cellStyle name="60% - Accent2 11" xfId="605" xr:uid="{00000000-0005-0000-0000-0000A2000000}"/>
    <cellStyle name="60% - Accent2 12" xfId="651" xr:uid="{00000000-0005-0000-0000-0000A3000000}"/>
    <cellStyle name="60% - Accent2 13" xfId="711" xr:uid="{00000000-0005-0000-0000-0000A4000000}"/>
    <cellStyle name="60% - Accent2 2" xfId="15" xr:uid="{00000000-0005-0000-0000-0000A5000000}"/>
    <cellStyle name="60% - Accent2 3" xfId="151" xr:uid="{00000000-0005-0000-0000-0000A6000000}"/>
    <cellStyle name="60% - Accent2 4" xfId="199" xr:uid="{00000000-0005-0000-0000-0000A7000000}"/>
    <cellStyle name="60% - Accent2 5" xfId="165" xr:uid="{00000000-0005-0000-0000-0000A8000000}"/>
    <cellStyle name="60% - Accent2 6" xfId="280" xr:uid="{00000000-0005-0000-0000-0000A9000000}"/>
    <cellStyle name="60% - Accent2 7" xfId="320" xr:uid="{00000000-0005-0000-0000-0000AA000000}"/>
    <cellStyle name="60% - Accent2 8" xfId="360" xr:uid="{00000000-0005-0000-0000-0000AB000000}"/>
    <cellStyle name="60% - Accent2 9" xfId="409" xr:uid="{00000000-0005-0000-0000-0000AC000000}"/>
    <cellStyle name="60% - Accent3 10" xfId="445" xr:uid="{00000000-0005-0000-0000-0000AD000000}"/>
    <cellStyle name="60% - Accent3 11" xfId="606" xr:uid="{00000000-0005-0000-0000-0000AE000000}"/>
    <cellStyle name="60% - Accent3 12" xfId="652" xr:uid="{00000000-0005-0000-0000-0000AF000000}"/>
    <cellStyle name="60% - Accent3 13" xfId="710" xr:uid="{00000000-0005-0000-0000-0000B0000000}"/>
    <cellStyle name="60% - Accent3 2" xfId="16" xr:uid="{00000000-0005-0000-0000-0000B1000000}"/>
    <cellStyle name="60% - Accent3 3" xfId="152" xr:uid="{00000000-0005-0000-0000-0000B2000000}"/>
    <cellStyle name="60% - Accent3 4" xfId="198" xr:uid="{00000000-0005-0000-0000-0000B3000000}"/>
    <cellStyle name="60% - Accent3 5" xfId="166" xr:uid="{00000000-0005-0000-0000-0000B4000000}"/>
    <cellStyle name="60% - Accent3 6" xfId="281" xr:uid="{00000000-0005-0000-0000-0000B5000000}"/>
    <cellStyle name="60% - Accent3 7" xfId="350" xr:uid="{00000000-0005-0000-0000-0000B6000000}"/>
    <cellStyle name="60% - Accent3 8" xfId="359" xr:uid="{00000000-0005-0000-0000-0000B7000000}"/>
    <cellStyle name="60% - Accent3 9" xfId="410" xr:uid="{00000000-0005-0000-0000-0000B8000000}"/>
    <cellStyle name="60% - Accent4 10" xfId="444" xr:uid="{00000000-0005-0000-0000-0000B9000000}"/>
    <cellStyle name="60% - Accent4 11" xfId="607" xr:uid="{00000000-0005-0000-0000-0000BA000000}"/>
    <cellStyle name="60% - Accent4 12" xfId="653" xr:uid="{00000000-0005-0000-0000-0000BB000000}"/>
    <cellStyle name="60% - Accent4 13" xfId="698" xr:uid="{00000000-0005-0000-0000-0000BC000000}"/>
    <cellStyle name="60% - Accent4 2" xfId="17" xr:uid="{00000000-0005-0000-0000-0000BD000000}"/>
    <cellStyle name="60% - Accent4 3" xfId="153" xr:uid="{00000000-0005-0000-0000-0000BE000000}"/>
    <cellStyle name="60% - Accent4 4" xfId="197" xr:uid="{00000000-0005-0000-0000-0000BF000000}"/>
    <cellStyle name="60% - Accent4 5" xfId="167" xr:uid="{00000000-0005-0000-0000-0000C0000000}"/>
    <cellStyle name="60% - Accent4 6" xfId="282" xr:uid="{00000000-0005-0000-0000-0000C1000000}"/>
    <cellStyle name="60% - Accent4 7" xfId="319" xr:uid="{00000000-0005-0000-0000-0000C2000000}"/>
    <cellStyle name="60% - Accent4 8" xfId="358" xr:uid="{00000000-0005-0000-0000-0000C3000000}"/>
    <cellStyle name="60% - Accent4 9" xfId="411" xr:uid="{00000000-0005-0000-0000-0000C4000000}"/>
    <cellStyle name="60% - Accent5 10" xfId="471" xr:uid="{00000000-0005-0000-0000-0000C5000000}"/>
    <cellStyle name="60% - Accent5 11" xfId="608" xr:uid="{00000000-0005-0000-0000-0000C6000000}"/>
    <cellStyle name="60% - Accent5 12" xfId="654" xr:uid="{00000000-0005-0000-0000-0000C7000000}"/>
    <cellStyle name="60% - Accent5 13" xfId="688" xr:uid="{00000000-0005-0000-0000-0000C8000000}"/>
    <cellStyle name="60% - Accent5 2" xfId="18" xr:uid="{00000000-0005-0000-0000-0000C9000000}"/>
    <cellStyle name="60% - Accent5 3" xfId="154" xr:uid="{00000000-0005-0000-0000-0000CA000000}"/>
    <cellStyle name="60% - Accent5 4" xfId="196" xr:uid="{00000000-0005-0000-0000-0000CB000000}"/>
    <cellStyle name="60% - Accent5 5" xfId="213" xr:uid="{00000000-0005-0000-0000-0000CC000000}"/>
    <cellStyle name="60% - Accent5 6" xfId="283" xr:uid="{00000000-0005-0000-0000-0000CD000000}"/>
    <cellStyle name="60% - Accent5 7" xfId="349" xr:uid="{00000000-0005-0000-0000-0000CE000000}"/>
    <cellStyle name="60% - Accent5 8" xfId="357" xr:uid="{00000000-0005-0000-0000-0000CF000000}"/>
    <cellStyle name="60% - Accent5 9" xfId="412" xr:uid="{00000000-0005-0000-0000-0000D0000000}"/>
    <cellStyle name="60% - Accent6 10" xfId="474" xr:uid="{00000000-0005-0000-0000-0000D1000000}"/>
    <cellStyle name="60% - Accent6 11" xfId="609" xr:uid="{00000000-0005-0000-0000-0000D2000000}"/>
    <cellStyle name="60% - Accent6 12" xfId="655" xr:uid="{00000000-0005-0000-0000-0000D3000000}"/>
    <cellStyle name="60% - Accent6 13" xfId="693" xr:uid="{00000000-0005-0000-0000-0000D4000000}"/>
    <cellStyle name="60% - Accent6 2" xfId="19" xr:uid="{00000000-0005-0000-0000-0000D5000000}"/>
    <cellStyle name="60% - Accent6 3" xfId="155" xr:uid="{00000000-0005-0000-0000-0000D6000000}"/>
    <cellStyle name="60% - Accent6 4" xfId="227" xr:uid="{00000000-0005-0000-0000-0000D7000000}"/>
    <cellStyle name="60% - Accent6 5" xfId="256" xr:uid="{00000000-0005-0000-0000-0000D8000000}"/>
    <cellStyle name="60% - Accent6 6" xfId="284" xr:uid="{00000000-0005-0000-0000-0000D9000000}"/>
    <cellStyle name="60% - Accent6 7" xfId="318" xr:uid="{00000000-0005-0000-0000-0000DA000000}"/>
    <cellStyle name="60% - Accent6 8" xfId="385" xr:uid="{00000000-0005-0000-0000-0000DB000000}"/>
    <cellStyle name="60% - Accent6 9" xfId="413" xr:uid="{00000000-0005-0000-0000-0000DC000000}"/>
    <cellStyle name="Accent1 10" xfId="470" xr:uid="{00000000-0005-0000-0000-0000DD000000}"/>
    <cellStyle name="Accent1 11" xfId="610" xr:uid="{00000000-0005-0000-0000-0000DE000000}"/>
    <cellStyle name="Accent1 12" xfId="656" xr:uid="{00000000-0005-0000-0000-0000DF000000}"/>
    <cellStyle name="Accent1 13" xfId="687" xr:uid="{00000000-0005-0000-0000-0000E0000000}"/>
    <cellStyle name="Accent1 2" xfId="20" xr:uid="{00000000-0005-0000-0000-0000E1000000}"/>
    <cellStyle name="Accent1 3" xfId="156" xr:uid="{00000000-0005-0000-0000-0000E2000000}"/>
    <cellStyle name="Accent1 4" xfId="229" xr:uid="{00000000-0005-0000-0000-0000E3000000}"/>
    <cellStyle name="Accent1 5" xfId="258" xr:uid="{00000000-0005-0000-0000-0000E4000000}"/>
    <cellStyle name="Accent1 6" xfId="285" xr:uid="{00000000-0005-0000-0000-0000E5000000}"/>
    <cellStyle name="Accent1 7" xfId="317" xr:uid="{00000000-0005-0000-0000-0000E6000000}"/>
    <cellStyle name="Accent1 8" xfId="387" xr:uid="{00000000-0005-0000-0000-0000E7000000}"/>
    <cellStyle name="Accent1 9" xfId="414" xr:uid="{00000000-0005-0000-0000-0000E8000000}"/>
    <cellStyle name="Accent2 10" xfId="443" xr:uid="{00000000-0005-0000-0000-0000E9000000}"/>
    <cellStyle name="Accent2 11" xfId="611" xr:uid="{00000000-0005-0000-0000-0000EA000000}"/>
    <cellStyle name="Accent2 12" xfId="657" xr:uid="{00000000-0005-0000-0000-0000EB000000}"/>
    <cellStyle name="Accent2 13" xfId="686" xr:uid="{00000000-0005-0000-0000-0000EC000000}"/>
    <cellStyle name="Accent2 2" xfId="21" xr:uid="{00000000-0005-0000-0000-0000ED000000}"/>
    <cellStyle name="Accent2 3" xfId="157" xr:uid="{00000000-0005-0000-0000-0000EE000000}"/>
    <cellStyle name="Accent2 4" xfId="226" xr:uid="{00000000-0005-0000-0000-0000EF000000}"/>
    <cellStyle name="Accent2 5" xfId="255" xr:uid="{00000000-0005-0000-0000-0000F0000000}"/>
    <cellStyle name="Accent2 6" xfId="286" xr:uid="{00000000-0005-0000-0000-0000F1000000}"/>
    <cellStyle name="Accent2 7" xfId="345" xr:uid="{00000000-0005-0000-0000-0000F2000000}"/>
    <cellStyle name="Accent2 8" xfId="384" xr:uid="{00000000-0005-0000-0000-0000F3000000}"/>
    <cellStyle name="Accent2 9" xfId="415" xr:uid="{00000000-0005-0000-0000-0000F4000000}"/>
    <cellStyle name="Accent3 10" xfId="442" xr:uid="{00000000-0005-0000-0000-0000F5000000}"/>
    <cellStyle name="Accent3 11" xfId="612" xr:uid="{00000000-0005-0000-0000-0000F6000000}"/>
    <cellStyle name="Accent3 12" xfId="658" xr:uid="{00000000-0005-0000-0000-0000F7000000}"/>
    <cellStyle name="Accent3 13" xfId="683" xr:uid="{00000000-0005-0000-0000-0000F8000000}"/>
    <cellStyle name="Accent3 2" xfId="22" xr:uid="{00000000-0005-0000-0000-0000F9000000}"/>
    <cellStyle name="Accent3 3" xfId="158" xr:uid="{00000000-0005-0000-0000-0000FA000000}"/>
    <cellStyle name="Accent3 4" xfId="195" xr:uid="{00000000-0005-0000-0000-0000FB000000}"/>
    <cellStyle name="Accent3 5" xfId="168" xr:uid="{00000000-0005-0000-0000-0000FC000000}"/>
    <cellStyle name="Accent3 6" xfId="287" xr:uid="{00000000-0005-0000-0000-0000FD000000}"/>
    <cellStyle name="Accent3 7" xfId="344" xr:uid="{00000000-0005-0000-0000-0000FE000000}"/>
    <cellStyle name="Accent3 8" xfId="356" xr:uid="{00000000-0005-0000-0000-0000FF000000}"/>
    <cellStyle name="Accent3 9" xfId="416" xr:uid="{00000000-0005-0000-0000-000000010000}"/>
    <cellStyle name="Accent4 10" xfId="441" xr:uid="{00000000-0005-0000-0000-000001010000}"/>
    <cellStyle name="Accent4 11" xfId="613" xr:uid="{00000000-0005-0000-0000-000002010000}"/>
    <cellStyle name="Accent4 12" xfId="659" xr:uid="{00000000-0005-0000-0000-000003010000}"/>
    <cellStyle name="Accent4 13" xfId="709" xr:uid="{00000000-0005-0000-0000-000004010000}"/>
    <cellStyle name="Accent4 2" xfId="23" xr:uid="{00000000-0005-0000-0000-000005010000}"/>
    <cellStyle name="Accent4 3" xfId="159" xr:uid="{00000000-0005-0000-0000-000006010000}"/>
    <cellStyle name="Accent4 4" xfId="194" xr:uid="{00000000-0005-0000-0000-000007010000}"/>
    <cellStyle name="Accent4 5" xfId="169" xr:uid="{00000000-0005-0000-0000-000008010000}"/>
    <cellStyle name="Accent4 6" xfId="288" xr:uid="{00000000-0005-0000-0000-000009010000}"/>
    <cellStyle name="Accent4 7" xfId="316" xr:uid="{00000000-0005-0000-0000-00000A010000}"/>
    <cellStyle name="Accent4 8" xfId="355" xr:uid="{00000000-0005-0000-0000-00000B010000}"/>
    <cellStyle name="Accent4 9" xfId="417" xr:uid="{00000000-0005-0000-0000-00000C010000}"/>
    <cellStyle name="Accent5 10" xfId="464" xr:uid="{00000000-0005-0000-0000-00000D010000}"/>
    <cellStyle name="Accent5 11" xfId="614" xr:uid="{00000000-0005-0000-0000-00000E010000}"/>
    <cellStyle name="Accent5 12" xfId="660" xr:uid="{00000000-0005-0000-0000-00000F010000}"/>
    <cellStyle name="Accent5 13" xfId="682" xr:uid="{00000000-0005-0000-0000-000010010000}"/>
    <cellStyle name="Accent5 2" xfId="24" xr:uid="{00000000-0005-0000-0000-000011010000}"/>
    <cellStyle name="Accent5 3" xfId="160" xr:uid="{00000000-0005-0000-0000-000012010000}"/>
    <cellStyle name="Accent5 4" xfId="193" xr:uid="{00000000-0005-0000-0000-000013010000}"/>
    <cellStyle name="Accent5 5" xfId="170" xr:uid="{00000000-0005-0000-0000-000014010000}"/>
    <cellStyle name="Accent5 6" xfId="289" xr:uid="{00000000-0005-0000-0000-000015010000}"/>
    <cellStyle name="Accent5 7" xfId="315" xr:uid="{00000000-0005-0000-0000-000016010000}"/>
    <cellStyle name="Accent5 8" xfId="354" xr:uid="{00000000-0005-0000-0000-000017010000}"/>
    <cellStyle name="Accent5 9" xfId="418" xr:uid="{00000000-0005-0000-0000-000018010000}"/>
    <cellStyle name="Accent6 10" xfId="440" xr:uid="{00000000-0005-0000-0000-000019010000}"/>
    <cellStyle name="Accent6 11" xfId="615" xr:uid="{00000000-0005-0000-0000-00001A010000}"/>
    <cellStyle name="Accent6 12" xfId="661" xr:uid="{00000000-0005-0000-0000-00001B010000}"/>
    <cellStyle name="Accent6 13" xfId="692" xr:uid="{00000000-0005-0000-0000-00001C010000}"/>
    <cellStyle name="Accent6 2" xfId="25" xr:uid="{00000000-0005-0000-0000-00001D010000}"/>
    <cellStyle name="Accent6 3" xfId="161" xr:uid="{00000000-0005-0000-0000-00001E010000}"/>
    <cellStyle name="Accent6 4" xfId="219" xr:uid="{00000000-0005-0000-0000-00001F010000}"/>
    <cellStyle name="Accent6 5" xfId="248" xr:uid="{00000000-0005-0000-0000-000020010000}"/>
    <cellStyle name="Accent6 6" xfId="290" xr:uid="{00000000-0005-0000-0000-000021010000}"/>
    <cellStyle name="Accent6 7" xfId="314" xr:uid="{00000000-0005-0000-0000-000022010000}"/>
    <cellStyle name="Accent6 8" xfId="377" xr:uid="{00000000-0005-0000-0000-000023010000}"/>
    <cellStyle name="Accent6 9" xfId="419" xr:uid="{00000000-0005-0000-0000-000024010000}"/>
    <cellStyle name="as" xfId="481" xr:uid="{00000000-0005-0000-0000-000025010000}"/>
    <cellStyle name="Bad 10" xfId="473" xr:uid="{00000000-0005-0000-0000-000026010000}"/>
    <cellStyle name="Bad 11" xfId="616" xr:uid="{00000000-0005-0000-0000-000027010000}"/>
    <cellStyle name="Bad 12" xfId="662" xr:uid="{00000000-0005-0000-0000-000028010000}"/>
    <cellStyle name="Bad 13" xfId="681" xr:uid="{00000000-0005-0000-0000-000029010000}"/>
    <cellStyle name="Bad 2" xfId="26" xr:uid="{00000000-0005-0000-0000-00002A010000}"/>
    <cellStyle name="Bad 3" xfId="162" xr:uid="{00000000-0005-0000-0000-00002B010000}"/>
    <cellStyle name="Bad 4" xfId="192" xr:uid="{00000000-0005-0000-0000-00002C010000}"/>
    <cellStyle name="Bad 5" xfId="214" xr:uid="{00000000-0005-0000-0000-00002D010000}"/>
    <cellStyle name="Bad 6" xfId="291" xr:uid="{00000000-0005-0000-0000-00002E010000}"/>
    <cellStyle name="Bad 7" xfId="343" xr:uid="{00000000-0005-0000-0000-00002F010000}"/>
    <cellStyle name="Bad 8" xfId="353" xr:uid="{00000000-0005-0000-0000-000030010000}"/>
    <cellStyle name="Bad 9" xfId="420" xr:uid="{00000000-0005-0000-0000-000031010000}"/>
    <cellStyle name="Calc Currency (0)" xfId="482" xr:uid="{00000000-0005-0000-0000-000032010000}"/>
    <cellStyle name="Calc Currency (2)" xfId="483" xr:uid="{00000000-0005-0000-0000-000033010000}"/>
    <cellStyle name="Calc Percent (0)" xfId="484" xr:uid="{00000000-0005-0000-0000-000034010000}"/>
    <cellStyle name="Calc Percent (1)" xfId="485" xr:uid="{00000000-0005-0000-0000-000035010000}"/>
    <cellStyle name="Calc Percent (2)" xfId="486" xr:uid="{00000000-0005-0000-0000-000036010000}"/>
    <cellStyle name="Calc Units (0)" xfId="487" xr:uid="{00000000-0005-0000-0000-000037010000}"/>
    <cellStyle name="Calc Units (1)" xfId="488" xr:uid="{00000000-0005-0000-0000-000038010000}"/>
    <cellStyle name="Calc Units (2)" xfId="489" xr:uid="{00000000-0005-0000-0000-000039010000}"/>
    <cellStyle name="Calculation 10" xfId="439" xr:uid="{00000000-0005-0000-0000-00003A010000}"/>
    <cellStyle name="Calculation 11" xfId="617" xr:uid="{00000000-0005-0000-0000-00003B010000}"/>
    <cellStyle name="Calculation 12" xfId="663" xr:uid="{00000000-0005-0000-0000-00003C010000}"/>
    <cellStyle name="Calculation 13" xfId="680" xr:uid="{00000000-0005-0000-0000-00003D010000}"/>
    <cellStyle name="Calculation 2" xfId="27" xr:uid="{00000000-0005-0000-0000-00003E010000}"/>
    <cellStyle name="Calculation 3" xfId="163" xr:uid="{00000000-0005-0000-0000-00003F010000}"/>
    <cellStyle name="Calculation 4" xfId="228" xr:uid="{00000000-0005-0000-0000-000040010000}"/>
    <cellStyle name="Calculation 5" xfId="257" xr:uid="{00000000-0005-0000-0000-000041010000}"/>
    <cellStyle name="Calculation 6" xfId="292" xr:uid="{00000000-0005-0000-0000-000042010000}"/>
    <cellStyle name="Calculation 7" xfId="313" xr:uid="{00000000-0005-0000-0000-000043010000}"/>
    <cellStyle name="Calculation 8" xfId="386" xr:uid="{00000000-0005-0000-0000-000044010000}"/>
    <cellStyle name="Calculation 9" xfId="421" xr:uid="{00000000-0005-0000-0000-000045010000}"/>
    <cellStyle name="Check Cell 10" xfId="472" xr:uid="{00000000-0005-0000-0000-000046010000}"/>
    <cellStyle name="Check Cell 11" xfId="618" xr:uid="{00000000-0005-0000-0000-000047010000}"/>
    <cellStyle name="Check Cell 12" xfId="664" xr:uid="{00000000-0005-0000-0000-000048010000}"/>
    <cellStyle name="Check Cell 13" xfId="708" xr:uid="{00000000-0005-0000-0000-000049010000}"/>
    <cellStyle name="Check Cell 2" xfId="28" xr:uid="{00000000-0005-0000-0000-00004A010000}"/>
    <cellStyle name="Check Cell 3" xfId="164" xr:uid="{00000000-0005-0000-0000-00004B010000}"/>
    <cellStyle name="Check Cell 4" xfId="191" xr:uid="{00000000-0005-0000-0000-00004C010000}"/>
    <cellStyle name="Check Cell 5" xfId="171" xr:uid="{00000000-0005-0000-0000-00004D010000}"/>
    <cellStyle name="Check Cell 6" xfId="293" xr:uid="{00000000-0005-0000-0000-00004E010000}"/>
    <cellStyle name="Check Cell 7" xfId="312" xr:uid="{00000000-0005-0000-0000-00004F010000}"/>
    <cellStyle name="Check Cell 8" xfId="352" xr:uid="{00000000-0005-0000-0000-000050010000}"/>
    <cellStyle name="Check Cell 9" xfId="422" xr:uid="{00000000-0005-0000-0000-000051010000}"/>
    <cellStyle name="Comma" xfId="1" builtinId="3"/>
    <cellStyle name="Comma [00]" xfId="490" xr:uid="{00000000-0005-0000-0000-000053010000}"/>
    <cellStyle name="Comma 10" xfId="732" xr:uid="{00000000-0005-0000-0000-000054010000}"/>
    <cellStyle name="Comma 11" xfId="731" xr:uid="{00000000-0005-0000-0000-000055010000}"/>
    <cellStyle name="Comma 12" xfId="752" xr:uid="{00000000-0005-0000-0000-000056010000}"/>
    <cellStyle name="Comma 13" xfId="753" xr:uid="{00000000-0005-0000-0000-000057010000}"/>
    <cellStyle name="Comma 14" xfId="754" xr:uid="{00000000-0005-0000-0000-000058010000}"/>
    <cellStyle name="Comma 15" xfId="758" xr:uid="{00000000-0005-0000-0000-000059010000}"/>
    <cellStyle name="Comma 2" xfId="29" xr:uid="{00000000-0005-0000-0000-00005A010000}"/>
    <cellStyle name="Comma 2 2" xfId="30" xr:uid="{00000000-0005-0000-0000-00005B010000}"/>
    <cellStyle name="Comma 2 2 2" xfId="491" xr:uid="{00000000-0005-0000-0000-00005C010000}"/>
    <cellStyle name="Comma 2 2 2 2" xfId="739" xr:uid="{00000000-0005-0000-0000-00005D010000}"/>
    <cellStyle name="Comma 2 2 2 2 2" xfId="749" xr:uid="{00000000-0005-0000-0000-00005E010000}"/>
    <cellStyle name="Comma 2 3" xfId="31" xr:uid="{00000000-0005-0000-0000-00005F010000}"/>
    <cellStyle name="Comma 2 3 2" xfId="109" xr:uid="{00000000-0005-0000-0000-000060010000}"/>
    <cellStyle name="Comma 2 4" xfId="492" xr:uid="{00000000-0005-0000-0000-000061010000}"/>
    <cellStyle name="Comma 2 5" xfId="737" xr:uid="{00000000-0005-0000-0000-000062010000}"/>
    <cellStyle name="Comma 3" xfId="32" xr:uid="{00000000-0005-0000-0000-000063010000}"/>
    <cellStyle name="Comma 3 2" xfId="33" xr:uid="{00000000-0005-0000-0000-000064010000}"/>
    <cellStyle name="Comma 3 2 2" xfId="493" xr:uid="{00000000-0005-0000-0000-000065010000}"/>
    <cellStyle name="Comma 3 3" xfId="34" xr:uid="{00000000-0005-0000-0000-000066010000}"/>
    <cellStyle name="Comma 3 4" xfId="110" xr:uid="{00000000-0005-0000-0000-000067010000}"/>
    <cellStyle name="Comma 3 5" xfId="745" xr:uid="{00000000-0005-0000-0000-000068010000}"/>
    <cellStyle name="Comma 4" xfId="35" xr:uid="{00000000-0005-0000-0000-000069010000}"/>
    <cellStyle name="Comma 4 2" xfId="36" xr:uid="{00000000-0005-0000-0000-00006A010000}"/>
    <cellStyle name="Comma 4 3" xfId="111" xr:uid="{00000000-0005-0000-0000-00006B010000}"/>
    <cellStyle name="Comma 4 4" xfId="747" xr:uid="{00000000-0005-0000-0000-00006C010000}"/>
    <cellStyle name="Comma 5" xfId="37" xr:uid="{00000000-0005-0000-0000-00006D010000}"/>
    <cellStyle name="Comma 5 2" xfId="494" xr:uid="{00000000-0005-0000-0000-00006E010000}"/>
    <cellStyle name="Comma 6" xfId="112" xr:uid="{00000000-0005-0000-0000-00006F010000}"/>
    <cellStyle name="Comma 6 2" xfId="495" xr:uid="{00000000-0005-0000-0000-000070010000}"/>
    <cellStyle name="Comma 7" xfId="496" xr:uid="{00000000-0005-0000-0000-000071010000}"/>
    <cellStyle name="Comma 7 2" xfId="497" xr:uid="{00000000-0005-0000-0000-000072010000}"/>
    <cellStyle name="Comma 8" xfId="498" xr:uid="{00000000-0005-0000-0000-000073010000}"/>
    <cellStyle name="Comma 9" xfId="730" xr:uid="{00000000-0005-0000-0000-000074010000}"/>
    <cellStyle name="Comma0" xfId="499" xr:uid="{00000000-0005-0000-0000-000075010000}"/>
    <cellStyle name="Comma0 - Modelo1" xfId="500" xr:uid="{00000000-0005-0000-0000-000076010000}"/>
    <cellStyle name="Comma0 - Style1" xfId="501" xr:uid="{00000000-0005-0000-0000-000077010000}"/>
    <cellStyle name="Comma1 - Modelo2" xfId="502" xr:uid="{00000000-0005-0000-0000-000078010000}"/>
    <cellStyle name="Comma1 - Style2" xfId="503" xr:uid="{00000000-0005-0000-0000-000079010000}"/>
    <cellStyle name="ContentsHyperlink" xfId="124" xr:uid="{00000000-0005-0000-0000-00007A010000}"/>
    <cellStyle name="Currency [00]" xfId="504" xr:uid="{00000000-0005-0000-0000-00007B010000}"/>
    <cellStyle name="Currency0" xfId="505" xr:uid="{00000000-0005-0000-0000-00007C010000}"/>
    <cellStyle name="Custom - Style1" xfId="506" xr:uid="{00000000-0005-0000-0000-00007D010000}"/>
    <cellStyle name="Data   - Style2" xfId="507" xr:uid="{00000000-0005-0000-0000-00007E010000}"/>
    <cellStyle name="Date" xfId="508" xr:uid="{00000000-0005-0000-0000-00007F010000}"/>
    <cellStyle name="Date Short" xfId="509" xr:uid="{00000000-0005-0000-0000-000080010000}"/>
    <cellStyle name="DELTA" xfId="510" xr:uid="{00000000-0005-0000-0000-000081010000}"/>
    <cellStyle name="Dia" xfId="511" xr:uid="{00000000-0005-0000-0000-000082010000}"/>
    <cellStyle name="Encabez1" xfId="512" xr:uid="{00000000-0005-0000-0000-000083010000}"/>
    <cellStyle name="Encabez2" xfId="513" xr:uid="{00000000-0005-0000-0000-000084010000}"/>
    <cellStyle name="Enter Currency (0)" xfId="514" xr:uid="{00000000-0005-0000-0000-000085010000}"/>
    <cellStyle name="Enter Currency (2)" xfId="515" xr:uid="{00000000-0005-0000-0000-000086010000}"/>
    <cellStyle name="Enter Units (0)" xfId="516" xr:uid="{00000000-0005-0000-0000-000087010000}"/>
    <cellStyle name="Enter Units (1)" xfId="517" xr:uid="{00000000-0005-0000-0000-000088010000}"/>
    <cellStyle name="Enter Units (2)" xfId="518" xr:uid="{00000000-0005-0000-0000-000089010000}"/>
    <cellStyle name="Explanatory Text 10" xfId="437" xr:uid="{00000000-0005-0000-0000-00008A010000}"/>
    <cellStyle name="Explanatory Text 11" xfId="619" xr:uid="{00000000-0005-0000-0000-00008B010000}"/>
    <cellStyle name="Explanatory Text 12" xfId="665" xr:uid="{00000000-0005-0000-0000-00008C010000}"/>
    <cellStyle name="Explanatory Text 13" xfId="707" xr:uid="{00000000-0005-0000-0000-00008D010000}"/>
    <cellStyle name="Explanatory Text 2" xfId="38" xr:uid="{00000000-0005-0000-0000-00008E010000}"/>
    <cellStyle name="Explanatory Text 3" xfId="172" xr:uid="{00000000-0005-0000-0000-00008F010000}"/>
    <cellStyle name="Explanatory Text 4" xfId="190" xr:uid="{00000000-0005-0000-0000-000090010000}"/>
    <cellStyle name="Explanatory Text 5" xfId="173" xr:uid="{00000000-0005-0000-0000-000091010000}"/>
    <cellStyle name="Explanatory Text 6" xfId="296" xr:uid="{00000000-0005-0000-0000-000092010000}"/>
    <cellStyle name="Explanatory Text 7" xfId="311" xr:uid="{00000000-0005-0000-0000-000093010000}"/>
    <cellStyle name="Explanatory Text 8" xfId="294" xr:uid="{00000000-0005-0000-0000-000094010000}"/>
    <cellStyle name="Explanatory Text 9" xfId="423" xr:uid="{00000000-0005-0000-0000-000095010000}"/>
    <cellStyle name="F2" xfId="39" xr:uid="{00000000-0005-0000-0000-000096010000}"/>
    <cellStyle name="F3" xfId="40" xr:uid="{00000000-0005-0000-0000-000097010000}"/>
    <cellStyle name="F4" xfId="41" xr:uid="{00000000-0005-0000-0000-000098010000}"/>
    <cellStyle name="F5" xfId="42" xr:uid="{00000000-0005-0000-0000-000099010000}"/>
    <cellStyle name="F6" xfId="43" xr:uid="{00000000-0005-0000-0000-00009A010000}"/>
    <cellStyle name="F7" xfId="44" xr:uid="{00000000-0005-0000-0000-00009B010000}"/>
    <cellStyle name="F8" xfId="45" xr:uid="{00000000-0005-0000-0000-00009C010000}"/>
    <cellStyle name="Fijo" xfId="519" xr:uid="{00000000-0005-0000-0000-00009D010000}"/>
    <cellStyle name="Financiero" xfId="520" xr:uid="{00000000-0005-0000-0000-00009E010000}"/>
    <cellStyle name="Fixed" xfId="521" xr:uid="{00000000-0005-0000-0000-00009F010000}"/>
    <cellStyle name="Formulas" xfId="522" xr:uid="{00000000-0005-0000-0000-0000A0010000}"/>
    <cellStyle name="General" xfId="46" xr:uid="{00000000-0005-0000-0000-0000A1010000}"/>
    <cellStyle name="Good 10" xfId="463" xr:uid="{00000000-0005-0000-0000-0000A2010000}"/>
    <cellStyle name="Good 11" xfId="620" xr:uid="{00000000-0005-0000-0000-0000A3010000}"/>
    <cellStyle name="Good 12" xfId="666" xr:uid="{00000000-0005-0000-0000-0000A4010000}"/>
    <cellStyle name="Good 13" xfId="679" xr:uid="{00000000-0005-0000-0000-0000A5010000}"/>
    <cellStyle name="Good 2" xfId="47" xr:uid="{00000000-0005-0000-0000-0000A6010000}"/>
    <cellStyle name="Good 3" xfId="174" xr:uid="{00000000-0005-0000-0000-0000A7010000}"/>
    <cellStyle name="Good 4" xfId="225" xr:uid="{00000000-0005-0000-0000-0000A8010000}"/>
    <cellStyle name="Good 5" xfId="254" xr:uid="{00000000-0005-0000-0000-0000A9010000}"/>
    <cellStyle name="Good 6" xfId="299" xr:uid="{00000000-0005-0000-0000-0000AA010000}"/>
    <cellStyle name="Good 7" xfId="310" xr:uid="{00000000-0005-0000-0000-0000AB010000}"/>
    <cellStyle name="Good 8" xfId="383" xr:uid="{00000000-0005-0000-0000-0000AC010000}"/>
    <cellStyle name="Good 9" xfId="424" xr:uid="{00000000-0005-0000-0000-0000AD010000}"/>
    <cellStyle name="Grey" xfId="48" xr:uid="{00000000-0005-0000-0000-0000AE010000}"/>
    <cellStyle name="Grey 2" xfId="523" xr:uid="{00000000-0005-0000-0000-0000AF010000}"/>
    <cellStyle name="Header1" xfId="524" xr:uid="{00000000-0005-0000-0000-0000B0010000}"/>
    <cellStyle name="Header2" xfId="525" xr:uid="{00000000-0005-0000-0000-0000B1010000}"/>
    <cellStyle name="Heading 1 10" xfId="436" xr:uid="{00000000-0005-0000-0000-0000B2010000}"/>
    <cellStyle name="Heading 1 11" xfId="621" xr:uid="{00000000-0005-0000-0000-0000B3010000}"/>
    <cellStyle name="Heading 1 12" xfId="667" xr:uid="{00000000-0005-0000-0000-0000B4010000}"/>
    <cellStyle name="Heading 1 13" xfId="697" xr:uid="{00000000-0005-0000-0000-0000B5010000}"/>
    <cellStyle name="Heading 1 2" xfId="49" xr:uid="{00000000-0005-0000-0000-0000B6010000}"/>
    <cellStyle name="Heading 1 3" xfId="175" xr:uid="{00000000-0005-0000-0000-0000B7010000}"/>
    <cellStyle name="Heading 1 4" xfId="189" xr:uid="{00000000-0005-0000-0000-0000B8010000}"/>
    <cellStyle name="Heading 1 5" xfId="179" xr:uid="{00000000-0005-0000-0000-0000B9010000}"/>
    <cellStyle name="Heading 1 6" xfId="300" xr:uid="{00000000-0005-0000-0000-0000BA010000}"/>
    <cellStyle name="Heading 1 7" xfId="341" xr:uid="{00000000-0005-0000-0000-0000BB010000}"/>
    <cellStyle name="Heading 1 8" xfId="334" xr:uid="{00000000-0005-0000-0000-0000BC010000}"/>
    <cellStyle name="Heading 1 9" xfId="425" xr:uid="{00000000-0005-0000-0000-0000BD010000}"/>
    <cellStyle name="Heading 2 10" xfId="435" xr:uid="{00000000-0005-0000-0000-0000BE010000}"/>
    <cellStyle name="Heading 2 11" xfId="622" xr:uid="{00000000-0005-0000-0000-0000BF010000}"/>
    <cellStyle name="Heading 2 12" xfId="668" xr:uid="{00000000-0005-0000-0000-0000C0010000}"/>
    <cellStyle name="Heading 2 13" xfId="678" xr:uid="{00000000-0005-0000-0000-0000C1010000}"/>
    <cellStyle name="Heading 2 2" xfId="50" xr:uid="{00000000-0005-0000-0000-0000C2010000}"/>
    <cellStyle name="Heading 2 3" xfId="176" xr:uid="{00000000-0005-0000-0000-0000C3010000}"/>
    <cellStyle name="Heading 2 4" xfId="188" xr:uid="{00000000-0005-0000-0000-0000C4010000}"/>
    <cellStyle name="Heading 2 5" xfId="180" xr:uid="{00000000-0005-0000-0000-0000C5010000}"/>
    <cellStyle name="Heading 2 6" xfId="301" xr:uid="{00000000-0005-0000-0000-0000C6010000}"/>
    <cellStyle name="Heading 2 7" xfId="338" xr:uid="{00000000-0005-0000-0000-0000C7010000}"/>
    <cellStyle name="Heading 2 8" xfId="295" xr:uid="{00000000-0005-0000-0000-0000C8010000}"/>
    <cellStyle name="Heading 2 9" xfId="426" xr:uid="{00000000-0005-0000-0000-0000C9010000}"/>
    <cellStyle name="Heading 3 10" xfId="434" xr:uid="{00000000-0005-0000-0000-0000CA010000}"/>
    <cellStyle name="Heading 3 11" xfId="623" xr:uid="{00000000-0005-0000-0000-0000CB010000}"/>
    <cellStyle name="Heading 3 12" xfId="669" xr:uid="{00000000-0005-0000-0000-0000CC010000}"/>
    <cellStyle name="Heading 3 13" xfId="706" xr:uid="{00000000-0005-0000-0000-0000CD010000}"/>
    <cellStyle name="Heading 3 2" xfId="51" xr:uid="{00000000-0005-0000-0000-0000CE010000}"/>
    <cellStyle name="Heading 3 3" xfId="177" xr:uid="{00000000-0005-0000-0000-0000CF010000}"/>
    <cellStyle name="Heading 3 4" xfId="218" xr:uid="{00000000-0005-0000-0000-0000D0010000}"/>
    <cellStyle name="Heading 3 5" xfId="247" xr:uid="{00000000-0005-0000-0000-0000D1010000}"/>
    <cellStyle name="Heading 3 6" xfId="302" xr:uid="{00000000-0005-0000-0000-0000D2010000}"/>
    <cellStyle name="Heading 3 7" xfId="337" xr:uid="{00000000-0005-0000-0000-0000D3010000}"/>
    <cellStyle name="Heading 3 8" xfId="376" xr:uid="{00000000-0005-0000-0000-0000D4010000}"/>
    <cellStyle name="Heading 3 9" xfId="427" xr:uid="{00000000-0005-0000-0000-0000D5010000}"/>
    <cellStyle name="Heading 4 10" xfId="462" xr:uid="{00000000-0005-0000-0000-0000D6010000}"/>
    <cellStyle name="Heading 4 11" xfId="624" xr:uid="{00000000-0005-0000-0000-0000D7010000}"/>
    <cellStyle name="Heading 4 12" xfId="670" xr:uid="{00000000-0005-0000-0000-0000D8010000}"/>
    <cellStyle name="Heading 4 13" xfId="696" xr:uid="{00000000-0005-0000-0000-0000D9010000}"/>
    <cellStyle name="Heading 4 2" xfId="52" xr:uid="{00000000-0005-0000-0000-0000DA010000}"/>
    <cellStyle name="Heading 4 3" xfId="178" xr:uid="{00000000-0005-0000-0000-0000DB010000}"/>
    <cellStyle name="Heading 4 4" xfId="187" xr:uid="{00000000-0005-0000-0000-0000DC010000}"/>
    <cellStyle name="Heading 4 5" xfId="215" xr:uid="{00000000-0005-0000-0000-0000DD010000}"/>
    <cellStyle name="Heading 4 6" xfId="303" xr:uid="{00000000-0005-0000-0000-0000DE010000}"/>
    <cellStyle name="Heading 4 7" xfId="342" xr:uid="{00000000-0005-0000-0000-0000DF010000}"/>
    <cellStyle name="Heading 4 8" xfId="335" xr:uid="{00000000-0005-0000-0000-0000E0010000}"/>
    <cellStyle name="Heading 4 9" xfId="428" xr:uid="{00000000-0005-0000-0000-0000E1010000}"/>
    <cellStyle name="HEADING1" xfId="526" xr:uid="{00000000-0005-0000-0000-0000E2010000}"/>
    <cellStyle name="HEADING2" xfId="527" xr:uid="{00000000-0005-0000-0000-0000E3010000}"/>
    <cellStyle name="Hyperlink 2" xfId="53" xr:uid="{00000000-0005-0000-0000-0000E4010000}"/>
    <cellStyle name="Hyperlink 2 2" xfId="54" xr:uid="{00000000-0005-0000-0000-0000E5010000}"/>
    <cellStyle name="Hyperlink 2 3" xfId="55" xr:uid="{00000000-0005-0000-0000-0000E6010000}"/>
    <cellStyle name="Hyperlink 2 4" xfId="113" xr:uid="{00000000-0005-0000-0000-0000E7010000}"/>
    <cellStyle name="Hyperlink 3" xfId="528" xr:uid="{00000000-0005-0000-0000-0000E8010000}"/>
    <cellStyle name="Input [yellow]" xfId="57" xr:uid="{00000000-0005-0000-0000-0000E9010000}"/>
    <cellStyle name="Input [yellow] 2" xfId="529" xr:uid="{00000000-0005-0000-0000-0000EA010000}"/>
    <cellStyle name="Input 10" xfId="433" xr:uid="{00000000-0005-0000-0000-0000EB010000}"/>
    <cellStyle name="Input 11" xfId="625" xr:uid="{00000000-0005-0000-0000-0000EC010000}"/>
    <cellStyle name="Input 12" xfId="671" xr:uid="{00000000-0005-0000-0000-0000ED010000}"/>
    <cellStyle name="Input 13" xfId="695" xr:uid="{00000000-0005-0000-0000-0000EE010000}"/>
    <cellStyle name="Input 2" xfId="56" xr:uid="{00000000-0005-0000-0000-0000EF010000}"/>
    <cellStyle name="Input 3" xfId="181" xr:uid="{00000000-0005-0000-0000-0000F0010000}"/>
    <cellStyle name="Input 4" xfId="217" xr:uid="{00000000-0005-0000-0000-0000F1010000}"/>
    <cellStyle name="Input 5" xfId="246" xr:uid="{00000000-0005-0000-0000-0000F2010000}"/>
    <cellStyle name="Input 6" xfId="305" xr:uid="{00000000-0005-0000-0000-0000F3010000}"/>
    <cellStyle name="Input 7" xfId="308" xr:uid="{00000000-0005-0000-0000-0000F4010000}"/>
    <cellStyle name="Input 8" xfId="375" xr:uid="{00000000-0005-0000-0000-0000F5010000}"/>
    <cellStyle name="Input 9" xfId="429" xr:uid="{00000000-0005-0000-0000-0000F6010000}"/>
    <cellStyle name="Item" xfId="530" xr:uid="{00000000-0005-0000-0000-0000F7010000}"/>
    <cellStyle name="Labels - Style3" xfId="531" xr:uid="{00000000-0005-0000-0000-0000F8010000}"/>
    <cellStyle name="Labels - Style3 2" xfId="532" xr:uid="{00000000-0005-0000-0000-0000F9010000}"/>
    <cellStyle name="Link Currency (0)" xfId="533" xr:uid="{00000000-0005-0000-0000-0000FA010000}"/>
    <cellStyle name="Link Currency (2)" xfId="534" xr:uid="{00000000-0005-0000-0000-0000FB010000}"/>
    <cellStyle name="Link Units (0)" xfId="535" xr:uid="{00000000-0005-0000-0000-0000FC010000}"/>
    <cellStyle name="Link Units (1)" xfId="536" xr:uid="{00000000-0005-0000-0000-0000FD010000}"/>
    <cellStyle name="Link Units (2)" xfId="537" xr:uid="{00000000-0005-0000-0000-0000FE010000}"/>
    <cellStyle name="Linked Cell 10" xfId="546" xr:uid="{00000000-0005-0000-0000-0000FF010000}"/>
    <cellStyle name="Linked Cell 11" xfId="626" xr:uid="{00000000-0005-0000-0000-000000020000}"/>
    <cellStyle name="Linked Cell 12" xfId="672" xr:uid="{00000000-0005-0000-0000-000001020000}"/>
    <cellStyle name="Linked Cell 13" xfId="705" xr:uid="{00000000-0005-0000-0000-000002020000}"/>
    <cellStyle name="Linked Cell 2" xfId="58" xr:uid="{00000000-0005-0000-0000-000003020000}"/>
    <cellStyle name="Linked Cell 3" xfId="182" xr:uid="{00000000-0005-0000-0000-000004020000}"/>
    <cellStyle name="Linked Cell 4" xfId="223" xr:uid="{00000000-0005-0000-0000-000005020000}"/>
    <cellStyle name="Linked Cell 5" xfId="252" xr:uid="{00000000-0005-0000-0000-000006020000}"/>
    <cellStyle name="Linked Cell 6" xfId="306" xr:uid="{00000000-0005-0000-0000-000007020000}"/>
    <cellStyle name="Linked Cell 7" xfId="336" xr:uid="{00000000-0005-0000-0000-000008020000}"/>
    <cellStyle name="Linked Cell 8" xfId="381" xr:uid="{00000000-0005-0000-0000-000009020000}"/>
    <cellStyle name="Linked Cell 9" xfId="430" xr:uid="{00000000-0005-0000-0000-00000A020000}"/>
    <cellStyle name="Millares [0]_10 AVERIAS MASIVAS + ANT" xfId="538" xr:uid="{00000000-0005-0000-0000-00000B020000}"/>
    <cellStyle name="Neutral 10" xfId="461" xr:uid="{00000000-0005-0000-0000-00000C020000}"/>
    <cellStyle name="Neutral 11" xfId="627" xr:uid="{00000000-0005-0000-0000-00000D020000}"/>
    <cellStyle name="Neutral 12" xfId="673" xr:uid="{00000000-0005-0000-0000-00000E020000}"/>
    <cellStyle name="Neutral 13" xfId="694" xr:uid="{00000000-0005-0000-0000-00000F020000}"/>
    <cellStyle name="Neutral 2" xfId="59" xr:uid="{00000000-0005-0000-0000-000010020000}"/>
    <cellStyle name="Neutral 3" xfId="183" xr:uid="{00000000-0005-0000-0000-000011020000}"/>
    <cellStyle name="Neutral 4" xfId="186" xr:uid="{00000000-0005-0000-0000-000012020000}"/>
    <cellStyle name="Neutral 5" xfId="184" xr:uid="{00000000-0005-0000-0000-000013020000}"/>
    <cellStyle name="Neutral 6" xfId="307" xr:uid="{00000000-0005-0000-0000-000014020000}"/>
    <cellStyle name="Neutral 7" xfId="304" xr:uid="{00000000-0005-0000-0000-000015020000}"/>
    <cellStyle name="Neutral 8" xfId="297" xr:uid="{00000000-0005-0000-0000-000016020000}"/>
    <cellStyle name="Neutral 9" xfId="431" xr:uid="{00000000-0005-0000-0000-000017020000}"/>
    <cellStyle name="Normal" xfId="0" builtinId="0"/>
    <cellStyle name="Normal - Style1" xfId="60" xr:uid="{00000000-0005-0000-0000-000019020000}"/>
    <cellStyle name="Normal 10" xfId="61" xr:uid="{00000000-0005-0000-0000-00001A020000}"/>
    <cellStyle name="Normal 10 2" xfId="742" xr:uid="{00000000-0005-0000-0000-00001B020000}"/>
    <cellStyle name="Normal 11" xfId="62" xr:uid="{00000000-0005-0000-0000-00001C020000}"/>
    <cellStyle name="Normal 11 2" xfId="736" xr:uid="{00000000-0005-0000-0000-00001D020000}"/>
    <cellStyle name="Normal 12" xfId="63" xr:uid="{00000000-0005-0000-0000-00001E020000}"/>
    <cellStyle name="Normal 12 2" xfId="125" xr:uid="{00000000-0005-0000-0000-00001F020000}"/>
    <cellStyle name="Normal 12 2 2" xfId="539" xr:uid="{00000000-0005-0000-0000-000020020000}"/>
    <cellStyle name="Normal 12 3" xfId="540" xr:uid="{00000000-0005-0000-0000-000021020000}"/>
    <cellStyle name="Normal 13" xfId="114" xr:uid="{00000000-0005-0000-0000-000022020000}"/>
    <cellStyle name="Normal 13 2" xfId="541" xr:uid="{00000000-0005-0000-0000-000023020000}"/>
    <cellStyle name="Normal 14" xfId="115" xr:uid="{00000000-0005-0000-0000-000024020000}"/>
    <cellStyle name="Normal 15" xfId="123" xr:uid="{00000000-0005-0000-0000-000025020000}"/>
    <cellStyle name="Normal 15 4 4" xfId="740" xr:uid="{00000000-0005-0000-0000-000026020000}"/>
    <cellStyle name="Normal 16" xfId="65" xr:uid="{00000000-0005-0000-0000-000027020000}"/>
    <cellStyle name="Normal 16 2" xfId="542" xr:uid="{00000000-0005-0000-0000-000028020000}"/>
    <cellStyle name="Normal 16 3" xfId="588" xr:uid="{00000000-0005-0000-0000-000029020000}"/>
    <cellStyle name="Normal 16 4" xfId="634" xr:uid="{00000000-0005-0000-0000-00002A020000}"/>
    <cellStyle name="Normal 16 5" xfId="702" xr:uid="{00000000-0005-0000-0000-00002B020000}"/>
    <cellStyle name="Normal 16 6" xfId="726" xr:uid="{00000000-0005-0000-0000-00002C020000}"/>
    <cellStyle name="Normal 17" xfId="230" xr:uid="{00000000-0005-0000-0000-00002D020000}"/>
    <cellStyle name="Normal 17 2" xfId="543" xr:uid="{00000000-0005-0000-0000-00002E020000}"/>
    <cellStyle name="Normal 17 2 2" xfId="544" xr:uid="{00000000-0005-0000-0000-00002F020000}"/>
    <cellStyle name="Normal 17 3" xfId="589" xr:uid="{00000000-0005-0000-0000-000030020000}"/>
    <cellStyle name="Normal 17 4" xfId="635" xr:uid="{00000000-0005-0000-0000-000031020000}"/>
    <cellStyle name="Normal 17 5" xfId="703" xr:uid="{00000000-0005-0000-0000-000032020000}"/>
    <cellStyle name="Normal 17 6" xfId="727" xr:uid="{00000000-0005-0000-0000-000033020000}"/>
    <cellStyle name="Normal 18" xfId="259" xr:uid="{00000000-0005-0000-0000-000034020000}"/>
    <cellStyle name="Normal 18 2" xfId="545" xr:uid="{00000000-0005-0000-0000-000035020000}"/>
    <cellStyle name="Normal 18 3" xfId="590" xr:uid="{00000000-0005-0000-0000-000036020000}"/>
    <cellStyle name="Normal 18 4" xfId="636" xr:uid="{00000000-0005-0000-0000-000037020000}"/>
    <cellStyle name="Normal 18 5" xfId="704" xr:uid="{00000000-0005-0000-0000-000038020000}"/>
    <cellStyle name="Normal 18 6" xfId="728" xr:uid="{00000000-0005-0000-0000-000039020000}"/>
    <cellStyle name="Normal 19" xfId="346" xr:uid="{00000000-0005-0000-0000-00003A020000}"/>
    <cellStyle name="Normal 2" xfId="266" xr:uid="{00000000-0005-0000-0000-00003B020000}"/>
    <cellStyle name="Normal 2 10" xfId="116" xr:uid="{00000000-0005-0000-0000-00003C020000}"/>
    <cellStyle name="Normal 2 11" xfId="185" xr:uid="{00000000-0005-0000-0000-00003D020000}"/>
    <cellStyle name="Normal 2 11 2" xfId="547" xr:uid="{00000000-0005-0000-0000-00003E020000}"/>
    <cellStyle name="Normal 2 12" xfId="216" xr:uid="{00000000-0005-0000-0000-00003F020000}"/>
    <cellStyle name="Normal 2 13" xfId="245" xr:uid="{00000000-0005-0000-0000-000040020000}"/>
    <cellStyle name="Normal 2 14" xfId="309" xr:uid="{00000000-0005-0000-0000-000041020000}"/>
    <cellStyle name="Normal 2 15" xfId="298" xr:uid="{00000000-0005-0000-0000-000042020000}"/>
    <cellStyle name="Normal 2 16" xfId="374" xr:uid="{00000000-0005-0000-0000-000043020000}"/>
    <cellStyle name="Normal 2 17" xfId="432" xr:uid="{00000000-0005-0000-0000-000044020000}"/>
    <cellStyle name="Normal 2 18" xfId="468" xr:uid="{00000000-0005-0000-0000-000045020000}"/>
    <cellStyle name="Normal 2 19" xfId="628" xr:uid="{00000000-0005-0000-0000-000046020000}"/>
    <cellStyle name="Normal 2 2" xfId="64" xr:uid="{00000000-0005-0000-0000-000047020000}"/>
    <cellStyle name="Normal 2 2 2" xfId="66" xr:uid="{00000000-0005-0000-0000-000048020000}"/>
    <cellStyle name="Normal 2 2 2 2" xfId="67" xr:uid="{00000000-0005-0000-0000-000049020000}"/>
    <cellStyle name="Normal 2 2 2 2 2" xfId="126" xr:uid="{00000000-0005-0000-0000-00004A020000}"/>
    <cellStyle name="Normal 2 2 2 2 2 2" xfId="548" xr:uid="{00000000-0005-0000-0000-00004B020000}"/>
    <cellStyle name="Normal 2 2 2 2 3" xfId="549" xr:uid="{00000000-0005-0000-0000-00004C020000}"/>
    <cellStyle name="Normal 2 2 2 26" xfId="748" xr:uid="{00000000-0005-0000-0000-00004D020000}"/>
    <cellStyle name="Normal 2 2 2 3" xfId="68" xr:uid="{00000000-0005-0000-0000-00004E020000}"/>
    <cellStyle name="Normal 2 2 2 4" xfId="117" xr:uid="{00000000-0005-0000-0000-00004F020000}"/>
    <cellStyle name="Normal 2 2 2_0.JHOR JAHANIYA ESTIMATE" xfId="69" xr:uid="{00000000-0005-0000-0000-000050020000}"/>
    <cellStyle name="Normal 2 2 3" xfId="70" xr:uid="{00000000-0005-0000-0000-000051020000}"/>
    <cellStyle name="Normal 2 2 4" xfId="71" xr:uid="{00000000-0005-0000-0000-000052020000}"/>
    <cellStyle name="Normal 2 2 5" xfId="72" xr:uid="{00000000-0005-0000-0000-000053020000}"/>
    <cellStyle name="Normal 2 2 6" xfId="118" xr:uid="{00000000-0005-0000-0000-000054020000}"/>
    <cellStyle name="Normal 2 2_Estimated BOQ, cost, summary" xfId="73" xr:uid="{00000000-0005-0000-0000-000055020000}"/>
    <cellStyle name="Normal 2 20" xfId="676" xr:uid="{00000000-0005-0000-0000-000056020000}"/>
    <cellStyle name="Normal 2 21" xfId="677" xr:uid="{00000000-0005-0000-0000-000057020000}"/>
    <cellStyle name="Normal 2 3" xfId="74" xr:uid="{00000000-0005-0000-0000-000058020000}"/>
    <cellStyle name="Normal 2 3 2" xfId="75" xr:uid="{00000000-0005-0000-0000-000059020000}"/>
    <cellStyle name="Normal 2 3 3" xfId="131" xr:uid="{00000000-0005-0000-0000-00005A020000}"/>
    <cellStyle name="Normal 2 4" xfId="76" xr:uid="{00000000-0005-0000-0000-00005B020000}"/>
    <cellStyle name="Normal 2 4 2" xfId="743" xr:uid="{00000000-0005-0000-0000-00005C020000}"/>
    <cellStyle name="Normal 2 5" xfId="77" xr:uid="{00000000-0005-0000-0000-00005D020000}"/>
    <cellStyle name="Normal 2 6" xfId="78" xr:uid="{00000000-0005-0000-0000-00005E020000}"/>
    <cellStyle name="Normal 2 7" xfId="79" xr:uid="{00000000-0005-0000-0000-00005F020000}"/>
    <cellStyle name="Normal 2 7 2" xfId="550" xr:uid="{00000000-0005-0000-0000-000060020000}"/>
    <cellStyle name="Normal 2 8" xfId="80" xr:uid="{00000000-0005-0000-0000-000061020000}"/>
    <cellStyle name="Normal 2 8 2" xfId="551" xr:uid="{00000000-0005-0000-0000-000062020000}"/>
    <cellStyle name="Normal 2 9" xfId="81" xr:uid="{00000000-0005-0000-0000-000063020000}"/>
    <cellStyle name="Normal 2 9 2" xfId="127" xr:uid="{00000000-0005-0000-0000-000064020000}"/>
    <cellStyle name="Normal 2 9 2 2" xfId="552" xr:uid="{00000000-0005-0000-0000-000065020000}"/>
    <cellStyle name="Normal 2 9 3" xfId="553" xr:uid="{00000000-0005-0000-0000-000066020000}"/>
    <cellStyle name="Normal 2_150m3" xfId="438" xr:uid="{00000000-0005-0000-0000-000067020000}"/>
    <cellStyle name="Normal 20" xfId="388" xr:uid="{00000000-0005-0000-0000-000068020000}"/>
    <cellStyle name="Normal 21" xfId="395" xr:uid="{00000000-0005-0000-0000-000069020000}"/>
    <cellStyle name="Normal 22" xfId="475" xr:uid="{00000000-0005-0000-0000-00006A020000}"/>
    <cellStyle name="Normal 23" xfId="591" xr:uid="{00000000-0005-0000-0000-00006B020000}"/>
    <cellStyle name="Normal 24" xfId="637" xr:uid="{00000000-0005-0000-0000-00006C020000}"/>
    <cellStyle name="Normal 25" xfId="725" xr:uid="{00000000-0005-0000-0000-00006D020000}"/>
    <cellStyle name="Normal 25 4" xfId="738" xr:uid="{00000000-0005-0000-0000-00006E020000}"/>
    <cellStyle name="Normal 26" xfId="729" xr:uid="{00000000-0005-0000-0000-00006F020000}"/>
    <cellStyle name="Normal 27" xfId="735" xr:uid="{00000000-0005-0000-0000-000070020000}"/>
    <cellStyle name="Normal 28" xfId="751" xr:uid="{00000000-0005-0000-0000-000071020000}"/>
    <cellStyle name="Normal 29" xfId="756" xr:uid="{00000000-0005-0000-0000-000072020000}"/>
    <cellStyle name="Normal 3" xfId="82" xr:uid="{00000000-0005-0000-0000-000073020000}"/>
    <cellStyle name="Normal 3 2" xfId="83" xr:uid="{00000000-0005-0000-0000-000074020000}"/>
    <cellStyle name="Normal 3 2 2" xfId="554" xr:uid="{00000000-0005-0000-0000-000075020000}"/>
    <cellStyle name="Normal 3 22" xfId="741" xr:uid="{00000000-0005-0000-0000-000076020000}"/>
    <cellStyle name="Normal 3 3" xfId="84" xr:uid="{00000000-0005-0000-0000-000077020000}"/>
    <cellStyle name="Normal 3 3 2" xfId="128" xr:uid="{00000000-0005-0000-0000-000078020000}"/>
    <cellStyle name="Normal 3 3 3" xfId="555" xr:uid="{00000000-0005-0000-0000-000079020000}"/>
    <cellStyle name="Normal 3 3 4" xfId="556" xr:uid="{00000000-0005-0000-0000-00007A020000}"/>
    <cellStyle name="Normal 3 4" xfId="129" xr:uid="{00000000-0005-0000-0000-00007B020000}"/>
    <cellStyle name="Normal 3_Cost Estimate for ghat renovation" xfId="557" xr:uid="{00000000-0005-0000-0000-00007C020000}"/>
    <cellStyle name="Normal 30" xfId="757" xr:uid="{00000000-0005-0000-0000-00007D020000}"/>
    <cellStyle name="Normal 31" xfId="755" xr:uid="{00000000-0005-0000-0000-00007E020000}"/>
    <cellStyle name="Normal 32" xfId="750" xr:uid="{00000000-0005-0000-0000-00007F020000}"/>
    <cellStyle name="Normal 4" xfId="85" xr:uid="{00000000-0005-0000-0000-000080020000}"/>
    <cellStyle name="Normal 4 2" xfId="86" xr:uid="{00000000-0005-0000-0000-000081020000}"/>
    <cellStyle name="Normal 4 2 2" xfId="134" xr:uid="{00000000-0005-0000-0000-000082020000}"/>
    <cellStyle name="Normal 4 2 3" xfId="558" xr:uid="{00000000-0005-0000-0000-000083020000}"/>
    <cellStyle name="Normal 4 3" xfId="87" xr:uid="{00000000-0005-0000-0000-000084020000}"/>
    <cellStyle name="Normal 4 3 2" xfId="135" xr:uid="{00000000-0005-0000-0000-000085020000}"/>
    <cellStyle name="Normal 4 3 3" xfId="559" xr:uid="{00000000-0005-0000-0000-000086020000}"/>
    <cellStyle name="Normal 4 4" xfId="88" xr:uid="{00000000-0005-0000-0000-000087020000}"/>
    <cellStyle name="Normal 4 5" xfId="119" xr:uid="{00000000-0005-0000-0000-000088020000}"/>
    <cellStyle name="Normal 4 6" xfId="733" xr:uid="{00000000-0005-0000-0000-000089020000}"/>
    <cellStyle name="Normal 4_0.JHOR JAHANIYA ESTIMATE" xfId="89" xr:uid="{00000000-0005-0000-0000-00008A020000}"/>
    <cellStyle name="Normal 5" xfId="90" xr:uid="{00000000-0005-0000-0000-00008B020000}"/>
    <cellStyle name="Normal 5 2" xfId="91" xr:uid="{00000000-0005-0000-0000-00008C020000}"/>
    <cellStyle name="Normal 5 2 2" xfId="132" xr:uid="{00000000-0005-0000-0000-00008D020000}"/>
    <cellStyle name="Normal 5 2 2 2" xfId="136" xr:uid="{00000000-0005-0000-0000-00008E020000}"/>
    <cellStyle name="Normal 5 2 3" xfId="560" xr:uid="{00000000-0005-0000-0000-00008F020000}"/>
    <cellStyle name="Normal 5 2 3 2" xfId="561" xr:uid="{00000000-0005-0000-0000-000090020000}"/>
    <cellStyle name="Normal 5 2 4" xfId="562" xr:uid="{00000000-0005-0000-0000-000091020000}"/>
    <cellStyle name="Normal 5 2_Setidevi-1" xfId="133" xr:uid="{00000000-0005-0000-0000-000092020000}"/>
    <cellStyle name="Normal 5 3" xfId="92" xr:uid="{00000000-0005-0000-0000-000093020000}"/>
    <cellStyle name="Normal 5 6" xfId="563" xr:uid="{00000000-0005-0000-0000-000094020000}"/>
    <cellStyle name="Normal 5_Setidevi-1" xfId="93" xr:uid="{00000000-0005-0000-0000-000095020000}"/>
    <cellStyle name="Normal 6" xfId="94" xr:uid="{00000000-0005-0000-0000-000096020000}"/>
    <cellStyle name="Normal 6 2" xfId="95" xr:uid="{00000000-0005-0000-0000-000097020000}"/>
    <cellStyle name="Normal 6 3" xfId="120" xr:uid="{00000000-0005-0000-0000-000098020000}"/>
    <cellStyle name="Normal 6 4" xfId="744" xr:uid="{00000000-0005-0000-0000-000099020000}"/>
    <cellStyle name="Normal 7" xfId="96" xr:uid="{00000000-0005-0000-0000-00009A020000}"/>
    <cellStyle name="Normal 7 2" xfId="130" xr:uid="{00000000-0005-0000-0000-00009B020000}"/>
    <cellStyle name="Normal 7 3" xfId="564" xr:uid="{00000000-0005-0000-0000-00009C020000}"/>
    <cellStyle name="Normal 7 4" xfId="746" xr:uid="{00000000-0005-0000-0000-00009D020000}"/>
    <cellStyle name="Normal 8" xfId="97" xr:uid="{00000000-0005-0000-0000-00009E020000}"/>
    <cellStyle name="Normal 8 2" xfId="98" xr:uid="{00000000-0005-0000-0000-00009F020000}"/>
    <cellStyle name="Normal 8 3" xfId="121" xr:uid="{00000000-0005-0000-0000-0000A0020000}"/>
    <cellStyle name="Normal 9" xfId="99" xr:uid="{00000000-0005-0000-0000-0000A1020000}"/>
    <cellStyle name="Normal 9 2" xfId="565" xr:uid="{00000000-0005-0000-0000-0000A2020000}"/>
    <cellStyle name="Normal_Rates" xfId="734" xr:uid="{00000000-0005-0000-0000-0000A3020000}"/>
    <cellStyle name="Normalaprom-lat" xfId="100" xr:uid="{00000000-0005-0000-0000-0000A4020000}"/>
    <cellStyle name="Note 10" xfId="583" xr:uid="{00000000-0005-0000-0000-0000A5020000}"/>
    <cellStyle name="Note 11" xfId="629" xr:uid="{00000000-0005-0000-0000-0000A6020000}"/>
    <cellStyle name="Note 12" xfId="684" xr:uid="{00000000-0005-0000-0000-0000A7020000}"/>
    <cellStyle name="Note 13" xfId="701" xr:uid="{00000000-0005-0000-0000-0000A8020000}"/>
    <cellStyle name="Note 2" xfId="101" xr:uid="{00000000-0005-0000-0000-0000A9020000}"/>
    <cellStyle name="Note 3" xfId="205" xr:uid="{00000000-0005-0000-0000-0000AA020000}"/>
    <cellStyle name="Note 4" xfId="237" xr:uid="{00000000-0005-0000-0000-0000AB020000}"/>
    <cellStyle name="Note 5" xfId="261" xr:uid="{00000000-0005-0000-0000-0000AC020000}"/>
    <cellStyle name="Note 6" xfId="329" xr:uid="{00000000-0005-0000-0000-0000AD020000}"/>
    <cellStyle name="Note 7" xfId="366" xr:uid="{00000000-0005-0000-0000-0000AE020000}"/>
    <cellStyle name="Note 8" xfId="390" xr:uid="{00000000-0005-0000-0000-0000AF020000}"/>
    <cellStyle name="Note 9" xfId="453" xr:uid="{00000000-0005-0000-0000-0000B0020000}"/>
    <cellStyle name="Output 10" xfId="584" xr:uid="{00000000-0005-0000-0000-0000B1020000}"/>
    <cellStyle name="Output 11" xfId="630" xr:uid="{00000000-0005-0000-0000-0000B2020000}"/>
    <cellStyle name="Output 12" xfId="685" xr:uid="{00000000-0005-0000-0000-0000B3020000}"/>
    <cellStyle name="Output 13" xfId="700" xr:uid="{00000000-0005-0000-0000-0000B4020000}"/>
    <cellStyle name="Output 2" xfId="102" xr:uid="{00000000-0005-0000-0000-0000B5020000}"/>
    <cellStyle name="Output 3" xfId="206" xr:uid="{00000000-0005-0000-0000-0000B6020000}"/>
    <cellStyle name="Output 4" xfId="238" xr:uid="{00000000-0005-0000-0000-0000B7020000}"/>
    <cellStyle name="Output 5" xfId="262" xr:uid="{00000000-0005-0000-0000-0000B8020000}"/>
    <cellStyle name="Output 6" xfId="330" xr:uid="{00000000-0005-0000-0000-0000B9020000}"/>
    <cellStyle name="Output 7" xfId="367" xr:uid="{00000000-0005-0000-0000-0000BA020000}"/>
    <cellStyle name="Output 8" xfId="391" xr:uid="{00000000-0005-0000-0000-0000BB020000}"/>
    <cellStyle name="Output 9" xfId="454" xr:uid="{00000000-0005-0000-0000-0000BC020000}"/>
    <cellStyle name="Percent [2]" xfId="103" xr:uid="{00000000-0005-0000-0000-0000BD020000}"/>
    <cellStyle name="Percent [2] 2" xfId="104" xr:uid="{00000000-0005-0000-0000-0000BE020000}"/>
    <cellStyle name="Percent [2] 3" xfId="122" xr:uid="{00000000-0005-0000-0000-0000BF020000}"/>
    <cellStyle name="Percent 2" xfId="105" xr:uid="{00000000-0005-0000-0000-0000C0020000}"/>
    <cellStyle name="Percent 2 2" xfId="137" xr:uid="{00000000-0005-0000-0000-0000C1020000}"/>
    <cellStyle name="Percent 3" xfId="566" xr:uid="{00000000-0005-0000-0000-0000C2020000}"/>
    <cellStyle name="Reset  - Style4" xfId="567" xr:uid="{00000000-0005-0000-0000-0000C3020000}"/>
    <cellStyle name="special" xfId="568" xr:uid="{00000000-0005-0000-0000-0000C4020000}"/>
    <cellStyle name="STYL1 - Style1" xfId="569" xr:uid="{00000000-0005-0000-0000-0000C5020000}"/>
    <cellStyle name="STYL2 - Style2" xfId="570" xr:uid="{00000000-0005-0000-0000-0000C6020000}"/>
    <cellStyle name="Table  - Style5" xfId="571" xr:uid="{00000000-0005-0000-0000-0000C7020000}"/>
    <cellStyle name="Title  - Style6" xfId="572" xr:uid="{00000000-0005-0000-0000-0000C8020000}"/>
    <cellStyle name="Title  - Style6 2" xfId="573" xr:uid="{00000000-0005-0000-0000-0000C9020000}"/>
    <cellStyle name="Title 10" xfId="585" xr:uid="{00000000-0005-0000-0000-0000CA020000}"/>
    <cellStyle name="Title 11" xfId="631" xr:uid="{00000000-0005-0000-0000-0000CB020000}"/>
    <cellStyle name="Title 12" xfId="689" xr:uid="{00000000-0005-0000-0000-0000CC020000}"/>
    <cellStyle name="Title 13" xfId="675" xr:uid="{00000000-0005-0000-0000-0000CD020000}"/>
    <cellStyle name="Title 2" xfId="106" xr:uid="{00000000-0005-0000-0000-0000CE020000}"/>
    <cellStyle name="Title 3" xfId="210" xr:uid="{00000000-0005-0000-0000-0000CF020000}"/>
    <cellStyle name="Title 4" xfId="242" xr:uid="{00000000-0005-0000-0000-0000D0020000}"/>
    <cellStyle name="Title 5" xfId="263" xr:uid="{00000000-0005-0000-0000-0000D1020000}"/>
    <cellStyle name="Title 6" xfId="331" xr:uid="{00000000-0005-0000-0000-0000D2020000}"/>
    <cellStyle name="Title 7" xfId="371" xr:uid="{00000000-0005-0000-0000-0000D3020000}"/>
    <cellStyle name="Title 8" xfId="392" xr:uid="{00000000-0005-0000-0000-0000D4020000}"/>
    <cellStyle name="Title 9" xfId="458" xr:uid="{00000000-0005-0000-0000-0000D5020000}"/>
    <cellStyle name="Total 10" xfId="586" xr:uid="{00000000-0005-0000-0000-0000D6020000}"/>
    <cellStyle name="Total 11" xfId="632" xr:uid="{00000000-0005-0000-0000-0000D7020000}"/>
    <cellStyle name="Total 12" xfId="690" xr:uid="{00000000-0005-0000-0000-0000D8020000}"/>
    <cellStyle name="Total 13" xfId="674" xr:uid="{00000000-0005-0000-0000-0000D9020000}"/>
    <cellStyle name="Total 2" xfId="107" xr:uid="{00000000-0005-0000-0000-0000DA020000}"/>
    <cellStyle name="Total 3" xfId="211" xr:uid="{00000000-0005-0000-0000-0000DB020000}"/>
    <cellStyle name="Total 4" xfId="243" xr:uid="{00000000-0005-0000-0000-0000DC020000}"/>
    <cellStyle name="Total 5" xfId="264" xr:uid="{00000000-0005-0000-0000-0000DD020000}"/>
    <cellStyle name="Total 6" xfId="332" xr:uid="{00000000-0005-0000-0000-0000DE020000}"/>
    <cellStyle name="Total 7" xfId="372" xr:uid="{00000000-0005-0000-0000-0000DF020000}"/>
    <cellStyle name="Total 8" xfId="393" xr:uid="{00000000-0005-0000-0000-0000E0020000}"/>
    <cellStyle name="Total 9" xfId="459" xr:uid="{00000000-0005-0000-0000-0000E1020000}"/>
    <cellStyle name="TotCol - Style7" xfId="574" xr:uid="{00000000-0005-0000-0000-0000E2020000}"/>
    <cellStyle name="TotRow - Style8" xfId="575" xr:uid="{00000000-0005-0000-0000-0000E3020000}"/>
    <cellStyle name="Turn" xfId="576" xr:uid="{00000000-0005-0000-0000-0000E4020000}"/>
    <cellStyle name="Warning Text 10" xfId="587" xr:uid="{00000000-0005-0000-0000-0000E5020000}"/>
    <cellStyle name="Warning Text 11" xfId="633" xr:uid="{00000000-0005-0000-0000-0000E6020000}"/>
    <cellStyle name="Warning Text 12" xfId="691" xr:uid="{00000000-0005-0000-0000-0000E7020000}"/>
    <cellStyle name="Warning Text 13" xfId="699" xr:uid="{00000000-0005-0000-0000-0000E8020000}"/>
    <cellStyle name="Warning Text 2" xfId="108" xr:uid="{00000000-0005-0000-0000-0000E9020000}"/>
    <cellStyle name="Warning Text 3" xfId="212" xr:uid="{00000000-0005-0000-0000-0000EA020000}"/>
    <cellStyle name="Warning Text 4" xfId="244" xr:uid="{00000000-0005-0000-0000-0000EB020000}"/>
    <cellStyle name="Warning Text 5" xfId="265" xr:uid="{00000000-0005-0000-0000-0000EC020000}"/>
    <cellStyle name="Warning Text 6" xfId="333" xr:uid="{00000000-0005-0000-0000-0000ED020000}"/>
    <cellStyle name="Warning Text 7" xfId="373" xr:uid="{00000000-0005-0000-0000-0000EE020000}"/>
    <cellStyle name="Warning Text 8" xfId="394" xr:uid="{00000000-0005-0000-0000-0000EF020000}"/>
    <cellStyle name="Warning Text 9" xfId="460" xr:uid="{00000000-0005-0000-0000-0000F0020000}"/>
    <cellStyle name="백분율_95" xfId="577" xr:uid="{00000000-0005-0000-0000-0000F1020000}"/>
    <cellStyle name="콤마 [0]_95" xfId="578" xr:uid="{00000000-0005-0000-0000-0000F2020000}"/>
    <cellStyle name="콤마_95" xfId="579" xr:uid="{00000000-0005-0000-0000-0000F3020000}"/>
    <cellStyle name="통화 [0]_95" xfId="580" xr:uid="{00000000-0005-0000-0000-0000F4020000}"/>
    <cellStyle name="통화_95" xfId="581" xr:uid="{00000000-0005-0000-0000-0000F5020000}"/>
    <cellStyle name="표준_4월실적" xfId="582" xr:uid="{00000000-0005-0000-0000-0000F6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482136</xdr:colOff>
      <xdr:row>8</xdr:row>
      <xdr:rowOff>91719</xdr:rowOff>
    </xdr:from>
    <xdr:to>
      <xdr:col>3</xdr:col>
      <xdr:colOff>2569</xdr:colOff>
      <xdr:row>9</xdr:row>
      <xdr:rowOff>96320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876596" y="546026619"/>
          <a:ext cx="320533" cy="23320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=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rate%20analysis%2080-81\For%20all%20Civil%20rate%20analysis%2080-81%20shankharapur%20Municipalit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stimate%20FY%2080-81\rate%20analysis%2080-81\For%20all%20Civil%20rate%20analysis%2080-81%20shankharapur%20Municipalit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3">
          <cell r="H43">
            <v>14911.97</v>
          </cell>
        </row>
        <row r="67">
          <cell r="H67">
            <v>17107.900000000001</v>
          </cell>
        </row>
        <row r="77">
          <cell r="H77">
            <v>130210</v>
          </cell>
        </row>
        <row r="155">
          <cell r="H155">
            <v>692.38</v>
          </cell>
        </row>
        <row r="187">
          <cell r="H187">
            <v>286.77</v>
          </cell>
        </row>
        <row r="215">
          <cell r="H215">
            <v>402.23</v>
          </cell>
        </row>
        <row r="312">
          <cell r="H312">
            <v>9900</v>
          </cell>
        </row>
        <row r="314">
          <cell r="H314">
            <v>97.2</v>
          </cell>
        </row>
        <row r="412">
          <cell r="H412">
            <v>2761</v>
          </cell>
        </row>
      </sheetData>
      <sheetData sheetId="7" refreshError="1">
        <row r="396">
          <cell r="G396">
            <v>8765.1200000000008</v>
          </cell>
        </row>
        <row r="397">
          <cell r="G397">
            <v>1443.1000000000001</v>
          </cell>
        </row>
        <row r="398">
          <cell r="G398">
            <v>701.96</v>
          </cell>
        </row>
        <row r="676">
          <cell r="G676">
            <v>5772.4000000000005</v>
          </cell>
        </row>
        <row r="677">
          <cell r="G677">
            <v>2052.92</v>
          </cell>
        </row>
        <row r="678">
          <cell r="G678">
            <v>901.11</v>
          </cell>
        </row>
        <row r="679">
          <cell r="G679">
            <v>1065.47</v>
          </cell>
        </row>
        <row r="1804">
          <cell r="G1804">
            <v>1876.03</v>
          </cell>
        </row>
        <row r="1805">
          <cell r="G1805">
            <v>451.26</v>
          </cell>
        </row>
        <row r="1806">
          <cell r="G1806">
            <v>1296.58</v>
          </cell>
        </row>
        <row r="2269">
          <cell r="H2269">
            <v>767.72</v>
          </cell>
        </row>
        <row r="2611">
          <cell r="G2611">
            <v>7763.87</v>
          </cell>
        </row>
        <row r="2612">
          <cell r="G2612">
            <v>3660.23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0">
          <cell r="H100">
            <v>1065.6608695652174</v>
          </cell>
        </row>
        <row r="329">
          <cell r="H329">
            <v>68.400000000000006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0"/>
  <sheetViews>
    <sheetView view="pageBreakPreview" topLeftCell="A33" zoomScaleNormal="100" zoomScaleSheetLayoutView="100" workbookViewId="0">
      <selection activeCell="N10" sqref="N10"/>
    </sheetView>
  </sheetViews>
  <sheetFormatPr defaultColWidth="9.140625" defaultRowHeight="16.5"/>
  <cols>
    <col min="1" max="1" width="3.7109375" style="1" customWidth="1"/>
    <col min="2" max="2" width="10.85546875" style="4" customWidth="1"/>
    <col min="3" max="3" width="30.5703125" style="8" customWidth="1"/>
    <col min="4" max="4" width="7" style="1" bestFit="1" customWidth="1"/>
    <col min="5" max="5" width="10.42578125" style="1" bestFit="1" customWidth="1"/>
    <col min="6" max="6" width="10" style="1" customWidth="1"/>
    <col min="7" max="7" width="9.7109375" style="1" customWidth="1"/>
    <col min="8" max="8" width="11" style="1" customWidth="1"/>
    <col min="9" max="9" width="7.5703125" style="1" customWidth="1"/>
    <col min="10" max="10" width="9.85546875" style="2" customWidth="1"/>
    <col min="11" max="11" width="14.5703125" style="1" bestFit="1" customWidth="1"/>
    <col min="12" max="12" width="10.7109375" style="1" bestFit="1" customWidth="1"/>
    <col min="13" max="13" width="9.140625" style="1"/>
    <col min="14" max="14" width="13.28515625" style="1" bestFit="1" customWidth="1"/>
    <col min="15" max="15" width="9.140625" style="1"/>
    <col min="16" max="16" width="14" style="1" bestFit="1" customWidth="1"/>
    <col min="17" max="17" width="11.7109375" style="1" bestFit="1" customWidth="1"/>
    <col min="18" max="16384" width="9.140625" style="1"/>
  </cols>
  <sheetData>
    <row r="1" spans="1:18">
      <c r="A1" s="176" t="s">
        <v>11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</row>
    <row r="2" spans="1:18" ht="20.25">
      <c r="A2" s="177" t="s">
        <v>16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</row>
    <row r="3" spans="1:18">
      <c r="A3" s="176" t="s">
        <v>17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</row>
    <row r="4" spans="1:18">
      <c r="A4" s="178" t="s">
        <v>22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</row>
    <row r="5" spans="1:18" ht="19.5">
      <c r="A5" s="6"/>
      <c r="B5" s="4" t="s">
        <v>27</v>
      </c>
      <c r="C5" s="28" t="s">
        <v>93</v>
      </c>
      <c r="H5" s="6"/>
      <c r="K5" s="179" t="s">
        <v>69</v>
      </c>
      <c r="L5" s="179"/>
    </row>
    <row r="6" spans="1:18">
      <c r="B6" s="175" t="s">
        <v>28</v>
      </c>
      <c r="C6" s="175"/>
      <c r="D6" s="175"/>
      <c r="E6" s="175"/>
      <c r="F6" s="175"/>
      <c r="G6" s="175"/>
      <c r="H6" s="3"/>
      <c r="I6" s="174" t="s">
        <v>100</v>
      </c>
      <c r="J6" s="174"/>
      <c r="K6" s="174"/>
      <c r="L6" s="174"/>
      <c r="O6" s="174" t="s">
        <v>70</v>
      </c>
      <c r="P6" s="174"/>
      <c r="Q6" s="174"/>
      <c r="R6" s="174"/>
    </row>
    <row r="7" spans="1:18" ht="17.25" thickBot="1">
      <c r="C7" s="5"/>
      <c r="D7" s="6"/>
      <c r="E7" s="3"/>
      <c r="F7" s="3"/>
      <c r="G7" s="3"/>
      <c r="H7" s="3"/>
      <c r="J7" s="7"/>
      <c r="K7" s="3"/>
      <c r="L7" s="8"/>
    </row>
    <row r="8" spans="1:18" ht="17.25" thickBot="1">
      <c r="A8" s="2"/>
      <c r="B8" s="12" t="s">
        <v>0</v>
      </c>
      <c r="C8" s="13" t="s">
        <v>1</v>
      </c>
      <c r="D8" s="17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5" t="s">
        <v>7</v>
      </c>
      <c r="J8" s="14" t="s">
        <v>8</v>
      </c>
      <c r="K8" s="14" t="s">
        <v>9</v>
      </c>
      <c r="L8" s="16" t="s">
        <v>10</v>
      </c>
    </row>
    <row r="9" spans="1:18" ht="18">
      <c r="A9" s="2"/>
      <c r="B9" s="83" t="s">
        <v>94</v>
      </c>
      <c r="C9" s="84" t="s">
        <v>95</v>
      </c>
      <c r="D9" s="85"/>
      <c r="E9" s="86"/>
      <c r="F9" s="86"/>
      <c r="G9" s="86"/>
      <c r="H9" s="86"/>
      <c r="I9" s="87"/>
      <c r="J9" s="86"/>
      <c r="K9" s="86"/>
      <c r="L9" s="88"/>
    </row>
    <row r="10" spans="1:18" ht="35.1" customHeight="1">
      <c r="B10" s="80">
        <v>1</v>
      </c>
      <c r="C10" s="79" t="s">
        <v>73</v>
      </c>
      <c r="D10" s="24">
        <v>1</v>
      </c>
      <c r="E10" s="70">
        <v>4.5</v>
      </c>
      <c r="F10" s="70">
        <v>3</v>
      </c>
      <c r="G10" s="70">
        <v>0.1</v>
      </c>
      <c r="H10" s="70">
        <f>D10*E10*F10*G10</f>
        <v>1.35</v>
      </c>
      <c r="I10" s="24" t="s">
        <v>35</v>
      </c>
      <c r="J10" s="70">
        <f>'[1]Table of Content 2'!$H$312</f>
        <v>9900</v>
      </c>
      <c r="K10" s="70">
        <f>H10*J10</f>
        <v>13365</v>
      </c>
      <c r="L10" s="25"/>
    </row>
    <row r="11" spans="1:18" ht="18.75">
      <c r="B11" s="80"/>
      <c r="C11" s="79"/>
      <c r="D11" s="24"/>
      <c r="E11" s="70"/>
      <c r="F11" s="70"/>
      <c r="G11" s="70"/>
      <c r="H11" s="70"/>
      <c r="I11" s="24"/>
      <c r="J11" s="70"/>
      <c r="K11" s="70"/>
      <c r="L11" s="25"/>
    </row>
    <row r="12" spans="1:18" ht="35.1" customHeight="1">
      <c r="B12" s="80">
        <v>2</v>
      </c>
      <c r="C12" s="79" t="s">
        <v>74</v>
      </c>
      <c r="D12" s="24">
        <v>2</v>
      </c>
      <c r="E12" s="70">
        <f>E10</f>
        <v>4.5</v>
      </c>
      <c r="F12" s="70"/>
      <c r="G12" s="70">
        <v>1.4</v>
      </c>
      <c r="H12" s="70">
        <f>D12*E12*G12</f>
        <v>12.6</v>
      </c>
      <c r="I12" s="70"/>
      <c r="J12" s="70"/>
      <c r="K12" s="70"/>
      <c r="L12" s="25"/>
    </row>
    <row r="13" spans="1:18">
      <c r="B13" s="80"/>
      <c r="C13" s="21"/>
      <c r="D13" s="24">
        <v>2</v>
      </c>
      <c r="E13" s="70">
        <f>F10</f>
        <v>3</v>
      </c>
      <c r="F13" s="70"/>
      <c r="G13" s="70">
        <v>1.4</v>
      </c>
      <c r="H13" s="70">
        <f>D13*E13*G13</f>
        <v>8.3999999999999986</v>
      </c>
      <c r="I13" s="70"/>
      <c r="J13" s="70"/>
      <c r="K13" s="70"/>
      <c r="L13" s="25"/>
    </row>
    <row r="14" spans="1:18">
      <c r="B14" s="80"/>
      <c r="C14" s="20"/>
      <c r="D14" s="24"/>
      <c r="E14" s="70"/>
      <c r="F14" s="70"/>
      <c r="G14" s="71"/>
      <c r="H14" s="70">
        <f>SUM(H12:H13)</f>
        <v>21</v>
      </c>
      <c r="I14" s="24" t="s">
        <v>40</v>
      </c>
      <c r="J14" s="70">
        <f>'[1]Table of Content 2'!$H$314</f>
        <v>97.2</v>
      </c>
      <c r="K14" s="70">
        <f>H14*J14</f>
        <v>2041.2</v>
      </c>
      <c r="L14" s="25"/>
    </row>
    <row r="15" spans="1:18">
      <c r="B15" s="80"/>
      <c r="C15" s="27"/>
      <c r="D15" s="24"/>
      <c r="E15" s="70"/>
      <c r="F15" s="70"/>
      <c r="G15" s="71"/>
      <c r="H15" s="70"/>
      <c r="I15" s="24"/>
      <c r="J15" s="70"/>
      <c r="K15" s="70"/>
      <c r="L15" s="25"/>
    </row>
    <row r="16" spans="1:18" ht="35.1" customHeight="1">
      <c r="B16" s="80">
        <v>3</v>
      </c>
      <c r="C16" s="79" t="s">
        <v>75</v>
      </c>
      <c r="D16" s="24">
        <v>2</v>
      </c>
      <c r="E16" s="70">
        <f>E12</f>
        <v>4.5</v>
      </c>
      <c r="F16" s="70">
        <v>0.1</v>
      </c>
      <c r="G16" s="70">
        <v>0.9</v>
      </c>
      <c r="H16" s="70">
        <f>D16*E16*F16*G16</f>
        <v>0.81</v>
      </c>
      <c r="I16" s="72"/>
      <c r="J16" s="72"/>
      <c r="K16" s="72"/>
      <c r="L16" s="25"/>
    </row>
    <row r="17" spans="2:12" ht="18.75">
      <c r="B17" s="80"/>
      <c r="C17" s="79"/>
      <c r="D17" s="24">
        <v>2</v>
      </c>
      <c r="E17" s="70">
        <f>E13</f>
        <v>3</v>
      </c>
      <c r="F17" s="70">
        <v>0.1</v>
      </c>
      <c r="G17" s="70">
        <v>0.9</v>
      </c>
      <c r="H17" s="70">
        <f>D17*E17*F17*G17</f>
        <v>0.54000000000000015</v>
      </c>
      <c r="I17" s="72"/>
      <c r="J17" s="72"/>
      <c r="K17" s="72"/>
      <c r="L17" s="25"/>
    </row>
    <row r="18" spans="2:12" ht="18.75">
      <c r="B18" s="80"/>
      <c r="C18" s="79"/>
      <c r="D18" s="24">
        <v>1</v>
      </c>
      <c r="E18" s="70">
        <f>2*(5+4)/3.28</f>
        <v>5.4878048780487809</v>
      </c>
      <c r="F18" s="70">
        <v>0.23</v>
      </c>
      <c r="G18" s="70">
        <v>0.45</v>
      </c>
      <c r="H18" s="70">
        <f>D18*E18*F18*G18</f>
        <v>0.5679878048780489</v>
      </c>
      <c r="I18" s="72"/>
      <c r="J18" s="72"/>
      <c r="K18" s="72"/>
      <c r="L18" s="25"/>
    </row>
    <row r="19" spans="2:12">
      <c r="B19" s="80"/>
      <c r="C19" s="20"/>
      <c r="D19" s="24"/>
      <c r="E19" s="70"/>
      <c r="F19" s="70"/>
      <c r="G19" s="71"/>
      <c r="H19" s="70">
        <f>SUM(H16:H18)</f>
        <v>1.917987804878049</v>
      </c>
      <c r="I19" s="24" t="s">
        <v>35</v>
      </c>
      <c r="J19" s="73">
        <f>'[1]Table of Content 2'!$H$43</f>
        <v>14911.97</v>
      </c>
      <c r="K19" s="73">
        <f>H19*J19</f>
        <v>28600.976606707318</v>
      </c>
      <c r="L19" s="25"/>
    </row>
    <row r="20" spans="2:12">
      <c r="B20" s="80"/>
      <c r="C20" s="19" t="s">
        <v>29</v>
      </c>
      <c r="D20" s="24"/>
      <c r="E20" s="70"/>
      <c r="F20" s="70"/>
      <c r="G20" s="71"/>
      <c r="H20" s="72"/>
      <c r="I20" s="24"/>
      <c r="J20" s="73"/>
      <c r="K20" s="73">
        <f>'[1]Update Descrip'!$G$397*H19*0.13</f>
        <v>359.82026615853664</v>
      </c>
      <c r="L20" s="25"/>
    </row>
    <row r="21" spans="2:12">
      <c r="B21" s="80"/>
      <c r="C21" s="19" t="s">
        <v>30</v>
      </c>
      <c r="D21" s="72"/>
      <c r="E21" s="72"/>
      <c r="F21" s="72"/>
      <c r="G21" s="72"/>
      <c r="H21" s="72"/>
      <c r="I21" s="72"/>
      <c r="J21" s="73"/>
      <c r="K21" s="73">
        <f>'[1]Update Descrip'!$G$398*H19*0.13</f>
        <v>175.0255935365854</v>
      </c>
      <c r="L21" s="25"/>
    </row>
    <row r="22" spans="2:12">
      <c r="B22" s="80"/>
      <c r="C22" s="19" t="s">
        <v>38</v>
      </c>
      <c r="D22" s="24"/>
      <c r="E22" s="70"/>
      <c r="F22" s="70"/>
      <c r="G22" s="71"/>
      <c r="H22" s="70"/>
      <c r="I22" s="24"/>
      <c r="J22" s="73"/>
      <c r="K22" s="73">
        <f>'[1]Update Descrip'!$G$396*H19*0.13</f>
        <v>2185.4811248780493</v>
      </c>
      <c r="L22" s="25"/>
    </row>
    <row r="23" spans="2:12">
      <c r="B23" s="80"/>
      <c r="C23" s="20"/>
      <c r="D23" s="24"/>
      <c r="E23" s="70"/>
      <c r="F23" s="70"/>
      <c r="G23" s="71"/>
      <c r="H23" s="70"/>
      <c r="I23" s="24"/>
      <c r="J23" s="73"/>
      <c r="K23" s="73"/>
      <c r="L23" s="25"/>
    </row>
    <row r="24" spans="2:12" ht="35.1" customHeight="1">
      <c r="B24" s="80">
        <v>4</v>
      </c>
      <c r="C24" s="79" t="s">
        <v>80</v>
      </c>
      <c r="D24" s="24">
        <f>E25/0.15</f>
        <v>20</v>
      </c>
      <c r="E24" s="70">
        <f>E16</f>
        <v>4.5</v>
      </c>
      <c r="F24" s="70"/>
      <c r="G24" s="71">
        <f>10*10/162</f>
        <v>0.61728395061728392</v>
      </c>
      <c r="H24" s="70">
        <f>D24*E24*G24</f>
        <v>55.55555555555555</v>
      </c>
      <c r="I24" s="24"/>
      <c r="J24" s="73"/>
      <c r="K24" s="73"/>
      <c r="L24" s="25"/>
    </row>
    <row r="25" spans="2:12">
      <c r="B25" s="80"/>
      <c r="C25" s="19"/>
      <c r="D25" s="24">
        <f>E24/0.15</f>
        <v>30</v>
      </c>
      <c r="E25" s="70">
        <f>E17</f>
        <v>3</v>
      </c>
      <c r="F25" s="70"/>
      <c r="G25" s="71">
        <f>10*10/162</f>
        <v>0.61728395061728392</v>
      </c>
      <c r="H25" s="70">
        <f>D25*E25*G25</f>
        <v>55.55555555555555</v>
      </c>
      <c r="I25" s="24"/>
      <c r="J25" s="73"/>
      <c r="K25" s="73"/>
      <c r="L25" s="25"/>
    </row>
    <row r="26" spans="2:12">
      <c r="B26" s="80"/>
      <c r="C26" s="19" t="s">
        <v>81</v>
      </c>
      <c r="D26" s="24"/>
      <c r="E26" s="70"/>
      <c r="F26" s="70"/>
      <c r="G26" s="71"/>
      <c r="H26" s="70">
        <f>SUM(H24:H25)</f>
        <v>111.1111111111111</v>
      </c>
      <c r="I26" s="24" t="s">
        <v>18</v>
      </c>
      <c r="J26" s="73">
        <f>'[1]Table of Content 2'!$H$77/1000</f>
        <v>130.21</v>
      </c>
      <c r="K26" s="73">
        <f>H26*J26</f>
        <v>14467.777777777777</v>
      </c>
      <c r="L26" s="25"/>
    </row>
    <row r="27" spans="2:12">
      <c r="B27" s="80"/>
      <c r="C27" s="19"/>
      <c r="D27" s="24"/>
      <c r="E27" s="70"/>
      <c r="F27" s="70"/>
      <c r="G27" s="71"/>
      <c r="H27" s="70"/>
      <c r="I27" s="24"/>
      <c r="J27" s="73"/>
      <c r="K27" s="73">
        <f>0.13*K26</f>
        <v>1880.8111111111111</v>
      </c>
      <c r="L27" s="25"/>
    </row>
    <row r="28" spans="2:12" ht="35.1" customHeight="1">
      <c r="B28" s="80">
        <v>5</v>
      </c>
      <c r="C28" s="79" t="s">
        <v>76</v>
      </c>
      <c r="D28" s="24">
        <v>1</v>
      </c>
      <c r="E28" s="70">
        <f>E16</f>
        <v>4.5</v>
      </c>
      <c r="F28" s="70">
        <f>E17</f>
        <v>3</v>
      </c>
      <c r="G28" s="70">
        <v>7.4999999999999997E-2</v>
      </c>
      <c r="H28" s="70">
        <f>D28*E28*F28*G28</f>
        <v>1.0125</v>
      </c>
      <c r="I28" s="24"/>
      <c r="J28" s="73"/>
      <c r="K28" s="70"/>
      <c r="L28" s="25"/>
    </row>
    <row r="29" spans="2:12">
      <c r="B29" s="80"/>
      <c r="C29" s="18"/>
      <c r="D29" s="24">
        <v>2</v>
      </c>
      <c r="E29" s="70">
        <f>E16</f>
        <v>4.5</v>
      </c>
      <c r="F29" s="70">
        <v>0.15</v>
      </c>
      <c r="G29" s="70">
        <f>G16</f>
        <v>0.9</v>
      </c>
      <c r="H29" s="70">
        <f>D29*E29*F29*G29</f>
        <v>1.2149999999999999</v>
      </c>
      <c r="I29" s="24"/>
      <c r="J29" s="73"/>
      <c r="K29" s="70"/>
      <c r="L29" s="25"/>
    </row>
    <row r="30" spans="2:12">
      <c r="B30" s="80"/>
      <c r="C30" s="18"/>
      <c r="D30" s="24">
        <v>2</v>
      </c>
      <c r="E30" s="70">
        <f>E17</f>
        <v>3</v>
      </c>
      <c r="F30" s="70">
        <v>0.15</v>
      </c>
      <c r="G30" s="70">
        <f>G17</f>
        <v>0.9</v>
      </c>
      <c r="H30" s="70">
        <f>D30*E30*F30*G30</f>
        <v>0.80999999999999994</v>
      </c>
      <c r="I30" s="24"/>
      <c r="J30" s="73"/>
      <c r="K30" s="70"/>
      <c r="L30" s="25"/>
    </row>
    <row r="31" spans="2:12">
      <c r="B31" s="80"/>
      <c r="C31" s="18"/>
      <c r="D31" s="24"/>
      <c r="E31" s="70"/>
      <c r="F31" s="70" t="s">
        <v>32</v>
      </c>
      <c r="G31" s="70"/>
      <c r="H31" s="70">
        <f>SUM(H28:H30)</f>
        <v>3.0375000000000001</v>
      </c>
      <c r="I31" s="24" t="s">
        <v>24</v>
      </c>
      <c r="J31" s="73">
        <f>'[1]Table of Content 2'!$H$67</f>
        <v>17107.900000000001</v>
      </c>
      <c r="K31" s="73">
        <f>H31*J31</f>
        <v>51965.246250000004</v>
      </c>
      <c r="L31" s="25"/>
    </row>
    <row r="32" spans="2:12">
      <c r="B32" s="80"/>
      <c r="C32" s="19" t="s">
        <v>29</v>
      </c>
      <c r="D32" s="24"/>
      <c r="E32" s="70"/>
      <c r="F32" s="70"/>
      <c r="G32" s="70"/>
      <c r="H32" s="70"/>
      <c r="I32" s="24"/>
      <c r="J32" s="73"/>
      <c r="K32" s="73">
        <f>'[1]Update Descrip'!$G$676*H31*0.13</f>
        <v>2279.3764500000002</v>
      </c>
      <c r="L32" s="25"/>
    </row>
    <row r="33" spans="2:12">
      <c r="B33" s="80"/>
      <c r="C33" s="19" t="s">
        <v>30</v>
      </c>
      <c r="D33" s="24"/>
      <c r="E33" s="70"/>
      <c r="F33" s="70"/>
      <c r="G33" s="70"/>
      <c r="H33" s="70"/>
      <c r="I33" s="24"/>
      <c r="J33" s="73"/>
      <c r="K33" s="73">
        <f>'[1]Update Descrip'!$G$679*H31*0.13</f>
        <v>420.72746625000002</v>
      </c>
      <c r="L33" s="25"/>
    </row>
    <row r="34" spans="2:12">
      <c r="B34" s="80"/>
      <c r="C34" s="19" t="s">
        <v>31</v>
      </c>
      <c r="D34" s="24"/>
      <c r="E34" s="70"/>
      <c r="F34" s="70"/>
      <c r="G34" s="70"/>
      <c r="H34" s="70"/>
      <c r="I34" s="24"/>
      <c r="J34" s="73"/>
      <c r="K34" s="73">
        <f>('[1]Update Descrip'!$G$677+'[1]Update Descrip'!$G$678)*H31*0.13</f>
        <v>1166.4725962500002</v>
      </c>
      <c r="L34" s="25"/>
    </row>
    <row r="35" spans="2:12">
      <c r="B35" s="80"/>
      <c r="C35" s="20"/>
      <c r="D35" s="24"/>
      <c r="E35" s="70"/>
      <c r="F35" s="70"/>
      <c r="G35" s="71"/>
      <c r="H35" s="70"/>
      <c r="I35" s="24"/>
      <c r="J35" s="73"/>
      <c r="K35" s="73"/>
      <c r="L35" s="25"/>
    </row>
    <row r="36" spans="2:12" ht="35.1" customHeight="1">
      <c r="B36" s="81">
        <v>6</v>
      </c>
      <c r="C36" s="79" t="s">
        <v>77</v>
      </c>
      <c r="D36" s="24">
        <v>1</v>
      </c>
      <c r="E36" s="24">
        <f>E28</f>
        <v>4.5</v>
      </c>
      <c r="F36" s="24">
        <f>F28</f>
        <v>3</v>
      </c>
      <c r="G36" s="70"/>
      <c r="H36" s="72">
        <f>F36*E36*D36</f>
        <v>13.5</v>
      </c>
      <c r="I36" s="74" t="s">
        <v>23</v>
      </c>
      <c r="J36" s="73">
        <f>'[1]Table of Content 2'!$H$155</f>
        <v>692.38</v>
      </c>
      <c r="K36" s="72">
        <f>H36*J36</f>
        <v>9347.1299999999992</v>
      </c>
      <c r="L36" s="25"/>
    </row>
    <row r="37" spans="2:12">
      <c r="B37" s="81"/>
      <c r="C37" s="19" t="s">
        <v>29</v>
      </c>
      <c r="D37" s="24"/>
      <c r="E37" s="24"/>
      <c r="F37" s="24"/>
      <c r="G37" s="71"/>
      <c r="H37" s="24"/>
      <c r="I37" s="74"/>
      <c r="J37" s="73"/>
      <c r="K37" s="69">
        <f>'[1]Update Descrip'!$G$1804/10*H36*0.13</f>
        <v>329.24326500000001</v>
      </c>
      <c r="L37" s="25"/>
    </row>
    <row r="38" spans="2:12">
      <c r="B38" s="81"/>
      <c r="C38" s="19" t="s">
        <v>30</v>
      </c>
      <c r="D38" s="24"/>
      <c r="E38" s="24"/>
      <c r="F38" s="24"/>
      <c r="G38" s="71"/>
      <c r="H38" s="24"/>
      <c r="I38" s="74"/>
      <c r="J38" s="73"/>
      <c r="K38" s="69">
        <f>'[1]Update Descrip'!$G$1805/10*H36*0.13</f>
        <v>79.196130000000011</v>
      </c>
      <c r="L38" s="25"/>
    </row>
    <row r="39" spans="2:12">
      <c r="B39" s="81"/>
      <c r="C39" s="19" t="s">
        <v>31</v>
      </c>
      <c r="D39" s="24"/>
      <c r="E39" s="24"/>
      <c r="F39" s="24"/>
      <c r="G39" s="71"/>
      <c r="H39" s="24"/>
      <c r="I39" s="74"/>
      <c r="J39" s="73"/>
      <c r="K39" s="69">
        <f>'[1]Update Descrip'!$G$1806/10*H36*0.13</f>
        <v>227.54978999999997</v>
      </c>
      <c r="L39" s="25"/>
    </row>
    <row r="40" spans="2:12" ht="18" customHeight="1">
      <c r="B40" s="80"/>
      <c r="C40" s="19"/>
      <c r="D40" s="24"/>
      <c r="E40" s="70"/>
      <c r="F40" s="70"/>
      <c r="G40" s="71"/>
      <c r="H40" s="70"/>
      <c r="I40" s="24"/>
      <c r="J40" s="73"/>
      <c r="K40" s="73"/>
      <c r="L40" s="25"/>
    </row>
    <row r="41" spans="2:12" ht="35.1" customHeight="1">
      <c r="B41" s="80">
        <v>7</v>
      </c>
      <c r="C41" s="79" t="s">
        <v>78</v>
      </c>
      <c r="D41" s="24">
        <f>D16</f>
        <v>2</v>
      </c>
      <c r="E41" s="24">
        <f>E16</f>
        <v>4.5</v>
      </c>
      <c r="F41" s="24"/>
      <c r="G41" s="24">
        <f>G48</f>
        <v>1.5</v>
      </c>
      <c r="H41" s="70">
        <f>D41*E41*G41</f>
        <v>13.5</v>
      </c>
      <c r="I41" s="24"/>
      <c r="J41" s="73"/>
      <c r="K41" s="73"/>
      <c r="L41" s="25"/>
    </row>
    <row r="42" spans="2:12">
      <c r="B42" s="80"/>
      <c r="C42" s="21"/>
      <c r="D42" s="24">
        <f>D17</f>
        <v>2</v>
      </c>
      <c r="E42" s="24">
        <f>E17</f>
        <v>3</v>
      </c>
      <c r="F42" s="24"/>
      <c r="G42" s="24">
        <f>G49</f>
        <v>1.5</v>
      </c>
      <c r="H42" s="70">
        <f>D42*E42*G42</f>
        <v>9</v>
      </c>
      <c r="I42" s="24"/>
      <c r="J42" s="75"/>
      <c r="K42" s="73"/>
      <c r="L42" s="25"/>
    </row>
    <row r="43" spans="2:12">
      <c r="B43" s="80"/>
      <c r="C43" s="21"/>
      <c r="D43" s="24"/>
      <c r="E43" s="70"/>
      <c r="F43" s="70"/>
      <c r="G43" s="71"/>
      <c r="H43" s="70">
        <f>SUM(H41:H42)</f>
        <v>22.5</v>
      </c>
      <c r="I43" s="24" t="s">
        <v>40</v>
      </c>
      <c r="J43" s="73">
        <f>'[1]Table of Content 2'!$H$215</f>
        <v>402.23</v>
      </c>
      <c r="K43" s="73">
        <f>H43*J43</f>
        <v>9050.1750000000011</v>
      </c>
      <c r="L43" s="25"/>
    </row>
    <row r="44" spans="2:12">
      <c r="B44" s="80"/>
      <c r="C44" s="19" t="s">
        <v>29</v>
      </c>
      <c r="D44" s="24"/>
      <c r="E44" s="70"/>
      <c r="F44" s="70"/>
      <c r="G44" s="71"/>
      <c r="H44" s="70"/>
      <c r="I44" s="24"/>
      <c r="J44" s="75"/>
      <c r="K44" s="73">
        <f>'[1]Update Descrip'!$G$2611/100*H43*0.13</f>
        <v>227.0931975</v>
      </c>
      <c r="L44" s="25"/>
    </row>
    <row r="45" spans="2:12">
      <c r="B45" s="80"/>
      <c r="C45" s="19" t="s">
        <v>30</v>
      </c>
      <c r="D45" s="24"/>
      <c r="E45" s="70"/>
      <c r="F45" s="70"/>
      <c r="G45" s="71"/>
      <c r="H45" s="70"/>
      <c r="I45" s="24"/>
      <c r="J45" s="75"/>
      <c r="K45" s="73">
        <f>'[1]Update Descrip'!$G$2612/100*H43*0.13</f>
        <v>107.0617275</v>
      </c>
      <c r="L45" s="25"/>
    </row>
    <row r="46" spans="2:12">
      <c r="B46" s="81"/>
      <c r="C46" s="19"/>
      <c r="D46" s="72"/>
      <c r="E46" s="70"/>
      <c r="F46" s="70"/>
      <c r="G46" s="71"/>
      <c r="H46" s="72"/>
      <c r="I46" s="72"/>
      <c r="J46" s="72"/>
      <c r="K46" s="72"/>
      <c r="L46" s="25"/>
    </row>
    <row r="47" spans="2:12" ht="35.1" customHeight="1">
      <c r="B47" s="81">
        <v>8</v>
      </c>
      <c r="C47" s="79" t="s">
        <v>79</v>
      </c>
      <c r="D47" s="72">
        <f t="shared" ref="D47:E49" si="0">D28</f>
        <v>1</v>
      </c>
      <c r="E47" s="72">
        <f t="shared" si="0"/>
        <v>4.5</v>
      </c>
      <c r="F47" s="72"/>
      <c r="G47" s="72">
        <f>F28</f>
        <v>3</v>
      </c>
      <c r="H47" s="72">
        <f>D47*E47*G47</f>
        <v>13.5</v>
      </c>
      <c r="I47" s="72"/>
      <c r="J47" s="72"/>
      <c r="K47" s="72"/>
      <c r="L47" s="25"/>
    </row>
    <row r="48" spans="2:12">
      <c r="B48" s="81"/>
      <c r="C48" s="19"/>
      <c r="D48" s="72">
        <f t="shared" si="0"/>
        <v>2</v>
      </c>
      <c r="E48" s="72">
        <f t="shared" si="0"/>
        <v>4.5</v>
      </c>
      <c r="F48" s="72"/>
      <c r="G48" s="72">
        <f>G29+0.3+0.3</f>
        <v>1.5</v>
      </c>
      <c r="H48" s="72">
        <f t="shared" ref="H48:H49" si="1">D48*E48*G48</f>
        <v>13.5</v>
      </c>
      <c r="I48" s="72"/>
      <c r="J48" s="72"/>
      <c r="K48" s="72"/>
      <c r="L48" s="25"/>
    </row>
    <row r="49" spans="2:14">
      <c r="B49" s="81"/>
      <c r="C49" s="19"/>
      <c r="D49" s="72">
        <f t="shared" si="0"/>
        <v>2</v>
      </c>
      <c r="E49" s="72">
        <f t="shared" si="0"/>
        <v>3</v>
      </c>
      <c r="F49" s="72"/>
      <c r="G49" s="72">
        <f>G30+0.3+0.3</f>
        <v>1.5</v>
      </c>
      <c r="H49" s="72">
        <f t="shared" si="1"/>
        <v>9</v>
      </c>
      <c r="I49" s="72"/>
      <c r="J49" s="72"/>
      <c r="K49" s="72"/>
      <c r="L49" s="25"/>
    </row>
    <row r="50" spans="2:14">
      <c r="B50" s="81"/>
      <c r="C50" s="19"/>
      <c r="D50" s="72"/>
      <c r="E50" s="72"/>
      <c r="F50" s="72"/>
      <c r="G50" s="72"/>
      <c r="H50" s="72">
        <f>SUM(H47:H49)</f>
        <v>36</v>
      </c>
      <c r="I50" s="24" t="s">
        <v>40</v>
      </c>
      <c r="J50" s="72">
        <f>'[1]Table of Content 2'!$H$187</f>
        <v>286.77</v>
      </c>
      <c r="K50" s="72">
        <f>H50*J50</f>
        <v>10323.719999999999</v>
      </c>
      <c r="L50" s="25"/>
    </row>
    <row r="51" spans="2:14">
      <c r="B51" s="81"/>
      <c r="C51" s="19" t="s">
        <v>29</v>
      </c>
      <c r="D51" s="72"/>
      <c r="E51" s="72"/>
      <c r="F51" s="72"/>
      <c r="G51" s="72"/>
      <c r="H51" s="72"/>
      <c r="I51" s="72"/>
      <c r="J51" s="72"/>
      <c r="K51" s="72">
        <f>'[1]Update Descrip'!$H$2269/10*H50*0.13</f>
        <v>359.29296000000005</v>
      </c>
      <c r="L51" s="25"/>
    </row>
    <row r="52" spans="2:14">
      <c r="B52" s="81"/>
      <c r="C52" s="19"/>
      <c r="D52" s="72"/>
      <c r="E52" s="72"/>
      <c r="F52" s="72"/>
      <c r="G52" s="72"/>
      <c r="H52" s="72"/>
      <c r="I52" s="72"/>
      <c r="J52" s="72"/>
      <c r="K52" s="72"/>
      <c r="L52" s="25"/>
    </row>
    <row r="53" spans="2:14">
      <c r="B53" s="81"/>
      <c r="C53" s="19"/>
      <c r="D53" s="72"/>
      <c r="E53" s="72"/>
      <c r="F53" s="72"/>
      <c r="G53" s="72"/>
      <c r="H53" s="72"/>
      <c r="I53" s="72"/>
      <c r="J53" s="72"/>
      <c r="K53" s="72"/>
      <c r="L53" s="25"/>
    </row>
    <row r="54" spans="2:14" ht="33" customHeight="1">
      <c r="B54" s="80">
        <v>9</v>
      </c>
      <c r="C54" s="21" t="s">
        <v>87</v>
      </c>
      <c r="D54" s="24">
        <v>1</v>
      </c>
      <c r="E54" s="70"/>
      <c r="F54" s="70"/>
      <c r="G54" s="71"/>
      <c r="H54" s="70">
        <f>+D54</f>
        <v>1</v>
      </c>
      <c r="I54" s="24" t="s">
        <v>34</v>
      </c>
      <c r="J54" s="73">
        <v>4659</v>
      </c>
      <c r="K54" s="73">
        <f>H54*J54</f>
        <v>4659</v>
      </c>
      <c r="L54" s="25"/>
      <c r="N54" s="1" t="s">
        <v>86</v>
      </c>
    </row>
    <row r="55" spans="2:14">
      <c r="B55" s="80"/>
      <c r="C55" s="30" t="s">
        <v>88</v>
      </c>
      <c r="D55" s="24"/>
      <c r="E55" s="70"/>
      <c r="F55" s="70"/>
      <c r="G55" s="71"/>
      <c r="H55" s="70"/>
      <c r="I55" s="24"/>
      <c r="J55" s="73"/>
      <c r="K55" s="73">
        <f>0.13*K54</f>
        <v>605.67000000000007</v>
      </c>
      <c r="L55" s="25"/>
    </row>
    <row r="56" spans="2:14">
      <c r="B56" s="80"/>
      <c r="C56" s="21"/>
      <c r="D56" s="24"/>
      <c r="E56" s="70"/>
      <c r="F56" s="70"/>
      <c r="G56" s="71"/>
      <c r="H56" s="70"/>
      <c r="I56" s="24"/>
      <c r="J56" s="73"/>
      <c r="K56" s="73"/>
      <c r="L56" s="25"/>
    </row>
    <row r="57" spans="2:14" ht="33" customHeight="1">
      <c r="B57" s="80">
        <v>10</v>
      </c>
      <c r="C57" s="21" t="s">
        <v>84</v>
      </c>
      <c r="D57" s="24"/>
      <c r="E57" s="70"/>
      <c r="F57" s="70"/>
      <c r="G57" s="71"/>
      <c r="H57" s="70">
        <v>1</v>
      </c>
      <c r="I57" s="24" t="s">
        <v>34</v>
      </c>
      <c r="J57" s="73">
        <v>9938</v>
      </c>
      <c r="K57" s="73">
        <f>H57*J57</f>
        <v>9938</v>
      </c>
      <c r="L57" s="25"/>
      <c r="N57" s="1" t="s">
        <v>83</v>
      </c>
    </row>
    <row r="58" spans="2:14">
      <c r="B58" s="81"/>
      <c r="C58" s="29" t="s">
        <v>82</v>
      </c>
      <c r="D58" s="24"/>
      <c r="E58" s="24"/>
      <c r="F58" s="24"/>
      <c r="G58" s="70"/>
      <c r="H58" s="24"/>
      <c r="I58" s="24"/>
      <c r="J58" s="73" t="s">
        <v>85</v>
      </c>
      <c r="K58" s="73">
        <f>0.13*K57</f>
        <v>1291.94</v>
      </c>
      <c r="L58" s="25"/>
    </row>
    <row r="59" spans="2:14">
      <c r="B59" s="81"/>
      <c r="C59" s="29"/>
      <c r="D59" s="24"/>
      <c r="E59" s="24"/>
      <c r="F59" s="24"/>
      <c r="G59" s="70"/>
      <c r="H59" s="24"/>
      <c r="I59" s="24"/>
      <c r="J59" s="73"/>
      <c r="K59" s="73"/>
      <c r="L59" s="25"/>
    </row>
    <row r="60" spans="2:14">
      <c r="B60" s="81"/>
      <c r="C60" s="20"/>
      <c r="D60" s="20"/>
      <c r="E60" s="20"/>
      <c r="F60" s="20"/>
      <c r="G60" s="20"/>
      <c r="H60" s="20"/>
      <c r="I60" s="20"/>
      <c r="J60" s="20"/>
      <c r="K60" s="20"/>
      <c r="L60" s="25"/>
    </row>
    <row r="61" spans="2:14" ht="18">
      <c r="B61" s="81" t="s">
        <v>97</v>
      </c>
      <c r="C61" s="82" t="s">
        <v>96</v>
      </c>
      <c r="D61" s="24"/>
      <c r="E61" s="24"/>
      <c r="F61" s="24"/>
      <c r="G61" s="70"/>
      <c r="H61" s="24"/>
      <c r="I61" s="24"/>
      <c r="J61" s="73"/>
      <c r="K61" s="73"/>
      <c r="L61" s="25"/>
    </row>
    <row r="62" spans="2:14">
      <c r="B62" s="81"/>
      <c r="C62" s="29"/>
      <c r="D62" s="24"/>
      <c r="E62" s="24"/>
      <c r="F62" s="24"/>
      <c r="G62" s="70"/>
      <c r="H62" s="24"/>
      <c r="I62" s="24"/>
      <c r="J62" s="73"/>
      <c r="K62" s="73"/>
      <c r="L62" s="25"/>
    </row>
    <row r="63" spans="2:14" ht="36">
      <c r="B63" s="80">
        <v>11</v>
      </c>
      <c r="C63" s="89" t="s">
        <v>98</v>
      </c>
      <c r="D63" s="70">
        <v>2</v>
      </c>
      <c r="E63" s="70">
        <f>25/3.28</f>
        <v>7.6219512195121952</v>
      </c>
      <c r="F63" s="70">
        <f>17/3.28</f>
        <v>5.1829268292682933</v>
      </c>
      <c r="G63" s="70"/>
      <c r="H63" s="70">
        <f>F63*E63*D63</f>
        <v>79.008030933967888</v>
      </c>
      <c r="I63" s="70" t="s">
        <v>90</v>
      </c>
      <c r="J63" s="70">
        <f>'[2]Table of Content 2'!$H$329</f>
        <v>68.400000000000006</v>
      </c>
      <c r="K63" s="70">
        <f>H63*J63</f>
        <v>5404.1493158834037</v>
      </c>
      <c r="L63" s="25"/>
    </row>
    <row r="64" spans="2:14">
      <c r="B64" s="81"/>
      <c r="C64" s="29"/>
      <c r="D64" s="24"/>
      <c r="E64" s="24"/>
      <c r="F64" s="24"/>
      <c r="G64" s="70"/>
      <c r="H64" s="24"/>
      <c r="I64" s="24"/>
      <c r="J64" s="73"/>
      <c r="K64" s="73"/>
      <c r="L64" s="25"/>
    </row>
    <row r="65" spans="2:14" ht="36">
      <c r="B65" s="81">
        <v>12</v>
      </c>
      <c r="C65" s="89" t="s">
        <v>99</v>
      </c>
      <c r="D65" s="24">
        <v>2</v>
      </c>
      <c r="E65" s="24">
        <f>E63</f>
        <v>7.6219512195121952</v>
      </c>
      <c r="F65" s="24">
        <f>F63</f>
        <v>5.1829268292682933</v>
      </c>
      <c r="G65" s="70"/>
      <c r="H65" s="70">
        <f>F65*E65*D65</f>
        <v>79.008030933967888</v>
      </c>
      <c r="I65" s="70" t="s">
        <v>90</v>
      </c>
      <c r="J65" s="73">
        <v>369.1</v>
      </c>
      <c r="K65" s="73">
        <f>H65*J65</f>
        <v>29161.864217727551</v>
      </c>
      <c r="L65" s="25"/>
    </row>
    <row r="66" spans="2:14">
      <c r="B66" s="81"/>
      <c r="C66" s="29" t="s">
        <v>81</v>
      </c>
      <c r="D66" s="24"/>
      <c r="E66" s="24"/>
      <c r="F66" s="24"/>
      <c r="G66" s="70"/>
      <c r="H66" s="70"/>
      <c r="I66" s="70"/>
      <c r="J66" s="73"/>
      <c r="K66" s="73">
        <f>124.6*H65*0.13</f>
        <v>1279.772085068412</v>
      </c>
      <c r="L66" s="25"/>
    </row>
    <row r="67" spans="2:14" ht="72">
      <c r="B67" s="81">
        <v>13</v>
      </c>
      <c r="C67" s="89" t="s">
        <v>92</v>
      </c>
      <c r="D67" s="24">
        <v>1</v>
      </c>
      <c r="E67" s="24">
        <f>E65</f>
        <v>7.6219512195121952</v>
      </c>
      <c r="F67" s="24"/>
      <c r="G67" s="70"/>
      <c r="H67" s="24">
        <f>E67</f>
        <v>7.6219512195121952</v>
      </c>
      <c r="I67" s="24" t="s">
        <v>91</v>
      </c>
      <c r="J67" s="73">
        <f>'[1]Table of Content 2'!$H$412</f>
        <v>2761</v>
      </c>
      <c r="K67" s="73">
        <f>H67*J67</f>
        <v>21044.207317073171</v>
      </c>
      <c r="L67" s="25"/>
    </row>
    <row r="68" spans="2:14">
      <c r="B68" s="81"/>
      <c r="C68" s="29" t="s">
        <v>81</v>
      </c>
      <c r="D68" s="24"/>
      <c r="E68" s="24"/>
      <c r="F68" s="24"/>
      <c r="G68" s="70"/>
      <c r="H68" s="24"/>
      <c r="I68" s="24"/>
      <c r="J68" s="73"/>
      <c r="K68" s="73">
        <f>2491*H67*0.13</f>
        <v>2468.2164634146343</v>
      </c>
      <c r="L68" s="25"/>
      <c r="N68" s="1">
        <f>17/3.28</f>
        <v>5.1829268292682933</v>
      </c>
    </row>
    <row r="69" spans="2:14">
      <c r="B69" s="81"/>
      <c r="C69" s="29"/>
      <c r="D69" s="24"/>
      <c r="E69" s="24"/>
      <c r="F69" s="24"/>
      <c r="G69" s="70"/>
      <c r="H69" s="24"/>
      <c r="I69" s="24"/>
      <c r="J69" s="73"/>
      <c r="K69" s="73"/>
      <c r="L69" s="25"/>
      <c r="N69" s="1" t="e">
        <f>#REF!*N68*2*68.4</f>
        <v>#REF!</v>
      </c>
    </row>
    <row r="70" spans="2:14" ht="33" customHeight="1">
      <c r="B70" s="81">
        <v>14</v>
      </c>
      <c r="C70" s="18" t="s">
        <v>89</v>
      </c>
      <c r="D70" s="24">
        <v>1</v>
      </c>
      <c r="E70" s="24"/>
      <c r="F70" s="24"/>
      <c r="G70" s="24"/>
      <c r="H70" s="24">
        <v>1</v>
      </c>
      <c r="I70" s="24" t="s">
        <v>34</v>
      </c>
      <c r="J70" s="73">
        <v>1000</v>
      </c>
      <c r="K70" s="73">
        <f>H70*J70</f>
        <v>1000</v>
      </c>
      <c r="L70" s="25"/>
    </row>
    <row r="71" spans="2:14" ht="17.25" thickBot="1">
      <c r="B71" s="22"/>
      <c r="C71" s="26"/>
      <c r="D71" s="76"/>
      <c r="E71" s="77"/>
      <c r="F71" s="77"/>
      <c r="G71" s="77"/>
      <c r="H71" s="77"/>
      <c r="I71" s="76"/>
      <c r="J71" s="77"/>
      <c r="K71" s="78">
        <f>SUM(K8:K70)</f>
        <v>225811.19671183656</v>
      </c>
      <c r="L71" s="23"/>
    </row>
    <row r="72" spans="2:14">
      <c r="C72" s="9"/>
      <c r="D72" s="10"/>
      <c r="E72" s="10"/>
      <c r="F72" s="10"/>
      <c r="G72" s="10"/>
      <c r="H72" s="10"/>
      <c r="I72" s="10"/>
      <c r="J72" s="10"/>
      <c r="K72" s="11"/>
      <c r="L72" s="8"/>
    </row>
    <row r="73" spans="2:14">
      <c r="C73" s="5"/>
      <c r="E73" s="2"/>
      <c r="F73" s="2"/>
      <c r="H73" s="2"/>
      <c r="I73" s="65" t="s">
        <v>12</v>
      </c>
      <c r="J73" s="65"/>
      <c r="K73" s="65" t="s">
        <v>71</v>
      </c>
      <c r="L73" s="65" t="s">
        <v>72</v>
      </c>
    </row>
    <row r="74" spans="2:14">
      <c r="C74" s="5"/>
      <c r="H74" s="64"/>
      <c r="I74" s="66" t="s">
        <v>13</v>
      </c>
      <c r="J74" s="67"/>
      <c r="K74" s="67">
        <f>+K71</f>
        <v>225811.19671183656</v>
      </c>
      <c r="L74" s="67"/>
    </row>
    <row r="75" spans="2:14">
      <c r="C75" s="5"/>
      <c r="H75" s="64"/>
      <c r="I75" s="66" t="s">
        <v>14</v>
      </c>
      <c r="J75" s="68"/>
      <c r="K75" s="67">
        <v>200000</v>
      </c>
      <c r="L75" s="68">
        <v>100</v>
      </c>
    </row>
    <row r="76" spans="2:14">
      <c r="C76" s="5"/>
      <c r="H76" s="64"/>
      <c r="I76" s="66" t="s">
        <v>19</v>
      </c>
      <c r="J76" s="68"/>
      <c r="K76" s="67">
        <f>0.95*K75</f>
        <v>190000</v>
      </c>
      <c r="L76" s="68">
        <f>K76/K74*100</f>
        <v>84.141089001208329</v>
      </c>
    </row>
    <row r="77" spans="2:14">
      <c r="C77" s="5"/>
      <c r="H77" s="64"/>
      <c r="I77" s="66" t="s">
        <v>15</v>
      </c>
      <c r="J77" s="68"/>
      <c r="K77" s="67">
        <f>K74-K76</f>
        <v>35811.196711836557</v>
      </c>
      <c r="L77" s="68">
        <f>K77/K75*100</f>
        <v>17.905598355918279</v>
      </c>
    </row>
    <row r="78" spans="2:14">
      <c r="C78" s="5"/>
      <c r="H78" s="64"/>
      <c r="I78" s="66" t="s">
        <v>20</v>
      </c>
      <c r="J78" s="68"/>
      <c r="K78" s="67">
        <f>L78*K75/100</f>
        <v>4000</v>
      </c>
      <c r="L78" s="68">
        <v>2</v>
      </c>
    </row>
    <row r="79" spans="2:14">
      <c r="C79" s="5"/>
      <c r="H79" s="63"/>
      <c r="I79" s="66" t="s">
        <v>21</v>
      </c>
      <c r="J79" s="68"/>
      <c r="K79" s="68">
        <f>L79*K75/100</f>
        <v>6000</v>
      </c>
      <c r="L79" s="68">
        <v>3</v>
      </c>
    </row>
    <row r="80" spans="2:14">
      <c r="G80" s="62"/>
    </row>
  </sheetData>
  <mergeCells count="8">
    <mergeCell ref="O6:R6"/>
    <mergeCell ref="B6:G6"/>
    <mergeCell ref="I6:L6"/>
    <mergeCell ref="A1:L1"/>
    <mergeCell ref="A2:L2"/>
    <mergeCell ref="A3:L3"/>
    <mergeCell ref="A4:L4"/>
    <mergeCell ref="K5:L5"/>
  </mergeCells>
  <phoneticPr fontId="69" type="noConversion"/>
  <printOptions horizontalCentered="1"/>
  <pageMargins left="0.5" right="0.5" top="0.38" bottom="0.7" header="0.31496062992126" footer="0.31496062992126"/>
  <pageSetup scale="70" fitToHeight="2" orientation="portrait" r:id="rId1"/>
  <headerFooter>
    <oddHeader>&amp;RPage &amp;P of &amp;N</oddHeader>
  </headerFooter>
  <rowBreaks count="2" manualBreakCount="2">
    <brk id="35" max="11" man="1"/>
    <brk id="7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opLeftCell="A6" zoomScaleNormal="100" workbookViewId="0">
      <selection sqref="A1:J11"/>
    </sheetView>
  </sheetViews>
  <sheetFormatPr defaultRowHeight="15"/>
  <cols>
    <col min="1" max="1" width="7.42578125" customWidth="1"/>
    <col min="2" max="2" width="39" customWidth="1"/>
    <col min="3" max="3" width="11.5703125" customWidth="1"/>
    <col min="4" max="4" width="10.85546875" bestFit="1" customWidth="1"/>
    <col min="5" max="5" width="13.140625" customWidth="1"/>
    <col min="6" max="6" width="11.28515625" customWidth="1"/>
    <col min="7" max="7" width="10.7109375" customWidth="1"/>
    <col min="8" max="8" width="12.5703125" customWidth="1"/>
    <col min="9" max="9" width="11.140625" customWidth="1"/>
    <col min="10" max="10" width="11" customWidth="1"/>
  </cols>
  <sheetData>
    <row r="1" spans="1:10">
      <c r="A1" s="180" t="s">
        <v>11</v>
      </c>
      <c r="B1" s="180"/>
      <c r="C1" s="180"/>
      <c r="D1" s="180"/>
      <c r="E1" s="180"/>
      <c r="F1" s="180"/>
      <c r="G1" s="180"/>
      <c r="H1" s="180"/>
      <c r="I1" s="180"/>
      <c r="J1" s="180"/>
    </row>
    <row r="2" spans="1:10" ht="25.5">
      <c r="A2" s="181" t="s">
        <v>52</v>
      </c>
      <c r="B2" s="181"/>
      <c r="C2" s="181"/>
      <c r="D2" s="181"/>
      <c r="E2" s="181"/>
      <c r="F2" s="181"/>
      <c r="G2" s="181"/>
      <c r="H2" s="181"/>
      <c r="I2" s="181"/>
      <c r="J2" s="181"/>
    </row>
    <row r="3" spans="1:10" ht="18.75">
      <c r="A3" s="182" t="s">
        <v>53</v>
      </c>
      <c r="B3" s="182"/>
      <c r="C3" s="182"/>
      <c r="D3" s="182"/>
      <c r="E3" s="182"/>
      <c r="F3" s="182"/>
      <c r="G3" s="182"/>
      <c r="H3" s="182"/>
      <c r="I3" s="182"/>
      <c r="J3" s="182"/>
    </row>
    <row r="4" spans="1:10">
      <c r="A4" s="183" t="s">
        <v>54</v>
      </c>
      <c r="B4" s="183"/>
      <c r="C4" s="183"/>
      <c r="D4" s="183"/>
      <c r="E4" s="183"/>
      <c r="F4" s="183"/>
      <c r="G4" s="183"/>
      <c r="H4" s="183"/>
      <c r="I4" s="183"/>
      <c r="J4" s="183"/>
    </row>
    <row r="5" spans="1:10">
      <c r="A5" s="37"/>
      <c r="B5" s="37"/>
      <c r="C5" s="37"/>
      <c r="D5" s="37"/>
      <c r="E5" s="37"/>
      <c r="F5" s="37"/>
      <c r="G5" s="37"/>
      <c r="H5" s="37"/>
      <c r="I5" s="37"/>
      <c r="J5" s="37"/>
    </row>
    <row r="6" spans="1:10" ht="15.75">
      <c r="A6" s="31" t="s">
        <v>55</v>
      </c>
      <c r="B6" s="31"/>
      <c r="C6" s="184" t="e">
        <f>E51</f>
        <v>#REF!</v>
      </c>
      <c r="D6" s="185"/>
      <c r="E6" s="31"/>
      <c r="F6" s="31"/>
      <c r="G6" s="31" t="s">
        <v>56</v>
      </c>
      <c r="H6" s="31"/>
      <c r="I6" s="184" t="e">
        <f>H51</f>
        <v>#REF!</v>
      </c>
      <c r="J6" s="185"/>
    </row>
    <row r="7" spans="1:10">
      <c r="A7" s="32"/>
      <c r="B7" s="32"/>
      <c r="C7" s="186"/>
      <c r="D7" s="186"/>
      <c r="E7" s="186"/>
      <c r="F7" s="186"/>
      <c r="H7" s="187"/>
      <c r="I7" s="187"/>
      <c r="J7" s="187"/>
    </row>
    <row r="8" spans="1:10" ht="16.5">
      <c r="A8" t="s">
        <v>57</v>
      </c>
      <c r="B8" s="33" t="e">
        <f>#REF!</f>
        <v>#REF!</v>
      </c>
      <c r="D8" s="34"/>
      <c r="G8" s="35"/>
      <c r="J8" s="36" t="s">
        <v>58</v>
      </c>
    </row>
    <row r="9" spans="1:10">
      <c r="A9" t="s">
        <v>59</v>
      </c>
      <c r="D9" s="34"/>
      <c r="G9" s="35"/>
      <c r="J9" s="36" t="s">
        <v>68</v>
      </c>
    </row>
    <row r="10" spans="1:10">
      <c r="A10" s="188" t="s">
        <v>60</v>
      </c>
      <c r="B10" s="188" t="s">
        <v>12</v>
      </c>
      <c r="C10" s="190" t="s">
        <v>61</v>
      </c>
      <c r="D10" s="190"/>
      <c r="E10" s="190"/>
      <c r="F10" s="190" t="s">
        <v>62</v>
      </c>
      <c r="G10" s="190"/>
      <c r="H10" s="190"/>
      <c r="I10" s="188" t="s">
        <v>63</v>
      </c>
      <c r="J10" s="188" t="s">
        <v>10</v>
      </c>
    </row>
    <row r="11" spans="1:10">
      <c r="A11" s="189"/>
      <c r="B11" s="189"/>
      <c r="C11" s="39" t="s">
        <v>64</v>
      </c>
      <c r="D11" s="40" t="s">
        <v>8</v>
      </c>
      <c r="E11" s="39" t="s">
        <v>65</v>
      </c>
      <c r="F11" s="39" t="s">
        <v>64</v>
      </c>
      <c r="G11" s="39" t="s">
        <v>8</v>
      </c>
      <c r="H11" s="39" t="s">
        <v>66</v>
      </c>
      <c r="I11" s="189"/>
      <c r="J11" s="189"/>
    </row>
    <row r="12" spans="1:10" ht="15.75">
      <c r="A12" s="47">
        <v>1</v>
      </c>
      <c r="B12" s="48" t="s">
        <v>44</v>
      </c>
      <c r="C12" s="41" t="e">
        <f>ESTIMATE!#REF!</f>
        <v>#REF!</v>
      </c>
      <c r="D12" s="41" t="e">
        <f>ESTIMATE!#REF!</f>
        <v>#REF!</v>
      </c>
      <c r="E12" s="41" t="e">
        <f>ESTIMATE!#REF!</f>
        <v>#REF!</v>
      </c>
      <c r="F12" s="41" t="e">
        <f>#REF!</f>
        <v>#REF!</v>
      </c>
      <c r="G12" s="41" t="e">
        <f>#REF!</f>
        <v>#REF!</v>
      </c>
      <c r="H12" s="41" t="e">
        <f>#REF!</f>
        <v>#REF!</v>
      </c>
      <c r="I12" s="42" t="e">
        <f>F12-C12</f>
        <v>#REF!</v>
      </c>
      <c r="J12" s="43"/>
    </row>
    <row r="13" spans="1:10" ht="15.75">
      <c r="A13" s="49"/>
      <c r="B13" s="50"/>
      <c r="C13" s="43"/>
      <c r="D13" s="43"/>
      <c r="E13" s="43"/>
      <c r="F13" s="43"/>
      <c r="G13" s="43"/>
      <c r="H13" s="43"/>
      <c r="I13" s="42"/>
      <c r="J13" s="43"/>
    </row>
    <row r="14" spans="1:10" ht="31.5">
      <c r="A14" s="49">
        <v>2</v>
      </c>
      <c r="B14" s="50" t="s">
        <v>43</v>
      </c>
      <c r="C14" s="41">
        <f>ESTIMATE!H10</f>
        <v>1.35</v>
      </c>
      <c r="D14" s="41">
        <f>ESTIMATE!J10</f>
        <v>9900</v>
      </c>
      <c r="E14" s="41">
        <f>ESTIMATE!K10</f>
        <v>13365</v>
      </c>
      <c r="F14" s="41" t="e">
        <f>#REF!</f>
        <v>#REF!</v>
      </c>
      <c r="G14" s="41" t="e">
        <f>#REF!</f>
        <v>#REF!</v>
      </c>
      <c r="H14" s="41" t="e">
        <f>#REF!</f>
        <v>#REF!</v>
      </c>
      <c r="I14" s="42" t="e">
        <f>F14-C14</f>
        <v>#REF!</v>
      </c>
      <c r="J14" s="43"/>
    </row>
    <row r="15" spans="1:10" ht="15.75">
      <c r="A15" s="49"/>
      <c r="B15" s="50"/>
      <c r="C15" s="41"/>
      <c r="D15" s="43"/>
      <c r="E15" s="43"/>
      <c r="F15" s="43"/>
      <c r="G15" s="43"/>
      <c r="H15" s="43"/>
      <c r="I15" s="42"/>
      <c r="J15" s="43"/>
    </row>
    <row r="16" spans="1:10" ht="15.75">
      <c r="A16" s="49">
        <v>3</v>
      </c>
      <c r="B16" s="51" t="s">
        <v>36</v>
      </c>
      <c r="C16" s="41">
        <f>ESTIMATE!H14</f>
        <v>21</v>
      </c>
      <c r="D16" s="41">
        <f>ESTIMATE!J14</f>
        <v>97.2</v>
      </c>
      <c r="E16" s="41">
        <f>ESTIMATE!K14</f>
        <v>2041.2</v>
      </c>
      <c r="F16" s="41" t="e">
        <f>#REF!</f>
        <v>#REF!</v>
      </c>
      <c r="G16" s="41" t="e">
        <f>#REF!</f>
        <v>#REF!</v>
      </c>
      <c r="H16" s="41" t="e">
        <f>#REF!</f>
        <v>#REF!</v>
      </c>
      <c r="I16" s="42" t="e">
        <f>F16-C16</f>
        <v>#REF!</v>
      </c>
      <c r="J16" s="43"/>
    </row>
    <row r="17" spans="1:13" ht="15.75">
      <c r="A17" s="49"/>
      <c r="B17" s="52" t="s">
        <v>37</v>
      </c>
      <c r="C17" s="43"/>
      <c r="D17" s="43"/>
      <c r="E17" s="41">
        <f>ESTIMATE!K15</f>
        <v>0</v>
      </c>
      <c r="F17" s="43"/>
      <c r="G17" s="43"/>
      <c r="H17" s="41" t="e">
        <f>#REF!</f>
        <v>#REF!</v>
      </c>
      <c r="I17" s="42"/>
      <c r="J17" s="43"/>
    </row>
    <row r="18" spans="1:13" ht="15.75">
      <c r="A18" s="49"/>
      <c r="B18" s="52"/>
      <c r="C18" s="43"/>
      <c r="D18" s="43"/>
      <c r="E18" s="43"/>
      <c r="F18" s="43"/>
      <c r="G18" s="43"/>
      <c r="H18" s="43"/>
      <c r="I18" s="42"/>
      <c r="J18" s="43"/>
    </row>
    <row r="19" spans="1:13" ht="15.75">
      <c r="A19" s="49">
        <v>4</v>
      </c>
      <c r="B19" s="51" t="s">
        <v>42</v>
      </c>
      <c r="C19" s="41" t="e">
        <f>ESTIMATE!#REF!</f>
        <v>#REF!</v>
      </c>
      <c r="D19" s="41" t="e">
        <f>ESTIMATE!#REF!</f>
        <v>#REF!</v>
      </c>
      <c r="E19" s="41" t="e">
        <f>ESTIMATE!#REF!</f>
        <v>#REF!</v>
      </c>
      <c r="F19" s="41" t="e">
        <f>#REF!</f>
        <v>#REF!</v>
      </c>
      <c r="G19" s="41" t="e">
        <f>#REF!</f>
        <v>#REF!</v>
      </c>
      <c r="H19" s="41" t="e">
        <f>#REF!</f>
        <v>#REF!</v>
      </c>
      <c r="I19" s="42" t="e">
        <f>F19-C19</f>
        <v>#REF!</v>
      </c>
      <c r="J19" s="43"/>
      <c r="M19" s="38"/>
    </row>
    <row r="20" spans="1:13" ht="15.75">
      <c r="A20" s="49"/>
      <c r="B20" s="53" t="s">
        <v>37</v>
      </c>
      <c r="C20" s="43"/>
      <c r="D20" s="43"/>
      <c r="E20" s="41" t="e">
        <f>ESTIMATE!#REF!</f>
        <v>#REF!</v>
      </c>
      <c r="F20" s="43"/>
      <c r="G20" s="43"/>
      <c r="H20" s="41" t="e">
        <f>#REF!</f>
        <v>#REF!</v>
      </c>
      <c r="I20" s="42"/>
      <c r="J20" s="43"/>
    </row>
    <row r="21" spans="1:13" ht="15.75">
      <c r="A21" s="49"/>
      <c r="B21" s="52"/>
      <c r="C21" s="43"/>
      <c r="D21" s="43"/>
      <c r="E21" s="43"/>
      <c r="F21" s="43"/>
      <c r="G21" s="43"/>
      <c r="H21" s="43"/>
      <c r="I21" s="42"/>
      <c r="J21" s="43"/>
    </row>
    <row r="22" spans="1:13" ht="15.75">
      <c r="A22" s="49">
        <v>5</v>
      </c>
      <c r="B22" s="51" t="s">
        <v>49</v>
      </c>
      <c r="C22" s="41">
        <f>ESTIMATE!H19</f>
        <v>1.917987804878049</v>
      </c>
      <c r="D22" s="41">
        <f>ESTIMATE!J19</f>
        <v>14911.97</v>
      </c>
      <c r="E22" s="41">
        <f>ESTIMATE!K19</f>
        <v>28600.976606707318</v>
      </c>
      <c r="F22" s="41" t="e">
        <f>#REF!</f>
        <v>#REF!</v>
      </c>
      <c r="G22" s="41" t="e">
        <f>#REF!</f>
        <v>#REF!</v>
      </c>
      <c r="H22" s="41" t="e">
        <f>#REF!</f>
        <v>#REF!</v>
      </c>
      <c r="I22" s="42" t="e">
        <f>F22-C22</f>
        <v>#REF!</v>
      </c>
      <c r="J22" s="43"/>
    </row>
    <row r="23" spans="1:13" ht="15.75">
      <c r="A23" s="49"/>
      <c r="B23" s="53" t="s">
        <v>29</v>
      </c>
      <c r="C23" s="43"/>
      <c r="D23" s="43"/>
      <c r="E23" s="41">
        <f>ESTIMATE!K20</f>
        <v>359.82026615853664</v>
      </c>
      <c r="F23" s="43"/>
      <c r="G23" s="43"/>
      <c r="H23" s="41" t="e">
        <f>#REF!</f>
        <v>#REF!</v>
      </c>
      <c r="I23" s="42"/>
      <c r="J23" s="43"/>
    </row>
    <row r="24" spans="1:13" ht="15.75">
      <c r="A24" s="49"/>
      <c r="B24" s="53" t="s">
        <v>38</v>
      </c>
      <c r="C24" s="43"/>
      <c r="D24" s="43"/>
      <c r="E24" s="41">
        <f>ESTIMATE!K21</f>
        <v>175.0255935365854</v>
      </c>
      <c r="F24" s="43"/>
      <c r="G24" s="43"/>
      <c r="H24" s="41" t="e">
        <f>#REF!</f>
        <v>#REF!</v>
      </c>
      <c r="I24" s="42"/>
      <c r="J24" s="43"/>
    </row>
    <row r="25" spans="1:13" ht="15.75">
      <c r="A25" s="49"/>
      <c r="B25" s="53" t="s">
        <v>30</v>
      </c>
      <c r="C25" s="43"/>
      <c r="D25" s="43"/>
      <c r="E25" s="41">
        <f>ESTIMATE!K22</f>
        <v>2185.4811248780493</v>
      </c>
      <c r="F25" s="43"/>
      <c r="G25" s="43"/>
      <c r="H25" s="41" t="e">
        <f>#REF!</f>
        <v>#REF!</v>
      </c>
      <c r="I25" s="42"/>
      <c r="J25" s="43"/>
    </row>
    <row r="26" spans="1:13" ht="15.75">
      <c r="A26" s="49"/>
      <c r="B26" s="53"/>
      <c r="C26" s="43"/>
      <c r="D26" s="43"/>
      <c r="E26" s="43"/>
      <c r="F26" s="43"/>
      <c r="G26" s="43"/>
      <c r="H26" s="43"/>
      <c r="I26" s="42"/>
      <c r="J26" s="43"/>
    </row>
    <row r="27" spans="1:13" ht="31.5">
      <c r="A27" s="49">
        <v>6</v>
      </c>
      <c r="B27" s="54" t="s">
        <v>25</v>
      </c>
      <c r="C27" s="41">
        <f>ESTIMATE!H31</f>
        <v>3.0375000000000001</v>
      </c>
      <c r="D27" s="41">
        <f>ESTIMATE!J31</f>
        <v>17107.900000000001</v>
      </c>
      <c r="E27" s="41">
        <f>ESTIMATE!K31</f>
        <v>51965.246250000004</v>
      </c>
      <c r="F27" s="41" t="e">
        <f>#REF!</f>
        <v>#REF!</v>
      </c>
      <c r="G27" s="41" t="e">
        <f>#REF!</f>
        <v>#REF!</v>
      </c>
      <c r="H27" s="41" t="e">
        <f>#REF!</f>
        <v>#REF!</v>
      </c>
      <c r="I27" s="42" t="e">
        <f>F27-C27</f>
        <v>#REF!</v>
      </c>
      <c r="J27" s="43"/>
    </row>
    <row r="28" spans="1:13" ht="15.75">
      <c r="A28" s="49"/>
      <c r="B28" s="53" t="s">
        <v>29</v>
      </c>
      <c r="C28" s="43"/>
      <c r="D28" s="43"/>
      <c r="E28" s="41">
        <f>ESTIMATE!K32</f>
        <v>2279.3764500000002</v>
      </c>
      <c r="F28" s="43"/>
      <c r="G28" s="43"/>
      <c r="H28" s="41" t="e">
        <f>#REF!</f>
        <v>#REF!</v>
      </c>
      <c r="I28" s="42"/>
      <c r="J28" s="43"/>
    </row>
    <row r="29" spans="1:13" ht="15.75">
      <c r="A29" s="49"/>
      <c r="B29" s="53" t="s">
        <v>31</v>
      </c>
      <c r="C29" s="43"/>
      <c r="D29" s="43"/>
      <c r="E29" s="41">
        <f>ESTIMATE!K33</f>
        <v>420.72746625000002</v>
      </c>
      <c r="F29" s="43"/>
      <c r="G29" s="43"/>
      <c r="H29" s="41" t="e">
        <f>#REF!</f>
        <v>#REF!</v>
      </c>
      <c r="I29" s="42"/>
      <c r="J29" s="43"/>
    </row>
    <row r="30" spans="1:13" ht="15.75">
      <c r="A30" s="49"/>
      <c r="B30" s="53" t="s">
        <v>30</v>
      </c>
      <c r="C30" s="43"/>
      <c r="D30" s="43"/>
      <c r="E30" s="41">
        <f>ESTIMATE!K34</f>
        <v>1166.4725962500002</v>
      </c>
      <c r="F30" s="43"/>
      <c r="G30" s="43"/>
      <c r="H30" s="41" t="e">
        <f>#REF!</f>
        <v>#REF!</v>
      </c>
      <c r="I30" s="42"/>
      <c r="J30" s="43"/>
    </row>
    <row r="31" spans="1:13" ht="15.75">
      <c r="A31" s="49"/>
      <c r="B31" s="53"/>
      <c r="C31" s="43"/>
      <c r="D31" s="43"/>
      <c r="E31" s="43"/>
      <c r="F31" s="43"/>
      <c r="G31" s="43"/>
      <c r="H31" s="43"/>
      <c r="I31" s="42"/>
      <c r="J31" s="43"/>
    </row>
    <row r="32" spans="1:13" ht="15.75">
      <c r="A32" s="51">
        <v>7</v>
      </c>
      <c r="B32" s="55" t="s">
        <v>26</v>
      </c>
      <c r="C32" s="42" t="e">
        <f>ESTIMATE!#REF!</f>
        <v>#REF!</v>
      </c>
      <c r="D32" s="41" t="e">
        <f>ESTIMATE!#REF!</f>
        <v>#REF!</v>
      </c>
      <c r="E32" s="41" t="e">
        <f>ESTIMATE!#REF!</f>
        <v>#REF!</v>
      </c>
      <c r="F32" s="42" t="e">
        <f>#REF!</f>
        <v>#REF!</v>
      </c>
      <c r="G32" s="41" t="e">
        <f>#REF!</f>
        <v>#REF!</v>
      </c>
      <c r="H32" s="41" t="e">
        <f>#REF!</f>
        <v>#REF!</v>
      </c>
      <c r="I32" s="42" t="e">
        <f>F32-C32</f>
        <v>#REF!</v>
      </c>
      <c r="J32" s="43"/>
    </row>
    <row r="33" spans="1:10" ht="15.75">
      <c r="A33" s="51"/>
      <c r="B33" s="53" t="s">
        <v>29</v>
      </c>
      <c r="C33" s="43"/>
      <c r="D33" s="43"/>
      <c r="E33" s="41">
        <f>ESTIMATE!K37</f>
        <v>329.24326500000001</v>
      </c>
      <c r="F33" s="43"/>
      <c r="G33" s="43"/>
      <c r="H33" s="41" t="e">
        <f>#REF!</f>
        <v>#REF!</v>
      </c>
      <c r="I33" s="42"/>
      <c r="J33" s="43"/>
    </row>
    <row r="34" spans="1:10" ht="15.75">
      <c r="A34" s="49"/>
      <c r="B34" s="53"/>
      <c r="C34" s="43"/>
      <c r="D34" s="43"/>
      <c r="E34" s="43"/>
      <c r="F34" s="43"/>
      <c r="G34" s="43"/>
      <c r="H34" s="43"/>
      <c r="I34" s="42"/>
      <c r="J34" s="43"/>
    </row>
    <row r="35" spans="1:10" ht="15.75">
      <c r="A35" s="49">
        <v>8</v>
      </c>
      <c r="B35" s="50" t="s">
        <v>39</v>
      </c>
      <c r="C35" s="41">
        <f>ESTIMATE!H43</f>
        <v>22.5</v>
      </c>
      <c r="D35" s="41">
        <f>ESTIMATE!J43</f>
        <v>402.23</v>
      </c>
      <c r="E35" s="41">
        <f>ESTIMATE!K43</f>
        <v>9050.1750000000011</v>
      </c>
      <c r="F35" s="41" t="e">
        <f>#REF!</f>
        <v>#REF!</v>
      </c>
      <c r="G35" s="41" t="e">
        <f>#REF!</f>
        <v>#REF!</v>
      </c>
      <c r="H35" s="41" t="e">
        <f>#REF!</f>
        <v>#REF!</v>
      </c>
      <c r="I35" s="42" t="e">
        <f>F35-C35</f>
        <v>#REF!</v>
      </c>
      <c r="J35" s="43"/>
    </row>
    <row r="36" spans="1:10" ht="15.75">
      <c r="A36" s="49"/>
      <c r="B36" s="53" t="s">
        <v>29</v>
      </c>
      <c r="C36" s="43"/>
      <c r="D36" s="43"/>
      <c r="E36" s="41">
        <f>ESTIMATE!K44</f>
        <v>227.0931975</v>
      </c>
      <c r="F36" s="43"/>
      <c r="G36" s="43"/>
      <c r="H36" s="41" t="e">
        <f>#REF!</f>
        <v>#REF!</v>
      </c>
      <c r="I36" s="42"/>
      <c r="J36" s="43"/>
    </row>
    <row r="37" spans="1:10" ht="15.75">
      <c r="A37" s="49"/>
      <c r="B37" s="53" t="s">
        <v>30</v>
      </c>
      <c r="C37" s="43"/>
      <c r="D37" s="43"/>
      <c r="E37" s="41">
        <f>ESTIMATE!K45</f>
        <v>107.0617275</v>
      </c>
      <c r="F37" s="43"/>
      <c r="G37" s="43"/>
      <c r="H37" s="41" t="e">
        <f>#REF!</f>
        <v>#REF!</v>
      </c>
      <c r="I37" s="42"/>
      <c r="J37" s="43"/>
    </row>
    <row r="38" spans="1:10" ht="15.75">
      <c r="A38" s="51"/>
      <c r="B38" s="53"/>
      <c r="C38" s="43"/>
      <c r="D38" s="43"/>
      <c r="E38" s="43"/>
      <c r="F38" s="43"/>
      <c r="G38" s="43"/>
      <c r="H38" s="43"/>
      <c r="I38" s="42"/>
      <c r="J38" s="43"/>
    </row>
    <row r="39" spans="1:10" ht="15.75">
      <c r="A39" s="49">
        <v>9</v>
      </c>
      <c r="B39" s="50" t="s">
        <v>41</v>
      </c>
      <c r="C39" s="41">
        <f>ESTIMATE!H54</f>
        <v>1</v>
      </c>
      <c r="D39" s="41">
        <f>ESTIMATE!J54</f>
        <v>4659</v>
      </c>
      <c r="E39" s="41">
        <f>ESTIMATE!K54</f>
        <v>4659</v>
      </c>
      <c r="F39" s="41" t="e">
        <f>#REF!</f>
        <v>#REF!</v>
      </c>
      <c r="G39" s="41" t="e">
        <f>#REF!</f>
        <v>#REF!</v>
      </c>
      <c r="H39" s="41" t="e">
        <f>#REF!</f>
        <v>#REF!</v>
      </c>
      <c r="I39" s="42" t="e">
        <f>F39-C39</f>
        <v>#REF!</v>
      </c>
      <c r="J39" s="43"/>
    </row>
    <row r="40" spans="1:10" ht="15.75">
      <c r="A40" s="49"/>
      <c r="B40" s="50"/>
      <c r="C40" s="43"/>
      <c r="D40" s="43"/>
      <c r="E40" s="43"/>
      <c r="F40" s="43"/>
      <c r="G40" s="43"/>
      <c r="H40" s="43"/>
      <c r="I40" s="42"/>
      <c r="J40" s="43"/>
    </row>
    <row r="41" spans="1:10" ht="15.75">
      <c r="A41" s="51">
        <v>10</v>
      </c>
      <c r="B41" s="55" t="s">
        <v>45</v>
      </c>
      <c r="C41" s="42" t="e">
        <f>ESTIMATE!#REF!</f>
        <v>#REF!</v>
      </c>
      <c r="D41" s="41" t="e">
        <f>ESTIMATE!#REF!</f>
        <v>#REF!</v>
      </c>
      <c r="E41" s="41" t="e">
        <f>ESTIMATE!#REF!</f>
        <v>#REF!</v>
      </c>
      <c r="F41" s="42" t="e">
        <f>#REF!</f>
        <v>#REF!</v>
      </c>
      <c r="G41" s="41" t="e">
        <f>#REF!</f>
        <v>#REF!</v>
      </c>
      <c r="H41" s="41" t="e">
        <f>#REF!</f>
        <v>#REF!</v>
      </c>
      <c r="I41" s="42" t="e">
        <f>F41-C41</f>
        <v>#REF!</v>
      </c>
      <c r="J41" s="43"/>
    </row>
    <row r="42" spans="1:10" ht="15.75">
      <c r="A42" s="51"/>
      <c r="B42" s="56" t="s">
        <v>50</v>
      </c>
      <c r="C42" s="43"/>
      <c r="D42" s="41"/>
      <c r="E42" s="41" t="e">
        <f>ESTIMATE!#REF!</f>
        <v>#REF!</v>
      </c>
      <c r="F42" s="43"/>
      <c r="G42" s="43"/>
      <c r="H42" s="41" t="e">
        <f>#REF!</f>
        <v>#REF!</v>
      </c>
      <c r="I42" s="42"/>
      <c r="J42" s="43"/>
    </row>
    <row r="43" spans="1:10" ht="15.75">
      <c r="A43" s="51"/>
      <c r="B43" s="55"/>
      <c r="C43" s="43"/>
      <c r="D43" s="43"/>
      <c r="E43" s="43"/>
      <c r="F43" s="43"/>
      <c r="G43" s="43"/>
      <c r="H43" s="43"/>
      <c r="I43" s="42"/>
      <c r="J43" s="43"/>
    </row>
    <row r="44" spans="1:10" ht="15.75">
      <c r="A44" s="51">
        <v>11</v>
      </c>
      <c r="B44" s="55" t="s">
        <v>46</v>
      </c>
      <c r="C44" s="43" t="e">
        <f>ESTIMATE!#REF!</f>
        <v>#REF!</v>
      </c>
      <c r="D44" s="41" t="e">
        <f>ESTIMATE!#REF!</f>
        <v>#REF!</v>
      </c>
      <c r="E44" s="41" t="e">
        <f>ESTIMATE!#REF!</f>
        <v>#REF!</v>
      </c>
      <c r="F44" s="43" t="e">
        <f>#REF!</f>
        <v>#REF!</v>
      </c>
      <c r="G44" s="41" t="e">
        <f>#REF!</f>
        <v>#REF!</v>
      </c>
      <c r="H44" s="41" t="e">
        <f>#REF!</f>
        <v>#REF!</v>
      </c>
      <c r="I44" s="42" t="e">
        <f>F44-C44</f>
        <v>#REF!</v>
      </c>
      <c r="J44" s="43"/>
    </row>
    <row r="45" spans="1:10" ht="15.75">
      <c r="A45" s="49"/>
      <c r="B45" s="57" t="s">
        <v>51</v>
      </c>
      <c r="C45" s="43"/>
      <c r="D45" s="43"/>
      <c r="E45" s="41" t="e">
        <f>ESTIMATE!#REF!</f>
        <v>#REF!</v>
      </c>
      <c r="F45" s="43"/>
      <c r="G45" s="43"/>
      <c r="H45" s="41" t="e">
        <f>#REF!</f>
        <v>#REF!</v>
      </c>
      <c r="I45" s="42"/>
      <c r="J45" s="43"/>
    </row>
    <row r="46" spans="1:10" ht="15.75">
      <c r="A46" s="49"/>
      <c r="B46" s="50"/>
      <c r="C46" s="43"/>
      <c r="D46" s="43"/>
      <c r="E46" s="43"/>
      <c r="F46" s="43"/>
      <c r="G46" s="43"/>
      <c r="H46" s="43"/>
      <c r="I46" s="42"/>
      <c r="J46" s="43"/>
    </row>
    <row r="47" spans="1:10" ht="15.75">
      <c r="A47" s="58">
        <v>12</v>
      </c>
      <c r="B47" s="59" t="s">
        <v>47</v>
      </c>
      <c r="C47" s="41" t="e">
        <f>ESTIMATE!#REF!</f>
        <v>#REF!</v>
      </c>
      <c r="D47" s="41" t="e">
        <f>ESTIMATE!#REF!</f>
        <v>#REF!</v>
      </c>
      <c r="E47" s="41" t="e">
        <f>ESTIMATE!#REF!</f>
        <v>#REF!</v>
      </c>
      <c r="F47" s="41" t="e">
        <f>#REF!</f>
        <v>#REF!</v>
      </c>
      <c r="G47" s="41" t="e">
        <f>#REF!</f>
        <v>#REF!</v>
      </c>
      <c r="H47" s="41" t="e">
        <f>#REF!</f>
        <v>#REF!</v>
      </c>
      <c r="I47" s="42" t="e">
        <f>F47-C47</f>
        <v>#REF!</v>
      </c>
      <c r="J47" s="43"/>
    </row>
    <row r="48" spans="1:10" ht="15.75">
      <c r="A48" s="47"/>
      <c r="B48" s="60" t="s">
        <v>48</v>
      </c>
      <c r="C48" s="43"/>
      <c r="D48" s="43"/>
      <c r="E48" s="41" t="e">
        <f>ESTIMATE!#REF!</f>
        <v>#REF!</v>
      </c>
      <c r="F48" s="43"/>
      <c r="G48" s="43"/>
      <c r="H48" s="41" t="e">
        <f>#REF!</f>
        <v>#REF!</v>
      </c>
      <c r="I48" s="42"/>
      <c r="J48" s="43"/>
    </row>
    <row r="49" spans="1:10" ht="15.75">
      <c r="A49" s="51"/>
      <c r="B49" s="55"/>
      <c r="C49" s="43"/>
      <c r="D49" s="43"/>
      <c r="E49" s="43"/>
      <c r="F49" s="43"/>
      <c r="G49" s="43"/>
      <c r="H49" s="43"/>
      <c r="I49" s="42"/>
      <c r="J49" s="43"/>
    </row>
    <row r="50" spans="1:10" ht="15.75">
      <c r="A50" s="49">
        <v>12</v>
      </c>
      <c r="B50" s="61" t="s">
        <v>33</v>
      </c>
      <c r="C50" s="43">
        <v>1</v>
      </c>
      <c r="D50" s="43">
        <v>500</v>
      </c>
      <c r="E50" s="43">
        <v>500</v>
      </c>
      <c r="F50" s="42" t="e">
        <f>#REF!</f>
        <v>#REF!</v>
      </c>
      <c r="G50" s="41" t="e">
        <f>#REF!</f>
        <v>#REF!</v>
      </c>
      <c r="H50" s="41" t="e">
        <f>#REF!</f>
        <v>#REF!</v>
      </c>
      <c r="I50" s="42" t="e">
        <f>F50-C50</f>
        <v>#REF!</v>
      </c>
      <c r="J50" s="43"/>
    </row>
    <row r="51" spans="1:10" ht="15.75">
      <c r="A51" s="44"/>
      <c r="B51" s="45" t="s">
        <v>67</v>
      </c>
      <c r="C51" s="45"/>
      <c r="D51" s="45"/>
      <c r="E51" s="46" t="e">
        <f>SUM(E12:E50)</f>
        <v>#REF!</v>
      </c>
      <c r="F51" s="45"/>
      <c r="G51" s="45"/>
      <c r="H51" s="46" t="e">
        <f>SUM(H12:H50)</f>
        <v>#REF!</v>
      </c>
      <c r="I51" s="45"/>
      <c r="J51" s="45"/>
    </row>
  </sheetData>
  <mergeCells count="15">
    <mergeCell ref="C7:D7"/>
    <mergeCell ref="E7:F7"/>
    <mergeCell ref="H7:J7"/>
    <mergeCell ref="A10:A11"/>
    <mergeCell ref="B10:B11"/>
    <mergeCell ref="C10:E10"/>
    <mergeCell ref="F10:H10"/>
    <mergeCell ref="I10:I11"/>
    <mergeCell ref="J10:J11"/>
    <mergeCell ref="A1:J1"/>
    <mergeCell ref="A2:J2"/>
    <mergeCell ref="A3:J3"/>
    <mergeCell ref="A4:J4"/>
    <mergeCell ref="C6:D6"/>
    <mergeCell ref="I6:J6"/>
  </mergeCells>
  <pageMargins left="0.7" right="0.7" top="0.75" bottom="0.75" header="0.3" footer="0.3"/>
  <pageSetup scale="88" orientation="landscape" horizontalDpi="1200" verticalDpi="1200" r:id="rId1"/>
  <headerFooter>
    <oddFooter>&amp;LPrepared By
Nitesh Basukala
Sub Engineer&amp;CChecked By         Submitted By
Nabin KC   Prakash Singh Saud
Engineer                        Engineer&amp;RApproved By 
Basudev Khanal 
CAO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9"/>
  <sheetViews>
    <sheetView tabSelected="1" view="pageBreakPreview" topLeftCell="A82" zoomScale="80" zoomScaleNormal="100" zoomScaleSheetLayoutView="80" workbookViewId="0">
      <selection activeCell="F84" sqref="F84"/>
    </sheetView>
  </sheetViews>
  <sheetFormatPr defaultColWidth="9.140625" defaultRowHeight="16.5"/>
  <cols>
    <col min="1" max="1" width="4.42578125" style="121" customWidth="1"/>
    <col min="2" max="2" width="30.5703125" style="8" customWidth="1"/>
    <col min="3" max="3" width="5.5703125" style="1" customWidth="1"/>
    <col min="4" max="4" width="8.28515625" style="1" customWidth="1"/>
    <col min="5" max="5" width="9.140625" style="1" customWidth="1"/>
    <col min="6" max="6" width="8.42578125" style="1" customWidth="1"/>
    <col min="7" max="7" width="10.140625" style="1" customWidth="1"/>
    <col min="8" max="8" width="5.42578125" style="1" customWidth="1"/>
    <col min="9" max="9" width="9.5703125" style="2" bestFit="1" customWidth="1"/>
    <col min="10" max="10" width="11.28515625" style="1" bestFit="1" customWidth="1"/>
    <col min="11" max="11" width="9.7109375" style="1" customWidth="1"/>
    <col min="12" max="16384" width="9.140625" style="1"/>
  </cols>
  <sheetData>
    <row r="1" spans="1:12">
      <c r="A1" s="176" t="s">
        <v>11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61"/>
    </row>
    <row r="2" spans="1:12" ht="20.25">
      <c r="A2" s="177" t="s">
        <v>16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0"/>
    </row>
    <row r="3" spans="1:12">
      <c r="A3" s="176" t="s">
        <v>17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61"/>
    </row>
    <row r="4" spans="1:12">
      <c r="A4" s="178" t="s">
        <v>22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</row>
    <row r="5" spans="1:12" ht="20.25">
      <c r="A5" s="171" t="s">
        <v>162</v>
      </c>
      <c r="G5" s="6"/>
      <c r="J5" s="179" t="s">
        <v>101</v>
      </c>
      <c r="K5" s="179"/>
    </row>
    <row r="6" spans="1:12">
      <c r="A6" s="175" t="s">
        <v>28</v>
      </c>
      <c r="B6" s="175"/>
      <c r="C6" s="175"/>
      <c r="D6" s="175"/>
      <c r="E6" s="175"/>
      <c r="F6" s="175"/>
      <c r="G6" s="113"/>
      <c r="H6" s="174" t="s">
        <v>163</v>
      </c>
      <c r="I6" s="174"/>
      <c r="J6" s="174"/>
      <c r="K6" s="174"/>
    </row>
    <row r="7" spans="1:12">
      <c r="B7" s="5"/>
      <c r="C7" s="6"/>
      <c r="D7" s="113"/>
      <c r="E7" s="113"/>
      <c r="F7" s="113"/>
      <c r="G7" s="113"/>
      <c r="I7" s="114"/>
      <c r="J7" s="113"/>
      <c r="K7" s="8"/>
    </row>
    <row r="8" spans="1:12" s="6" customFormat="1">
      <c r="A8" s="122" t="s">
        <v>0</v>
      </c>
      <c r="B8" s="118" t="s">
        <v>1</v>
      </c>
      <c r="C8" s="115" t="s">
        <v>2</v>
      </c>
      <c r="D8" s="119" t="s">
        <v>3</v>
      </c>
      <c r="E8" s="119" t="s">
        <v>4</v>
      </c>
      <c r="F8" s="119" t="s">
        <v>5</v>
      </c>
      <c r="G8" s="116" t="s">
        <v>6</v>
      </c>
      <c r="H8" s="115" t="s">
        <v>7</v>
      </c>
      <c r="I8" s="119" t="s">
        <v>8</v>
      </c>
      <c r="J8" s="119" t="s">
        <v>9</v>
      </c>
      <c r="K8" s="120" t="s">
        <v>152</v>
      </c>
    </row>
    <row r="9" spans="1:12">
      <c r="A9" s="123" t="s">
        <v>94</v>
      </c>
      <c r="B9" s="124" t="s">
        <v>95</v>
      </c>
      <c r="C9" s="125"/>
      <c r="D9" s="126"/>
      <c r="E9" s="126"/>
      <c r="F9" s="126"/>
      <c r="G9" s="126"/>
      <c r="H9" s="127"/>
      <c r="I9" s="126"/>
      <c r="J9" s="126"/>
      <c r="K9" s="128"/>
    </row>
    <row r="10" spans="1:12" ht="30.75">
      <c r="A10" s="129">
        <v>1</v>
      </c>
      <c r="B10" s="167" t="s">
        <v>103</v>
      </c>
      <c r="C10" s="131"/>
      <c r="D10" s="131"/>
      <c r="E10" s="131"/>
      <c r="F10" s="131"/>
      <c r="G10" s="131"/>
      <c r="H10" s="132"/>
      <c r="I10" s="132"/>
      <c r="J10" s="132"/>
      <c r="K10" s="133"/>
    </row>
    <row r="11" spans="1:12">
      <c r="A11" s="129"/>
      <c r="B11" s="134" t="s">
        <v>153</v>
      </c>
      <c r="C11" s="135">
        <v>1</v>
      </c>
      <c r="D11" s="136">
        <v>5</v>
      </c>
      <c r="E11" s="136">
        <f>11/3.281</f>
        <v>3.3526363913441024</v>
      </c>
      <c r="F11" s="136">
        <v>7.4999999999999997E-2</v>
      </c>
      <c r="G11" s="136">
        <f>C11*D11*E11*F11</f>
        <v>1.2572386467540384</v>
      </c>
      <c r="H11" s="132"/>
      <c r="I11" s="132"/>
      <c r="J11" s="132"/>
      <c r="K11" s="133"/>
    </row>
    <row r="12" spans="1:12">
      <c r="A12" s="129"/>
      <c r="B12" s="134"/>
      <c r="C12" s="135"/>
      <c r="D12" s="136"/>
      <c r="E12" s="136"/>
      <c r="F12" s="136"/>
      <c r="G12" s="136">
        <f>SUM(G11:G11)</f>
        <v>1.2572386467540384</v>
      </c>
      <c r="H12" s="132" t="s">
        <v>24</v>
      </c>
      <c r="I12" s="132">
        <v>4000</v>
      </c>
      <c r="J12" s="132">
        <f>G12*I12</f>
        <v>5028.9545870161537</v>
      </c>
      <c r="K12" s="133"/>
    </row>
    <row r="13" spans="1:12">
      <c r="A13" s="129"/>
      <c r="B13" s="130"/>
      <c r="C13" s="135"/>
      <c r="D13" s="136"/>
      <c r="E13" s="136"/>
      <c r="F13" s="136"/>
      <c r="G13" s="136"/>
      <c r="H13" s="132"/>
      <c r="I13" s="136"/>
      <c r="J13" s="136"/>
      <c r="K13" s="133"/>
    </row>
    <row r="14" spans="1:12" ht="45.75">
      <c r="A14" s="129">
        <v>2</v>
      </c>
      <c r="B14" s="167" t="s">
        <v>102</v>
      </c>
      <c r="C14" s="131"/>
      <c r="D14" s="131"/>
      <c r="E14" s="131"/>
      <c r="F14" s="131"/>
      <c r="G14" s="131"/>
      <c r="H14" s="132"/>
      <c r="I14" s="132"/>
      <c r="J14" s="132"/>
      <c r="K14" s="133"/>
    </row>
    <row r="15" spans="1:12">
      <c r="A15" s="129"/>
      <c r="B15" s="137" t="str">
        <f>B11</f>
        <v>-water tank</v>
      </c>
      <c r="C15" s="135">
        <v>2</v>
      </c>
      <c r="D15" s="136">
        <f>D11</f>
        <v>5</v>
      </c>
      <c r="E15" s="136">
        <v>0.23</v>
      </c>
      <c r="F15" s="136">
        <v>1.4</v>
      </c>
      <c r="G15" s="136">
        <f>C15*D15*F15</f>
        <v>14</v>
      </c>
      <c r="H15" s="136"/>
      <c r="I15" s="136"/>
      <c r="J15" s="136"/>
      <c r="K15" s="133"/>
    </row>
    <row r="16" spans="1:12">
      <c r="A16" s="129"/>
      <c r="B16" s="137"/>
      <c r="C16" s="135">
        <v>2</v>
      </c>
      <c r="D16" s="136">
        <f>E11-0.23*2</f>
        <v>2.8926363913441024</v>
      </c>
      <c r="E16" s="136">
        <v>0.23</v>
      </c>
      <c r="F16" s="136">
        <v>1.4</v>
      </c>
      <c r="G16" s="136">
        <f>C16*D16*F16</f>
        <v>8.0993818957634858</v>
      </c>
      <c r="H16" s="136"/>
      <c r="I16" s="136"/>
      <c r="J16" s="136"/>
      <c r="K16" s="133"/>
    </row>
    <row r="17" spans="1:11">
      <c r="A17" s="129"/>
      <c r="B17" s="137"/>
      <c r="C17" s="135">
        <v>1</v>
      </c>
      <c r="D17" s="136">
        <f>D11</f>
        <v>5</v>
      </c>
      <c r="E17" s="136">
        <v>0.23</v>
      </c>
      <c r="F17" s="136">
        <v>0.45</v>
      </c>
      <c r="G17" s="136">
        <f>C17*D17*F17</f>
        <v>2.25</v>
      </c>
      <c r="H17" s="136"/>
      <c r="I17" s="136"/>
      <c r="J17" s="136"/>
      <c r="K17" s="133"/>
    </row>
    <row r="18" spans="1:11">
      <c r="A18" s="129"/>
      <c r="B18" s="131"/>
      <c r="C18" s="135"/>
      <c r="D18" s="136"/>
      <c r="E18" s="136"/>
      <c r="F18" s="138"/>
      <c r="G18" s="136">
        <f>SUM(G15:G17)</f>
        <v>24.349381895763486</v>
      </c>
      <c r="H18" s="132" t="s">
        <v>24</v>
      </c>
      <c r="I18" s="136">
        <v>2120</v>
      </c>
      <c r="J18" s="136">
        <f>G18*I18</f>
        <v>51620.689619018587</v>
      </c>
      <c r="K18" s="133"/>
    </row>
    <row r="19" spans="1:11">
      <c r="A19" s="129"/>
      <c r="B19" s="139"/>
      <c r="C19" s="135"/>
      <c r="D19" s="136"/>
      <c r="E19" s="136"/>
      <c r="F19" s="138"/>
      <c r="G19" s="136"/>
      <c r="H19" s="132"/>
      <c r="I19" s="136"/>
      <c r="J19" s="136"/>
      <c r="K19" s="133"/>
    </row>
    <row r="20" spans="1:11" ht="45.75">
      <c r="A20" s="129">
        <v>3</v>
      </c>
      <c r="B20" s="168" t="s">
        <v>105</v>
      </c>
      <c r="C20" s="135"/>
      <c r="D20" s="136"/>
      <c r="E20" s="136"/>
      <c r="F20" s="138"/>
      <c r="G20" s="136"/>
      <c r="H20" s="132"/>
      <c r="I20" s="136"/>
      <c r="J20" s="136"/>
      <c r="K20" s="133"/>
    </row>
    <row r="21" spans="1:11">
      <c r="A21" s="129"/>
      <c r="B21" s="139"/>
      <c r="C21" s="135">
        <f>C11</f>
        <v>1</v>
      </c>
      <c r="D21" s="136">
        <f>D11</f>
        <v>5</v>
      </c>
      <c r="E21" s="136">
        <f>E11</f>
        <v>3.3526363913441024</v>
      </c>
      <c r="F21" s="138">
        <v>0.3</v>
      </c>
      <c r="G21" s="136">
        <f>C21*D21*E21*F21</f>
        <v>5.0289545870161536</v>
      </c>
      <c r="H21" s="132"/>
      <c r="I21" s="136"/>
      <c r="J21" s="136"/>
      <c r="K21" s="133"/>
    </row>
    <row r="22" spans="1:11">
      <c r="A22" s="129"/>
      <c r="B22" s="131"/>
      <c r="C22" s="135"/>
      <c r="D22" s="136"/>
      <c r="E22" s="136"/>
      <c r="F22" s="138"/>
      <c r="G22" s="136">
        <f>SUM(G21)</f>
        <v>5.0289545870161536</v>
      </c>
      <c r="H22" s="132" t="s">
        <v>24</v>
      </c>
      <c r="I22" s="136">
        <v>824</v>
      </c>
      <c r="J22" s="136">
        <f>G22*I22</f>
        <v>4143.8585797013102</v>
      </c>
      <c r="K22" s="133"/>
    </row>
    <row r="23" spans="1:11">
      <c r="A23" s="129"/>
      <c r="B23" s="131"/>
      <c r="C23" s="135"/>
      <c r="D23" s="136"/>
      <c r="E23" s="136"/>
      <c r="F23" s="138"/>
      <c r="G23" s="136"/>
      <c r="H23" s="132"/>
      <c r="I23" s="136"/>
      <c r="J23" s="136"/>
      <c r="K23" s="133"/>
    </row>
    <row r="24" spans="1:11">
      <c r="A24" s="140">
        <v>4</v>
      </c>
      <c r="B24" s="169" t="s">
        <v>104</v>
      </c>
      <c r="C24" s="141"/>
      <c r="D24" s="142"/>
      <c r="E24" s="142"/>
      <c r="F24" s="138"/>
      <c r="G24" s="142"/>
      <c r="H24" s="138"/>
      <c r="I24" s="142"/>
      <c r="J24" s="142"/>
      <c r="K24" s="133"/>
    </row>
    <row r="25" spans="1:11">
      <c r="A25" s="140"/>
      <c r="B25" s="143" t="s">
        <v>132</v>
      </c>
      <c r="C25" s="141">
        <f>C17</f>
        <v>1</v>
      </c>
      <c r="D25" s="142">
        <f>D17</f>
        <v>5</v>
      </c>
      <c r="E25" s="142">
        <f>E21</f>
        <v>3.3526363913441024</v>
      </c>
      <c r="F25" s="138"/>
      <c r="G25" s="142">
        <f>PRODUCT(C25:F25)</f>
        <v>16.763181956720512</v>
      </c>
      <c r="H25" s="138"/>
      <c r="I25" s="142"/>
      <c r="J25" s="142"/>
      <c r="K25" s="133"/>
    </row>
    <row r="26" spans="1:11">
      <c r="A26" s="140"/>
      <c r="B26" s="133"/>
      <c r="C26" s="141"/>
      <c r="D26" s="142"/>
      <c r="E26" s="142"/>
      <c r="F26" s="138"/>
      <c r="G26" s="142">
        <f>SUM(G25)</f>
        <v>16.763181956720512</v>
      </c>
      <c r="H26" s="138" t="s">
        <v>23</v>
      </c>
      <c r="I26" s="142">
        <f>Sheet1!H8/10</f>
        <v>166.5</v>
      </c>
      <c r="J26" s="142">
        <f>G26*I26</f>
        <v>2791.0697957939651</v>
      </c>
      <c r="K26" s="133"/>
    </row>
    <row r="27" spans="1:11">
      <c r="A27" s="129"/>
      <c r="B27" s="131"/>
      <c r="C27" s="135"/>
      <c r="D27" s="136"/>
      <c r="E27" s="136"/>
      <c r="F27" s="138"/>
      <c r="G27" s="136"/>
      <c r="H27" s="132"/>
      <c r="I27" s="136"/>
      <c r="J27" s="136"/>
      <c r="K27" s="133"/>
    </row>
    <row r="28" spans="1:11" ht="30.75">
      <c r="A28" s="129">
        <v>5</v>
      </c>
      <c r="B28" s="167" t="s">
        <v>131</v>
      </c>
      <c r="C28" s="135"/>
      <c r="D28" s="136"/>
      <c r="E28" s="136"/>
      <c r="F28" s="136"/>
      <c r="G28" s="136"/>
      <c r="H28" s="132"/>
      <c r="I28" s="136"/>
      <c r="J28" s="136"/>
      <c r="K28" s="133"/>
    </row>
    <row r="29" spans="1:11">
      <c r="A29" s="129"/>
      <c r="B29" s="144" t="str">
        <f>B25</f>
        <v>-for flooring</v>
      </c>
      <c r="C29" s="135">
        <f>C25</f>
        <v>1</v>
      </c>
      <c r="D29" s="136">
        <f>D25</f>
        <v>5</v>
      </c>
      <c r="E29" s="136">
        <f>E25</f>
        <v>3.3526363913441024</v>
      </c>
      <c r="F29" s="136">
        <v>7.4999999999999997E-2</v>
      </c>
      <c r="G29" s="136">
        <f>C29*D29*E29*F29</f>
        <v>1.2572386467540384</v>
      </c>
      <c r="H29" s="132"/>
      <c r="I29" s="136"/>
      <c r="J29" s="136"/>
      <c r="K29" s="133"/>
    </row>
    <row r="30" spans="1:11">
      <c r="A30" s="129"/>
      <c r="B30" s="145"/>
      <c r="C30" s="135"/>
      <c r="D30" s="136"/>
      <c r="E30" s="136" t="s">
        <v>32</v>
      </c>
      <c r="F30" s="136"/>
      <c r="G30" s="136">
        <f>SUM(G29)</f>
        <v>1.2572386467540384</v>
      </c>
      <c r="H30" s="132" t="s">
        <v>24</v>
      </c>
      <c r="I30" s="136">
        <v>13944.36</v>
      </c>
      <c r="J30" s="136">
        <f>G30*I30</f>
        <v>17531.388296251145</v>
      </c>
      <c r="K30" s="133"/>
    </row>
    <row r="31" spans="1:11">
      <c r="A31" s="129"/>
      <c r="B31" s="144" t="s">
        <v>186</v>
      </c>
      <c r="C31" s="135"/>
      <c r="D31" s="136"/>
      <c r="E31" s="136"/>
      <c r="F31" s="136"/>
      <c r="G31" s="136"/>
      <c r="H31" s="132"/>
      <c r="I31" s="136"/>
      <c r="J31" s="136">
        <f>0.13*G30*4169.92</f>
        <v>681.53599512343794</v>
      </c>
      <c r="K31" s="133"/>
    </row>
    <row r="32" spans="1:11">
      <c r="A32" s="129"/>
      <c r="B32" s="144" t="s">
        <v>187</v>
      </c>
      <c r="C32" s="135"/>
      <c r="D32" s="136"/>
      <c r="E32" s="136"/>
      <c r="F32" s="136"/>
      <c r="G32" s="136"/>
      <c r="H32" s="132"/>
      <c r="I32" s="136"/>
      <c r="J32" s="136">
        <f>0.13*G30*1508.44</f>
        <v>246.54097836025602</v>
      </c>
      <c r="K32" s="133"/>
    </row>
    <row r="33" spans="1:11">
      <c r="A33" s="129"/>
      <c r="B33" s="144" t="s">
        <v>188</v>
      </c>
      <c r="C33" s="135"/>
      <c r="D33" s="136"/>
      <c r="E33" s="136"/>
      <c r="F33" s="136"/>
      <c r="G33" s="136"/>
      <c r="H33" s="132"/>
      <c r="I33" s="136"/>
      <c r="J33" s="136">
        <f>0.13*G30*(1744.31+776.82+372.87)</f>
        <v>472.99832368180432</v>
      </c>
      <c r="K33" s="133"/>
    </row>
    <row r="34" spans="1:11">
      <c r="A34" s="129"/>
      <c r="B34" s="144" t="s">
        <v>189</v>
      </c>
      <c r="C34" s="135"/>
      <c r="D34" s="136"/>
      <c r="E34" s="136"/>
      <c r="F34" s="136"/>
      <c r="G34" s="136"/>
      <c r="H34" s="132"/>
      <c r="I34" s="136"/>
      <c r="J34" s="136">
        <f>0.13*G30*(42)</f>
        <v>6.8645230112770497</v>
      </c>
      <c r="K34" s="133"/>
    </row>
    <row r="35" spans="1:11">
      <c r="A35" s="129"/>
      <c r="B35" s="130"/>
      <c r="C35" s="135"/>
      <c r="D35" s="136"/>
      <c r="E35" s="136"/>
      <c r="F35" s="136"/>
      <c r="G35" s="136"/>
      <c r="H35" s="132"/>
      <c r="I35" s="136"/>
      <c r="J35" s="136"/>
      <c r="K35" s="133"/>
    </row>
    <row r="36" spans="1:11" ht="30.75">
      <c r="A36" s="129">
        <v>6</v>
      </c>
      <c r="B36" s="167" t="s">
        <v>80</v>
      </c>
      <c r="C36" s="135"/>
      <c r="D36" s="136"/>
      <c r="E36" s="136"/>
      <c r="F36" s="136"/>
      <c r="G36" s="136"/>
      <c r="H36" s="132"/>
      <c r="I36" s="136"/>
      <c r="J36" s="136"/>
      <c r="K36" s="133"/>
    </row>
    <row r="37" spans="1:11">
      <c r="A37" s="129"/>
      <c r="B37" s="146" t="s">
        <v>154</v>
      </c>
      <c r="C37" s="135">
        <v>33</v>
      </c>
      <c r="D37" s="136">
        <f>(2+5.917+16.17+5.917+2)/3.281</f>
        <v>9.7543431880524238</v>
      </c>
      <c r="E37" s="136"/>
      <c r="F37" s="136">
        <f>10*10/162</f>
        <v>0.61728395061728392</v>
      </c>
      <c r="G37" s="136">
        <f>C37*D37*F37</f>
        <v>198.69958346032715</v>
      </c>
      <c r="H37" s="132"/>
      <c r="I37" s="136"/>
      <c r="J37" s="136"/>
      <c r="K37" s="133"/>
    </row>
    <row r="38" spans="1:11">
      <c r="A38" s="129"/>
      <c r="B38" s="144"/>
      <c r="C38" s="135">
        <v>32</v>
      </c>
      <c r="D38" s="136">
        <f>(2+5.5+15.667+5.5+2)/3.281</f>
        <v>9.3468454739408724</v>
      </c>
      <c r="E38" s="136"/>
      <c r="F38" s="136">
        <f>10*10/162</f>
        <v>0.61728395061728392</v>
      </c>
      <c r="G38" s="136">
        <f t="shared" ref="G38" si="0">C38*D38*F38</f>
        <v>184.62904639883203</v>
      </c>
      <c r="H38" s="132"/>
      <c r="I38" s="136"/>
      <c r="J38" s="136"/>
      <c r="K38" s="133"/>
    </row>
    <row r="39" spans="1:11">
      <c r="A39" s="129"/>
      <c r="B39" s="146" t="s">
        <v>133</v>
      </c>
      <c r="C39" s="135">
        <v>23</v>
      </c>
      <c r="D39" s="136">
        <f>(2+5.917+10.75+5.917+2)/3.281</f>
        <v>8.1024078024992381</v>
      </c>
      <c r="E39" s="136"/>
      <c r="F39" s="136">
        <f>10*10/162</f>
        <v>0.61728395061728392</v>
      </c>
      <c r="G39" s="136">
        <f>C39*D39*F39</f>
        <v>115.03418485029782</v>
      </c>
      <c r="H39" s="132"/>
      <c r="I39" s="136"/>
      <c r="J39" s="136"/>
      <c r="K39" s="133"/>
    </row>
    <row r="40" spans="1:11">
      <c r="A40" s="129"/>
      <c r="B40" s="144"/>
      <c r="C40" s="135">
        <v>22</v>
      </c>
      <c r="D40" s="136">
        <f>(2+5.5+10.25+5.5+2)/3.281</f>
        <v>7.6958244437671439</v>
      </c>
      <c r="E40" s="136"/>
      <c r="F40" s="136">
        <f>10*10/162</f>
        <v>0.61728395061728392</v>
      </c>
      <c r="G40" s="136">
        <f t="shared" ref="G40" si="1">C40*D40*F40</f>
        <v>104.51119614992416</v>
      </c>
      <c r="H40" s="132"/>
      <c r="I40" s="136"/>
      <c r="J40" s="136"/>
      <c r="K40" s="133"/>
    </row>
    <row r="41" spans="1:11">
      <c r="A41" s="129"/>
      <c r="B41" s="146" t="s">
        <v>155</v>
      </c>
      <c r="C41" s="135">
        <v>12</v>
      </c>
      <c r="D41" s="136">
        <f>(16.17+10.75+16.17+10.75)/3.281</f>
        <v>16.409631209996952</v>
      </c>
      <c r="E41" s="136"/>
      <c r="F41" s="136">
        <f>8*8/162</f>
        <v>0.39506172839506171</v>
      </c>
      <c r="G41" s="136">
        <f>C41*D41*F41</f>
        <v>77.79380721776333</v>
      </c>
      <c r="H41" s="132"/>
      <c r="I41" s="136"/>
      <c r="J41" s="136"/>
      <c r="K41" s="133"/>
    </row>
    <row r="42" spans="1:11">
      <c r="A42" s="129"/>
      <c r="B42" s="144"/>
      <c r="C42" s="135">
        <v>11</v>
      </c>
      <c r="D42" s="136">
        <f>(15.667+10.25+15.667+10.25)/3.281</f>
        <v>15.798232246266382</v>
      </c>
      <c r="E42" s="136"/>
      <c r="F42" s="136">
        <f>8*8/162</f>
        <v>0.39506172839506171</v>
      </c>
      <c r="G42" s="136">
        <f>C42*D42*F42</f>
        <v>68.654046304762545</v>
      </c>
      <c r="H42" s="132"/>
      <c r="I42" s="136"/>
      <c r="J42" s="136"/>
      <c r="K42" s="133"/>
    </row>
    <row r="43" spans="1:11">
      <c r="A43" s="129"/>
      <c r="B43" s="146" t="s">
        <v>134</v>
      </c>
      <c r="C43" s="135">
        <f>2*TRUNC((D44/0.15),0)</f>
        <v>42</v>
      </c>
      <c r="D43" s="136">
        <f>(16.17/3.281)</f>
        <v>4.928375495275831</v>
      </c>
      <c r="E43" s="136"/>
      <c r="F43" s="136">
        <f t="shared" ref="F43:F47" si="2">8*8/162</f>
        <v>0.39506172839506171</v>
      </c>
      <c r="G43" s="136">
        <f t="shared" ref="G43:G44" si="3">C43*D43*F43</f>
        <v>81.774526736428598</v>
      </c>
      <c r="H43" s="132"/>
      <c r="I43" s="136"/>
      <c r="J43" s="136"/>
      <c r="K43" s="133"/>
    </row>
    <row r="44" spans="1:11">
      <c r="A44" s="129"/>
      <c r="B44" s="144"/>
      <c r="C44" s="135">
        <f>2*TRUNC((D43/0.15),0)</f>
        <v>64</v>
      </c>
      <c r="D44" s="136">
        <f>10.75/3.281</f>
        <v>3.2764401097226452</v>
      </c>
      <c r="E44" s="136"/>
      <c r="F44" s="136">
        <f t="shared" si="2"/>
        <v>0.39506172839506171</v>
      </c>
      <c r="G44" s="136">
        <f t="shared" si="3"/>
        <v>82.841349934715765</v>
      </c>
      <c r="H44" s="132"/>
      <c r="I44" s="136"/>
      <c r="J44" s="136"/>
      <c r="K44" s="133"/>
    </row>
    <row r="45" spans="1:11">
      <c r="A45" s="129"/>
      <c r="B45" s="146" t="s">
        <v>145</v>
      </c>
      <c r="C45" s="135">
        <f>-2*5</f>
        <v>-10</v>
      </c>
      <c r="D45" s="136">
        <v>0.6</v>
      </c>
      <c r="E45" s="136"/>
      <c r="F45" s="136">
        <f t="shared" si="2"/>
        <v>0.39506172839506171</v>
      </c>
      <c r="G45" s="136">
        <f t="shared" ref="G45:G46" si="4">PRODUCT(C45:F45)</f>
        <v>-2.3703703703703702</v>
      </c>
      <c r="H45" s="132"/>
      <c r="I45" s="136"/>
      <c r="J45" s="136"/>
      <c r="K45" s="133"/>
    </row>
    <row r="46" spans="1:11">
      <c r="A46" s="129"/>
      <c r="B46" s="146"/>
      <c r="C46" s="135">
        <f>-2*5</f>
        <v>-10</v>
      </c>
      <c r="D46" s="136">
        <v>0.6</v>
      </c>
      <c r="E46" s="136"/>
      <c r="F46" s="136">
        <f t="shared" si="2"/>
        <v>0.39506172839506171</v>
      </c>
      <c r="G46" s="136">
        <f t="shared" si="4"/>
        <v>-2.3703703703703702</v>
      </c>
      <c r="H46" s="132"/>
      <c r="I46" s="136"/>
      <c r="J46" s="136"/>
      <c r="K46" s="133"/>
    </row>
    <row r="47" spans="1:11">
      <c r="A47" s="129"/>
      <c r="B47" s="146" t="s">
        <v>141</v>
      </c>
      <c r="C47" s="135">
        <f>28*2+17*2</f>
        <v>90</v>
      </c>
      <c r="D47" s="136">
        <f>(1+1.42+1)/3.281</f>
        <v>1.04236513258153</v>
      </c>
      <c r="E47" s="136"/>
      <c r="F47" s="136">
        <f t="shared" si="2"/>
        <v>0.39506172839506171</v>
      </c>
      <c r="G47" s="136">
        <f t="shared" ref="G47" si="5">C47*D47*F47</f>
        <v>37.061871380676621</v>
      </c>
      <c r="H47" s="132"/>
      <c r="I47" s="136"/>
      <c r="J47" s="136"/>
      <c r="K47" s="133"/>
    </row>
    <row r="48" spans="1:11">
      <c r="A48" s="129"/>
      <c r="B48" s="144"/>
      <c r="C48" s="135"/>
      <c r="D48" s="136"/>
      <c r="E48" s="136"/>
      <c r="F48" s="136"/>
      <c r="G48" s="136">
        <f>SUM(G37:G47)</f>
        <v>946.25887169298721</v>
      </c>
      <c r="H48" s="132" t="s">
        <v>18</v>
      </c>
      <c r="I48" s="136">
        <f>134160/1000</f>
        <v>134.16</v>
      </c>
      <c r="J48" s="147">
        <f>G48*I48</f>
        <v>126950.09022633116</v>
      </c>
      <c r="K48" s="133"/>
    </row>
    <row r="49" spans="1:11">
      <c r="A49" s="129"/>
      <c r="B49" s="144" t="s">
        <v>185</v>
      </c>
      <c r="C49" s="135"/>
      <c r="D49" s="136"/>
      <c r="E49" s="136"/>
      <c r="F49" s="136"/>
      <c r="G49" s="136"/>
      <c r="H49" s="132"/>
      <c r="I49" s="136"/>
      <c r="J49" s="136">
        <f>0.13*G48*105000/1000</f>
        <v>12916.433598609276</v>
      </c>
      <c r="K49" s="133"/>
    </row>
    <row r="50" spans="1:11">
      <c r="A50" s="129"/>
      <c r="B50" s="144" t="s">
        <v>184</v>
      </c>
      <c r="C50" s="135"/>
      <c r="D50" s="136"/>
      <c r="E50" s="136"/>
      <c r="F50" s="136"/>
      <c r="G50" s="136"/>
      <c r="H50" s="132"/>
      <c r="I50" s="136"/>
      <c r="J50" s="136">
        <f>0.13*G48*1200/1000</f>
        <v>147.61638398410602</v>
      </c>
      <c r="K50" s="133"/>
    </row>
    <row r="51" spans="1:11">
      <c r="A51" s="129"/>
      <c r="B51" s="144"/>
      <c r="C51" s="135"/>
      <c r="D51" s="136"/>
      <c r="E51" s="136"/>
      <c r="F51" s="136"/>
      <c r="G51" s="136"/>
      <c r="H51" s="132"/>
      <c r="I51" s="136"/>
      <c r="J51" s="136"/>
      <c r="K51" s="133"/>
    </row>
    <row r="52" spans="1:11" ht="30.75">
      <c r="A52" s="129">
        <v>7</v>
      </c>
      <c r="B52" s="167" t="s">
        <v>135</v>
      </c>
      <c r="C52" s="135"/>
      <c r="D52" s="136"/>
      <c r="E52" s="136"/>
      <c r="F52" s="136"/>
      <c r="G52" s="136"/>
      <c r="H52" s="132"/>
      <c r="I52" s="136"/>
      <c r="J52" s="136"/>
      <c r="K52" s="133"/>
    </row>
    <row r="53" spans="1:11">
      <c r="A53" s="129"/>
      <c r="B53" s="146" t="s">
        <v>136</v>
      </c>
      <c r="C53" s="135">
        <v>1</v>
      </c>
      <c r="D53" s="136">
        <f>((16.42+11)*2)/3.281</f>
        <v>16.714416336482781</v>
      </c>
      <c r="E53" s="136"/>
      <c r="F53" s="136">
        <f>4.583/3.281</f>
        <v>1.3968302346845474</v>
      </c>
      <c r="G53" s="136">
        <f>PRODUCT(C53:F53)</f>
        <v>23.347202093904475</v>
      </c>
      <c r="H53" s="132"/>
      <c r="I53" s="136"/>
      <c r="J53" s="136"/>
      <c r="K53" s="133"/>
    </row>
    <row r="54" spans="1:11">
      <c r="A54" s="129"/>
      <c r="B54" s="144"/>
      <c r="C54" s="135">
        <v>1</v>
      </c>
      <c r="D54" s="136">
        <f>((15.42+10)*2)/3.281</f>
        <v>15.49527583053947</v>
      </c>
      <c r="E54" s="136"/>
      <c r="F54" s="136">
        <f>4.17/3.281</f>
        <v>1.2709539774459007</v>
      </c>
      <c r="G54" s="136">
        <f t="shared" ref="G54:G56" si="6">PRODUCT(C54:F54)</f>
        <v>19.693782448445472</v>
      </c>
      <c r="H54" s="132"/>
      <c r="I54" s="136"/>
      <c r="J54" s="136"/>
      <c r="K54" s="133"/>
    </row>
    <row r="55" spans="1:11">
      <c r="A55" s="129"/>
      <c r="B55" s="146" t="s">
        <v>137</v>
      </c>
      <c r="C55" s="135">
        <v>1</v>
      </c>
      <c r="D55" s="136">
        <f>(15.42/3.281)</f>
        <v>4.6997866504114594</v>
      </c>
      <c r="E55" s="136">
        <f>10/3.281</f>
        <v>3.047851264858275</v>
      </c>
      <c r="F55" s="136"/>
      <c r="G55" s="136">
        <f t="shared" si="6"/>
        <v>14.324250687020601</v>
      </c>
      <c r="H55" s="132"/>
      <c r="I55" s="136"/>
      <c r="J55" s="136"/>
      <c r="K55" s="133"/>
    </row>
    <row r="56" spans="1:11">
      <c r="A56" s="129"/>
      <c r="B56" s="146" t="s">
        <v>145</v>
      </c>
      <c r="C56" s="135">
        <v>-1</v>
      </c>
      <c r="D56" s="136">
        <v>0.6</v>
      </c>
      <c r="E56" s="136">
        <v>0.6</v>
      </c>
      <c r="F56" s="136"/>
      <c r="G56" s="136">
        <f t="shared" si="6"/>
        <v>-0.36</v>
      </c>
      <c r="H56" s="132"/>
      <c r="I56" s="136"/>
      <c r="J56" s="136"/>
      <c r="K56" s="133"/>
    </row>
    <row r="57" spans="1:11">
      <c r="A57" s="129"/>
      <c r="B57" s="144"/>
      <c r="C57" s="135"/>
      <c r="D57" s="136"/>
      <c r="E57" s="136"/>
      <c r="F57" s="136"/>
      <c r="G57" s="136">
        <f>SUM(G53:G56)</f>
        <v>57.005235229370548</v>
      </c>
      <c r="H57" s="132" t="s">
        <v>23</v>
      </c>
      <c r="I57" s="136">
        <v>954.03</v>
      </c>
      <c r="J57" s="136">
        <f>G57*I57</f>
        <v>54384.704565876382</v>
      </c>
      <c r="K57" s="133"/>
    </row>
    <row r="58" spans="1:11">
      <c r="A58" s="129"/>
      <c r="B58" s="144" t="s">
        <v>190</v>
      </c>
      <c r="C58" s="135"/>
      <c r="D58" s="136"/>
      <c r="E58" s="136"/>
      <c r="F58" s="136"/>
      <c r="G58" s="136"/>
      <c r="H58" s="132"/>
      <c r="I58" s="136"/>
      <c r="J58" s="136">
        <f>0.13*G57*20062.02/100</f>
        <v>1486.7322200592375</v>
      </c>
      <c r="K58" s="133"/>
    </row>
    <row r="59" spans="1:11">
      <c r="A59" s="129"/>
      <c r="B59" s="144" t="s">
        <v>191</v>
      </c>
      <c r="C59" s="135"/>
      <c r="D59" s="136"/>
      <c r="E59" s="136"/>
      <c r="F59" s="136"/>
      <c r="G59" s="136"/>
      <c r="H59" s="132"/>
      <c r="I59" s="136"/>
      <c r="J59" s="136">
        <f>0.13*G57*13328.25/100</f>
        <v>987.71403437961544</v>
      </c>
      <c r="K59" s="133"/>
    </row>
    <row r="60" spans="1:11" ht="31.5">
      <c r="A60" s="129"/>
      <c r="B60" s="144" t="s">
        <v>192</v>
      </c>
      <c r="C60" s="135"/>
      <c r="D60" s="136"/>
      <c r="E60" s="136"/>
      <c r="F60" s="136"/>
      <c r="G60" s="136"/>
      <c r="H60" s="132"/>
      <c r="I60" s="136"/>
      <c r="J60" s="136">
        <f>0.13*G57*10137.6/100</f>
        <v>751.26515445964696</v>
      </c>
      <c r="K60" s="133"/>
    </row>
    <row r="61" spans="1:11">
      <c r="A61" s="129"/>
      <c r="B61" s="144" t="s">
        <v>193</v>
      </c>
      <c r="C61" s="135"/>
      <c r="D61" s="136"/>
      <c r="E61" s="136"/>
      <c r="F61" s="136"/>
      <c r="G61" s="136"/>
      <c r="H61" s="132"/>
      <c r="I61" s="136"/>
      <c r="J61" s="136">
        <f>0.13*G57*3300/100</f>
        <v>244.55245913399966</v>
      </c>
      <c r="K61" s="133"/>
    </row>
    <row r="62" spans="1:11">
      <c r="A62" s="129"/>
      <c r="B62" s="144"/>
      <c r="C62" s="135"/>
      <c r="D62" s="136"/>
      <c r="E62" s="136"/>
      <c r="F62" s="136"/>
      <c r="G62" s="136"/>
      <c r="H62" s="132"/>
      <c r="I62" s="136"/>
      <c r="J62" s="136"/>
      <c r="K62" s="133"/>
    </row>
    <row r="63" spans="1:11" ht="30.75">
      <c r="A63" s="129">
        <v>8</v>
      </c>
      <c r="B63" s="167" t="s">
        <v>142</v>
      </c>
      <c r="C63" s="135"/>
      <c r="D63" s="136"/>
      <c r="E63" s="136"/>
      <c r="F63" s="136"/>
      <c r="G63" s="136"/>
      <c r="H63" s="132"/>
      <c r="I63" s="136"/>
      <c r="J63" s="136"/>
      <c r="K63" s="133"/>
    </row>
    <row r="64" spans="1:11">
      <c r="A64" s="129"/>
      <c r="B64" s="146" t="s">
        <v>140</v>
      </c>
      <c r="C64" s="135">
        <v>2</v>
      </c>
      <c r="D64" s="136">
        <f>D25</f>
        <v>5</v>
      </c>
      <c r="E64" s="136">
        <f>E25</f>
        <v>3.3526363913441024</v>
      </c>
      <c r="F64" s="136">
        <f>0.42/3.281</f>
        <v>0.12800975312404753</v>
      </c>
      <c r="G64" s="136">
        <f>C64*D64*E64*F64</f>
        <v>4.2917015677065615</v>
      </c>
      <c r="H64" s="132"/>
      <c r="I64" s="136"/>
      <c r="J64" s="136"/>
      <c r="K64" s="133"/>
    </row>
    <row r="65" spans="1:11">
      <c r="A65" s="129"/>
      <c r="B65" s="146" t="s">
        <v>139</v>
      </c>
      <c r="C65" s="135">
        <v>2</v>
      </c>
      <c r="D65" s="136">
        <f>D64</f>
        <v>5</v>
      </c>
      <c r="E65" s="136">
        <v>0.15</v>
      </c>
      <c r="F65" s="136">
        <f>5.25/3.281</f>
        <v>1.6001219140505942</v>
      </c>
      <c r="G65" s="136">
        <f>C65*D65*E65*F65</f>
        <v>2.4001828710758915</v>
      </c>
      <c r="H65" s="132"/>
      <c r="I65" s="136"/>
      <c r="J65" s="136"/>
      <c r="K65" s="133"/>
    </row>
    <row r="66" spans="1:11">
      <c r="A66" s="129"/>
      <c r="B66" s="145"/>
      <c r="C66" s="135">
        <v>2</v>
      </c>
      <c r="D66" s="136">
        <f>10/3.281</f>
        <v>3.047851264858275</v>
      </c>
      <c r="E66" s="136">
        <v>0.15</v>
      </c>
      <c r="F66" s="136">
        <f>5.25/3.281</f>
        <v>1.6001219140505942</v>
      </c>
      <c r="G66" s="136">
        <f>C66*D66*E66*F66</f>
        <v>1.4630800798999641</v>
      </c>
      <c r="H66" s="132"/>
      <c r="I66" s="136"/>
      <c r="J66" s="136"/>
      <c r="K66" s="133"/>
    </row>
    <row r="67" spans="1:11">
      <c r="A67" s="129"/>
      <c r="B67" s="146" t="s">
        <v>138</v>
      </c>
      <c r="C67" s="135">
        <v>0.5</v>
      </c>
      <c r="D67" s="136">
        <f>(13.42*2+8*2)/3.281</f>
        <v>13.05699481865285</v>
      </c>
      <c r="E67" s="136">
        <f>1/3.281</f>
        <v>0.30478512648582745</v>
      </c>
      <c r="F67" s="136">
        <f>1/3.281</f>
        <v>0.30478512648582745</v>
      </c>
      <c r="G67" s="136">
        <f>C67*D67*E67*F67</f>
        <v>0.60645806420723891</v>
      </c>
      <c r="H67" s="132"/>
      <c r="I67" s="136"/>
      <c r="J67" s="136"/>
      <c r="K67" s="133"/>
    </row>
    <row r="68" spans="1:11">
      <c r="A68" s="129"/>
      <c r="B68" s="146" t="s">
        <v>145</v>
      </c>
      <c r="C68" s="135">
        <v>-1</v>
      </c>
      <c r="D68" s="136">
        <v>0.6</v>
      </c>
      <c r="E68" s="136">
        <v>0.6</v>
      </c>
      <c r="F68" s="136">
        <f>0.42/3.281</f>
        <v>0.12800975312404753</v>
      </c>
      <c r="G68" s="136">
        <f>C68*D68*E68*F68</f>
        <v>-4.6083511124657105E-2</v>
      </c>
      <c r="H68" s="132"/>
      <c r="I68" s="136"/>
      <c r="J68" s="136"/>
      <c r="K68" s="133"/>
    </row>
    <row r="69" spans="1:11">
      <c r="A69" s="129"/>
      <c r="B69" s="146"/>
      <c r="C69" s="135"/>
      <c r="D69" s="136"/>
      <c r="E69" s="136" t="s">
        <v>32</v>
      </c>
      <c r="F69" s="136"/>
      <c r="G69" s="136">
        <f>SUM(G64:G68)</f>
        <v>8.7153390717649994</v>
      </c>
      <c r="H69" s="132" t="s">
        <v>24</v>
      </c>
      <c r="I69" s="136">
        <v>14655.45</v>
      </c>
      <c r="J69" s="147">
        <f>G69*I69</f>
        <v>127727.21599929837</v>
      </c>
      <c r="K69" s="133"/>
    </row>
    <row r="70" spans="1:11">
      <c r="A70" s="129"/>
      <c r="B70" s="144" t="s">
        <v>186</v>
      </c>
      <c r="C70" s="135"/>
      <c r="D70" s="136"/>
      <c r="E70" s="136"/>
      <c r="F70" s="136"/>
      <c r="G70" s="136"/>
      <c r="H70" s="132"/>
      <c r="I70" s="136"/>
      <c r="J70" s="136">
        <f>0.13*G69*7948.91</f>
        <v>9006.0679671226571</v>
      </c>
      <c r="K70" s="133"/>
    </row>
    <row r="71" spans="1:11">
      <c r="A71" s="129"/>
      <c r="B71" s="144" t="s">
        <v>187</v>
      </c>
      <c r="C71" s="135"/>
      <c r="D71" s="136"/>
      <c r="E71" s="136"/>
      <c r="F71" s="136"/>
      <c r="G71" s="136"/>
      <c r="H71" s="132"/>
      <c r="I71" s="136"/>
      <c r="J71" s="136">
        <f>0.13*G69*1440.64</f>
        <v>1632.236590445179</v>
      </c>
      <c r="K71" s="133"/>
    </row>
    <row r="72" spans="1:11">
      <c r="A72" s="129"/>
      <c r="B72" s="144" t="s">
        <v>188</v>
      </c>
      <c r="C72" s="135"/>
      <c r="D72" s="136"/>
      <c r="E72" s="136"/>
      <c r="F72" s="136"/>
      <c r="G72" s="136"/>
      <c r="H72" s="132"/>
      <c r="I72" s="136"/>
      <c r="J72" s="136">
        <f>0.13*G69*(2259.84+711.84)</f>
        <v>3366.8958456617402</v>
      </c>
      <c r="K72" s="133"/>
    </row>
    <row r="73" spans="1:11">
      <c r="A73" s="129"/>
      <c r="B73" s="144" t="s">
        <v>189</v>
      </c>
      <c r="C73" s="135"/>
      <c r="D73" s="136"/>
      <c r="E73" s="136"/>
      <c r="F73" s="136"/>
      <c r="G73" s="136"/>
      <c r="H73" s="132"/>
      <c r="I73" s="136"/>
      <c r="J73" s="136">
        <f>0.13*G69*84</f>
        <v>95.171502663673792</v>
      </c>
      <c r="K73" s="133"/>
    </row>
    <row r="74" spans="1:11">
      <c r="A74" s="129"/>
      <c r="B74" s="144" t="s">
        <v>194</v>
      </c>
      <c r="C74" s="135"/>
      <c r="D74" s="136"/>
      <c r="E74" s="136"/>
      <c r="F74" s="136"/>
      <c r="G74" s="136"/>
      <c r="H74" s="132"/>
      <c r="I74" s="136"/>
      <c r="J74" s="136">
        <f>0.13*G69*517.69</f>
        <v>586.53970492806297</v>
      </c>
      <c r="K74" s="133"/>
    </row>
    <row r="75" spans="1:11">
      <c r="A75" s="129"/>
      <c r="B75" s="144" t="s">
        <v>195</v>
      </c>
      <c r="C75" s="135"/>
      <c r="D75" s="136"/>
      <c r="E75" s="136"/>
      <c r="F75" s="136"/>
      <c r="G75" s="136"/>
      <c r="H75" s="132"/>
      <c r="I75" s="136"/>
      <c r="J75" s="136">
        <f>0.13*G69*17.43</f>
        <v>19.748086802712312</v>
      </c>
      <c r="K75" s="133"/>
    </row>
    <row r="76" spans="1:11">
      <c r="A76" s="129"/>
      <c r="B76" s="144"/>
      <c r="C76" s="135"/>
      <c r="D76" s="136"/>
      <c r="E76" s="136"/>
      <c r="F76" s="136"/>
      <c r="G76" s="136"/>
      <c r="H76" s="132"/>
      <c r="I76" s="136"/>
      <c r="J76" s="136"/>
      <c r="K76" s="133"/>
    </row>
    <row r="77" spans="1:11" ht="30.75">
      <c r="A77" s="129">
        <v>9</v>
      </c>
      <c r="B77" s="167" t="s">
        <v>78</v>
      </c>
      <c r="C77" s="135"/>
      <c r="D77" s="132"/>
      <c r="E77" s="132"/>
      <c r="F77" s="132"/>
      <c r="G77" s="136"/>
      <c r="H77" s="132"/>
      <c r="I77" s="136"/>
      <c r="J77" s="136"/>
      <c r="K77" s="133"/>
    </row>
    <row r="78" spans="1:11">
      <c r="A78" s="129"/>
      <c r="B78" s="144" t="s">
        <v>147</v>
      </c>
      <c r="C78" s="135">
        <v>2</v>
      </c>
      <c r="D78" s="132">
        <f>15.42/3.281</f>
        <v>4.6997866504114594</v>
      </c>
      <c r="E78" s="132"/>
      <c r="F78" s="132">
        <f>5.25/3.281</f>
        <v>1.6001219140505942</v>
      </c>
      <c r="G78" s="136">
        <f>C78*D78*F78</f>
        <v>15.040463221371631</v>
      </c>
      <c r="H78" s="132"/>
      <c r="I78" s="136"/>
      <c r="J78" s="136"/>
      <c r="K78" s="133"/>
    </row>
    <row r="79" spans="1:11">
      <c r="A79" s="129"/>
      <c r="B79" s="148"/>
      <c r="C79" s="135">
        <v>2</v>
      </c>
      <c r="D79" s="132">
        <f>10/3.281</f>
        <v>3.047851264858275</v>
      </c>
      <c r="E79" s="132"/>
      <c r="F79" s="132">
        <f>5.25/3.281</f>
        <v>1.6001219140505942</v>
      </c>
      <c r="G79" s="136">
        <f>C79*D79*F79</f>
        <v>9.7538671993330954</v>
      </c>
      <c r="H79" s="132"/>
      <c r="I79" s="149"/>
      <c r="J79" s="136"/>
      <c r="K79" s="133"/>
    </row>
    <row r="80" spans="1:11">
      <c r="A80" s="129"/>
      <c r="B80" s="148"/>
      <c r="C80" s="135"/>
      <c r="D80" s="136"/>
      <c r="E80" s="136"/>
      <c r="F80" s="138"/>
      <c r="G80" s="136">
        <f>SUM(G78:G79)</f>
        <v>24.794330420704725</v>
      </c>
      <c r="H80" s="132" t="s">
        <v>23</v>
      </c>
      <c r="I80" s="136">
        <v>439.19</v>
      </c>
      <c r="J80" s="136">
        <f>G80*I80</f>
        <v>10889.421977469308</v>
      </c>
      <c r="K80" s="133"/>
    </row>
    <row r="81" spans="1:11">
      <c r="A81" s="129"/>
      <c r="B81" s="144" t="s">
        <v>186</v>
      </c>
      <c r="C81" s="135"/>
      <c r="D81" s="136"/>
      <c r="E81" s="136"/>
      <c r="F81" s="138"/>
      <c r="G81" s="136"/>
      <c r="H81" s="132"/>
      <c r="I81" s="149"/>
      <c r="J81" s="136">
        <f>0.13*G80*7010.67/100</f>
        <v>225.97232898567862</v>
      </c>
      <c r="K81" s="133"/>
    </row>
    <row r="82" spans="1:11">
      <c r="A82" s="129"/>
      <c r="B82" s="144" t="s">
        <v>187</v>
      </c>
      <c r="C82" s="135"/>
      <c r="D82" s="136"/>
      <c r="E82" s="136"/>
      <c r="F82" s="138"/>
      <c r="G82" s="136"/>
      <c r="H82" s="132"/>
      <c r="I82" s="149"/>
      <c r="J82" s="136">
        <f>0.13*G80*4949.04/100</f>
        <v>159.52057293286987</v>
      </c>
      <c r="K82" s="133"/>
    </row>
    <row r="83" spans="1:11">
      <c r="A83" s="129"/>
      <c r="B83" s="144"/>
      <c r="C83" s="135"/>
      <c r="D83" s="136"/>
      <c r="E83" s="136"/>
      <c r="F83" s="138"/>
      <c r="G83" s="136"/>
      <c r="H83" s="132"/>
      <c r="I83" s="149"/>
      <c r="J83" s="136"/>
      <c r="K83" s="133"/>
    </row>
    <row r="84" spans="1:11" ht="30.75">
      <c r="A84" s="129">
        <v>10</v>
      </c>
      <c r="B84" s="167" t="s">
        <v>77</v>
      </c>
      <c r="C84" s="135"/>
      <c r="D84" s="132"/>
      <c r="E84" s="132"/>
      <c r="F84" s="136"/>
      <c r="G84" s="132"/>
      <c r="H84" s="138"/>
      <c r="I84" s="136"/>
      <c r="J84" s="132"/>
      <c r="K84" s="133"/>
    </row>
    <row r="85" spans="1:11">
      <c r="A85" s="129"/>
      <c r="B85" s="144" t="s">
        <v>146</v>
      </c>
      <c r="C85" s="135">
        <v>1</v>
      </c>
      <c r="D85" s="132">
        <f>13.42/3.281</f>
        <v>4.0902163974398045</v>
      </c>
      <c r="E85" s="132">
        <f>8/3.281</f>
        <v>2.4382810118866196</v>
      </c>
      <c r="F85" s="136"/>
      <c r="G85" s="132">
        <f>E85*D85*C85</f>
        <v>9.9730969763847703</v>
      </c>
      <c r="H85" s="138" t="s">
        <v>23</v>
      </c>
      <c r="I85" s="136">
        <v>723.78</v>
      </c>
      <c r="J85" s="132">
        <f>G85*I85</f>
        <v>7218.3281295677689</v>
      </c>
      <c r="K85" s="133"/>
    </row>
    <row r="86" spans="1:11">
      <c r="A86" s="129"/>
      <c r="B86" s="146" t="s">
        <v>201</v>
      </c>
      <c r="C86" s="135"/>
      <c r="D86" s="132"/>
      <c r="E86" s="132"/>
      <c r="F86" s="136"/>
      <c r="G86" s="132"/>
      <c r="H86" s="138"/>
      <c r="I86" s="136"/>
      <c r="J86" s="132"/>
      <c r="K86" s="133"/>
    </row>
    <row r="87" spans="1:11">
      <c r="A87" s="129"/>
      <c r="B87" s="144" t="s">
        <v>186</v>
      </c>
      <c r="C87" s="135"/>
      <c r="D87" s="132"/>
      <c r="E87" s="132"/>
      <c r="F87" s="138"/>
      <c r="G87" s="132"/>
      <c r="H87" s="138"/>
      <c r="I87" s="136"/>
      <c r="J87" s="150">
        <f>0.13*G85*1694.03/10</f>
        <v>219.63143112176621</v>
      </c>
      <c r="K87" s="133"/>
    </row>
    <row r="88" spans="1:11">
      <c r="A88" s="129"/>
      <c r="B88" s="144" t="s">
        <v>187</v>
      </c>
      <c r="C88" s="135"/>
      <c r="D88" s="132"/>
      <c r="E88" s="132"/>
      <c r="F88" s="138"/>
      <c r="G88" s="132"/>
      <c r="H88" s="138"/>
      <c r="I88" s="136"/>
      <c r="J88" s="150">
        <f>0.13*G85*610.15/10</f>
        <v>79.10610656183519</v>
      </c>
      <c r="K88" s="133"/>
    </row>
    <row r="89" spans="1:11">
      <c r="A89" s="129"/>
      <c r="B89" s="144" t="s">
        <v>188</v>
      </c>
      <c r="C89" s="135"/>
      <c r="D89" s="132"/>
      <c r="E89" s="132"/>
      <c r="F89" s="138"/>
      <c r="G89" s="132"/>
      <c r="H89" s="138"/>
      <c r="I89" s="136"/>
      <c r="J89" s="150">
        <f>0.13*G85*1271.16/10</f>
        <v>164.80622538251646</v>
      </c>
      <c r="K89" s="133"/>
    </row>
    <row r="90" spans="1:11" ht="18" customHeight="1">
      <c r="A90" s="129"/>
      <c r="B90" s="144"/>
      <c r="C90" s="135"/>
      <c r="D90" s="136"/>
      <c r="E90" s="136"/>
      <c r="F90" s="138"/>
      <c r="G90" s="136"/>
      <c r="H90" s="132"/>
      <c r="I90" s="136"/>
      <c r="J90" s="136"/>
      <c r="K90" s="133"/>
    </row>
    <row r="91" spans="1:11" ht="30.75">
      <c r="A91" s="129">
        <v>11</v>
      </c>
      <c r="B91" s="167" t="s">
        <v>79</v>
      </c>
      <c r="C91" s="135"/>
      <c r="D91" s="132"/>
      <c r="E91" s="132"/>
      <c r="F91" s="132"/>
      <c r="G91" s="132"/>
      <c r="H91" s="132"/>
      <c r="I91" s="132"/>
      <c r="J91" s="132"/>
      <c r="K91" s="133"/>
    </row>
    <row r="92" spans="1:11">
      <c r="A92" s="129"/>
      <c r="B92" s="144" t="str">
        <f>B78</f>
        <v>-At shear wall</v>
      </c>
      <c r="C92" s="135">
        <f>C65</f>
        <v>2</v>
      </c>
      <c r="D92" s="132">
        <f>D78</f>
        <v>4.6997866504114594</v>
      </c>
      <c r="E92" s="132"/>
      <c r="F92" s="132">
        <f>F65+0.3+0.3</f>
        <v>2.2001219140505941</v>
      </c>
      <c r="G92" s="136">
        <f>PRODUCT(C92:F92)</f>
        <v>20.680207201865382</v>
      </c>
      <c r="H92" s="132"/>
      <c r="I92" s="132"/>
      <c r="J92" s="132"/>
      <c r="K92" s="133"/>
    </row>
    <row r="93" spans="1:11">
      <c r="A93" s="129"/>
      <c r="B93" s="144"/>
      <c r="C93" s="135">
        <f>C66</f>
        <v>2</v>
      </c>
      <c r="D93" s="132">
        <f>D79</f>
        <v>3.047851264858275</v>
      </c>
      <c r="E93" s="132"/>
      <c r="F93" s="132">
        <f>F66+0.3+0.3</f>
        <v>2.2001219140505941</v>
      </c>
      <c r="G93" s="136">
        <f t="shared" ref="G93:G94" si="7">PRODUCT(C93:F93)</f>
        <v>13.411288717163025</v>
      </c>
      <c r="H93" s="132"/>
      <c r="I93" s="132"/>
      <c r="J93" s="132"/>
      <c r="K93" s="133"/>
    </row>
    <row r="94" spans="1:11">
      <c r="A94" s="129"/>
      <c r="B94" s="146" t="s">
        <v>148</v>
      </c>
      <c r="C94" s="135">
        <v>1</v>
      </c>
      <c r="D94" s="132">
        <f>D85</f>
        <v>4.0902163974398045</v>
      </c>
      <c r="E94" s="132">
        <f>E85</f>
        <v>2.4382810118866196</v>
      </c>
      <c r="F94" s="132"/>
      <c r="G94" s="136">
        <f t="shared" si="7"/>
        <v>9.9730969763847703</v>
      </c>
      <c r="H94" s="132"/>
      <c r="I94" s="132"/>
      <c r="J94" s="132"/>
      <c r="K94" s="133"/>
    </row>
    <row r="95" spans="1:11">
      <c r="A95" s="129"/>
      <c r="B95" s="144"/>
      <c r="C95" s="135"/>
      <c r="D95" s="132"/>
      <c r="E95" s="132"/>
      <c r="F95" s="132"/>
      <c r="G95" s="132">
        <f>SUM(G92:G94)</f>
        <v>44.06459289541317</v>
      </c>
      <c r="H95" s="132" t="s">
        <v>23</v>
      </c>
      <c r="I95" s="132">
        <v>302.32</v>
      </c>
      <c r="J95" s="132">
        <f>G95*I95</f>
        <v>13321.60772414131</v>
      </c>
      <c r="K95" s="133"/>
    </row>
    <row r="96" spans="1:11">
      <c r="A96" s="129"/>
      <c r="B96" s="144" t="s">
        <v>186</v>
      </c>
      <c r="C96" s="135"/>
      <c r="D96" s="132"/>
      <c r="E96" s="132"/>
      <c r="F96" s="132"/>
      <c r="G96" s="132"/>
      <c r="H96" s="132"/>
      <c r="I96" s="132"/>
      <c r="J96" s="132">
        <f>0.13*G95*693.24/10</f>
        <v>397.11539892461093</v>
      </c>
      <c r="K96" s="133"/>
    </row>
    <row r="97" spans="1:11">
      <c r="A97" s="129"/>
      <c r="B97" s="144"/>
      <c r="C97" s="135"/>
      <c r="D97" s="132"/>
      <c r="E97" s="132"/>
      <c r="F97" s="132"/>
      <c r="G97" s="132"/>
      <c r="H97" s="132"/>
      <c r="I97" s="132"/>
      <c r="J97" s="132"/>
      <c r="K97" s="133"/>
    </row>
    <row r="98" spans="1:11">
      <c r="A98" s="129"/>
      <c r="B98" s="144"/>
      <c r="C98" s="135"/>
      <c r="D98" s="132"/>
      <c r="E98" s="132"/>
      <c r="F98" s="132"/>
      <c r="G98" s="132"/>
      <c r="H98" s="132"/>
      <c r="I98" s="132"/>
      <c r="J98" s="132"/>
      <c r="K98" s="133"/>
    </row>
    <row r="99" spans="1:11" ht="33" customHeight="1">
      <c r="A99" s="129">
        <v>12</v>
      </c>
      <c r="B99" s="148" t="s">
        <v>87</v>
      </c>
      <c r="C99" s="135">
        <v>1</v>
      </c>
      <c r="D99" s="136"/>
      <c r="E99" s="136"/>
      <c r="F99" s="138"/>
      <c r="G99" s="136">
        <f>+C99</f>
        <v>1</v>
      </c>
      <c r="H99" s="132" t="s">
        <v>34</v>
      </c>
      <c r="I99" s="136">
        <v>4659</v>
      </c>
      <c r="J99" s="136">
        <f>G99*I99</f>
        <v>4659</v>
      </c>
      <c r="K99" s="133"/>
    </row>
    <row r="100" spans="1:11">
      <c r="A100" s="129"/>
      <c r="B100" s="137" t="s">
        <v>196</v>
      </c>
      <c r="C100" s="135"/>
      <c r="D100" s="136"/>
      <c r="E100" s="136"/>
      <c r="F100" s="138"/>
      <c r="G100" s="136"/>
      <c r="H100" s="132"/>
      <c r="I100" s="136"/>
      <c r="J100" s="136">
        <f>0.13*J99</f>
        <v>605.67000000000007</v>
      </c>
      <c r="K100" s="133"/>
    </row>
    <row r="101" spans="1:11">
      <c r="A101" s="129"/>
      <c r="B101" s="148"/>
      <c r="C101" s="135"/>
      <c r="D101" s="136"/>
      <c r="E101" s="136"/>
      <c r="F101" s="138"/>
      <c r="G101" s="136"/>
      <c r="H101" s="132"/>
      <c r="I101" s="136"/>
      <c r="J101" s="136"/>
      <c r="K101" s="133"/>
    </row>
    <row r="102" spans="1:11" ht="30.75">
      <c r="A102" s="129">
        <v>13</v>
      </c>
      <c r="B102" s="167" t="s">
        <v>149</v>
      </c>
      <c r="C102" s="135"/>
      <c r="D102" s="132"/>
      <c r="E102" s="132"/>
      <c r="F102" s="132"/>
      <c r="G102" s="132"/>
      <c r="H102" s="132"/>
      <c r="I102" s="132"/>
      <c r="J102" s="132"/>
      <c r="K102" s="133"/>
    </row>
    <row r="103" spans="1:11">
      <c r="A103" s="129"/>
      <c r="B103" s="146" t="s">
        <v>146</v>
      </c>
      <c r="C103" s="135">
        <v>1</v>
      </c>
      <c r="D103" s="132">
        <f>(15.42*2+10*2)/3.281</f>
        <v>15.49527583053947</v>
      </c>
      <c r="E103" s="132"/>
      <c r="F103" s="132">
        <f>5.25/3.281</f>
        <v>1.6001219140505942</v>
      </c>
      <c r="G103" s="136">
        <f t="shared" ref="G103:G104" si="8">PRODUCT(C103:F103)</f>
        <v>24.794330420704728</v>
      </c>
      <c r="H103" s="132"/>
      <c r="I103" s="132"/>
      <c r="J103" s="132"/>
      <c r="K103" s="133"/>
    </row>
    <row r="104" spans="1:11">
      <c r="A104" s="129"/>
      <c r="B104" s="144"/>
      <c r="C104" s="135">
        <v>1</v>
      </c>
      <c r="D104" s="132">
        <f>13.42/3.281</f>
        <v>4.0902163974398045</v>
      </c>
      <c r="E104" s="132">
        <f>8/3.281</f>
        <v>2.4382810118866196</v>
      </c>
      <c r="F104" s="132"/>
      <c r="G104" s="136">
        <f t="shared" si="8"/>
        <v>9.9730969763847703</v>
      </c>
      <c r="H104" s="132"/>
      <c r="I104" s="132"/>
      <c r="J104" s="132"/>
      <c r="K104" s="133"/>
    </row>
    <row r="105" spans="1:11">
      <c r="A105" s="129"/>
      <c r="B105" s="144"/>
      <c r="C105" s="135"/>
      <c r="D105" s="132"/>
      <c r="E105" s="132"/>
      <c r="F105" s="132"/>
      <c r="G105" s="132">
        <f>SUM(G103:G104)</f>
        <v>34.767427397089499</v>
      </c>
      <c r="H105" s="132" t="s">
        <v>23</v>
      </c>
      <c r="I105" s="132">
        <v>468.25</v>
      </c>
      <c r="J105" s="132">
        <f>G105*I105</f>
        <v>16279.847878687158</v>
      </c>
      <c r="K105" s="133"/>
    </row>
    <row r="106" spans="1:11">
      <c r="A106" s="129"/>
      <c r="B106" s="144" t="s">
        <v>186</v>
      </c>
      <c r="C106" s="135"/>
      <c r="D106" s="132"/>
      <c r="E106" s="132"/>
      <c r="F106" s="132"/>
      <c r="G106" s="132"/>
      <c r="H106" s="132"/>
      <c r="I106" s="132"/>
      <c r="J106" s="132">
        <f>0.13*G105*1759.18/10</f>
        <v>795.10811806935476</v>
      </c>
      <c r="K106" s="133"/>
    </row>
    <row r="107" spans="1:11">
      <c r="A107" s="129"/>
      <c r="B107" s="144" t="s">
        <v>197</v>
      </c>
      <c r="C107" s="135"/>
      <c r="D107" s="132"/>
      <c r="E107" s="132"/>
      <c r="F107" s="132"/>
      <c r="G107" s="132"/>
      <c r="H107" s="132"/>
      <c r="I107" s="132"/>
      <c r="J107" s="132">
        <f>0.13*G105*610.15/10</f>
        <v>275.77349574234404</v>
      </c>
      <c r="K107" s="133"/>
    </row>
    <row r="108" spans="1:11" ht="31.5">
      <c r="A108" s="129"/>
      <c r="B108" s="144" t="s">
        <v>198</v>
      </c>
      <c r="C108" s="135"/>
      <c r="D108" s="132"/>
      <c r="E108" s="132"/>
      <c r="F108" s="132"/>
      <c r="G108" s="132"/>
      <c r="H108" s="132"/>
      <c r="I108" s="132"/>
      <c r="J108" s="132">
        <f>0.13*G105*515.7/10</f>
        <v>233.08431001282776</v>
      </c>
      <c r="K108" s="133"/>
    </row>
    <row r="109" spans="1:11">
      <c r="A109" s="129"/>
      <c r="B109" s="144"/>
      <c r="C109" s="135"/>
      <c r="D109" s="132"/>
      <c r="E109" s="132"/>
      <c r="F109" s="132"/>
      <c r="G109" s="132"/>
      <c r="H109" s="132"/>
      <c r="I109" s="132"/>
      <c r="J109" s="132"/>
      <c r="K109" s="133"/>
    </row>
    <row r="110" spans="1:11" ht="30.75">
      <c r="A110" s="129">
        <v>14</v>
      </c>
      <c r="B110" s="167" t="s">
        <v>156</v>
      </c>
      <c r="C110" s="135"/>
      <c r="D110" s="132"/>
      <c r="E110" s="132"/>
      <c r="F110" s="132"/>
      <c r="G110" s="132"/>
      <c r="H110" s="132"/>
      <c r="I110" s="132"/>
      <c r="J110" s="132"/>
      <c r="K110" s="133"/>
    </row>
    <row r="111" spans="1:11">
      <c r="A111" s="129"/>
      <c r="B111" s="146" t="s">
        <v>157</v>
      </c>
      <c r="C111" s="135">
        <v>2</v>
      </c>
      <c r="D111" s="132">
        <v>3.415</v>
      </c>
      <c r="E111" s="132"/>
      <c r="F111" s="132">
        <v>1.43</v>
      </c>
      <c r="G111" s="136">
        <f>PRODUCT(C111:F111)</f>
        <v>9.7668999999999997</v>
      </c>
      <c r="H111" s="132"/>
      <c r="I111" s="132"/>
      <c r="J111" s="132"/>
      <c r="K111" s="133"/>
    </row>
    <row r="112" spans="1:11">
      <c r="A112" s="129"/>
      <c r="B112" s="146"/>
      <c r="C112" s="135">
        <v>2</v>
      </c>
      <c r="D112" s="132">
        <f>0.48*2</f>
        <v>0.96</v>
      </c>
      <c r="E112" s="132"/>
      <c r="F112" s="132">
        <v>2.2000000000000002</v>
      </c>
      <c r="G112" s="136">
        <f t="shared" ref="G112:G142" si="9">PRODUCT(C112:F112)</f>
        <v>4.2240000000000002</v>
      </c>
      <c r="H112" s="132"/>
      <c r="I112" s="132"/>
      <c r="J112" s="132"/>
      <c r="K112" s="133"/>
    </row>
    <row r="113" spans="1:11">
      <c r="A113" s="129"/>
      <c r="B113" s="146"/>
      <c r="C113" s="135">
        <v>2</v>
      </c>
      <c r="D113" s="132">
        <v>4</v>
      </c>
      <c r="E113" s="132"/>
      <c r="F113" s="132">
        <v>1.39</v>
      </c>
      <c r="G113" s="136">
        <f t="shared" si="9"/>
        <v>11.12</v>
      </c>
      <c r="H113" s="132"/>
      <c r="I113" s="132"/>
      <c r="J113" s="132"/>
      <c r="K113" s="133"/>
    </row>
    <row r="114" spans="1:11">
      <c r="A114" s="129"/>
      <c r="B114" s="146"/>
      <c r="C114" s="135">
        <v>2</v>
      </c>
      <c r="D114" s="132">
        <f>0.48*2</f>
        <v>0.96</v>
      </c>
      <c r="E114" s="132"/>
      <c r="F114" s="132">
        <v>2.2000000000000002</v>
      </c>
      <c r="G114" s="136">
        <f t="shared" si="9"/>
        <v>4.2240000000000002</v>
      </c>
      <c r="H114" s="132"/>
      <c r="I114" s="132"/>
      <c r="J114" s="132"/>
      <c r="K114" s="133"/>
    </row>
    <row r="115" spans="1:11">
      <c r="A115" s="129"/>
      <c r="B115" s="146"/>
      <c r="C115" s="135">
        <v>2</v>
      </c>
      <c r="D115" s="132">
        <v>3.91</v>
      </c>
      <c r="E115" s="132"/>
      <c r="F115" s="132">
        <v>1.3</v>
      </c>
      <c r="G115" s="136">
        <f t="shared" si="9"/>
        <v>10.166</v>
      </c>
      <c r="H115" s="132"/>
      <c r="I115" s="132"/>
      <c r="J115" s="132"/>
      <c r="K115" s="133"/>
    </row>
    <row r="116" spans="1:11">
      <c r="A116" s="129"/>
      <c r="B116" s="146"/>
      <c r="C116" s="135">
        <v>2</v>
      </c>
      <c r="D116" s="132">
        <f>0.48*2</f>
        <v>0.96</v>
      </c>
      <c r="E116" s="132"/>
      <c r="F116" s="132">
        <v>2.31</v>
      </c>
      <c r="G116" s="136">
        <f t="shared" si="9"/>
        <v>4.4352</v>
      </c>
      <c r="H116" s="132"/>
      <c r="I116" s="132"/>
      <c r="J116" s="132"/>
      <c r="K116" s="133"/>
    </row>
    <row r="117" spans="1:11">
      <c r="A117" s="129"/>
      <c r="B117" s="146"/>
      <c r="C117" s="135">
        <v>2</v>
      </c>
      <c r="D117" s="132">
        <v>3.96</v>
      </c>
      <c r="E117" s="132"/>
      <c r="F117" s="132">
        <v>1.37</v>
      </c>
      <c r="G117" s="136">
        <f t="shared" si="9"/>
        <v>10.8504</v>
      </c>
      <c r="H117" s="132"/>
      <c r="I117" s="132"/>
      <c r="J117" s="132"/>
      <c r="K117" s="133"/>
    </row>
    <row r="118" spans="1:11">
      <c r="A118" s="129"/>
      <c r="B118" s="146"/>
      <c r="C118" s="135">
        <v>2</v>
      </c>
      <c r="D118" s="132">
        <f>0.48*2</f>
        <v>0.96</v>
      </c>
      <c r="E118" s="132"/>
      <c r="F118" s="132">
        <v>2.29</v>
      </c>
      <c r="G118" s="136">
        <f t="shared" si="9"/>
        <v>4.3967999999999998</v>
      </c>
      <c r="H118" s="132"/>
      <c r="I118" s="132"/>
      <c r="J118" s="132"/>
      <c r="K118" s="133"/>
    </row>
    <row r="119" spans="1:11">
      <c r="A119" s="129"/>
      <c r="B119" s="146"/>
      <c r="C119" s="135">
        <v>2</v>
      </c>
      <c r="D119" s="132">
        <v>3.875</v>
      </c>
      <c r="E119" s="132"/>
      <c r="F119" s="132">
        <v>1.2649999999999999</v>
      </c>
      <c r="G119" s="136">
        <f t="shared" si="9"/>
        <v>9.8037499999999991</v>
      </c>
      <c r="H119" s="132"/>
      <c r="I119" s="132"/>
      <c r="J119" s="132"/>
      <c r="K119" s="133"/>
    </row>
    <row r="120" spans="1:11">
      <c r="A120" s="129"/>
      <c r="B120" s="146"/>
      <c r="C120" s="135">
        <v>2</v>
      </c>
      <c r="D120" s="132">
        <f>0.48*2</f>
        <v>0.96</v>
      </c>
      <c r="E120" s="132"/>
      <c r="F120" s="132">
        <v>2.19</v>
      </c>
      <c r="G120" s="136">
        <f t="shared" si="9"/>
        <v>4.2047999999999996</v>
      </c>
      <c r="H120" s="132"/>
      <c r="I120" s="132"/>
      <c r="J120" s="132"/>
      <c r="K120" s="133"/>
    </row>
    <row r="121" spans="1:11">
      <c r="A121" s="129"/>
      <c r="B121" s="146"/>
      <c r="C121" s="135">
        <v>2</v>
      </c>
      <c r="D121" s="132">
        <v>3.69</v>
      </c>
      <c r="E121" s="132"/>
      <c r="F121" s="132">
        <v>1.28</v>
      </c>
      <c r="G121" s="136">
        <f t="shared" si="9"/>
        <v>9.4464000000000006</v>
      </c>
      <c r="H121" s="132"/>
      <c r="I121" s="132"/>
      <c r="J121" s="132"/>
      <c r="K121" s="133"/>
    </row>
    <row r="122" spans="1:11">
      <c r="A122" s="129"/>
      <c r="B122" s="146"/>
      <c r="C122" s="135">
        <v>2</v>
      </c>
      <c r="D122" s="132">
        <f>0.48*2</f>
        <v>0.96</v>
      </c>
      <c r="E122" s="132"/>
      <c r="F122" s="132">
        <v>2.19</v>
      </c>
      <c r="G122" s="136">
        <f t="shared" si="9"/>
        <v>4.2047999999999996</v>
      </c>
      <c r="H122" s="132"/>
      <c r="I122" s="132"/>
      <c r="J122" s="132"/>
      <c r="K122" s="133"/>
    </row>
    <row r="123" spans="1:11">
      <c r="A123" s="129"/>
      <c r="B123" s="146"/>
      <c r="C123" s="135">
        <v>2</v>
      </c>
      <c r="D123" s="132">
        <f>1.73+2.44</f>
        <v>4.17</v>
      </c>
      <c r="E123" s="132"/>
      <c r="F123" s="132">
        <v>1.1200000000000001</v>
      </c>
      <c r="G123" s="136">
        <f t="shared" si="9"/>
        <v>9.3408000000000015</v>
      </c>
      <c r="H123" s="132"/>
      <c r="I123" s="132"/>
      <c r="J123" s="132"/>
      <c r="K123" s="133"/>
    </row>
    <row r="124" spans="1:11">
      <c r="A124" s="129"/>
      <c r="B124" s="146"/>
      <c r="C124" s="135">
        <v>2</v>
      </c>
      <c r="D124" s="132">
        <f>0.34*2</f>
        <v>0.68</v>
      </c>
      <c r="E124" s="132"/>
      <c r="F124" s="132">
        <v>2.2599999999999998</v>
      </c>
      <c r="G124" s="136">
        <f t="shared" si="9"/>
        <v>3.0735999999999999</v>
      </c>
      <c r="H124" s="132"/>
      <c r="I124" s="132"/>
      <c r="J124" s="132"/>
      <c r="K124" s="133"/>
    </row>
    <row r="125" spans="1:11">
      <c r="A125" s="129"/>
      <c r="B125" s="146"/>
      <c r="C125" s="135">
        <v>2</v>
      </c>
      <c r="D125" s="132">
        <f>0.34*2</f>
        <v>0.68</v>
      </c>
      <c r="E125" s="132"/>
      <c r="F125" s="132">
        <v>2.15</v>
      </c>
      <c r="G125" s="136">
        <f t="shared" si="9"/>
        <v>2.9239999999999999</v>
      </c>
      <c r="H125" s="132"/>
      <c r="I125" s="132"/>
      <c r="J125" s="132"/>
      <c r="K125" s="133"/>
    </row>
    <row r="126" spans="1:11">
      <c r="A126" s="129"/>
      <c r="B126" s="146"/>
      <c r="C126" s="135">
        <v>2</v>
      </c>
      <c r="D126" s="132">
        <v>2.5</v>
      </c>
      <c r="E126" s="132"/>
      <c r="F126" s="132">
        <v>1.1599999999999999</v>
      </c>
      <c r="G126" s="136">
        <f t="shared" si="9"/>
        <v>5.8</v>
      </c>
      <c r="H126" s="132"/>
      <c r="I126" s="132"/>
      <c r="J126" s="132"/>
      <c r="K126" s="133"/>
    </row>
    <row r="127" spans="1:11">
      <c r="A127" s="129"/>
      <c r="B127" s="146"/>
      <c r="C127" s="135">
        <v>2</v>
      </c>
      <c r="D127" s="132">
        <f>0.48*2</f>
        <v>0.96</v>
      </c>
      <c r="E127" s="132"/>
      <c r="F127" s="132">
        <v>2.1800000000000002</v>
      </c>
      <c r="G127" s="136">
        <f t="shared" si="9"/>
        <v>4.1856</v>
      </c>
      <c r="H127" s="132"/>
      <c r="I127" s="132"/>
      <c r="J127" s="132"/>
      <c r="K127" s="133"/>
    </row>
    <row r="128" spans="1:11">
      <c r="A128" s="129"/>
      <c r="B128" s="146"/>
      <c r="C128" s="135">
        <v>2</v>
      </c>
      <c r="D128" s="132">
        <v>3.94</v>
      </c>
      <c r="E128" s="132"/>
      <c r="F128" s="132">
        <v>1.2</v>
      </c>
      <c r="G128" s="136">
        <f t="shared" si="9"/>
        <v>9.4559999999999995</v>
      </c>
      <c r="H128" s="132"/>
      <c r="I128" s="132"/>
      <c r="J128" s="132"/>
      <c r="K128" s="133"/>
    </row>
    <row r="129" spans="1:11">
      <c r="A129" s="129"/>
      <c r="B129" s="146"/>
      <c r="C129" s="135">
        <v>2</v>
      </c>
      <c r="D129" s="132">
        <f>0.48*2</f>
        <v>0.96</v>
      </c>
      <c r="E129" s="132"/>
      <c r="F129" s="132">
        <v>2.15</v>
      </c>
      <c r="G129" s="136">
        <f t="shared" si="9"/>
        <v>4.1280000000000001</v>
      </c>
      <c r="H129" s="132"/>
      <c r="I129" s="132"/>
      <c r="J129" s="132"/>
      <c r="K129" s="133"/>
    </row>
    <row r="130" spans="1:11">
      <c r="A130" s="129"/>
      <c r="B130" s="146"/>
      <c r="C130" s="135">
        <v>2</v>
      </c>
      <c r="D130" s="132">
        <v>4</v>
      </c>
      <c r="E130" s="132"/>
      <c r="F130" s="132">
        <v>1.1499999999999999</v>
      </c>
      <c r="G130" s="136">
        <f t="shared" si="9"/>
        <v>9.1999999999999993</v>
      </c>
      <c r="H130" s="132"/>
      <c r="I130" s="132"/>
      <c r="J130" s="132"/>
      <c r="K130" s="133"/>
    </row>
    <row r="131" spans="1:11">
      <c r="A131" s="129"/>
      <c r="B131" s="146"/>
      <c r="C131" s="135">
        <v>2</v>
      </c>
      <c r="D131" s="132">
        <f>0.48*2</f>
        <v>0.96</v>
      </c>
      <c r="E131" s="132"/>
      <c r="F131" s="132">
        <v>2.08</v>
      </c>
      <c r="G131" s="136">
        <f t="shared" si="9"/>
        <v>3.9935999999999998</v>
      </c>
      <c r="H131" s="132"/>
      <c r="I131" s="132"/>
      <c r="J131" s="132"/>
      <c r="K131" s="133"/>
    </row>
    <row r="132" spans="1:11">
      <c r="A132" s="129"/>
      <c r="B132" s="146"/>
      <c r="C132" s="135">
        <v>2</v>
      </c>
      <c r="D132" s="132">
        <v>3.97</v>
      </c>
      <c r="E132" s="132"/>
      <c r="F132" s="132">
        <v>1.25</v>
      </c>
      <c r="G132" s="136">
        <f t="shared" si="9"/>
        <v>9.9250000000000007</v>
      </c>
      <c r="H132" s="132"/>
      <c r="I132" s="132"/>
      <c r="J132" s="132"/>
      <c r="K132" s="133"/>
    </row>
    <row r="133" spans="1:11">
      <c r="A133" s="129"/>
      <c r="B133" s="146"/>
      <c r="C133" s="135">
        <v>2</v>
      </c>
      <c r="D133" s="132">
        <f>0.48*2</f>
        <v>0.96</v>
      </c>
      <c r="E133" s="132"/>
      <c r="F133" s="132">
        <v>2.25</v>
      </c>
      <c r="G133" s="136">
        <f t="shared" si="9"/>
        <v>4.32</v>
      </c>
      <c r="H133" s="132"/>
      <c r="I133" s="132"/>
      <c r="J133" s="132"/>
      <c r="K133" s="133"/>
    </row>
    <row r="134" spans="1:11">
      <c r="A134" s="129"/>
      <c r="B134" s="146"/>
      <c r="C134" s="135">
        <v>2</v>
      </c>
      <c r="D134" s="132">
        <v>4</v>
      </c>
      <c r="E134" s="132"/>
      <c r="F134" s="132">
        <v>1.23</v>
      </c>
      <c r="G134" s="136">
        <f t="shared" si="9"/>
        <v>9.84</v>
      </c>
      <c r="H134" s="132"/>
      <c r="I134" s="132"/>
      <c r="J134" s="132"/>
      <c r="K134" s="133"/>
    </row>
    <row r="135" spans="1:11">
      <c r="A135" s="129"/>
      <c r="B135" s="146"/>
      <c r="C135" s="135">
        <v>2</v>
      </c>
      <c r="D135" s="132">
        <f>0.48*2</f>
        <v>0.96</v>
      </c>
      <c r="E135" s="132"/>
      <c r="F135" s="132">
        <v>2.25</v>
      </c>
      <c r="G135" s="136">
        <f t="shared" si="9"/>
        <v>4.32</v>
      </c>
      <c r="H135" s="132"/>
      <c r="I135" s="132"/>
      <c r="J135" s="132"/>
      <c r="K135" s="133"/>
    </row>
    <row r="136" spans="1:11">
      <c r="A136" s="129"/>
      <c r="B136" s="146"/>
      <c r="C136" s="135">
        <v>2</v>
      </c>
      <c r="D136" s="132">
        <v>4.0599999999999996</v>
      </c>
      <c r="E136" s="132"/>
      <c r="F136" s="132">
        <v>1.32</v>
      </c>
      <c r="G136" s="136">
        <f t="shared" si="9"/>
        <v>10.718399999999999</v>
      </c>
      <c r="H136" s="132"/>
      <c r="I136" s="132"/>
      <c r="J136" s="132"/>
      <c r="K136" s="133"/>
    </row>
    <row r="137" spans="1:11">
      <c r="A137" s="129"/>
      <c r="B137" s="146"/>
      <c r="C137" s="135">
        <v>2</v>
      </c>
      <c r="D137" s="132">
        <f>0.48*2</f>
        <v>0.96</v>
      </c>
      <c r="E137" s="132"/>
      <c r="F137" s="132">
        <v>2.1800000000000002</v>
      </c>
      <c r="G137" s="136">
        <f t="shared" si="9"/>
        <v>4.1856</v>
      </c>
      <c r="H137" s="132"/>
      <c r="I137" s="132"/>
      <c r="J137" s="132"/>
      <c r="K137" s="133"/>
    </row>
    <row r="138" spans="1:11">
      <c r="A138" s="129"/>
      <c r="B138" s="146"/>
      <c r="C138" s="135">
        <v>2</v>
      </c>
      <c r="D138" s="132">
        <f>3.92</f>
        <v>3.92</v>
      </c>
      <c r="E138" s="132"/>
      <c r="F138" s="132">
        <v>1.32</v>
      </c>
      <c r="G138" s="136">
        <f t="shared" si="9"/>
        <v>10.348800000000001</v>
      </c>
      <c r="H138" s="132"/>
      <c r="I138" s="132"/>
      <c r="J138" s="132"/>
      <c r="K138" s="133"/>
    </row>
    <row r="139" spans="1:11">
      <c r="A139" s="129"/>
      <c r="B139" s="146"/>
      <c r="C139" s="135">
        <v>2</v>
      </c>
      <c r="D139" s="132">
        <f>0.48*2</f>
        <v>0.96</v>
      </c>
      <c r="E139" s="132"/>
      <c r="F139" s="132">
        <v>2.2799999999999998</v>
      </c>
      <c r="G139" s="136">
        <f t="shared" si="9"/>
        <v>4.3775999999999993</v>
      </c>
      <c r="H139" s="132"/>
      <c r="I139" s="132"/>
      <c r="J139" s="132"/>
      <c r="K139" s="133"/>
    </row>
    <row r="140" spans="1:11">
      <c r="A140" s="129"/>
      <c r="B140" s="146"/>
      <c r="C140" s="135">
        <v>2</v>
      </c>
      <c r="D140" s="132">
        <v>3.62</v>
      </c>
      <c r="E140" s="132"/>
      <c r="F140" s="132">
        <v>1.32</v>
      </c>
      <c r="G140" s="136">
        <f t="shared" si="9"/>
        <v>9.5568000000000008</v>
      </c>
      <c r="H140" s="132"/>
      <c r="I140" s="132"/>
      <c r="J140" s="132"/>
      <c r="K140" s="133"/>
    </row>
    <row r="141" spans="1:11">
      <c r="A141" s="129"/>
      <c r="B141" s="146"/>
      <c r="C141" s="135">
        <v>2</v>
      </c>
      <c r="D141" s="132">
        <f>0.48*2</f>
        <v>0.96</v>
      </c>
      <c r="E141" s="132"/>
      <c r="F141" s="132">
        <v>2.2000000000000002</v>
      </c>
      <c r="G141" s="136">
        <f t="shared" si="9"/>
        <v>4.2240000000000002</v>
      </c>
      <c r="H141" s="132"/>
      <c r="I141" s="132"/>
      <c r="J141" s="132"/>
      <c r="K141" s="133"/>
    </row>
    <row r="142" spans="1:11">
      <c r="A142" s="129"/>
      <c r="B142" s="146"/>
      <c r="C142" s="135">
        <f>-2*16</f>
        <v>-32</v>
      </c>
      <c r="D142" s="132">
        <v>0.23</v>
      </c>
      <c r="E142" s="132"/>
      <c r="F142" s="132">
        <v>1.35</v>
      </c>
      <c r="G142" s="136">
        <f t="shared" si="9"/>
        <v>-9.9360000000000017</v>
      </c>
      <c r="H142" s="132"/>
      <c r="I142" s="132"/>
      <c r="J142" s="132"/>
      <c r="K142" s="133"/>
    </row>
    <row r="143" spans="1:11">
      <c r="A143" s="129"/>
      <c r="B143" s="144"/>
      <c r="C143" s="135"/>
      <c r="D143" s="132"/>
      <c r="E143" s="132"/>
      <c r="F143" s="132"/>
      <c r="G143" s="132">
        <f>SUM(G111:G142)</f>
        <v>200.82485</v>
      </c>
      <c r="H143" s="132" t="s">
        <v>23</v>
      </c>
      <c r="I143" s="132">
        <v>262.5</v>
      </c>
      <c r="J143" s="132">
        <f>G143*I143</f>
        <v>52716.523125</v>
      </c>
      <c r="K143" s="133"/>
    </row>
    <row r="144" spans="1:11">
      <c r="A144" s="129"/>
      <c r="B144" s="144" t="s">
        <v>199</v>
      </c>
      <c r="C144" s="135"/>
      <c r="D144" s="132"/>
      <c r="E144" s="132"/>
      <c r="F144" s="132"/>
      <c r="G144" s="132"/>
      <c r="H144" s="132"/>
      <c r="I144" s="132"/>
      <c r="J144" s="132">
        <f>0.13*G143*2304/100</f>
        <v>601.51059071999998</v>
      </c>
      <c r="K144" s="133"/>
    </row>
    <row r="145" spans="1:11">
      <c r="A145" s="129"/>
      <c r="B145" s="144" t="s">
        <v>200</v>
      </c>
      <c r="C145" s="135"/>
      <c r="D145" s="132"/>
      <c r="E145" s="132"/>
      <c r="F145" s="132"/>
      <c r="G145" s="132"/>
      <c r="H145" s="132"/>
      <c r="I145" s="132"/>
      <c r="J145" s="132">
        <f>0.13*G143*10432/100</f>
        <v>2723.5062857600001</v>
      </c>
      <c r="K145" s="133"/>
    </row>
    <row r="146" spans="1:11">
      <c r="A146" s="129"/>
      <c r="B146" s="144"/>
      <c r="C146" s="135"/>
      <c r="D146" s="132"/>
      <c r="E146" s="132"/>
      <c r="F146" s="132"/>
      <c r="G146" s="132"/>
      <c r="H146" s="132"/>
      <c r="I146" s="132"/>
      <c r="J146" s="132"/>
      <c r="K146" s="133"/>
    </row>
    <row r="147" spans="1:11" ht="33" customHeight="1">
      <c r="A147" s="129">
        <v>15</v>
      </c>
      <c r="B147" s="145" t="s">
        <v>150</v>
      </c>
      <c r="C147" s="135">
        <v>1</v>
      </c>
      <c r="D147" s="132"/>
      <c r="E147" s="132"/>
      <c r="F147" s="132"/>
      <c r="G147" s="132">
        <v>1</v>
      </c>
      <c r="H147" s="132" t="s">
        <v>151</v>
      </c>
      <c r="I147" s="136">
        <v>5000</v>
      </c>
      <c r="J147" s="136">
        <f>G147*I147</f>
        <v>5000</v>
      </c>
      <c r="K147" s="133"/>
    </row>
    <row r="148" spans="1:11">
      <c r="A148" s="129"/>
      <c r="B148" s="151"/>
      <c r="C148" s="135"/>
      <c r="D148" s="132"/>
      <c r="E148" s="132"/>
      <c r="F148" s="136"/>
      <c r="G148" s="132"/>
      <c r="H148" s="132"/>
      <c r="I148" s="136"/>
      <c r="J148" s="136"/>
      <c r="K148" s="133"/>
    </row>
    <row r="149" spans="1:11" ht="33" customHeight="1">
      <c r="A149" s="129">
        <v>16</v>
      </c>
      <c r="B149" s="145" t="s">
        <v>89</v>
      </c>
      <c r="C149" s="135">
        <v>1</v>
      </c>
      <c r="D149" s="132"/>
      <c r="E149" s="132"/>
      <c r="F149" s="132"/>
      <c r="G149" s="132">
        <v>1</v>
      </c>
      <c r="H149" s="132" t="s">
        <v>34</v>
      </c>
      <c r="I149" s="136">
        <v>500</v>
      </c>
      <c r="J149" s="136">
        <f>G149*I149</f>
        <v>500</v>
      </c>
      <c r="K149" s="133"/>
    </row>
    <row r="150" spans="1:11">
      <c r="A150" s="152"/>
      <c r="B150" s="153"/>
      <c r="C150" s="132"/>
      <c r="D150" s="136"/>
      <c r="E150" s="136"/>
      <c r="F150" s="136"/>
      <c r="G150" s="136"/>
      <c r="H150" s="132"/>
      <c r="I150" s="136"/>
      <c r="J150" s="154">
        <f>SUM(J12:J149)</f>
        <v>539892.4187367931</v>
      </c>
      <c r="K150" s="155"/>
    </row>
    <row r="151" spans="1:11">
      <c r="A151" s="156"/>
      <c r="B151" s="157"/>
      <c r="C151" s="117"/>
      <c r="D151" s="117"/>
      <c r="E151" s="117"/>
      <c r="F151" s="117"/>
      <c r="G151" s="117"/>
      <c r="H151" s="117"/>
      <c r="I151" s="117"/>
      <c r="J151" s="158"/>
      <c r="K151" s="159"/>
    </row>
    <row r="152" spans="1:11">
      <c r="A152" s="156"/>
      <c r="B152" s="127" t="s">
        <v>12</v>
      </c>
      <c r="C152" s="193" t="s">
        <v>71</v>
      </c>
      <c r="D152" s="193"/>
      <c r="E152" s="127" t="s">
        <v>72</v>
      </c>
      <c r="F152" s="160"/>
      <c r="G152" s="161"/>
      <c r="H152" s="160"/>
      <c r="I152" s="161"/>
      <c r="J152" s="160"/>
      <c r="K152" s="160"/>
    </row>
    <row r="153" spans="1:11">
      <c r="A153" s="156"/>
      <c r="B153" s="131" t="s">
        <v>13</v>
      </c>
      <c r="C153" s="191">
        <f>+J150</f>
        <v>539892.4187367931</v>
      </c>
      <c r="D153" s="191"/>
      <c r="E153" s="162"/>
      <c r="F153" s="160"/>
      <c r="G153" s="163"/>
      <c r="H153" s="160"/>
      <c r="I153" s="161"/>
      <c r="J153" s="160"/>
      <c r="K153" s="160"/>
    </row>
    <row r="154" spans="1:11">
      <c r="A154" s="156"/>
      <c r="B154" s="131" t="s">
        <v>14</v>
      </c>
      <c r="C154" s="191">
        <v>500000</v>
      </c>
      <c r="D154" s="191"/>
      <c r="E154" s="164">
        <v>100</v>
      </c>
      <c r="F154" s="160"/>
      <c r="G154" s="163"/>
      <c r="H154" s="160"/>
      <c r="I154" s="161"/>
      <c r="J154" s="160"/>
      <c r="K154" s="160"/>
    </row>
    <row r="155" spans="1:11">
      <c r="A155" s="156"/>
      <c r="B155" s="131" t="s">
        <v>19</v>
      </c>
      <c r="C155" s="191">
        <f>0.95*C154</f>
        <v>475000</v>
      </c>
      <c r="D155" s="191"/>
      <c r="E155" s="165">
        <f>C155/C153*100</f>
        <v>87.980490837670146</v>
      </c>
      <c r="F155" s="160"/>
      <c r="G155" s="163"/>
      <c r="H155" s="160"/>
      <c r="I155" s="161"/>
      <c r="J155" s="160"/>
      <c r="K155" s="160"/>
    </row>
    <row r="156" spans="1:11">
      <c r="A156" s="156"/>
      <c r="B156" s="131" t="s">
        <v>15</v>
      </c>
      <c r="C156" s="191">
        <f>C153-C155</f>
        <v>64892.418736793101</v>
      </c>
      <c r="D156" s="191"/>
      <c r="E156" s="165">
        <f>C156/C154*100</f>
        <v>12.978483747358622</v>
      </c>
      <c r="F156" s="160"/>
      <c r="G156" s="163"/>
      <c r="H156" s="160"/>
      <c r="I156" s="161"/>
      <c r="J156" s="160"/>
      <c r="K156" s="160"/>
    </row>
    <row r="157" spans="1:11">
      <c r="A157" s="156"/>
      <c r="B157" s="131" t="s">
        <v>20</v>
      </c>
      <c r="C157" s="191">
        <f>E157*C154/100</f>
        <v>10000</v>
      </c>
      <c r="D157" s="191"/>
      <c r="E157" s="165">
        <v>2</v>
      </c>
      <c r="F157" s="160"/>
      <c r="G157" s="163"/>
      <c r="H157" s="160"/>
      <c r="I157" s="161"/>
      <c r="J157" s="160"/>
      <c r="K157" s="160"/>
    </row>
    <row r="158" spans="1:11">
      <c r="A158" s="156"/>
      <c r="B158" s="131" t="s">
        <v>21</v>
      </c>
      <c r="C158" s="192">
        <f>E158*C154/100</f>
        <v>15000</v>
      </c>
      <c r="D158" s="192"/>
      <c r="E158" s="165">
        <v>3</v>
      </c>
      <c r="F158" s="160"/>
      <c r="G158" s="166"/>
      <c r="H158" s="160"/>
      <c r="I158" s="161"/>
      <c r="J158" s="160"/>
      <c r="K158" s="160"/>
    </row>
    <row r="159" spans="1:11">
      <c r="F159" s="62"/>
    </row>
  </sheetData>
  <mergeCells count="14">
    <mergeCell ref="A6:F6"/>
    <mergeCell ref="H6:K6"/>
    <mergeCell ref="A1:K1"/>
    <mergeCell ref="A2:K2"/>
    <mergeCell ref="A3:K3"/>
    <mergeCell ref="A4:K4"/>
    <mergeCell ref="J5:K5"/>
    <mergeCell ref="C157:D157"/>
    <mergeCell ref="C158:D158"/>
    <mergeCell ref="C152:D152"/>
    <mergeCell ref="C153:D153"/>
    <mergeCell ref="C154:D154"/>
    <mergeCell ref="C155:D155"/>
    <mergeCell ref="C156:D156"/>
  </mergeCells>
  <printOptions horizontalCentered="1"/>
  <pageMargins left="0.51181102362204722" right="0.51181102362204722" top="0.39370078740157483" bottom="0.70866141732283472" header="0.31496062992125984" footer="0.31496062992125984"/>
  <pageSetup paperSize="9" scale="75" fitToHeight="2" orientation="portrait" r:id="rId1"/>
  <headerFooter>
    <oddHeader>&amp;RPage &amp;P of &amp;N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zoomScale="80" zoomScaleNormal="80" workbookViewId="0">
      <selection activeCell="F8" sqref="F8"/>
    </sheetView>
  </sheetViews>
  <sheetFormatPr defaultRowHeight="15"/>
  <cols>
    <col min="1" max="1" width="10.5703125" customWidth="1"/>
    <col min="2" max="3" width="13.85546875" customWidth="1"/>
    <col min="4" max="5" width="14" customWidth="1"/>
    <col min="6" max="6" width="12.5703125" customWidth="1"/>
    <col min="7" max="7" width="13.42578125" customWidth="1"/>
    <col min="8" max="8" width="12.5703125" customWidth="1"/>
  </cols>
  <sheetData>
    <row r="1" spans="1:8" ht="20.25">
      <c r="A1" s="90">
        <v>152</v>
      </c>
      <c r="B1" s="194" t="s">
        <v>106</v>
      </c>
      <c r="C1" s="195"/>
      <c r="D1" s="195"/>
      <c r="E1" s="195"/>
      <c r="F1" s="195"/>
      <c r="G1" s="195"/>
      <c r="H1" s="195"/>
    </row>
    <row r="2" spans="1:8" ht="15.75">
      <c r="A2" s="91" t="s">
        <v>107</v>
      </c>
      <c r="B2" s="196" t="s">
        <v>108</v>
      </c>
      <c r="C2" s="197"/>
      <c r="D2" s="197"/>
      <c r="E2" s="197"/>
      <c r="F2" s="197"/>
      <c r="G2" s="197"/>
      <c r="H2" s="197"/>
    </row>
    <row r="3" spans="1:8" ht="31.5">
      <c r="A3" s="92"/>
      <c r="B3" s="93" t="s">
        <v>109</v>
      </c>
      <c r="C3" s="93" t="s">
        <v>110</v>
      </c>
      <c r="D3" s="93" t="s">
        <v>111</v>
      </c>
      <c r="E3" s="93" t="s">
        <v>112</v>
      </c>
      <c r="F3" s="93" t="s">
        <v>113</v>
      </c>
      <c r="G3" s="93" t="s">
        <v>114</v>
      </c>
      <c r="H3" s="93" t="s">
        <v>115</v>
      </c>
    </row>
    <row r="4" spans="1:8" ht="17.25">
      <c r="A4" s="92"/>
      <c r="B4" s="198" t="s">
        <v>116</v>
      </c>
      <c r="C4" s="94" t="s">
        <v>117</v>
      </c>
      <c r="D4" s="95">
        <v>0.5</v>
      </c>
      <c r="E4" s="96" t="s">
        <v>118</v>
      </c>
      <c r="F4" s="97">
        <v>1330</v>
      </c>
      <c r="G4" s="97">
        <f>FLOOR(D4*F4,0.01)</f>
        <v>665</v>
      </c>
      <c r="H4" s="98"/>
    </row>
    <row r="5" spans="1:8" ht="17.25">
      <c r="A5" s="92"/>
      <c r="B5" s="199"/>
      <c r="C5" s="99" t="s">
        <v>119</v>
      </c>
      <c r="D5" s="100">
        <v>1</v>
      </c>
      <c r="E5" s="99" t="s">
        <v>118</v>
      </c>
      <c r="F5" s="101">
        <v>1000</v>
      </c>
      <c r="G5" s="101">
        <f>FLOOR(D5*F5,0.01)</f>
        <v>1000</v>
      </c>
      <c r="H5" s="102">
        <f>SUM(G4+G5)</f>
        <v>1665</v>
      </c>
    </row>
    <row r="6" spans="1:8" ht="17.25">
      <c r="A6" s="92"/>
      <c r="B6" s="200" t="s">
        <v>120</v>
      </c>
      <c r="C6" s="96" t="s">
        <v>121</v>
      </c>
      <c r="D6" s="95">
        <f>420*0</f>
        <v>0</v>
      </c>
      <c r="E6" s="96" t="s">
        <v>122</v>
      </c>
      <c r="F6" s="103">
        <v>15.145</v>
      </c>
      <c r="G6" s="104">
        <f>FLOOR(D6*F6,0.01)</f>
        <v>0</v>
      </c>
      <c r="H6" s="98"/>
    </row>
    <row r="7" spans="1:8" ht="17.25">
      <c r="A7" s="92"/>
      <c r="B7" s="201"/>
      <c r="C7" s="99" t="s">
        <v>123</v>
      </c>
      <c r="D7" s="100">
        <f>0.71*0</f>
        <v>0</v>
      </c>
      <c r="E7" s="99" t="s">
        <v>124</v>
      </c>
      <c r="F7" s="101">
        <v>3389.76</v>
      </c>
      <c r="G7" s="101">
        <f>FLOOR(D7*F7,0.01)</f>
        <v>0</v>
      </c>
      <c r="H7" s="105">
        <f>SUM(G6:G7)</f>
        <v>0</v>
      </c>
    </row>
    <row r="8" spans="1:8" ht="19.5">
      <c r="A8" s="92"/>
      <c r="B8" s="92"/>
      <c r="C8" s="92"/>
      <c r="D8" s="92"/>
      <c r="E8" s="92"/>
      <c r="F8" s="106" t="s">
        <v>125</v>
      </c>
      <c r="G8" s="107"/>
      <c r="H8" s="101">
        <f>SUM(H7,H5)</f>
        <v>1665</v>
      </c>
    </row>
    <row r="9" spans="1:8" ht="19.5">
      <c r="A9" s="92"/>
      <c r="B9" s="92" t="s">
        <v>126</v>
      </c>
      <c r="C9" s="92"/>
      <c r="D9" s="92"/>
      <c r="E9" s="92"/>
      <c r="F9" s="106" t="s">
        <v>127</v>
      </c>
      <c r="G9" s="107"/>
      <c r="H9" s="108">
        <f>FLOOR(H8*0.15,0.01)</f>
        <v>249.75</v>
      </c>
    </row>
    <row r="10" spans="1:8" ht="19.5">
      <c r="A10" s="109"/>
      <c r="B10" s="110">
        <f>+H10</f>
        <v>1914.75</v>
      </c>
      <c r="C10" s="111" t="s">
        <v>128</v>
      </c>
      <c r="D10" s="108">
        <f>INT(B10/B11*100)/100</f>
        <v>191.47</v>
      </c>
      <c r="E10" s="92" t="s">
        <v>129</v>
      </c>
      <c r="F10" s="106" t="s">
        <v>130</v>
      </c>
      <c r="G10" s="107"/>
      <c r="H10" s="108">
        <f>SUM(H8:H9)</f>
        <v>1914.75</v>
      </c>
    </row>
    <row r="11" spans="1:8" ht="16.5">
      <c r="A11" s="92"/>
      <c r="B11" s="112">
        <v>10</v>
      </c>
      <c r="C11" s="92"/>
      <c r="D11" s="92"/>
      <c r="E11" s="92"/>
      <c r="F11" s="92"/>
      <c r="G11" s="92"/>
      <c r="H11" s="92"/>
    </row>
  </sheetData>
  <mergeCells count="4">
    <mergeCell ref="B1:H1"/>
    <mergeCell ref="B2:H2"/>
    <mergeCell ref="B4:B5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1010-D468-4D9B-BD2C-99595ACF4C8F}">
  <dimension ref="A1:L174"/>
  <sheetViews>
    <sheetView view="pageBreakPreview" topLeftCell="A153" zoomScaleNormal="100" zoomScaleSheetLayoutView="100" workbookViewId="0">
      <selection activeCell="A165" sqref="A165"/>
    </sheetView>
  </sheetViews>
  <sheetFormatPr defaultColWidth="9.140625" defaultRowHeight="16.5"/>
  <cols>
    <col min="1" max="1" width="4.42578125" style="121" customWidth="1"/>
    <col min="2" max="2" width="30.5703125" style="8" customWidth="1"/>
    <col min="3" max="3" width="5.5703125" style="1" customWidth="1"/>
    <col min="4" max="4" width="8.28515625" style="1" customWidth="1"/>
    <col min="5" max="5" width="9.140625" style="1" customWidth="1"/>
    <col min="6" max="6" width="8.42578125" style="1" customWidth="1"/>
    <col min="7" max="7" width="10.140625" style="1" customWidth="1"/>
    <col min="8" max="8" width="5.42578125" style="1" customWidth="1"/>
    <col min="9" max="9" width="9.5703125" style="2" bestFit="1" customWidth="1"/>
    <col min="10" max="10" width="11.28515625" style="1" bestFit="1" customWidth="1"/>
    <col min="11" max="11" width="9.7109375" style="1" customWidth="1"/>
    <col min="12" max="16384" width="9.140625" style="1"/>
  </cols>
  <sheetData>
    <row r="1" spans="1:12">
      <c r="A1" s="176" t="s">
        <v>11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61"/>
    </row>
    <row r="2" spans="1:12" ht="20.25">
      <c r="A2" s="177" t="s">
        <v>16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0"/>
    </row>
    <row r="3" spans="1:12">
      <c r="A3" s="176" t="s">
        <v>17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61"/>
    </row>
    <row r="4" spans="1:12">
      <c r="A4" s="178" t="s">
        <v>22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</row>
    <row r="5" spans="1:12" ht="20.25">
      <c r="A5" s="171" t="s">
        <v>162</v>
      </c>
      <c r="G5" s="6"/>
      <c r="J5" s="179" t="s">
        <v>101</v>
      </c>
      <c r="K5" s="179"/>
    </row>
    <row r="6" spans="1:12">
      <c r="A6" s="175" t="s">
        <v>28</v>
      </c>
      <c r="B6" s="175"/>
      <c r="C6" s="175"/>
      <c r="D6" s="175"/>
      <c r="E6" s="175"/>
      <c r="F6" s="175"/>
      <c r="G6" s="113"/>
      <c r="H6" s="174" t="s">
        <v>163</v>
      </c>
      <c r="I6" s="174"/>
      <c r="J6" s="174"/>
      <c r="K6" s="174"/>
    </row>
    <row r="7" spans="1:12">
      <c r="B7" s="5"/>
      <c r="C7" s="6"/>
      <c r="D7" s="113"/>
      <c r="E7" s="113"/>
      <c r="F7" s="113"/>
      <c r="G7" s="113"/>
      <c r="I7" s="114"/>
      <c r="J7" s="113"/>
      <c r="K7" s="8"/>
    </row>
    <row r="8" spans="1:12" s="6" customFormat="1">
      <c r="A8" s="122" t="s">
        <v>0</v>
      </c>
      <c r="B8" s="118" t="s">
        <v>1</v>
      </c>
      <c r="C8" s="115" t="s">
        <v>2</v>
      </c>
      <c r="D8" s="119" t="s">
        <v>3</v>
      </c>
      <c r="E8" s="119" t="s">
        <v>4</v>
      </c>
      <c r="F8" s="119" t="s">
        <v>5</v>
      </c>
      <c r="G8" s="116" t="s">
        <v>6</v>
      </c>
      <c r="H8" s="115" t="s">
        <v>7</v>
      </c>
      <c r="I8" s="119" t="s">
        <v>8</v>
      </c>
      <c r="J8" s="119" t="s">
        <v>9</v>
      </c>
      <c r="K8" s="120" t="s">
        <v>152</v>
      </c>
    </row>
    <row r="9" spans="1:12">
      <c r="A9" s="123" t="s">
        <v>94</v>
      </c>
      <c r="B9" s="124" t="s">
        <v>95</v>
      </c>
      <c r="C9" s="125"/>
      <c r="D9" s="126"/>
      <c r="E9" s="126"/>
      <c r="F9" s="126"/>
      <c r="G9" s="126"/>
      <c r="H9" s="127"/>
      <c r="I9" s="126"/>
      <c r="J9" s="126"/>
      <c r="K9" s="128"/>
    </row>
    <row r="10" spans="1:12" ht="30.75">
      <c r="A10" s="129">
        <v>1</v>
      </c>
      <c r="B10" s="167" t="s">
        <v>103</v>
      </c>
      <c r="C10" s="131"/>
      <c r="D10" s="131"/>
      <c r="E10" s="131"/>
      <c r="F10" s="131"/>
      <c r="G10" s="131"/>
      <c r="H10" s="132"/>
      <c r="I10" s="132"/>
      <c r="J10" s="132"/>
      <c r="K10" s="133"/>
    </row>
    <row r="11" spans="1:12">
      <c r="A11" s="129"/>
      <c r="B11" s="134" t="s">
        <v>153</v>
      </c>
      <c r="C11" s="135">
        <v>1</v>
      </c>
      <c r="D11" s="136">
        <v>5</v>
      </c>
      <c r="E11" s="136">
        <f>11/3.281</f>
        <v>3.3526363913441024</v>
      </c>
      <c r="F11" s="136">
        <v>7.4999999999999997E-2</v>
      </c>
      <c r="G11" s="136">
        <f>C11*D11*E11*F11</f>
        <v>1.2572386467540384</v>
      </c>
      <c r="H11" s="132"/>
      <c r="I11" s="132"/>
      <c r="J11" s="132"/>
      <c r="K11" s="133"/>
    </row>
    <row r="12" spans="1:12">
      <c r="A12" s="129"/>
      <c r="B12" s="134"/>
      <c r="C12" s="135"/>
      <c r="D12" s="136"/>
      <c r="E12" s="136"/>
      <c r="F12" s="136"/>
      <c r="G12" s="136">
        <f>SUM(G11:G11)</f>
        <v>1.2572386467540384</v>
      </c>
      <c r="H12" s="132" t="s">
        <v>24</v>
      </c>
      <c r="I12" s="132">
        <v>3740</v>
      </c>
      <c r="J12" s="132">
        <f>G12*I12</f>
        <v>4702.072538860104</v>
      </c>
      <c r="K12" s="133"/>
    </row>
    <row r="13" spans="1:12">
      <c r="A13" s="129"/>
      <c r="B13" s="130"/>
      <c r="C13" s="135"/>
      <c r="D13" s="136"/>
      <c r="E13" s="136"/>
      <c r="F13" s="136"/>
      <c r="G13" s="136"/>
      <c r="H13" s="132"/>
      <c r="I13" s="136"/>
      <c r="J13" s="136"/>
      <c r="K13" s="133"/>
    </row>
    <row r="14" spans="1:12" ht="45.75">
      <c r="A14" s="129">
        <v>2</v>
      </c>
      <c r="B14" s="167" t="s">
        <v>102</v>
      </c>
      <c r="C14" s="131"/>
      <c r="D14" s="131"/>
      <c r="E14" s="131"/>
      <c r="F14" s="131"/>
      <c r="G14" s="131"/>
      <c r="H14" s="132"/>
      <c r="I14" s="132"/>
      <c r="J14" s="132"/>
      <c r="K14" s="133"/>
    </row>
    <row r="15" spans="1:12">
      <c r="A15" s="129"/>
      <c r="B15" s="137" t="str">
        <f>B11</f>
        <v>-water tank</v>
      </c>
      <c r="C15" s="135">
        <v>2</v>
      </c>
      <c r="D15" s="136">
        <f>D11</f>
        <v>5</v>
      </c>
      <c r="E15" s="136">
        <v>0.23</v>
      </c>
      <c r="F15" s="136">
        <v>1.4</v>
      </c>
      <c r="G15" s="136">
        <f>C15*D15*F15</f>
        <v>14</v>
      </c>
      <c r="H15" s="136"/>
      <c r="I15" s="136"/>
      <c r="J15" s="136"/>
      <c r="K15" s="133"/>
    </row>
    <row r="16" spans="1:12">
      <c r="A16" s="129"/>
      <c r="B16" s="137"/>
      <c r="C16" s="135">
        <v>2</v>
      </c>
      <c r="D16" s="136">
        <f>E11-0.23*2</f>
        <v>2.8926363913441024</v>
      </c>
      <c r="E16" s="136">
        <v>0.23</v>
      </c>
      <c r="F16" s="136">
        <v>1.4</v>
      </c>
      <c r="G16" s="136">
        <f>C16*D16*F16</f>
        <v>8.0993818957634858</v>
      </c>
      <c r="H16" s="136"/>
      <c r="I16" s="136"/>
      <c r="J16" s="136"/>
      <c r="K16" s="133"/>
    </row>
    <row r="17" spans="1:11">
      <c r="A17" s="129"/>
      <c r="B17" s="137"/>
      <c r="C17" s="135">
        <v>1</v>
      </c>
      <c r="D17" s="136">
        <f>D11</f>
        <v>5</v>
      </c>
      <c r="E17" s="136">
        <v>0.23</v>
      </c>
      <c r="F17" s="136">
        <v>0.45</v>
      </c>
      <c r="G17" s="136">
        <f>C17*D17*F17</f>
        <v>2.25</v>
      </c>
      <c r="H17" s="136"/>
      <c r="I17" s="136"/>
      <c r="J17" s="136"/>
      <c r="K17" s="133"/>
    </row>
    <row r="18" spans="1:11">
      <c r="A18" s="129"/>
      <c r="B18" s="131"/>
      <c r="C18" s="135"/>
      <c r="D18" s="136"/>
      <c r="E18" s="136"/>
      <c r="F18" s="138"/>
      <c r="G18" s="136">
        <f>SUM(G15:G17)</f>
        <v>24.349381895763486</v>
      </c>
      <c r="H18" s="132" t="s">
        <v>24</v>
      </c>
      <c r="I18" s="136">
        <v>1982.2</v>
      </c>
      <c r="J18" s="136">
        <f>G18*I18</f>
        <v>48265.34479378238</v>
      </c>
      <c r="K18" s="133"/>
    </row>
    <row r="19" spans="1:11">
      <c r="A19" s="129"/>
      <c r="B19" s="139"/>
      <c r="C19" s="135"/>
      <c r="D19" s="136"/>
      <c r="E19" s="136"/>
      <c r="F19" s="138"/>
      <c r="G19" s="136"/>
      <c r="H19" s="132"/>
      <c r="I19" s="136"/>
      <c r="J19" s="136"/>
      <c r="K19" s="133"/>
    </row>
    <row r="20" spans="1:11" ht="45.75">
      <c r="A20" s="129">
        <v>3</v>
      </c>
      <c r="B20" s="168" t="s">
        <v>105</v>
      </c>
      <c r="C20" s="135"/>
      <c r="D20" s="136"/>
      <c r="E20" s="136"/>
      <c r="F20" s="138"/>
      <c r="G20" s="136"/>
      <c r="H20" s="132"/>
      <c r="I20" s="136"/>
      <c r="J20" s="136"/>
      <c r="K20" s="133"/>
    </row>
    <row r="21" spans="1:11">
      <c r="A21" s="129"/>
      <c r="B21" s="139"/>
      <c r="C21" s="135">
        <f>C11</f>
        <v>1</v>
      </c>
      <c r="D21" s="136">
        <f>D11</f>
        <v>5</v>
      </c>
      <c r="E21" s="136">
        <f>E11</f>
        <v>3.3526363913441024</v>
      </c>
      <c r="F21" s="138">
        <v>7.4999999999999997E-2</v>
      </c>
      <c r="G21" s="136">
        <f>C21*D21*E21*F21</f>
        <v>1.2572386467540384</v>
      </c>
      <c r="H21" s="132"/>
      <c r="I21" s="136"/>
      <c r="J21" s="136"/>
      <c r="K21" s="133"/>
    </row>
    <row r="22" spans="1:11">
      <c r="A22" s="129"/>
      <c r="B22" s="131"/>
      <c r="C22" s="135"/>
      <c r="D22" s="136"/>
      <c r="E22" s="136"/>
      <c r="F22" s="138"/>
      <c r="G22" s="136">
        <f>SUM(G21)</f>
        <v>1.2572386467540384</v>
      </c>
      <c r="H22" s="132" t="s">
        <v>24</v>
      </c>
      <c r="I22" s="136">
        <v>770.43</v>
      </c>
      <c r="J22" s="136">
        <f>G22*I22</f>
        <v>968.61437061871379</v>
      </c>
      <c r="K22" s="133"/>
    </row>
    <row r="23" spans="1:11">
      <c r="A23" s="129"/>
      <c r="B23" s="131"/>
      <c r="C23" s="135"/>
      <c r="D23" s="136"/>
      <c r="E23" s="136"/>
      <c r="F23" s="138"/>
      <c r="G23" s="136"/>
      <c r="H23" s="132"/>
      <c r="I23" s="136"/>
      <c r="J23" s="136"/>
      <c r="K23" s="133"/>
    </row>
    <row r="24" spans="1:11">
      <c r="A24" s="140">
        <v>4</v>
      </c>
      <c r="B24" s="169" t="s">
        <v>104</v>
      </c>
      <c r="C24" s="141"/>
      <c r="D24" s="142"/>
      <c r="E24" s="142"/>
      <c r="F24" s="138"/>
      <c r="G24" s="142"/>
      <c r="H24" s="138"/>
      <c r="I24" s="142"/>
      <c r="J24" s="142"/>
      <c r="K24" s="133"/>
    </row>
    <row r="25" spans="1:11">
      <c r="A25" s="140"/>
      <c r="B25" s="143" t="s">
        <v>132</v>
      </c>
      <c r="C25" s="141">
        <f>C17</f>
        <v>1</v>
      </c>
      <c r="D25" s="142">
        <f>D17</f>
        <v>5</v>
      </c>
      <c r="E25" s="142">
        <f>E21</f>
        <v>3.3526363913441024</v>
      </c>
      <c r="F25" s="138"/>
      <c r="G25" s="142">
        <f>PRODUCT(C25:F25)</f>
        <v>16.763181956720512</v>
      </c>
      <c r="H25" s="138"/>
      <c r="I25" s="142"/>
      <c r="J25" s="142"/>
      <c r="K25" s="133"/>
    </row>
    <row r="26" spans="1:11">
      <c r="A26" s="140"/>
      <c r="B26" s="133"/>
      <c r="C26" s="141"/>
      <c r="D26" s="142"/>
      <c r="E26" s="142"/>
      <c r="F26" s="138"/>
      <c r="G26" s="142">
        <f>SUM(G25)</f>
        <v>16.763181956720512</v>
      </c>
      <c r="H26" s="138" t="s">
        <v>23</v>
      </c>
      <c r="I26" s="142">
        <f>Sheet1!H8/10</f>
        <v>166.5</v>
      </c>
      <c r="J26" s="142">
        <f>G26*I26</f>
        <v>2791.0697957939651</v>
      </c>
      <c r="K26" s="133"/>
    </row>
    <row r="27" spans="1:11">
      <c r="A27" s="129"/>
      <c r="B27" s="131"/>
      <c r="C27" s="135"/>
      <c r="D27" s="136"/>
      <c r="E27" s="136"/>
      <c r="F27" s="138"/>
      <c r="G27" s="136"/>
      <c r="H27" s="132"/>
      <c r="I27" s="136"/>
      <c r="J27" s="136"/>
      <c r="K27" s="133"/>
    </row>
    <row r="28" spans="1:11" ht="30.75">
      <c r="A28" s="129">
        <v>5</v>
      </c>
      <c r="B28" s="167" t="s">
        <v>131</v>
      </c>
      <c r="C28" s="135"/>
      <c r="D28" s="136"/>
      <c r="E28" s="136"/>
      <c r="F28" s="136"/>
      <c r="G28" s="136"/>
      <c r="H28" s="132"/>
      <c r="I28" s="136"/>
      <c r="J28" s="136"/>
      <c r="K28" s="133"/>
    </row>
    <row r="29" spans="1:11">
      <c r="A29" s="129"/>
      <c r="B29" s="144" t="str">
        <f>B25</f>
        <v>-for flooring</v>
      </c>
      <c r="C29" s="135">
        <f>C25</f>
        <v>1</v>
      </c>
      <c r="D29" s="136">
        <f>D25</f>
        <v>5</v>
      </c>
      <c r="E29" s="136">
        <f>E25</f>
        <v>3.3526363913441024</v>
      </c>
      <c r="F29" s="136">
        <v>7.4999999999999997E-2</v>
      </c>
      <c r="G29" s="136">
        <f>C29*D29*E29*F29</f>
        <v>1.2572386467540384</v>
      </c>
      <c r="H29" s="132"/>
      <c r="I29" s="136"/>
      <c r="J29" s="136"/>
      <c r="K29" s="133"/>
    </row>
    <row r="30" spans="1:11">
      <c r="A30" s="129"/>
      <c r="B30" s="145"/>
      <c r="C30" s="135"/>
      <c r="D30" s="136"/>
      <c r="E30" s="136" t="s">
        <v>32</v>
      </c>
      <c r="F30" s="136"/>
      <c r="G30" s="136">
        <f>SUM(G29)</f>
        <v>1.2572386467540384</v>
      </c>
      <c r="H30" s="132" t="s">
        <v>24</v>
      </c>
      <c r="I30" s="136">
        <v>13351.1</v>
      </c>
      <c r="J30" s="136">
        <f>G30*I30</f>
        <v>16785.518896677844</v>
      </c>
      <c r="K30" s="133"/>
    </row>
    <row r="31" spans="1:11">
      <c r="A31" s="129"/>
      <c r="B31" s="144" t="s">
        <v>29</v>
      </c>
      <c r="C31" s="135"/>
      <c r="D31" s="136"/>
      <c r="E31" s="136"/>
      <c r="F31" s="136"/>
      <c r="G31" s="136"/>
      <c r="H31" s="132"/>
      <c r="I31" s="136"/>
      <c r="J31" s="136">
        <f>0.13*G30*4169.92</f>
        <v>681.53599512343794</v>
      </c>
      <c r="K31" s="133"/>
    </row>
    <row r="32" spans="1:11">
      <c r="A32" s="129"/>
      <c r="B32" s="144" t="s">
        <v>30</v>
      </c>
      <c r="C32" s="135"/>
      <c r="D32" s="136"/>
      <c r="E32" s="136"/>
      <c r="F32" s="136"/>
      <c r="G32" s="136"/>
      <c r="H32" s="132"/>
      <c r="I32" s="136"/>
      <c r="J32" s="136">
        <f>0.13*G30*1414.16</f>
        <v>231.13175861017984</v>
      </c>
      <c r="K32" s="133"/>
    </row>
    <row r="33" spans="1:11">
      <c r="A33" s="129"/>
      <c r="B33" s="144" t="s">
        <v>31</v>
      </c>
      <c r="C33" s="135"/>
      <c r="D33" s="136"/>
      <c r="E33" s="136"/>
      <c r="F33" s="136"/>
      <c r="G33" s="136"/>
      <c r="H33" s="132"/>
      <c r="I33" s="136"/>
      <c r="J33" s="136">
        <f>0.13*G30*(1652.5+737.97+349.56)</f>
        <v>447.83330920451084</v>
      </c>
      <c r="K33" s="133"/>
    </row>
    <row r="34" spans="1:11">
      <c r="A34" s="129"/>
      <c r="B34" s="130"/>
      <c r="C34" s="135"/>
      <c r="D34" s="136"/>
      <c r="E34" s="136"/>
      <c r="F34" s="136"/>
      <c r="G34" s="136"/>
      <c r="H34" s="132"/>
      <c r="I34" s="136"/>
      <c r="J34" s="136"/>
      <c r="K34" s="133"/>
    </row>
    <row r="35" spans="1:11" ht="30.75">
      <c r="A35" s="129">
        <v>6</v>
      </c>
      <c r="B35" s="167" t="s">
        <v>80</v>
      </c>
      <c r="C35" s="135"/>
      <c r="D35" s="136"/>
      <c r="E35" s="136"/>
      <c r="F35" s="136"/>
      <c r="G35" s="136"/>
      <c r="H35" s="132"/>
      <c r="I35" s="136"/>
      <c r="J35" s="136"/>
      <c r="K35" s="133"/>
    </row>
    <row r="36" spans="1:11">
      <c r="A36" s="129"/>
      <c r="B36" s="146" t="s">
        <v>154</v>
      </c>
      <c r="C36" s="135">
        <v>33</v>
      </c>
      <c r="D36" s="136">
        <f>(2+5.917+16.17+5.917+2)/3.281</f>
        <v>9.7543431880524238</v>
      </c>
      <c r="E36" s="136"/>
      <c r="F36" s="136">
        <f>10*10/162</f>
        <v>0.61728395061728392</v>
      </c>
      <c r="G36" s="136">
        <f>C36*D36*F36</f>
        <v>198.69958346032715</v>
      </c>
      <c r="H36" s="132"/>
      <c r="I36" s="136"/>
      <c r="J36" s="136"/>
      <c r="K36" s="133"/>
    </row>
    <row r="37" spans="1:11">
      <c r="A37" s="129"/>
      <c r="B37" s="144"/>
      <c r="C37" s="135">
        <v>32</v>
      </c>
      <c r="D37" s="136">
        <f>(2+5.5+15.667+5.5+2)/3.281</f>
        <v>9.3468454739408724</v>
      </c>
      <c r="E37" s="136"/>
      <c r="F37" s="136">
        <f>10*10/162</f>
        <v>0.61728395061728392</v>
      </c>
      <c r="G37" s="136">
        <f t="shared" ref="G37" si="0">C37*D37*F37</f>
        <v>184.62904639883203</v>
      </c>
      <c r="H37" s="132"/>
      <c r="I37" s="136"/>
      <c r="J37" s="136"/>
      <c r="K37" s="133"/>
    </row>
    <row r="38" spans="1:11">
      <c r="A38" s="129"/>
      <c r="B38" s="146" t="s">
        <v>133</v>
      </c>
      <c r="C38" s="135">
        <v>23</v>
      </c>
      <c r="D38" s="136">
        <f>(2+5.917+10.75+5.917+2)/3.281</f>
        <v>8.1024078024992381</v>
      </c>
      <c r="E38" s="136"/>
      <c r="F38" s="136">
        <f>10*10/162</f>
        <v>0.61728395061728392</v>
      </c>
      <c r="G38" s="136">
        <f>C38*D38*F38</f>
        <v>115.03418485029782</v>
      </c>
      <c r="H38" s="132"/>
      <c r="I38" s="136"/>
      <c r="J38" s="136"/>
      <c r="K38" s="133"/>
    </row>
    <row r="39" spans="1:11">
      <c r="A39" s="129"/>
      <c r="B39" s="144"/>
      <c r="C39" s="135">
        <v>22</v>
      </c>
      <c r="D39" s="136">
        <f>(2+5.5+10.25+5.5+2)/3.281</f>
        <v>7.6958244437671439</v>
      </c>
      <c r="E39" s="136"/>
      <c r="F39" s="136">
        <f>10*10/162</f>
        <v>0.61728395061728392</v>
      </c>
      <c r="G39" s="136">
        <f t="shared" ref="G39" si="1">C39*D39*F39</f>
        <v>104.51119614992416</v>
      </c>
      <c r="H39" s="132"/>
      <c r="I39" s="136"/>
      <c r="J39" s="136"/>
      <c r="K39" s="133"/>
    </row>
    <row r="40" spans="1:11">
      <c r="A40" s="129"/>
      <c r="B40" s="146" t="s">
        <v>155</v>
      </c>
      <c r="C40" s="135">
        <v>12</v>
      </c>
      <c r="D40" s="136">
        <f>(16.17+10.75+16.17+10.75)/3.281</f>
        <v>16.409631209996952</v>
      </c>
      <c r="E40" s="136"/>
      <c r="F40" s="136">
        <f>8*8/162</f>
        <v>0.39506172839506171</v>
      </c>
      <c r="G40" s="136">
        <f>C40*D40*F40</f>
        <v>77.79380721776333</v>
      </c>
      <c r="H40" s="132"/>
      <c r="I40" s="136"/>
      <c r="J40" s="136"/>
      <c r="K40" s="133"/>
    </row>
    <row r="41" spans="1:11">
      <c r="A41" s="129"/>
      <c r="B41" s="144"/>
      <c r="C41" s="135">
        <v>11</v>
      </c>
      <c r="D41" s="136">
        <f>(15.667+10.25+15.667+10.25)/3.281</f>
        <v>15.798232246266382</v>
      </c>
      <c r="E41" s="136"/>
      <c r="F41" s="136">
        <f>8*8/162</f>
        <v>0.39506172839506171</v>
      </c>
      <c r="G41" s="136">
        <f>C41*D41*F41</f>
        <v>68.654046304762545</v>
      </c>
      <c r="H41" s="132"/>
      <c r="I41" s="136"/>
      <c r="J41" s="136"/>
      <c r="K41" s="133"/>
    </row>
    <row r="42" spans="1:11">
      <c r="A42" s="129"/>
      <c r="B42" s="146" t="s">
        <v>134</v>
      </c>
      <c r="C42" s="135">
        <f>2*TRUNC((D43/0.15),0)</f>
        <v>42</v>
      </c>
      <c r="D42" s="136">
        <f>(16.17/3.281)</f>
        <v>4.928375495275831</v>
      </c>
      <c r="E42" s="136"/>
      <c r="F42" s="136">
        <f t="shared" ref="F42:F46" si="2">8*8/162</f>
        <v>0.39506172839506171</v>
      </c>
      <c r="G42" s="136">
        <f t="shared" ref="G42:G43" si="3">C42*D42*F42</f>
        <v>81.774526736428598</v>
      </c>
      <c r="H42" s="132"/>
      <c r="I42" s="136"/>
      <c r="J42" s="136"/>
      <c r="K42" s="133"/>
    </row>
    <row r="43" spans="1:11">
      <c r="A43" s="129"/>
      <c r="B43" s="144"/>
      <c r="C43" s="135">
        <f>2*TRUNC((D42/0.15),0)</f>
        <v>64</v>
      </c>
      <c r="D43" s="136">
        <f>10.75/3.281</f>
        <v>3.2764401097226452</v>
      </c>
      <c r="E43" s="136"/>
      <c r="F43" s="136">
        <f t="shared" si="2"/>
        <v>0.39506172839506171</v>
      </c>
      <c r="G43" s="136">
        <f t="shared" si="3"/>
        <v>82.841349934715765</v>
      </c>
      <c r="H43" s="132"/>
      <c r="I43" s="136"/>
      <c r="J43" s="136"/>
      <c r="K43" s="133"/>
    </row>
    <row r="44" spans="1:11">
      <c r="A44" s="129"/>
      <c r="B44" s="146" t="s">
        <v>145</v>
      </c>
      <c r="C44" s="135">
        <f>-2*5</f>
        <v>-10</v>
      </c>
      <c r="D44" s="136">
        <v>0.6</v>
      </c>
      <c r="E44" s="136"/>
      <c r="F44" s="136">
        <f t="shared" si="2"/>
        <v>0.39506172839506171</v>
      </c>
      <c r="G44" s="136">
        <f t="shared" ref="G44:G45" si="4">PRODUCT(C44:F44)</f>
        <v>-2.3703703703703702</v>
      </c>
      <c r="H44" s="132"/>
      <c r="I44" s="136"/>
      <c r="J44" s="136"/>
      <c r="K44" s="133"/>
    </row>
    <row r="45" spans="1:11">
      <c r="A45" s="129"/>
      <c r="B45" s="146"/>
      <c r="C45" s="135">
        <f>-2*5</f>
        <v>-10</v>
      </c>
      <c r="D45" s="136">
        <v>0.6</v>
      </c>
      <c r="E45" s="136"/>
      <c r="F45" s="136">
        <f t="shared" si="2"/>
        <v>0.39506172839506171</v>
      </c>
      <c r="G45" s="136">
        <f t="shared" si="4"/>
        <v>-2.3703703703703702</v>
      </c>
      <c r="H45" s="132"/>
      <c r="I45" s="136"/>
      <c r="J45" s="136"/>
      <c r="K45" s="133"/>
    </row>
    <row r="46" spans="1:11">
      <c r="A46" s="129"/>
      <c r="B46" s="146" t="s">
        <v>141</v>
      </c>
      <c r="C46" s="135">
        <f>28*2+17*2</f>
        <v>90</v>
      </c>
      <c r="D46" s="136">
        <f>(1+1.42+1)/3.281</f>
        <v>1.04236513258153</v>
      </c>
      <c r="E46" s="136"/>
      <c r="F46" s="136">
        <f t="shared" si="2"/>
        <v>0.39506172839506171</v>
      </c>
      <c r="G46" s="136">
        <f t="shared" ref="G46" si="5">C46*D46*F46</f>
        <v>37.061871380676621</v>
      </c>
      <c r="H46" s="132"/>
      <c r="I46" s="136"/>
      <c r="J46" s="136"/>
      <c r="K46" s="133"/>
    </row>
    <row r="47" spans="1:11">
      <c r="A47" s="129"/>
      <c r="B47" s="144"/>
      <c r="C47" s="135"/>
      <c r="D47" s="136"/>
      <c r="E47" s="136"/>
      <c r="F47" s="136"/>
      <c r="G47" s="136">
        <f>SUM(G36:G46)</f>
        <v>946.25887169298721</v>
      </c>
      <c r="H47" s="132" t="s">
        <v>18</v>
      </c>
      <c r="I47" s="136">
        <f>132360/1000</f>
        <v>132.36000000000001</v>
      </c>
      <c r="J47" s="147">
        <f>G47*I47</f>
        <v>125246.82425728381</v>
      </c>
      <c r="K47" s="133"/>
    </row>
    <row r="48" spans="1:11">
      <c r="A48" s="129"/>
      <c r="B48" s="144" t="s">
        <v>81</v>
      </c>
      <c r="C48" s="135"/>
      <c r="D48" s="136"/>
      <c r="E48" s="136"/>
      <c r="F48" s="136"/>
      <c r="G48" s="136"/>
      <c r="H48" s="132"/>
      <c r="I48" s="136"/>
      <c r="J48" s="136">
        <f>0.13*G47*106200/1000</f>
        <v>13064.049982593382</v>
      </c>
      <c r="K48" s="133"/>
    </row>
    <row r="49" spans="1:11">
      <c r="A49" s="129"/>
      <c r="B49" s="144"/>
      <c r="C49" s="135"/>
      <c r="D49" s="136"/>
      <c r="E49" s="136"/>
      <c r="F49" s="136"/>
      <c r="G49" s="136"/>
      <c r="H49" s="132"/>
      <c r="I49" s="136"/>
      <c r="J49" s="136"/>
      <c r="K49" s="133"/>
    </row>
    <row r="50" spans="1:11" ht="30.75">
      <c r="A50" s="129">
        <v>7</v>
      </c>
      <c r="B50" s="167" t="s">
        <v>135</v>
      </c>
      <c r="C50" s="135"/>
      <c r="D50" s="136"/>
      <c r="E50" s="136"/>
      <c r="F50" s="136"/>
      <c r="G50" s="136"/>
      <c r="H50" s="132"/>
      <c r="I50" s="136"/>
      <c r="J50" s="136"/>
      <c r="K50" s="133"/>
    </row>
    <row r="51" spans="1:11">
      <c r="A51" s="129"/>
      <c r="B51" s="146" t="s">
        <v>136</v>
      </c>
      <c r="C51" s="135">
        <v>1</v>
      </c>
      <c r="D51" s="136">
        <f>((16.42+11)*2)/3.281</f>
        <v>16.714416336482781</v>
      </c>
      <c r="E51" s="136"/>
      <c r="F51" s="136">
        <f>4.583/3.281</f>
        <v>1.3968302346845474</v>
      </c>
      <c r="G51" s="136">
        <f>PRODUCT(C51:F51)</f>
        <v>23.347202093904475</v>
      </c>
      <c r="H51" s="132"/>
      <c r="I51" s="136"/>
      <c r="J51" s="136"/>
      <c r="K51" s="133"/>
    </row>
    <row r="52" spans="1:11">
      <c r="A52" s="129"/>
      <c r="B52" s="144"/>
      <c r="C52" s="135">
        <v>1</v>
      </c>
      <c r="D52" s="136">
        <f>((15.42+10)*2)/3.281</f>
        <v>15.49527583053947</v>
      </c>
      <c r="E52" s="136"/>
      <c r="F52" s="136">
        <f>4.17/3.281</f>
        <v>1.2709539774459007</v>
      </c>
      <c r="G52" s="136">
        <f t="shared" ref="G52:G54" si="6">PRODUCT(C52:F52)</f>
        <v>19.693782448445472</v>
      </c>
      <c r="H52" s="132"/>
      <c r="I52" s="136"/>
      <c r="J52" s="136"/>
      <c r="K52" s="133"/>
    </row>
    <row r="53" spans="1:11">
      <c r="A53" s="129"/>
      <c r="B53" s="146" t="s">
        <v>137</v>
      </c>
      <c r="C53" s="135">
        <v>1</v>
      </c>
      <c r="D53" s="136">
        <f>(15.42/3.281)</f>
        <v>4.6997866504114594</v>
      </c>
      <c r="E53" s="136">
        <f>10/3.281</f>
        <v>3.047851264858275</v>
      </c>
      <c r="F53" s="136"/>
      <c r="G53" s="136">
        <f t="shared" si="6"/>
        <v>14.324250687020601</v>
      </c>
      <c r="H53" s="132"/>
      <c r="I53" s="136"/>
      <c r="J53" s="136"/>
      <c r="K53" s="133"/>
    </row>
    <row r="54" spans="1:11">
      <c r="A54" s="129"/>
      <c r="B54" s="146" t="s">
        <v>145</v>
      </c>
      <c r="C54" s="135">
        <v>-1</v>
      </c>
      <c r="D54" s="136">
        <v>0.6</v>
      </c>
      <c r="E54" s="136">
        <v>0.6</v>
      </c>
      <c r="F54" s="136"/>
      <c r="G54" s="136">
        <f t="shared" si="6"/>
        <v>-0.36</v>
      </c>
      <c r="H54" s="132"/>
      <c r="I54" s="136"/>
      <c r="J54" s="136"/>
      <c r="K54" s="133"/>
    </row>
    <row r="55" spans="1:11">
      <c r="A55" s="129"/>
      <c r="B55" s="144"/>
      <c r="C55" s="135"/>
      <c r="D55" s="136"/>
      <c r="E55" s="136"/>
      <c r="F55" s="136"/>
      <c r="G55" s="136">
        <f>SUM(G51:G54)</f>
        <v>57.005235229370548</v>
      </c>
      <c r="H55" s="132" t="s">
        <v>23</v>
      </c>
      <c r="I55" s="136">
        <v>922.71</v>
      </c>
      <c r="J55" s="136">
        <f>G55*I55</f>
        <v>52599.300598492504</v>
      </c>
      <c r="K55" s="133"/>
    </row>
    <row r="56" spans="1:11">
      <c r="A56" s="129"/>
      <c r="B56" s="144" t="s">
        <v>81</v>
      </c>
      <c r="C56" s="135"/>
      <c r="D56" s="136"/>
      <c r="E56" s="136"/>
      <c r="F56" s="136"/>
      <c r="G56" s="136"/>
      <c r="H56" s="132"/>
      <c r="I56" s="136"/>
      <c r="J56" s="136">
        <f>0.13*G55*46827.87/100</f>
        <v>3470.2638680324994</v>
      </c>
      <c r="K56" s="133"/>
    </row>
    <row r="57" spans="1:11">
      <c r="A57" s="129"/>
      <c r="B57" s="144"/>
      <c r="C57" s="135"/>
      <c r="D57" s="136"/>
      <c r="E57" s="136"/>
      <c r="F57" s="136"/>
      <c r="G57" s="136"/>
      <c r="H57" s="132"/>
      <c r="I57" s="136"/>
      <c r="J57" s="136"/>
      <c r="K57" s="133"/>
    </row>
    <row r="58" spans="1:11" ht="30.75">
      <c r="A58" s="129">
        <v>8</v>
      </c>
      <c r="B58" s="167" t="s">
        <v>142</v>
      </c>
      <c r="C58" s="135"/>
      <c r="D58" s="136"/>
      <c r="E58" s="136"/>
      <c r="F58" s="136"/>
      <c r="G58" s="136"/>
      <c r="H58" s="132"/>
      <c r="I58" s="136"/>
      <c r="J58" s="136"/>
      <c r="K58" s="133"/>
    </row>
    <row r="59" spans="1:11">
      <c r="A59" s="129"/>
      <c r="B59" s="146" t="s">
        <v>140</v>
      </c>
      <c r="C59" s="135">
        <v>2</v>
      </c>
      <c r="D59" s="136">
        <f>D25</f>
        <v>5</v>
      </c>
      <c r="E59" s="136">
        <f>E25</f>
        <v>3.3526363913441024</v>
      </c>
      <c r="F59" s="136">
        <f>0.42/3.281</f>
        <v>0.12800975312404753</v>
      </c>
      <c r="G59" s="136">
        <f>C59*D59*E59*F59</f>
        <v>4.2917015677065615</v>
      </c>
      <c r="H59" s="132"/>
      <c r="I59" s="136"/>
      <c r="J59" s="136"/>
      <c r="K59" s="133"/>
    </row>
    <row r="60" spans="1:11">
      <c r="A60" s="129"/>
      <c r="B60" s="146" t="s">
        <v>139</v>
      </c>
      <c r="C60" s="135">
        <v>2</v>
      </c>
      <c r="D60" s="136">
        <f>D59</f>
        <v>5</v>
      </c>
      <c r="E60" s="136">
        <v>0.15</v>
      </c>
      <c r="F60" s="136">
        <f>5.25/3.281</f>
        <v>1.6001219140505942</v>
      </c>
      <c r="G60" s="136">
        <f>C60*D60*E60*F60</f>
        <v>2.4001828710758915</v>
      </c>
      <c r="H60" s="132"/>
      <c r="I60" s="136"/>
      <c r="J60" s="136"/>
      <c r="K60" s="133"/>
    </row>
    <row r="61" spans="1:11">
      <c r="A61" s="129"/>
      <c r="B61" s="145"/>
      <c r="C61" s="135">
        <v>2</v>
      </c>
      <c r="D61" s="136">
        <f>10/3.281</f>
        <v>3.047851264858275</v>
      </c>
      <c r="E61" s="136">
        <v>0.15</v>
      </c>
      <c r="F61" s="136">
        <f>5.25/3.281</f>
        <v>1.6001219140505942</v>
      </c>
      <c r="G61" s="136">
        <f>C61*D61*E61*F61</f>
        <v>1.4630800798999641</v>
      </c>
      <c r="H61" s="132"/>
      <c r="I61" s="136"/>
      <c r="J61" s="136"/>
      <c r="K61" s="133"/>
    </row>
    <row r="62" spans="1:11">
      <c r="A62" s="129"/>
      <c r="B62" s="146" t="s">
        <v>138</v>
      </c>
      <c r="C62" s="135">
        <v>0.5</v>
      </c>
      <c r="D62" s="136">
        <f>(13.42*2+8*2)/3.281</f>
        <v>13.05699481865285</v>
      </c>
      <c r="E62" s="136">
        <f>1/3.281</f>
        <v>0.30478512648582745</v>
      </c>
      <c r="F62" s="136">
        <f>1/3.281</f>
        <v>0.30478512648582745</v>
      </c>
      <c r="G62" s="136">
        <f>C62*D62*E62*F62</f>
        <v>0.60645806420723891</v>
      </c>
      <c r="H62" s="132"/>
      <c r="I62" s="136"/>
      <c r="J62" s="136"/>
      <c r="K62" s="133"/>
    </row>
    <row r="63" spans="1:11">
      <c r="A63" s="129"/>
      <c r="B63" s="146" t="s">
        <v>145</v>
      </c>
      <c r="C63" s="135">
        <v>-1</v>
      </c>
      <c r="D63" s="136">
        <v>0.6</v>
      </c>
      <c r="E63" s="136">
        <v>0.6</v>
      </c>
      <c r="F63" s="136">
        <f>0.42/3.281</f>
        <v>0.12800975312404753</v>
      </c>
      <c r="G63" s="136">
        <f>C63*D63*E63*F63</f>
        <v>-4.6083511124657105E-2</v>
      </c>
      <c r="H63" s="132"/>
      <c r="I63" s="136"/>
      <c r="J63" s="136"/>
      <c r="K63" s="133"/>
    </row>
    <row r="64" spans="1:11">
      <c r="A64" s="129"/>
      <c r="B64" s="146"/>
      <c r="C64" s="135"/>
      <c r="D64" s="136"/>
      <c r="E64" s="136" t="s">
        <v>32</v>
      </c>
      <c r="F64" s="136"/>
      <c r="G64" s="136">
        <f>SUM(G59:G63)</f>
        <v>8.7153390717649994</v>
      </c>
      <c r="H64" s="132" t="s">
        <v>24</v>
      </c>
      <c r="I64" s="136">
        <v>13957.29</v>
      </c>
      <c r="J64" s="147">
        <f>G64*I64</f>
        <v>121642.51487295491</v>
      </c>
      <c r="K64" s="133"/>
    </row>
    <row r="65" spans="1:11">
      <c r="A65" s="129"/>
      <c r="B65" s="144" t="s">
        <v>29</v>
      </c>
      <c r="C65" s="135"/>
      <c r="D65" s="136"/>
      <c r="E65" s="136"/>
      <c r="F65" s="136"/>
      <c r="G65" s="136"/>
      <c r="H65" s="132"/>
      <c r="I65" s="136"/>
      <c r="J65" s="136">
        <f>0.13*G64*5212.4</f>
        <v>5905.6183390968245</v>
      </c>
      <c r="K65" s="133"/>
    </row>
    <row r="66" spans="1:11">
      <c r="A66" s="129"/>
      <c r="B66" s="144" t="s">
        <v>30</v>
      </c>
      <c r="C66" s="135"/>
      <c r="D66" s="136"/>
      <c r="E66" s="136"/>
      <c r="F66" s="136"/>
      <c r="G66" s="136"/>
      <c r="H66" s="132"/>
      <c r="I66" s="136"/>
      <c r="J66" s="136">
        <f>0.13*G64*1350.6</f>
        <v>1530.221803542355</v>
      </c>
      <c r="K66" s="133"/>
    </row>
    <row r="67" spans="1:11">
      <c r="A67" s="129"/>
      <c r="B67" s="144" t="s">
        <v>31</v>
      </c>
      <c r="C67" s="135"/>
      <c r="D67" s="136"/>
      <c r="E67" s="136"/>
      <c r="F67" s="136"/>
      <c r="G67" s="136"/>
      <c r="H67" s="132"/>
      <c r="I67" s="136"/>
      <c r="J67" s="136">
        <f>0.13*G64*(1912.03+921.59)</f>
        <v>3210.4746830695158</v>
      </c>
      <c r="K67" s="133"/>
    </row>
    <row r="68" spans="1:11">
      <c r="A68" s="129"/>
      <c r="B68" s="144" t="s">
        <v>143</v>
      </c>
      <c r="C68" s="135"/>
      <c r="D68" s="136"/>
      <c r="E68" s="136"/>
      <c r="F68" s="136"/>
      <c r="G68" s="136"/>
      <c r="H68" s="132"/>
      <c r="I68" s="136"/>
      <c r="J68" s="136">
        <f>0.13*G64*392.92</f>
        <v>445.17603365012752</v>
      </c>
      <c r="K68" s="133"/>
    </row>
    <row r="69" spans="1:11">
      <c r="A69" s="129"/>
      <c r="B69" s="144" t="s">
        <v>144</v>
      </c>
      <c r="C69" s="135"/>
      <c r="D69" s="136"/>
      <c r="E69" s="136"/>
      <c r="F69" s="136"/>
      <c r="G69" s="136"/>
      <c r="H69" s="132"/>
      <c r="I69" s="136"/>
      <c r="J69" s="136">
        <f>0.13*G64*14.15</f>
        <v>16.031866222511717</v>
      </c>
      <c r="K69" s="133"/>
    </row>
    <row r="70" spans="1:11">
      <c r="A70" s="129"/>
      <c r="B70" s="144"/>
      <c r="C70" s="135"/>
      <c r="D70" s="136"/>
      <c r="E70" s="136"/>
      <c r="F70" s="136"/>
      <c r="G70" s="136"/>
      <c r="H70" s="132"/>
      <c r="I70" s="136"/>
      <c r="J70" s="136"/>
      <c r="K70" s="133"/>
    </row>
    <row r="71" spans="1:11" ht="30.75">
      <c r="A71" s="129">
        <v>9</v>
      </c>
      <c r="B71" s="167" t="s">
        <v>78</v>
      </c>
      <c r="C71" s="135"/>
      <c r="D71" s="132"/>
      <c r="E71" s="132"/>
      <c r="F71" s="132"/>
      <c r="G71" s="136"/>
      <c r="H71" s="132"/>
      <c r="I71" s="136"/>
      <c r="J71" s="136"/>
      <c r="K71" s="133"/>
    </row>
    <row r="72" spans="1:11">
      <c r="A72" s="129"/>
      <c r="B72" s="144" t="s">
        <v>147</v>
      </c>
      <c r="C72" s="135">
        <v>2</v>
      </c>
      <c r="D72" s="132">
        <f>15.42/3.281</f>
        <v>4.6997866504114594</v>
      </c>
      <c r="E72" s="132"/>
      <c r="F72" s="132">
        <f>5.25/3.281</f>
        <v>1.6001219140505942</v>
      </c>
      <c r="G72" s="136">
        <f>C72*D72*F72</f>
        <v>15.040463221371631</v>
      </c>
      <c r="H72" s="132"/>
      <c r="I72" s="136"/>
      <c r="J72" s="136"/>
      <c r="K72" s="133"/>
    </row>
    <row r="73" spans="1:11">
      <c r="A73" s="129"/>
      <c r="B73" s="148"/>
      <c r="C73" s="135">
        <v>2</v>
      </c>
      <c r="D73" s="132">
        <f>10/3.281</f>
        <v>3.047851264858275</v>
      </c>
      <c r="E73" s="132"/>
      <c r="F73" s="132">
        <f>5.25/3.281</f>
        <v>1.6001219140505942</v>
      </c>
      <c r="G73" s="136">
        <f>C73*D73*F73</f>
        <v>9.7538671993330954</v>
      </c>
      <c r="H73" s="132"/>
      <c r="I73" s="149"/>
      <c r="J73" s="136"/>
      <c r="K73" s="133"/>
    </row>
    <row r="74" spans="1:11">
      <c r="A74" s="129"/>
      <c r="B74" s="148"/>
      <c r="C74" s="135"/>
      <c r="D74" s="136"/>
      <c r="E74" s="136"/>
      <c r="F74" s="138"/>
      <c r="G74" s="136">
        <f>SUM(G72:G73)</f>
        <v>24.794330420704725</v>
      </c>
      <c r="H74" s="132" t="s">
        <v>23</v>
      </c>
      <c r="I74" s="136">
        <v>415.5</v>
      </c>
      <c r="J74" s="136">
        <f>G74*I74</f>
        <v>10302.044289802812</v>
      </c>
      <c r="K74" s="133"/>
    </row>
    <row r="75" spans="1:11">
      <c r="A75" s="129"/>
      <c r="B75" s="144" t="s">
        <v>29</v>
      </c>
      <c r="C75" s="135"/>
      <c r="D75" s="136"/>
      <c r="E75" s="136"/>
      <c r="F75" s="138"/>
      <c r="G75" s="136"/>
      <c r="H75" s="132"/>
      <c r="I75" s="149"/>
      <c r="J75" s="136">
        <f>0.13*G74*7010.67/100</f>
        <v>225.97232898567862</v>
      </c>
      <c r="K75" s="133"/>
    </row>
    <row r="76" spans="1:11">
      <c r="A76" s="129"/>
      <c r="B76" s="144" t="s">
        <v>30</v>
      </c>
      <c r="C76" s="135"/>
      <c r="D76" s="136"/>
      <c r="E76" s="136"/>
      <c r="F76" s="138"/>
      <c r="G76" s="136"/>
      <c r="H76" s="132"/>
      <c r="I76" s="149"/>
      <c r="J76" s="136">
        <f>0.13*G74*4639.73/100</f>
        <v>149.55069828771323</v>
      </c>
      <c r="K76" s="133"/>
    </row>
    <row r="77" spans="1:11">
      <c r="A77" s="129"/>
      <c r="B77" s="144"/>
      <c r="C77" s="135"/>
      <c r="D77" s="136"/>
      <c r="E77" s="136"/>
      <c r="F77" s="138"/>
      <c r="G77" s="136"/>
      <c r="H77" s="132"/>
      <c r="I77" s="149"/>
      <c r="J77" s="136"/>
      <c r="K77" s="133"/>
    </row>
    <row r="78" spans="1:11" ht="30.75">
      <c r="A78" s="129">
        <v>10</v>
      </c>
      <c r="B78" s="167" t="s">
        <v>77</v>
      </c>
      <c r="C78" s="135"/>
      <c r="D78" s="132"/>
      <c r="E78" s="132"/>
      <c r="F78" s="136"/>
      <c r="G78" s="132"/>
      <c r="H78" s="138"/>
      <c r="I78" s="136"/>
      <c r="J78" s="132"/>
      <c r="K78" s="133"/>
    </row>
    <row r="79" spans="1:11">
      <c r="A79" s="129"/>
      <c r="B79" s="144" t="s">
        <v>146</v>
      </c>
      <c r="C79" s="135">
        <v>1</v>
      </c>
      <c r="D79" s="132">
        <f>13.42/3.281</f>
        <v>4.0902163974398045</v>
      </c>
      <c r="E79" s="132">
        <f>8/3.281</f>
        <v>2.4382810118866196</v>
      </c>
      <c r="F79" s="136"/>
      <c r="G79" s="132">
        <f>E79*D79*C79</f>
        <v>9.9730969763847703</v>
      </c>
      <c r="H79" s="138" t="s">
        <v>23</v>
      </c>
      <c r="I79" s="136">
        <v>689.98</v>
      </c>
      <c r="J79" s="132">
        <f>G79*I79</f>
        <v>6881.2374517659637</v>
      </c>
      <c r="K79" s="133"/>
    </row>
    <row r="80" spans="1:11">
      <c r="A80" s="129"/>
      <c r="B80" s="144" t="s">
        <v>29</v>
      </c>
      <c r="C80" s="135"/>
      <c r="D80" s="132"/>
      <c r="E80" s="132"/>
      <c r="F80" s="138"/>
      <c r="G80" s="132"/>
      <c r="H80" s="138"/>
      <c r="I80" s="136"/>
      <c r="J80" s="150">
        <f>0.13*G79*1694.03/10</f>
        <v>219.63143112176621</v>
      </c>
      <c r="K80" s="133"/>
    </row>
    <row r="81" spans="1:11">
      <c r="A81" s="129"/>
      <c r="B81" s="144" t="s">
        <v>30</v>
      </c>
      <c r="C81" s="135"/>
      <c r="D81" s="132"/>
      <c r="E81" s="132"/>
      <c r="F81" s="138"/>
      <c r="G81" s="132"/>
      <c r="H81" s="138"/>
      <c r="I81" s="136"/>
      <c r="J81" s="150">
        <f>0.13*G79*572.02/10</f>
        <v>74.162542121611025</v>
      </c>
      <c r="K81" s="133"/>
    </row>
    <row r="82" spans="1:11">
      <c r="A82" s="129"/>
      <c r="B82" s="144" t="s">
        <v>31</v>
      </c>
      <c r="C82" s="135"/>
      <c r="D82" s="132"/>
      <c r="E82" s="132"/>
      <c r="F82" s="138"/>
      <c r="G82" s="132"/>
      <c r="H82" s="138"/>
      <c r="I82" s="136"/>
      <c r="J82" s="150">
        <f>0.13*G79*1207.6/10</f>
        <v>156.56565481286924</v>
      </c>
      <c r="K82" s="133"/>
    </row>
    <row r="83" spans="1:11" ht="18" customHeight="1">
      <c r="A83" s="129"/>
      <c r="B83" s="144"/>
      <c r="C83" s="135"/>
      <c r="D83" s="136"/>
      <c r="E83" s="136"/>
      <c r="F83" s="138"/>
      <c r="G83" s="136"/>
      <c r="H83" s="132"/>
      <c r="I83" s="136"/>
      <c r="J83" s="136"/>
      <c r="K83" s="133"/>
    </row>
    <row r="84" spans="1:11" ht="30.75">
      <c r="A84" s="129">
        <v>11</v>
      </c>
      <c r="B84" s="167" t="s">
        <v>79</v>
      </c>
      <c r="C84" s="135"/>
      <c r="D84" s="132"/>
      <c r="E84" s="132"/>
      <c r="F84" s="132"/>
      <c r="G84" s="132"/>
      <c r="H84" s="132"/>
      <c r="I84" s="132"/>
      <c r="J84" s="132"/>
      <c r="K84" s="133"/>
    </row>
    <row r="85" spans="1:11">
      <c r="A85" s="129"/>
      <c r="B85" s="144" t="str">
        <f>B72</f>
        <v>-At shear wall</v>
      </c>
      <c r="C85" s="135">
        <f>C60</f>
        <v>2</v>
      </c>
      <c r="D85" s="132">
        <f>D72</f>
        <v>4.6997866504114594</v>
      </c>
      <c r="E85" s="132"/>
      <c r="F85" s="132">
        <f>F60+0.3+0.3</f>
        <v>2.2001219140505941</v>
      </c>
      <c r="G85" s="136">
        <f>PRODUCT(C85:F85)</f>
        <v>20.680207201865382</v>
      </c>
      <c r="H85" s="132"/>
      <c r="I85" s="132"/>
      <c r="J85" s="132"/>
      <c r="K85" s="133"/>
    </row>
    <row r="86" spans="1:11">
      <c r="A86" s="129"/>
      <c r="B86" s="144"/>
      <c r="C86" s="135">
        <f>C61</f>
        <v>2</v>
      </c>
      <c r="D86" s="132">
        <f>D73</f>
        <v>3.047851264858275</v>
      </c>
      <c r="E86" s="132"/>
      <c r="F86" s="132">
        <f>F61+0.3+0.3</f>
        <v>2.2001219140505941</v>
      </c>
      <c r="G86" s="136">
        <f t="shared" ref="G86:G87" si="7">PRODUCT(C86:F86)</f>
        <v>13.411288717163025</v>
      </c>
      <c r="H86" s="132"/>
      <c r="I86" s="132"/>
      <c r="J86" s="132"/>
      <c r="K86" s="133"/>
    </row>
    <row r="87" spans="1:11">
      <c r="A87" s="129"/>
      <c r="B87" s="146" t="s">
        <v>148</v>
      </c>
      <c r="C87" s="135">
        <v>1</v>
      </c>
      <c r="D87" s="132">
        <f>D79</f>
        <v>4.0902163974398045</v>
      </c>
      <c r="E87" s="132">
        <f>E79</f>
        <v>2.4382810118866196</v>
      </c>
      <c r="F87" s="132"/>
      <c r="G87" s="136">
        <f t="shared" si="7"/>
        <v>9.9730969763847703</v>
      </c>
      <c r="H87" s="132"/>
      <c r="I87" s="132"/>
      <c r="J87" s="132"/>
      <c r="K87" s="133"/>
    </row>
    <row r="88" spans="1:11">
      <c r="A88" s="129"/>
      <c r="B88" s="144"/>
      <c r="C88" s="135"/>
      <c r="D88" s="132"/>
      <c r="E88" s="132"/>
      <c r="F88" s="132"/>
      <c r="G88" s="132">
        <f>SUM(G85:G87)</f>
        <v>44.06459289541317</v>
      </c>
      <c r="H88" s="132" t="s">
        <v>23</v>
      </c>
      <c r="I88" s="132">
        <v>287.32</v>
      </c>
      <c r="J88" s="132">
        <f>G88*I88</f>
        <v>12660.638830710112</v>
      </c>
      <c r="K88" s="133"/>
    </row>
    <row r="89" spans="1:11">
      <c r="A89" s="129"/>
      <c r="B89" s="144" t="s">
        <v>29</v>
      </c>
      <c r="C89" s="135"/>
      <c r="D89" s="132"/>
      <c r="E89" s="132"/>
      <c r="F89" s="132"/>
      <c r="G89" s="132"/>
      <c r="H89" s="132"/>
      <c r="I89" s="132"/>
      <c r="J89" s="132">
        <f>0.13*G88*693.24/10</f>
        <v>397.11539892461093</v>
      </c>
      <c r="K89" s="133"/>
    </row>
    <row r="90" spans="1:11">
      <c r="A90" s="129"/>
      <c r="B90" s="144"/>
      <c r="C90" s="135"/>
      <c r="D90" s="132"/>
      <c r="E90" s="132"/>
      <c r="F90" s="132"/>
      <c r="G90" s="132"/>
      <c r="H90" s="132"/>
      <c r="I90" s="132"/>
      <c r="J90" s="132"/>
      <c r="K90" s="133"/>
    </row>
    <row r="91" spans="1:11">
      <c r="A91" s="129"/>
      <c r="B91" s="144"/>
      <c r="C91" s="135"/>
      <c r="D91" s="132"/>
      <c r="E91" s="132"/>
      <c r="F91" s="132"/>
      <c r="G91" s="132"/>
      <c r="H91" s="132"/>
      <c r="I91" s="132"/>
      <c r="J91" s="132"/>
      <c r="K91" s="133"/>
    </row>
    <row r="92" spans="1:11" ht="33" customHeight="1">
      <c r="A92" s="129">
        <v>12</v>
      </c>
      <c r="B92" s="148" t="s">
        <v>87</v>
      </c>
      <c r="C92" s="135">
        <v>1</v>
      </c>
      <c r="D92" s="136"/>
      <c r="E92" s="136"/>
      <c r="F92" s="138"/>
      <c r="G92" s="136">
        <f>+C92</f>
        <v>1</v>
      </c>
      <c r="H92" s="132" t="s">
        <v>34</v>
      </c>
      <c r="I92" s="136">
        <v>4659</v>
      </c>
      <c r="J92" s="136">
        <f>G92*I92</f>
        <v>4659</v>
      </c>
      <c r="K92" s="133"/>
    </row>
    <row r="93" spans="1:11">
      <c r="A93" s="129"/>
      <c r="B93" s="137" t="s">
        <v>88</v>
      </c>
      <c r="C93" s="135"/>
      <c r="D93" s="136"/>
      <c r="E93" s="136"/>
      <c r="F93" s="138"/>
      <c r="G93" s="136"/>
      <c r="H93" s="132"/>
      <c r="I93" s="136"/>
      <c r="J93" s="136">
        <f>0.13*J92</f>
        <v>605.67000000000007</v>
      </c>
      <c r="K93" s="133"/>
    </row>
    <row r="94" spans="1:11">
      <c r="A94" s="129"/>
      <c r="B94" s="148"/>
      <c r="C94" s="135"/>
      <c r="D94" s="136"/>
      <c r="E94" s="136"/>
      <c r="F94" s="138"/>
      <c r="G94" s="136"/>
      <c r="H94" s="132"/>
      <c r="I94" s="136"/>
      <c r="J94" s="136"/>
      <c r="K94" s="133"/>
    </row>
    <row r="95" spans="1:11" ht="30.75">
      <c r="A95" s="129">
        <v>13</v>
      </c>
      <c r="B95" s="167" t="s">
        <v>149</v>
      </c>
      <c r="C95" s="135"/>
      <c r="D95" s="132"/>
      <c r="E95" s="132"/>
      <c r="F95" s="132"/>
      <c r="G95" s="132"/>
      <c r="H95" s="132"/>
      <c r="I95" s="132"/>
      <c r="J95" s="132"/>
      <c r="K95" s="133"/>
    </row>
    <row r="96" spans="1:11">
      <c r="A96" s="129"/>
      <c r="B96" s="146" t="s">
        <v>146</v>
      </c>
      <c r="C96" s="135">
        <v>1</v>
      </c>
      <c r="D96" s="132">
        <f>(15.42*2+10*2)/3.281</f>
        <v>15.49527583053947</v>
      </c>
      <c r="E96" s="132"/>
      <c r="F96" s="132">
        <f>5.25/3.281</f>
        <v>1.6001219140505942</v>
      </c>
      <c r="G96" s="136">
        <f t="shared" ref="G96:G97" si="8">PRODUCT(C96:F96)</f>
        <v>24.794330420704728</v>
      </c>
      <c r="H96" s="132"/>
      <c r="I96" s="132"/>
      <c r="J96" s="132"/>
      <c r="K96" s="133"/>
    </row>
    <row r="97" spans="1:11">
      <c r="A97" s="129"/>
      <c r="B97" s="144"/>
      <c r="C97" s="135">
        <v>1</v>
      </c>
      <c r="D97" s="132">
        <f>13.42/3.281</f>
        <v>4.0902163974398045</v>
      </c>
      <c r="E97" s="132">
        <f>8/3.281</f>
        <v>2.4382810118866196</v>
      </c>
      <c r="F97" s="132"/>
      <c r="G97" s="136">
        <f t="shared" si="8"/>
        <v>9.9730969763847703</v>
      </c>
      <c r="H97" s="132"/>
      <c r="I97" s="132"/>
      <c r="J97" s="132"/>
      <c r="K97" s="133"/>
    </row>
    <row r="98" spans="1:11">
      <c r="A98" s="129"/>
      <c r="B98" s="144"/>
      <c r="C98" s="135"/>
      <c r="D98" s="132"/>
      <c r="E98" s="132"/>
      <c r="F98" s="132"/>
      <c r="G98" s="132">
        <f>SUM(G96:G97)</f>
        <v>34.767427397089499</v>
      </c>
      <c r="H98" s="132" t="s">
        <v>23</v>
      </c>
      <c r="I98" s="132">
        <v>452.86</v>
      </c>
      <c r="J98" s="132">
        <f>G98*I98</f>
        <v>15744.777171045951</v>
      </c>
      <c r="K98" s="133"/>
    </row>
    <row r="99" spans="1:11">
      <c r="A99" s="129"/>
      <c r="B99" s="144" t="s">
        <v>29</v>
      </c>
      <c r="C99" s="135"/>
      <c r="D99" s="132"/>
      <c r="E99" s="132"/>
      <c r="F99" s="132"/>
      <c r="G99" s="132"/>
      <c r="H99" s="132"/>
      <c r="I99" s="132"/>
      <c r="J99" s="132">
        <f>0.13*G98*1759.18/10</f>
        <v>795.10811806935476</v>
      </c>
      <c r="K99" s="133"/>
    </row>
    <row r="100" spans="1:11">
      <c r="A100" s="129"/>
      <c r="B100" s="144" t="s">
        <v>160</v>
      </c>
      <c r="C100" s="135"/>
      <c r="D100" s="132"/>
      <c r="E100" s="132"/>
      <c r="F100" s="132"/>
      <c r="G100" s="132"/>
      <c r="H100" s="132"/>
      <c r="I100" s="132"/>
      <c r="J100" s="132">
        <f>0.13*G98*572.02/10</f>
        <v>258.53962965588073</v>
      </c>
      <c r="K100" s="133"/>
    </row>
    <row r="101" spans="1:11">
      <c r="A101" s="129"/>
      <c r="B101" s="144" t="s">
        <v>161</v>
      </c>
      <c r="C101" s="135"/>
      <c r="D101" s="132"/>
      <c r="E101" s="132"/>
      <c r="F101" s="132"/>
      <c r="G101" s="132"/>
      <c r="H101" s="132"/>
      <c r="I101" s="132"/>
      <c r="J101" s="132">
        <f>0.13*G98*515.7/10</f>
        <v>233.08431001282776</v>
      </c>
      <c r="K101" s="133"/>
    </row>
    <row r="102" spans="1:11">
      <c r="A102" s="129"/>
      <c r="B102" s="144"/>
      <c r="C102" s="135"/>
      <c r="D102" s="132"/>
      <c r="E102" s="132"/>
      <c r="F102" s="132"/>
      <c r="G102" s="132"/>
      <c r="H102" s="132"/>
      <c r="I102" s="132"/>
      <c r="J102" s="132"/>
      <c r="K102" s="133"/>
    </row>
    <row r="103" spans="1:11" ht="30.75">
      <c r="A103" s="129">
        <v>14</v>
      </c>
      <c r="B103" s="167" t="s">
        <v>156</v>
      </c>
      <c r="C103" s="135"/>
      <c r="D103" s="132"/>
      <c r="E103" s="132"/>
      <c r="F103" s="132"/>
      <c r="G103" s="132"/>
      <c r="H103" s="132"/>
      <c r="I103" s="132"/>
      <c r="J103" s="132"/>
      <c r="K103" s="133"/>
    </row>
    <row r="104" spans="1:11">
      <c r="A104" s="129"/>
      <c r="B104" s="146" t="s">
        <v>157</v>
      </c>
      <c r="C104" s="135">
        <v>2</v>
      </c>
      <c r="D104" s="132">
        <v>3.415</v>
      </c>
      <c r="E104" s="132"/>
      <c r="F104" s="132">
        <v>1.43</v>
      </c>
      <c r="G104" s="136">
        <f>PRODUCT(C104:F104)</f>
        <v>9.7668999999999997</v>
      </c>
      <c r="H104" s="132"/>
      <c r="I104" s="132"/>
      <c r="J104" s="132"/>
      <c r="K104" s="133"/>
    </row>
    <row r="105" spans="1:11">
      <c r="A105" s="129"/>
      <c r="B105" s="146"/>
      <c r="C105" s="135">
        <v>2</v>
      </c>
      <c r="D105" s="132">
        <f>0.48*2</f>
        <v>0.96</v>
      </c>
      <c r="E105" s="132"/>
      <c r="F105" s="132">
        <v>2.2000000000000002</v>
      </c>
      <c r="G105" s="136">
        <f t="shared" ref="G105:G135" si="9">PRODUCT(C105:F105)</f>
        <v>4.2240000000000002</v>
      </c>
      <c r="H105" s="132"/>
      <c r="I105" s="132"/>
      <c r="J105" s="132"/>
      <c r="K105" s="133"/>
    </row>
    <row r="106" spans="1:11">
      <c r="A106" s="129"/>
      <c r="B106" s="146"/>
      <c r="C106" s="135">
        <v>2</v>
      </c>
      <c r="D106" s="132">
        <v>4</v>
      </c>
      <c r="E106" s="132"/>
      <c r="F106" s="132">
        <v>1.39</v>
      </c>
      <c r="G106" s="136">
        <f t="shared" si="9"/>
        <v>11.12</v>
      </c>
      <c r="H106" s="132"/>
      <c r="I106" s="132"/>
      <c r="J106" s="132"/>
      <c r="K106" s="133"/>
    </row>
    <row r="107" spans="1:11">
      <c r="A107" s="129"/>
      <c r="B107" s="146"/>
      <c r="C107" s="135">
        <v>2</v>
      </c>
      <c r="D107" s="132">
        <f>0.48*2</f>
        <v>0.96</v>
      </c>
      <c r="E107" s="132"/>
      <c r="F107" s="132">
        <v>2.2000000000000002</v>
      </c>
      <c r="G107" s="136">
        <f t="shared" si="9"/>
        <v>4.2240000000000002</v>
      </c>
      <c r="H107" s="132"/>
      <c r="I107" s="132"/>
      <c r="J107" s="132"/>
      <c r="K107" s="133"/>
    </row>
    <row r="108" spans="1:11">
      <c r="A108" s="129"/>
      <c r="B108" s="146"/>
      <c r="C108" s="135">
        <v>2</v>
      </c>
      <c r="D108" s="132">
        <v>3.91</v>
      </c>
      <c r="E108" s="132"/>
      <c r="F108" s="132">
        <v>1.3</v>
      </c>
      <c r="G108" s="136">
        <f t="shared" si="9"/>
        <v>10.166</v>
      </c>
      <c r="H108" s="132"/>
      <c r="I108" s="132"/>
      <c r="J108" s="132"/>
      <c r="K108" s="133"/>
    </row>
    <row r="109" spans="1:11">
      <c r="A109" s="129"/>
      <c r="B109" s="146"/>
      <c r="C109" s="135">
        <v>2</v>
      </c>
      <c r="D109" s="132">
        <f>0.48*2</f>
        <v>0.96</v>
      </c>
      <c r="E109" s="132"/>
      <c r="F109" s="132">
        <v>2.31</v>
      </c>
      <c r="G109" s="136">
        <f t="shared" si="9"/>
        <v>4.4352</v>
      </c>
      <c r="H109" s="132"/>
      <c r="I109" s="132"/>
      <c r="J109" s="132"/>
      <c r="K109" s="133"/>
    </row>
    <row r="110" spans="1:11">
      <c r="A110" s="129"/>
      <c r="B110" s="146"/>
      <c r="C110" s="135">
        <v>2</v>
      </c>
      <c r="D110" s="132">
        <v>3.96</v>
      </c>
      <c r="E110" s="132"/>
      <c r="F110" s="132">
        <v>1.37</v>
      </c>
      <c r="G110" s="136">
        <f t="shared" si="9"/>
        <v>10.8504</v>
      </c>
      <c r="H110" s="132"/>
      <c r="I110" s="132"/>
      <c r="J110" s="132"/>
      <c r="K110" s="133"/>
    </row>
    <row r="111" spans="1:11">
      <c r="A111" s="129"/>
      <c r="B111" s="146"/>
      <c r="C111" s="135">
        <v>2</v>
      </c>
      <c r="D111" s="132">
        <f>0.48*2</f>
        <v>0.96</v>
      </c>
      <c r="E111" s="132"/>
      <c r="F111" s="132">
        <v>2.29</v>
      </c>
      <c r="G111" s="136">
        <f t="shared" si="9"/>
        <v>4.3967999999999998</v>
      </c>
      <c r="H111" s="132"/>
      <c r="I111" s="132"/>
      <c r="J111" s="132"/>
      <c r="K111" s="133"/>
    </row>
    <row r="112" spans="1:11">
      <c r="A112" s="129"/>
      <c r="B112" s="146"/>
      <c r="C112" s="135">
        <v>2</v>
      </c>
      <c r="D112" s="132">
        <v>3.875</v>
      </c>
      <c r="E112" s="132"/>
      <c r="F112" s="132">
        <v>1.2649999999999999</v>
      </c>
      <c r="G112" s="136">
        <f t="shared" si="9"/>
        <v>9.8037499999999991</v>
      </c>
      <c r="H112" s="132"/>
      <c r="I112" s="132"/>
      <c r="J112" s="132"/>
      <c r="K112" s="133"/>
    </row>
    <row r="113" spans="1:11">
      <c r="A113" s="129"/>
      <c r="B113" s="146"/>
      <c r="C113" s="135">
        <v>2</v>
      </c>
      <c r="D113" s="132">
        <f>0.48*2</f>
        <v>0.96</v>
      </c>
      <c r="E113" s="132"/>
      <c r="F113" s="132">
        <v>2.19</v>
      </c>
      <c r="G113" s="136">
        <f t="shared" si="9"/>
        <v>4.2047999999999996</v>
      </c>
      <c r="H113" s="132"/>
      <c r="I113" s="132"/>
      <c r="J113" s="132"/>
      <c r="K113" s="133"/>
    </row>
    <row r="114" spans="1:11">
      <c r="A114" s="129"/>
      <c r="B114" s="146"/>
      <c r="C114" s="135">
        <v>2</v>
      </c>
      <c r="D114" s="132">
        <v>3.69</v>
      </c>
      <c r="E114" s="132"/>
      <c r="F114" s="132">
        <v>1.28</v>
      </c>
      <c r="G114" s="136">
        <f t="shared" si="9"/>
        <v>9.4464000000000006</v>
      </c>
      <c r="H114" s="132"/>
      <c r="I114" s="132"/>
      <c r="J114" s="132"/>
      <c r="K114" s="133"/>
    </row>
    <row r="115" spans="1:11">
      <c r="A115" s="129"/>
      <c r="B115" s="146"/>
      <c r="C115" s="135">
        <v>2</v>
      </c>
      <c r="D115" s="132">
        <f>0.48*2</f>
        <v>0.96</v>
      </c>
      <c r="E115" s="132"/>
      <c r="F115" s="132">
        <v>2.19</v>
      </c>
      <c r="G115" s="136">
        <f t="shared" si="9"/>
        <v>4.2047999999999996</v>
      </c>
      <c r="H115" s="132"/>
      <c r="I115" s="132"/>
      <c r="J115" s="132"/>
      <c r="K115" s="133"/>
    </row>
    <row r="116" spans="1:11">
      <c r="A116" s="129"/>
      <c r="B116" s="146"/>
      <c r="C116" s="135">
        <v>2</v>
      </c>
      <c r="D116" s="132">
        <f>1.73+2.44</f>
        <v>4.17</v>
      </c>
      <c r="E116" s="132"/>
      <c r="F116" s="132">
        <v>1.1200000000000001</v>
      </c>
      <c r="G116" s="136">
        <f t="shared" si="9"/>
        <v>9.3408000000000015</v>
      </c>
      <c r="H116" s="132"/>
      <c r="I116" s="132"/>
      <c r="J116" s="132"/>
      <c r="K116" s="133"/>
    </row>
    <row r="117" spans="1:11">
      <c r="A117" s="129"/>
      <c r="B117" s="146"/>
      <c r="C117" s="135">
        <v>2</v>
      </c>
      <c r="D117" s="132">
        <f>0.34*2</f>
        <v>0.68</v>
      </c>
      <c r="E117" s="132"/>
      <c r="F117" s="132">
        <v>2.2599999999999998</v>
      </c>
      <c r="G117" s="136">
        <f t="shared" si="9"/>
        <v>3.0735999999999999</v>
      </c>
      <c r="H117" s="132"/>
      <c r="I117" s="132"/>
      <c r="J117" s="132"/>
      <c r="K117" s="133"/>
    </row>
    <row r="118" spans="1:11">
      <c r="A118" s="129"/>
      <c r="B118" s="146"/>
      <c r="C118" s="135">
        <v>2</v>
      </c>
      <c r="D118" s="132">
        <f>0.34*2</f>
        <v>0.68</v>
      </c>
      <c r="E118" s="132"/>
      <c r="F118" s="132">
        <v>2.15</v>
      </c>
      <c r="G118" s="136">
        <f t="shared" si="9"/>
        <v>2.9239999999999999</v>
      </c>
      <c r="H118" s="132"/>
      <c r="I118" s="132"/>
      <c r="J118" s="132"/>
      <c r="K118" s="133"/>
    </row>
    <row r="119" spans="1:11">
      <c r="A119" s="129"/>
      <c r="B119" s="146"/>
      <c r="C119" s="135">
        <v>2</v>
      </c>
      <c r="D119" s="132">
        <v>2.5</v>
      </c>
      <c r="E119" s="132"/>
      <c r="F119" s="132">
        <v>1.1599999999999999</v>
      </c>
      <c r="G119" s="136">
        <f t="shared" si="9"/>
        <v>5.8</v>
      </c>
      <c r="H119" s="132"/>
      <c r="I119" s="132"/>
      <c r="J119" s="132"/>
      <c r="K119" s="133"/>
    </row>
    <row r="120" spans="1:11">
      <c r="A120" s="129"/>
      <c r="B120" s="146"/>
      <c r="C120" s="135">
        <v>2</v>
      </c>
      <c r="D120" s="132">
        <f>0.48*2</f>
        <v>0.96</v>
      </c>
      <c r="E120" s="132"/>
      <c r="F120" s="132">
        <v>2.1800000000000002</v>
      </c>
      <c r="G120" s="136">
        <f t="shared" si="9"/>
        <v>4.1856</v>
      </c>
      <c r="H120" s="132"/>
      <c r="I120" s="132"/>
      <c r="J120" s="132"/>
      <c r="K120" s="133"/>
    </row>
    <row r="121" spans="1:11">
      <c r="A121" s="129"/>
      <c r="B121" s="146"/>
      <c r="C121" s="135">
        <v>2</v>
      </c>
      <c r="D121" s="132">
        <v>3.94</v>
      </c>
      <c r="E121" s="132"/>
      <c r="F121" s="132">
        <v>1.2</v>
      </c>
      <c r="G121" s="136">
        <f t="shared" si="9"/>
        <v>9.4559999999999995</v>
      </c>
      <c r="H121" s="132"/>
      <c r="I121" s="132"/>
      <c r="J121" s="132"/>
      <c r="K121" s="133"/>
    </row>
    <row r="122" spans="1:11">
      <c r="A122" s="129"/>
      <c r="B122" s="146"/>
      <c r="C122" s="135">
        <v>2</v>
      </c>
      <c r="D122" s="132">
        <f>0.48*2</f>
        <v>0.96</v>
      </c>
      <c r="E122" s="132"/>
      <c r="F122" s="132">
        <v>2.15</v>
      </c>
      <c r="G122" s="136">
        <f t="shared" si="9"/>
        <v>4.1280000000000001</v>
      </c>
      <c r="H122" s="132"/>
      <c r="I122" s="132"/>
      <c r="J122" s="132"/>
      <c r="K122" s="133"/>
    </row>
    <row r="123" spans="1:11">
      <c r="A123" s="129"/>
      <c r="B123" s="146"/>
      <c r="C123" s="135">
        <v>2</v>
      </c>
      <c r="D123" s="132">
        <v>4</v>
      </c>
      <c r="E123" s="132"/>
      <c r="F123" s="132">
        <v>1.1499999999999999</v>
      </c>
      <c r="G123" s="136">
        <f t="shared" si="9"/>
        <v>9.1999999999999993</v>
      </c>
      <c r="H123" s="132"/>
      <c r="I123" s="132"/>
      <c r="J123" s="132"/>
      <c r="K123" s="133"/>
    </row>
    <row r="124" spans="1:11">
      <c r="A124" s="129"/>
      <c r="B124" s="146"/>
      <c r="C124" s="135">
        <v>2</v>
      </c>
      <c r="D124" s="132">
        <f>0.48*2</f>
        <v>0.96</v>
      </c>
      <c r="E124" s="132"/>
      <c r="F124" s="132">
        <v>2.08</v>
      </c>
      <c r="G124" s="136">
        <f t="shared" si="9"/>
        <v>3.9935999999999998</v>
      </c>
      <c r="H124" s="132"/>
      <c r="I124" s="132"/>
      <c r="J124" s="132"/>
      <c r="K124" s="133"/>
    </row>
    <row r="125" spans="1:11">
      <c r="A125" s="129"/>
      <c r="B125" s="146"/>
      <c r="C125" s="135">
        <v>2</v>
      </c>
      <c r="D125" s="132">
        <v>3.97</v>
      </c>
      <c r="E125" s="132"/>
      <c r="F125" s="132">
        <v>1.25</v>
      </c>
      <c r="G125" s="136">
        <f t="shared" si="9"/>
        <v>9.9250000000000007</v>
      </c>
      <c r="H125" s="132"/>
      <c r="I125" s="132"/>
      <c r="J125" s="132"/>
      <c r="K125" s="133"/>
    </row>
    <row r="126" spans="1:11">
      <c r="A126" s="129"/>
      <c r="B126" s="146"/>
      <c r="C126" s="135">
        <v>2</v>
      </c>
      <c r="D126" s="132">
        <f>0.48*2</f>
        <v>0.96</v>
      </c>
      <c r="E126" s="132"/>
      <c r="F126" s="132">
        <v>2.25</v>
      </c>
      <c r="G126" s="136">
        <f t="shared" si="9"/>
        <v>4.32</v>
      </c>
      <c r="H126" s="132"/>
      <c r="I126" s="132"/>
      <c r="J126" s="132"/>
      <c r="K126" s="133"/>
    </row>
    <row r="127" spans="1:11">
      <c r="A127" s="129"/>
      <c r="B127" s="146"/>
      <c r="C127" s="135">
        <v>2</v>
      </c>
      <c r="D127" s="132">
        <v>4</v>
      </c>
      <c r="E127" s="132"/>
      <c r="F127" s="132">
        <v>1.23</v>
      </c>
      <c r="G127" s="136">
        <f t="shared" si="9"/>
        <v>9.84</v>
      </c>
      <c r="H127" s="132"/>
      <c r="I127" s="132"/>
      <c r="J127" s="132"/>
      <c r="K127" s="133"/>
    </row>
    <row r="128" spans="1:11">
      <c r="A128" s="129"/>
      <c r="B128" s="146"/>
      <c r="C128" s="135">
        <v>2</v>
      </c>
      <c r="D128" s="132">
        <f>0.48*2</f>
        <v>0.96</v>
      </c>
      <c r="E128" s="132"/>
      <c r="F128" s="132">
        <v>2.25</v>
      </c>
      <c r="G128" s="136">
        <f t="shared" si="9"/>
        <v>4.32</v>
      </c>
      <c r="H128" s="132"/>
      <c r="I128" s="132"/>
      <c r="J128" s="132"/>
      <c r="K128" s="133"/>
    </row>
    <row r="129" spans="1:11">
      <c r="A129" s="129"/>
      <c r="B129" s="146"/>
      <c r="C129" s="135">
        <v>2</v>
      </c>
      <c r="D129" s="132">
        <v>4.0599999999999996</v>
      </c>
      <c r="E129" s="132"/>
      <c r="F129" s="132">
        <v>1.32</v>
      </c>
      <c r="G129" s="136">
        <f t="shared" si="9"/>
        <v>10.718399999999999</v>
      </c>
      <c r="H129" s="132"/>
      <c r="I129" s="132"/>
      <c r="J129" s="132"/>
      <c r="K129" s="133"/>
    </row>
    <row r="130" spans="1:11">
      <c r="A130" s="129"/>
      <c r="B130" s="146"/>
      <c r="C130" s="135">
        <v>2</v>
      </c>
      <c r="D130" s="132">
        <f>0.48*2</f>
        <v>0.96</v>
      </c>
      <c r="E130" s="132"/>
      <c r="F130" s="132">
        <v>2.1800000000000002</v>
      </c>
      <c r="G130" s="136">
        <f t="shared" si="9"/>
        <v>4.1856</v>
      </c>
      <c r="H130" s="132"/>
      <c r="I130" s="132"/>
      <c r="J130" s="132"/>
      <c r="K130" s="133"/>
    </row>
    <row r="131" spans="1:11">
      <c r="A131" s="129"/>
      <c r="B131" s="146"/>
      <c r="C131" s="135">
        <v>2</v>
      </c>
      <c r="D131" s="132">
        <f>3.92</f>
        <v>3.92</v>
      </c>
      <c r="E131" s="132"/>
      <c r="F131" s="132">
        <v>1.32</v>
      </c>
      <c r="G131" s="136">
        <f t="shared" si="9"/>
        <v>10.348800000000001</v>
      </c>
      <c r="H131" s="132"/>
      <c r="I131" s="132"/>
      <c r="J131" s="132"/>
      <c r="K131" s="133"/>
    </row>
    <row r="132" spans="1:11">
      <c r="A132" s="129"/>
      <c r="B132" s="146"/>
      <c r="C132" s="135">
        <v>2</v>
      </c>
      <c r="D132" s="132">
        <f>0.48*2</f>
        <v>0.96</v>
      </c>
      <c r="E132" s="132"/>
      <c r="F132" s="132">
        <v>2.2799999999999998</v>
      </c>
      <c r="G132" s="136">
        <f t="shared" si="9"/>
        <v>4.3775999999999993</v>
      </c>
      <c r="H132" s="132"/>
      <c r="I132" s="132"/>
      <c r="J132" s="132"/>
      <c r="K132" s="133"/>
    </row>
    <row r="133" spans="1:11">
      <c r="A133" s="129"/>
      <c r="B133" s="146"/>
      <c r="C133" s="135">
        <v>2</v>
      </c>
      <c r="D133" s="132">
        <v>3.62</v>
      </c>
      <c r="E133" s="132"/>
      <c r="F133" s="132">
        <v>1.32</v>
      </c>
      <c r="G133" s="136">
        <f t="shared" si="9"/>
        <v>9.5568000000000008</v>
      </c>
      <c r="H133" s="132"/>
      <c r="I133" s="132"/>
      <c r="J133" s="132"/>
      <c r="K133" s="133"/>
    </row>
    <row r="134" spans="1:11">
      <c r="A134" s="129"/>
      <c r="B134" s="146"/>
      <c r="C134" s="135">
        <v>2</v>
      </c>
      <c r="D134" s="132">
        <f>0.48*2</f>
        <v>0.96</v>
      </c>
      <c r="E134" s="132"/>
      <c r="F134" s="132">
        <v>2.2000000000000002</v>
      </c>
      <c r="G134" s="136">
        <f t="shared" si="9"/>
        <v>4.2240000000000002</v>
      </c>
      <c r="H134" s="132"/>
      <c r="I134" s="132"/>
      <c r="J134" s="132"/>
      <c r="K134" s="133"/>
    </row>
    <row r="135" spans="1:11">
      <c r="A135" s="129"/>
      <c r="B135" s="146"/>
      <c r="C135" s="135">
        <f>-2*16</f>
        <v>-32</v>
      </c>
      <c r="D135" s="132">
        <v>0.23</v>
      </c>
      <c r="E135" s="132"/>
      <c r="F135" s="132">
        <v>1.35</v>
      </c>
      <c r="G135" s="136">
        <f t="shared" si="9"/>
        <v>-9.9360000000000017</v>
      </c>
      <c r="H135" s="132"/>
      <c r="I135" s="132"/>
      <c r="J135" s="132"/>
      <c r="K135" s="133"/>
    </row>
    <row r="136" spans="1:11">
      <c r="A136" s="129"/>
      <c r="B136" s="144"/>
      <c r="C136" s="135"/>
      <c r="D136" s="132"/>
      <c r="E136" s="132"/>
      <c r="F136" s="132"/>
      <c r="G136" s="132">
        <f>SUM(G104:G135)</f>
        <v>200.82485</v>
      </c>
      <c r="H136" s="132" t="s">
        <v>23</v>
      </c>
      <c r="I136" s="132">
        <v>253.8</v>
      </c>
      <c r="J136" s="132">
        <f>G136*I136</f>
        <v>50969.34693</v>
      </c>
      <c r="K136" s="133"/>
    </row>
    <row r="137" spans="1:11">
      <c r="A137" s="129"/>
      <c r="B137" s="144" t="s">
        <v>158</v>
      </c>
      <c r="C137" s="135"/>
      <c r="D137" s="132"/>
      <c r="E137" s="132"/>
      <c r="F137" s="132"/>
      <c r="G137" s="132"/>
      <c r="H137" s="132"/>
      <c r="I137" s="132"/>
      <c r="J137" s="132">
        <f>0.13*G136*2304/100</f>
        <v>601.51059071999998</v>
      </c>
      <c r="K137" s="133"/>
    </row>
    <row r="138" spans="1:11">
      <c r="A138" s="129"/>
      <c r="B138" s="144" t="s">
        <v>159</v>
      </c>
      <c r="C138" s="135"/>
      <c r="D138" s="132"/>
      <c r="E138" s="132"/>
      <c r="F138" s="132"/>
      <c r="G138" s="132"/>
      <c r="H138" s="132"/>
      <c r="I138" s="132"/>
      <c r="J138" s="132">
        <f>0.13*G136*10432/100</f>
        <v>2723.5062857600001</v>
      </c>
      <c r="K138" s="133"/>
    </row>
    <row r="139" spans="1:11">
      <c r="A139" s="129"/>
      <c r="B139" s="144"/>
      <c r="C139" s="135"/>
      <c r="D139" s="132"/>
      <c r="E139" s="132"/>
      <c r="F139" s="132"/>
      <c r="G139" s="132"/>
      <c r="H139" s="132"/>
      <c r="I139" s="132"/>
      <c r="J139" s="132"/>
      <c r="K139" s="133"/>
    </row>
    <row r="140" spans="1:11" ht="31.5">
      <c r="A140" s="129">
        <v>15</v>
      </c>
      <c r="B140" s="172" t="s">
        <v>164</v>
      </c>
      <c r="C140" s="135"/>
      <c r="D140" s="132"/>
      <c r="E140" s="132"/>
      <c r="F140" s="132"/>
      <c r="G140" s="132"/>
      <c r="H140" s="132"/>
      <c r="I140" s="132"/>
      <c r="J140" s="132"/>
      <c r="K140" s="133"/>
    </row>
    <row r="141" spans="1:11">
      <c r="A141" s="129"/>
      <c r="B141" s="146" t="s">
        <v>165</v>
      </c>
      <c r="C141" s="135">
        <v>1</v>
      </c>
      <c r="D141" s="132">
        <f>0.9</f>
        <v>0.9</v>
      </c>
      <c r="E141" s="132"/>
      <c r="F141" s="132"/>
      <c r="G141" s="136">
        <f t="shared" ref="G141:G143" si="10">PRODUCT(C141:F141)</f>
        <v>0.9</v>
      </c>
      <c r="H141" s="132"/>
      <c r="I141" s="132"/>
      <c r="J141" s="132"/>
      <c r="K141" s="133"/>
    </row>
    <row r="142" spans="1:11">
      <c r="A142" s="129"/>
      <c r="B142" s="146" t="s">
        <v>166</v>
      </c>
      <c r="C142" s="135">
        <v>1</v>
      </c>
      <c r="D142" s="132">
        <f>1.5</f>
        <v>1.5</v>
      </c>
      <c r="E142" s="132"/>
      <c r="F142" s="132"/>
      <c r="G142" s="136">
        <f t="shared" si="10"/>
        <v>1.5</v>
      </c>
      <c r="H142" s="132"/>
      <c r="I142" s="132"/>
      <c r="J142" s="132"/>
      <c r="K142" s="133"/>
    </row>
    <row r="143" spans="1:11">
      <c r="A143" s="129"/>
      <c r="B143" s="146" t="s">
        <v>167</v>
      </c>
      <c r="C143" s="135">
        <v>2</v>
      </c>
      <c r="D143" s="132">
        <v>0.9</v>
      </c>
      <c r="E143" s="132"/>
      <c r="F143" s="132"/>
      <c r="G143" s="136">
        <f t="shared" si="10"/>
        <v>1.8</v>
      </c>
      <c r="H143" s="132"/>
      <c r="I143" s="132"/>
      <c r="J143" s="132"/>
      <c r="K143" s="133"/>
    </row>
    <row r="144" spans="1:11">
      <c r="A144" s="129"/>
      <c r="B144" s="144"/>
      <c r="C144" s="135"/>
      <c r="D144" s="132"/>
      <c r="E144" s="132"/>
      <c r="F144" s="132"/>
      <c r="G144" s="132">
        <f>SUM(G141:G143)</f>
        <v>4.2</v>
      </c>
      <c r="H144" s="132" t="s">
        <v>168</v>
      </c>
      <c r="I144" s="132">
        <v>248</v>
      </c>
      <c r="J144" s="132">
        <f>G144*I144</f>
        <v>1041.6000000000001</v>
      </c>
      <c r="K144" s="133"/>
    </row>
    <row r="145" spans="1:11">
      <c r="A145" s="129"/>
      <c r="B145" s="146" t="s">
        <v>169</v>
      </c>
      <c r="C145" s="135"/>
      <c r="D145" s="132"/>
      <c r="E145" s="132"/>
      <c r="F145" s="132"/>
      <c r="G145" s="132"/>
      <c r="H145" s="132"/>
      <c r="I145" s="132"/>
      <c r="J145" s="132">
        <f>0.13*J144</f>
        <v>135.40800000000002</v>
      </c>
      <c r="K145" s="133"/>
    </row>
    <row r="146" spans="1:11">
      <c r="A146" s="129"/>
      <c r="B146" s="144"/>
      <c r="C146" s="135"/>
      <c r="D146" s="132"/>
      <c r="E146" s="132"/>
      <c r="F146" s="132"/>
      <c r="G146" s="132"/>
      <c r="H146" s="132"/>
      <c r="I146" s="132"/>
      <c r="J146" s="132"/>
      <c r="K146" s="133"/>
    </row>
    <row r="147" spans="1:11" ht="31.5">
      <c r="A147" s="129">
        <v>16</v>
      </c>
      <c r="B147" s="172" t="s">
        <v>170</v>
      </c>
      <c r="C147" s="135"/>
      <c r="D147" s="132"/>
      <c r="E147" s="132"/>
      <c r="F147" s="132"/>
      <c r="G147" s="132"/>
      <c r="H147" s="132"/>
      <c r="I147" s="132"/>
      <c r="J147" s="132"/>
      <c r="K147" s="133"/>
    </row>
    <row r="148" spans="1:11">
      <c r="A148" s="129"/>
      <c r="B148" s="146" t="s">
        <v>171</v>
      </c>
      <c r="C148" s="135">
        <v>1</v>
      </c>
      <c r="D148" s="132">
        <v>9</v>
      </c>
      <c r="E148" s="132"/>
      <c r="F148" s="132"/>
      <c r="G148" s="136">
        <f t="shared" ref="G148" si="11">PRODUCT(C148:F148)</f>
        <v>9</v>
      </c>
      <c r="H148" s="132"/>
      <c r="I148" s="132"/>
      <c r="J148" s="132"/>
      <c r="K148" s="133"/>
    </row>
    <row r="149" spans="1:11">
      <c r="A149" s="129"/>
      <c r="B149" s="144"/>
      <c r="C149" s="135"/>
      <c r="D149" s="132"/>
      <c r="E149" s="132"/>
      <c r="F149" s="132"/>
      <c r="G149" s="132">
        <f>SUM(G148:G148)</f>
        <v>9</v>
      </c>
      <c r="H149" s="132" t="s">
        <v>168</v>
      </c>
      <c r="I149" s="132">
        <v>75</v>
      </c>
      <c r="J149" s="132">
        <f>G149*I149</f>
        <v>675</v>
      </c>
      <c r="K149" s="133"/>
    </row>
    <row r="150" spans="1:11">
      <c r="A150" s="129"/>
      <c r="B150" s="146" t="s">
        <v>169</v>
      </c>
      <c r="C150" s="135"/>
      <c r="D150" s="132"/>
      <c r="E150" s="132"/>
      <c r="F150" s="132"/>
      <c r="G150" s="132"/>
      <c r="H150" s="132"/>
      <c r="I150" s="132"/>
      <c r="J150" s="132">
        <f>0.13*J149</f>
        <v>87.75</v>
      </c>
      <c r="K150" s="133"/>
    </row>
    <row r="151" spans="1:11">
      <c r="A151" s="129"/>
      <c r="B151" s="144"/>
      <c r="C151" s="135"/>
      <c r="D151" s="132"/>
      <c r="E151" s="132"/>
      <c r="F151" s="132"/>
      <c r="G151" s="132"/>
      <c r="H151" s="132"/>
      <c r="I151" s="132"/>
      <c r="J151" s="132"/>
      <c r="K151" s="133"/>
    </row>
    <row r="152" spans="1:11" ht="47.25">
      <c r="A152" s="129">
        <v>17</v>
      </c>
      <c r="B152" s="172" t="s">
        <v>173</v>
      </c>
      <c r="C152" s="135"/>
      <c r="D152" s="132"/>
      <c r="E152" s="132"/>
      <c r="F152" s="132"/>
      <c r="G152" s="132"/>
      <c r="H152" s="132"/>
      <c r="I152" s="132"/>
      <c r="J152" s="132"/>
      <c r="K152" s="133"/>
    </row>
    <row r="153" spans="1:11">
      <c r="A153" s="129"/>
      <c r="B153" s="146" t="s">
        <v>171</v>
      </c>
      <c r="C153" s="135">
        <v>1</v>
      </c>
      <c r="D153" s="132"/>
      <c r="E153" s="132"/>
      <c r="F153" s="132"/>
      <c r="G153" s="136">
        <f t="shared" ref="G153" si="12">PRODUCT(C153:F153)</f>
        <v>1</v>
      </c>
      <c r="H153" s="132"/>
      <c r="I153" s="132"/>
      <c r="J153" s="132"/>
      <c r="K153" s="133"/>
    </row>
    <row r="154" spans="1:11">
      <c r="A154" s="129"/>
      <c r="B154" s="144"/>
      <c r="C154" s="135"/>
      <c r="D154" s="132"/>
      <c r="E154" s="132"/>
      <c r="F154" s="132"/>
      <c r="G154" s="132">
        <f>SUM(G153:G153)</f>
        <v>1</v>
      </c>
      <c r="H154" s="132" t="s">
        <v>172</v>
      </c>
      <c r="I154" s="132">
        <v>1070</v>
      </c>
      <c r="J154" s="132">
        <f>G154*I154</f>
        <v>1070</v>
      </c>
      <c r="K154" s="133"/>
    </row>
    <row r="155" spans="1:11">
      <c r="A155" s="129"/>
      <c r="B155" s="146" t="s">
        <v>169</v>
      </c>
      <c r="C155" s="135"/>
      <c r="D155" s="132"/>
      <c r="E155" s="132"/>
      <c r="F155" s="132"/>
      <c r="G155" s="132"/>
      <c r="H155" s="132"/>
      <c r="I155" s="132"/>
      <c r="J155" s="132">
        <f>0.13*J154</f>
        <v>139.1</v>
      </c>
      <c r="K155" s="133"/>
    </row>
    <row r="156" spans="1:11">
      <c r="A156" s="129"/>
      <c r="B156" s="144"/>
      <c r="C156" s="135"/>
      <c r="D156" s="132"/>
      <c r="E156" s="132"/>
      <c r="F156" s="132"/>
      <c r="G156" s="132"/>
      <c r="H156" s="132"/>
      <c r="I156" s="132"/>
      <c r="J156" s="132"/>
      <c r="K156" s="133"/>
    </row>
    <row r="157" spans="1:11">
      <c r="A157" s="129">
        <v>18</v>
      </c>
      <c r="B157" s="172" t="s">
        <v>174</v>
      </c>
      <c r="C157" s="135"/>
      <c r="D157" s="132"/>
      <c r="E157" s="132"/>
      <c r="F157" s="132"/>
      <c r="G157" s="132"/>
      <c r="H157" s="132"/>
      <c r="I157" s="132"/>
      <c r="J157" s="132"/>
      <c r="K157" s="133"/>
    </row>
    <row r="158" spans="1:11">
      <c r="A158" s="129"/>
      <c r="B158" s="146" t="s">
        <v>175</v>
      </c>
      <c r="C158" s="135">
        <v>2</v>
      </c>
      <c r="D158" s="132"/>
      <c r="E158" s="132"/>
      <c r="F158" s="132"/>
      <c r="G158" s="136">
        <f t="shared" ref="G158" si="13">PRODUCT(C158:F158)</f>
        <v>2</v>
      </c>
      <c r="H158" s="132"/>
      <c r="I158" s="132"/>
      <c r="J158" s="132"/>
      <c r="K158" s="133"/>
    </row>
    <row r="159" spans="1:11">
      <c r="A159" s="129"/>
      <c r="B159" s="144"/>
      <c r="C159" s="135"/>
      <c r="D159" s="132"/>
      <c r="E159" s="132"/>
      <c r="F159" s="132"/>
      <c r="G159" s="132">
        <f>SUM(G158:G158)</f>
        <v>2</v>
      </c>
      <c r="H159" s="132" t="s">
        <v>172</v>
      </c>
      <c r="I159" s="132">
        <v>750</v>
      </c>
      <c r="J159" s="132">
        <f>G159*I159</f>
        <v>1500</v>
      </c>
      <c r="K159" s="133"/>
    </row>
    <row r="160" spans="1:11">
      <c r="A160" s="129"/>
      <c r="B160" s="146" t="s">
        <v>169</v>
      </c>
      <c r="C160" s="135"/>
      <c r="D160" s="132"/>
      <c r="E160" s="132"/>
      <c r="F160" s="132"/>
      <c r="G160" s="132"/>
      <c r="H160" s="132"/>
      <c r="I160" s="132"/>
      <c r="J160" s="132">
        <f>0.13*J159</f>
        <v>195</v>
      </c>
      <c r="K160" s="133"/>
    </row>
    <row r="161" spans="1:11">
      <c r="A161" s="129"/>
      <c r="B161" s="144"/>
      <c r="C161" s="135"/>
      <c r="D161" s="132"/>
      <c r="E161" s="132"/>
      <c r="F161" s="132"/>
      <c r="G161" s="132"/>
      <c r="H161" s="132"/>
      <c r="I161" s="132"/>
      <c r="J161" s="132"/>
      <c r="K161" s="133"/>
    </row>
    <row r="162" spans="1:11" ht="33" customHeight="1">
      <c r="A162" s="129">
        <v>19</v>
      </c>
      <c r="B162" s="145" t="s">
        <v>150</v>
      </c>
      <c r="C162" s="135">
        <v>1</v>
      </c>
      <c r="D162" s="132"/>
      <c r="E162" s="132"/>
      <c r="F162" s="132"/>
      <c r="G162" s="132">
        <v>1</v>
      </c>
      <c r="H162" s="132" t="s">
        <v>151</v>
      </c>
      <c r="I162" s="136">
        <v>15000</v>
      </c>
      <c r="J162" s="136">
        <f>G162*I162</f>
        <v>15000</v>
      </c>
      <c r="K162" s="133"/>
    </row>
    <row r="163" spans="1:11">
      <c r="A163" s="129"/>
      <c r="B163" s="151"/>
      <c r="C163" s="135"/>
      <c r="D163" s="132"/>
      <c r="E163" s="132"/>
      <c r="F163" s="136"/>
      <c r="G163" s="132"/>
      <c r="H163" s="132"/>
      <c r="I163" s="136"/>
      <c r="J163" s="136"/>
      <c r="K163" s="133"/>
    </row>
    <row r="164" spans="1:11" ht="33" customHeight="1">
      <c r="A164" s="129">
        <v>20</v>
      </c>
      <c r="B164" s="145" t="s">
        <v>89</v>
      </c>
      <c r="C164" s="135">
        <v>1</v>
      </c>
      <c r="D164" s="132"/>
      <c r="E164" s="132"/>
      <c r="F164" s="132"/>
      <c r="G164" s="132">
        <v>1</v>
      </c>
      <c r="H164" s="132" t="s">
        <v>34</v>
      </c>
      <c r="I164" s="136">
        <v>500</v>
      </c>
      <c r="J164" s="136">
        <f>G164*I164</f>
        <v>500</v>
      </c>
      <c r="K164" s="133"/>
    </row>
    <row r="165" spans="1:11">
      <c r="A165" s="152"/>
      <c r="B165" s="153"/>
      <c r="C165" s="132"/>
      <c r="D165" s="136"/>
      <c r="E165" s="136"/>
      <c r="F165" s="136"/>
      <c r="G165" s="136"/>
      <c r="H165" s="132"/>
      <c r="I165" s="136"/>
      <c r="J165" s="154">
        <f>SUM(J12:J164)</f>
        <v>530004.91742540663</v>
      </c>
      <c r="K165" s="155"/>
    </row>
    <row r="166" spans="1:11">
      <c r="A166" s="156"/>
      <c r="B166" s="157"/>
      <c r="C166" s="117"/>
      <c r="D166" s="117"/>
      <c r="E166" s="117"/>
      <c r="F166" s="117"/>
      <c r="G166" s="117"/>
      <c r="H166" s="117"/>
      <c r="I166" s="117"/>
      <c r="J166" s="158"/>
      <c r="K166" s="159"/>
    </row>
    <row r="167" spans="1:11">
      <c r="A167" s="156"/>
      <c r="B167" s="127" t="s">
        <v>12</v>
      </c>
      <c r="C167" s="193" t="s">
        <v>71</v>
      </c>
      <c r="D167" s="193"/>
      <c r="E167" s="127" t="s">
        <v>72</v>
      </c>
      <c r="F167" s="160"/>
      <c r="G167" s="161"/>
      <c r="H167" s="160"/>
      <c r="I167" s="161"/>
      <c r="J167" s="160"/>
      <c r="K167" s="160"/>
    </row>
    <row r="168" spans="1:11">
      <c r="A168" s="156"/>
      <c r="B168" s="131" t="s">
        <v>13</v>
      </c>
      <c r="C168" s="191">
        <f>+J165</f>
        <v>530004.91742540663</v>
      </c>
      <c r="D168" s="191"/>
      <c r="E168" s="162"/>
      <c r="F168" s="160"/>
      <c r="G168" s="163"/>
      <c r="H168" s="160"/>
      <c r="I168" s="161"/>
      <c r="J168" s="160"/>
      <c r="K168" s="160"/>
    </row>
    <row r="169" spans="1:11">
      <c r="A169" s="156"/>
      <c r="B169" s="131" t="s">
        <v>14</v>
      </c>
      <c r="C169" s="191">
        <v>480000</v>
      </c>
      <c r="D169" s="191"/>
      <c r="E169" s="164">
        <v>100</v>
      </c>
      <c r="F169" s="160"/>
      <c r="G169" s="163"/>
      <c r="H169" s="160"/>
      <c r="I169" s="161"/>
      <c r="J169" s="160"/>
      <c r="K169" s="160"/>
    </row>
    <row r="170" spans="1:11">
      <c r="A170" s="156"/>
      <c r="B170" s="131" t="s">
        <v>19</v>
      </c>
      <c r="C170" s="191">
        <f>0.95*C169</f>
        <v>456000</v>
      </c>
      <c r="D170" s="191"/>
      <c r="E170" s="165">
        <f>C170/C168*100</f>
        <v>86.036937584485301</v>
      </c>
      <c r="F170" s="160"/>
      <c r="G170" s="163"/>
      <c r="H170" s="160"/>
      <c r="I170" s="161"/>
      <c r="J170" s="160"/>
      <c r="K170" s="160"/>
    </row>
    <row r="171" spans="1:11">
      <c r="A171" s="156"/>
      <c r="B171" s="131" t="s">
        <v>15</v>
      </c>
      <c r="C171" s="191">
        <f>C168-C170</f>
        <v>74004.917425406631</v>
      </c>
      <c r="D171" s="191"/>
      <c r="E171" s="165">
        <f>C171/C169*100</f>
        <v>15.417691130293049</v>
      </c>
      <c r="F171" s="160"/>
      <c r="G171" s="163"/>
      <c r="H171" s="160"/>
      <c r="I171" s="161"/>
      <c r="J171" s="160"/>
      <c r="K171" s="160"/>
    </row>
    <row r="172" spans="1:11">
      <c r="A172" s="156"/>
      <c r="B172" s="131" t="s">
        <v>20</v>
      </c>
      <c r="C172" s="191">
        <f>E172*C169/100</f>
        <v>9600</v>
      </c>
      <c r="D172" s="191"/>
      <c r="E172" s="165">
        <v>2</v>
      </c>
      <c r="F172" s="160"/>
      <c r="G172" s="163"/>
      <c r="H172" s="160"/>
      <c r="I172" s="161"/>
      <c r="J172" s="160"/>
      <c r="K172" s="160"/>
    </row>
    <row r="173" spans="1:11">
      <c r="A173" s="156"/>
      <c r="B173" s="131" t="s">
        <v>21</v>
      </c>
      <c r="C173" s="192">
        <f>E173*C169/100</f>
        <v>14400</v>
      </c>
      <c r="D173" s="192"/>
      <c r="E173" s="165">
        <v>3</v>
      </c>
      <c r="F173" s="160"/>
      <c r="G173" s="166"/>
      <c r="H173" s="160"/>
      <c r="I173" s="161"/>
      <c r="J173" s="160"/>
      <c r="K173" s="160"/>
    </row>
    <row r="174" spans="1:11">
      <c r="F174" s="62"/>
    </row>
  </sheetData>
  <mergeCells count="14">
    <mergeCell ref="C173:D173"/>
    <mergeCell ref="C167:D167"/>
    <mergeCell ref="C168:D168"/>
    <mergeCell ref="C169:D169"/>
    <mergeCell ref="C170:D170"/>
    <mergeCell ref="C171:D171"/>
    <mergeCell ref="C172:D172"/>
    <mergeCell ref="A6:F6"/>
    <mergeCell ref="H6:K6"/>
    <mergeCell ref="A1:K1"/>
    <mergeCell ref="A2:K2"/>
    <mergeCell ref="A3:K3"/>
    <mergeCell ref="A4:K4"/>
    <mergeCell ref="J5:K5"/>
  </mergeCells>
  <printOptions horizontalCentered="1"/>
  <pageMargins left="0.51181102362204722" right="0.51181102362204722" top="0.39370078740157483" bottom="0.70866141732283472" header="0.31496062992125984" footer="0.31496062992125984"/>
  <pageSetup paperSize="9" scale="75" fitToHeight="2" orientation="portrait" r:id="rId1"/>
  <headerFooter>
    <oddHeader>&amp;RPage &amp;P of &amp;N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1B00-3C11-4007-B4C5-4159037E8E50}">
  <dimension ref="B1:L26"/>
  <sheetViews>
    <sheetView topLeftCell="A7" workbookViewId="0">
      <selection activeCell="D10" sqref="D10"/>
    </sheetView>
  </sheetViews>
  <sheetFormatPr defaultRowHeight="15"/>
  <sheetData>
    <row r="1" spans="2:9">
      <c r="B1" t="s">
        <v>2</v>
      </c>
      <c r="C1" t="s">
        <v>176</v>
      </c>
      <c r="D1" t="s">
        <v>177</v>
      </c>
      <c r="E1" t="s">
        <v>178</v>
      </c>
      <c r="F1" t="s">
        <v>6</v>
      </c>
      <c r="G1" t="s">
        <v>179</v>
      </c>
      <c r="H1" t="s">
        <v>180</v>
      </c>
    </row>
    <row r="2" spans="2:9">
      <c r="B2">
        <v>1</v>
      </c>
      <c r="C2">
        <v>3.4</v>
      </c>
      <c r="D2">
        <v>0.23</v>
      </c>
      <c r="E2">
        <v>1.3</v>
      </c>
      <c r="F2" s="173">
        <f>PRODUCT(B2:E2)</f>
        <v>1.0166000000000002</v>
      </c>
      <c r="G2" t="s">
        <v>181</v>
      </c>
      <c r="H2" s="173">
        <f>B2*C2*E2</f>
        <v>4.42</v>
      </c>
      <c r="I2" t="s">
        <v>182</v>
      </c>
    </row>
    <row r="3" spans="2:9">
      <c r="B3">
        <v>1</v>
      </c>
      <c r="C3">
        <v>4</v>
      </c>
      <c r="D3">
        <v>0.35</v>
      </c>
      <c r="E3">
        <v>1.3</v>
      </c>
      <c r="F3" s="173">
        <f t="shared" ref="F3:F21" si="0">PRODUCT(B3:E3)</f>
        <v>1.8199999999999998</v>
      </c>
      <c r="G3" t="s">
        <v>181</v>
      </c>
      <c r="H3" s="173">
        <f t="shared" ref="H3:H21" si="1">B3*C3*E3</f>
        <v>5.2</v>
      </c>
      <c r="I3" t="s">
        <v>182</v>
      </c>
    </row>
    <row r="4" spans="2:9">
      <c r="B4">
        <v>1</v>
      </c>
      <c r="C4">
        <v>3.9</v>
      </c>
      <c r="D4">
        <v>0.23</v>
      </c>
      <c r="E4">
        <v>1.2</v>
      </c>
      <c r="F4" s="173">
        <f t="shared" si="0"/>
        <v>1.0764</v>
      </c>
      <c r="G4" t="s">
        <v>181</v>
      </c>
      <c r="H4" s="173">
        <f t="shared" si="1"/>
        <v>4.68</v>
      </c>
      <c r="I4" t="s">
        <v>182</v>
      </c>
    </row>
    <row r="5" spans="2:9">
      <c r="B5">
        <v>1</v>
      </c>
      <c r="C5">
        <v>3.97</v>
      </c>
      <c r="D5">
        <v>0.23</v>
      </c>
      <c r="E5">
        <v>1.35</v>
      </c>
      <c r="F5" s="173">
        <f t="shared" si="0"/>
        <v>1.2326850000000003</v>
      </c>
      <c r="G5" t="s">
        <v>181</v>
      </c>
      <c r="H5" s="173">
        <f t="shared" si="1"/>
        <v>5.3595000000000006</v>
      </c>
      <c r="I5" t="s">
        <v>182</v>
      </c>
    </row>
    <row r="6" spans="2:9">
      <c r="B6">
        <v>1</v>
      </c>
      <c r="C6">
        <v>3.89</v>
      </c>
      <c r="D6">
        <v>0.23</v>
      </c>
      <c r="E6">
        <v>1.2</v>
      </c>
      <c r="F6" s="173">
        <f t="shared" si="0"/>
        <v>1.0736399999999999</v>
      </c>
      <c r="G6" t="s">
        <v>181</v>
      </c>
      <c r="H6" s="173">
        <f t="shared" si="1"/>
        <v>4.6680000000000001</v>
      </c>
      <c r="I6" t="s">
        <v>182</v>
      </c>
    </row>
    <row r="7" spans="2:9">
      <c r="B7">
        <v>1</v>
      </c>
      <c r="C7">
        <v>3.7</v>
      </c>
      <c r="D7">
        <v>0.23</v>
      </c>
      <c r="E7">
        <v>1.2</v>
      </c>
      <c r="F7" s="173">
        <f t="shared" si="0"/>
        <v>1.0212000000000001</v>
      </c>
      <c r="G7" t="s">
        <v>181</v>
      </c>
      <c r="H7" s="173">
        <f t="shared" si="1"/>
        <v>4.4400000000000004</v>
      </c>
      <c r="I7" t="s">
        <v>182</v>
      </c>
    </row>
    <row r="8" spans="2:9">
      <c r="B8">
        <v>1</v>
      </c>
      <c r="C8">
        <v>3.95</v>
      </c>
      <c r="D8">
        <v>0.23</v>
      </c>
      <c r="E8">
        <v>1.04</v>
      </c>
      <c r="F8" s="173">
        <f t="shared" si="0"/>
        <v>0.94484000000000012</v>
      </c>
      <c r="G8" t="s">
        <v>181</v>
      </c>
      <c r="H8" s="173">
        <f t="shared" si="1"/>
        <v>4.1080000000000005</v>
      </c>
      <c r="I8" t="s">
        <v>182</v>
      </c>
    </row>
    <row r="9" spans="2:9">
      <c r="B9">
        <v>6</v>
      </c>
      <c r="C9">
        <v>0.45</v>
      </c>
      <c r="D9">
        <v>0.45</v>
      </c>
      <c r="E9">
        <v>2.25</v>
      </c>
      <c r="F9" s="173">
        <f t="shared" si="0"/>
        <v>2.7337500000000001</v>
      </c>
      <c r="G9" t="s">
        <v>181</v>
      </c>
      <c r="H9" s="173">
        <f t="shared" si="1"/>
        <v>6.0750000000000002</v>
      </c>
      <c r="I9" t="s">
        <v>182</v>
      </c>
    </row>
    <row r="10" spans="2:9">
      <c r="B10">
        <v>1</v>
      </c>
      <c r="C10">
        <v>29.51</v>
      </c>
      <c r="D10">
        <v>0.35</v>
      </c>
      <c r="E10">
        <v>0.45</v>
      </c>
      <c r="F10" s="173">
        <f t="shared" si="0"/>
        <v>4.6478250000000001</v>
      </c>
      <c r="G10" t="s">
        <v>181</v>
      </c>
      <c r="H10" s="173">
        <f t="shared" si="1"/>
        <v>13.279500000000001</v>
      </c>
      <c r="I10" t="s">
        <v>182</v>
      </c>
    </row>
    <row r="11" spans="2:9">
      <c r="F11" s="173"/>
      <c r="H11" s="173"/>
    </row>
    <row r="12" spans="2:9">
      <c r="B12">
        <v>1</v>
      </c>
      <c r="C12">
        <v>2.4500000000000002</v>
      </c>
      <c r="D12">
        <v>0.23</v>
      </c>
      <c r="E12">
        <v>1.1000000000000001</v>
      </c>
      <c r="F12" s="173">
        <f t="shared" si="0"/>
        <v>0.61985000000000012</v>
      </c>
      <c r="G12" t="s">
        <v>181</v>
      </c>
      <c r="H12" s="173">
        <f t="shared" si="1"/>
        <v>2.6950000000000003</v>
      </c>
      <c r="I12" t="s">
        <v>182</v>
      </c>
    </row>
    <row r="13" spans="2:9">
      <c r="B13">
        <v>1</v>
      </c>
      <c r="C13">
        <v>3.92</v>
      </c>
      <c r="D13">
        <v>0.23</v>
      </c>
      <c r="E13">
        <v>1.1299999999999999</v>
      </c>
      <c r="F13" s="173">
        <f t="shared" si="0"/>
        <v>1.0188079999999999</v>
      </c>
      <c r="G13" t="s">
        <v>181</v>
      </c>
      <c r="H13" s="173">
        <f t="shared" si="1"/>
        <v>4.4295999999999998</v>
      </c>
      <c r="I13" t="s">
        <v>182</v>
      </c>
    </row>
    <row r="14" spans="2:9">
      <c r="B14">
        <v>1</v>
      </c>
      <c r="C14">
        <v>3.95</v>
      </c>
      <c r="D14">
        <v>0.23</v>
      </c>
      <c r="E14">
        <v>1.25</v>
      </c>
      <c r="F14" s="173">
        <f t="shared" si="0"/>
        <v>1.1356250000000001</v>
      </c>
      <c r="G14" t="s">
        <v>181</v>
      </c>
      <c r="H14" s="173">
        <f t="shared" si="1"/>
        <v>4.9375</v>
      </c>
      <c r="I14" t="s">
        <v>182</v>
      </c>
    </row>
    <row r="15" spans="2:9">
      <c r="B15">
        <v>1</v>
      </c>
      <c r="C15">
        <v>4</v>
      </c>
      <c r="D15">
        <v>0.23</v>
      </c>
      <c r="E15">
        <v>1.25</v>
      </c>
      <c r="F15" s="173">
        <f t="shared" si="0"/>
        <v>1.1500000000000001</v>
      </c>
      <c r="G15" t="s">
        <v>181</v>
      </c>
      <c r="H15" s="173">
        <f t="shared" si="1"/>
        <v>5</v>
      </c>
      <c r="I15" t="s">
        <v>182</v>
      </c>
    </row>
    <row r="16" spans="2:9">
      <c r="B16">
        <v>1</v>
      </c>
      <c r="C16">
        <v>4</v>
      </c>
      <c r="D16">
        <v>0.23</v>
      </c>
      <c r="E16">
        <v>1.1000000000000001</v>
      </c>
      <c r="F16" s="173">
        <f t="shared" si="0"/>
        <v>1.0120000000000002</v>
      </c>
      <c r="G16" t="s">
        <v>181</v>
      </c>
      <c r="H16" s="173">
        <f t="shared" si="1"/>
        <v>4.4000000000000004</v>
      </c>
      <c r="I16" t="s">
        <v>182</v>
      </c>
    </row>
    <row r="17" spans="2:12">
      <c r="B17">
        <v>1</v>
      </c>
      <c r="C17">
        <v>3.97</v>
      </c>
      <c r="D17">
        <v>0.23</v>
      </c>
      <c r="E17">
        <v>1.1000000000000001</v>
      </c>
      <c r="F17" s="173">
        <f t="shared" si="0"/>
        <v>1.0044100000000002</v>
      </c>
      <c r="G17" t="s">
        <v>181</v>
      </c>
      <c r="H17" s="173">
        <f t="shared" si="1"/>
        <v>4.3670000000000009</v>
      </c>
      <c r="I17" t="s">
        <v>182</v>
      </c>
    </row>
    <row r="18" spans="2:12">
      <c r="B18">
        <v>1</v>
      </c>
      <c r="C18">
        <v>3.95</v>
      </c>
      <c r="D18">
        <v>0.23</v>
      </c>
      <c r="E18">
        <v>1.1499999999999999</v>
      </c>
      <c r="F18" s="173">
        <f t="shared" si="0"/>
        <v>1.044775</v>
      </c>
      <c r="G18" t="s">
        <v>181</v>
      </c>
      <c r="H18" s="173">
        <f t="shared" si="1"/>
        <v>4.5424999999999995</v>
      </c>
      <c r="I18" t="s">
        <v>182</v>
      </c>
    </row>
    <row r="19" spans="2:12">
      <c r="B19">
        <v>1</v>
      </c>
      <c r="C19">
        <v>3.65</v>
      </c>
      <c r="D19">
        <v>0.23</v>
      </c>
      <c r="E19">
        <v>1.17</v>
      </c>
      <c r="F19" s="173">
        <f t="shared" si="0"/>
        <v>0.98221499999999995</v>
      </c>
      <c r="G19" t="s">
        <v>181</v>
      </c>
      <c r="H19" s="173">
        <f t="shared" si="1"/>
        <v>4.2704999999999993</v>
      </c>
      <c r="I19" t="s">
        <v>182</v>
      </c>
    </row>
    <row r="20" spans="2:12">
      <c r="B20">
        <v>8</v>
      </c>
      <c r="C20">
        <v>0.45</v>
      </c>
      <c r="D20">
        <v>0.45</v>
      </c>
      <c r="E20">
        <v>2.2000000000000002</v>
      </c>
      <c r="F20" s="173">
        <f t="shared" si="0"/>
        <v>3.5640000000000005</v>
      </c>
      <c r="G20" t="s">
        <v>181</v>
      </c>
      <c r="H20" s="173">
        <f t="shared" si="1"/>
        <v>7.9200000000000008</v>
      </c>
      <c r="I20" t="s">
        <v>182</v>
      </c>
    </row>
    <row r="21" spans="2:12">
      <c r="B21">
        <v>1</v>
      </c>
      <c r="C21">
        <v>33.49</v>
      </c>
      <c r="D21">
        <v>0.35</v>
      </c>
      <c r="E21">
        <v>0.45</v>
      </c>
      <c r="F21" s="173">
        <f t="shared" si="0"/>
        <v>5.2746750000000002</v>
      </c>
      <c r="G21" t="s">
        <v>181</v>
      </c>
      <c r="H21" s="173">
        <f t="shared" si="1"/>
        <v>15.070500000000001</v>
      </c>
      <c r="I21" t="s">
        <v>182</v>
      </c>
    </row>
    <row r="22" spans="2:12">
      <c r="F22" s="173">
        <f>SUM(F2:F21)</f>
        <v>32.373298000000005</v>
      </c>
      <c r="G22" t="s">
        <v>181</v>
      </c>
      <c r="H22" s="173">
        <f>SUM(H2:H21)</f>
        <v>109.86260000000001</v>
      </c>
      <c r="I22" t="s">
        <v>182</v>
      </c>
      <c r="J22">
        <f>CONVERT(H22,"m^2","ft^2")</f>
        <v>1182.5511845468138</v>
      </c>
      <c r="K22">
        <v>1234.6600000000001</v>
      </c>
      <c r="L22">
        <f>K22-J22</f>
        <v>52.108815453186253</v>
      </c>
    </row>
    <row r="24" spans="2:12">
      <c r="G24" t="s">
        <v>183</v>
      </c>
      <c r="H24">
        <v>187.39</v>
      </c>
      <c r="J24">
        <f>CONVERT(H24,"m^2","ft^2")</f>
        <v>2017.0491729872347</v>
      </c>
      <c r="K24">
        <v>2129</v>
      </c>
      <c r="L24">
        <f>K24-J24</f>
        <v>111.95082701276533</v>
      </c>
    </row>
    <row r="26" spans="2:12">
      <c r="H26">
        <v>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ESTIMATE</vt:lpstr>
      <vt:lpstr>WCR</vt:lpstr>
      <vt:lpstr>me</vt:lpstr>
      <vt:lpstr>Sheet1</vt:lpstr>
      <vt:lpstr>include dhara marmat</vt:lpstr>
      <vt:lpstr>measurement</vt:lpstr>
      <vt:lpstr>ESTIMATE!Print_Area</vt:lpstr>
      <vt:lpstr>'include dhara marmat'!Print_Area</vt:lpstr>
      <vt:lpstr>me!Print_Area</vt:lpstr>
      <vt:lpstr>ESTIMATE!Print_Titles</vt:lpstr>
      <vt:lpstr>'include dhara marmat'!Print_Titles</vt:lpstr>
      <vt:lpstr>me!Print_Titles</vt:lpstr>
      <vt:lpstr>WCR!Print_Titles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2026-07-23T05:47:00Z</cp:lastPrinted>
  <dcterms:created xsi:type="dcterms:W3CDTF">2015-02-11T06:39:48Z</dcterms:created>
  <dcterms:modified xsi:type="dcterms:W3CDTF">2026-08-17T06:43:56Z</dcterms:modified>
</cp:coreProperties>
</file>