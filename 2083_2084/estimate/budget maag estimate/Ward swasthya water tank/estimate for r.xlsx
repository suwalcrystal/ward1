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326"/>
  <workbookPr defaultThemeVersion="124226"/>
  <mc:AlternateContent xmlns:mc="http://schemas.openxmlformats.org/markup-compatibility/2006">
    <mc:Choice Requires="x15">
      <x15ac:absPath xmlns:x15ac="http://schemas.microsoft.com/office/spreadsheetml/2010/11/ac" url="G:\2082_2083\2083_2084\estimate\budget maag estimate\Ward swasthya water tank\"/>
    </mc:Choice>
  </mc:AlternateContent>
  <xr:revisionPtr revIDLastSave="0" documentId="13_ncr:1_{65FDF866-D4BC-4019-BA3D-DBF1C277D5C8}" xr6:coauthVersionLast="47" xr6:coauthVersionMax="47" xr10:uidLastSave="{00000000-0000-0000-0000-000000000000}"/>
  <bookViews>
    <workbookView xWindow="-120" yWindow="-120" windowWidth="20730" windowHeight="11040" firstSheet="2" activeTab="2" xr2:uid="{00000000-000D-0000-FFFF-FFFF00000000}"/>
  </bookViews>
  <sheets>
    <sheet name="Sheet1" sheetId="30" state="hidden" r:id="rId1"/>
    <sheet name="Size of water tank" sheetId="33" state="hidden" r:id="rId2"/>
    <sheet name="estimated" sheetId="35" r:id="rId3"/>
  </sheets>
  <externalReferences>
    <externalReference r:id="rId4"/>
  </externalReferences>
  <definedNames>
    <definedName name="description_262">[1]Abstract!$B$34</definedName>
    <definedName name="description_6">[1]Abstract!$B$172</definedName>
    <definedName name="_xlnm.Print_Area" localSheetId="2">estimated!$A$1:$K$258</definedName>
    <definedName name="_xlnm.Print_Titles" localSheetId="2">estimated!$1:$8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243" i="35" l="1"/>
  <c r="E247" i="35" s="1"/>
  <c r="D243" i="35"/>
  <c r="D247" i="35" s="1"/>
  <c r="G247" i="35" s="1"/>
  <c r="G248" i="35" s="1"/>
  <c r="J248" i="35" s="1"/>
  <c r="G239" i="35"/>
  <c r="G240" i="35" s="1"/>
  <c r="J240" i="35" s="1"/>
  <c r="G243" i="35" l="1"/>
  <c r="G244" i="35" s="1"/>
  <c r="J244" i="35" s="1"/>
  <c r="E21" i="35" l="1"/>
  <c r="D21" i="35"/>
  <c r="E111" i="35"/>
  <c r="G111" i="35" s="1"/>
  <c r="D112" i="35"/>
  <c r="E113" i="35"/>
  <c r="D113" i="35" l="1"/>
  <c r="G113" i="35" s="1"/>
  <c r="I214" i="35" l="1"/>
  <c r="I190" i="35"/>
  <c r="I182" i="35"/>
  <c r="I170" i="35"/>
  <c r="I117" i="35"/>
  <c r="I108" i="35"/>
  <c r="I104" i="35"/>
  <c r="I100" i="35"/>
  <c r="I94" i="35"/>
  <c r="I82" i="35"/>
  <c r="I73" i="35"/>
  <c r="I66" i="35"/>
  <c r="I56" i="35"/>
  <c r="I48" i="35"/>
  <c r="I30" i="35"/>
  <c r="I26" i="35"/>
  <c r="I22" i="35"/>
  <c r="I18" i="35"/>
  <c r="I12" i="35"/>
  <c r="J252" i="35"/>
  <c r="J250" i="35"/>
  <c r="G235" i="35"/>
  <c r="G236" i="35" s="1"/>
  <c r="J236" i="35" s="1"/>
  <c r="G231" i="35"/>
  <c r="G232" i="35" s="1"/>
  <c r="J232" i="35" s="1"/>
  <c r="G227" i="35"/>
  <c r="G228" i="35" s="1"/>
  <c r="J228" i="35" s="1"/>
  <c r="G223" i="35"/>
  <c r="G224" i="35" s="1"/>
  <c r="J224" i="35" s="1"/>
  <c r="G219" i="35"/>
  <c r="D218" i="35"/>
  <c r="G218" i="35" s="1"/>
  <c r="D217" i="35"/>
  <c r="G217" i="35" s="1"/>
  <c r="F213" i="35"/>
  <c r="G213" i="35" s="1"/>
  <c r="D212" i="35"/>
  <c r="G212" i="35" s="1"/>
  <c r="G211" i="35"/>
  <c r="E210" i="35"/>
  <c r="D210" i="35"/>
  <c r="F209" i="35"/>
  <c r="D209" i="35"/>
  <c r="F208" i="35"/>
  <c r="D208" i="35"/>
  <c r="G206" i="35"/>
  <c r="G205" i="35"/>
  <c r="D204" i="35"/>
  <c r="G204" i="35" s="1"/>
  <c r="F203" i="35"/>
  <c r="D203" i="35"/>
  <c r="G201" i="35"/>
  <c r="G200" i="35"/>
  <c r="G199" i="35"/>
  <c r="G198" i="35"/>
  <c r="D197" i="35"/>
  <c r="G197" i="35" s="1"/>
  <c r="F196" i="35"/>
  <c r="G196" i="35" s="1"/>
  <c r="F195" i="35"/>
  <c r="D195" i="35"/>
  <c r="F194" i="35"/>
  <c r="D194" i="35"/>
  <c r="F189" i="35"/>
  <c r="D189" i="35"/>
  <c r="F188" i="35"/>
  <c r="D188" i="35"/>
  <c r="F187" i="35"/>
  <c r="D187" i="35"/>
  <c r="F186" i="35"/>
  <c r="D186" i="35"/>
  <c r="F185" i="35"/>
  <c r="D185" i="35"/>
  <c r="F181" i="35"/>
  <c r="D181" i="35"/>
  <c r="F180" i="35"/>
  <c r="D180" i="35"/>
  <c r="F179" i="35"/>
  <c r="D179" i="35"/>
  <c r="E178" i="35"/>
  <c r="D178" i="35"/>
  <c r="F177" i="35"/>
  <c r="D177" i="35"/>
  <c r="E176" i="35"/>
  <c r="D176" i="35"/>
  <c r="F175" i="35"/>
  <c r="D175" i="35"/>
  <c r="E174" i="35"/>
  <c r="D174" i="35"/>
  <c r="F173" i="35"/>
  <c r="D173" i="35"/>
  <c r="F169" i="35"/>
  <c r="D169" i="35"/>
  <c r="G167" i="35"/>
  <c r="G166" i="35"/>
  <c r="G165" i="35"/>
  <c r="G164" i="35"/>
  <c r="D163" i="35"/>
  <c r="G163" i="35" s="1"/>
  <c r="F162" i="35"/>
  <c r="D162" i="35"/>
  <c r="G160" i="35"/>
  <c r="G159" i="35"/>
  <c r="G158" i="35"/>
  <c r="G157" i="35"/>
  <c r="F156" i="35"/>
  <c r="G156" i="35" s="1"/>
  <c r="F155" i="35"/>
  <c r="D155" i="35"/>
  <c r="F153" i="35"/>
  <c r="D153" i="35"/>
  <c r="F152" i="35"/>
  <c r="D152" i="35"/>
  <c r="C151" i="35"/>
  <c r="G151" i="35" s="1"/>
  <c r="D150" i="35"/>
  <c r="G150" i="35" s="1"/>
  <c r="G149" i="35"/>
  <c r="D148" i="35"/>
  <c r="G148" i="35" s="1"/>
  <c r="D147" i="35"/>
  <c r="G147" i="35" s="1"/>
  <c r="D146" i="35"/>
  <c r="G146" i="35" s="1"/>
  <c r="G145" i="35"/>
  <c r="D144" i="35"/>
  <c r="G144" i="35" s="1"/>
  <c r="G143" i="35"/>
  <c r="D142" i="35"/>
  <c r="G142" i="35" s="1"/>
  <c r="G141" i="35"/>
  <c r="D140" i="35"/>
  <c r="G140" i="35" s="1"/>
  <c r="G139" i="35"/>
  <c r="D138" i="35"/>
  <c r="G138" i="35" s="1"/>
  <c r="G137" i="35"/>
  <c r="D136" i="35"/>
  <c r="G136" i="35" s="1"/>
  <c r="G135" i="35"/>
  <c r="D134" i="35"/>
  <c r="G134" i="35" s="1"/>
  <c r="D133" i="35"/>
  <c r="G133" i="35" s="1"/>
  <c r="D132" i="35"/>
  <c r="G132" i="35" s="1"/>
  <c r="D131" i="35"/>
  <c r="G131" i="35" s="1"/>
  <c r="G130" i="35"/>
  <c r="D129" i="35"/>
  <c r="G129" i="35" s="1"/>
  <c r="G128" i="35"/>
  <c r="D127" i="35"/>
  <c r="G127" i="35" s="1"/>
  <c r="G126" i="35"/>
  <c r="D125" i="35"/>
  <c r="G125" i="35" s="1"/>
  <c r="G124" i="35"/>
  <c r="D123" i="35"/>
  <c r="G123" i="35" s="1"/>
  <c r="G122" i="35"/>
  <c r="D121" i="35"/>
  <c r="G121" i="35" s="1"/>
  <c r="G120" i="35"/>
  <c r="E116" i="35"/>
  <c r="D116" i="35"/>
  <c r="E107" i="35"/>
  <c r="D107" i="35"/>
  <c r="C107" i="35"/>
  <c r="D103" i="35"/>
  <c r="G103" i="35" s="1"/>
  <c r="G104" i="35" s="1"/>
  <c r="G96" i="35"/>
  <c r="J96" i="35" s="1"/>
  <c r="E93" i="35"/>
  <c r="C93" i="35"/>
  <c r="E92" i="35"/>
  <c r="C92" i="35"/>
  <c r="C91" i="35"/>
  <c r="E90" i="35"/>
  <c r="C90" i="35"/>
  <c r="B90" i="35"/>
  <c r="C89" i="35"/>
  <c r="B89" i="35"/>
  <c r="C86" i="35"/>
  <c r="C85" i="35"/>
  <c r="B85" i="35"/>
  <c r="D81" i="35"/>
  <c r="D93" i="35" s="1"/>
  <c r="D80" i="35"/>
  <c r="D92" i="35" s="1"/>
  <c r="E79" i="35"/>
  <c r="D79" i="35"/>
  <c r="D91" i="35" s="1"/>
  <c r="D78" i="35"/>
  <c r="G78" i="35" s="1"/>
  <c r="E77" i="35"/>
  <c r="E89" i="35" s="1"/>
  <c r="D77" i="35"/>
  <c r="D89" i="35" s="1"/>
  <c r="E76" i="35"/>
  <c r="E88" i="35" s="1"/>
  <c r="D76" i="35"/>
  <c r="D88" i="35" s="1"/>
  <c r="F72" i="35"/>
  <c r="C72" i="35"/>
  <c r="B72" i="35"/>
  <c r="F71" i="35"/>
  <c r="F87" i="35" s="1"/>
  <c r="F70" i="35"/>
  <c r="F86" i="35" s="1"/>
  <c r="D70" i="35"/>
  <c r="D86" i="35" s="1"/>
  <c r="F69" i="35"/>
  <c r="F85" i="35" s="1"/>
  <c r="D69" i="35"/>
  <c r="D85" i="35" s="1"/>
  <c r="F64" i="35"/>
  <c r="G64" i="35" s="1"/>
  <c r="F63" i="35"/>
  <c r="E63" i="35"/>
  <c r="D63" i="35"/>
  <c r="C63" i="35"/>
  <c r="F62" i="35"/>
  <c r="E62" i="35"/>
  <c r="D62" i="35"/>
  <c r="C62" i="35"/>
  <c r="F61" i="35"/>
  <c r="E61" i="35"/>
  <c r="D61" i="35"/>
  <c r="F60" i="35"/>
  <c r="E60" i="35"/>
  <c r="D60" i="35"/>
  <c r="F59" i="35"/>
  <c r="E59" i="35"/>
  <c r="D59" i="35"/>
  <c r="D55" i="35"/>
  <c r="D65" i="35" s="1"/>
  <c r="B55" i="35"/>
  <c r="B65" i="35" s="1"/>
  <c r="E54" i="35"/>
  <c r="D54" i="35"/>
  <c r="E53" i="35"/>
  <c r="D53" i="35"/>
  <c r="F52" i="35"/>
  <c r="D52" i="35"/>
  <c r="F51" i="35"/>
  <c r="D51" i="35"/>
  <c r="F47" i="35"/>
  <c r="D47" i="35"/>
  <c r="E55" i="35" s="1"/>
  <c r="E65" i="35" s="1"/>
  <c r="C47" i="35"/>
  <c r="F46" i="35"/>
  <c r="F45" i="35"/>
  <c r="D45" i="35"/>
  <c r="C45" i="35"/>
  <c r="F44" i="35"/>
  <c r="D44" i="35"/>
  <c r="C44" i="35"/>
  <c r="F43" i="35"/>
  <c r="D43" i="35"/>
  <c r="C43" i="35"/>
  <c r="F42" i="35"/>
  <c r="D42" i="35"/>
  <c r="C42" i="35"/>
  <c r="F41" i="35"/>
  <c r="D41" i="35"/>
  <c r="C41" i="35"/>
  <c r="F40" i="35"/>
  <c r="D40" i="35"/>
  <c r="C40" i="35"/>
  <c r="F39" i="35"/>
  <c r="D39" i="35"/>
  <c r="C39" i="35"/>
  <c r="F38" i="35"/>
  <c r="D38" i="35"/>
  <c r="C38" i="35"/>
  <c r="F37" i="35"/>
  <c r="D37" i="35"/>
  <c r="C37" i="35"/>
  <c r="F36" i="35"/>
  <c r="D36" i="35"/>
  <c r="C36" i="35"/>
  <c r="F35" i="35"/>
  <c r="D35" i="35"/>
  <c r="C35" i="35"/>
  <c r="F34" i="35"/>
  <c r="D34" i="35"/>
  <c r="C34" i="35"/>
  <c r="F33" i="35"/>
  <c r="D33" i="35"/>
  <c r="C33" i="35"/>
  <c r="F29" i="35"/>
  <c r="E29" i="35"/>
  <c r="C29" i="35"/>
  <c r="B29" i="35"/>
  <c r="E25" i="35"/>
  <c r="D25" i="35"/>
  <c r="C25" i="35"/>
  <c r="G21" i="35"/>
  <c r="G22" i="35" s="1"/>
  <c r="D17" i="35"/>
  <c r="G17" i="35" s="1"/>
  <c r="D15" i="35"/>
  <c r="G15" i="35" s="1"/>
  <c r="B15" i="35"/>
  <c r="E11" i="35"/>
  <c r="G11" i="35" s="1"/>
  <c r="G12" i="35" s="1"/>
  <c r="G174" i="35" l="1"/>
  <c r="G180" i="35"/>
  <c r="G189" i="35"/>
  <c r="G33" i="35"/>
  <c r="G54" i="35"/>
  <c r="D71" i="35"/>
  <c r="G116" i="35"/>
  <c r="G117" i="35" s="1"/>
  <c r="J117" i="35" s="1"/>
  <c r="G175" i="35"/>
  <c r="G181" i="35"/>
  <c r="G37" i="35"/>
  <c r="G41" i="35"/>
  <c r="G45" i="35"/>
  <c r="G194" i="35"/>
  <c r="G63" i="35"/>
  <c r="G51" i="35"/>
  <c r="G155" i="35"/>
  <c r="G177" i="35"/>
  <c r="G186" i="35"/>
  <c r="G60" i="35"/>
  <c r="G53" i="35"/>
  <c r="G61" i="35"/>
  <c r="G169" i="35"/>
  <c r="G178" i="35"/>
  <c r="G187" i="35"/>
  <c r="G35" i="35"/>
  <c r="G39" i="35"/>
  <c r="G59" i="35"/>
  <c r="G69" i="35"/>
  <c r="G89" i="35"/>
  <c r="G152" i="35"/>
  <c r="G162" i="35"/>
  <c r="D16" i="35"/>
  <c r="G16" i="35" s="1"/>
  <c r="G18" i="35" s="1"/>
  <c r="J18" i="35" s="1"/>
  <c r="D29" i="35"/>
  <c r="G29" i="35" s="1"/>
  <c r="G30" i="35" s="1"/>
  <c r="J30" i="35" s="1"/>
  <c r="G43" i="35"/>
  <c r="G79" i="35"/>
  <c r="G107" i="35"/>
  <c r="G108" i="35" s="1"/>
  <c r="J108" i="35" s="1"/>
  <c r="G153" i="35"/>
  <c r="G203" i="35"/>
  <c r="G36" i="35"/>
  <c r="G40" i="35"/>
  <c r="G44" i="35"/>
  <c r="G52" i="35"/>
  <c r="G176" i="35"/>
  <c r="G185" i="35"/>
  <c r="G195" i="35"/>
  <c r="D72" i="35"/>
  <c r="G72" i="35" s="1"/>
  <c r="G85" i="35"/>
  <c r="G92" i="35"/>
  <c r="G208" i="35"/>
  <c r="G220" i="35"/>
  <c r="J220" i="35" s="1"/>
  <c r="G88" i="35"/>
  <c r="G209" i="35"/>
  <c r="G25" i="35"/>
  <c r="G26" i="35" s="1"/>
  <c r="J26" i="35" s="1"/>
  <c r="G34" i="35"/>
  <c r="G38" i="35"/>
  <c r="G42" i="35"/>
  <c r="G62" i="35"/>
  <c r="G173" i="35"/>
  <c r="G179" i="35"/>
  <c r="G188" i="35"/>
  <c r="G77" i="35"/>
  <c r="G210" i="35"/>
  <c r="J104" i="35"/>
  <c r="J22" i="35"/>
  <c r="J12" i="35"/>
  <c r="G55" i="35"/>
  <c r="G65" i="35"/>
  <c r="D87" i="35"/>
  <c r="G87" i="35" s="1"/>
  <c r="G71" i="35"/>
  <c r="G86" i="35"/>
  <c r="G93" i="35"/>
  <c r="G70" i="35"/>
  <c r="G80" i="35"/>
  <c r="G76" i="35"/>
  <c r="G81" i="35"/>
  <c r="D90" i="35"/>
  <c r="G90" i="35" s="1"/>
  <c r="G47" i="35"/>
  <c r="C46" i="35"/>
  <c r="G46" i="35" s="1"/>
  <c r="E91" i="35"/>
  <c r="G91" i="35" s="1"/>
  <c r="G182" i="35" l="1"/>
  <c r="J182" i="35" s="1"/>
  <c r="G170" i="35"/>
  <c r="J170" i="35" s="1"/>
  <c r="G48" i="35"/>
  <c r="J48" i="35" s="1"/>
  <c r="G214" i="35"/>
  <c r="J214" i="35" s="1"/>
  <c r="G56" i="35"/>
  <c r="J56" i="35" s="1"/>
  <c r="G190" i="35"/>
  <c r="J190" i="35" s="1"/>
  <c r="G66" i="35"/>
  <c r="J66" i="35" s="1"/>
  <c r="G82" i="35"/>
  <c r="J82" i="35" s="1"/>
  <c r="G73" i="35"/>
  <c r="J73" i="35" s="1"/>
  <c r="G94" i="35"/>
  <c r="J94" i="35" s="1"/>
  <c r="E112" i="35"/>
  <c r="G112" i="35" s="1"/>
  <c r="G114" i="35" s="1"/>
  <c r="J114" i="35" s="1"/>
  <c r="J4" i="33"/>
  <c r="M4" i="33"/>
  <c r="N3" i="33"/>
  <c r="M3" i="33"/>
  <c r="L3" i="33"/>
  <c r="K3" i="33"/>
  <c r="G3" i="33"/>
  <c r="C3" i="33"/>
  <c r="F3" i="33"/>
  <c r="B3" i="33"/>
  <c r="A3" i="33"/>
  <c r="D99" i="35" l="1"/>
  <c r="G99" i="35" s="1"/>
  <c r="G100" i="35" s="1"/>
  <c r="J100" i="35" s="1"/>
  <c r="J253" i="35" s="1"/>
  <c r="C256" i="35" s="1"/>
  <c r="C257" i="35" s="1"/>
  <c r="C258" i="35" s="1"/>
  <c r="D7" i="30" l="1"/>
  <c r="G7" i="30" s="1"/>
  <c r="D6" i="30"/>
  <c r="G6" i="30" s="1"/>
  <c r="G4" i="30"/>
  <c r="G5" i="30"/>
  <c r="H7" i="30" l="1"/>
  <c r="H5" i="30"/>
  <c r="H8" i="30" s="1"/>
  <c r="H9" i="30" l="1"/>
  <c r="H10" i="30" s="1"/>
  <c r="B10" i="30" s="1"/>
  <c r="D10" i="30"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User</author>
  </authors>
  <commentList>
    <comment ref="J4" authorId="0" shapeId="0" xr:uid="{939D02E8-1D53-47F7-B50A-37D91712303F}">
      <text>
        <r>
          <rPr>
            <b/>
            <sz val="9"/>
            <color indexed="81"/>
            <rFont val="Tahoma"/>
            <family val="2"/>
          </rPr>
          <t>User:</t>
        </r>
        <r>
          <rPr>
            <sz val="9"/>
            <color indexed="81"/>
            <rFont val="Tahoma"/>
            <family val="2"/>
          </rPr>
          <t xml:space="preserve">
57*dia</t>
        </r>
      </text>
    </comment>
    <comment ref="M4" authorId="0" shapeId="0" xr:uid="{446E0234-02B1-41B8-ABE3-CFAA9DECD219}">
      <text>
        <r>
          <rPr>
            <b/>
            <sz val="9"/>
            <color indexed="81"/>
            <rFont val="Tahoma"/>
            <family val="2"/>
          </rPr>
          <t>User:</t>
        </r>
        <r>
          <rPr>
            <sz val="9"/>
            <color indexed="81"/>
            <rFont val="Tahoma"/>
            <family val="2"/>
          </rPr>
          <t xml:space="preserve">
hypoteneous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DELL</author>
  </authors>
  <commentList>
    <comment ref="E11" authorId="0" shapeId="0" xr:uid="{32D75E39-84D2-401A-9E6F-468C38CEA058}">
      <text>
        <r>
          <rPr>
            <b/>
            <sz val="10"/>
            <color indexed="81"/>
            <rFont val="Tahoma"/>
            <charset val="1"/>
          </rPr>
          <t>DELL:</t>
        </r>
        <r>
          <rPr>
            <sz val="10"/>
            <color indexed="81"/>
            <rFont val="Tahoma"/>
            <charset val="1"/>
          </rPr>
          <t xml:space="preserve">
need to verify</t>
        </r>
      </text>
    </comment>
    <comment ref="F11" authorId="0" shapeId="0" xr:uid="{35090594-430C-4701-B4FF-97603A2602CD}">
      <text>
        <r>
          <rPr>
            <b/>
            <sz val="10"/>
            <color indexed="81"/>
            <rFont val="Tahoma"/>
            <charset val="1"/>
          </rPr>
          <t>DELL:</t>
        </r>
        <r>
          <rPr>
            <sz val="10"/>
            <color indexed="81"/>
            <rFont val="Tahoma"/>
            <charset val="1"/>
          </rPr>
          <t xml:space="preserve">
need to verify</t>
        </r>
      </text>
    </comment>
  </commentList>
</comments>
</file>

<file path=xl/sharedStrings.xml><?xml version="1.0" encoding="utf-8"?>
<sst xmlns="http://schemas.openxmlformats.org/spreadsheetml/2006/main" count="213" uniqueCount="149">
  <si>
    <t>S.N.</t>
  </si>
  <si>
    <t>Description of work</t>
  </si>
  <si>
    <t>No.</t>
  </si>
  <si>
    <t>Length</t>
  </si>
  <si>
    <t>Breadth</t>
  </si>
  <si>
    <t>Height</t>
  </si>
  <si>
    <t>Quantity</t>
  </si>
  <si>
    <t>Unit</t>
  </si>
  <si>
    <t>Rate</t>
  </si>
  <si>
    <t>Amount</t>
  </si>
  <si>
    <t>Government of Nepal</t>
  </si>
  <si>
    <t>Description</t>
  </si>
  <si>
    <t>Total Estimated</t>
  </si>
  <si>
    <t>Shankharapur Municipality</t>
  </si>
  <si>
    <t>Shankhu, Kathmandu</t>
  </si>
  <si>
    <t>kg</t>
  </si>
  <si>
    <t>Detail Estimate Sheet</t>
  </si>
  <si>
    <t>sqm</t>
  </si>
  <si>
    <t>cum</t>
  </si>
  <si>
    <t>Location:- Shankharapur Municipality- 1</t>
  </si>
  <si>
    <t xml:space="preserve"> </t>
  </si>
  <si>
    <t>no.</t>
  </si>
  <si>
    <t xml:space="preserve">Amount </t>
  </si>
  <si>
    <t>Percent</t>
  </si>
  <si>
    <t xml:space="preserve">l;d]G6 s+qmL6 ˆnf]l/Ë -!M@M$_ -#* dL=dL=_ </t>
  </si>
  <si>
    <t>!@=% dL=dL= l;d]G6 afn'jf -!M$_ Knfi6/</t>
  </si>
  <si>
    <t># dL=dL= df]6fO{ d;Lgf] l;d]G6 3f]6\g] sfd</t>
  </si>
  <si>
    <t xml:space="preserve">cf/=;L=;L= nflu !) ld=ld= kmnfd] 808L sf6\g], df]8\g] #) dL6/ ;Dd </t>
  </si>
  <si>
    <t>square frame medium duty 24"X24</t>
  </si>
  <si>
    <t>Information Board  and photographs</t>
  </si>
  <si>
    <t>A.</t>
  </si>
  <si>
    <t>kfgL 6\ofÍL dd{t</t>
  </si>
  <si>
    <t>l;d]G6 jf jh|df hf]8]sf] uf/f] eTsfO{ To;af6 cfPsf] ;fdfu+|L !) dL</t>
  </si>
  <si>
    <t>Kn]g l;d]G6 sqmL6 jf jh| s+qmL6 eTsfO{ !) dL= k/ x6fpg] sfd</t>
  </si>
  <si>
    <t>;'Vvf O{6f RofK6f] 5fKg] sfd</t>
  </si>
  <si>
    <t xml:space="preserve">;fx|f] k|sf/sf] Sn], g/d d'/d 9'+uf -#) ;]=dL=;Dd_ ld;]sf] df6f]df ;j} lsl;dsf] vGg] sfd </t>
  </si>
  <si>
    <t>;'Vvf O{6f RofK6f] 5fKg] sfd .</t>
  </si>
  <si>
    <t>H 15</t>
  </si>
  <si>
    <t>b/ ljZn]if0fsf] nflu !) j=dL= lnOPsf]</t>
  </si>
  <si>
    <t>;|f]t ;fwg</t>
  </si>
  <si>
    <t>tx÷lsl;d</t>
  </si>
  <si>
    <t>kl/df0f</t>
  </si>
  <si>
    <t>PsfO{</t>
  </si>
  <si>
    <t>b/ k|lt PsfO{</t>
  </si>
  <si>
    <t>/sd</t>
  </si>
  <si>
    <t>k|To]s ;|f]t ;fwgsf] hDdf</t>
  </si>
  <si>
    <t>&gt;lds</t>
  </si>
  <si>
    <t>s_ l;kfn'</t>
  </si>
  <si>
    <t>hjfg</t>
  </si>
  <si>
    <t>v_ HofdL</t>
  </si>
  <si>
    <t>lgdf{0f ;fdu|L</t>
  </si>
  <si>
    <t>O{6f</t>
  </si>
  <si>
    <t>uf]6f</t>
  </si>
  <si>
    <t xml:space="preserve">jfn'jf vf]nfsf] </t>
  </si>
  <si>
    <t>3=dL=</t>
  </si>
  <si>
    <t>jf:tljs b//]6</t>
  </si>
  <si>
    <t>b/ k|lt j=dL=sf]</t>
  </si>
  <si>
    <t>!%Ü 7]s]bf/ cf]e/x]8</t>
  </si>
  <si>
    <t>Ö ?=</t>
  </si>
  <si>
    <t>k}=</t>
  </si>
  <si>
    <t>hDdf b/ /]6</t>
  </si>
  <si>
    <t>hu leQf kvf{ndf l;d]G6 s+lqm6 ug]{ sfd -lk=;L=;L= !M@M$_</t>
  </si>
  <si>
    <t>-for flooring</t>
  </si>
  <si>
    <t>-Along short length</t>
  </si>
  <si>
    <t>-Slab</t>
  </si>
  <si>
    <t>kmnfd]sf] kfOk / KnfOaf]8{af6 kmdf{ agfpg] sfd</t>
  </si>
  <si>
    <t>-For shear wall</t>
  </si>
  <si>
    <t>-for slab</t>
  </si>
  <si>
    <t>-fillet</t>
  </si>
  <si>
    <t>-shear wall</t>
  </si>
  <si>
    <t>-floor and slab</t>
  </si>
  <si>
    <t>-for fillet</t>
  </si>
  <si>
    <t>d]lzgsf] k|of]u u/L ;'k/ :6«Sr/df l;d]G6 s+lqm6 ug]{ sfd -!M!=%M#_</t>
  </si>
  <si>
    <t>-deduction for opening</t>
  </si>
  <si>
    <t>-at water tank</t>
  </si>
  <si>
    <t>-At shear wall</t>
  </si>
  <si>
    <t>-at floor</t>
  </si>
  <si>
    <t>-!M@ efudf jf6/ k|'km sDkfp08 ld;fO{ 8]Dk k|'lkm+Ë ug</t>
  </si>
  <si>
    <t>PS</t>
  </si>
  <si>
    <t>Remark</t>
  </si>
  <si>
    <t>-water tank</t>
  </si>
  <si>
    <t>-Along long length</t>
  </si>
  <si>
    <t>-binder</t>
  </si>
  <si>
    <t>-ward compound</t>
  </si>
  <si>
    <r>
      <rPr>
        <sz val="14"/>
        <color theme="1"/>
        <rFont val="Times New Roman"/>
        <family val="1"/>
      </rPr>
      <t>Project:-</t>
    </r>
    <r>
      <rPr>
        <sz val="16"/>
        <color theme="1"/>
        <rFont val="Preeti"/>
      </rPr>
      <t>gfªn]ef/] :jf:yo rf}sL kfgL 6\ofÍL dd{t tyf j8f sfof{no sDkfp08 /+u/f]ug</t>
    </r>
  </si>
  <si>
    <t>Date: 2082/04/01</t>
  </si>
  <si>
    <t>20mm GI Pipe threaded -Medium class</t>
  </si>
  <si>
    <t>- for kitchen</t>
  </si>
  <si>
    <t>-for outside dhara</t>
  </si>
  <si>
    <t>-for water tank inlet and overflow</t>
  </si>
  <si>
    <t>rm</t>
  </si>
  <si>
    <t>PPR pipe (PN-16) 20mm OD 2.80mm thick 0.148kg/m</t>
  </si>
  <si>
    <t>-for kitchen</t>
  </si>
  <si>
    <t>set</t>
  </si>
  <si>
    <t>Porcelain clay  white glaze wash basin large size regular complete set</t>
  </si>
  <si>
    <t>Brass tap-1'2" ordinary</t>
  </si>
  <si>
    <t>-for kitchen and outside dhara</t>
  </si>
  <si>
    <t>Soiling thickness</t>
  </si>
  <si>
    <t>PCC</t>
  </si>
  <si>
    <t>Slab thickness</t>
  </si>
  <si>
    <t>Shear wall thickness</t>
  </si>
  <si>
    <t>Cover for shear wall</t>
  </si>
  <si>
    <t>Cover for slab</t>
  </si>
  <si>
    <t>Vertical rebar</t>
  </si>
  <si>
    <t>Opening</t>
  </si>
  <si>
    <t>Fillet</t>
  </si>
  <si>
    <t>-at fillet</t>
  </si>
  <si>
    <t>-as of item no. 11</t>
  </si>
  <si>
    <t>-for kitchen setup at ward office</t>
  </si>
  <si>
    <t>-at roof of ward office</t>
  </si>
  <si>
    <t>e'O{+tNnfdf lrDgL e§fsf] O{+6fsf] uf/f] l;d]G6 d;nf -!M$_ df</t>
  </si>
  <si>
    <r>
      <t>kf]/l;lng Un]H8 6fO{n</t>
    </r>
    <r>
      <rPr>
        <b/>
        <sz val="9"/>
        <rFont val="Arial"/>
        <family val="2"/>
      </rPr>
      <t>(Ordinary floor and Wall Tile-as per approved standard of manufactured country)</t>
    </r>
    <r>
      <rPr>
        <b/>
        <sz val="12"/>
        <rFont val="Preeti"/>
      </rPr>
      <t xml:space="preserve"> !M$ l;d]G6 afn'jfdf 5fKg] sfd .</t>
    </r>
  </si>
  <si>
    <t>-deduction for kitchen part</t>
  </si>
  <si>
    <t>!^ dL=dL=u|]gfO{6, l;d]G6 d;nfdf 5fkL 3f]6\g] / kflnz ;d]t ug{</t>
  </si>
  <si>
    <t>-at wall</t>
  </si>
  <si>
    <t>;'Vvf O{6f 7f8f] 5fKg] sfd</t>
  </si>
  <si>
    <t>-at roof parapet of ward office</t>
  </si>
  <si>
    <t>-for rounding around plants</t>
  </si>
  <si>
    <t>-at cantilever</t>
  </si>
  <si>
    <t>-at ward office room 1</t>
  </si>
  <si>
    <t>-ceiling</t>
  </si>
  <si>
    <t>-room 2</t>
  </si>
  <si>
    <t>-room 3</t>
  </si>
  <si>
    <t>-deduction for door</t>
  </si>
  <si>
    <t>-deduction for window</t>
  </si>
  <si>
    <t>-at Ground Floor</t>
  </si>
  <si>
    <t>-at ward sadasya room</t>
  </si>
  <si>
    <t>-at passage and staircase area</t>
  </si>
  <si>
    <t>-at first floor</t>
  </si>
  <si>
    <t>-at passage, toilet and staircase area</t>
  </si>
  <si>
    <t>-at top floor</t>
  </si>
  <si>
    <t>-at kitchen</t>
  </si>
  <si>
    <t>-deduction for kitchen rack area</t>
  </si>
  <si>
    <t>-at outer face</t>
  </si>
  <si>
    <t>-at outer face of staircase area</t>
  </si>
  <si>
    <t>White glazed porcelain clay EWC floor mounted commode without cistern all complete set.</t>
  </si>
  <si>
    <t>-for toilet at swasthya</t>
  </si>
  <si>
    <t>VAT 13%</t>
  </si>
  <si>
    <t>Grand Total</t>
  </si>
  <si>
    <t xml:space="preserve"> ;km]{; ;kmf u/L Ps sf]6 k|fO{d/ ;lxt b'O{ sf]6 j]b/sf]6 k]G6 ug]{ sfd</t>
  </si>
  <si>
    <t>;km]{; ;kmf u/L leQf Pjd\ l;lnËdf @ ld=ld= Kn]g XjfO{6 k'§L Knfi6/ ug]{ sfo{</t>
  </si>
  <si>
    <t>;km]{; ;kmf u/L Ps sf]6 jf6/ k|'km l;d]G6 sf]6 nufpg] sfd</t>
  </si>
  <si>
    <t>;km]{; ;kmf u/L Ps sf]6 k|fO{d/ ;lxt b'O{ sf]6 tof/L jf;]jn l8:6]Dk/ nufpg] sfd .</t>
  </si>
  <si>
    <t>Provisional sum for unforseen works, kitchen, water tank and swasthya</t>
  </si>
  <si>
    <t>Earthwork Excavation in Cutting., Roadway Excavation in all types of Soil by Mechanical  Means ., Road way Excavation in  all types of soil as per Drawing and technical specifications  including  removal of stumps and other deleterious matter, all lifts and lead as per Drawing and instruction of the Engineer.</t>
  </si>
  <si>
    <t>-for pathway attached to compound wall</t>
  </si>
  <si>
    <t>Providing and laying of hand pack locally available Stone soling with 150 to 200 mm thick stones and packing with smaller stone on prepared surface as per Drawing and Technical Specifications.</t>
  </si>
  <si>
    <t>Providing and laying of Plain/Reinforced Cement Concrete in Foundation complete as per Drawing and Technical Specifications., RCC Grade M 20</t>
  </si>
  <si>
    <t>F.Y.:-2083/084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</si>
</sst>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1">
    <numFmt numFmtId="5" formatCode="&quot;$&quot;#,##0_);\(&quot;$&quot;#,##0\)"/>
    <numFmt numFmtId="43" formatCode="_(* #,##0.00_);_(* \(#,##0.00\);_(* &quot;-&quot;??_);_(@_)"/>
    <numFmt numFmtId="164" formatCode="_-* #,##0.00_-;\-* #,##0.00_-;_-* &quot;-&quot;??_-;_-@_-"/>
    <numFmt numFmtId="165" formatCode="_(* #,##0.000_);_(* \(#,##0.000\);_(* &quot;-&quot;??_);_(@_)"/>
    <numFmt numFmtId="166" formatCode="0.000"/>
    <numFmt numFmtId="167" formatCode="#."/>
    <numFmt numFmtId="168" formatCode="0.00_)"/>
    <numFmt numFmtId="169" formatCode="_-&quot;$&quot;* #,##0_-;\-&quot;$&quot;* #,##0_-;_-&quot;$&quot;* &quot;-&quot;_-;_-@_-"/>
    <numFmt numFmtId="170" formatCode="_-&quot;$&quot;* #,##0.00_-;\-&quot;$&quot;* #,##0.00_-;_-&quot;$&quot;* &quot;-&quot;??_-;_-@_-"/>
    <numFmt numFmtId="171" formatCode="_ * #,##0_)&quot;$&quot;_ ;_ * \(#,##0\)&quot;$&quot;_ ;_ * &quot;-&quot;_)&quot;$&quot;_ ;_ @_ "/>
    <numFmt numFmtId="172" formatCode="General_)"/>
    <numFmt numFmtId="173" formatCode="_ * #,##0_)_$_ ;_ * \(#,##0\)_$_ ;_ * &quot;-&quot;_)_$_ ;_ @_ "/>
    <numFmt numFmtId="174" formatCode="_ * #,##0.00_)&quot;$&quot;_ ;_ * \(#,##0.00\)&quot;$&quot;_ ;_ * &quot;-&quot;??_)&quot;$&quot;_ ;_ @_ "/>
    <numFmt numFmtId="175" formatCode="_ * #,##0.00_)_$_ ;_ * \(#,##0.00\)_$_ ;_ * &quot;-&quot;??_)_$_ ;_ @_ "/>
    <numFmt numFmtId="176" formatCode="mmmm\ d\,\ yyyy"/>
    <numFmt numFmtId="177" formatCode="&quot;$&quot;#,##0.00_);\(&quot;$&quot;#.##0\)"/>
    <numFmt numFmtId="178" formatCode="_ * #,##0_ ;_ * \-#,##0_ ;_ * &quot;-&quot;_ ;_ @_ "/>
    <numFmt numFmtId="179" formatCode="_ * #,##0.00_ ;_ * \-#,##0.00_ ;_ * &quot;-&quot;??_ ;_ @_ "/>
    <numFmt numFmtId="180" formatCode="_ &quot;\&quot;* #,##0_ ;_ &quot;\&quot;* \-#,##0_ ;_ &quot;\&quot;* &quot;-&quot;_ ;_ @_ "/>
    <numFmt numFmtId="181" formatCode="_ &quot;\&quot;* #,##0.00_ ;_ &quot;\&quot;* \-#,##0.00_ ;_ &quot;\&quot;* &quot;-&quot;??_ ;_ @_ "/>
    <numFmt numFmtId="182" formatCode="0.0"/>
  </numFmts>
  <fonts count="77">
    <font>
      <sz val="11"/>
      <color theme="1"/>
      <name val="Calibri"/>
      <family val="2"/>
      <scheme val="minor"/>
    </font>
    <font>
      <sz val="11"/>
      <color theme="1"/>
      <name val="Calibri"/>
      <family val="2"/>
      <scheme val="minor"/>
    </font>
    <font>
      <sz val="10"/>
      <name val="Arial"/>
      <family val="2"/>
    </font>
    <font>
      <sz val="10"/>
      <name val="Times New Roman"/>
      <family val="1"/>
    </font>
    <font>
      <sz val="10"/>
      <name val="Arial"/>
      <family val="2"/>
    </font>
    <font>
      <sz val="8"/>
      <name val="Arial"/>
      <family val="2"/>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
      <color indexed="16"/>
      <name val="Courier"/>
      <family val="3"/>
    </font>
    <font>
      <i/>
      <sz val="1"/>
      <color indexed="16"/>
      <name val="Courier"/>
      <family val="3"/>
    </font>
    <font>
      <sz val="11"/>
      <color indexed="17"/>
      <name val="Calibri"/>
      <family val="2"/>
    </font>
    <font>
      <b/>
      <sz val="15"/>
      <color indexed="56"/>
      <name val="Calibri"/>
      <family val="2"/>
    </font>
    <font>
      <b/>
      <sz val="13"/>
      <color indexed="56"/>
      <name val="Calibri"/>
      <family val="2"/>
    </font>
    <font>
      <b/>
      <sz val="11"/>
      <color indexed="56"/>
      <name val="Calibri"/>
      <family val="2"/>
    </font>
    <font>
      <u/>
      <sz val="10"/>
      <color indexed="12"/>
      <name val="Arial"/>
      <family val="2"/>
    </font>
    <font>
      <sz val="11"/>
      <color indexed="62"/>
      <name val="Calibri"/>
      <family val="2"/>
    </font>
    <font>
      <sz val="11"/>
      <color indexed="52"/>
      <name val="Calibri"/>
      <family val="2"/>
    </font>
    <font>
      <sz val="11"/>
      <color indexed="60"/>
      <name val="Calibri"/>
      <family val="2"/>
    </font>
    <font>
      <sz val="10"/>
      <name val="Tms Rmn"/>
    </font>
    <font>
      <b/>
      <sz val="11"/>
      <color indexed="63"/>
      <name val="Calibri"/>
      <family val="2"/>
    </font>
    <font>
      <b/>
      <sz val="18"/>
      <color indexed="56"/>
      <name val="Cambria"/>
      <family val="2"/>
    </font>
    <font>
      <b/>
      <sz val="11"/>
      <color indexed="8"/>
      <name val="Calibri"/>
      <family val="2"/>
    </font>
    <font>
      <sz val="11"/>
      <color indexed="10"/>
      <name val="Calibri"/>
      <family val="2"/>
    </font>
    <font>
      <sz val="12"/>
      <name val="Arial"/>
      <family val="2"/>
    </font>
    <font>
      <sz val="11"/>
      <name val="Times New Roman"/>
      <family val="1"/>
    </font>
    <font>
      <sz val="10"/>
      <name val="MS Sans Serif"/>
      <family val="2"/>
    </font>
    <font>
      <b/>
      <i/>
      <sz val="16"/>
      <name val="Helv"/>
    </font>
    <font>
      <b/>
      <sz val="11"/>
      <color indexed="12"/>
      <name val="Arial"/>
      <family val="2"/>
    </font>
    <font>
      <b/>
      <sz val="12"/>
      <name val="Arial"/>
      <family val="2"/>
    </font>
    <font>
      <b/>
      <sz val="14"/>
      <name val="Arial"/>
      <family val="2"/>
    </font>
    <font>
      <sz val="10"/>
      <color indexed="8"/>
      <name val="Arial"/>
      <family val="2"/>
    </font>
    <font>
      <sz val="10"/>
      <color indexed="12"/>
      <name val="Arial"/>
      <family val="2"/>
    </font>
    <font>
      <sz val="9"/>
      <name val="Times New Roman"/>
      <family val="1"/>
    </font>
    <font>
      <sz val="10"/>
      <name val="BERNHARD"/>
    </font>
    <font>
      <sz val="10"/>
      <name val="Helv"/>
    </font>
    <font>
      <sz val="12"/>
      <color indexed="9"/>
      <name val="Helv"/>
    </font>
    <font>
      <sz val="1"/>
      <color indexed="8"/>
      <name val="Courier"/>
      <family val="3"/>
    </font>
    <font>
      <b/>
      <sz val="1"/>
      <color indexed="8"/>
      <name val="Courier"/>
      <family val="3"/>
    </font>
    <font>
      <sz val="8"/>
      <color indexed="8"/>
      <name val="Helvetica"/>
      <family val="2"/>
    </font>
    <font>
      <b/>
      <sz val="18"/>
      <name val="Arial"/>
      <family val="2"/>
    </font>
    <font>
      <u/>
      <sz val="8"/>
      <color indexed="12"/>
      <name val="Arial Narrow"/>
      <family val="2"/>
    </font>
    <font>
      <b/>
      <sz val="12"/>
      <color indexed="9"/>
      <name val="Helv"/>
    </font>
    <font>
      <sz val="12"/>
      <color indexed="13"/>
      <name val="Helv"/>
    </font>
    <font>
      <sz val="12"/>
      <name val="바탕체"/>
      <family val="3"/>
      <charset val="129"/>
    </font>
    <font>
      <b/>
      <sz val="12"/>
      <color theme="1"/>
      <name val="Times New Roman"/>
      <family val="1"/>
    </font>
    <font>
      <b/>
      <sz val="13"/>
      <color theme="1"/>
      <name val="Times New Roman"/>
      <family val="1"/>
    </font>
    <font>
      <sz val="13"/>
      <color theme="1"/>
      <name val="Times New Roman"/>
      <family val="1"/>
    </font>
    <font>
      <b/>
      <sz val="16"/>
      <color theme="1"/>
      <name val="Times New Roman"/>
      <family val="1"/>
    </font>
    <font>
      <sz val="16"/>
      <color theme="1"/>
      <name val="Preeti"/>
    </font>
    <font>
      <sz val="10"/>
      <name val="Arial"/>
      <family val="2"/>
    </font>
    <font>
      <sz val="12"/>
      <name val="Times New Roman"/>
      <family val="1"/>
    </font>
    <font>
      <sz val="12"/>
      <name val="Helv"/>
    </font>
    <font>
      <sz val="11"/>
      <color indexed="8"/>
      <name val="Calibri"/>
      <family val="2"/>
      <scheme val="minor"/>
    </font>
    <font>
      <b/>
      <sz val="11"/>
      <color theme="1"/>
      <name val="Calibri"/>
      <family val="2"/>
      <scheme val="minor"/>
    </font>
    <font>
      <sz val="12"/>
      <color theme="1"/>
      <name val="Times New Roman"/>
      <family val="1"/>
    </font>
    <font>
      <sz val="10"/>
      <color indexed="81"/>
      <name val="Tahoma"/>
      <charset val="1"/>
    </font>
    <font>
      <b/>
      <sz val="10"/>
      <color indexed="81"/>
      <name val="Tahoma"/>
      <charset val="1"/>
    </font>
    <font>
      <sz val="10"/>
      <name val="FONTASY_ HIMALI_ TT"/>
      <family val="5"/>
    </font>
    <font>
      <sz val="16"/>
      <name val="Preeti"/>
    </font>
    <font>
      <sz val="11"/>
      <name val="Preeti"/>
    </font>
    <font>
      <sz val="12"/>
      <name val="Preeti"/>
    </font>
    <font>
      <sz val="13"/>
      <name val="Preeti"/>
    </font>
    <font>
      <sz val="10"/>
      <name val="Fontasy Himali"/>
      <family val="5"/>
    </font>
    <font>
      <sz val="13"/>
      <name val="FONTASY_ HIMALI_ TT"/>
      <family val="5"/>
    </font>
    <font>
      <sz val="10"/>
      <name val="Arial"/>
    </font>
    <font>
      <sz val="14"/>
      <color theme="1"/>
      <name val="Times New Roman"/>
      <family val="1"/>
    </font>
    <font>
      <b/>
      <sz val="12"/>
      <color theme="1"/>
      <name val="Preeti"/>
    </font>
    <font>
      <b/>
      <sz val="12"/>
      <name val="Times New Roman"/>
      <family val="1"/>
    </font>
    <font>
      <b/>
      <sz val="12"/>
      <name val="Preeti"/>
    </font>
    <font>
      <sz val="16"/>
      <color theme="1"/>
      <name val="Preeti"/>
      <family val="1"/>
    </font>
    <font>
      <sz val="9"/>
      <color indexed="81"/>
      <name val="Tahoma"/>
      <family val="2"/>
    </font>
    <font>
      <b/>
      <sz val="9"/>
      <color indexed="81"/>
      <name val="Tahoma"/>
      <family val="2"/>
    </font>
    <font>
      <b/>
      <sz val="9"/>
      <name val="Arial"/>
      <family val="2"/>
    </font>
  </fonts>
  <fills count="33">
    <fill>
      <patternFill patternType="none"/>
    </fill>
    <fill>
      <patternFill patternType="gray125"/>
    </fill>
    <fill>
      <patternFill patternType="solid">
        <fgColor theme="0"/>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22"/>
        <bgColor indexed="64"/>
      </patternFill>
    </fill>
    <fill>
      <patternFill patternType="solid">
        <fgColor indexed="26"/>
        <bgColor indexed="64"/>
      </patternFill>
    </fill>
    <fill>
      <patternFill patternType="solid">
        <fgColor indexed="43"/>
      </patternFill>
    </fill>
    <fill>
      <patternFill patternType="solid">
        <fgColor indexed="26"/>
      </patternFill>
    </fill>
    <fill>
      <patternFill patternType="solid">
        <fgColor indexed="13"/>
        <bgColor indexed="64"/>
      </patternFill>
    </fill>
    <fill>
      <patternFill patternType="solid">
        <fgColor indexed="9"/>
        <bgColor indexed="9"/>
      </patternFill>
    </fill>
    <fill>
      <patternFill patternType="solid">
        <fgColor indexed="13"/>
      </patternFill>
    </fill>
    <fill>
      <patternFill patternType="solid">
        <fgColor indexed="12"/>
      </patternFill>
    </fill>
    <fill>
      <patternFill patternType="solid">
        <fgColor indexed="12"/>
        <bgColor indexed="64"/>
      </patternFill>
    </fill>
    <fill>
      <patternFill patternType="solid">
        <fgColor rgb="FFFFFF00"/>
        <bgColor indexed="64"/>
      </patternFill>
    </fill>
  </fills>
  <borders count="28">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right/>
      <top style="thin">
        <color indexed="64"/>
      </top>
      <bottom style="thin">
        <color indexed="6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indexed="64"/>
      </left>
      <right/>
      <top/>
      <bottom/>
      <diagonal/>
    </border>
    <border>
      <left/>
      <right/>
      <top style="medium">
        <color indexed="64"/>
      </top>
      <bottom style="medium">
        <color indexed="64"/>
      </bottom>
      <diagonal/>
    </border>
    <border>
      <left style="thin">
        <color indexed="8"/>
      </left>
      <right style="thin">
        <color indexed="8"/>
      </right>
      <top style="thin">
        <color indexed="8"/>
      </top>
      <bottom style="thin">
        <color indexed="8"/>
      </bottom>
      <diagonal/>
    </border>
    <border>
      <left/>
      <right/>
      <top style="double">
        <color indexed="64"/>
      </top>
      <bottom style="double">
        <color indexed="64"/>
      </bottom>
      <diagonal/>
    </border>
    <border>
      <left style="medium">
        <color indexed="10"/>
      </left>
      <right style="medium">
        <color indexed="10"/>
      </right>
      <top style="hair">
        <color indexed="10"/>
      </top>
      <bottom style="hair">
        <color indexed="10"/>
      </bottom>
      <diagonal/>
    </border>
    <border>
      <left style="thin">
        <color indexed="8"/>
      </left>
      <right style="thin">
        <color indexed="8"/>
      </right>
      <top style="double">
        <color indexed="8"/>
      </top>
      <bottom style="thin">
        <color indexed="8"/>
      </bottom>
      <diagonal/>
    </border>
    <border>
      <left style="thin">
        <color auto="1"/>
      </left>
      <right style="thin">
        <color auto="1"/>
      </right>
      <top style="thin">
        <color auto="1"/>
      </top>
      <bottom style="thin">
        <color auto="1"/>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bottom style="thin">
        <color indexed="64"/>
      </bottom>
      <diagonal/>
    </border>
    <border>
      <left style="thin">
        <color indexed="64"/>
      </left>
      <right/>
      <top/>
      <bottom style="thin">
        <color auto="1"/>
      </bottom>
      <diagonal/>
    </border>
    <border>
      <left style="thin">
        <color auto="1"/>
      </left>
      <right/>
      <top style="thin">
        <color auto="1"/>
      </top>
      <bottom style="thin">
        <color auto="1"/>
      </bottom>
      <diagonal/>
    </border>
    <border>
      <left/>
      <right/>
      <top style="thin">
        <color indexed="64"/>
      </top>
      <bottom style="thin">
        <color indexed="64"/>
      </bottom>
      <diagonal/>
    </border>
    <border>
      <left style="thin">
        <color indexed="64"/>
      </left>
      <right/>
      <top style="thin">
        <color indexed="64"/>
      </top>
      <bottom/>
      <diagonal/>
    </border>
  </borders>
  <cellStyleXfs count="804">
    <xf numFmtId="0" fontId="0" fillId="0" borderId="0"/>
    <xf numFmtId="43" fontId="1" fillId="0" borderId="0" applyFont="0" applyFill="0" applyBorder="0" applyAlignment="0" applyProtection="0"/>
    <xf numFmtId="0" fontId="6" fillId="3" borderId="0" applyNumberFormat="0" applyBorder="0" applyAlignment="0" applyProtection="0"/>
    <xf numFmtId="0" fontId="6" fillId="4" borderId="0" applyNumberFormat="0" applyBorder="0" applyAlignment="0" applyProtection="0"/>
    <xf numFmtId="0" fontId="6" fillId="5" borderId="0" applyNumberFormat="0" applyBorder="0" applyAlignment="0" applyProtection="0"/>
    <xf numFmtId="0" fontId="6" fillId="6" borderId="0" applyNumberFormat="0" applyBorder="0" applyAlignment="0" applyProtection="0"/>
    <xf numFmtId="0" fontId="6" fillId="7" borderId="0" applyNumberFormat="0" applyBorder="0" applyAlignment="0" applyProtection="0"/>
    <xf numFmtId="0" fontId="6" fillId="8" borderId="0" applyNumberFormat="0" applyBorder="0" applyAlignment="0" applyProtection="0"/>
    <xf numFmtId="0" fontId="6" fillId="9" borderId="0" applyNumberFormat="0" applyBorder="0" applyAlignment="0" applyProtection="0"/>
    <xf numFmtId="0" fontId="6" fillId="10" borderId="0" applyNumberFormat="0" applyBorder="0" applyAlignment="0" applyProtection="0"/>
    <xf numFmtId="0" fontId="6" fillId="11" borderId="0" applyNumberFormat="0" applyBorder="0" applyAlignment="0" applyProtection="0"/>
    <xf numFmtId="0" fontId="6" fillId="6" borderId="0" applyNumberFormat="0" applyBorder="0" applyAlignment="0" applyProtection="0"/>
    <xf numFmtId="0" fontId="6" fillId="9" borderId="0" applyNumberFormat="0" applyBorder="0" applyAlignment="0" applyProtection="0"/>
    <xf numFmtId="0" fontId="6" fillId="12" borderId="0" applyNumberFormat="0" applyBorder="0" applyAlignment="0" applyProtection="0"/>
    <xf numFmtId="0" fontId="7" fillId="13" borderId="0" applyNumberFormat="0" applyBorder="0" applyAlignment="0" applyProtection="0"/>
    <xf numFmtId="0" fontId="7" fillId="10" borderId="0" applyNumberFormat="0" applyBorder="0" applyAlignment="0" applyProtection="0"/>
    <xf numFmtId="0" fontId="7" fillId="11" borderId="0" applyNumberFormat="0" applyBorder="0" applyAlignment="0" applyProtection="0"/>
    <xf numFmtId="0" fontId="7" fillId="14" borderId="0" applyNumberFormat="0" applyBorder="0" applyAlignment="0" applyProtection="0"/>
    <xf numFmtId="0" fontId="7" fillId="15" borderId="0" applyNumberFormat="0" applyBorder="0" applyAlignment="0" applyProtection="0"/>
    <xf numFmtId="0" fontId="7" fillId="16" borderId="0" applyNumberFormat="0" applyBorder="0" applyAlignment="0" applyProtection="0"/>
    <xf numFmtId="0" fontId="7" fillId="17" borderId="0" applyNumberFormat="0" applyBorder="0" applyAlignment="0" applyProtection="0"/>
    <xf numFmtId="0" fontId="7" fillId="18" borderId="0" applyNumberFormat="0" applyBorder="0" applyAlignment="0" applyProtection="0"/>
    <xf numFmtId="0" fontId="7" fillId="19" borderId="0" applyNumberFormat="0" applyBorder="0" applyAlignment="0" applyProtection="0"/>
    <xf numFmtId="0" fontId="7" fillId="14" borderId="0" applyNumberFormat="0" applyBorder="0" applyAlignment="0" applyProtection="0"/>
    <xf numFmtId="0" fontId="7" fillId="15" borderId="0" applyNumberFormat="0" applyBorder="0" applyAlignment="0" applyProtection="0"/>
    <xf numFmtId="0" fontId="7" fillId="20" borderId="0" applyNumberFormat="0" applyBorder="0" applyAlignment="0" applyProtection="0"/>
    <xf numFmtId="0" fontId="8" fillId="4" borderId="0" applyNumberFormat="0" applyBorder="0" applyAlignment="0" applyProtection="0"/>
    <xf numFmtId="0" fontId="9" fillId="21" borderId="4" applyNumberFormat="0" applyAlignment="0" applyProtection="0"/>
    <xf numFmtId="0" fontId="10" fillId="22" borderId="5" applyNumberFormat="0" applyAlignment="0" applyProtection="0"/>
    <xf numFmtId="43" fontId="3" fillId="0" borderId="0" applyFont="0" applyFill="0" applyBorder="0" applyAlignment="0" applyProtection="0"/>
    <xf numFmtId="43" fontId="6"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0" fontId="11" fillId="0" borderId="0" applyNumberFormat="0" applyFill="0" applyBorder="0" applyAlignment="0" applyProtection="0"/>
    <xf numFmtId="167" fontId="12" fillId="0" borderId="0">
      <protection locked="0"/>
    </xf>
    <xf numFmtId="167" fontId="12" fillId="0" borderId="0">
      <protection locked="0"/>
    </xf>
    <xf numFmtId="167" fontId="13" fillId="0" borderId="0">
      <protection locked="0"/>
    </xf>
    <xf numFmtId="167" fontId="12" fillId="0" borderId="0">
      <protection locked="0"/>
    </xf>
    <xf numFmtId="167" fontId="12" fillId="0" borderId="0">
      <protection locked="0"/>
    </xf>
    <xf numFmtId="167" fontId="12" fillId="0" borderId="0">
      <protection locked="0"/>
    </xf>
    <xf numFmtId="167" fontId="12" fillId="0" borderId="0">
      <protection locked="0"/>
    </xf>
    <xf numFmtId="0" fontId="2" fillId="0" borderId="0"/>
    <xf numFmtId="0" fontId="14" fillId="5" borderId="0" applyNumberFormat="0" applyBorder="0" applyAlignment="0" applyProtection="0"/>
    <xf numFmtId="38" fontId="5" fillId="23" borderId="0" applyNumberFormat="0" applyBorder="0" applyAlignment="0" applyProtection="0"/>
    <xf numFmtId="0" fontId="15" fillId="0" borderId="6" applyNumberFormat="0" applyFill="0" applyAlignment="0" applyProtection="0"/>
    <xf numFmtId="0" fontId="16" fillId="0" borderId="7" applyNumberFormat="0" applyFill="0" applyAlignment="0" applyProtection="0"/>
    <xf numFmtId="0" fontId="17" fillId="0" borderId="8" applyNumberFormat="0" applyFill="0" applyAlignment="0" applyProtection="0"/>
    <xf numFmtId="0" fontId="17" fillId="0" borderId="0" applyNumberFormat="0" applyFill="0" applyBorder="0" applyAlignment="0" applyProtection="0"/>
    <xf numFmtId="0" fontId="18" fillId="0" borderId="0" applyNumberFormat="0" applyFill="0" applyBorder="0" applyAlignment="0" applyProtection="0">
      <alignment vertical="top"/>
      <protection locked="0"/>
    </xf>
    <xf numFmtId="0" fontId="18" fillId="0" borderId="0" applyNumberFormat="0" applyFill="0" applyBorder="0" applyAlignment="0" applyProtection="0">
      <alignment vertical="top"/>
      <protection locked="0"/>
    </xf>
    <xf numFmtId="0" fontId="18" fillId="0" borderId="0" applyNumberFormat="0" applyFill="0" applyBorder="0" applyAlignment="0" applyProtection="0">
      <alignment vertical="top"/>
      <protection locked="0"/>
    </xf>
    <xf numFmtId="0" fontId="19" fillId="8" borderId="4" applyNumberFormat="0" applyAlignment="0" applyProtection="0"/>
    <xf numFmtId="10" fontId="5" fillId="24" borderId="1" applyNumberFormat="0" applyBorder="0" applyAlignment="0" applyProtection="0"/>
    <xf numFmtId="0" fontId="20" fillId="0" borderId="9" applyNumberFormat="0" applyFill="0" applyAlignment="0" applyProtection="0"/>
    <xf numFmtId="0" fontId="21" fillId="25" borderId="0" applyNumberFormat="0" applyBorder="0" applyAlignment="0" applyProtection="0"/>
    <xf numFmtId="168" fontId="30" fillId="0" borderId="0"/>
    <xf numFmtId="0" fontId="27" fillId="0" borderId="0"/>
    <xf numFmtId="0" fontId="27" fillId="0" borderId="0"/>
    <xf numFmtId="0" fontId="2" fillId="0" borderId="0"/>
    <xf numFmtId="0" fontId="2" fillId="0" borderId="0"/>
    <xf numFmtId="0" fontId="4" fillId="0" borderId="0"/>
    <xf numFmtId="0" fontId="2" fillId="0" borderId="0"/>
    <xf numFmtId="0" fontId="2" fillId="0" borderId="0"/>
    <xf numFmtId="0" fontId="2" fillId="0" borderId="0"/>
    <xf numFmtId="0" fontId="2" fillId="0" borderId="0"/>
    <xf numFmtId="0" fontId="27"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2" fillId="0" borderId="0"/>
    <xf numFmtId="0" fontId="2" fillId="0" borderId="0"/>
    <xf numFmtId="0" fontId="1" fillId="0" borderId="0"/>
    <xf numFmtId="0" fontId="3" fillId="0" borderId="0"/>
    <xf numFmtId="0" fontId="3" fillId="0" borderId="0"/>
    <xf numFmtId="0" fontId="2" fillId="0" borderId="0"/>
    <xf numFmtId="0" fontId="3" fillId="0" borderId="0"/>
    <xf numFmtId="0" fontId="3" fillId="0" borderId="0"/>
    <xf numFmtId="0" fontId="2" fillId="0" borderId="0"/>
    <xf numFmtId="0" fontId="2" fillId="0" borderId="0"/>
    <xf numFmtId="0" fontId="2" fillId="0" borderId="0"/>
    <xf numFmtId="0" fontId="6" fillId="0" borderId="0"/>
    <xf numFmtId="0" fontId="2" fillId="0" borderId="0"/>
    <xf numFmtId="0" fontId="2" fillId="0" borderId="0"/>
    <xf numFmtId="0" fontId="2" fillId="0" borderId="0"/>
    <xf numFmtId="0" fontId="2" fillId="0" borderId="0"/>
    <xf numFmtId="0" fontId="2" fillId="0" borderId="0"/>
    <xf numFmtId="0" fontId="2" fillId="0" borderId="0"/>
    <xf numFmtId="0" fontId="29" fillId="0" borderId="0"/>
    <xf numFmtId="0" fontId="6" fillId="26" borderId="10" applyNumberFormat="0" applyFont="0" applyAlignment="0" applyProtection="0"/>
    <xf numFmtId="0" fontId="23" fillId="21" borderId="11" applyNumberFormat="0" applyAlignment="0" applyProtection="0"/>
    <xf numFmtId="10" fontId="2" fillId="0" borderId="0" applyFont="0" applyFill="0" applyBorder="0" applyAlignment="0" applyProtection="0"/>
    <xf numFmtId="10" fontId="2" fillId="0" borderId="0" applyFont="0" applyFill="0" applyBorder="0" applyAlignment="0" applyProtection="0"/>
    <xf numFmtId="9" fontId="2" fillId="0" borderId="0" applyFont="0" applyFill="0" applyBorder="0" applyAlignment="0" applyProtection="0"/>
    <xf numFmtId="0" fontId="24" fillId="0" borderId="0" applyNumberFormat="0" applyFill="0" applyBorder="0" applyAlignment="0" applyProtection="0"/>
    <xf numFmtId="0" fontId="25" fillId="0" borderId="12" applyNumberFormat="0" applyFill="0" applyAlignment="0" applyProtection="0"/>
    <xf numFmtId="0" fontId="26" fillId="0" borderId="0" applyNumberFormat="0" applyFill="0" applyBorder="0" applyAlignment="0" applyProtection="0"/>
    <xf numFmtId="43" fontId="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164" fontId="28" fillId="0" borderId="0" applyFont="0" applyFill="0" applyBorder="0" applyAlignment="0" applyProtection="0"/>
    <xf numFmtId="0" fontId="18" fillId="0" borderId="0" applyNumberFormat="0" applyFill="0" applyBorder="0" applyAlignment="0" applyProtection="0">
      <alignment vertical="top"/>
      <protection locked="0"/>
    </xf>
    <xf numFmtId="0" fontId="1" fillId="0" borderId="0"/>
    <xf numFmtId="0" fontId="1" fillId="0" borderId="0"/>
    <xf numFmtId="0" fontId="2" fillId="0" borderId="0"/>
    <xf numFmtId="0" fontId="2" fillId="0" borderId="0"/>
    <xf numFmtId="0" fontId="2" fillId="0" borderId="0"/>
    <xf numFmtId="0" fontId="3" fillId="0" borderId="0"/>
    <xf numFmtId="0" fontId="2" fillId="0" borderId="0"/>
    <xf numFmtId="0" fontId="27" fillId="0" borderId="0"/>
    <xf numFmtId="10" fontId="2" fillId="0" borderId="0" applyFont="0" applyFill="0" applyBorder="0" applyAlignment="0" applyProtection="0"/>
    <xf numFmtId="0" fontId="1" fillId="0" borderId="0"/>
    <xf numFmtId="0" fontId="31" fillId="0" borderId="0">
      <alignment horizontal="left" vertical="center" indent="1"/>
    </xf>
    <xf numFmtId="0" fontId="2" fillId="0" borderId="0"/>
    <xf numFmtId="0" fontId="2" fillId="0" borderId="0"/>
    <xf numFmtId="0" fontId="2" fillId="0" borderId="0"/>
    <xf numFmtId="0" fontId="1" fillId="0" borderId="0"/>
    <xf numFmtId="0" fontId="22" fillId="0" borderId="0"/>
    <xf numFmtId="0" fontId="2" fillId="0" borderId="0"/>
    <xf numFmtId="0" fontId="2" fillId="0" borderId="0"/>
    <xf numFmtId="0" fontId="1" fillId="0" borderId="0"/>
    <xf numFmtId="0" fontId="2" fillId="0" borderId="0"/>
    <xf numFmtId="0" fontId="3" fillId="0" borderId="0"/>
    <xf numFmtId="0" fontId="2" fillId="0" borderId="0"/>
    <xf numFmtId="0" fontId="2" fillId="0" borderId="0"/>
    <xf numFmtId="9" fontId="2" fillId="0" borderId="0" applyFont="0" applyFill="0" applyBorder="0" applyAlignment="0" applyProtection="0"/>
    <xf numFmtId="0" fontId="6" fillId="3" borderId="0" applyNumberFormat="0" applyBorder="0" applyAlignment="0" applyProtection="0"/>
    <xf numFmtId="0" fontId="6" fillId="4" borderId="0" applyNumberFormat="0" applyBorder="0" applyAlignment="0" applyProtection="0"/>
    <xf numFmtId="0" fontId="6" fillId="5" borderId="0" applyNumberFormat="0" applyBorder="0" applyAlignment="0" applyProtection="0"/>
    <xf numFmtId="0" fontId="6" fillId="6" borderId="0" applyNumberFormat="0" applyBorder="0" applyAlignment="0" applyProtection="0"/>
    <xf numFmtId="0" fontId="6" fillId="7" borderId="0" applyNumberFormat="0" applyBorder="0" applyAlignment="0" applyProtection="0"/>
    <xf numFmtId="0" fontId="6" fillId="8" borderId="0" applyNumberFormat="0" applyBorder="0" applyAlignment="0" applyProtection="0"/>
    <xf numFmtId="0" fontId="6" fillId="9" borderId="0" applyNumberFormat="0" applyBorder="0" applyAlignment="0" applyProtection="0"/>
    <xf numFmtId="0" fontId="6" fillId="10" borderId="0" applyNumberFormat="0" applyBorder="0" applyAlignment="0" applyProtection="0"/>
    <xf numFmtId="0" fontId="6" fillId="11" borderId="0" applyNumberFormat="0" applyBorder="0" applyAlignment="0" applyProtection="0"/>
    <xf numFmtId="0" fontId="6" fillId="6" borderId="0" applyNumberFormat="0" applyBorder="0" applyAlignment="0" applyProtection="0"/>
    <xf numFmtId="0" fontId="6" fillId="9" borderId="0" applyNumberFormat="0" applyBorder="0" applyAlignment="0" applyProtection="0"/>
    <xf numFmtId="0" fontId="6" fillId="12" borderId="0" applyNumberFormat="0" applyBorder="0" applyAlignment="0" applyProtection="0"/>
    <xf numFmtId="0" fontId="7" fillId="13" borderId="0" applyNumberFormat="0" applyBorder="0" applyAlignment="0" applyProtection="0"/>
    <xf numFmtId="0" fontId="7" fillId="10" borderId="0" applyNumberFormat="0" applyBorder="0" applyAlignment="0" applyProtection="0"/>
    <xf numFmtId="0" fontId="7" fillId="11" borderId="0" applyNumberFormat="0" applyBorder="0" applyAlignment="0" applyProtection="0"/>
    <xf numFmtId="0" fontId="7" fillId="14" borderId="0" applyNumberFormat="0" applyBorder="0" applyAlignment="0" applyProtection="0"/>
    <xf numFmtId="0" fontId="7" fillId="15" borderId="0" applyNumberFormat="0" applyBorder="0" applyAlignment="0" applyProtection="0"/>
    <xf numFmtId="0" fontId="7" fillId="16" borderId="0" applyNumberFormat="0" applyBorder="0" applyAlignment="0" applyProtection="0"/>
    <xf numFmtId="0" fontId="7" fillId="17" borderId="0" applyNumberFormat="0" applyBorder="0" applyAlignment="0" applyProtection="0"/>
    <xf numFmtId="0" fontId="7" fillId="18" borderId="0" applyNumberFormat="0" applyBorder="0" applyAlignment="0" applyProtection="0"/>
    <xf numFmtId="0" fontId="7" fillId="19" borderId="0" applyNumberFormat="0" applyBorder="0" applyAlignment="0" applyProtection="0"/>
    <xf numFmtId="0" fontId="7" fillId="14" borderId="0" applyNumberFormat="0" applyBorder="0" applyAlignment="0" applyProtection="0"/>
    <xf numFmtId="0" fontId="7" fillId="15" borderId="0" applyNumberFormat="0" applyBorder="0" applyAlignment="0" applyProtection="0"/>
    <xf numFmtId="0" fontId="7" fillId="20" borderId="0" applyNumberFormat="0" applyBorder="0" applyAlignment="0" applyProtection="0"/>
    <xf numFmtId="0" fontId="8" fillId="4" borderId="0" applyNumberFormat="0" applyBorder="0" applyAlignment="0" applyProtection="0"/>
    <xf numFmtId="0" fontId="9" fillId="21" borderId="4" applyNumberFormat="0" applyAlignment="0" applyProtection="0"/>
    <xf numFmtId="0" fontId="10" fillId="22" borderId="5" applyNumberFormat="0" applyAlignment="0" applyProtection="0"/>
    <xf numFmtId="0" fontId="7" fillId="10" borderId="0" applyNumberFormat="0" applyBorder="0" applyAlignment="0" applyProtection="0"/>
    <xf numFmtId="0" fontId="7" fillId="11" borderId="0" applyNumberFormat="0" applyBorder="0" applyAlignment="0" applyProtection="0"/>
    <xf numFmtId="0" fontId="7" fillId="14" borderId="0" applyNumberFormat="0" applyBorder="0" applyAlignment="0" applyProtection="0"/>
    <xf numFmtId="0" fontId="7" fillId="19" borderId="0" applyNumberFormat="0" applyBorder="0" applyAlignment="0" applyProtection="0"/>
    <xf numFmtId="0" fontId="7" fillId="14" borderId="0" applyNumberFormat="0" applyBorder="0" applyAlignment="0" applyProtection="0"/>
    <xf numFmtId="0" fontId="7" fillId="15" borderId="0" applyNumberFormat="0" applyBorder="0" applyAlignment="0" applyProtection="0"/>
    <xf numFmtId="0" fontId="10" fillId="22" borderId="5" applyNumberFormat="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4" fillId="5" borderId="0" applyNumberFormat="0" applyBorder="0" applyAlignment="0" applyProtection="0"/>
    <xf numFmtId="0" fontId="15" fillId="0" borderId="6" applyNumberFormat="0" applyFill="0" applyAlignment="0" applyProtection="0"/>
    <xf numFmtId="0" fontId="16" fillId="0" borderId="7" applyNumberFormat="0" applyFill="0" applyAlignment="0" applyProtection="0"/>
    <xf numFmtId="0" fontId="17" fillId="0" borderId="8" applyNumberFormat="0" applyFill="0" applyAlignment="0" applyProtection="0"/>
    <xf numFmtId="0" fontId="17" fillId="0" borderId="0" applyNumberFormat="0" applyFill="0" applyBorder="0" applyAlignment="0" applyProtection="0"/>
    <xf numFmtId="0" fontId="15" fillId="0" borderId="6" applyNumberFormat="0" applyFill="0" applyAlignment="0" applyProtection="0"/>
    <xf numFmtId="0" fontId="16" fillId="0" borderId="7" applyNumberFormat="0" applyFill="0" applyAlignment="0" applyProtection="0"/>
    <xf numFmtId="0" fontId="19" fillId="8" borderId="4" applyNumberFormat="0" applyAlignment="0" applyProtection="0"/>
    <xf numFmtId="0" fontId="20" fillId="0" borderId="9" applyNumberFormat="0" applyFill="0" applyAlignment="0" applyProtection="0"/>
    <xf numFmtId="0" fontId="21" fillId="25" borderId="0" applyNumberFormat="0" applyBorder="0" applyAlignment="0" applyProtection="0"/>
    <xf numFmtId="0" fontId="21" fillId="25" borderId="0" applyNumberFormat="0" applyBorder="0" applyAlignment="0" applyProtection="0"/>
    <xf numFmtId="0" fontId="2" fillId="0" borderId="0"/>
    <xf numFmtId="0" fontId="21" fillId="25" borderId="0" applyNumberFormat="0" applyBorder="0" applyAlignment="0" applyProtection="0"/>
    <xf numFmtId="0" fontId="17" fillId="0" borderId="0" applyNumberFormat="0" applyFill="0" applyBorder="0" applyAlignment="0" applyProtection="0"/>
    <xf numFmtId="0" fontId="16" fillId="0" borderId="7" applyNumberFormat="0" applyFill="0" applyAlignment="0" applyProtection="0"/>
    <xf numFmtId="0" fontId="15" fillId="0" borderId="6" applyNumberFormat="0" applyFill="0" applyAlignment="0" applyProtection="0"/>
    <xf numFmtId="0" fontId="11" fillId="0" borderId="0" applyNumberFormat="0" applyFill="0" applyBorder="0" applyAlignment="0" applyProtection="0"/>
    <xf numFmtId="0" fontId="10" fillId="22" borderId="5" applyNumberFormat="0" applyAlignment="0" applyProtection="0"/>
    <xf numFmtId="0" fontId="8" fillId="4" borderId="0" applyNumberFormat="0" applyBorder="0" applyAlignment="0" applyProtection="0"/>
    <xf numFmtId="0" fontId="7" fillId="15" borderId="0" applyNumberFormat="0" applyBorder="0" applyAlignment="0" applyProtection="0"/>
    <xf numFmtId="0" fontId="7" fillId="14" borderId="0" applyNumberFormat="0" applyBorder="0" applyAlignment="0" applyProtection="0"/>
    <xf numFmtId="0" fontId="7" fillId="19" borderId="0" applyNumberFormat="0" applyBorder="0" applyAlignment="0" applyProtection="0"/>
    <xf numFmtId="0" fontId="7" fillId="15" borderId="0" applyNumberFormat="0" applyBorder="0" applyAlignment="0" applyProtection="0"/>
    <xf numFmtId="0" fontId="7" fillId="14" borderId="0" applyNumberFormat="0" applyBorder="0" applyAlignment="0" applyProtection="0"/>
    <xf numFmtId="0" fontId="7" fillId="11" borderId="0" applyNumberFormat="0" applyBorder="0" applyAlignment="0" applyProtection="0"/>
    <xf numFmtId="0" fontId="7" fillId="10" borderId="0" applyNumberFormat="0" applyBorder="0" applyAlignment="0" applyProtection="0"/>
    <xf numFmtId="0" fontId="6" fillId="12" borderId="0" applyNumberFormat="0" applyBorder="0" applyAlignment="0" applyProtection="0"/>
    <xf numFmtId="0" fontId="6" fillId="6" borderId="0" applyNumberFormat="0" applyBorder="0" applyAlignment="0" applyProtection="0"/>
    <xf numFmtId="0" fontId="6" fillId="11" borderId="0" applyNumberFormat="0" applyBorder="0" applyAlignment="0" applyProtection="0"/>
    <xf numFmtId="0" fontId="6" fillId="9" borderId="0" applyNumberFormat="0" applyBorder="0" applyAlignment="0" applyProtection="0"/>
    <xf numFmtId="0" fontId="6" fillId="7" borderId="0" applyNumberFormat="0" applyBorder="0" applyAlignment="0" applyProtection="0"/>
    <xf numFmtId="0" fontId="6" fillId="26" borderId="10" applyNumberFormat="0" applyFont="0" applyAlignment="0" applyProtection="0"/>
    <xf numFmtId="0" fontId="23" fillId="21" borderId="11" applyNumberFormat="0" applyAlignment="0" applyProtection="0"/>
    <xf numFmtId="0" fontId="6" fillId="6" borderId="0" applyNumberFormat="0" applyBorder="0" applyAlignment="0" applyProtection="0"/>
    <xf numFmtId="0" fontId="6" fillId="5" borderId="0" applyNumberFormat="0" applyBorder="0" applyAlignment="0" applyProtection="0"/>
    <xf numFmtId="0" fontId="6" fillId="3" borderId="0" applyNumberFormat="0" applyBorder="0" applyAlignment="0" applyProtection="0"/>
    <xf numFmtId="0" fontId="24" fillId="0" borderId="0" applyNumberFormat="0" applyFill="0" applyBorder="0" applyAlignment="0" applyProtection="0"/>
    <xf numFmtId="0" fontId="25" fillId="0" borderId="12" applyNumberFormat="0" applyFill="0" applyAlignment="0" applyProtection="0"/>
    <xf numFmtId="0" fontId="26" fillId="0" borderId="0" applyNumberFormat="0" applyFill="0" applyBorder="0" applyAlignment="0" applyProtection="0"/>
    <xf numFmtId="0" fontId="7" fillId="15" borderId="0" applyNumberFormat="0" applyBorder="0" applyAlignment="0" applyProtection="0"/>
    <xf numFmtId="0" fontId="8" fillId="4" borderId="0" applyNumberFormat="0" applyBorder="0" applyAlignment="0" applyProtection="0"/>
    <xf numFmtId="0" fontId="17" fillId="0" borderId="0" applyNumberFormat="0" applyFill="0" applyBorder="0" applyAlignment="0" applyProtection="0"/>
    <xf numFmtId="0" fontId="2" fillId="0" borderId="0"/>
    <xf numFmtId="0" fontId="19" fillId="8" borderId="4" applyNumberFormat="0" applyAlignment="0" applyProtection="0"/>
    <xf numFmtId="0" fontId="17" fillId="0" borderId="8" applyNumberFormat="0" applyFill="0" applyAlignment="0" applyProtection="0"/>
    <xf numFmtId="0" fontId="7" fillId="20" borderId="0" applyNumberFormat="0" applyBorder="0" applyAlignment="0" applyProtection="0"/>
    <xf numFmtId="0" fontId="7" fillId="13" borderId="0" applyNumberFormat="0" applyBorder="0" applyAlignment="0" applyProtection="0"/>
    <xf numFmtId="0" fontId="6" fillId="10" borderId="0" applyNumberFormat="0" applyBorder="0" applyAlignment="0" applyProtection="0"/>
    <xf numFmtId="0" fontId="6" fillId="4" borderId="0" applyNumberFormat="0" applyBorder="0" applyAlignment="0" applyProtection="0"/>
    <xf numFmtId="0" fontId="20" fillId="0" borderId="9" applyNumberFormat="0" applyFill="0" applyAlignment="0" applyProtection="0"/>
    <xf numFmtId="0" fontId="6" fillId="9" borderId="0" applyNumberFormat="0" applyBorder="0" applyAlignment="0" applyProtection="0"/>
    <xf numFmtId="0" fontId="14" fillId="5" borderId="0" applyNumberFormat="0" applyBorder="0" applyAlignment="0" applyProtection="0"/>
    <xf numFmtId="0" fontId="7" fillId="18" borderId="0" applyNumberFormat="0" applyBorder="0" applyAlignment="0" applyProtection="0"/>
    <xf numFmtId="0" fontId="7" fillId="16" borderId="0" applyNumberFormat="0" applyBorder="0" applyAlignment="0" applyProtection="0"/>
    <xf numFmtId="0" fontId="9" fillId="21" borderId="4" applyNumberFormat="0" applyAlignment="0" applyProtection="0"/>
    <xf numFmtId="0" fontId="7" fillId="17" borderId="0" applyNumberFormat="0" applyBorder="0" applyAlignment="0" applyProtection="0"/>
    <xf numFmtId="0" fontId="4" fillId="0" borderId="0"/>
    <xf numFmtId="0" fontId="6" fillId="8" borderId="0" applyNumberFormat="0" applyBorder="0" applyAlignment="0" applyProtection="0"/>
    <xf numFmtId="0" fontId="6" fillId="12" borderId="0" applyNumberFormat="0" applyBorder="0" applyAlignment="0" applyProtection="0"/>
    <xf numFmtId="0" fontId="6" fillId="6" borderId="0" applyNumberFormat="0" applyBorder="0" applyAlignment="0" applyProtection="0"/>
    <xf numFmtId="0" fontId="6" fillId="11" borderId="0" applyNumberFormat="0" applyBorder="0" applyAlignment="0" applyProtection="0"/>
    <xf numFmtId="0" fontId="6" fillId="9" borderId="0" applyNumberFormat="0" applyBorder="0" applyAlignment="0" applyProtection="0"/>
    <xf numFmtId="0" fontId="6" fillId="7" borderId="0" applyNumberFormat="0" applyBorder="0" applyAlignment="0" applyProtection="0"/>
    <xf numFmtId="0" fontId="6" fillId="26" borderId="10" applyNumberFormat="0" applyFont="0" applyAlignment="0" applyProtection="0"/>
    <xf numFmtId="0" fontId="23" fillId="21" borderId="11" applyNumberFormat="0" applyAlignment="0" applyProtection="0"/>
    <xf numFmtId="0" fontId="6" fillId="6" borderId="0" applyNumberFormat="0" applyBorder="0" applyAlignment="0" applyProtection="0"/>
    <xf numFmtId="0" fontId="6" fillId="5" borderId="0" applyNumberFormat="0" applyBorder="0" applyAlignment="0" applyProtection="0"/>
    <xf numFmtId="0" fontId="6" fillId="3" borderId="0" applyNumberFormat="0" applyBorder="0" applyAlignment="0" applyProtection="0"/>
    <xf numFmtId="0" fontId="24" fillId="0" borderId="0" applyNumberFormat="0" applyFill="0" applyBorder="0" applyAlignment="0" applyProtection="0"/>
    <xf numFmtId="0" fontId="25" fillId="0" borderId="12" applyNumberFormat="0" applyFill="0" applyAlignment="0" applyProtection="0"/>
    <xf numFmtId="0" fontId="26" fillId="0" borderId="0" applyNumberFormat="0" applyFill="0" applyBorder="0" applyAlignment="0" applyProtection="0"/>
    <xf numFmtId="0" fontId="2" fillId="0" borderId="0"/>
    <xf numFmtId="0" fontId="19" fillId="8" borderId="4" applyNumberFormat="0" applyAlignment="0" applyProtection="0"/>
    <xf numFmtId="0" fontId="17" fillId="0" borderId="8" applyNumberFormat="0" applyFill="0" applyAlignment="0" applyProtection="0"/>
    <xf numFmtId="0" fontId="7" fillId="20" borderId="0" applyNumberFormat="0" applyBorder="0" applyAlignment="0" applyProtection="0"/>
    <xf numFmtId="0" fontId="7" fillId="13" borderId="0" applyNumberFormat="0" applyBorder="0" applyAlignment="0" applyProtection="0"/>
    <xf numFmtId="0" fontId="6" fillId="10" borderId="0" applyNumberFormat="0" applyBorder="0" applyAlignment="0" applyProtection="0"/>
    <xf numFmtId="0" fontId="6" fillId="4" borderId="0" applyNumberFormat="0" applyBorder="0" applyAlignment="0" applyProtection="0"/>
    <xf numFmtId="0" fontId="20" fillId="0" borderId="9" applyNumberFormat="0" applyFill="0" applyAlignment="0" applyProtection="0"/>
    <xf numFmtId="0" fontId="6" fillId="9" borderId="0" applyNumberFormat="0" applyBorder="0" applyAlignment="0" applyProtection="0"/>
    <xf numFmtId="0" fontId="14" fillId="5" borderId="0" applyNumberFormat="0" applyBorder="0" applyAlignment="0" applyProtection="0"/>
    <xf numFmtId="0" fontId="7" fillId="18" borderId="0" applyNumberFormat="0" applyBorder="0" applyAlignment="0" applyProtection="0"/>
    <xf numFmtId="0" fontId="7" fillId="16" borderId="0" applyNumberFormat="0" applyBorder="0" applyAlignment="0" applyProtection="0"/>
    <xf numFmtId="0" fontId="9" fillId="21" borderId="4" applyNumberFormat="0" applyAlignment="0" applyProtection="0"/>
    <xf numFmtId="0" fontId="7" fillId="17" borderId="0" applyNumberFormat="0" applyBorder="0" applyAlignment="0" applyProtection="0"/>
    <xf numFmtId="0" fontId="4" fillId="0" borderId="0"/>
    <xf numFmtId="0" fontId="6" fillId="8" borderId="0" applyNumberFormat="0" applyBorder="0" applyAlignment="0" applyProtection="0"/>
    <xf numFmtId="0" fontId="6" fillId="26" borderId="10" applyNumberFormat="0" applyFont="0" applyAlignment="0" applyProtection="0"/>
    <xf numFmtId="0" fontId="23" fillId="21" borderId="11" applyNumberFormat="0" applyAlignment="0" applyProtection="0"/>
    <xf numFmtId="0" fontId="24" fillId="0" borderId="0" applyNumberFormat="0" applyFill="0" applyBorder="0" applyAlignment="0" applyProtection="0"/>
    <xf numFmtId="0" fontId="25" fillId="0" borderId="12" applyNumberFormat="0" applyFill="0" applyAlignment="0" applyProtection="0"/>
    <xf numFmtId="0" fontId="26" fillId="0" borderId="0" applyNumberFormat="0" applyFill="0" applyBorder="0" applyAlignment="0" applyProtection="0"/>
    <xf numFmtId="0" fontId="4" fillId="0" borderId="0"/>
    <xf numFmtId="0" fontId="6" fillId="3" borderId="0" applyNumberFormat="0" applyBorder="0" applyAlignment="0" applyProtection="0"/>
    <xf numFmtId="0" fontId="6" fillId="4" borderId="0" applyNumberFormat="0" applyBorder="0" applyAlignment="0" applyProtection="0"/>
    <xf numFmtId="0" fontId="6" fillId="5" borderId="0" applyNumberFormat="0" applyBorder="0" applyAlignment="0" applyProtection="0"/>
    <xf numFmtId="0" fontId="6" fillId="6" borderId="0" applyNumberFormat="0" applyBorder="0" applyAlignment="0" applyProtection="0"/>
    <xf numFmtId="0" fontId="6" fillId="7" borderId="0" applyNumberFormat="0" applyBorder="0" applyAlignment="0" applyProtection="0"/>
    <xf numFmtId="0" fontId="6" fillId="8" borderId="0" applyNumberFormat="0" applyBorder="0" applyAlignment="0" applyProtection="0"/>
    <xf numFmtId="0" fontId="6" fillId="9" borderId="0" applyNumberFormat="0" applyBorder="0" applyAlignment="0" applyProtection="0"/>
    <xf numFmtId="0" fontId="6" fillId="10" borderId="0" applyNumberFormat="0" applyBorder="0" applyAlignment="0" applyProtection="0"/>
    <xf numFmtId="0" fontId="6" fillId="11" borderId="0" applyNumberFormat="0" applyBorder="0" applyAlignment="0" applyProtection="0"/>
    <xf numFmtId="0" fontId="6" fillId="6" borderId="0" applyNumberFormat="0" applyBorder="0" applyAlignment="0" applyProtection="0"/>
    <xf numFmtId="0" fontId="6" fillId="9" borderId="0" applyNumberFormat="0" applyBorder="0" applyAlignment="0" applyProtection="0"/>
    <xf numFmtId="0" fontId="6" fillId="12" borderId="0" applyNumberFormat="0" applyBorder="0" applyAlignment="0" applyProtection="0"/>
    <xf numFmtId="0" fontId="7" fillId="13" borderId="0" applyNumberFormat="0" applyBorder="0" applyAlignment="0" applyProtection="0"/>
    <xf numFmtId="0" fontId="7" fillId="10" borderId="0" applyNumberFormat="0" applyBorder="0" applyAlignment="0" applyProtection="0"/>
    <xf numFmtId="0" fontId="7" fillId="11" borderId="0" applyNumberFormat="0" applyBorder="0" applyAlignment="0" applyProtection="0"/>
    <xf numFmtId="0" fontId="7" fillId="14" borderId="0" applyNumberFormat="0" applyBorder="0" applyAlignment="0" applyProtection="0"/>
    <xf numFmtId="0" fontId="7" fillId="15" borderId="0" applyNumberFormat="0" applyBorder="0" applyAlignment="0" applyProtection="0"/>
    <xf numFmtId="0" fontId="7" fillId="16" borderId="0" applyNumberFormat="0" applyBorder="0" applyAlignment="0" applyProtection="0"/>
    <xf numFmtId="0" fontId="7" fillId="17" borderId="0" applyNumberFormat="0" applyBorder="0" applyAlignment="0" applyProtection="0"/>
    <xf numFmtId="0" fontId="7" fillId="18" borderId="0" applyNumberFormat="0" applyBorder="0" applyAlignment="0" applyProtection="0"/>
    <xf numFmtId="0" fontId="7" fillId="19" borderId="0" applyNumberFormat="0" applyBorder="0" applyAlignment="0" applyProtection="0"/>
    <xf numFmtId="0" fontId="7" fillId="14" borderId="0" applyNumberFormat="0" applyBorder="0" applyAlignment="0" applyProtection="0"/>
    <xf numFmtId="0" fontId="7" fillId="15" borderId="0" applyNumberFormat="0" applyBorder="0" applyAlignment="0" applyProtection="0"/>
    <xf numFmtId="0" fontId="7" fillId="20" borderId="0" applyNumberFormat="0" applyBorder="0" applyAlignment="0" applyProtection="0"/>
    <xf numFmtId="0" fontId="8" fillId="4" borderId="0" applyNumberFormat="0" applyBorder="0" applyAlignment="0" applyProtection="0"/>
    <xf numFmtId="0" fontId="9" fillId="21" borderId="4" applyNumberFormat="0" applyAlignment="0" applyProtection="0"/>
    <xf numFmtId="0" fontId="10" fillId="22" borderId="5" applyNumberFormat="0" applyAlignment="0" applyProtection="0"/>
    <xf numFmtId="0" fontId="11" fillId="0" borderId="0" applyNumberFormat="0" applyFill="0" applyBorder="0" applyAlignment="0" applyProtection="0"/>
    <xf numFmtId="0" fontId="16" fillId="0" borderId="7" applyNumberFormat="0" applyFill="0" applyAlignment="0" applyProtection="0"/>
    <xf numFmtId="0" fontId="11" fillId="0" borderId="0" applyNumberFormat="0" applyFill="0" applyBorder="0" applyAlignment="0" applyProtection="0"/>
    <xf numFmtId="0" fontId="21" fillId="25" borderId="0" applyNumberFormat="0" applyBorder="0" applyAlignment="0" applyProtection="0"/>
    <xf numFmtId="0" fontId="2" fillId="0" borderId="0"/>
    <xf numFmtId="0" fontId="14" fillId="5" borderId="0" applyNumberFormat="0" applyBorder="0" applyAlignment="0" applyProtection="0"/>
    <xf numFmtId="0" fontId="15" fillId="0" borderId="6" applyNumberFormat="0" applyFill="0" applyAlignment="0" applyProtection="0"/>
    <xf numFmtId="0" fontId="16" fillId="0" borderId="7" applyNumberFormat="0" applyFill="0" applyAlignment="0" applyProtection="0"/>
    <xf numFmtId="0" fontId="17" fillId="0" borderId="8" applyNumberFormat="0" applyFill="0" applyAlignment="0" applyProtection="0"/>
    <xf numFmtId="0" fontId="17" fillId="0" borderId="0" applyNumberFormat="0" applyFill="0" applyBorder="0" applyAlignment="0" applyProtection="0"/>
    <xf numFmtId="0" fontId="21" fillId="25" borderId="0" applyNumberFormat="0" applyBorder="0" applyAlignment="0" applyProtection="0"/>
    <xf numFmtId="0" fontId="19" fillId="8" borderId="4" applyNumberFormat="0" applyAlignment="0" applyProtection="0"/>
    <xf numFmtId="0" fontId="20" fillId="0" borderId="9" applyNumberFormat="0" applyFill="0" applyAlignment="0" applyProtection="0"/>
    <xf numFmtId="0" fontId="21" fillId="25" borderId="0" applyNumberFormat="0" applyBorder="0" applyAlignment="0" applyProtection="0"/>
    <xf numFmtId="0" fontId="19" fillId="8" borderId="4" applyNumberFormat="0" applyAlignment="0" applyProtection="0"/>
    <xf numFmtId="0" fontId="2" fillId="0" borderId="0"/>
    <xf numFmtId="0" fontId="14" fillId="5" borderId="0" applyNumberFormat="0" applyBorder="0" applyAlignment="0" applyProtection="0"/>
    <xf numFmtId="0" fontId="11" fillId="0" borderId="0" applyNumberFormat="0" applyFill="0" applyBorder="0" applyAlignment="0" applyProtection="0"/>
    <xf numFmtId="0" fontId="10" fillId="22" borderId="5" applyNumberFormat="0" applyAlignment="0" applyProtection="0"/>
    <xf numFmtId="0" fontId="9" fillId="21" borderId="4" applyNumberFormat="0" applyAlignment="0" applyProtection="0"/>
    <xf numFmtId="0" fontId="7" fillId="20" borderId="0" applyNumberFormat="0" applyBorder="0" applyAlignment="0" applyProtection="0"/>
    <xf numFmtId="0" fontId="7" fillId="15" borderId="0" applyNumberFormat="0" applyBorder="0" applyAlignment="0" applyProtection="0"/>
    <xf numFmtId="0" fontId="7" fillId="14" borderId="0" applyNumberFormat="0" applyBorder="0" applyAlignment="0" applyProtection="0"/>
    <xf numFmtId="0" fontId="7" fillId="17" borderId="0" applyNumberFormat="0" applyBorder="0" applyAlignment="0" applyProtection="0"/>
    <xf numFmtId="0" fontId="7" fillId="16" borderId="0" applyNumberFormat="0" applyBorder="0" applyAlignment="0" applyProtection="0"/>
    <xf numFmtId="0" fontId="7" fillId="14" borderId="0" applyNumberFormat="0" applyBorder="0" applyAlignment="0" applyProtection="0"/>
    <xf numFmtId="0" fontId="7" fillId="10" borderId="0" applyNumberFormat="0" applyBorder="0" applyAlignment="0" applyProtection="0"/>
    <xf numFmtId="0" fontId="6" fillId="12" borderId="0" applyNumberFormat="0" applyBorder="0" applyAlignment="0" applyProtection="0"/>
    <xf numFmtId="0" fontId="6" fillId="9" borderId="0" applyNumberFormat="0" applyBorder="0" applyAlignment="0" applyProtection="0"/>
    <xf numFmtId="0" fontId="6" fillId="6" borderId="0" applyNumberFormat="0" applyBorder="0" applyAlignment="0" applyProtection="0"/>
    <xf numFmtId="0" fontId="6" fillId="8" borderId="0" applyNumberFormat="0" applyBorder="0" applyAlignment="0" applyProtection="0"/>
    <xf numFmtId="0" fontId="6" fillId="7" borderId="0" applyNumberFormat="0" applyBorder="0" applyAlignment="0" applyProtection="0"/>
    <xf numFmtId="0" fontId="6" fillId="6" borderId="0" applyNumberFormat="0" applyBorder="0" applyAlignment="0" applyProtection="0"/>
    <xf numFmtId="0" fontId="6" fillId="5" borderId="0" applyNumberFormat="0" applyBorder="0" applyAlignment="0" applyProtection="0"/>
    <xf numFmtId="0" fontId="6" fillId="3" borderId="0" applyNumberFormat="0" applyBorder="0" applyAlignment="0" applyProtection="0"/>
    <xf numFmtId="0" fontId="6" fillId="26" borderId="10" applyNumberFormat="0" applyFont="0" applyAlignment="0" applyProtection="0"/>
    <xf numFmtId="0" fontId="23" fillId="21" borderId="11" applyNumberFormat="0" applyAlignment="0" applyProtection="0"/>
    <xf numFmtId="0" fontId="24" fillId="0" borderId="0" applyNumberFormat="0" applyFill="0" applyBorder="0" applyAlignment="0" applyProtection="0"/>
    <xf numFmtId="0" fontId="25" fillId="0" borderId="12" applyNumberFormat="0" applyFill="0" applyAlignment="0" applyProtection="0"/>
    <xf numFmtId="0" fontId="26" fillId="0" borderId="0" applyNumberFormat="0" applyFill="0" applyBorder="0" applyAlignment="0" applyProtection="0"/>
    <xf numFmtId="0" fontId="15" fillId="0" borderId="6" applyNumberFormat="0" applyFill="0" applyAlignment="0" applyProtection="0"/>
    <xf numFmtId="0" fontId="17" fillId="0" borderId="0" applyNumberFormat="0" applyFill="0" applyBorder="0" applyAlignment="0" applyProtection="0"/>
    <xf numFmtId="0" fontId="20" fillId="0" borderId="9" applyNumberFormat="0" applyFill="0" applyAlignment="0" applyProtection="0"/>
    <xf numFmtId="0" fontId="17" fillId="0" borderId="8" applyNumberFormat="0" applyFill="0" applyAlignment="0" applyProtection="0"/>
    <xf numFmtId="0" fontId="16" fillId="0" borderId="7" applyNumberFormat="0" applyFill="0" applyAlignment="0" applyProtection="0"/>
    <xf numFmtId="0" fontId="7" fillId="13" borderId="0" applyNumberFormat="0" applyBorder="0" applyAlignment="0" applyProtection="0"/>
    <xf numFmtId="0" fontId="6" fillId="4" borderId="0" applyNumberFormat="0" applyBorder="0" applyAlignment="0" applyProtection="0"/>
    <xf numFmtId="0" fontId="15" fillId="0" borderId="6" applyNumberFormat="0" applyFill="0" applyAlignment="0" applyProtection="0"/>
    <xf numFmtId="0" fontId="17" fillId="0" borderId="0" applyNumberFormat="0" applyFill="0" applyBorder="0" applyAlignment="0" applyProtection="0"/>
    <xf numFmtId="0" fontId="8" fillId="4" borderId="0" applyNumberFormat="0" applyBorder="0" applyAlignment="0" applyProtection="0"/>
    <xf numFmtId="0" fontId="7" fillId="19" borderId="0" applyNumberFormat="0" applyBorder="0" applyAlignment="0" applyProtection="0"/>
    <xf numFmtId="0" fontId="7" fillId="18" borderId="0" applyNumberFormat="0" applyBorder="0" applyAlignment="0" applyProtection="0"/>
    <xf numFmtId="0" fontId="4" fillId="0" borderId="0"/>
    <xf numFmtId="0" fontId="6" fillId="11" borderId="0" applyNumberFormat="0" applyBorder="0" applyAlignment="0" applyProtection="0"/>
    <xf numFmtId="0" fontId="6" fillId="9" borderId="0" applyNumberFormat="0" applyBorder="0" applyAlignment="0" applyProtection="0"/>
    <xf numFmtId="0" fontId="7" fillId="15" borderId="0" applyNumberFormat="0" applyBorder="0" applyAlignment="0" applyProtection="0"/>
    <xf numFmtId="0" fontId="7" fillId="11" borderId="0" applyNumberFormat="0" applyBorder="0" applyAlignment="0" applyProtection="0"/>
    <xf numFmtId="0" fontId="6" fillId="10" borderId="0" applyNumberFormat="0" applyBorder="0" applyAlignment="0" applyProtection="0"/>
    <xf numFmtId="0" fontId="10" fillId="22" borderId="5" applyNumberFormat="0" applyAlignment="0" applyProtection="0"/>
    <xf numFmtId="0" fontId="8" fillId="4" borderId="0" applyNumberFormat="0" applyBorder="0" applyAlignment="0" applyProtection="0"/>
    <xf numFmtId="0" fontId="7" fillId="15" borderId="0" applyNumberFormat="0" applyBorder="0" applyAlignment="0" applyProtection="0"/>
    <xf numFmtId="0" fontId="7" fillId="14" borderId="0" applyNumberFormat="0" applyBorder="0" applyAlignment="0" applyProtection="0"/>
    <xf numFmtId="0" fontId="7" fillId="19" borderId="0" applyNumberFormat="0" applyBorder="0" applyAlignment="0" applyProtection="0"/>
    <xf numFmtId="0" fontId="7" fillId="15" borderId="0" applyNumberFormat="0" applyBorder="0" applyAlignment="0" applyProtection="0"/>
    <xf numFmtId="0" fontId="7" fillId="14" borderId="0" applyNumberFormat="0" applyBorder="0" applyAlignment="0" applyProtection="0"/>
    <xf numFmtId="0" fontId="7" fillId="11" borderId="0" applyNumberFormat="0" applyBorder="0" applyAlignment="0" applyProtection="0"/>
    <xf numFmtId="0" fontId="7" fillId="10" borderId="0" applyNumberFormat="0" applyBorder="0" applyAlignment="0" applyProtection="0"/>
    <xf numFmtId="0" fontId="6" fillId="12" borderId="0" applyNumberFormat="0" applyBorder="0" applyAlignment="0" applyProtection="0"/>
    <xf numFmtId="0" fontId="6" fillId="6" borderId="0" applyNumberFormat="0" applyBorder="0" applyAlignment="0" applyProtection="0"/>
    <xf numFmtId="0" fontId="6" fillId="11" borderId="0" applyNumberFormat="0" applyBorder="0" applyAlignment="0" applyProtection="0"/>
    <xf numFmtId="0" fontId="6" fillId="9" borderId="0" applyNumberFormat="0" applyBorder="0" applyAlignment="0" applyProtection="0"/>
    <xf numFmtId="0" fontId="6" fillId="7" borderId="0" applyNumberFormat="0" applyBorder="0" applyAlignment="0" applyProtection="0"/>
    <xf numFmtId="0" fontId="6" fillId="26" borderId="10" applyNumberFormat="0" applyFont="0" applyAlignment="0" applyProtection="0"/>
    <xf numFmtId="0" fontId="23" fillId="21" borderId="11" applyNumberFormat="0" applyAlignment="0" applyProtection="0"/>
    <xf numFmtId="0" fontId="6" fillId="6" borderId="0" applyNumberFormat="0" applyBorder="0" applyAlignment="0" applyProtection="0"/>
    <xf numFmtId="0" fontId="6" fillId="5" borderId="0" applyNumberFormat="0" applyBorder="0" applyAlignment="0" applyProtection="0"/>
    <xf numFmtId="0" fontId="6" fillId="3" borderId="0" applyNumberFormat="0" applyBorder="0" applyAlignment="0" applyProtection="0"/>
    <xf numFmtId="0" fontId="24" fillId="0" borderId="0" applyNumberFormat="0" applyFill="0" applyBorder="0" applyAlignment="0" applyProtection="0"/>
    <xf numFmtId="0" fontId="25" fillId="0" borderId="12" applyNumberFormat="0" applyFill="0" applyAlignment="0" applyProtection="0"/>
    <xf numFmtId="0" fontId="26" fillId="0" borderId="0" applyNumberFormat="0" applyFill="0" applyBorder="0" applyAlignment="0" applyProtection="0"/>
    <xf numFmtId="0" fontId="2" fillId="0" borderId="0"/>
    <xf numFmtId="0" fontId="19" fillId="8" borderId="4" applyNumberFormat="0" applyAlignment="0" applyProtection="0"/>
    <xf numFmtId="0" fontId="17" fillId="0" borderId="8" applyNumberFormat="0" applyFill="0" applyAlignment="0" applyProtection="0"/>
    <xf numFmtId="0" fontId="7" fillId="20" borderId="0" applyNumberFormat="0" applyBorder="0" applyAlignment="0" applyProtection="0"/>
    <xf numFmtId="0" fontId="7" fillId="13" borderId="0" applyNumberFormat="0" applyBorder="0" applyAlignment="0" applyProtection="0"/>
    <xf numFmtId="0" fontId="6" fillId="10" borderId="0" applyNumberFormat="0" applyBorder="0" applyAlignment="0" applyProtection="0"/>
    <xf numFmtId="0" fontId="6" fillId="4" borderId="0" applyNumberFormat="0" applyBorder="0" applyAlignment="0" applyProtection="0"/>
    <xf numFmtId="0" fontId="20" fillId="0" borderId="9" applyNumberFormat="0" applyFill="0" applyAlignment="0" applyProtection="0"/>
    <xf numFmtId="0" fontId="6" fillId="9" borderId="0" applyNumberFormat="0" applyBorder="0" applyAlignment="0" applyProtection="0"/>
    <xf numFmtId="0" fontId="14" fillId="5" borderId="0" applyNumberFormat="0" applyBorder="0" applyAlignment="0" applyProtection="0"/>
    <xf numFmtId="0" fontId="7" fillId="18" borderId="0" applyNumberFormat="0" applyBorder="0" applyAlignment="0" applyProtection="0"/>
    <xf numFmtId="0" fontId="7" fillId="16" borderId="0" applyNumberFormat="0" applyBorder="0" applyAlignment="0" applyProtection="0"/>
    <xf numFmtId="0" fontId="9" fillId="21" borderId="4" applyNumberFormat="0" applyAlignment="0" applyProtection="0"/>
    <xf numFmtId="0" fontId="7" fillId="17" borderId="0" applyNumberFormat="0" applyBorder="0" applyAlignment="0" applyProtection="0"/>
    <xf numFmtId="0" fontId="4" fillId="0" borderId="0"/>
    <xf numFmtId="0" fontId="6" fillId="8" borderId="0" applyNumberFormat="0" applyBorder="0" applyAlignment="0" applyProtection="0"/>
    <xf numFmtId="0" fontId="6" fillId="26" borderId="10" applyNumberFormat="0" applyFont="0" applyAlignment="0" applyProtection="0"/>
    <xf numFmtId="0" fontId="23" fillId="21" borderId="11" applyNumberFormat="0" applyAlignment="0" applyProtection="0"/>
    <xf numFmtId="0" fontId="24" fillId="0" borderId="0" applyNumberFormat="0" applyFill="0" applyBorder="0" applyAlignment="0" applyProtection="0"/>
    <xf numFmtId="0" fontId="25" fillId="0" borderId="12" applyNumberFormat="0" applyFill="0" applyAlignment="0" applyProtection="0"/>
    <xf numFmtId="0" fontId="26" fillId="0" borderId="0" applyNumberFormat="0" applyFill="0" applyBorder="0" applyAlignment="0" applyProtection="0"/>
    <xf numFmtId="0" fontId="4" fillId="0" borderId="0"/>
    <xf numFmtId="0" fontId="6" fillId="3" borderId="0" applyNumberFormat="0" applyBorder="0" applyAlignment="0" applyProtection="0"/>
    <xf numFmtId="0" fontId="6" fillId="4" borderId="0" applyNumberFormat="0" applyBorder="0" applyAlignment="0" applyProtection="0"/>
    <xf numFmtId="0" fontId="6" fillId="5" borderId="0" applyNumberFormat="0" applyBorder="0" applyAlignment="0" applyProtection="0"/>
    <xf numFmtId="0" fontId="6" fillId="6" borderId="0" applyNumberFormat="0" applyBorder="0" applyAlignment="0" applyProtection="0"/>
    <xf numFmtId="0" fontId="6" fillId="7" borderId="0" applyNumberFormat="0" applyBorder="0" applyAlignment="0" applyProtection="0"/>
    <xf numFmtId="0" fontId="6" fillId="8" borderId="0" applyNumberFormat="0" applyBorder="0" applyAlignment="0" applyProtection="0"/>
    <xf numFmtId="0" fontId="6" fillId="9" borderId="0" applyNumberFormat="0" applyBorder="0" applyAlignment="0" applyProtection="0"/>
    <xf numFmtId="0" fontId="6" fillId="10" borderId="0" applyNumberFormat="0" applyBorder="0" applyAlignment="0" applyProtection="0"/>
    <xf numFmtId="0" fontId="6" fillId="11" borderId="0" applyNumberFormat="0" applyBorder="0" applyAlignment="0" applyProtection="0"/>
    <xf numFmtId="0" fontId="6" fillId="6" borderId="0" applyNumberFormat="0" applyBorder="0" applyAlignment="0" applyProtection="0"/>
    <xf numFmtId="0" fontId="6" fillId="9" borderId="0" applyNumberFormat="0" applyBorder="0" applyAlignment="0" applyProtection="0"/>
    <xf numFmtId="0" fontId="6" fillId="12" borderId="0" applyNumberFormat="0" applyBorder="0" applyAlignment="0" applyProtection="0"/>
    <xf numFmtId="0" fontId="7" fillId="13" borderId="0" applyNumberFormat="0" applyBorder="0" applyAlignment="0" applyProtection="0"/>
    <xf numFmtId="0" fontId="7" fillId="10" borderId="0" applyNumberFormat="0" applyBorder="0" applyAlignment="0" applyProtection="0"/>
    <xf numFmtId="0" fontId="7" fillId="11" borderId="0" applyNumberFormat="0" applyBorder="0" applyAlignment="0" applyProtection="0"/>
    <xf numFmtId="0" fontId="7" fillId="14" borderId="0" applyNumberFormat="0" applyBorder="0" applyAlignment="0" applyProtection="0"/>
    <xf numFmtId="0" fontId="7" fillId="15" borderId="0" applyNumberFormat="0" applyBorder="0" applyAlignment="0" applyProtection="0"/>
    <xf numFmtId="0" fontId="7" fillId="16" borderId="0" applyNumberFormat="0" applyBorder="0" applyAlignment="0" applyProtection="0"/>
    <xf numFmtId="0" fontId="7" fillId="17" borderId="0" applyNumberFormat="0" applyBorder="0" applyAlignment="0" applyProtection="0"/>
    <xf numFmtId="0" fontId="7" fillId="18" borderId="0" applyNumberFormat="0" applyBorder="0" applyAlignment="0" applyProtection="0"/>
    <xf numFmtId="0" fontId="7" fillId="19" borderId="0" applyNumberFormat="0" applyBorder="0" applyAlignment="0" applyProtection="0"/>
    <xf numFmtId="0" fontId="7" fillId="14" borderId="0" applyNumberFormat="0" applyBorder="0" applyAlignment="0" applyProtection="0"/>
    <xf numFmtId="0" fontId="7" fillId="15" borderId="0" applyNumberFormat="0" applyBorder="0" applyAlignment="0" applyProtection="0"/>
    <xf numFmtId="0" fontId="7" fillId="20" borderId="0" applyNumberFormat="0" applyBorder="0" applyAlignment="0" applyProtection="0"/>
    <xf numFmtId="0" fontId="8" fillId="4" borderId="0" applyNumberFormat="0" applyBorder="0" applyAlignment="0" applyProtection="0"/>
    <xf numFmtId="0" fontId="9" fillId="21" borderId="4" applyNumberFormat="0" applyAlignment="0" applyProtection="0"/>
    <xf numFmtId="0" fontId="10" fillId="22" borderId="5" applyNumberFormat="0" applyAlignment="0" applyProtection="0"/>
    <xf numFmtId="0" fontId="11" fillId="0" borderId="0" applyNumberFormat="0" applyFill="0" applyBorder="0" applyAlignment="0" applyProtection="0"/>
    <xf numFmtId="0" fontId="14" fillId="5" borderId="0" applyNumberFormat="0" applyBorder="0" applyAlignment="0" applyProtection="0"/>
    <xf numFmtId="0" fontId="15" fillId="0" borderId="6" applyNumberFormat="0" applyFill="0" applyAlignment="0" applyProtection="0"/>
    <xf numFmtId="0" fontId="16" fillId="0" borderId="7" applyNumberFormat="0" applyFill="0" applyAlignment="0" applyProtection="0"/>
    <xf numFmtId="0" fontId="17" fillId="0" borderId="8" applyNumberFormat="0" applyFill="0" applyAlignment="0" applyProtection="0"/>
    <xf numFmtId="0" fontId="17" fillId="0" borderId="0" applyNumberFormat="0" applyFill="0" applyBorder="0" applyAlignment="0" applyProtection="0"/>
    <xf numFmtId="0" fontId="19" fillId="8" borderId="4" applyNumberFormat="0" applyAlignment="0" applyProtection="0"/>
    <xf numFmtId="0" fontId="20" fillId="0" borderId="9" applyNumberFormat="0" applyFill="0" applyAlignment="0" applyProtection="0"/>
    <xf numFmtId="0" fontId="21" fillId="25" borderId="0" applyNumberFormat="0" applyBorder="0" applyAlignment="0" applyProtection="0"/>
    <xf numFmtId="0" fontId="2" fillId="0" borderId="0"/>
    <xf numFmtId="0" fontId="19" fillId="8" borderId="4" applyNumberFormat="0" applyAlignment="0" applyProtection="0"/>
    <xf numFmtId="0" fontId="17" fillId="0" borderId="8" applyNumberFormat="0" applyFill="0" applyAlignment="0" applyProtection="0"/>
    <xf numFmtId="0" fontId="16" fillId="0" borderId="7" applyNumberFormat="0" applyFill="0" applyAlignment="0" applyProtection="0"/>
    <xf numFmtId="0" fontId="15" fillId="0" borderId="6" applyNumberFormat="0" applyFill="0" applyAlignment="0" applyProtection="0"/>
    <xf numFmtId="0" fontId="11" fillId="0" borderId="0" applyNumberFormat="0" applyFill="0" applyBorder="0" applyAlignment="0" applyProtection="0"/>
    <xf numFmtId="0" fontId="2" fillId="0" borderId="0"/>
    <xf numFmtId="0" fontId="9" fillId="21" borderId="4" applyNumberFormat="0" applyAlignment="0" applyProtection="0"/>
    <xf numFmtId="0" fontId="7" fillId="20" borderId="0" applyNumberFormat="0" applyBorder="0" applyAlignment="0" applyProtection="0"/>
    <xf numFmtId="0" fontId="7" fillId="14" borderId="0" applyNumberFormat="0" applyBorder="0" applyAlignment="0" applyProtection="0"/>
    <xf numFmtId="0" fontId="7" fillId="19" borderId="0" applyNumberFormat="0" applyBorder="0" applyAlignment="0" applyProtection="0"/>
    <xf numFmtId="0" fontId="7" fillId="18" borderId="0" applyNumberFormat="0" applyBorder="0" applyAlignment="0" applyProtection="0"/>
    <xf numFmtId="0" fontId="7" fillId="14" borderId="0" applyNumberFormat="0" applyBorder="0" applyAlignment="0" applyProtection="0"/>
    <xf numFmtId="0" fontId="7" fillId="11" borderId="0" applyNumberFormat="0" applyBorder="0" applyAlignment="0" applyProtection="0"/>
    <xf numFmtId="0" fontId="7" fillId="10" borderId="0" applyNumberFormat="0" applyBorder="0" applyAlignment="0" applyProtection="0"/>
    <xf numFmtId="0" fontId="7" fillId="13" borderId="0" applyNumberFormat="0" applyBorder="0" applyAlignment="0" applyProtection="0"/>
    <xf numFmtId="0" fontId="6" fillId="9" borderId="0" applyNumberFormat="0" applyBorder="0" applyAlignment="0" applyProtection="0"/>
    <xf numFmtId="0" fontId="6" fillId="11" borderId="0" applyNumberFormat="0" applyBorder="0" applyAlignment="0" applyProtection="0"/>
    <xf numFmtId="0" fontId="6" fillId="10" borderId="0" applyNumberFormat="0" applyBorder="0" applyAlignment="0" applyProtection="0"/>
    <xf numFmtId="0" fontId="6" fillId="8" borderId="0" applyNumberFormat="0" applyBorder="0" applyAlignment="0" applyProtection="0"/>
    <xf numFmtId="0" fontId="6" fillId="7" borderId="0" applyNumberFormat="0" applyBorder="0" applyAlignment="0" applyProtection="0"/>
    <xf numFmtId="0" fontId="6" fillId="26" borderId="10" applyNumberFormat="0" applyFont="0" applyAlignment="0" applyProtection="0"/>
    <xf numFmtId="0" fontId="23" fillId="21" borderId="11" applyNumberFormat="0" applyAlignment="0" applyProtection="0"/>
    <xf numFmtId="0" fontId="6" fillId="6" borderId="0" applyNumberFormat="0" applyBorder="0" applyAlignment="0" applyProtection="0"/>
    <xf numFmtId="0" fontId="6" fillId="5" borderId="0" applyNumberFormat="0" applyBorder="0" applyAlignment="0" applyProtection="0"/>
    <xf numFmtId="0" fontId="6" fillId="3" borderId="0" applyNumberFormat="0" applyBorder="0" applyAlignment="0" applyProtection="0"/>
    <xf numFmtId="0" fontId="24" fillId="0" borderId="0" applyNumberFormat="0" applyFill="0" applyBorder="0" applyAlignment="0" applyProtection="0"/>
    <xf numFmtId="0" fontId="25" fillId="0" borderId="12" applyNumberFormat="0" applyFill="0" applyAlignment="0" applyProtection="0"/>
    <xf numFmtId="0" fontId="26" fillId="0" borderId="0" applyNumberFormat="0" applyFill="0" applyBorder="0" applyAlignment="0" applyProtection="0"/>
    <xf numFmtId="0" fontId="21" fillId="25" borderId="0" applyNumberFormat="0" applyBorder="0" applyAlignment="0" applyProtection="0"/>
    <xf numFmtId="0" fontId="17" fillId="0" borderId="0" applyNumberFormat="0" applyFill="0" applyBorder="0" applyAlignment="0" applyProtection="0"/>
    <xf numFmtId="0" fontId="14" fillId="5" borderId="0" applyNumberFormat="0" applyBorder="0" applyAlignment="0" applyProtection="0"/>
    <xf numFmtId="0" fontId="7" fillId="15" borderId="0" applyNumberFormat="0" applyBorder="0" applyAlignment="0" applyProtection="0"/>
    <xf numFmtId="0" fontId="6" fillId="12" borderId="0" applyNumberFormat="0" applyBorder="0" applyAlignment="0" applyProtection="0"/>
    <xf numFmtId="0" fontId="6" fillId="9" borderId="0" applyNumberFormat="0" applyBorder="0" applyAlignment="0" applyProtection="0"/>
    <xf numFmtId="0" fontId="6" fillId="4" borderId="0" applyNumberFormat="0" applyBorder="0" applyAlignment="0" applyProtection="0"/>
    <xf numFmtId="0" fontId="2" fillId="0" borderId="0"/>
    <xf numFmtId="0" fontId="6" fillId="6" borderId="0" applyNumberFormat="0" applyBorder="0" applyAlignment="0" applyProtection="0"/>
    <xf numFmtId="0" fontId="7" fillId="17" borderId="0" applyNumberFormat="0" applyBorder="0" applyAlignment="0" applyProtection="0"/>
    <xf numFmtId="0" fontId="7" fillId="15" borderId="0" applyNumberFormat="0" applyBorder="0" applyAlignment="0" applyProtection="0"/>
    <xf numFmtId="0" fontId="10" fillId="22" borderId="5" applyNumberFormat="0" applyAlignment="0" applyProtection="0"/>
    <xf numFmtId="0" fontId="8" fillId="4" borderId="0" applyNumberFormat="0" applyBorder="0" applyAlignment="0" applyProtection="0"/>
    <xf numFmtId="0" fontId="7" fillId="16" borderId="0" applyNumberFormat="0" applyBorder="0" applyAlignment="0" applyProtection="0"/>
    <xf numFmtId="0" fontId="4" fillId="0" borderId="0"/>
    <xf numFmtId="169" fontId="2" fillId="0" borderId="0" applyFont="0" applyFill="0" applyBorder="0" applyAlignment="0" applyProtection="0"/>
    <xf numFmtId="170"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169" fontId="2" fillId="0" borderId="0" applyFont="0" applyFill="0" applyBorder="0" applyAlignment="0" applyProtection="0"/>
    <xf numFmtId="0" fontId="27" fillId="0" borderId="1" applyNumberFormat="0" applyFont="0">
      <alignment horizontal="center" vertical="justify"/>
    </xf>
    <xf numFmtId="171" fontId="2" fillId="0" borderId="0" applyFill="0" applyBorder="0" applyAlignment="0"/>
    <xf numFmtId="172" fontId="36" fillId="0" borderId="0" applyFill="0" applyBorder="0" applyAlignment="0"/>
    <xf numFmtId="166" fontId="36" fillId="0" borderId="0" applyFill="0" applyBorder="0" applyAlignment="0"/>
    <xf numFmtId="173" fontId="2" fillId="0" borderId="0" applyFill="0" applyBorder="0" applyAlignment="0"/>
    <xf numFmtId="174" fontId="2" fillId="0" borderId="0" applyFill="0" applyBorder="0" applyAlignment="0"/>
    <xf numFmtId="171" fontId="2" fillId="0" borderId="0" applyFill="0" applyBorder="0" applyAlignment="0"/>
    <xf numFmtId="175" fontId="2" fillId="0" borderId="0" applyFill="0" applyBorder="0" applyAlignment="0"/>
    <xf numFmtId="172" fontId="36" fillId="0" borderId="0" applyFill="0" applyBorder="0" applyAlignment="0"/>
    <xf numFmtId="171" fontId="2"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8"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3" fontId="2" fillId="0" borderId="0" applyFill="0" applyBorder="0" applyAlignment="0" applyProtection="0"/>
    <xf numFmtId="0" fontId="37" fillId="0" borderId="0"/>
    <xf numFmtId="0" fontId="38" fillId="0" borderId="0"/>
    <xf numFmtId="0" fontId="37" fillId="0" borderId="0"/>
    <xf numFmtId="0" fontId="38" fillId="0" borderId="0"/>
    <xf numFmtId="172" fontId="36" fillId="0" borderId="0" applyFont="0" applyFill="0" applyBorder="0" applyAlignment="0" applyProtection="0"/>
    <xf numFmtId="5" fontId="2" fillId="0" borderId="0" applyFill="0" applyBorder="0" applyAlignment="0" applyProtection="0"/>
    <xf numFmtId="0" fontId="39" fillId="0" borderId="0"/>
    <xf numFmtId="0" fontId="39" fillId="0" borderId="15"/>
    <xf numFmtId="176" fontId="2" fillId="0" borderId="0" applyFill="0" applyBorder="0" applyAlignment="0" applyProtection="0"/>
    <xf numFmtId="14" fontId="34" fillId="0" borderId="0" applyFill="0" applyBorder="0" applyAlignment="0"/>
    <xf numFmtId="38" fontId="29" fillId="0" borderId="16">
      <alignment vertical="center"/>
    </xf>
    <xf numFmtId="0" fontId="40" fillId="0" borderId="0">
      <protection locked="0"/>
    </xf>
    <xf numFmtId="0" fontId="41" fillId="0" borderId="0">
      <protection locked="0"/>
    </xf>
    <xf numFmtId="0" fontId="41" fillId="0" borderId="0">
      <protection locked="0"/>
    </xf>
    <xf numFmtId="171" fontId="2" fillId="0" borderId="0" applyFill="0" applyBorder="0" applyAlignment="0"/>
    <xf numFmtId="172" fontId="36" fillId="0" borderId="0" applyFill="0" applyBorder="0" applyAlignment="0"/>
    <xf numFmtId="171" fontId="2" fillId="0" borderId="0" applyFill="0" applyBorder="0" applyAlignment="0"/>
    <xf numFmtId="175" fontId="2" fillId="0" borderId="0" applyFill="0" applyBorder="0" applyAlignment="0"/>
    <xf numFmtId="172" fontId="36" fillId="0" borderId="0" applyFill="0" applyBorder="0" applyAlignment="0"/>
    <xf numFmtId="0" fontId="40" fillId="0" borderId="0">
      <protection locked="0"/>
    </xf>
    <xf numFmtId="0" fontId="40" fillId="0" borderId="0">
      <protection locked="0"/>
    </xf>
    <xf numFmtId="2" fontId="2" fillId="0" borderId="0" applyFill="0" applyBorder="0" applyAlignment="0" applyProtection="0"/>
    <xf numFmtId="0" fontId="42" fillId="28" borderId="17" applyNumberFormat="0" applyAlignment="0">
      <protection locked="0"/>
    </xf>
    <xf numFmtId="0" fontId="5" fillId="23" borderId="0" applyNumberFormat="0" applyBorder="0" applyAlignment="0" applyProtection="0"/>
    <xf numFmtId="0" fontId="32" fillId="0" borderId="14" applyNumberFormat="0" applyAlignment="0" applyProtection="0">
      <alignment horizontal="left" vertical="center"/>
    </xf>
    <xf numFmtId="0" fontId="32" fillId="0" borderId="3">
      <alignment horizontal="left" vertical="center"/>
    </xf>
    <xf numFmtId="0" fontId="43" fillId="0" borderId="0" applyNumberFormat="0" applyFill="0" applyBorder="0" applyAlignment="0" applyProtection="0"/>
    <xf numFmtId="0" fontId="32" fillId="0" borderId="0" applyNumberFormat="0" applyFill="0" applyBorder="0" applyAlignment="0" applyProtection="0"/>
    <xf numFmtId="0" fontId="44" fillId="0" borderId="0" applyNumberFormat="0" applyFill="0" applyBorder="0" applyAlignment="0" applyProtection="0">
      <alignment vertical="top"/>
      <protection locked="0"/>
    </xf>
    <xf numFmtId="0" fontId="5" fillId="24" borderId="1" applyNumberFormat="0" applyBorder="0" applyAlignment="0" applyProtection="0"/>
    <xf numFmtId="0" fontId="28" fillId="0" borderId="13" applyNumberFormat="0" applyFont="0" applyBorder="0">
      <alignment horizontal="center" vertical="top"/>
    </xf>
    <xf numFmtId="0" fontId="45" fillId="29" borderId="15"/>
    <xf numFmtId="0" fontId="45" fillId="27" borderId="15"/>
    <xf numFmtId="171" fontId="2" fillId="0" borderId="0" applyFill="0" applyBorder="0" applyAlignment="0"/>
    <xf numFmtId="172" fontId="36" fillId="0" borderId="0" applyFill="0" applyBorder="0" applyAlignment="0"/>
    <xf numFmtId="171" fontId="2" fillId="0" borderId="0" applyFill="0" applyBorder="0" applyAlignment="0"/>
    <xf numFmtId="175" fontId="2" fillId="0" borderId="0" applyFill="0" applyBorder="0" applyAlignment="0"/>
    <xf numFmtId="172" fontId="36" fillId="0" borderId="0" applyFill="0" applyBorder="0" applyAlignment="0"/>
    <xf numFmtId="177" fontId="2" fillId="0" borderId="0" applyFont="0" applyFill="0" applyBorder="0" applyAlignment="0" applyProtection="0"/>
    <xf numFmtId="0" fontId="2" fillId="0" borderId="0"/>
    <xf numFmtId="0" fontId="2" fillId="0" borderId="0"/>
    <xf numFmtId="0" fontId="1" fillId="0" borderId="0"/>
    <xf numFmtId="0" fontId="1" fillId="0" borderId="0"/>
    <xf numFmtId="0" fontId="1" fillId="0" borderId="0"/>
    <xf numFmtId="0" fontId="1" fillId="0" borderId="0"/>
    <xf numFmtId="0" fontId="1" fillId="0" borderId="0"/>
    <xf numFmtId="0" fontId="20" fillId="0" borderId="9" applyNumberFormat="0" applyFill="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 fillId="0" borderId="0"/>
    <xf numFmtId="0" fontId="1" fillId="0" borderId="0"/>
    <xf numFmtId="0" fontId="2" fillId="0" borderId="0"/>
    <xf numFmtId="0" fontId="2" fillId="0" borderId="0"/>
    <xf numFmtId="0" fontId="3" fillId="0" borderId="0"/>
    <xf numFmtId="0" fontId="1" fillId="0" borderId="0"/>
    <xf numFmtId="0" fontId="1" fillId="0" borderId="0"/>
    <xf numFmtId="0" fontId="1" fillId="0" borderId="0"/>
    <xf numFmtId="0" fontId="2" fillId="0" borderId="0"/>
    <xf numFmtId="0" fontId="6" fillId="0" borderId="0"/>
    <xf numFmtId="0" fontId="2" fillId="0" borderId="0"/>
    <xf numFmtId="9" fontId="1" fillId="0" borderId="0" applyFont="0" applyFill="0" applyBorder="0" applyAlignment="0" applyProtection="0"/>
    <xf numFmtId="0" fontId="39" fillId="0" borderId="0"/>
    <xf numFmtId="3" fontId="3" fillId="0" borderId="2" applyBorder="0">
      <alignment horizontal="center" vertical="top"/>
    </xf>
    <xf numFmtId="0" fontId="35" fillId="0" borderId="0"/>
    <xf numFmtId="0" fontId="33" fillId="0" borderId="0"/>
    <xf numFmtId="0" fontId="39" fillId="0" borderId="15"/>
    <xf numFmtId="0" fontId="46" fillId="30" borderId="0"/>
    <xf numFmtId="0" fontId="46" fillId="31" borderId="0"/>
    <xf numFmtId="0" fontId="45" fillId="0" borderId="18"/>
    <xf numFmtId="0" fontId="45" fillId="0" borderId="15"/>
    <xf numFmtId="0" fontId="3" fillId="0" borderId="0">
      <alignment horizontal="center" vertical="center" textRotation="90"/>
    </xf>
    <xf numFmtId="9" fontId="47" fillId="0" borderId="0" applyFont="0" applyFill="0" applyBorder="0" applyAlignment="0" applyProtection="0"/>
    <xf numFmtId="178" fontId="47" fillId="0" borderId="0" applyFont="0" applyFill="0" applyBorder="0" applyAlignment="0" applyProtection="0"/>
    <xf numFmtId="179" fontId="47" fillId="0" borderId="0" applyFont="0" applyFill="0" applyBorder="0" applyAlignment="0" applyProtection="0"/>
    <xf numFmtId="180" fontId="47" fillId="0" borderId="0" applyFont="0" applyFill="0" applyBorder="0" applyAlignment="0" applyProtection="0"/>
    <xf numFmtId="181" fontId="47" fillId="0" borderId="0" applyFont="0" applyFill="0" applyBorder="0" applyAlignment="0" applyProtection="0"/>
    <xf numFmtId="0" fontId="47" fillId="0" borderId="0"/>
    <xf numFmtId="0" fontId="6" fillId="26" borderId="10" applyNumberFormat="0" applyFont="0" applyAlignment="0" applyProtection="0"/>
    <xf numFmtId="0" fontId="23" fillId="21" borderId="11" applyNumberFormat="0" applyAlignment="0" applyProtection="0"/>
    <xf numFmtId="0" fontId="24" fillId="0" borderId="0" applyNumberFormat="0" applyFill="0" applyBorder="0" applyAlignment="0" applyProtection="0"/>
    <xf numFmtId="0" fontId="25" fillId="0" borderId="12" applyNumberFormat="0" applyFill="0" applyAlignment="0" applyProtection="0"/>
    <xf numFmtId="0" fontId="26" fillId="0" borderId="0" applyNumberFormat="0" applyFill="0" applyBorder="0" applyAlignment="0" applyProtection="0"/>
    <xf numFmtId="0" fontId="1" fillId="0" borderId="0"/>
    <xf numFmtId="0" fontId="1" fillId="0" borderId="0"/>
    <xf numFmtId="0" fontId="1" fillId="0" borderId="0"/>
    <xf numFmtId="0" fontId="2" fillId="0" borderId="0"/>
    <xf numFmtId="0" fontId="6" fillId="3" borderId="0" applyNumberFormat="0" applyBorder="0" applyAlignment="0" applyProtection="0"/>
    <xf numFmtId="0" fontId="6" fillId="4" borderId="0" applyNumberFormat="0" applyBorder="0" applyAlignment="0" applyProtection="0"/>
    <xf numFmtId="0" fontId="6" fillId="5" borderId="0" applyNumberFormat="0" applyBorder="0" applyAlignment="0" applyProtection="0"/>
    <xf numFmtId="0" fontId="6" fillId="6" borderId="0" applyNumberFormat="0" applyBorder="0" applyAlignment="0" applyProtection="0"/>
    <xf numFmtId="0" fontId="6" fillId="7" borderId="0" applyNumberFormat="0" applyBorder="0" applyAlignment="0" applyProtection="0"/>
    <xf numFmtId="0" fontId="6" fillId="8" borderId="0" applyNumberFormat="0" applyBorder="0" applyAlignment="0" applyProtection="0"/>
    <xf numFmtId="0" fontId="6" fillId="9" borderId="0" applyNumberFormat="0" applyBorder="0" applyAlignment="0" applyProtection="0"/>
    <xf numFmtId="0" fontId="6" fillId="10" borderId="0" applyNumberFormat="0" applyBorder="0" applyAlignment="0" applyProtection="0"/>
    <xf numFmtId="0" fontId="6" fillId="11" borderId="0" applyNumberFormat="0" applyBorder="0" applyAlignment="0" applyProtection="0"/>
    <xf numFmtId="0" fontId="6" fillId="6" borderId="0" applyNumberFormat="0" applyBorder="0" applyAlignment="0" applyProtection="0"/>
    <xf numFmtId="0" fontId="6" fillId="9" borderId="0" applyNumberFormat="0" applyBorder="0" applyAlignment="0" applyProtection="0"/>
    <xf numFmtId="0" fontId="6" fillId="12" borderId="0" applyNumberFormat="0" applyBorder="0" applyAlignment="0" applyProtection="0"/>
    <xf numFmtId="0" fontId="7" fillId="13" borderId="0" applyNumberFormat="0" applyBorder="0" applyAlignment="0" applyProtection="0"/>
    <xf numFmtId="0" fontId="7" fillId="10" borderId="0" applyNumberFormat="0" applyBorder="0" applyAlignment="0" applyProtection="0"/>
    <xf numFmtId="0" fontId="7" fillId="11" borderId="0" applyNumberFormat="0" applyBorder="0" applyAlignment="0" applyProtection="0"/>
    <xf numFmtId="0" fontId="7" fillId="14" borderId="0" applyNumberFormat="0" applyBorder="0" applyAlignment="0" applyProtection="0"/>
    <xf numFmtId="0" fontId="7" fillId="15" borderId="0" applyNumberFormat="0" applyBorder="0" applyAlignment="0" applyProtection="0"/>
    <xf numFmtId="0" fontId="7" fillId="16" borderId="0" applyNumberFormat="0" applyBorder="0" applyAlignment="0" applyProtection="0"/>
    <xf numFmtId="0" fontId="7" fillId="17" borderId="0" applyNumberFormat="0" applyBorder="0" applyAlignment="0" applyProtection="0"/>
    <xf numFmtId="0" fontId="7" fillId="18" borderId="0" applyNumberFormat="0" applyBorder="0" applyAlignment="0" applyProtection="0"/>
    <xf numFmtId="0" fontId="7" fillId="19" borderId="0" applyNumberFormat="0" applyBorder="0" applyAlignment="0" applyProtection="0"/>
    <xf numFmtId="0" fontId="7" fillId="14" borderId="0" applyNumberFormat="0" applyBorder="0" applyAlignment="0" applyProtection="0"/>
    <xf numFmtId="0" fontId="7" fillId="15" borderId="0" applyNumberFormat="0" applyBorder="0" applyAlignment="0" applyProtection="0"/>
    <xf numFmtId="0" fontId="7" fillId="20" borderId="0" applyNumberFormat="0" applyBorder="0" applyAlignment="0" applyProtection="0"/>
    <xf numFmtId="0" fontId="8" fillId="4" borderId="0" applyNumberFormat="0" applyBorder="0" applyAlignment="0" applyProtection="0"/>
    <xf numFmtId="0" fontId="9" fillId="21" borderId="4" applyNumberFormat="0" applyAlignment="0" applyProtection="0"/>
    <xf numFmtId="0" fontId="10" fillId="22" borderId="5" applyNumberFormat="0" applyAlignment="0" applyProtection="0"/>
    <xf numFmtId="0" fontId="11" fillId="0" borderId="0" applyNumberFormat="0" applyFill="0" applyBorder="0" applyAlignment="0" applyProtection="0"/>
    <xf numFmtId="0" fontId="14" fillId="5" borderId="0" applyNumberFormat="0" applyBorder="0" applyAlignment="0" applyProtection="0"/>
    <xf numFmtId="0" fontId="15" fillId="0" borderId="6" applyNumberFormat="0" applyFill="0" applyAlignment="0" applyProtection="0"/>
    <xf numFmtId="0" fontId="16" fillId="0" borderId="7" applyNumberFormat="0" applyFill="0" applyAlignment="0" applyProtection="0"/>
    <xf numFmtId="0" fontId="17" fillId="0" borderId="8" applyNumberFormat="0" applyFill="0" applyAlignment="0" applyProtection="0"/>
    <xf numFmtId="0" fontId="17" fillId="0" borderId="0" applyNumberFormat="0" applyFill="0" applyBorder="0" applyAlignment="0" applyProtection="0"/>
    <xf numFmtId="0" fontId="19" fillId="8" borderId="4" applyNumberFormat="0" applyAlignment="0" applyProtection="0"/>
    <xf numFmtId="0" fontId="20" fillId="0" borderId="9" applyNumberFormat="0" applyFill="0" applyAlignment="0" applyProtection="0"/>
    <xf numFmtId="0" fontId="21" fillId="25" borderId="0" applyNumberFormat="0" applyBorder="0" applyAlignment="0" applyProtection="0"/>
    <xf numFmtId="0" fontId="2" fillId="0" borderId="0"/>
    <xf numFmtId="0" fontId="6" fillId="26" borderId="10" applyNumberFormat="0" applyFont="0" applyAlignment="0" applyProtection="0"/>
    <xf numFmtId="0" fontId="23" fillId="21" borderId="11" applyNumberFormat="0" applyAlignment="0" applyProtection="0"/>
    <xf numFmtId="0" fontId="24" fillId="0" borderId="0" applyNumberFormat="0" applyFill="0" applyBorder="0" applyAlignment="0" applyProtection="0"/>
    <xf numFmtId="0" fontId="25" fillId="0" borderId="12" applyNumberFormat="0" applyFill="0" applyAlignment="0" applyProtection="0"/>
    <xf numFmtId="0" fontId="26" fillId="0" borderId="0" applyNumberFormat="0" applyFill="0" applyBorder="0" applyAlignment="0" applyProtection="0"/>
    <xf numFmtId="0" fontId="1" fillId="0" borderId="0"/>
    <xf numFmtId="0" fontId="1" fillId="0" borderId="0"/>
    <xf numFmtId="0" fontId="1" fillId="0" borderId="0"/>
    <xf numFmtId="0" fontId="4" fillId="0" borderId="0"/>
    <xf numFmtId="0" fontId="6" fillId="3" borderId="0" applyNumberFormat="0" applyBorder="0" applyAlignment="0" applyProtection="0"/>
    <xf numFmtId="0" fontId="6" fillId="4" borderId="0" applyNumberFormat="0" applyBorder="0" applyAlignment="0" applyProtection="0"/>
    <xf numFmtId="0" fontId="6" fillId="5" borderId="0" applyNumberFormat="0" applyBorder="0" applyAlignment="0" applyProtection="0"/>
    <xf numFmtId="0" fontId="6" fillId="6" borderId="0" applyNumberFormat="0" applyBorder="0" applyAlignment="0" applyProtection="0"/>
    <xf numFmtId="0" fontId="6" fillId="7" borderId="0" applyNumberFormat="0" applyBorder="0" applyAlignment="0" applyProtection="0"/>
    <xf numFmtId="0" fontId="6" fillId="8" borderId="0" applyNumberFormat="0" applyBorder="0" applyAlignment="0" applyProtection="0"/>
    <xf numFmtId="0" fontId="6" fillId="9" borderId="0" applyNumberFormat="0" applyBorder="0" applyAlignment="0" applyProtection="0"/>
    <xf numFmtId="0" fontId="6" fillId="10" borderId="0" applyNumberFormat="0" applyBorder="0" applyAlignment="0" applyProtection="0"/>
    <xf numFmtId="0" fontId="6" fillId="11" borderId="0" applyNumberFormat="0" applyBorder="0" applyAlignment="0" applyProtection="0"/>
    <xf numFmtId="0" fontId="6" fillId="6" borderId="0" applyNumberFormat="0" applyBorder="0" applyAlignment="0" applyProtection="0"/>
    <xf numFmtId="0" fontId="6" fillId="9" borderId="0" applyNumberFormat="0" applyBorder="0" applyAlignment="0" applyProtection="0"/>
    <xf numFmtId="0" fontId="6" fillId="12" borderId="0" applyNumberFormat="0" applyBorder="0" applyAlignment="0" applyProtection="0"/>
    <xf numFmtId="0" fontId="7" fillId="13" borderId="0" applyNumberFormat="0" applyBorder="0" applyAlignment="0" applyProtection="0"/>
    <xf numFmtId="0" fontId="7" fillId="10" borderId="0" applyNumberFormat="0" applyBorder="0" applyAlignment="0" applyProtection="0"/>
    <xf numFmtId="0" fontId="7" fillId="11" borderId="0" applyNumberFormat="0" applyBorder="0" applyAlignment="0" applyProtection="0"/>
    <xf numFmtId="0" fontId="7" fillId="14" borderId="0" applyNumberFormat="0" applyBorder="0" applyAlignment="0" applyProtection="0"/>
    <xf numFmtId="0" fontId="7" fillId="15" borderId="0" applyNumberFormat="0" applyBorder="0" applyAlignment="0" applyProtection="0"/>
    <xf numFmtId="0" fontId="7" fillId="16" borderId="0" applyNumberFormat="0" applyBorder="0" applyAlignment="0" applyProtection="0"/>
    <xf numFmtId="0" fontId="7" fillId="17" borderId="0" applyNumberFormat="0" applyBorder="0" applyAlignment="0" applyProtection="0"/>
    <xf numFmtId="0" fontId="7" fillId="18" borderId="0" applyNumberFormat="0" applyBorder="0" applyAlignment="0" applyProtection="0"/>
    <xf numFmtId="0" fontId="7" fillId="19" borderId="0" applyNumberFormat="0" applyBorder="0" applyAlignment="0" applyProtection="0"/>
    <xf numFmtId="0" fontId="7" fillId="14" borderId="0" applyNumberFormat="0" applyBorder="0" applyAlignment="0" applyProtection="0"/>
    <xf numFmtId="0" fontId="7" fillId="15" borderId="0" applyNumberFormat="0" applyBorder="0" applyAlignment="0" applyProtection="0"/>
    <xf numFmtId="0" fontId="7" fillId="20" borderId="0" applyNumberFormat="0" applyBorder="0" applyAlignment="0" applyProtection="0"/>
    <xf numFmtId="0" fontId="8" fillId="4" borderId="0" applyNumberFormat="0" applyBorder="0" applyAlignment="0" applyProtection="0"/>
    <xf numFmtId="0" fontId="9" fillId="21" borderId="4" applyNumberFormat="0" applyAlignment="0" applyProtection="0"/>
    <xf numFmtId="0" fontId="10" fillId="22" borderId="5" applyNumberFormat="0" applyAlignment="0" applyProtection="0"/>
    <xf numFmtId="0" fontId="11" fillId="0" borderId="0" applyNumberFormat="0" applyFill="0" applyBorder="0" applyAlignment="0" applyProtection="0"/>
    <xf numFmtId="0" fontId="14" fillId="5" borderId="0" applyNumberFormat="0" applyBorder="0" applyAlignment="0" applyProtection="0"/>
    <xf numFmtId="0" fontId="15" fillId="0" borderId="6" applyNumberFormat="0" applyFill="0" applyAlignment="0" applyProtection="0"/>
    <xf numFmtId="0" fontId="16" fillId="0" borderId="7" applyNumberFormat="0" applyFill="0" applyAlignment="0" applyProtection="0"/>
    <xf numFmtId="0" fontId="17" fillId="0" borderId="8" applyNumberFormat="0" applyFill="0" applyAlignment="0" applyProtection="0"/>
    <xf numFmtId="0" fontId="17" fillId="0" borderId="0" applyNumberFormat="0" applyFill="0" applyBorder="0" applyAlignment="0" applyProtection="0"/>
    <xf numFmtId="0" fontId="19" fillId="8" borderId="4" applyNumberFormat="0" applyAlignment="0" applyProtection="0"/>
    <xf numFmtId="0" fontId="20" fillId="0" borderId="9" applyNumberFormat="0" applyFill="0" applyAlignment="0" applyProtection="0"/>
    <xf numFmtId="0" fontId="21" fillId="25" borderId="0" applyNumberFormat="0" applyBorder="0" applyAlignment="0" applyProtection="0"/>
    <xf numFmtId="0" fontId="25" fillId="0" borderId="12" applyNumberFormat="0" applyFill="0" applyAlignment="0" applyProtection="0"/>
    <xf numFmtId="0" fontId="24" fillId="0" borderId="0" applyNumberFormat="0" applyFill="0" applyBorder="0" applyAlignment="0" applyProtection="0"/>
    <xf numFmtId="0" fontId="2" fillId="0" borderId="0"/>
    <xf numFmtId="0" fontId="2" fillId="0" borderId="0"/>
    <xf numFmtId="0" fontId="16" fillId="0" borderId="7" applyNumberFormat="0" applyFill="0" applyAlignment="0" applyProtection="0"/>
    <xf numFmtId="0" fontId="14" fillId="5" borderId="0" applyNumberFormat="0" applyBorder="0" applyAlignment="0" applyProtection="0"/>
    <xf numFmtId="0" fontId="9" fillId="21" borderId="4" applyNumberFormat="0" applyAlignment="0" applyProtection="0"/>
    <xf numFmtId="0" fontId="8" fillId="4" borderId="0" applyNumberFormat="0" applyBorder="0" applyAlignment="0" applyProtection="0"/>
    <xf numFmtId="0" fontId="7" fillId="15" borderId="0" applyNumberFormat="0" applyBorder="0" applyAlignment="0" applyProtection="0"/>
    <xf numFmtId="0" fontId="7" fillId="19" borderId="0" applyNumberFormat="0" applyBorder="0" applyAlignment="0" applyProtection="0"/>
    <xf numFmtId="0" fontId="6" fillId="26" borderId="10" applyNumberFormat="0" applyFont="0" applyAlignment="0" applyProtection="0"/>
    <xf numFmtId="0" fontId="23" fillId="21" borderId="11" applyNumberFormat="0" applyAlignment="0" applyProtection="0"/>
    <xf numFmtId="0" fontId="7" fillId="18" borderId="0" applyNumberFormat="0" applyBorder="0" applyAlignment="0" applyProtection="0"/>
    <xf numFmtId="0" fontId="7" fillId="17" borderId="0" applyNumberFormat="0" applyBorder="0" applyAlignment="0" applyProtection="0"/>
    <xf numFmtId="0" fontId="7" fillId="15" borderId="0" applyNumberFormat="0" applyBorder="0" applyAlignment="0" applyProtection="0"/>
    <xf numFmtId="0" fontId="24" fillId="0" borderId="0" applyNumberFormat="0" applyFill="0" applyBorder="0" applyAlignment="0" applyProtection="0"/>
    <xf numFmtId="0" fontId="25" fillId="0" borderId="12" applyNumberFormat="0" applyFill="0" applyAlignment="0" applyProtection="0"/>
    <xf numFmtId="0" fontId="26" fillId="0" borderId="0" applyNumberFormat="0" applyFill="0" applyBorder="0" applyAlignment="0" applyProtection="0"/>
    <xf numFmtId="0" fontId="7" fillId="20" borderId="0" applyNumberFormat="0" applyBorder="0" applyAlignment="0" applyProtection="0"/>
    <xf numFmtId="0" fontId="7" fillId="16" borderId="0" applyNumberFormat="0" applyBorder="0" applyAlignment="0" applyProtection="0"/>
    <xf numFmtId="0" fontId="21" fillId="25" borderId="0" applyNumberFormat="0" applyBorder="0" applyAlignment="0" applyProtection="0"/>
    <xf numFmtId="0" fontId="19" fillId="8" borderId="4" applyNumberFormat="0" applyAlignment="0" applyProtection="0"/>
    <xf numFmtId="0" fontId="17" fillId="0" borderId="0" applyNumberFormat="0" applyFill="0" applyBorder="0" applyAlignment="0" applyProtection="0"/>
    <xf numFmtId="0" fontId="15" fillId="0" borderId="6" applyNumberFormat="0" applyFill="0" applyAlignment="0" applyProtection="0"/>
    <xf numFmtId="0" fontId="7" fillId="14" borderId="0" applyNumberFormat="0" applyBorder="0" applyAlignment="0" applyProtection="0"/>
    <xf numFmtId="0" fontId="26" fillId="0" borderId="0" applyNumberFormat="0" applyFill="0" applyBorder="0" applyAlignment="0" applyProtection="0"/>
    <xf numFmtId="0" fontId="23" fillId="21" borderId="11" applyNumberFormat="0" applyAlignment="0" applyProtection="0"/>
    <xf numFmtId="0" fontId="6" fillId="26" borderId="10" applyNumberFormat="0" applyFont="0" applyAlignment="0" applyProtection="0"/>
    <xf numFmtId="0" fontId="1" fillId="0" borderId="0"/>
    <xf numFmtId="0" fontId="1" fillId="0" borderId="0"/>
    <xf numFmtId="0" fontId="1" fillId="0" borderId="0"/>
    <xf numFmtId="0" fontId="20" fillId="0" borderId="9" applyNumberFormat="0" applyFill="0" applyAlignment="0" applyProtection="0"/>
    <xf numFmtId="0" fontId="17" fillId="0" borderId="8" applyNumberFormat="0" applyFill="0" applyAlignment="0" applyProtection="0"/>
    <xf numFmtId="0" fontId="11" fillId="0" borderId="0" applyNumberFormat="0" applyFill="0" applyBorder="0" applyAlignment="0" applyProtection="0"/>
    <xf numFmtId="0" fontId="10" fillId="22" borderId="5" applyNumberFormat="0" applyAlignment="0" applyProtection="0"/>
    <xf numFmtId="0" fontId="7" fillId="14" borderId="0" applyNumberFormat="0" applyBorder="0" applyAlignment="0" applyProtection="0"/>
    <xf numFmtId="0" fontId="7" fillId="11" borderId="0" applyNumberFormat="0" applyBorder="0" applyAlignment="0" applyProtection="0"/>
    <xf numFmtId="0" fontId="7" fillId="10" borderId="0" applyNumberFormat="0" applyBorder="0" applyAlignment="0" applyProtection="0"/>
    <xf numFmtId="0" fontId="7" fillId="13" borderId="0" applyNumberFormat="0" applyBorder="0" applyAlignment="0" applyProtection="0"/>
    <xf numFmtId="0" fontId="6" fillId="12" borderId="0" applyNumberFormat="0" applyBorder="0" applyAlignment="0" applyProtection="0"/>
    <xf numFmtId="0" fontId="6" fillId="9" borderId="0" applyNumberFormat="0" applyBorder="0" applyAlignment="0" applyProtection="0"/>
    <xf numFmtId="0" fontId="6" fillId="6" borderId="0" applyNumberFormat="0" applyBorder="0" applyAlignment="0" applyProtection="0"/>
    <xf numFmtId="0" fontId="6" fillId="11" borderId="0" applyNumberFormat="0" applyBorder="0" applyAlignment="0" applyProtection="0"/>
    <xf numFmtId="0" fontId="6" fillId="10" borderId="0" applyNumberFormat="0" applyBorder="0" applyAlignment="0" applyProtection="0"/>
    <xf numFmtId="0" fontId="6" fillId="9" borderId="0" applyNumberFormat="0" applyBorder="0" applyAlignment="0" applyProtection="0"/>
    <xf numFmtId="0" fontId="6" fillId="8" borderId="0" applyNumberFormat="0" applyBorder="0" applyAlignment="0" applyProtection="0"/>
    <xf numFmtId="0" fontId="6" fillId="7" borderId="0" applyNumberFormat="0" applyBorder="0" applyAlignment="0" applyProtection="0"/>
    <xf numFmtId="0" fontId="6" fillId="6" borderId="0" applyNumberFormat="0" applyBorder="0" applyAlignment="0" applyProtection="0"/>
    <xf numFmtId="0" fontId="6" fillId="5" borderId="0" applyNumberFormat="0" applyBorder="0" applyAlignment="0" applyProtection="0"/>
    <xf numFmtId="0" fontId="6" fillId="4" borderId="0" applyNumberFormat="0" applyBorder="0" applyAlignment="0" applyProtection="0"/>
    <xf numFmtId="0" fontId="6" fillId="3" borderId="0" applyNumberFormat="0" applyBorder="0" applyAlignment="0" applyProtection="0"/>
    <xf numFmtId="0" fontId="4" fillId="0" borderId="0"/>
    <xf numFmtId="0" fontId="1" fillId="0" borderId="0"/>
    <xf numFmtId="0" fontId="1" fillId="0" borderId="0"/>
    <xf numFmtId="0" fontId="1" fillId="0" borderId="0"/>
    <xf numFmtId="0" fontId="53" fillId="0" borderId="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0" fontId="1" fillId="0" borderId="0"/>
    <xf numFmtId="0" fontId="54" fillId="0" borderId="0"/>
    <xf numFmtId="0" fontId="53" fillId="0" borderId="0"/>
    <xf numFmtId="168" fontId="55" fillId="0" borderId="0"/>
    <xf numFmtId="179" fontId="2" fillId="0" borderId="0" applyFont="0" applyFill="0" applyBorder="0" applyAlignment="0" applyProtection="0"/>
    <xf numFmtId="165" fontId="55" fillId="0" borderId="0"/>
    <xf numFmtId="43" fontId="2" fillId="0" borderId="0" applyFont="0" applyFill="0" applyBorder="0" applyAlignment="0" applyProtection="0"/>
    <xf numFmtId="0" fontId="1" fillId="0" borderId="0"/>
    <xf numFmtId="0" fontId="1" fillId="0" borderId="0"/>
    <xf numFmtId="0" fontId="2" fillId="0" borderId="0"/>
    <xf numFmtId="0" fontId="1" fillId="0" borderId="0"/>
    <xf numFmtId="0" fontId="1" fillId="0" borderId="0"/>
    <xf numFmtId="43" fontId="1" fillId="0" borderId="0" applyFont="0" applyFill="0" applyBorder="0" applyAlignment="0" applyProtection="0"/>
    <xf numFmtId="0" fontId="56" fillId="0" borderId="0"/>
    <xf numFmtId="43" fontId="56" fillId="0" borderId="0" applyFont="0" applyFill="0" applyBorder="0" applyAlignment="0" applyProtection="0"/>
    <xf numFmtId="0" fontId="2" fillId="0" borderId="0"/>
    <xf numFmtId="43" fontId="2" fillId="0" borderId="0" applyFont="0" applyFill="0" applyBorder="0" applyAlignment="0" applyProtection="0"/>
    <xf numFmtId="0" fontId="2" fillId="0" borderId="0"/>
    <xf numFmtId="0" fontId="53" fillId="0" borderId="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0" fontId="2" fillId="0" borderId="0"/>
    <xf numFmtId="0" fontId="2" fillId="0" borderId="0"/>
    <xf numFmtId="0" fontId="2" fillId="0" borderId="0"/>
    <xf numFmtId="43" fontId="2" fillId="0" borderId="0" applyFont="0" applyFill="0" applyBorder="0" applyAlignment="0" applyProtection="0"/>
    <xf numFmtId="0" fontId="68" fillId="0" borderId="0"/>
    <xf numFmtId="43" fontId="2" fillId="0" borderId="0" applyFont="0" applyFill="0" applyBorder="0" applyAlignment="0" applyProtection="0"/>
    <xf numFmtId="9" fontId="2" fillId="0" borderId="0" applyFont="0" applyFill="0" applyBorder="0" applyAlignment="0" applyProtection="0"/>
    <xf numFmtId="0" fontId="68" fillId="0" borderId="0"/>
    <xf numFmtId="43" fontId="2" fillId="0" borderId="0" applyFont="0" applyFill="0" applyBorder="0" applyAlignment="0" applyProtection="0"/>
    <xf numFmtId="9" fontId="2" fillId="0" borderId="0" applyFont="0" applyFill="0" applyBorder="0" applyAlignment="0" applyProtection="0"/>
    <xf numFmtId="0" fontId="68" fillId="0" borderId="0"/>
    <xf numFmtId="43" fontId="2" fillId="0" borderId="0" applyFont="0" applyFill="0" applyBorder="0" applyAlignment="0" applyProtection="0"/>
    <xf numFmtId="9" fontId="2" fillId="0" borderId="0" applyFont="0" applyFill="0" applyBorder="0" applyAlignment="0" applyProtection="0"/>
    <xf numFmtId="0" fontId="68" fillId="0" borderId="0"/>
    <xf numFmtId="43" fontId="2" fillId="0" borderId="0" applyFont="0" applyFill="0" applyBorder="0" applyAlignment="0" applyProtection="0"/>
    <xf numFmtId="9" fontId="2" fillId="0" borderId="0" applyFont="0" applyFill="0" applyBorder="0" applyAlignment="0" applyProtection="0"/>
    <xf numFmtId="0" fontId="2" fillId="0" borderId="0"/>
    <xf numFmtId="43" fontId="2" fillId="0" borderId="0" applyFont="0" applyFill="0" applyBorder="0" applyAlignment="0" applyProtection="0"/>
    <xf numFmtId="43" fontId="2" fillId="0" borderId="0" applyFont="0" applyFill="0" applyBorder="0" applyAlignment="0" applyProtection="0"/>
    <xf numFmtId="9" fontId="2" fillId="0" borderId="0" applyFont="0" applyFill="0" applyBorder="0" applyAlignment="0" applyProtection="0"/>
    <xf numFmtId="0" fontId="2" fillId="0" borderId="0"/>
    <xf numFmtId="43" fontId="2" fillId="0" borderId="0" applyFont="0" applyFill="0" applyBorder="0" applyAlignment="0" applyProtection="0"/>
    <xf numFmtId="9" fontId="2" fillId="0" borderId="0" applyFont="0" applyFill="0" applyBorder="0" applyAlignment="0" applyProtection="0"/>
    <xf numFmtId="0" fontId="2" fillId="0" borderId="0"/>
    <xf numFmtId="0" fontId="2" fillId="0" borderId="0"/>
    <xf numFmtId="9" fontId="2" fillId="0" borderId="0" applyFont="0" applyFill="0" applyBorder="0" applyAlignment="0" applyProtection="0"/>
    <xf numFmtId="43" fontId="2" fillId="0" borderId="0" applyFont="0" applyFill="0" applyBorder="0" applyAlignment="0" applyProtection="0"/>
    <xf numFmtId="9" fontId="2" fillId="0" borderId="0" applyFont="0" applyFill="0" applyBorder="0" applyAlignment="0" applyProtection="0"/>
    <xf numFmtId="0" fontId="2" fillId="0" borderId="0"/>
    <xf numFmtId="43" fontId="2" fillId="0" borderId="0" applyFont="0" applyFill="0" applyBorder="0" applyAlignment="0" applyProtection="0"/>
    <xf numFmtId="9" fontId="2" fillId="0" borderId="0" applyFont="0" applyFill="0" applyBorder="0" applyAlignment="0" applyProtection="0"/>
    <xf numFmtId="0" fontId="2" fillId="0" borderId="0"/>
    <xf numFmtId="43" fontId="2" fillId="0" borderId="0" applyFont="0" applyFill="0" applyBorder="0" applyAlignment="0" applyProtection="0"/>
    <xf numFmtId="43" fontId="2" fillId="0" borderId="0" applyFont="0" applyFill="0" applyBorder="0" applyAlignment="0" applyProtection="0"/>
    <xf numFmtId="9" fontId="2" fillId="0" borderId="0" applyFont="0" applyFill="0" applyBorder="0" applyAlignment="0" applyProtection="0"/>
    <xf numFmtId="0" fontId="2" fillId="0" borderId="0"/>
    <xf numFmtId="9" fontId="2" fillId="0" borderId="0" applyFont="0" applyFill="0" applyBorder="0" applyAlignment="0" applyProtection="0"/>
    <xf numFmtId="0" fontId="2" fillId="0" borderId="0"/>
    <xf numFmtId="43" fontId="2" fillId="0" borderId="0" applyFont="0" applyFill="0" applyBorder="0" applyAlignment="0" applyProtection="0"/>
    <xf numFmtId="43" fontId="2" fillId="0" borderId="0" applyFont="0" applyFill="0" applyBorder="0" applyAlignment="0" applyProtection="0"/>
    <xf numFmtId="9" fontId="2" fillId="0" borderId="0" applyFont="0" applyFill="0" applyBorder="0" applyAlignment="0" applyProtection="0"/>
    <xf numFmtId="0" fontId="2" fillId="0" borderId="0"/>
    <xf numFmtId="43" fontId="2" fillId="0" borderId="0" applyFont="0" applyFill="0" applyBorder="0" applyAlignment="0" applyProtection="0"/>
    <xf numFmtId="9" fontId="2" fillId="0" borderId="0" applyFont="0" applyFill="0" applyBorder="0" applyAlignment="0" applyProtection="0"/>
    <xf numFmtId="0" fontId="2" fillId="0" borderId="0"/>
    <xf numFmtId="9" fontId="2" fillId="0" borderId="0" applyFont="0" applyFill="0" applyBorder="0" applyAlignment="0" applyProtection="0"/>
    <xf numFmtId="0" fontId="2" fillId="0" borderId="0"/>
    <xf numFmtId="43" fontId="2" fillId="0" borderId="0" applyFont="0" applyFill="0" applyBorder="0" applyAlignment="0" applyProtection="0"/>
    <xf numFmtId="9" fontId="2" fillId="0" borderId="0" applyFont="0" applyFill="0" applyBorder="0" applyAlignment="0" applyProtection="0"/>
  </cellStyleXfs>
  <cellXfs count="135">
    <xf numFmtId="0" fontId="0" fillId="0" borderId="0" xfId="0"/>
    <xf numFmtId="0" fontId="50" fillId="0" borderId="0" xfId="0" applyFont="1"/>
    <xf numFmtId="0" fontId="49" fillId="0" borderId="0" xfId="0" applyFont="1"/>
    <xf numFmtId="0" fontId="50" fillId="0" borderId="0" xfId="0" applyFont="1" applyAlignment="1">
      <alignment horizontal="left" vertical="top" wrapText="1"/>
    </xf>
    <xf numFmtId="0" fontId="50" fillId="0" borderId="0" xfId="0" applyFont="1" applyAlignment="1">
      <alignment horizontal="center"/>
    </xf>
    <xf numFmtId="0" fontId="50" fillId="0" borderId="0" xfId="0" applyFont="1" applyAlignment="1">
      <alignment wrapText="1"/>
    </xf>
    <xf numFmtId="43" fontId="50" fillId="0" borderId="0" xfId="0" applyNumberFormat="1" applyFont="1" applyAlignment="1">
      <alignment horizontal="center"/>
    </xf>
    <xf numFmtId="1" fontId="61" fillId="0" borderId="19" xfId="0" applyNumberFormat="1" applyFont="1" applyBorder="1" applyAlignment="1">
      <alignment horizontal="center"/>
    </xf>
    <xf numFmtId="0" fontId="27" fillId="0" borderId="20" xfId="0" applyFont="1" applyBorder="1" applyAlignment="1">
      <alignment horizontal="center"/>
    </xf>
    <xf numFmtId="0" fontId="64" fillId="0" borderId="0" xfId="0" applyFont="1"/>
    <xf numFmtId="0" fontId="65" fillId="0" borderId="19" xfId="0" applyFont="1" applyBorder="1" applyAlignment="1">
      <alignment horizontal="center" vertical="center" wrapText="1"/>
    </xf>
    <xf numFmtId="0" fontId="65" fillId="0" borderId="21" xfId="0" applyFont="1" applyBorder="1" applyAlignment="1">
      <alignment horizontal="center" vertical="center" wrapText="1"/>
    </xf>
    <xf numFmtId="2" fontId="66" fillId="0" borderId="21" xfId="0" applyNumberFormat="1" applyFont="1" applyBorder="1" applyAlignment="1">
      <alignment horizontal="center"/>
    </xf>
    <xf numFmtId="0" fontId="65" fillId="0" borderId="21" xfId="0" applyFont="1" applyBorder="1" applyAlignment="1">
      <alignment horizontal="center"/>
    </xf>
    <xf numFmtId="2" fontId="61" fillId="0" borderId="21" xfId="0" applyNumberFormat="1" applyFont="1" applyBorder="1" applyAlignment="1">
      <alignment horizontal="center" vertical="center" wrapText="1"/>
    </xf>
    <xf numFmtId="2" fontId="61" fillId="0" borderId="21" xfId="0" applyNumberFormat="1" applyFont="1" applyBorder="1" applyAlignment="1">
      <alignment horizontal="center" vertical="center"/>
    </xf>
    <xf numFmtId="0" fontId="65" fillId="0" borderId="22" xfId="0" applyFont="1" applyBorder="1" applyAlignment="1">
      <alignment horizontal="center"/>
    </xf>
    <xf numFmtId="2" fontId="66" fillId="0" borderId="22" xfId="0" applyNumberFormat="1" applyFont="1" applyBorder="1" applyAlignment="1">
      <alignment horizontal="center"/>
    </xf>
    <xf numFmtId="2" fontId="61" fillId="0" borderId="22" xfId="0" applyNumberFormat="1" applyFont="1" applyBorder="1" applyAlignment="1">
      <alignment horizontal="center"/>
    </xf>
    <xf numFmtId="2" fontId="61" fillId="0" borderId="2" xfId="0" applyNumberFormat="1" applyFont="1" applyBorder="1" applyAlignment="1">
      <alignment horizontal="center" vertical="center"/>
    </xf>
    <xf numFmtId="2" fontId="61" fillId="0" borderId="21" xfId="0" applyNumberFormat="1" applyFont="1" applyBorder="1" applyAlignment="1">
      <alignment horizontal="center"/>
    </xf>
    <xf numFmtId="2" fontId="61" fillId="0" borderId="2" xfId="0" applyNumberFormat="1" applyFont="1" applyBorder="1" applyAlignment="1">
      <alignment horizontal="center"/>
    </xf>
    <xf numFmtId="2" fontId="61" fillId="0" borderId="22" xfId="0" applyNumberFormat="1" applyFont="1" applyBorder="1" applyAlignment="1">
      <alignment horizontal="center" vertical="center"/>
    </xf>
    <xf numFmtId="0" fontId="65" fillId="0" borderId="0" xfId="0" applyFont="1"/>
    <xf numFmtId="0" fontId="67" fillId="0" borderId="0" xfId="0" applyFont="1"/>
    <xf numFmtId="2" fontId="61" fillId="0" borderId="19" xfId="0" applyNumberFormat="1" applyFont="1" applyBorder="1" applyAlignment="1">
      <alignment horizontal="center"/>
    </xf>
    <xf numFmtId="0" fontId="68" fillId="0" borderId="0" xfId="0" applyFont="1"/>
    <xf numFmtId="2" fontId="61" fillId="0" borderId="23" xfId="0" applyNumberFormat="1" applyFont="1" applyBorder="1" applyAlignment="1">
      <alignment horizontal="center"/>
    </xf>
    <xf numFmtId="0" fontId="64" fillId="0" borderId="0" xfId="0" applyFont="1" applyAlignment="1">
      <alignment horizontal="right"/>
    </xf>
    <xf numFmtId="0" fontId="61" fillId="0" borderId="0" xfId="0" applyFont="1" applyAlignment="1">
      <alignment horizontal="center"/>
    </xf>
    <xf numFmtId="43" fontId="50" fillId="0" borderId="0" xfId="1" applyFont="1" applyFill="1"/>
    <xf numFmtId="43" fontId="49" fillId="0" borderId="0" xfId="1" applyFont="1" applyFill="1"/>
    <xf numFmtId="0" fontId="49" fillId="0" borderId="19" xfId="0" applyFont="1" applyBorder="1" applyAlignment="1">
      <alignment horizontal="center"/>
    </xf>
    <xf numFmtId="43" fontId="49" fillId="0" borderId="19" xfId="1" applyFont="1" applyFill="1" applyBorder="1" applyAlignment="1">
      <alignment horizontal="center" vertical="center"/>
    </xf>
    <xf numFmtId="0" fontId="48" fillId="0" borderId="0" xfId="0" applyFont="1" applyAlignment="1">
      <alignment horizontal="center"/>
    </xf>
    <xf numFmtId="0" fontId="49" fillId="0" borderId="19" xfId="0" applyFont="1" applyBorder="1" applyAlignment="1">
      <alignment horizontal="center" vertical="top" wrapText="1"/>
    </xf>
    <xf numFmtId="43" fontId="49" fillId="0" borderId="19" xfId="1" applyFont="1" applyFill="1" applyBorder="1" applyAlignment="1">
      <alignment horizontal="center"/>
    </xf>
    <xf numFmtId="0" fontId="49" fillId="0" borderId="19" xfId="0" applyFont="1" applyBorder="1" applyAlignment="1">
      <alignment horizontal="center" wrapText="1"/>
    </xf>
    <xf numFmtId="1" fontId="50" fillId="0" borderId="0" xfId="0" applyNumberFormat="1" applyFont="1" applyAlignment="1">
      <alignment vertical="center"/>
    </xf>
    <xf numFmtId="1" fontId="49" fillId="0" borderId="19" xfId="0" applyNumberFormat="1" applyFont="1" applyBorder="1" applyAlignment="1">
      <alignment horizontal="center" vertical="center"/>
    </xf>
    <xf numFmtId="1" fontId="48" fillId="0" borderId="19" xfId="0" applyNumberFormat="1" applyFont="1" applyBorder="1" applyAlignment="1">
      <alignment vertical="center"/>
    </xf>
    <xf numFmtId="0" fontId="70" fillId="0" borderId="19" xfId="0" applyFont="1" applyBorder="1" applyAlignment="1">
      <alignment horizontal="left" vertical="top" wrapText="1"/>
    </xf>
    <xf numFmtId="0" fontId="48" fillId="0" borderId="19" xfId="0" applyFont="1" applyBorder="1" applyAlignment="1">
      <alignment horizontal="center"/>
    </xf>
    <xf numFmtId="43" fontId="48" fillId="0" borderId="19" xfId="1" applyFont="1" applyFill="1" applyBorder="1"/>
    <xf numFmtId="0" fontId="48" fillId="0" borderId="19" xfId="0" applyFont="1" applyBorder="1"/>
    <xf numFmtId="0" fontId="48" fillId="0" borderId="19" xfId="0" applyFont="1" applyBorder="1" applyAlignment="1">
      <alignment wrapText="1"/>
    </xf>
    <xf numFmtId="1" fontId="58" fillId="0" borderId="19" xfId="0" applyNumberFormat="1" applyFont="1" applyBorder="1" applyAlignment="1">
      <alignment horizontal="right" vertical="center"/>
    </xf>
    <xf numFmtId="0" fontId="64" fillId="0" borderId="19" xfId="0" quotePrefix="1" applyFont="1" applyBorder="1" applyAlignment="1">
      <alignment wrapText="1"/>
    </xf>
    <xf numFmtId="0" fontId="58" fillId="0" borderId="19" xfId="0" applyFont="1" applyBorder="1"/>
    <xf numFmtId="2" fontId="58" fillId="0" borderId="19" xfId="0" applyNumberFormat="1" applyFont="1" applyBorder="1" applyAlignment="1">
      <alignment horizontal="right"/>
    </xf>
    <xf numFmtId="0" fontId="54" fillId="0" borderId="19" xfId="0" applyFont="1" applyBorder="1"/>
    <xf numFmtId="0" fontId="54" fillId="0" borderId="19" xfId="0" quotePrefix="1" applyFont="1" applyBorder="1" applyAlignment="1">
      <alignment horizontal="right" vertical="justify"/>
    </xf>
    <xf numFmtId="182" fontId="58" fillId="0" borderId="19" xfId="0" applyNumberFormat="1" applyFont="1" applyBorder="1" applyAlignment="1">
      <alignment horizontal="right"/>
    </xf>
    <xf numFmtId="2" fontId="58" fillId="0" borderId="19" xfId="1" applyNumberFormat="1" applyFont="1" applyFill="1" applyBorder="1" applyAlignment="1">
      <alignment horizontal="right"/>
    </xf>
    <xf numFmtId="0" fontId="54" fillId="0" borderId="19" xfId="0" applyFont="1" applyBorder="1" applyAlignment="1">
      <alignment horizontal="right" vertical="justify"/>
    </xf>
    <xf numFmtId="2" fontId="54" fillId="0" borderId="19" xfId="0" applyNumberFormat="1" applyFont="1" applyBorder="1" applyAlignment="1">
      <alignment horizontal="right"/>
    </xf>
    <xf numFmtId="0" fontId="58" fillId="0" borderId="19" xfId="0" applyFont="1" applyBorder="1" applyAlignment="1">
      <alignment horizontal="right"/>
    </xf>
    <xf numFmtId="1" fontId="54" fillId="0" borderId="19" xfId="0" applyNumberFormat="1" applyFont="1" applyBorder="1" applyAlignment="1">
      <alignment horizontal="right" vertical="center"/>
    </xf>
    <xf numFmtId="182" fontId="54" fillId="0" borderId="19" xfId="0" applyNumberFormat="1" applyFont="1" applyBorder="1" applyAlignment="1">
      <alignment horizontal="right"/>
    </xf>
    <xf numFmtId="2" fontId="54" fillId="0" borderId="19" xfId="1" applyNumberFormat="1" applyFont="1" applyFill="1" applyBorder="1" applyAlignment="1">
      <alignment horizontal="right"/>
    </xf>
    <xf numFmtId="0" fontId="54" fillId="0" borderId="19" xfId="0" quotePrefix="1" applyFont="1" applyBorder="1" applyAlignment="1">
      <alignment horizontal="right"/>
    </xf>
    <xf numFmtId="0" fontId="58" fillId="0" borderId="19" xfId="0" applyFont="1" applyBorder="1" applyAlignment="1">
      <alignment horizontal="right" vertical="top" wrapText="1"/>
    </xf>
    <xf numFmtId="0" fontId="58" fillId="0" borderId="19" xfId="0" applyFont="1" applyBorder="1" applyAlignment="1">
      <alignment horizontal="left" vertical="top" wrapText="1"/>
    </xf>
    <xf numFmtId="0" fontId="58" fillId="0" borderId="19" xfId="0" quotePrefix="1" applyFont="1" applyBorder="1" applyAlignment="1">
      <alignment horizontal="right" vertical="top" wrapText="1"/>
    </xf>
    <xf numFmtId="182" fontId="58" fillId="0" borderId="19" xfId="1" applyNumberFormat="1" applyFont="1" applyFill="1" applyBorder="1" applyAlignment="1">
      <alignment horizontal="right"/>
    </xf>
    <xf numFmtId="0" fontId="54" fillId="0" borderId="19" xfId="0" applyFont="1" applyBorder="1" applyAlignment="1">
      <alignment horizontal="justify" vertical="justify"/>
    </xf>
    <xf numFmtId="2" fontId="54" fillId="0" borderId="19" xfId="734" applyNumberFormat="1" applyBorder="1" applyAlignment="1">
      <alignment horizontal="right"/>
    </xf>
    <xf numFmtId="0" fontId="54" fillId="0" borderId="19" xfId="0" applyFont="1" applyBorder="1" applyAlignment="1">
      <alignment horizontal="right" vertical="top" wrapText="1"/>
    </xf>
    <xf numFmtId="1" fontId="58" fillId="0" borderId="19" xfId="0" applyNumberFormat="1" applyFont="1" applyBorder="1" applyAlignment="1">
      <alignment vertical="center"/>
    </xf>
    <xf numFmtId="0" fontId="71" fillId="0" borderId="19" xfId="0" applyFont="1" applyBorder="1" applyAlignment="1">
      <alignment horizontal="left" vertical="top" wrapText="1"/>
    </xf>
    <xf numFmtId="182" fontId="48" fillId="0" borderId="19" xfId="1" applyNumberFormat="1" applyFont="1" applyFill="1" applyBorder="1" applyAlignment="1">
      <alignment horizontal="right"/>
    </xf>
    <xf numFmtId="0" fontId="58" fillId="0" borderId="19" xfId="0" applyFont="1" applyBorder="1" applyAlignment="1">
      <alignment wrapText="1"/>
    </xf>
    <xf numFmtId="1" fontId="58" fillId="0" borderId="0" xfId="0" applyNumberFormat="1" applyFont="1" applyAlignment="1">
      <alignment vertical="center"/>
    </xf>
    <xf numFmtId="0" fontId="48" fillId="0" borderId="0" xfId="0" applyFont="1" applyAlignment="1">
      <alignment horizontal="left" vertical="top" wrapText="1"/>
    </xf>
    <xf numFmtId="43" fontId="48" fillId="0" borderId="0" xfId="1" applyFont="1" applyFill="1" applyBorder="1"/>
    <xf numFmtId="0" fontId="58" fillId="0" borderId="0" xfId="0" applyFont="1" applyAlignment="1">
      <alignment wrapText="1"/>
    </xf>
    <xf numFmtId="0" fontId="58" fillId="0" borderId="0" xfId="0" applyFont="1"/>
    <xf numFmtId="0" fontId="48" fillId="0" borderId="0" xfId="0" applyFont="1"/>
    <xf numFmtId="43" fontId="58" fillId="0" borderId="19" xfId="0" applyNumberFormat="1" applyFont="1" applyBorder="1"/>
    <xf numFmtId="43" fontId="58" fillId="0" borderId="0" xfId="0" applyNumberFormat="1" applyFont="1"/>
    <xf numFmtId="0" fontId="72" fillId="0" borderId="19" xfId="0" quotePrefix="1" applyFont="1" applyBorder="1" applyAlignment="1">
      <alignment wrapText="1"/>
    </xf>
    <xf numFmtId="0" fontId="72" fillId="0" borderId="19" xfId="0" applyFont="1" applyBorder="1" applyAlignment="1">
      <alignment wrapText="1"/>
    </xf>
    <xf numFmtId="0" fontId="72" fillId="0" borderId="19" xfId="0" applyFont="1" applyBorder="1"/>
    <xf numFmtId="0" fontId="51" fillId="0" borderId="0" xfId="0" applyFont="1"/>
    <xf numFmtId="1" fontId="73" fillId="0" borderId="0" xfId="0" applyNumberFormat="1" applyFont="1"/>
    <xf numFmtId="0" fontId="58" fillId="0" borderId="19" xfId="0" applyFont="1" applyBorder="1" applyAlignment="1">
      <alignment vertical="top" wrapText="1"/>
    </xf>
    <xf numFmtId="0" fontId="57" fillId="0" borderId="19" xfId="0" applyFont="1" applyBorder="1"/>
    <xf numFmtId="2" fontId="0" fillId="0" borderId="19" xfId="0" applyNumberFormat="1" applyBorder="1"/>
    <xf numFmtId="0" fontId="0" fillId="0" borderId="19" xfId="0" applyBorder="1"/>
    <xf numFmtId="0" fontId="57" fillId="0" borderId="25" xfId="0" applyFont="1" applyBorder="1" applyAlignment="1">
      <alignment horizontal="center"/>
    </xf>
    <xf numFmtId="2" fontId="0" fillId="0" borderId="25" xfId="0" applyNumberFormat="1" applyBorder="1"/>
    <xf numFmtId="0" fontId="57" fillId="0" borderId="20" xfId="0" applyFont="1" applyBorder="1" applyAlignment="1">
      <alignment horizontal="center"/>
    </xf>
    <xf numFmtId="2" fontId="0" fillId="0" borderId="20" xfId="0" applyNumberFormat="1" applyBorder="1"/>
    <xf numFmtId="2" fontId="58" fillId="0" borderId="19" xfId="1" quotePrefix="1" applyNumberFormat="1" applyFont="1" applyFill="1" applyBorder="1" applyAlignment="1">
      <alignment horizontal="right"/>
    </xf>
    <xf numFmtId="0" fontId="50" fillId="32" borderId="0" xfId="0" applyFont="1" applyFill="1"/>
    <xf numFmtId="0" fontId="49" fillId="0" borderId="19" xfId="0" applyFont="1" applyBorder="1"/>
    <xf numFmtId="0" fontId="50" fillId="0" borderId="19" xfId="0" applyFont="1" applyBorder="1"/>
    <xf numFmtId="0" fontId="58" fillId="0" borderId="1" xfId="0" applyFont="1" applyBorder="1" applyAlignment="1">
      <alignment horizontal="right" vertical="top" wrapText="1"/>
    </xf>
    <xf numFmtId="1" fontId="58" fillId="0" borderId="1" xfId="0" applyNumberFormat="1" applyFont="1" applyBorder="1" applyAlignment="1">
      <alignment horizontal="right" vertical="center"/>
    </xf>
    <xf numFmtId="182" fontId="58" fillId="0" borderId="1" xfId="0" applyNumberFormat="1" applyFont="1" applyBorder="1" applyAlignment="1">
      <alignment horizontal="right"/>
    </xf>
    <xf numFmtId="2" fontId="58" fillId="0" borderId="1" xfId="0" applyNumberFormat="1" applyFont="1" applyBorder="1" applyAlignment="1">
      <alignment horizontal="right"/>
    </xf>
    <xf numFmtId="0" fontId="54" fillId="0" borderId="1" xfId="0" applyFont="1" applyBorder="1"/>
    <xf numFmtId="0" fontId="72" fillId="2" borderId="1" xfId="768" applyFont="1" applyFill="1" applyBorder="1" applyAlignment="1">
      <alignment vertical="top" wrapText="1"/>
    </xf>
    <xf numFmtId="2" fontId="58" fillId="0" borderId="1" xfId="1" applyNumberFormat="1" applyFont="1" applyFill="1" applyBorder="1" applyAlignment="1">
      <alignment horizontal="right"/>
    </xf>
    <xf numFmtId="2" fontId="54" fillId="0" borderId="1" xfId="0" applyNumberFormat="1" applyFont="1" applyBorder="1" applyAlignment="1">
      <alignment horizontal="right"/>
    </xf>
    <xf numFmtId="0" fontId="54" fillId="0" borderId="1" xfId="0" applyFont="1" applyBorder="1" applyAlignment="1">
      <alignment horizontal="right" vertical="justify"/>
    </xf>
    <xf numFmtId="0" fontId="58" fillId="0" borderId="1" xfId="0" quotePrefix="1" applyFont="1" applyBorder="1" applyAlignment="1">
      <alignment horizontal="right" vertical="top" wrapText="1"/>
    </xf>
    <xf numFmtId="0" fontId="58" fillId="0" borderId="19" xfId="0" quotePrefix="1" applyFont="1" applyBorder="1" applyAlignment="1">
      <alignment vertical="top" wrapText="1"/>
    </xf>
    <xf numFmtId="0" fontId="72" fillId="2" borderId="19" xfId="768" applyFont="1" applyFill="1" applyBorder="1" applyAlignment="1">
      <alignment vertical="top" wrapText="1"/>
    </xf>
    <xf numFmtId="0" fontId="48" fillId="0" borderId="19" xfId="0" applyFont="1" applyBorder="1" applyAlignment="1">
      <alignment horizontal="center"/>
    </xf>
    <xf numFmtId="43" fontId="58" fillId="0" borderId="19" xfId="0" applyNumberFormat="1" applyFont="1" applyBorder="1" applyAlignment="1">
      <alignment horizontal="center"/>
    </xf>
    <xf numFmtId="43" fontId="58" fillId="0" borderId="25" xfId="0" applyNumberFormat="1" applyFont="1" applyBorder="1" applyAlignment="1">
      <alignment horizontal="center"/>
    </xf>
    <xf numFmtId="43" fontId="58" fillId="0" borderId="20" xfId="0" applyNumberFormat="1" applyFont="1" applyBorder="1" applyAlignment="1">
      <alignment horizontal="center"/>
    </xf>
    <xf numFmtId="0" fontId="48" fillId="0" borderId="0" xfId="0" applyFont="1" applyAlignment="1">
      <alignment horizontal="center"/>
    </xf>
    <xf numFmtId="0" fontId="51" fillId="0" borderId="0" xfId="0" applyFont="1" applyAlignment="1">
      <alignment horizontal="center"/>
    </xf>
    <xf numFmtId="0" fontId="50" fillId="0" borderId="0" xfId="0" applyFont="1" applyAlignment="1">
      <alignment horizontal="center"/>
    </xf>
    <xf numFmtId="0" fontId="50" fillId="0" borderId="0" xfId="0" quotePrefix="1" applyFont="1" applyAlignment="1">
      <alignment horizontal="right"/>
    </xf>
    <xf numFmtId="0" fontId="50" fillId="0" borderId="0" xfId="0" applyFont="1"/>
    <xf numFmtId="0" fontId="50" fillId="0" borderId="0" xfId="0" applyFont="1" applyAlignment="1">
      <alignment horizontal="right"/>
    </xf>
    <xf numFmtId="0" fontId="62" fillId="0" borderId="13" xfId="0" applyFont="1" applyBorder="1" applyAlignment="1">
      <alignment horizontal="center"/>
    </xf>
    <xf numFmtId="0" fontId="62" fillId="0" borderId="0" xfId="0" applyFont="1" applyAlignment="1">
      <alignment horizontal="center"/>
    </xf>
    <xf numFmtId="0" fontId="63" fillId="0" borderId="24" xfId="0" applyFont="1" applyBorder="1" applyAlignment="1">
      <alignment horizontal="center"/>
    </xf>
    <xf numFmtId="0" fontId="63" fillId="0" borderId="23" xfId="0" applyFont="1" applyBorder="1" applyAlignment="1">
      <alignment horizontal="center"/>
    </xf>
    <xf numFmtId="0" fontId="65" fillId="0" borderId="21" xfId="0" applyFont="1" applyBorder="1" applyAlignment="1">
      <alignment horizontal="center" vertical="center" wrapText="1"/>
    </xf>
    <xf numFmtId="0" fontId="65" fillId="0" borderId="22" xfId="0" applyFont="1" applyBorder="1" applyAlignment="1">
      <alignment horizontal="center" vertical="center" wrapText="1"/>
    </xf>
    <xf numFmtId="0" fontId="65" fillId="0" borderId="21" xfId="0" applyFont="1" applyBorder="1" applyAlignment="1">
      <alignment horizontal="center" vertical="center"/>
    </xf>
    <xf numFmtId="0" fontId="65" fillId="0" borderId="22" xfId="0" applyFont="1" applyBorder="1" applyAlignment="1">
      <alignment horizontal="center" vertical="center"/>
    </xf>
    <xf numFmtId="0" fontId="57" fillId="0" borderId="19" xfId="0" applyFont="1" applyBorder="1" applyAlignment="1">
      <alignment horizontal="center" vertical="center"/>
    </xf>
    <xf numFmtId="0" fontId="57" fillId="0" borderId="19" xfId="0" applyFont="1" applyBorder="1" applyAlignment="1">
      <alignment horizontal="center"/>
    </xf>
    <xf numFmtId="2" fontId="0" fillId="0" borderId="19" xfId="0" applyNumberFormat="1" applyBorder="1" applyAlignment="1">
      <alignment horizontal="center"/>
    </xf>
    <xf numFmtId="0" fontId="57" fillId="0" borderId="26" xfId="0" applyFont="1" applyBorder="1" applyAlignment="1">
      <alignment horizontal="center"/>
    </xf>
    <xf numFmtId="0" fontId="57" fillId="0" borderId="21" xfId="0" applyFont="1" applyBorder="1" applyAlignment="1">
      <alignment horizontal="center" vertical="center"/>
    </xf>
    <xf numFmtId="0" fontId="57" fillId="0" borderId="22" xfId="0" applyFont="1" applyBorder="1" applyAlignment="1">
      <alignment horizontal="center" vertical="center"/>
    </xf>
    <xf numFmtId="0" fontId="57" fillId="0" borderId="27" xfId="0" applyFont="1" applyBorder="1" applyAlignment="1">
      <alignment horizontal="center" vertical="center"/>
    </xf>
    <xf numFmtId="0" fontId="57" fillId="0" borderId="24" xfId="0" applyFont="1" applyBorder="1" applyAlignment="1">
      <alignment horizontal="center" vertical="center"/>
    </xf>
  </cellXfs>
  <cellStyles count="804">
    <cellStyle name="??" xfId="476" xr:uid="{00000000-0005-0000-0000-000000000000}"/>
    <cellStyle name="?? [0.00]_PERSONAL" xfId="477" xr:uid="{00000000-0005-0000-0000-000001000000}"/>
    <cellStyle name="???? [0.00]_PERSONAL" xfId="478" xr:uid="{00000000-0005-0000-0000-000002000000}"/>
    <cellStyle name="????_PERSONAL" xfId="479" xr:uid="{00000000-0005-0000-0000-000003000000}"/>
    <cellStyle name="??_PERSONAL" xfId="480" xr:uid="{00000000-0005-0000-0000-000004000000}"/>
    <cellStyle name="20% - Accent1 10" xfId="457" xr:uid="{00000000-0005-0000-0000-000005000000}"/>
    <cellStyle name="20% - Accent1 11" xfId="592" xr:uid="{00000000-0005-0000-0000-000006000000}"/>
    <cellStyle name="20% - Accent1 12" xfId="638" xr:uid="{00000000-0005-0000-0000-000007000000}"/>
    <cellStyle name="20% - Accent1 13" xfId="724" xr:uid="{00000000-0005-0000-0000-000008000000}"/>
    <cellStyle name="20% - Accent1 2" xfId="2" xr:uid="{00000000-0005-0000-0000-000009000000}"/>
    <cellStyle name="20% - Accent1 3" xfId="138" xr:uid="{00000000-0005-0000-0000-00000A000000}"/>
    <cellStyle name="20% - Accent1 4" xfId="209" xr:uid="{00000000-0005-0000-0000-00000B000000}"/>
    <cellStyle name="20% - Accent1 5" xfId="241" xr:uid="{00000000-0005-0000-0000-00000C000000}"/>
    <cellStyle name="20% - Accent1 6" xfId="267" xr:uid="{00000000-0005-0000-0000-00000D000000}"/>
    <cellStyle name="20% - Accent1 7" xfId="328" xr:uid="{00000000-0005-0000-0000-00000E000000}"/>
    <cellStyle name="20% - Accent1 8" xfId="370" xr:uid="{00000000-0005-0000-0000-00000F000000}"/>
    <cellStyle name="20% - Accent1 9" xfId="396" xr:uid="{00000000-0005-0000-0000-000010000000}"/>
    <cellStyle name="20% - Accent2 10" xfId="467" xr:uid="{00000000-0005-0000-0000-000011000000}"/>
    <cellStyle name="20% - Accent2 11" xfId="593" xr:uid="{00000000-0005-0000-0000-000012000000}"/>
    <cellStyle name="20% - Accent2 12" xfId="639" xr:uid="{00000000-0005-0000-0000-000013000000}"/>
    <cellStyle name="20% - Accent2 13" xfId="723" xr:uid="{00000000-0005-0000-0000-000014000000}"/>
    <cellStyle name="20% - Accent2 2" xfId="3" xr:uid="{00000000-0005-0000-0000-000015000000}"/>
    <cellStyle name="20% - Accent2 3" xfId="139" xr:uid="{00000000-0005-0000-0000-000016000000}"/>
    <cellStyle name="20% - Accent2 4" xfId="222" xr:uid="{00000000-0005-0000-0000-000017000000}"/>
    <cellStyle name="20% - Accent2 5" xfId="251" xr:uid="{00000000-0005-0000-0000-000018000000}"/>
    <cellStyle name="20% - Accent2 6" xfId="268" xr:uid="{00000000-0005-0000-0000-000019000000}"/>
    <cellStyle name="20% - Accent2 7" xfId="340" xr:uid="{00000000-0005-0000-0000-00001A000000}"/>
    <cellStyle name="20% - Accent2 8" xfId="380" xr:uid="{00000000-0005-0000-0000-00001B000000}"/>
    <cellStyle name="20% - Accent2 9" xfId="397" xr:uid="{00000000-0005-0000-0000-00001C000000}"/>
    <cellStyle name="20% - Accent3 10" xfId="456" xr:uid="{00000000-0005-0000-0000-00001D000000}"/>
    <cellStyle name="20% - Accent3 11" xfId="594" xr:uid="{00000000-0005-0000-0000-00001E000000}"/>
    <cellStyle name="20% - Accent3 12" xfId="640" xr:uid="{00000000-0005-0000-0000-00001F000000}"/>
    <cellStyle name="20% - Accent3 13" xfId="722" xr:uid="{00000000-0005-0000-0000-000020000000}"/>
    <cellStyle name="20% - Accent3 2" xfId="4" xr:uid="{00000000-0005-0000-0000-000021000000}"/>
    <cellStyle name="20% - Accent3 3" xfId="140" xr:uid="{00000000-0005-0000-0000-000022000000}"/>
    <cellStyle name="20% - Accent3 4" xfId="208" xr:uid="{00000000-0005-0000-0000-000023000000}"/>
    <cellStyle name="20% - Accent3 5" xfId="240" xr:uid="{00000000-0005-0000-0000-000024000000}"/>
    <cellStyle name="20% - Accent3 6" xfId="269" xr:uid="{00000000-0005-0000-0000-000025000000}"/>
    <cellStyle name="20% - Accent3 7" xfId="327" xr:uid="{00000000-0005-0000-0000-000026000000}"/>
    <cellStyle name="20% - Accent3 8" xfId="369" xr:uid="{00000000-0005-0000-0000-000027000000}"/>
    <cellStyle name="20% - Accent3 9" xfId="398" xr:uid="{00000000-0005-0000-0000-000028000000}"/>
    <cellStyle name="20% - Accent4 10" xfId="455" xr:uid="{00000000-0005-0000-0000-000029000000}"/>
    <cellStyle name="20% - Accent4 11" xfId="595" xr:uid="{00000000-0005-0000-0000-00002A000000}"/>
    <cellStyle name="20% - Accent4 12" xfId="641" xr:uid="{00000000-0005-0000-0000-00002B000000}"/>
    <cellStyle name="20% - Accent4 13" xfId="721" xr:uid="{00000000-0005-0000-0000-00002C000000}"/>
    <cellStyle name="20% - Accent4 2" xfId="5" xr:uid="{00000000-0005-0000-0000-00002D000000}"/>
    <cellStyle name="20% - Accent4 3" xfId="141" xr:uid="{00000000-0005-0000-0000-00002E000000}"/>
    <cellStyle name="20% - Accent4 4" xfId="207" xr:uid="{00000000-0005-0000-0000-00002F000000}"/>
    <cellStyle name="20% - Accent4 5" xfId="239" xr:uid="{00000000-0005-0000-0000-000030000000}"/>
    <cellStyle name="20% - Accent4 6" xfId="270" xr:uid="{00000000-0005-0000-0000-000031000000}"/>
    <cellStyle name="20% - Accent4 7" xfId="326" xr:uid="{00000000-0005-0000-0000-000032000000}"/>
    <cellStyle name="20% - Accent4 8" xfId="368" xr:uid="{00000000-0005-0000-0000-000033000000}"/>
    <cellStyle name="20% - Accent4 9" xfId="399" xr:uid="{00000000-0005-0000-0000-000034000000}"/>
    <cellStyle name="20% - Accent5 10" xfId="452" xr:uid="{00000000-0005-0000-0000-000035000000}"/>
    <cellStyle name="20% - Accent5 11" xfId="596" xr:uid="{00000000-0005-0000-0000-000036000000}"/>
    <cellStyle name="20% - Accent5 12" xfId="642" xr:uid="{00000000-0005-0000-0000-000037000000}"/>
    <cellStyle name="20% - Accent5 13" xfId="720" xr:uid="{00000000-0005-0000-0000-000038000000}"/>
    <cellStyle name="20% - Accent5 2" xfId="6" xr:uid="{00000000-0005-0000-0000-000039000000}"/>
    <cellStyle name="20% - Accent5 3" xfId="142" xr:uid="{00000000-0005-0000-0000-00003A000000}"/>
    <cellStyle name="20% - Accent5 4" xfId="204" xr:uid="{00000000-0005-0000-0000-00003B000000}"/>
    <cellStyle name="20% - Accent5 5" xfId="236" xr:uid="{00000000-0005-0000-0000-00003C000000}"/>
    <cellStyle name="20% - Accent5 6" xfId="271" xr:uid="{00000000-0005-0000-0000-00003D000000}"/>
    <cellStyle name="20% - Accent5 7" xfId="325" xr:uid="{00000000-0005-0000-0000-00003E000000}"/>
    <cellStyle name="20% - Accent5 8" xfId="365" xr:uid="{00000000-0005-0000-0000-00003F000000}"/>
    <cellStyle name="20% - Accent5 9" xfId="400" xr:uid="{00000000-0005-0000-0000-000040000000}"/>
    <cellStyle name="20% - Accent6 10" xfId="451" xr:uid="{00000000-0005-0000-0000-000041000000}"/>
    <cellStyle name="20% - Accent6 11" xfId="597" xr:uid="{00000000-0005-0000-0000-000042000000}"/>
    <cellStyle name="20% - Accent6 12" xfId="643" xr:uid="{00000000-0005-0000-0000-000043000000}"/>
    <cellStyle name="20% - Accent6 13" xfId="719" xr:uid="{00000000-0005-0000-0000-000044000000}"/>
    <cellStyle name="20% - Accent6 2" xfId="7" xr:uid="{00000000-0005-0000-0000-000045000000}"/>
    <cellStyle name="20% - Accent6 3" xfId="143" xr:uid="{00000000-0005-0000-0000-000046000000}"/>
    <cellStyle name="20% - Accent6 4" xfId="231" xr:uid="{00000000-0005-0000-0000-000047000000}"/>
    <cellStyle name="20% - Accent6 5" xfId="260" xr:uid="{00000000-0005-0000-0000-000048000000}"/>
    <cellStyle name="20% - Accent6 6" xfId="272" xr:uid="{00000000-0005-0000-0000-000049000000}"/>
    <cellStyle name="20% - Accent6 7" xfId="324" xr:uid="{00000000-0005-0000-0000-00004A000000}"/>
    <cellStyle name="20% - Accent6 8" xfId="389" xr:uid="{00000000-0005-0000-0000-00004B000000}"/>
    <cellStyle name="20% - Accent6 9" xfId="401" xr:uid="{00000000-0005-0000-0000-00004C000000}"/>
    <cellStyle name="40% - Accent1 10" xfId="466" xr:uid="{00000000-0005-0000-0000-00004D000000}"/>
    <cellStyle name="40% - Accent1 11" xfId="598" xr:uid="{00000000-0005-0000-0000-00004E000000}"/>
    <cellStyle name="40% - Accent1 12" xfId="644" xr:uid="{00000000-0005-0000-0000-00004F000000}"/>
    <cellStyle name="40% - Accent1 13" xfId="718" xr:uid="{00000000-0005-0000-0000-000050000000}"/>
    <cellStyle name="40% - Accent1 2" xfId="8" xr:uid="{00000000-0005-0000-0000-000051000000}"/>
    <cellStyle name="40% - Accent1 3" xfId="144" xr:uid="{00000000-0005-0000-0000-000052000000}"/>
    <cellStyle name="40% - Accent1 4" xfId="203" xr:uid="{00000000-0005-0000-0000-000053000000}"/>
    <cellStyle name="40% - Accent1 5" xfId="235" xr:uid="{00000000-0005-0000-0000-000054000000}"/>
    <cellStyle name="40% - Accent1 6" xfId="273" xr:uid="{00000000-0005-0000-0000-000055000000}"/>
    <cellStyle name="40% - Accent1 7" xfId="348" xr:uid="{00000000-0005-0000-0000-000056000000}"/>
    <cellStyle name="40% - Accent1 8" xfId="364" xr:uid="{00000000-0005-0000-0000-000057000000}"/>
    <cellStyle name="40% - Accent1 9" xfId="402" xr:uid="{00000000-0005-0000-0000-000058000000}"/>
    <cellStyle name="40% - Accent2 10" xfId="450" xr:uid="{00000000-0005-0000-0000-000059000000}"/>
    <cellStyle name="40% - Accent2 11" xfId="599" xr:uid="{00000000-0005-0000-0000-00005A000000}"/>
    <cellStyle name="40% - Accent2 12" xfId="645" xr:uid="{00000000-0005-0000-0000-00005B000000}"/>
    <cellStyle name="40% - Accent2 13" xfId="717" xr:uid="{00000000-0005-0000-0000-00005C000000}"/>
    <cellStyle name="40% - Accent2 2" xfId="9" xr:uid="{00000000-0005-0000-0000-00005D000000}"/>
    <cellStyle name="40% - Accent2 3" xfId="145" xr:uid="{00000000-0005-0000-0000-00005E000000}"/>
    <cellStyle name="40% - Accent2 4" xfId="221" xr:uid="{00000000-0005-0000-0000-00005F000000}"/>
    <cellStyle name="40% - Accent2 5" xfId="250" xr:uid="{00000000-0005-0000-0000-000060000000}"/>
    <cellStyle name="40% - Accent2 6" xfId="274" xr:uid="{00000000-0005-0000-0000-000061000000}"/>
    <cellStyle name="40% - Accent2 7" xfId="351" xr:uid="{00000000-0005-0000-0000-000062000000}"/>
    <cellStyle name="40% - Accent2 8" xfId="379" xr:uid="{00000000-0005-0000-0000-000063000000}"/>
    <cellStyle name="40% - Accent2 9" xfId="403" xr:uid="{00000000-0005-0000-0000-000064000000}"/>
    <cellStyle name="40% - Accent3 10" xfId="449" xr:uid="{00000000-0005-0000-0000-000065000000}"/>
    <cellStyle name="40% - Accent3 11" xfId="600" xr:uid="{00000000-0005-0000-0000-000066000000}"/>
    <cellStyle name="40% - Accent3 12" xfId="646" xr:uid="{00000000-0005-0000-0000-000067000000}"/>
    <cellStyle name="40% - Accent3 13" xfId="716" xr:uid="{00000000-0005-0000-0000-000068000000}"/>
    <cellStyle name="40% - Accent3 2" xfId="10" xr:uid="{00000000-0005-0000-0000-000069000000}"/>
    <cellStyle name="40% - Accent3 3" xfId="146" xr:uid="{00000000-0005-0000-0000-00006A000000}"/>
    <cellStyle name="40% - Accent3 4" xfId="202" xr:uid="{00000000-0005-0000-0000-00006B000000}"/>
    <cellStyle name="40% - Accent3 5" xfId="234" xr:uid="{00000000-0005-0000-0000-00006C000000}"/>
    <cellStyle name="40% - Accent3 6" xfId="275" xr:uid="{00000000-0005-0000-0000-00006D000000}"/>
    <cellStyle name="40% - Accent3 7" xfId="347" xr:uid="{00000000-0005-0000-0000-00006E000000}"/>
    <cellStyle name="40% - Accent3 8" xfId="363" xr:uid="{00000000-0005-0000-0000-00006F000000}"/>
    <cellStyle name="40% - Accent3 9" xfId="404" xr:uid="{00000000-0005-0000-0000-000070000000}"/>
    <cellStyle name="40% - Accent4 10" xfId="469" xr:uid="{00000000-0005-0000-0000-000071000000}"/>
    <cellStyle name="40% - Accent4 11" xfId="601" xr:uid="{00000000-0005-0000-0000-000072000000}"/>
    <cellStyle name="40% - Accent4 12" xfId="647" xr:uid="{00000000-0005-0000-0000-000073000000}"/>
    <cellStyle name="40% - Accent4 13" xfId="715" xr:uid="{00000000-0005-0000-0000-000074000000}"/>
    <cellStyle name="40% - Accent4 2" xfId="11" xr:uid="{00000000-0005-0000-0000-000075000000}"/>
    <cellStyle name="40% - Accent4 3" xfId="147" xr:uid="{00000000-0005-0000-0000-000076000000}"/>
    <cellStyle name="40% - Accent4 4" xfId="201" xr:uid="{00000000-0005-0000-0000-000077000000}"/>
    <cellStyle name="40% - Accent4 5" xfId="233" xr:uid="{00000000-0005-0000-0000-000078000000}"/>
    <cellStyle name="40% - Accent4 6" xfId="276" xr:uid="{00000000-0005-0000-0000-000079000000}"/>
    <cellStyle name="40% - Accent4 7" xfId="323" xr:uid="{00000000-0005-0000-0000-00007A000000}"/>
    <cellStyle name="40% - Accent4 8" xfId="362" xr:uid="{00000000-0005-0000-0000-00007B000000}"/>
    <cellStyle name="40% - Accent4 9" xfId="405" xr:uid="{00000000-0005-0000-0000-00007C000000}"/>
    <cellStyle name="40% - Accent5 10" xfId="448" xr:uid="{00000000-0005-0000-0000-00007D000000}"/>
    <cellStyle name="40% - Accent5 11" xfId="602" xr:uid="{00000000-0005-0000-0000-00007E000000}"/>
    <cellStyle name="40% - Accent5 12" xfId="648" xr:uid="{00000000-0005-0000-0000-00007F000000}"/>
    <cellStyle name="40% - Accent5 13" xfId="714" xr:uid="{00000000-0005-0000-0000-000080000000}"/>
    <cellStyle name="40% - Accent5 2" xfId="12" xr:uid="{00000000-0005-0000-0000-000081000000}"/>
    <cellStyle name="40% - Accent5 3" xfId="148" xr:uid="{00000000-0005-0000-0000-000082000000}"/>
    <cellStyle name="40% - Accent5 4" xfId="224" xr:uid="{00000000-0005-0000-0000-000083000000}"/>
    <cellStyle name="40% - Accent5 5" xfId="253" xr:uid="{00000000-0005-0000-0000-000084000000}"/>
    <cellStyle name="40% - Accent5 6" xfId="277" xr:uid="{00000000-0005-0000-0000-000085000000}"/>
    <cellStyle name="40% - Accent5 7" xfId="322" xr:uid="{00000000-0005-0000-0000-000086000000}"/>
    <cellStyle name="40% - Accent5 8" xfId="382" xr:uid="{00000000-0005-0000-0000-000087000000}"/>
    <cellStyle name="40% - Accent5 9" xfId="406" xr:uid="{00000000-0005-0000-0000-000088000000}"/>
    <cellStyle name="40% - Accent6 10" xfId="465" xr:uid="{00000000-0005-0000-0000-000089000000}"/>
    <cellStyle name="40% - Accent6 11" xfId="603" xr:uid="{00000000-0005-0000-0000-00008A000000}"/>
    <cellStyle name="40% - Accent6 12" xfId="649" xr:uid="{00000000-0005-0000-0000-00008B000000}"/>
    <cellStyle name="40% - Accent6 13" xfId="713" xr:uid="{00000000-0005-0000-0000-00008C000000}"/>
    <cellStyle name="40% - Accent6 2" xfId="13" xr:uid="{00000000-0005-0000-0000-00008D000000}"/>
    <cellStyle name="40% - Accent6 3" xfId="149" xr:uid="{00000000-0005-0000-0000-00008E000000}"/>
    <cellStyle name="40% - Accent6 4" xfId="200" xr:uid="{00000000-0005-0000-0000-00008F000000}"/>
    <cellStyle name="40% - Accent6 5" xfId="232" xr:uid="{00000000-0005-0000-0000-000090000000}"/>
    <cellStyle name="40% - Accent6 6" xfId="278" xr:uid="{00000000-0005-0000-0000-000091000000}"/>
    <cellStyle name="40% - Accent6 7" xfId="321" xr:uid="{00000000-0005-0000-0000-000092000000}"/>
    <cellStyle name="40% - Accent6 8" xfId="361" xr:uid="{00000000-0005-0000-0000-000093000000}"/>
    <cellStyle name="40% - Accent6 9" xfId="407" xr:uid="{00000000-0005-0000-0000-000094000000}"/>
    <cellStyle name="60% - Accent1 10" xfId="447" xr:uid="{00000000-0005-0000-0000-000095000000}"/>
    <cellStyle name="60% - Accent1 11" xfId="604" xr:uid="{00000000-0005-0000-0000-000096000000}"/>
    <cellStyle name="60% - Accent1 12" xfId="650" xr:uid="{00000000-0005-0000-0000-000097000000}"/>
    <cellStyle name="60% - Accent1 13" xfId="712" xr:uid="{00000000-0005-0000-0000-000098000000}"/>
    <cellStyle name="60% - Accent1 2" xfId="14" xr:uid="{00000000-0005-0000-0000-000099000000}"/>
    <cellStyle name="60% - Accent1 3" xfId="150" xr:uid="{00000000-0005-0000-0000-00009A000000}"/>
    <cellStyle name="60% - Accent1 4" xfId="220" xr:uid="{00000000-0005-0000-0000-00009B000000}"/>
    <cellStyle name="60% - Accent1 5" xfId="249" xr:uid="{00000000-0005-0000-0000-00009C000000}"/>
    <cellStyle name="60% - Accent1 6" xfId="279" xr:uid="{00000000-0005-0000-0000-00009D000000}"/>
    <cellStyle name="60% - Accent1 7" xfId="339" xr:uid="{00000000-0005-0000-0000-00009E000000}"/>
    <cellStyle name="60% - Accent1 8" xfId="378" xr:uid="{00000000-0005-0000-0000-00009F000000}"/>
    <cellStyle name="60% - Accent1 9" xfId="408" xr:uid="{00000000-0005-0000-0000-0000A0000000}"/>
    <cellStyle name="60% - Accent2 10" xfId="446" xr:uid="{00000000-0005-0000-0000-0000A1000000}"/>
    <cellStyle name="60% - Accent2 11" xfId="605" xr:uid="{00000000-0005-0000-0000-0000A2000000}"/>
    <cellStyle name="60% - Accent2 12" xfId="651" xr:uid="{00000000-0005-0000-0000-0000A3000000}"/>
    <cellStyle name="60% - Accent2 13" xfId="711" xr:uid="{00000000-0005-0000-0000-0000A4000000}"/>
    <cellStyle name="60% - Accent2 2" xfId="15" xr:uid="{00000000-0005-0000-0000-0000A5000000}"/>
    <cellStyle name="60% - Accent2 3" xfId="151" xr:uid="{00000000-0005-0000-0000-0000A6000000}"/>
    <cellStyle name="60% - Accent2 4" xfId="199" xr:uid="{00000000-0005-0000-0000-0000A7000000}"/>
    <cellStyle name="60% - Accent2 5" xfId="165" xr:uid="{00000000-0005-0000-0000-0000A8000000}"/>
    <cellStyle name="60% - Accent2 6" xfId="280" xr:uid="{00000000-0005-0000-0000-0000A9000000}"/>
    <cellStyle name="60% - Accent2 7" xfId="320" xr:uid="{00000000-0005-0000-0000-0000AA000000}"/>
    <cellStyle name="60% - Accent2 8" xfId="360" xr:uid="{00000000-0005-0000-0000-0000AB000000}"/>
    <cellStyle name="60% - Accent2 9" xfId="409" xr:uid="{00000000-0005-0000-0000-0000AC000000}"/>
    <cellStyle name="60% - Accent3 10" xfId="445" xr:uid="{00000000-0005-0000-0000-0000AD000000}"/>
    <cellStyle name="60% - Accent3 11" xfId="606" xr:uid="{00000000-0005-0000-0000-0000AE000000}"/>
    <cellStyle name="60% - Accent3 12" xfId="652" xr:uid="{00000000-0005-0000-0000-0000AF000000}"/>
    <cellStyle name="60% - Accent3 13" xfId="710" xr:uid="{00000000-0005-0000-0000-0000B0000000}"/>
    <cellStyle name="60% - Accent3 2" xfId="16" xr:uid="{00000000-0005-0000-0000-0000B1000000}"/>
    <cellStyle name="60% - Accent3 3" xfId="152" xr:uid="{00000000-0005-0000-0000-0000B2000000}"/>
    <cellStyle name="60% - Accent3 4" xfId="198" xr:uid="{00000000-0005-0000-0000-0000B3000000}"/>
    <cellStyle name="60% - Accent3 5" xfId="166" xr:uid="{00000000-0005-0000-0000-0000B4000000}"/>
    <cellStyle name="60% - Accent3 6" xfId="281" xr:uid="{00000000-0005-0000-0000-0000B5000000}"/>
    <cellStyle name="60% - Accent3 7" xfId="350" xr:uid="{00000000-0005-0000-0000-0000B6000000}"/>
    <cellStyle name="60% - Accent3 8" xfId="359" xr:uid="{00000000-0005-0000-0000-0000B7000000}"/>
    <cellStyle name="60% - Accent3 9" xfId="410" xr:uid="{00000000-0005-0000-0000-0000B8000000}"/>
    <cellStyle name="60% - Accent4 10" xfId="444" xr:uid="{00000000-0005-0000-0000-0000B9000000}"/>
    <cellStyle name="60% - Accent4 11" xfId="607" xr:uid="{00000000-0005-0000-0000-0000BA000000}"/>
    <cellStyle name="60% - Accent4 12" xfId="653" xr:uid="{00000000-0005-0000-0000-0000BB000000}"/>
    <cellStyle name="60% - Accent4 13" xfId="698" xr:uid="{00000000-0005-0000-0000-0000BC000000}"/>
    <cellStyle name="60% - Accent4 2" xfId="17" xr:uid="{00000000-0005-0000-0000-0000BD000000}"/>
    <cellStyle name="60% - Accent4 3" xfId="153" xr:uid="{00000000-0005-0000-0000-0000BE000000}"/>
    <cellStyle name="60% - Accent4 4" xfId="197" xr:uid="{00000000-0005-0000-0000-0000BF000000}"/>
    <cellStyle name="60% - Accent4 5" xfId="167" xr:uid="{00000000-0005-0000-0000-0000C0000000}"/>
    <cellStyle name="60% - Accent4 6" xfId="282" xr:uid="{00000000-0005-0000-0000-0000C1000000}"/>
    <cellStyle name="60% - Accent4 7" xfId="319" xr:uid="{00000000-0005-0000-0000-0000C2000000}"/>
    <cellStyle name="60% - Accent4 8" xfId="358" xr:uid="{00000000-0005-0000-0000-0000C3000000}"/>
    <cellStyle name="60% - Accent4 9" xfId="411" xr:uid="{00000000-0005-0000-0000-0000C4000000}"/>
    <cellStyle name="60% - Accent5 10" xfId="471" xr:uid="{00000000-0005-0000-0000-0000C5000000}"/>
    <cellStyle name="60% - Accent5 11" xfId="608" xr:uid="{00000000-0005-0000-0000-0000C6000000}"/>
    <cellStyle name="60% - Accent5 12" xfId="654" xr:uid="{00000000-0005-0000-0000-0000C7000000}"/>
    <cellStyle name="60% - Accent5 13" xfId="688" xr:uid="{00000000-0005-0000-0000-0000C8000000}"/>
    <cellStyle name="60% - Accent5 2" xfId="18" xr:uid="{00000000-0005-0000-0000-0000C9000000}"/>
    <cellStyle name="60% - Accent5 3" xfId="154" xr:uid="{00000000-0005-0000-0000-0000CA000000}"/>
    <cellStyle name="60% - Accent5 4" xfId="196" xr:uid="{00000000-0005-0000-0000-0000CB000000}"/>
    <cellStyle name="60% - Accent5 5" xfId="213" xr:uid="{00000000-0005-0000-0000-0000CC000000}"/>
    <cellStyle name="60% - Accent5 6" xfId="283" xr:uid="{00000000-0005-0000-0000-0000CD000000}"/>
    <cellStyle name="60% - Accent5 7" xfId="349" xr:uid="{00000000-0005-0000-0000-0000CE000000}"/>
    <cellStyle name="60% - Accent5 8" xfId="357" xr:uid="{00000000-0005-0000-0000-0000CF000000}"/>
    <cellStyle name="60% - Accent5 9" xfId="412" xr:uid="{00000000-0005-0000-0000-0000D0000000}"/>
    <cellStyle name="60% - Accent6 10" xfId="474" xr:uid="{00000000-0005-0000-0000-0000D1000000}"/>
    <cellStyle name="60% - Accent6 11" xfId="609" xr:uid="{00000000-0005-0000-0000-0000D2000000}"/>
    <cellStyle name="60% - Accent6 12" xfId="655" xr:uid="{00000000-0005-0000-0000-0000D3000000}"/>
    <cellStyle name="60% - Accent6 13" xfId="693" xr:uid="{00000000-0005-0000-0000-0000D4000000}"/>
    <cellStyle name="60% - Accent6 2" xfId="19" xr:uid="{00000000-0005-0000-0000-0000D5000000}"/>
    <cellStyle name="60% - Accent6 3" xfId="155" xr:uid="{00000000-0005-0000-0000-0000D6000000}"/>
    <cellStyle name="60% - Accent6 4" xfId="227" xr:uid="{00000000-0005-0000-0000-0000D7000000}"/>
    <cellStyle name="60% - Accent6 5" xfId="256" xr:uid="{00000000-0005-0000-0000-0000D8000000}"/>
    <cellStyle name="60% - Accent6 6" xfId="284" xr:uid="{00000000-0005-0000-0000-0000D9000000}"/>
    <cellStyle name="60% - Accent6 7" xfId="318" xr:uid="{00000000-0005-0000-0000-0000DA000000}"/>
    <cellStyle name="60% - Accent6 8" xfId="385" xr:uid="{00000000-0005-0000-0000-0000DB000000}"/>
    <cellStyle name="60% - Accent6 9" xfId="413" xr:uid="{00000000-0005-0000-0000-0000DC000000}"/>
    <cellStyle name="Accent1 10" xfId="470" xr:uid="{00000000-0005-0000-0000-0000DD000000}"/>
    <cellStyle name="Accent1 11" xfId="610" xr:uid="{00000000-0005-0000-0000-0000DE000000}"/>
    <cellStyle name="Accent1 12" xfId="656" xr:uid="{00000000-0005-0000-0000-0000DF000000}"/>
    <cellStyle name="Accent1 13" xfId="687" xr:uid="{00000000-0005-0000-0000-0000E0000000}"/>
    <cellStyle name="Accent1 2" xfId="20" xr:uid="{00000000-0005-0000-0000-0000E1000000}"/>
    <cellStyle name="Accent1 3" xfId="156" xr:uid="{00000000-0005-0000-0000-0000E2000000}"/>
    <cellStyle name="Accent1 4" xfId="229" xr:uid="{00000000-0005-0000-0000-0000E3000000}"/>
    <cellStyle name="Accent1 5" xfId="258" xr:uid="{00000000-0005-0000-0000-0000E4000000}"/>
    <cellStyle name="Accent1 6" xfId="285" xr:uid="{00000000-0005-0000-0000-0000E5000000}"/>
    <cellStyle name="Accent1 7" xfId="317" xr:uid="{00000000-0005-0000-0000-0000E6000000}"/>
    <cellStyle name="Accent1 8" xfId="387" xr:uid="{00000000-0005-0000-0000-0000E7000000}"/>
    <cellStyle name="Accent1 9" xfId="414" xr:uid="{00000000-0005-0000-0000-0000E8000000}"/>
    <cellStyle name="Accent2 10" xfId="443" xr:uid="{00000000-0005-0000-0000-0000E9000000}"/>
    <cellStyle name="Accent2 11" xfId="611" xr:uid="{00000000-0005-0000-0000-0000EA000000}"/>
    <cellStyle name="Accent2 12" xfId="657" xr:uid="{00000000-0005-0000-0000-0000EB000000}"/>
    <cellStyle name="Accent2 13" xfId="686" xr:uid="{00000000-0005-0000-0000-0000EC000000}"/>
    <cellStyle name="Accent2 2" xfId="21" xr:uid="{00000000-0005-0000-0000-0000ED000000}"/>
    <cellStyle name="Accent2 3" xfId="157" xr:uid="{00000000-0005-0000-0000-0000EE000000}"/>
    <cellStyle name="Accent2 4" xfId="226" xr:uid="{00000000-0005-0000-0000-0000EF000000}"/>
    <cellStyle name="Accent2 5" xfId="255" xr:uid="{00000000-0005-0000-0000-0000F0000000}"/>
    <cellStyle name="Accent2 6" xfId="286" xr:uid="{00000000-0005-0000-0000-0000F1000000}"/>
    <cellStyle name="Accent2 7" xfId="345" xr:uid="{00000000-0005-0000-0000-0000F2000000}"/>
    <cellStyle name="Accent2 8" xfId="384" xr:uid="{00000000-0005-0000-0000-0000F3000000}"/>
    <cellStyle name="Accent2 9" xfId="415" xr:uid="{00000000-0005-0000-0000-0000F4000000}"/>
    <cellStyle name="Accent3 10" xfId="442" xr:uid="{00000000-0005-0000-0000-0000F5000000}"/>
    <cellStyle name="Accent3 11" xfId="612" xr:uid="{00000000-0005-0000-0000-0000F6000000}"/>
    <cellStyle name="Accent3 12" xfId="658" xr:uid="{00000000-0005-0000-0000-0000F7000000}"/>
    <cellStyle name="Accent3 13" xfId="683" xr:uid="{00000000-0005-0000-0000-0000F8000000}"/>
    <cellStyle name="Accent3 2" xfId="22" xr:uid="{00000000-0005-0000-0000-0000F9000000}"/>
    <cellStyle name="Accent3 3" xfId="158" xr:uid="{00000000-0005-0000-0000-0000FA000000}"/>
    <cellStyle name="Accent3 4" xfId="195" xr:uid="{00000000-0005-0000-0000-0000FB000000}"/>
    <cellStyle name="Accent3 5" xfId="168" xr:uid="{00000000-0005-0000-0000-0000FC000000}"/>
    <cellStyle name="Accent3 6" xfId="287" xr:uid="{00000000-0005-0000-0000-0000FD000000}"/>
    <cellStyle name="Accent3 7" xfId="344" xr:uid="{00000000-0005-0000-0000-0000FE000000}"/>
    <cellStyle name="Accent3 8" xfId="356" xr:uid="{00000000-0005-0000-0000-0000FF000000}"/>
    <cellStyle name="Accent3 9" xfId="416" xr:uid="{00000000-0005-0000-0000-000000010000}"/>
    <cellStyle name="Accent4 10" xfId="441" xr:uid="{00000000-0005-0000-0000-000001010000}"/>
    <cellStyle name="Accent4 11" xfId="613" xr:uid="{00000000-0005-0000-0000-000002010000}"/>
    <cellStyle name="Accent4 12" xfId="659" xr:uid="{00000000-0005-0000-0000-000003010000}"/>
    <cellStyle name="Accent4 13" xfId="709" xr:uid="{00000000-0005-0000-0000-000004010000}"/>
    <cellStyle name="Accent4 2" xfId="23" xr:uid="{00000000-0005-0000-0000-000005010000}"/>
    <cellStyle name="Accent4 3" xfId="159" xr:uid="{00000000-0005-0000-0000-000006010000}"/>
    <cellStyle name="Accent4 4" xfId="194" xr:uid="{00000000-0005-0000-0000-000007010000}"/>
    <cellStyle name="Accent4 5" xfId="169" xr:uid="{00000000-0005-0000-0000-000008010000}"/>
    <cellStyle name="Accent4 6" xfId="288" xr:uid="{00000000-0005-0000-0000-000009010000}"/>
    <cellStyle name="Accent4 7" xfId="316" xr:uid="{00000000-0005-0000-0000-00000A010000}"/>
    <cellStyle name="Accent4 8" xfId="355" xr:uid="{00000000-0005-0000-0000-00000B010000}"/>
    <cellStyle name="Accent4 9" xfId="417" xr:uid="{00000000-0005-0000-0000-00000C010000}"/>
    <cellStyle name="Accent5 10" xfId="464" xr:uid="{00000000-0005-0000-0000-00000D010000}"/>
    <cellStyle name="Accent5 11" xfId="614" xr:uid="{00000000-0005-0000-0000-00000E010000}"/>
    <cellStyle name="Accent5 12" xfId="660" xr:uid="{00000000-0005-0000-0000-00000F010000}"/>
    <cellStyle name="Accent5 13" xfId="682" xr:uid="{00000000-0005-0000-0000-000010010000}"/>
    <cellStyle name="Accent5 2" xfId="24" xr:uid="{00000000-0005-0000-0000-000011010000}"/>
    <cellStyle name="Accent5 3" xfId="160" xr:uid="{00000000-0005-0000-0000-000012010000}"/>
    <cellStyle name="Accent5 4" xfId="193" xr:uid="{00000000-0005-0000-0000-000013010000}"/>
    <cellStyle name="Accent5 5" xfId="170" xr:uid="{00000000-0005-0000-0000-000014010000}"/>
    <cellStyle name="Accent5 6" xfId="289" xr:uid="{00000000-0005-0000-0000-000015010000}"/>
    <cellStyle name="Accent5 7" xfId="315" xr:uid="{00000000-0005-0000-0000-000016010000}"/>
    <cellStyle name="Accent5 8" xfId="354" xr:uid="{00000000-0005-0000-0000-000017010000}"/>
    <cellStyle name="Accent5 9" xfId="418" xr:uid="{00000000-0005-0000-0000-000018010000}"/>
    <cellStyle name="Accent6 10" xfId="440" xr:uid="{00000000-0005-0000-0000-000019010000}"/>
    <cellStyle name="Accent6 11" xfId="615" xr:uid="{00000000-0005-0000-0000-00001A010000}"/>
    <cellStyle name="Accent6 12" xfId="661" xr:uid="{00000000-0005-0000-0000-00001B010000}"/>
    <cellStyle name="Accent6 13" xfId="692" xr:uid="{00000000-0005-0000-0000-00001C010000}"/>
    <cellStyle name="Accent6 2" xfId="25" xr:uid="{00000000-0005-0000-0000-00001D010000}"/>
    <cellStyle name="Accent6 3" xfId="161" xr:uid="{00000000-0005-0000-0000-00001E010000}"/>
    <cellStyle name="Accent6 4" xfId="219" xr:uid="{00000000-0005-0000-0000-00001F010000}"/>
    <cellStyle name="Accent6 5" xfId="248" xr:uid="{00000000-0005-0000-0000-000020010000}"/>
    <cellStyle name="Accent6 6" xfId="290" xr:uid="{00000000-0005-0000-0000-000021010000}"/>
    <cellStyle name="Accent6 7" xfId="314" xr:uid="{00000000-0005-0000-0000-000022010000}"/>
    <cellStyle name="Accent6 8" xfId="377" xr:uid="{00000000-0005-0000-0000-000023010000}"/>
    <cellStyle name="Accent6 9" xfId="419" xr:uid="{00000000-0005-0000-0000-000024010000}"/>
    <cellStyle name="as" xfId="481" xr:uid="{00000000-0005-0000-0000-000025010000}"/>
    <cellStyle name="Bad 10" xfId="473" xr:uid="{00000000-0005-0000-0000-000026010000}"/>
    <cellStyle name="Bad 11" xfId="616" xr:uid="{00000000-0005-0000-0000-000027010000}"/>
    <cellStyle name="Bad 12" xfId="662" xr:uid="{00000000-0005-0000-0000-000028010000}"/>
    <cellStyle name="Bad 13" xfId="681" xr:uid="{00000000-0005-0000-0000-000029010000}"/>
    <cellStyle name="Bad 2" xfId="26" xr:uid="{00000000-0005-0000-0000-00002A010000}"/>
    <cellStyle name="Bad 3" xfId="162" xr:uid="{00000000-0005-0000-0000-00002B010000}"/>
    <cellStyle name="Bad 4" xfId="192" xr:uid="{00000000-0005-0000-0000-00002C010000}"/>
    <cellStyle name="Bad 5" xfId="214" xr:uid="{00000000-0005-0000-0000-00002D010000}"/>
    <cellStyle name="Bad 6" xfId="291" xr:uid="{00000000-0005-0000-0000-00002E010000}"/>
    <cellStyle name="Bad 7" xfId="343" xr:uid="{00000000-0005-0000-0000-00002F010000}"/>
    <cellStyle name="Bad 8" xfId="353" xr:uid="{00000000-0005-0000-0000-000030010000}"/>
    <cellStyle name="Bad 9" xfId="420" xr:uid="{00000000-0005-0000-0000-000031010000}"/>
    <cellStyle name="Calc Currency (0)" xfId="482" xr:uid="{00000000-0005-0000-0000-000032010000}"/>
    <cellStyle name="Calc Currency (2)" xfId="483" xr:uid="{00000000-0005-0000-0000-000033010000}"/>
    <cellStyle name="Calc Percent (0)" xfId="484" xr:uid="{00000000-0005-0000-0000-000034010000}"/>
    <cellStyle name="Calc Percent (1)" xfId="485" xr:uid="{00000000-0005-0000-0000-000035010000}"/>
    <cellStyle name="Calc Percent (2)" xfId="486" xr:uid="{00000000-0005-0000-0000-000036010000}"/>
    <cellStyle name="Calc Units (0)" xfId="487" xr:uid="{00000000-0005-0000-0000-000037010000}"/>
    <cellStyle name="Calc Units (1)" xfId="488" xr:uid="{00000000-0005-0000-0000-000038010000}"/>
    <cellStyle name="Calc Units (2)" xfId="489" xr:uid="{00000000-0005-0000-0000-000039010000}"/>
    <cellStyle name="Calculation 10" xfId="439" xr:uid="{00000000-0005-0000-0000-00003A010000}"/>
    <cellStyle name="Calculation 11" xfId="617" xr:uid="{00000000-0005-0000-0000-00003B010000}"/>
    <cellStyle name="Calculation 12" xfId="663" xr:uid="{00000000-0005-0000-0000-00003C010000}"/>
    <cellStyle name="Calculation 13" xfId="680" xr:uid="{00000000-0005-0000-0000-00003D010000}"/>
    <cellStyle name="Calculation 2" xfId="27" xr:uid="{00000000-0005-0000-0000-00003E010000}"/>
    <cellStyle name="Calculation 3" xfId="163" xr:uid="{00000000-0005-0000-0000-00003F010000}"/>
    <cellStyle name="Calculation 4" xfId="228" xr:uid="{00000000-0005-0000-0000-000040010000}"/>
    <cellStyle name="Calculation 5" xfId="257" xr:uid="{00000000-0005-0000-0000-000041010000}"/>
    <cellStyle name="Calculation 6" xfId="292" xr:uid="{00000000-0005-0000-0000-000042010000}"/>
    <cellStyle name="Calculation 7" xfId="313" xr:uid="{00000000-0005-0000-0000-000043010000}"/>
    <cellStyle name="Calculation 8" xfId="386" xr:uid="{00000000-0005-0000-0000-000044010000}"/>
    <cellStyle name="Calculation 9" xfId="421" xr:uid="{00000000-0005-0000-0000-000045010000}"/>
    <cellStyle name="Check Cell 10" xfId="472" xr:uid="{00000000-0005-0000-0000-000046010000}"/>
    <cellStyle name="Check Cell 11" xfId="618" xr:uid="{00000000-0005-0000-0000-000047010000}"/>
    <cellStyle name="Check Cell 12" xfId="664" xr:uid="{00000000-0005-0000-0000-000048010000}"/>
    <cellStyle name="Check Cell 13" xfId="708" xr:uid="{00000000-0005-0000-0000-000049010000}"/>
    <cellStyle name="Check Cell 2" xfId="28" xr:uid="{00000000-0005-0000-0000-00004A010000}"/>
    <cellStyle name="Check Cell 3" xfId="164" xr:uid="{00000000-0005-0000-0000-00004B010000}"/>
    <cellStyle name="Check Cell 4" xfId="191" xr:uid="{00000000-0005-0000-0000-00004C010000}"/>
    <cellStyle name="Check Cell 5" xfId="171" xr:uid="{00000000-0005-0000-0000-00004D010000}"/>
    <cellStyle name="Check Cell 6" xfId="293" xr:uid="{00000000-0005-0000-0000-00004E010000}"/>
    <cellStyle name="Check Cell 7" xfId="312" xr:uid="{00000000-0005-0000-0000-00004F010000}"/>
    <cellStyle name="Check Cell 8" xfId="352" xr:uid="{00000000-0005-0000-0000-000050010000}"/>
    <cellStyle name="Check Cell 9" xfId="422" xr:uid="{00000000-0005-0000-0000-000051010000}"/>
    <cellStyle name="Comma" xfId="1" builtinId="3"/>
    <cellStyle name="Comma [00]" xfId="490" xr:uid="{00000000-0005-0000-0000-000053010000}"/>
    <cellStyle name="Comma 10" xfId="732" xr:uid="{00000000-0005-0000-0000-000054010000}"/>
    <cellStyle name="Comma 11" xfId="731" xr:uid="{00000000-0005-0000-0000-000055010000}"/>
    <cellStyle name="Comma 12" xfId="752" xr:uid="{00000000-0005-0000-0000-000056010000}"/>
    <cellStyle name="Comma 13" xfId="753" xr:uid="{00000000-0005-0000-0000-000057010000}"/>
    <cellStyle name="Comma 14" xfId="754" xr:uid="{00000000-0005-0000-0000-000058010000}"/>
    <cellStyle name="Comma 15" xfId="758" xr:uid="{00000000-0005-0000-0000-000059010000}"/>
    <cellStyle name="Comma 16" xfId="760" xr:uid="{E5A622E7-BAE6-44CB-BC5E-795FEE2A13E6}"/>
    <cellStyle name="Comma 17" xfId="763" xr:uid="{90CD636A-D904-4180-B688-303CE3FC72E8}"/>
    <cellStyle name="Comma 18" xfId="766" xr:uid="{1A0C8FFF-9AB9-473E-83CA-36BC27E6ED35}"/>
    <cellStyle name="Comma 19" xfId="769" xr:uid="{CB32660D-59C3-4C90-BFEB-DC1E4C13B344}"/>
    <cellStyle name="Comma 2" xfId="29" xr:uid="{00000000-0005-0000-0000-00005A010000}"/>
    <cellStyle name="Comma 2 2" xfId="30" xr:uid="{00000000-0005-0000-0000-00005B010000}"/>
    <cellStyle name="Comma 2 2 2" xfId="491" xr:uid="{00000000-0005-0000-0000-00005C010000}"/>
    <cellStyle name="Comma 2 2 2 2" xfId="739" xr:uid="{00000000-0005-0000-0000-00005D010000}"/>
    <cellStyle name="Comma 2 2 2 2 2" xfId="749" xr:uid="{00000000-0005-0000-0000-00005E010000}"/>
    <cellStyle name="Comma 2 3" xfId="31" xr:uid="{00000000-0005-0000-0000-00005F010000}"/>
    <cellStyle name="Comma 2 3 2" xfId="109" xr:uid="{00000000-0005-0000-0000-000060010000}"/>
    <cellStyle name="Comma 2 4" xfId="492" xr:uid="{00000000-0005-0000-0000-000061010000}"/>
    <cellStyle name="Comma 2 5" xfId="737" xr:uid="{00000000-0005-0000-0000-000062010000}"/>
    <cellStyle name="Comma 20" xfId="772" xr:uid="{DA8AABCE-F3E7-4C73-A42A-05F76E5B028E}"/>
    <cellStyle name="Comma 21" xfId="773" xr:uid="{DDFFB206-9F7E-4FE0-AA74-F5EE5681D4D7}"/>
    <cellStyle name="Comma 22" xfId="776" xr:uid="{95D5F6D9-BB5B-4A52-BC80-9B4DCCC4B57C}"/>
    <cellStyle name="Comma 23" xfId="781" xr:uid="{E5462668-C4B9-4FC5-8C29-E78E80FF37A7}"/>
    <cellStyle name="Comma 24" xfId="784" xr:uid="{99955E2B-DF5D-442B-9F57-B007F246F71E}"/>
    <cellStyle name="Comma 25" xfId="787" xr:uid="{24F0319B-B267-4052-860E-423F631067D5}"/>
    <cellStyle name="Comma 26" xfId="788" xr:uid="{2ED7C39A-AF9F-44B1-8DE7-9D25961A7AC0}"/>
    <cellStyle name="Comma 27" xfId="793" xr:uid="{8FB510BD-8266-40BA-8D49-E25742C51152}"/>
    <cellStyle name="Comma 28" xfId="794" xr:uid="{8D7EC90E-99D4-41ED-B92A-034756A1195B}"/>
    <cellStyle name="Comma 29" xfId="797" xr:uid="{EEB9E692-3204-4076-9A19-69EF6A7D6EDC}"/>
    <cellStyle name="Comma 3" xfId="32" xr:uid="{00000000-0005-0000-0000-000063010000}"/>
    <cellStyle name="Comma 3 2" xfId="33" xr:uid="{00000000-0005-0000-0000-000064010000}"/>
    <cellStyle name="Comma 3 2 2" xfId="493" xr:uid="{00000000-0005-0000-0000-000065010000}"/>
    <cellStyle name="Comma 3 3" xfId="34" xr:uid="{00000000-0005-0000-0000-000066010000}"/>
    <cellStyle name="Comma 3 4" xfId="110" xr:uid="{00000000-0005-0000-0000-000067010000}"/>
    <cellStyle name="Comma 3 5" xfId="745" xr:uid="{00000000-0005-0000-0000-000068010000}"/>
    <cellStyle name="Comma 30" xfId="802" xr:uid="{B58D6146-0E10-487E-B8B9-F261CCFF3115}"/>
    <cellStyle name="Comma 4" xfId="35" xr:uid="{00000000-0005-0000-0000-000069010000}"/>
    <cellStyle name="Comma 4 2" xfId="36" xr:uid="{00000000-0005-0000-0000-00006A010000}"/>
    <cellStyle name="Comma 4 3" xfId="111" xr:uid="{00000000-0005-0000-0000-00006B010000}"/>
    <cellStyle name="Comma 4 4" xfId="747" xr:uid="{00000000-0005-0000-0000-00006C010000}"/>
    <cellStyle name="Comma 5" xfId="37" xr:uid="{00000000-0005-0000-0000-00006D010000}"/>
    <cellStyle name="Comma 5 2" xfId="494" xr:uid="{00000000-0005-0000-0000-00006E010000}"/>
    <cellStyle name="Comma 6" xfId="112" xr:uid="{00000000-0005-0000-0000-00006F010000}"/>
    <cellStyle name="Comma 6 2" xfId="495" xr:uid="{00000000-0005-0000-0000-000070010000}"/>
    <cellStyle name="Comma 7" xfId="496" xr:uid="{00000000-0005-0000-0000-000071010000}"/>
    <cellStyle name="Comma 7 2" xfId="497" xr:uid="{00000000-0005-0000-0000-000072010000}"/>
    <cellStyle name="Comma 8" xfId="498" xr:uid="{00000000-0005-0000-0000-000073010000}"/>
    <cellStyle name="Comma 9" xfId="730" xr:uid="{00000000-0005-0000-0000-000074010000}"/>
    <cellStyle name="Comma0" xfId="499" xr:uid="{00000000-0005-0000-0000-000075010000}"/>
    <cellStyle name="Comma0 - Modelo1" xfId="500" xr:uid="{00000000-0005-0000-0000-000076010000}"/>
    <cellStyle name="Comma0 - Style1" xfId="501" xr:uid="{00000000-0005-0000-0000-000077010000}"/>
    <cellStyle name="Comma1 - Modelo2" xfId="502" xr:uid="{00000000-0005-0000-0000-000078010000}"/>
    <cellStyle name="Comma1 - Style2" xfId="503" xr:uid="{00000000-0005-0000-0000-000079010000}"/>
    <cellStyle name="ContentsHyperlink" xfId="124" xr:uid="{00000000-0005-0000-0000-00007A010000}"/>
    <cellStyle name="Currency [00]" xfId="504" xr:uid="{00000000-0005-0000-0000-00007B010000}"/>
    <cellStyle name="Currency0" xfId="505" xr:uid="{00000000-0005-0000-0000-00007C010000}"/>
    <cellStyle name="Custom - Style1" xfId="506" xr:uid="{00000000-0005-0000-0000-00007D010000}"/>
    <cellStyle name="Data   - Style2" xfId="507" xr:uid="{00000000-0005-0000-0000-00007E010000}"/>
    <cellStyle name="Date" xfId="508" xr:uid="{00000000-0005-0000-0000-00007F010000}"/>
    <cellStyle name="Date Short" xfId="509" xr:uid="{00000000-0005-0000-0000-000080010000}"/>
    <cellStyle name="DELTA" xfId="510" xr:uid="{00000000-0005-0000-0000-000081010000}"/>
    <cellStyle name="Dia" xfId="511" xr:uid="{00000000-0005-0000-0000-000082010000}"/>
    <cellStyle name="Encabez1" xfId="512" xr:uid="{00000000-0005-0000-0000-000083010000}"/>
    <cellStyle name="Encabez2" xfId="513" xr:uid="{00000000-0005-0000-0000-000084010000}"/>
    <cellStyle name="Enter Currency (0)" xfId="514" xr:uid="{00000000-0005-0000-0000-000085010000}"/>
    <cellStyle name="Enter Currency (2)" xfId="515" xr:uid="{00000000-0005-0000-0000-000086010000}"/>
    <cellStyle name="Enter Units (0)" xfId="516" xr:uid="{00000000-0005-0000-0000-000087010000}"/>
    <cellStyle name="Enter Units (1)" xfId="517" xr:uid="{00000000-0005-0000-0000-000088010000}"/>
    <cellStyle name="Enter Units (2)" xfId="518" xr:uid="{00000000-0005-0000-0000-000089010000}"/>
    <cellStyle name="Explanatory Text 10" xfId="437" xr:uid="{00000000-0005-0000-0000-00008A010000}"/>
    <cellStyle name="Explanatory Text 11" xfId="619" xr:uid="{00000000-0005-0000-0000-00008B010000}"/>
    <cellStyle name="Explanatory Text 12" xfId="665" xr:uid="{00000000-0005-0000-0000-00008C010000}"/>
    <cellStyle name="Explanatory Text 13" xfId="707" xr:uid="{00000000-0005-0000-0000-00008D010000}"/>
    <cellStyle name="Explanatory Text 2" xfId="38" xr:uid="{00000000-0005-0000-0000-00008E010000}"/>
    <cellStyle name="Explanatory Text 3" xfId="172" xr:uid="{00000000-0005-0000-0000-00008F010000}"/>
    <cellStyle name="Explanatory Text 4" xfId="190" xr:uid="{00000000-0005-0000-0000-000090010000}"/>
    <cellStyle name="Explanatory Text 5" xfId="173" xr:uid="{00000000-0005-0000-0000-000091010000}"/>
    <cellStyle name="Explanatory Text 6" xfId="296" xr:uid="{00000000-0005-0000-0000-000092010000}"/>
    <cellStyle name="Explanatory Text 7" xfId="311" xr:uid="{00000000-0005-0000-0000-000093010000}"/>
    <cellStyle name="Explanatory Text 8" xfId="294" xr:uid="{00000000-0005-0000-0000-000094010000}"/>
    <cellStyle name="Explanatory Text 9" xfId="423" xr:uid="{00000000-0005-0000-0000-000095010000}"/>
    <cellStyle name="F2" xfId="39" xr:uid="{00000000-0005-0000-0000-000096010000}"/>
    <cellStyle name="F3" xfId="40" xr:uid="{00000000-0005-0000-0000-000097010000}"/>
    <cellStyle name="F4" xfId="41" xr:uid="{00000000-0005-0000-0000-000098010000}"/>
    <cellStyle name="F5" xfId="42" xr:uid="{00000000-0005-0000-0000-000099010000}"/>
    <cellStyle name="F6" xfId="43" xr:uid="{00000000-0005-0000-0000-00009A010000}"/>
    <cellStyle name="F7" xfId="44" xr:uid="{00000000-0005-0000-0000-00009B010000}"/>
    <cellStyle name="F8" xfId="45" xr:uid="{00000000-0005-0000-0000-00009C010000}"/>
    <cellStyle name="Fijo" xfId="519" xr:uid="{00000000-0005-0000-0000-00009D010000}"/>
    <cellStyle name="Financiero" xfId="520" xr:uid="{00000000-0005-0000-0000-00009E010000}"/>
    <cellStyle name="Fixed" xfId="521" xr:uid="{00000000-0005-0000-0000-00009F010000}"/>
    <cellStyle name="Formulas" xfId="522" xr:uid="{00000000-0005-0000-0000-0000A0010000}"/>
    <cellStyle name="General" xfId="46" xr:uid="{00000000-0005-0000-0000-0000A1010000}"/>
    <cellStyle name="Good 10" xfId="463" xr:uid="{00000000-0005-0000-0000-0000A2010000}"/>
    <cellStyle name="Good 11" xfId="620" xr:uid="{00000000-0005-0000-0000-0000A3010000}"/>
    <cellStyle name="Good 12" xfId="666" xr:uid="{00000000-0005-0000-0000-0000A4010000}"/>
    <cellStyle name="Good 13" xfId="679" xr:uid="{00000000-0005-0000-0000-0000A5010000}"/>
    <cellStyle name="Good 2" xfId="47" xr:uid="{00000000-0005-0000-0000-0000A6010000}"/>
    <cellStyle name="Good 3" xfId="174" xr:uid="{00000000-0005-0000-0000-0000A7010000}"/>
    <cellStyle name="Good 4" xfId="225" xr:uid="{00000000-0005-0000-0000-0000A8010000}"/>
    <cellStyle name="Good 5" xfId="254" xr:uid="{00000000-0005-0000-0000-0000A9010000}"/>
    <cellStyle name="Good 6" xfId="299" xr:uid="{00000000-0005-0000-0000-0000AA010000}"/>
    <cellStyle name="Good 7" xfId="310" xr:uid="{00000000-0005-0000-0000-0000AB010000}"/>
    <cellStyle name="Good 8" xfId="383" xr:uid="{00000000-0005-0000-0000-0000AC010000}"/>
    <cellStyle name="Good 9" xfId="424" xr:uid="{00000000-0005-0000-0000-0000AD010000}"/>
    <cellStyle name="Grey" xfId="48" xr:uid="{00000000-0005-0000-0000-0000AE010000}"/>
    <cellStyle name="Grey 2" xfId="523" xr:uid="{00000000-0005-0000-0000-0000AF010000}"/>
    <cellStyle name="Header1" xfId="524" xr:uid="{00000000-0005-0000-0000-0000B0010000}"/>
    <cellStyle name="Header2" xfId="525" xr:uid="{00000000-0005-0000-0000-0000B1010000}"/>
    <cellStyle name="Heading 1 10" xfId="436" xr:uid="{00000000-0005-0000-0000-0000B2010000}"/>
    <cellStyle name="Heading 1 11" xfId="621" xr:uid="{00000000-0005-0000-0000-0000B3010000}"/>
    <cellStyle name="Heading 1 12" xfId="667" xr:uid="{00000000-0005-0000-0000-0000B4010000}"/>
    <cellStyle name="Heading 1 13" xfId="697" xr:uid="{00000000-0005-0000-0000-0000B5010000}"/>
    <cellStyle name="Heading 1 2" xfId="49" xr:uid="{00000000-0005-0000-0000-0000B6010000}"/>
    <cellStyle name="Heading 1 3" xfId="175" xr:uid="{00000000-0005-0000-0000-0000B7010000}"/>
    <cellStyle name="Heading 1 4" xfId="189" xr:uid="{00000000-0005-0000-0000-0000B8010000}"/>
    <cellStyle name="Heading 1 5" xfId="179" xr:uid="{00000000-0005-0000-0000-0000B9010000}"/>
    <cellStyle name="Heading 1 6" xfId="300" xr:uid="{00000000-0005-0000-0000-0000BA010000}"/>
    <cellStyle name="Heading 1 7" xfId="341" xr:uid="{00000000-0005-0000-0000-0000BB010000}"/>
    <cellStyle name="Heading 1 8" xfId="334" xr:uid="{00000000-0005-0000-0000-0000BC010000}"/>
    <cellStyle name="Heading 1 9" xfId="425" xr:uid="{00000000-0005-0000-0000-0000BD010000}"/>
    <cellStyle name="Heading 2 10" xfId="435" xr:uid="{00000000-0005-0000-0000-0000BE010000}"/>
    <cellStyle name="Heading 2 11" xfId="622" xr:uid="{00000000-0005-0000-0000-0000BF010000}"/>
    <cellStyle name="Heading 2 12" xfId="668" xr:uid="{00000000-0005-0000-0000-0000C0010000}"/>
    <cellStyle name="Heading 2 13" xfId="678" xr:uid="{00000000-0005-0000-0000-0000C1010000}"/>
    <cellStyle name="Heading 2 2" xfId="50" xr:uid="{00000000-0005-0000-0000-0000C2010000}"/>
    <cellStyle name="Heading 2 3" xfId="176" xr:uid="{00000000-0005-0000-0000-0000C3010000}"/>
    <cellStyle name="Heading 2 4" xfId="188" xr:uid="{00000000-0005-0000-0000-0000C4010000}"/>
    <cellStyle name="Heading 2 5" xfId="180" xr:uid="{00000000-0005-0000-0000-0000C5010000}"/>
    <cellStyle name="Heading 2 6" xfId="301" xr:uid="{00000000-0005-0000-0000-0000C6010000}"/>
    <cellStyle name="Heading 2 7" xfId="338" xr:uid="{00000000-0005-0000-0000-0000C7010000}"/>
    <cellStyle name="Heading 2 8" xfId="295" xr:uid="{00000000-0005-0000-0000-0000C8010000}"/>
    <cellStyle name="Heading 2 9" xfId="426" xr:uid="{00000000-0005-0000-0000-0000C9010000}"/>
    <cellStyle name="Heading 3 10" xfId="434" xr:uid="{00000000-0005-0000-0000-0000CA010000}"/>
    <cellStyle name="Heading 3 11" xfId="623" xr:uid="{00000000-0005-0000-0000-0000CB010000}"/>
    <cellStyle name="Heading 3 12" xfId="669" xr:uid="{00000000-0005-0000-0000-0000CC010000}"/>
    <cellStyle name="Heading 3 13" xfId="706" xr:uid="{00000000-0005-0000-0000-0000CD010000}"/>
    <cellStyle name="Heading 3 2" xfId="51" xr:uid="{00000000-0005-0000-0000-0000CE010000}"/>
    <cellStyle name="Heading 3 3" xfId="177" xr:uid="{00000000-0005-0000-0000-0000CF010000}"/>
    <cellStyle name="Heading 3 4" xfId="218" xr:uid="{00000000-0005-0000-0000-0000D0010000}"/>
    <cellStyle name="Heading 3 5" xfId="247" xr:uid="{00000000-0005-0000-0000-0000D1010000}"/>
    <cellStyle name="Heading 3 6" xfId="302" xr:uid="{00000000-0005-0000-0000-0000D2010000}"/>
    <cellStyle name="Heading 3 7" xfId="337" xr:uid="{00000000-0005-0000-0000-0000D3010000}"/>
    <cellStyle name="Heading 3 8" xfId="376" xr:uid="{00000000-0005-0000-0000-0000D4010000}"/>
    <cellStyle name="Heading 3 9" xfId="427" xr:uid="{00000000-0005-0000-0000-0000D5010000}"/>
    <cellStyle name="Heading 4 10" xfId="462" xr:uid="{00000000-0005-0000-0000-0000D6010000}"/>
    <cellStyle name="Heading 4 11" xfId="624" xr:uid="{00000000-0005-0000-0000-0000D7010000}"/>
    <cellStyle name="Heading 4 12" xfId="670" xr:uid="{00000000-0005-0000-0000-0000D8010000}"/>
    <cellStyle name="Heading 4 13" xfId="696" xr:uid="{00000000-0005-0000-0000-0000D9010000}"/>
    <cellStyle name="Heading 4 2" xfId="52" xr:uid="{00000000-0005-0000-0000-0000DA010000}"/>
    <cellStyle name="Heading 4 3" xfId="178" xr:uid="{00000000-0005-0000-0000-0000DB010000}"/>
    <cellStyle name="Heading 4 4" xfId="187" xr:uid="{00000000-0005-0000-0000-0000DC010000}"/>
    <cellStyle name="Heading 4 5" xfId="215" xr:uid="{00000000-0005-0000-0000-0000DD010000}"/>
    <cellStyle name="Heading 4 6" xfId="303" xr:uid="{00000000-0005-0000-0000-0000DE010000}"/>
    <cellStyle name="Heading 4 7" xfId="342" xr:uid="{00000000-0005-0000-0000-0000DF010000}"/>
    <cellStyle name="Heading 4 8" xfId="335" xr:uid="{00000000-0005-0000-0000-0000E0010000}"/>
    <cellStyle name="Heading 4 9" xfId="428" xr:uid="{00000000-0005-0000-0000-0000E1010000}"/>
    <cellStyle name="HEADING1" xfId="526" xr:uid="{00000000-0005-0000-0000-0000E2010000}"/>
    <cellStyle name="HEADING2" xfId="527" xr:uid="{00000000-0005-0000-0000-0000E3010000}"/>
    <cellStyle name="Hyperlink 2" xfId="53" xr:uid="{00000000-0005-0000-0000-0000E4010000}"/>
    <cellStyle name="Hyperlink 2 2" xfId="54" xr:uid="{00000000-0005-0000-0000-0000E5010000}"/>
    <cellStyle name="Hyperlink 2 3" xfId="55" xr:uid="{00000000-0005-0000-0000-0000E6010000}"/>
    <cellStyle name="Hyperlink 2 4" xfId="113" xr:uid="{00000000-0005-0000-0000-0000E7010000}"/>
    <cellStyle name="Hyperlink 3" xfId="528" xr:uid="{00000000-0005-0000-0000-0000E8010000}"/>
    <cellStyle name="Input [yellow]" xfId="57" xr:uid="{00000000-0005-0000-0000-0000E9010000}"/>
    <cellStyle name="Input [yellow] 2" xfId="529" xr:uid="{00000000-0005-0000-0000-0000EA010000}"/>
    <cellStyle name="Input 10" xfId="433" xr:uid="{00000000-0005-0000-0000-0000EB010000}"/>
    <cellStyle name="Input 11" xfId="625" xr:uid="{00000000-0005-0000-0000-0000EC010000}"/>
    <cellStyle name="Input 12" xfId="671" xr:uid="{00000000-0005-0000-0000-0000ED010000}"/>
    <cellStyle name="Input 13" xfId="695" xr:uid="{00000000-0005-0000-0000-0000EE010000}"/>
    <cellStyle name="Input 2" xfId="56" xr:uid="{00000000-0005-0000-0000-0000EF010000}"/>
    <cellStyle name="Input 3" xfId="181" xr:uid="{00000000-0005-0000-0000-0000F0010000}"/>
    <cellStyle name="Input 4" xfId="217" xr:uid="{00000000-0005-0000-0000-0000F1010000}"/>
    <cellStyle name="Input 5" xfId="246" xr:uid="{00000000-0005-0000-0000-0000F2010000}"/>
    <cellStyle name="Input 6" xfId="305" xr:uid="{00000000-0005-0000-0000-0000F3010000}"/>
    <cellStyle name="Input 7" xfId="308" xr:uid="{00000000-0005-0000-0000-0000F4010000}"/>
    <cellStyle name="Input 8" xfId="375" xr:uid="{00000000-0005-0000-0000-0000F5010000}"/>
    <cellStyle name="Input 9" xfId="429" xr:uid="{00000000-0005-0000-0000-0000F6010000}"/>
    <cellStyle name="Item" xfId="530" xr:uid="{00000000-0005-0000-0000-0000F7010000}"/>
    <cellStyle name="Labels - Style3" xfId="531" xr:uid="{00000000-0005-0000-0000-0000F8010000}"/>
    <cellStyle name="Labels - Style3 2" xfId="532" xr:uid="{00000000-0005-0000-0000-0000F9010000}"/>
    <cellStyle name="Link Currency (0)" xfId="533" xr:uid="{00000000-0005-0000-0000-0000FA010000}"/>
    <cellStyle name="Link Currency (2)" xfId="534" xr:uid="{00000000-0005-0000-0000-0000FB010000}"/>
    <cellStyle name="Link Units (0)" xfId="535" xr:uid="{00000000-0005-0000-0000-0000FC010000}"/>
    <cellStyle name="Link Units (1)" xfId="536" xr:uid="{00000000-0005-0000-0000-0000FD010000}"/>
    <cellStyle name="Link Units (2)" xfId="537" xr:uid="{00000000-0005-0000-0000-0000FE010000}"/>
    <cellStyle name="Linked Cell 10" xfId="546" xr:uid="{00000000-0005-0000-0000-0000FF010000}"/>
    <cellStyle name="Linked Cell 11" xfId="626" xr:uid="{00000000-0005-0000-0000-000000020000}"/>
    <cellStyle name="Linked Cell 12" xfId="672" xr:uid="{00000000-0005-0000-0000-000001020000}"/>
    <cellStyle name="Linked Cell 13" xfId="705" xr:uid="{00000000-0005-0000-0000-000002020000}"/>
    <cellStyle name="Linked Cell 2" xfId="58" xr:uid="{00000000-0005-0000-0000-000003020000}"/>
    <cellStyle name="Linked Cell 3" xfId="182" xr:uid="{00000000-0005-0000-0000-000004020000}"/>
    <cellStyle name="Linked Cell 4" xfId="223" xr:uid="{00000000-0005-0000-0000-000005020000}"/>
    <cellStyle name="Linked Cell 5" xfId="252" xr:uid="{00000000-0005-0000-0000-000006020000}"/>
    <cellStyle name="Linked Cell 6" xfId="306" xr:uid="{00000000-0005-0000-0000-000007020000}"/>
    <cellStyle name="Linked Cell 7" xfId="336" xr:uid="{00000000-0005-0000-0000-000008020000}"/>
    <cellStyle name="Linked Cell 8" xfId="381" xr:uid="{00000000-0005-0000-0000-000009020000}"/>
    <cellStyle name="Linked Cell 9" xfId="430" xr:uid="{00000000-0005-0000-0000-00000A020000}"/>
    <cellStyle name="Millares [0]_10 AVERIAS MASIVAS + ANT" xfId="538" xr:uid="{00000000-0005-0000-0000-00000B020000}"/>
    <cellStyle name="Neutral 10" xfId="461" xr:uid="{00000000-0005-0000-0000-00000C020000}"/>
    <cellStyle name="Neutral 11" xfId="627" xr:uid="{00000000-0005-0000-0000-00000D020000}"/>
    <cellStyle name="Neutral 12" xfId="673" xr:uid="{00000000-0005-0000-0000-00000E020000}"/>
    <cellStyle name="Neutral 13" xfId="694" xr:uid="{00000000-0005-0000-0000-00000F020000}"/>
    <cellStyle name="Neutral 2" xfId="59" xr:uid="{00000000-0005-0000-0000-000010020000}"/>
    <cellStyle name="Neutral 3" xfId="183" xr:uid="{00000000-0005-0000-0000-000011020000}"/>
    <cellStyle name="Neutral 4" xfId="186" xr:uid="{00000000-0005-0000-0000-000012020000}"/>
    <cellStyle name="Neutral 5" xfId="184" xr:uid="{00000000-0005-0000-0000-000013020000}"/>
    <cellStyle name="Neutral 6" xfId="307" xr:uid="{00000000-0005-0000-0000-000014020000}"/>
    <cellStyle name="Neutral 7" xfId="304" xr:uid="{00000000-0005-0000-0000-000015020000}"/>
    <cellStyle name="Neutral 8" xfId="297" xr:uid="{00000000-0005-0000-0000-000016020000}"/>
    <cellStyle name="Neutral 9" xfId="431" xr:uid="{00000000-0005-0000-0000-000017020000}"/>
    <cellStyle name="Normal" xfId="0" builtinId="0"/>
    <cellStyle name="Normal - Style1" xfId="60" xr:uid="{00000000-0005-0000-0000-000019020000}"/>
    <cellStyle name="Normal 10" xfId="61" xr:uid="{00000000-0005-0000-0000-00001A020000}"/>
    <cellStyle name="Normal 10 2" xfId="742" xr:uid="{00000000-0005-0000-0000-00001B020000}"/>
    <cellStyle name="Normal 11" xfId="62" xr:uid="{00000000-0005-0000-0000-00001C020000}"/>
    <cellStyle name="Normal 11 2" xfId="736" xr:uid="{00000000-0005-0000-0000-00001D020000}"/>
    <cellStyle name="Normal 12" xfId="63" xr:uid="{00000000-0005-0000-0000-00001E020000}"/>
    <cellStyle name="Normal 12 2" xfId="125" xr:uid="{00000000-0005-0000-0000-00001F020000}"/>
    <cellStyle name="Normal 12 2 2" xfId="539" xr:uid="{00000000-0005-0000-0000-000020020000}"/>
    <cellStyle name="Normal 12 3" xfId="540" xr:uid="{00000000-0005-0000-0000-000021020000}"/>
    <cellStyle name="Normal 13" xfId="114" xr:uid="{00000000-0005-0000-0000-000022020000}"/>
    <cellStyle name="Normal 13 2" xfId="541" xr:uid="{00000000-0005-0000-0000-000023020000}"/>
    <cellStyle name="Normal 14" xfId="115" xr:uid="{00000000-0005-0000-0000-000024020000}"/>
    <cellStyle name="Normal 15" xfId="123" xr:uid="{00000000-0005-0000-0000-000025020000}"/>
    <cellStyle name="Normal 15 4 4" xfId="740" xr:uid="{00000000-0005-0000-0000-000026020000}"/>
    <cellStyle name="Normal 16" xfId="65" xr:uid="{00000000-0005-0000-0000-000027020000}"/>
    <cellStyle name="Normal 16 2" xfId="542" xr:uid="{00000000-0005-0000-0000-000028020000}"/>
    <cellStyle name="Normal 16 3" xfId="588" xr:uid="{00000000-0005-0000-0000-000029020000}"/>
    <cellStyle name="Normal 16 4" xfId="634" xr:uid="{00000000-0005-0000-0000-00002A020000}"/>
    <cellStyle name="Normal 16 5" xfId="702" xr:uid="{00000000-0005-0000-0000-00002B020000}"/>
    <cellStyle name="Normal 16 6" xfId="726" xr:uid="{00000000-0005-0000-0000-00002C020000}"/>
    <cellStyle name="Normal 17" xfId="230" xr:uid="{00000000-0005-0000-0000-00002D020000}"/>
    <cellStyle name="Normal 17 2" xfId="543" xr:uid="{00000000-0005-0000-0000-00002E020000}"/>
    <cellStyle name="Normal 17 2 2" xfId="544" xr:uid="{00000000-0005-0000-0000-00002F020000}"/>
    <cellStyle name="Normal 17 3" xfId="589" xr:uid="{00000000-0005-0000-0000-000030020000}"/>
    <cellStyle name="Normal 17 4" xfId="635" xr:uid="{00000000-0005-0000-0000-000031020000}"/>
    <cellStyle name="Normal 17 5" xfId="703" xr:uid="{00000000-0005-0000-0000-000032020000}"/>
    <cellStyle name="Normal 17 6" xfId="727" xr:uid="{00000000-0005-0000-0000-000033020000}"/>
    <cellStyle name="Normal 18" xfId="259" xr:uid="{00000000-0005-0000-0000-000034020000}"/>
    <cellStyle name="Normal 18 2" xfId="545" xr:uid="{00000000-0005-0000-0000-000035020000}"/>
    <cellStyle name="Normal 18 3" xfId="590" xr:uid="{00000000-0005-0000-0000-000036020000}"/>
    <cellStyle name="Normal 18 4" xfId="636" xr:uid="{00000000-0005-0000-0000-000037020000}"/>
    <cellStyle name="Normal 18 5" xfId="704" xr:uid="{00000000-0005-0000-0000-000038020000}"/>
    <cellStyle name="Normal 18 6" xfId="728" xr:uid="{00000000-0005-0000-0000-000039020000}"/>
    <cellStyle name="Normal 19" xfId="346" xr:uid="{00000000-0005-0000-0000-00003A020000}"/>
    <cellStyle name="Normal 2" xfId="266" xr:uid="{00000000-0005-0000-0000-00003B020000}"/>
    <cellStyle name="Normal 2 10" xfId="116" xr:uid="{00000000-0005-0000-0000-00003C020000}"/>
    <cellStyle name="Normal 2 11" xfId="185" xr:uid="{00000000-0005-0000-0000-00003D020000}"/>
    <cellStyle name="Normal 2 11 2" xfId="547" xr:uid="{00000000-0005-0000-0000-00003E020000}"/>
    <cellStyle name="Normal 2 12" xfId="216" xr:uid="{00000000-0005-0000-0000-00003F020000}"/>
    <cellStyle name="Normal 2 13" xfId="245" xr:uid="{00000000-0005-0000-0000-000040020000}"/>
    <cellStyle name="Normal 2 14" xfId="309" xr:uid="{00000000-0005-0000-0000-000041020000}"/>
    <cellStyle name="Normal 2 15" xfId="298" xr:uid="{00000000-0005-0000-0000-000042020000}"/>
    <cellStyle name="Normal 2 16" xfId="374" xr:uid="{00000000-0005-0000-0000-000043020000}"/>
    <cellStyle name="Normal 2 17" xfId="432" xr:uid="{00000000-0005-0000-0000-000044020000}"/>
    <cellStyle name="Normal 2 18" xfId="468" xr:uid="{00000000-0005-0000-0000-000045020000}"/>
    <cellStyle name="Normal 2 19" xfId="628" xr:uid="{00000000-0005-0000-0000-000046020000}"/>
    <cellStyle name="Normal 2 2" xfId="64" xr:uid="{00000000-0005-0000-0000-000047020000}"/>
    <cellStyle name="Normal 2 2 2" xfId="66" xr:uid="{00000000-0005-0000-0000-000048020000}"/>
    <cellStyle name="Normal 2 2 2 2" xfId="67" xr:uid="{00000000-0005-0000-0000-000049020000}"/>
    <cellStyle name="Normal 2 2 2 2 2" xfId="126" xr:uid="{00000000-0005-0000-0000-00004A020000}"/>
    <cellStyle name="Normal 2 2 2 2 2 2" xfId="548" xr:uid="{00000000-0005-0000-0000-00004B020000}"/>
    <cellStyle name="Normal 2 2 2 2 3" xfId="549" xr:uid="{00000000-0005-0000-0000-00004C020000}"/>
    <cellStyle name="Normal 2 2 2 26" xfId="748" xr:uid="{00000000-0005-0000-0000-00004D020000}"/>
    <cellStyle name="Normal 2 2 2 3" xfId="68" xr:uid="{00000000-0005-0000-0000-00004E020000}"/>
    <cellStyle name="Normal 2 2 2 4" xfId="117" xr:uid="{00000000-0005-0000-0000-00004F020000}"/>
    <cellStyle name="Normal 2 2 2_0.JHOR JAHANIYA ESTIMATE" xfId="69" xr:uid="{00000000-0005-0000-0000-000050020000}"/>
    <cellStyle name="Normal 2 2 3" xfId="70" xr:uid="{00000000-0005-0000-0000-000051020000}"/>
    <cellStyle name="Normal 2 2 4" xfId="71" xr:uid="{00000000-0005-0000-0000-000052020000}"/>
    <cellStyle name="Normal 2 2 5" xfId="72" xr:uid="{00000000-0005-0000-0000-000053020000}"/>
    <cellStyle name="Normal 2 2 6" xfId="118" xr:uid="{00000000-0005-0000-0000-000054020000}"/>
    <cellStyle name="Normal 2 2_Estimated BOQ, cost, summary" xfId="73" xr:uid="{00000000-0005-0000-0000-000055020000}"/>
    <cellStyle name="Normal 2 20" xfId="676" xr:uid="{00000000-0005-0000-0000-000056020000}"/>
    <cellStyle name="Normal 2 21" xfId="677" xr:uid="{00000000-0005-0000-0000-000057020000}"/>
    <cellStyle name="Normal 2 3" xfId="74" xr:uid="{00000000-0005-0000-0000-000058020000}"/>
    <cellStyle name="Normal 2 3 2" xfId="75" xr:uid="{00000000-0005-0000-0000-000059020000}"/>
    <cellStyle name="Normal 2 3 3" xfId="131" xr:uid="{00000000-0005-0000-0000-00005A020000}"/>
    <cellStyle name="Normal 2 4" xfId="76" xr:uid="{00000000-0005-0000-0000-00005B020000}"/>
    <cellStyle name="Normal 2 4 2" xfId="743" xr:uid="{00000000-0005-0000-0000-00005C020000}"/>
    <cellStyle name="Normal 2 5" xfId="77" xr:uid="{00000000-0005-0000-0000-00005D020000}"/>
    <cellStyle name="Normal 2 6" xfId="78" xr:uid="{00000000-0005-0000-0000-00005E020000}"/>
    <cellStyle name="Normal 2 7" xfId="79" xr:uid="{00000000-0005-0000-0000-00005F020000}"/>
    <cellStyle name="Normal 2 7 2" xfId="550" xr:uid="{00000000-0005-0000-0000-000060020000}"/>
    <cellStyle name="Normal 2 8" xfId="80" xr:uid="{00000000-0005-0000-0000-000061020000}"/>
    <cellStyle name="Normal 2 8 2" xfId="551" xr:uid="{00000000-0005-0000-0000-000062020000}"/>
    <cellStyle name="Normal 2 9" xfId="81" xr:uid="{00000000-0005-0000-0000-000063020000}"/>
    <cellStyle name="Normal 2 9 2" xfId="127" xr:uid="{00000000-0005-0000-0000-000064020000}"/>
    <cellStyle name="Normal 2 9 2 2" xfId="552" xr:uid="{00000000-0005-0000-0000-000065020000}"/>
    <cellStyle name="Normal 2 9 3" xfId="553" xr:uid="{00000000-0005-0000-0000-000066020000}"/>
    <cellStyle name="Normal 2_150m3" xfId="438" xr:uid="{00000000-0005-0000-0000-000067020000}"/>
    <cellStyle name="Normal 20" xfId="388" xr:uid="{00000000-0005-0000-0000-000068020000}"/>
    <cellStyle name="Normal 21" xfId="395" xr:uid="{00000000-0005-0000-0000-000069020000}"/>
    <cellStyle name="Normal 22" xfId="475" xr:uid="{00000000-0005-0000-0000-00006A020000}"/>
    <cellStyle name="Normal 23" xfId="591" xr:uid="{00000000-0005-0000-0000-00006B020000}"/>
    <cellStyle name="Normal 24" xfId="637" xr:uid="{00000000-0005-0000-0000-00006C020000}"/>
    <cellStyle name="Normal 25" xfId="725" xr:uid="{00000000-0005-0000-0000-00006D020000}"/>
    <cellStyle name="Normal 25 4" xfId="738" xr:uid="{00000000-0005-0000-0000-00006E020000}"/>
    <cellStyle name="Normal 26" xfId="729" xr:uid="{00000000-0005-0000-0000-00006F020000}"/>
    <cellStyle name="Normal 27" xfId="735" xr:uid="{00000000-0005-0000-0000-000070020000}"/>
    <cellStyle name="Normal 28" xfId="751" xr:uid="{00000000-0005-0000-0000-000071020000}"/>
    <cellStyle name="Normal 29" xfId="756" xr:uid="{00000000-0005-0000-0000-000072020000}"/>
    <cellStyle name="Normal 3" xfId="82" xr:uid="{00000000-0005-0000-0000-000073020000}"/>
    <cellStyle name="Normal 3 2" xfId="83" xr:uid="{00000000-0005-0000-0000-000074020000}"/>
    <cellStyle name="Normal 3 2 2" xfId="554" xr:uid="{00000000-0005-0000-0000-000075020000}"/>
    <cellStyle name="Normal 3 22" xfId="741" xr:uid="{00000000-0005-0000-0000-000076020000}"/>
    <cellStyle name="Normal 3 3" xfId="84" xr:uid="{00000000-0005-0000-0000-000077020000}"/>
    <cellStyle name="Normal 3 3 2" xfId="128" xr:uid="{00000000-0005-0000-0000-000078020000}"/>
    <cellStyle name="Normal 3 3 3" xfId="555" xr:uid="{00000000-0005-0000-0000-000079020000}"/>
    <cellStyle name="Normal 3 3 4" xfId="556" xr:uid="{00000000-0005-0000-0000-00007A020000}"/>
    <cellStyle name="Normal 3 4" xfId="129" xr:uid="{00000000-0005-0000-0000-00007B020000}"/>
    <cellStyle name="Normal 3_Cost Estimate for ghat renovation" xfId="557" xr:uid="{00000000-0005-0000-0000-00007C020000}"/>
    <cellStyle name="Normal 30" xfId="757" xr:uid="{00000000-0005-0000-0000-00007D020000}"/>
    <cellStyle name="Normal 31" xfId="755" xr:uid="{00000000-0005-0000-0000-00007E020000}"/>
    <cellStyle name="Normal 32" xfId="750" xr:uid="{00000000-0005-0000-0000-00007F020000}"/>
    <cellStyle name="Normal 33" xfId="759" xr:uid="{E299337D-93C4-4E90-AED7-C685D6213B39}"/>
    <cellStyle name="Normal 34" xfId="762" xr:uid="{9D207AD1-120F-478F-9934-BD09C355312B}"/>
    <cellStyle name="Normal 35" xfId="765" xr:uid="{1C359BF9-3C4E-4928-8413-48B5C78357B5}"/>
    <cellStyle name="Normal 36" xfId="768" xr:uid="{E3D7B181-9542-40D9-A9DC-D177D99EE88D}"/>
    <cellStyle name="Normal 37" xfId="771" xr:uid="{DA424D15-A1C8-4AE4-84D8-9A516FC032EB}"/>
    <cellStyle name="Normal 38" xfId="775" xr:uid="{28FF901A-58AB-47F8-9099-C065A2C14A41}"/>
    <cellStyle name="Normal 39" xfId="778" xr:uid="{CB36182A-9443-45D2-8AC6-5BA8741588FA}"/>
    <cellStyle name="Normal 4" xfId="85" xr:uid="{00000000-0005-0000-0000-000080020000}"/>
    <cellStyle name="Normal 4 2" xfId="86" xr:uid="{00000000-0005-0000-0000-000081020000}"/>
    <cellStyle name="Normal 4 2 2" xfId="134" xr:uid="{00000000-0005-0000-0000-000082020000}"/>
    <cellStyle name="Normal 4 2 3" xfId="558" xr:uid="{00000000-0005-0000-0000-000083020000}"/>
    <cellStyle name="Normal 4 3" xfId="87" xr:uid="{00000000-0005-0000-0000-000084020000}"/>
    <cellStyle name="Normal 4 3 2" xfId="135" xr:uid="{00000000-0005-0000-0000-000085020000}"/>
    <cellStyle name="Normal 4 3 3" xfId="559" xr:uid="{00000000-0005-0000-0000-000086020000}"/>
    <cellStyle name="Normal 4 4" xfId="88" xr:uid="{00000000-0005-0000-0000-000087020000}"/>
    <cellStyle name="Normal 4 5" xfId="119" xr:uid="{00000000-0005-0000-0000-000088020000}"/>
    <cellStyle name="Normal 4 6" xfId="733" xr:uid="{00000000-0005-0000-0000-000089020000}"/>
    <cellStyle name="Normal 4_0.JHOR JAHANIYA ESTIMATE" xfId="89" xr:uid="{00000000-0005-0000-0000-00008A020000}"/>
    <cellStyle name="Normal 40" xfId="779" xr:uid="{4D1EDB02-F6EB-40DB-AFC8-C2D43EB57276}"/>
    <cellStyle name="Normal 41" xfId="783" xr:uid="{6B9295E7-F97F-42D4-8894-2D6335F76503}"/>
    <cellStyle name="Normal 42" xfId="786" xr:uid="{104B0107-82F0-48A7-A60F-518F33062874}"/>
    <cellStyle name="Normal 43" xfId="790" xr:uid="{DA7A7BF7-4B89-4BC7-AA2D-99A61422CC10}"/>
    <cellStyle name="Normal 44" xfId="792" xr:uid="{AB5FD68D-3491-43FF-B71B-E04ECFF24DC4}"/>
    <cellStyle name="Normal 45" xfId="796" xr:uid="{2CF964BB-B386-4460-8BD6-DE3DCA36B14D}"/>
    <cellStyle name="Normal 46" xfId="799" xr:uid="{C5731914-F411-4CA3-8021-E5608C155697}"/>
    <cellStyle name="Normal 47" xfId="801" xr:uid="{97DF287E-EFA0-4438-91B0-065A34F53D06}"/>
    <cellStyle name="Normal 5" xfId="90" xr:uid="{00000000-0005-0000-0000-00008B020000}"/>
    <cellStyle name="Normal 5 2" xfId="91" xr:uid="{00000000-0005-0000-0000-00008C020000}"/>
    <cellStyle name="Normal 5 2 2" xfId="132" xr:uid="{00000000-0005-0000-0000-00008D020000}"/>
    <cellStyle name="Normal 5 2 2 2" xfId="136" xr:uid="{00000000-0005-0000-0000-00008E020000}"/>
    <cellStyle name="Normal 5 2 3" xfId="560" xr:uid="{00000000-0005-0000-0000-00008F020000}"/>
    <cellStyle name="Normal 5 2 3 2" xfId="561" xr:uid="{00000000-0005-0000-0000-000090020000}"/>
    <cellStyle name="Normal 5 2 4" xfId="562" xr:uid="{00000000-0005-0000-0000-000091020000}"/>
    <cellStyle name="Normal 5 2_Setidevi-1" xfId="133" xr:uid="{00000000-0005-0000-0000-000092020000}"/>
    <cellStyle name="Normal 5 3" xfId="92" xr:uid="{00000000-0005-0000-0000-000093020000}"/>
    <cellStyle name="Normal 5 6" xfId="563" xr:uid="{00000000-0005-0000-0000-000094020000}"/>
    <cellStyle name="Normal 5_Setidevi-1" xfId="93" xr:uid="{00000000-0005-0000-0000-000095020000}"/>
    <cellStyle name="Normal 6" xfId="94" xr:uid="{00000000-0005-0000-0000-000096020000}"/>
    <cellStyle name="Normal 6 2" xfId="95" xr:uid="{00000000-0005-0000-0000-000097020000}"/>
    <cellStyle name="Normal 6 3" xfId="120" xr:uid="{00000000-0005-0000-0000-000098020000}"/>
    <cellStyle name="Normal 6 4" xfId="744" xr:uid="{00000000-0005-0000-0000-000099020000}"/>
    <cellStyle name="Normal 7" xfId="96" xr:uid="{00000000-0005-0000-0000-00009A020000}"/>
    <cellStyle name="Normal 7 2" xfId="130" xr:uid="{00000000-0005-0000-0000-00009B020000}"/>
    <cellStyle name="Normal 7 3" xfId="564" xr:uid="{00000000-0005-0000-0000-00009C020000}"/>
    <cellStyle name="Normal 7 4" xfId="746" xr:uid="{00000000-0005-0000-0000-00009D020000}"/>
    <cellStyle name="Normal 8" xfId="97" xr:uid="{00000000-0005-0000-0000-00009E020000}"/>
    <cellStyle name="Normal 8 2" xfId="98" xr:uid="{00000000-0005-0000-0000-00009F020000}"/>
    <cellStyle name="Normal 8 3" xfId="121" xr:uid="{00000000-0005-0000-0000-0000A0020000}"/>
    <cellStyle name="Normal 9" xfId="99" xr:uid="{00000000-0005-0000-0000-0000A1020000}"/>
    <cellStyle name="Normal 9 2" xfId="565" xr:uid="{00000000-0005-0000-0000-0000A2020000}"/>
    <cellStyle name="Normal_Rates" xfId="734" xr:uid="{00000000-0005-0000-0000-0000A3020000}"/>
    <cellStyle name="Normalaprom-lat" xfId="100" xr:uid="{00000000-0005-0000-0000-0000A4020000}"/>
    <cellStyle name="Note 10" xfId="583" xr:uid="{00000000-0005-0000-0000-0000A5020000}"/>
    <cellStyle name="Note 11" xfId="629" xr:uid="{00000000-0005-0000-0000-0000A6020000}"/>
    <cellStyle name="Note 12" xfId="684" xr:uid="{00000000-0005-0000-0000-0000A7020000}"/>
    <cellStyle name="Note 13" xfId="701" xr:uid="{00000000-0005-0000-0000-0000A8020000}"/>
    <cellStyle name="Note 2" xfId="101" xr:uid="{00000000-0005-0000-0000-0000A9020000}"/>
    <cellStyle name="Note 3" xfId="205" xr:uid="{00000000-0005-0000-0000-0000AA020000}"/>
    <cellStyle name="Note 4" xfId="237" xr:uid="{00000000-0005-0000-0000-0000AB020000}"/>
    <cellStyle name="Note 5" xfId="261" xr:uid="{00000000-0005-0000-0000-0000AC020000}"/>
    <cellStyle name="Note 6" xfId="329" xr:uid="{00000000-0005-0000-0000-0000AD020000}"/>
    <cellStyle name="Note 7" xfId="366" xr:uid="{00000000-0005-0000-0000-0000AE020000}"/>
    <cellStyle name="Note 8" xfId="390" xr:uid="{00000000-0005-0000-0000-0000AF020000}"/>
    <cellStyle name="Note 9" xfId="453" xr:uid="{00000000-0005-0000-0000-0000B0020000}"/>
    <cellStyle name="Output 10" xfId="584" xr:uid="{00000000-0005-0000-0000-0000B1020000}"/>
    <cellStyle name="Output 11" xfId="630" xr:uid="{00000000-0005-0000-0000-0000B2020000}"/>
    <cellStyle name="Output 12" xfId="685" xr:uid="{00000000-0005-0000-0000-0000B3020000}"/>
    <cellStyle name="Output 13" xfId="700" xr:uid="{00000000-0005-0000-0000-0000B4020000}"/>
    <cellStyle name="Output 2" xfId="102" xr:uid="{00000000-0005-0000-0000-0000B5020000}"/>
    <cellStyle name="Output 3" xfId="206" xr:uid="{00000000-0005-0000-0000-0000B6020000}"/>
    <cellStyle name="Output 4" xfId="238" xr:uid="{00000000-0005-0000-0000-0000B7020000}"/>
    <cellStyle name="Output 5" xfId="262" xr:uid="{00000000-0005-0000-0000-0000B8020000}"/>
    <cellStyle name="Output 6" xfId="330" xr:uid="{00000000-0005-0000-0000-0000B9020000}"/>
    <cellStyle name="Output 7" xfId="367" xr:uid="{00000000-0005-0000-0000-0000BA020000}"/>
    <cellStyle name="Output 8" xfId="391" xr:uid="{00000000-0005-0000-0000-0000BB020000}"/>
    <cellStyle name="Output 9" xfId="454" xr:uid="{00000000-0005-0000-0000-0000BC020000}"/>
    <cellStyle name="Percent [2]" xfId="103" xr:uid="{00000000-0005-0000-0000-0000BD020000}"/>
    <cellStyle name="Percent [2] 2" xfId="104" xr:uid="{00000000-0005-0000-0000-0000BE020000}"/>
    <cellStyle name="Percent [2] 3" xfId="122" xr:uid="{00000000-0005-0000-0000-0000BF020000}"/>
    <cellStyle name="Percent 10" xfId="780" xr:uid="{EFF55575-F5C9-41C9-A52A-73063212C887}"/>
    <cellStyle name="Percent 11" xfId="782" xr:uid="{B99E6001-9D0F-400A-B045-91200215E09C}"/>
    <cellStyle name="Percent 12" xfId="785" xr:uid="{777D705E-031D-443E-8DDD-9E70CA46916B}"/>
    <cellStyle name="Percent 13" xfId="789" xr:uid="{41A61722-8834-467C-8A19-06B09ADF4FC7}"/>
    <cellStyle name="Percent 14" xfId="791" xr:uid="{80504006-B67A-4888-9083-4FA1FD6D2C93}"/>
    <cellStyle name="Percent 15" xfId="795" xr:uid="{7017D206-A498-422A-B124-F3BEC15D36FB}"/>
    <cellStyle name="Percent 16" xfId="798" xr:uid="{C187A8F2-3060-4764-8820-2D8F715043C6}"/>
    <cellStyle name="Percent 17" xfId="800" xr:uid="{58C0EDE0-CAB0-4174-9196-4A57447DECA0}"/>
    <cellStyle name="Percent 18" xfId="803" xr:uid="{DC8FB19E-72D6-4D44-8213-9E9DF9364829}"/>
    <cellStyle name="Percent 2" xfId="105" xr:uid="{00000000-0005-0000-0000-0000C0020000}"/>
    <cellStyle name="Percent 2 2" xfId="137" xr:uid="{00000000-0005-0000-0000-0000C1020000}"/>
    <cellStyle name="Percent 3" xfId="566" xr:uid="{00000000-0005-0000-0000-0000C2020000}"/>
    <cellStyle name="Percent 4" xfId="761" xr:uid="{43F16171-8B75-4FAB-B67C-73FBE95CD19D}"/>
    <cellStyle name="Percent 5" xfId="764" xr:uid="{9B6CC1AA-7AE4-4A89-8529-54A650E2E52E}"/>
    <cellStyle name="Percent 6" xfId="767" xr:uid="{F35F9205-4BA8-4E68-B390-E44EEB8F1CB4}"/>
    <cellStyle name="Percent 7" xfId="770" xr:uid="{70F854BD-02D0-43C4-AF84-4D78E0E7DFDF}"/>
    <cellStyle name="Percent 8" xfId="774" xr:uid="{55982310-00C3-40DD-ACE8-9C14992DD095}"/>
    <cellStyle name="Percent 9" xfId="777" xr:uid="{8C945554-E7BE-479D-94B4-8EB24BC8C116}"/>
    <cellStyle name="Reset  - Style4" xfId="567" xr:uid="{00000000-0005-0000-0000-0000C3020000}"/>
    <cellStyle name="special" xfId="568" xr:uid="{00000000-0005-0000-0000-0000C4020000}"/>
    <cellStyle name="STYL1 - Style1" xfId="569" xr:uid="{00000000-0005-0000-0000-0000C5020000}"/>
    <cellStyle name="STYL2 - Style2" xfId="570" xr:uid="{00000000-0005-0000-0000-0000C6020000}"/>
    <cellStyle name="Table  - Style5" xfId="571" xr:uid="{00000000-0005-0000-0000-0000C7020000}"/>
    <cellStyle name="Title  - Style6" xfId="572" xr:uid="{00000000-0005-0000-0000-0000C8020000}"/>
    <cellStyle name="Title  - Style6 2" xfId="573" xr:uid="{00000000-0005-0000-0000-0000C9020000}"/>
    <cellStyle name="Title 10" xfId="585" xr:uid="{00000000-0005-0000-0000-0000CA020000}"/>
    <cellStyle name="Title 11" xfId="631" xr:uid="{00000000-0005-0000-0000-0000CB020000}"/>
    <cellStyle name="Title 12" xfId="689" xr:uid="{00000000-0005-0000-0000-0000CC020000}"/>
    <cellStyle name="Title 13" xfId="675" xr:uid="{00000000-0005-0000-0000-0000CD020000}"/>
    <cellStyle name="Title 2" xfId="106" xr:uid="{00000000-0005-0000-0000-0000CE020000}"/>
    <cellStyle name="Title 3" xfId="210" xr:uid="{00000000-0005-0000-0000-0000CF020000}"/>
    <cellStyle name="Title 4" xfId="242" xr:uid="{00000000-0005-0000-0000-0000D0020000}"/>
    <cellStyle name="Title 5" xfId="263" xr:uid="{00000000-0005-0000-0000-0000D1020000}"/>
    <cellStyle name="Title 6" xfId="331" xr:uid="{00000000-0005-0000-0000-0000D2020000}"/>
    <cellStyle name="Title 7" xfId="371" xr:uid="{00000000-0005-0000-0000-0000D3020000}"/>
    <cellStyle name="Title 8" xfId="392" xr:uid="{00000000-0005-0000-0000-0000D4020000}"/>
    <cellStyle name="Title 9" xfId="458" xr:uid="{00000000-0005-0000-0000-0000D5020000}"/>
    <cellStyle name="Total 10" xfId="586" xr:uid="{00000000-0005-0000-0000-0000D6020000}"/>
    <cellStyle name="Total 11" xfId="632" xr:uid="{00000000-0005-0000-0000-0000D7020000}"/>
    <cellStyle name="Total 12" xfId="690" xr:uid="{00000000-0005-0000-0000-0000D8020000}"/>
    <cellStyle name="Total 13" xfId="674" xr:uid="{00000000-0005-0000-0000-0000D9020000}"/>
    <cellStyle name="Total 2" xfId="107" xr:uid="{00000000-0005-0000-0000-0000DA020000}"/>
    <cellStyle name="Total 3" xfId="211" xr:uid="{00000000-0005-0000-0000-0000DB020000}"/>
    <cellStyle name="Total 4" xfId="243" xr:uid="{00000000-0005-0000-0000-0000DC020000}"/>
    <cellStyle name="Total 5" xfId="264" xr:uid="{00000000-0005-0000-0000-0000DD020000}"/>
    <cellStyle name="Total 6" xfId="332" xr:uid="{00000000-0005-0000-0000-0000DE020000}"/>
    <cellStyle name="Total 7" xfId="372" xr:uid="{00000000-0005-0000-0000-0000DF020000}"/>
    <cellStyle name="Total 8" xfId="393" xr:uid="{00000000-0005-0000-0000-0000E0020000}"/>
    <cellStyle name="Total 9" xfId="459" xr:uid="{00000000-0005-0000-0000-0000E1020000}"/>
    <cellStyle name="TotCol - Style7" xfId="574" xr:uid="{00000000-0005-0000-0000-0000E2020000}"/>
    <cellStyle name="TotRow - Style8" xfId="575" xr:uid="{00000000-0005-0000-0000-0000E3020000}"/>
    <cellStyle name="Turn" xfId="576" xr:uid="{00000000-0005-0000-0000-0000E4020000}"/>
    <cellStyle name="Warning Text 10" xfId="587" xr:uid="{00000000-0005-0000-0000-0000E5020000}"/>
    <cellStyle name="Warning Text 11" xfId="633" xr:uid="{00000000-0005-0000-0000-0000E6020000}"/>
    <cellStyle name="Warning Text 12" xfId="691" xr:uid="{00000000-0005-0000-0000-0000E7020000}"/>
    <cellStyle name="Warning Text 13" xfId="699" xr:uid="{00000000-0005-0000-0000-0000E8020000}"/>
    <cellStyle name="Warning Text 2" xfId="108" xr:uid="{00000000-0005-0000-0000-0000E9020000}"/>
    <cellStyle name="Warning Text 3" xfId="212" xr:uid="{00000000-0005-0000-0000-0000EA020000}"/>
    <cellStyle name="Warning Text 4" xfId="244" xr:uid="{00000000-0005-0000-0000-0000EB020000}"/>
    <cellStyle name="Warning Text 5" xfId="265" xr:uid="{00000000-0005-0000-0000-0000EC020000}"/>
    <cellStyle name="Warning Text 6" xfId="333" xr:uid="{00000000-0005-0000-0000-0000ED020000}"/>
    <cellStyle name="Warning Text 7" xfId="373" xr:uid="{00000000-0005-0000-0000-0000EE020000}"/>
    <cellStyle name="Warning Text 8" xfId="394" xr:uid="{00000000-0005-0000-0000-0000EF020000}"/>
    <cellStyle name="Warning Text 9" xfId="460" xr:uid="{00000000-0005-0000-0000-0000F0020000}"/>
    <cellStyle name="백분율_95" xfId="577" xr:uid="{00000000-0005-0000-0000-0000F1020000}"/>
    <cellStyle name="콤마 [0]_95" xfId="578" xr:uid="{00000000-0005-0000-0000-0000F2020000}"/>
    <cellStyle name="콤마_95" xfId="579" xr:uid="{00000000-0005-0000-0000-0000F3020000}"/>
    <cellStyle name="통화 [0]_95" xfId="580" xr:uid="{00000000-0005-0000-0000-0000F4020000}"/>
    <cellStyle name="통화_95" xfId="581" xr:uid="{00000000-0005-0000-0000-0000F5020000}"/>
    <cellStyle name="표준_4월실적" xfId="582" xr:uid="{00000000-0005-0000-0000-0000F602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s>
</file>

<file path=xl/drawings/drawing1.xml><?xml version="1.0" encoding="utf-8"?>
<xdr:wsDr xmlns:xdr="http://schemas.openxmlformats.org/drawingml/2006/spreadsheetDrawing" xmlns:a="http://schemas.openxmlformats.org/drawingml/2006/main">
  <xdr:twoCellAnchor>
    <xdr:from>
      <xdr:col>2</xdr:col>
      <xdr:colOff>482136</xdr:colOff>
      <xdr:row>8</xdr:row>
      <xdr:rowOff>91719</xdr:rowOff>
    </xdr:from>
    <xdr:to>
      <xdr:col>3</xdr:col>
      <xdr:colOff>2569</xdr:colOff>
      <xdr:row>9</xdr:row>
      <xdr:rowOff>96320</xdr:rowOff>
    </xdr:to>
    <xdr:sp macro="" textlink="">
      <xdr:nvSpPr>
        <xdr:cNvPr id="4" name="Text Box 41">
          <a:extLst>
            <a:ext uri="{FF2B5EF4-FFF2-40B4-BE49-F238E27FC236}">
              <a16:creationId xmlns:a16="http://schemas.microsoft.com/office/drawing/2014/main" id="{00000000-0008-0000-0300-000004000000}"/>
            </a:ext>
          </a:extLst>
        </xdr:cNvPr>
        <xdr:cNvSpPr txBox="1">
          <a:spLocks noChangeArrowheads="1"/>
        </xdr:cNvSpPr>
      </xdr:nvSpPr>
      <xdr:spPr bwMode="auto">
        <a:xfrm>
          <a:off x="1876596" y="546026619"/>
          <a:ext cx="320533" cy="233201"/>
        </a:xfrm>
        <a:prstGeom prst="rect">
          <a:avLst/>
        </a:prstGeom>
        <a:solidFill>
          <a:srgbClr val="FFFFFF"/>
        </a:solidFill>
        <a:ln w="9525">
          <a:noFill/>
          <a:miter lim="800000"/>
          <a:headEnd/>
          <a:tailEnd/>
        </a:ln>
      </xdr:spPr>
      <xdr:txBody>
        <a:bodyPr vertOverflow="clip" wrap="square" lIns="27432" tIns="22860" rIns="0" bIns="0" anchor="t" upright="1"/>
        <a:lstStyle/>
        <a:p>
          <a:pPr marL="0" marR="0" lvl="0" indent="0" algn="l" defTabSz="914400" rtl="0" eaLnBrk="1" fontAlgn="auto" latinLnBrk="0" hangingPunct="1">
            <a:lnSpc>
              <a:spcPct val="100000"/>
            </a:lnSpc>
            <a:spcBef>
              <a:spcPts val="0"/>
            </a:spcBef>
            <a:spcAft>
              <a:spcPts val="0"/>
            </a:spcAft>
            <a:buClrTx/>
            <a:buSzTx/>
            <a:buFontTx/>
            <a:buNone/>
            <a:tabLst/>
            <a:defRPr sz="1000"/>
          </a:pPr>
          <a:r>
            <a:rPr kumimoji="0" lang="en-US" sz="1000" b="0" i="0" u="none" strike="noStrike" kern="0" cap="none" spc="0" normalizeH="0" baseline="0" noProof="0">
              <a:ln>
                <a:noFill/>
              </a:ln>
              <a:solidFill>
                <a:srgbClr val="000000"/>
              </a:solidFill>
              <a:effectLst/>
              <a:uLnTx/>
              <a:uFillTx/>
              <a:latin typeface="Arial"/>
              <a:cs typeface="Arial"/>
            </a:rPr>
            <a:t>=</a:t>
          </a:r>
        </a:p>
      </xdr:txBody>
    </xdr:sp>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Rate%20analysis/Road-rate%20analysis%2083%2084%20shankharapur%20as%20per%20dor%20norms.xlsx" TargetMode="External"/><Relationship Id="rId2" Type="http://schemas.openxmlformats.org/officeDocument/2006/relationships/externalLinkPath" Target="file:///G:\2082_2083\2083_2084\estimate\Rate%20analysis\Road-rate%20analysis%2083%2084%20shankharapur%20as%20per%20dor%20norms.xlsx" TargetMode="External"/><Relationship Id="rId1" Type="http://schemas.openxmlformats.org/officeDocument/2006/relationships/externalLinkPath" Target="/2082_2083/2083_2084/estimate/Rate%20analysis/Road-rate%20analysis%2083%2084%20shankharapur%20as%20per%20dor%20norm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Datasheet"/>
      <sheetName val="Abstract"/>
      <sheetName val="Quantity_Sheet"/>
      <sheetName val="District_Rate"/>
      <sheetName val="Equipment_Rate"/>
      <sheetName val="Summary_of_Rates"/>
      <sheetName val="rate (roadway)"/>
      <sheetName val="manhole"/>
      <sheetName val="bistar"/>
      <sheetName val="Rate_Analysis"/>
      <sheetName val="DWC pipe Rate-analysis"/>
      <sheetName val="Sheet1"/>
      <sheetName val="Sheet2"/>
      <sheetName val="Sheet3"/>
      <sheetName val="Sheet4"/>
      <sheetName val="Loading_Unloading"/>
      <sheetName val="Collection"/>
      <sheetName val="Transportation"/>
      <sheetName val="References"/>
      <sheetName val="BOQ"/>
      <sheetName val="PPMO_BOQ"/>
    </sheetNames>
    <sheetDataSet>
      <sheetData sheetId="0" refreshError="1"/>
      <sheetData sheetId="1">
        <row r="34">
          <cell r="B34" t="str">
            <v>Earthwork Excavation in Cutting., Roadway Excavation in all types of Soil by Mechanical  Means ., Road way Excavation in  all types of soil as per Drawing and technical specifications  including  removal of stumps and other deleterious matter, all lifts and lead as per Drawing and instruction of the Engineer.</v>
          </cell>
        </row>
        <row r="172">
          <cell r="B172" t="str">
            <v>Providing and laying of Plain/Reinforced Cement Concrete in Foundation complete as per Drawing and Technical Specifications., RCC Grade M 20</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11"/>
  <sheetViews>
    <sheetView zoomScale="80" zoomScaleNormal="80" workbookViewId="0">
      <selection activeCell="E10" sqref="E10"/>
    </sheetView>
  </sheetViews>
  <sheetFormatPr defaultRowHeight="15"/>
  <cols>
    <col min="1" max="1" width="10.5703125" customWidth="1"/>
    <col min="2" max="3" width="13.85546875" customWidth="1"/>
    <col min="4" max="5" width="14" customWidth="1"/>
    <col min="6" max="6" width="12.5703125" customWidth="1"/>
    <col min="7" max="7" width="13.42578125" customWidth="1"/>
    <col min="8" max="8" width="12.5703125" customWidth="1"/>
  </cols>
  <sheetData>
    <row r="1" spans="1:8" ht="20.25">
      <c r="A1" s="7">
        <v>152</v>
      </c>
      <c r="B1" s="119" t="s">
        <v>36</v>
      </c>
      <c r="C1" s="120"/>
      <c r="D1" s="120"/>
      <c r="E1" s="120"/>
      <c r="F1" s="120"/>
      <c r="G1" s="120"/>
      <c r="H1" s="120"/>
    </row>
    <row r="2" spans="1:8" ht="15.75">
      <c r="A2" s="8" t="s">
        <v>37</v>
      </c>
      <c r="B2" s="121" t="s">
        <v>38</v>
      </c>
      <c r="C2" s="122"/>
      <c r="D2" s="122"/>
      <c r="E2" s="122"/>
      <c r="F2" s="122"/>
      <c r="G2" s="122"/>
      <c r="H2" s="122"/>
    </row>
    <row r="3" spans="1:8" ht="31.5">
      <c r="A3" s="9"/>
      <c r="B3" s="10" t="s">
        <v>39</v>
      </c>
      <c r="C3" s="10" t="s">
        <v>40</v>
      </c>
      <c r="D3" s="10" t="s">
        <v>41</v>
      </c>
      <c r="E3" s="10" t="s">
        <v>42</v>
      </c>
      <c r="F3" s="10" t="s">
        <v>43</v>
      </c>
      <c r="G3" s="10" t="s">
        <v>44</v>
      </c>
      <c r="H3" s="10" t="s">
        <v>45</v>
      </c>
    </row>
    <row r="4" spans="1:8" ht="17.25">
      <c r="A4" s="9"/>
      <c r="B4" s="123" t="s">
        <v>46</v>
      </c>
      <c r="C4" s="11" t="s">
        <v>47</v>
      </c>
      <c r="D4" s="12">
        <v>0.5</v>
      </c>
      <c r="E4" s="13" t="s">
        <v>48</v>
      </c>
      <c r="F4" s="14">
        <v>1330</v>
      </c>
      <c r="G4" s="14">
        <f>FLOOR(D4*F4,0.01)</f>
        <v>665</v>
      </c>
      <c r="H4" s="15"/>
    </row>
    <row r="5" spans="1:8" ht="17.25">
      <c r="A5" s="9"/>
      <c r="B5" s="124"/>
      <c r="C5" s="16" t="s">
        <v>49</v>
      </c>
      <c r="D5" s="17">
        <v>1</v>
      </c>
      <c r="E5" s="16" t="s">
        <v>48</v>
      </c>
      <c r="F5" s="18">
        <v>1000</v>
      </c>
      <c r="G5" s="18">
        <f>FLOOR(D5*F5,0.01)</f>
        <v>1000</v>
      </c>
      <c r="H5" s="19">
        <f>SUM(G4+G5)</f>
        <v>1665</v>
      </c>
    </row>
    <row r="6" spans="1:8" ht="17.25">
      <c r="A6" s="9"/>
      <c r="B6" s="125" t="s">
        <v>50</v>
      </c>
      <c r="C6" s="13" t="s">
        <v>51</v>
      </c>
      <c r="D6" s="12">
        <f>420*0</f>
        <v>0</v>
      </c>
      <c r="E6" s="13" t="s">
        <v>52</v>
      </c>
      <c r="F6" s="20">
        <v>15.145</v>
      </c>
      <c r="G6" s="21">
        <f>FLOOR(D6*F6,0.01)</f>
        <v>0</v>
      </c>
      <c r="H6" s="15"/>
    </row>
    <row r="7" spans="1:8" ht="17.25">
      <c r="A7" s="9"/>
      <c r="B7" s="126"/>
      <c r="C7" s="16" t="s">
        <v>53</v>
      </c>
      <c r="D7" s="17">
        <f>0.71*0</f>
        <v>0</v>
      </c>
      <c r="E7" s="16" t="s">
        <v>54</v>
      </c>
      <c r="F7" s="18">
        <v>3389.76</v>
      </c>
      <c r="G7" s="18">
        <f>FLOOR(D7*F7,0.01)</f>
        <v>0</v>
      </c>
      <c r="H7" s="22">
        <f>SUM(G6:G7)</f>
        <v>0</v>
      </c>
    </row>
    <row r="8" spans="1:8" ht="19.5">
      <c r="A8" s="9"/>
      <c r="B8" s="9"/>
      <c r="C8" s="9"/>
      <c r="D8" s="9"/>
      <c r="E8" s="9"/>
      <c r="F8" s="23" t="s">
        <v>55</v>
      </c>
      <c r="G8" s="24"/>
      <c r="H8" s="18">
        <f>SUM(H7,H5)</f>
        <v>1665</v>
      </c>
    </row>
    <row r="9" spans="1:8" ht="19.5">
      <c r="A9" s="9"/>
      <c r="B9" s="9" t="s">
        <v>56</v>
      </c>
      <c r="C9" s="9"/>
      <c r="D9" s="9"/>
      <c r="E9" s="9"/>
      <c r="F9" s="23" t="s">
        <v>57</v>
      </c>
      <c r="G9" s="24"/>
      <c r="H9" s="25">
        <f>FLOOR(H8*0.15,0.01)</f>
        <v>249.75</v>
      </c>
    </row>
    <row r="10" spans="1:8" ht="19.5">
      <c r="A10" s="26"/>
      <c r="B10" s="27">
        <f>+H10</f>
        <v>1914.75</v>
      </c>
      <c r="C10" s="28" t="s">
        <v>58</v>
      </c>
      <c r="D10" s="25">
        <f>INT(B10/B11*100)/100</f>
        <v>191.47</v>
      </c>
      <c r="E10" s="9" t="s">
        <v>59</v>
      </c>
      <c r="F10" s="23" t="s">
        <v>60</v>
      </c>
      <c r="G10" s="24"/>
      <c r="H10" s="25">
        <f>SUM(H8:H9)</f>
        <v>1914.75</v>
      </c>
    </row>
    <row r="11" spans="1:8" ht="16.5">
      <c r="A11" s="9"/>
      <c r="B11" s="29">
        <v>10</v>
      </c>
      <c r="C11" s="9"/>
      <c r="D11" s="9"/>
      <c r="E11" s="9"/>
      <c r="F11" s="9"/>
      <c r="G11" s="9"/>
      <c r="H11" s="9"/>
    </row>
  </sheetData>
  <sheetProtection algorithmName="SHA-512" hashValue="BHpjvqogGsJTyvmswF5yADF/MQEH182kQ3BQwKxz7nBNmFdMyiRYNKN1krIKmS/vSA+RKVYcNPDTXBu+udIgPg==" saltValue="a+MvDxOYwIW2M4YgJ1Ikug==" spinCount="100000" sheet="1" objects="1" scenarios="1"/>
  <mergeCells count="4">
    <mergeCell ref="B1:H1"/>
    <mergeCell ref="B2:H2"/>
    <mergeCell ref="B4:B5"/>
    <mergeCell ref="B6:B7"/>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AC4D04-1B58-42BA-A05B-E669B2EB3EFE}">
  <dimension ref="A1:N4"/>
  <sheetViews>
    <sheetView workbookViewId="0">
      <selection activeCell="F11" sqref="F11"/>
    </sheetView>
  </sheetViews>
  <sheetFormatPr defaultRowHeight="15"/>
  <cols>
    <col min="1" max="1" width="7" bestFit="1" customWidth="1"/>
    <col min="2" max="2" width="8" bestFit="1" customWidth="1"/>
    <col min="3" max="3" width="6.85546875" bestFit="1" customWidth="1"/>
    <col min="4" max="4" width="13.5703125" bestFit="1" customWidth="1"/>
    <col min="5" max="5" width="13.28515625" bestFit="1" customWidth="1"/>
    <col min="6" max="6" width="19.140625" bestFit="1" customWidth="1"/>
    <col min="7" max="7" width="18.85546875" bestFit="1" customWidth="1"/>
    <col min="8" max="8" width="15.85546875" bestFit="1" customWidth="1"/>
    <col min="9" max="9" width="4.5703125" bestFit="1" customWidth="1"/>
    <col min="10" max="10" width="13.140625" bestFit="1" customWidth="1"/>
  </cols>
  <sheetData>
    <row r="1" spans="1:14">
      <c r="A1" s="131" t="s">
        <v>3</v>
      </c>
      <c r="B1" s="131" t="s">
        <v>4</v>
      </c>
      <c r="C1" s="131" t="s">
        <v>5</v>
      </c>
      <c r="D1" s="131" t="s">
        <v>99</v>
      </c>
      <c r="E1" s="131" t="s">
        <v>102</v>
      </c>
      <c r="F1" s="131" t="s">
        <v>100</v>
      </c>
      <c r="G1" s="131" t="s">
        <v>101</v>
      </c>
      <c r="H1" s="131" t="s">
        <v>97</v>
      </c>
      <c r="I1" s="133" t="s">
        <v>98</v>
      </c>
      <c r="J1" s="127" t="s">
        <v>103</v>
      </c>
      <c r="K1" s="130" t="s">
        <v>104</v>
      </c>
      <c r="L1" s="130"/>
      <c r="M1" s="128" t="s">
        <v>105</v>
      </c>
      <c r="N1" s="128"/>
    </row>
    <row r="2" spans="1:14">
      <c r="A2" s="132"/>
      <c r="B2" s="132"/>
      <c r="C2" s="132"/>
      <c r="D2" s="132"/>
      <c r="E2" s="132"/>
      <c r="F2" s="132"/>
      <c r="G2" s="132"/>
      <c r="H2" s="132"/>
      <c r="I2" s="134"/>
      <c r="J2" s="127"/>
      <c r="K2" s="91" t="s">
        <v>3</v>
      </c>
      <c r="L2" s="89" t="s">
        <v>4</v>
      </c>
      <c r="M2" s="86" t="s">
        <v>3</v>
      </c>
      <c r="N2" s="86" t="s">
        <v>5</v>
      </c>
    </row>
    <row r="3" spans="1:14">
      <c r="A3" s="87">
        <f>14.5/3.281</f>
        <v>4.4193843340444987</v>
      </c>
      <c r="B3" s="87">
        <f>14/3.281</f>
        <v>4.2669917708015843</v>
      </c>
      <c r="C3" s="87">
        <f>5.5/3.281</f>
        <v>1.6763181956720512</v>
      </c>
      <c r="D3" s="87">
        <v>0.125</v>
      </c>
      <c r="E3" s="87">
        <v>2.5000000000000001E-2</v>
      </c>
      <c r="F3" s="87">
        <f>8/12/3.281</f>
        <v>0.20319008432388497</v>
      </c>
      <c r="G3" s="87">
        <f>1.5/12/3.281</f>
        <v>3.8098140810728431E-2</v>
      </c>
      <c r="H3" s="87">
        <v>0.05</v>
      </c>
      <c r="I3" s="90">
        <v>7.4999999999999997E-2</v>
      </c>
      <c r="J3" s="88">
        <v>8</v>
      </c>
      <c r="K3" s="92">
        <f>2/3.281</f>
        <v>0.6095702529716549</v>
      </c>
      <c r="L3" s="90">
        <f>2/3.281</f>
        <v>0.6095702529716549</v>
      </c>
      <c r="M3" s="87">
        <f>1/3.281</f>
        <v>0.30478512648582745</v>
      </c>
      <c r="N3" s="87">
        <f>1/3.281</f>
        <v>0.30478512648582745</v>
      </c>
    </row>
    <row r="4" spans="1:14">
      <c r="J4" s="88">
        <f>57*J3/1000</f>
        <v>0.45600000000000002</v>
      </c>
      <c r="M4" s="129">
        <f>SQRT(('Size of water tank'!M3)^2+('Size of water tank'!N3)^2)</f>
        <v>0.43103125948585641</v>
      </c>
      <c r="N4" s="129"/>
    </row>
  </sheetData>
  <sheetProtection algorithmName="SHA-512" hashValue="FJvrNP3q0MiFodO2bgVO1VomBYM83VDIGAlEPXy+3L7uGnsbugwG4+twkxW5BfXcDD4dyEyGPhARCa/cu3l7XQ==" saltValue="6UJ1dKK5+0v9OnpfIn6j6Q==" spinCount="100000" sheet="1" objects="1" scenarios="1"/>
  <mergeCells count="13">
    <mergeCell ref="J1:J2"/>
    <mergeCell ref="M1:N1"/>
    <mergeCell ref="M4:N4"/>
    <mergeCell ref="K1:L1"/>
    <mergeCell ref="A1:A2"/>
    <mergeCell ref="B1:B2"/>
    <mergeCell ref="C1:C2"/>
    <mergeCell ref="D1:D2"/>
    <mergeCell ref="E1:E2"/>
    <mergeCell ref="F1:F2"/>
    <mergeCell ref="G1:G2"/>
    <mergeCell ref="H1:H2"/>
    <mergeCell ref="I1:I2"/>
  </mergeCells>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2B3309-9F25-4755-BF2A-62A086A4BBD1}">
  <dimension ref="A1:L259"/>
  <sheetViews>
    <sheetView tabSelected="1" view="pageBreakPreview" zoomScale="80" zoomScaleNormal="100" zoomScaleSheetLayoutView="80" workbookViewId="0">
      <selection activeCell="E15" sqref="E15"/>
    </sheetView>
  </sheetViews>
  <sheetFormatPr defaultColWidth="9.140625" defaultRowHeight="16.5"/>
  <cols>
    <col min="1" max="1" width="4.42578125" style="38" customWidth="1"/>
    <col min="2" max="2" width="30.5703125" style="5" customWidth="1"/>
    <col min="3" max="3" width="5.5703125" style="1" customWidth="1"/>
    <col min="4" max="4" width="8.28515625" style="1" customWidth="1"/>
    <col min="5" max="5" width="9.140625" style="1" customWidth="1"/>
    <col min="6" max="6" width="8.42578125" style="1" customWidth="1"/>
    <col min="7" max="7" width="10.140625" style="1" customWidth="1"/>
    <col min="8" max="8" width="5.42578125" style="1" customWidth="1"/>
    <col min="9" max="9" width="10.7109375" style="2" bestFit="1" customWidth="1"/>
    <col min="10" max="10" width="11.28515625" style="1" bestFit="1" customWidth="1"/>
    <col min="11" max="11" width="9.7109375" style="1" customWidth="1"/>
    <col min="12" max="16384" width="9.140625" style="1"/>
  </cols>
  <sheetData>
    <row r="1" spans="1:12">
      <c r="A1" s="113" t="s">
        <v>10</v>
      </c>
      <c r="B1" s="113"/>
      <c r="C1" s="113"/>
      <c r="D1" s="113"/>
      <c r="E1" s="113"/>
      <c r="F1" s="113"/>
      <c r="G1" s="113"/>
      <c r="H1" s="113"/>
      <c r="I1" s="113"/>
      <c r="J1" s="113"/>
      <c r="K1" s="113"/>
      <c r="L1" s="77"/>
    </row>
    <row r="2" spans="1:12" ht="20.25">
      <c r="A2" s="114" t="s">
        <v>13</v>
      </c>
      <c r="B2" s="114"/>
      <c r="C2" s="114"/>
      <c r="D2" s="114"/>
      <c r="E2" s="114"/>
      <c r="F2" s="114"/>
      <c r="G2" s="114"/>
      <c r="H2" s="114"/>
      <c r="I2" s="114"/>
      <c r="J2" s="114"/>
      <c r="K2" s="114"/>
      <c r="L2" s="83"/>
    </row>
    <row r="3" spans="1:12">
      <c r="A3" s="113" t="s">
        <v>14</v>
      </c>
      <c r="B3" s="113"/>
      <c r="C3" s="113"/>
      <c r="D3" s="113"/>
      <c r="E3" s="113"/>
      <c r="F3" s="113"/>
      <c r="G3" s="113"/>
      <c r="H3" s="113"/>
      <c r="I3" s="113"/>
      <c r="J3" s="113"/>
      <c r="K3" s="113"/>
      <c r="L3" s="77"/>
    </row>
    <row r="4" spans="1:12">
      <c r="A4" s="115" t="s">
        <v>16</v>
      </c>
      <c r="B4" s="115"/>
      <c r="C4" s="115"/>
      <c r="D4" s="115"/>
      <c r="E4" s="115"/>
      <c r="F4" s="115"/>
      <c r="G4" s="115"/>
      <c r="H4" s="115"/>
      <c r="I4" s="115"/>
      <c r="J4" s="115"/>
      <c r="K4" s="115"/>
    </row>
    <row r="5" spans="1:12" ht="20.25">
      <c r="A5" s="84" t="s">
        <v>84</v>
      </c>
      <c r="G5" s="4"/>
      <c r="J5" s="116" t="s">
        <v>148</v>
      </c>
      <c r="K5" s="116"/>
    </row>
    <row r="6" spans="1:12">
      <c r="A6" s="117" t="s">
        <v>19</v>
      </c>
      <c r="B6" s="117"/>
      <c r="C6" s="117"/>
      <c r="D6" s="117"/>
      <c r="E6" s="117"/>
      <c r="F6" s="117"/>
      <c r="G6" s="30"/>
      <c r="H6" s="118" t="s">
        <v>85</v>
      </c>
      <c r="I6" s="118"/>
      <c r="J6" s="118"/>
      <c r="K6" s="118"/>
    </row>
    <row r="7" spans="1:12">
      <c r="B7" s="3"/>
      <c r="C7" s="4"/>
      <c r="D7" s="30"/>
      <c r="E7" s="30"/>
      <c r="F7" s="30"/>
      <c r="G7" s="30"/>
      <c r="I7" s="31"/>
      <c r="J7" s="30"/>
      <c r="K7" s="5"/>
    </row>
    <row r="8" spans="1:12" s="4" customFormat="1">
      <c r="A8" s="39" t="s">
        <v>0</v>
      </c>
      <c r="B8" s="35" t="s">
        <v>1</v>
      </c>
      <c r="C8" s="32" t="s">
        <v>2</v>
      </c>
      <c r="D8" s="36" t="s">
        <v>3</v>
      </c>
      <c r="E8" s="36" t="s">
        <v>4</v>
      </c>
      <c r="F8" s="36" t="s">
        <v>5</v>
      </c>
      <c r="G8" s="33" t="s">
        <v>6</v>
      </c>
      <c r="H8" s="32" t="s">
        <v>7</v>
      </c>
      <c r="I8" s="36" t="s">
        <v>8</v>
      </c>
      <c r="J8" s="36" t="s">
        <v>9</v>
      </c>
      <c r="K8" s="37" t="s">
        <v>79</v>
      </c>
    </row>
    <row r="9" spans="1:12">
      <c r="A9" s="40" t="s">
        <v>30</v>
      </c>
      <c r="B9" s="41" t="s">
        <v>31</v>
      </c>
      <c r="C9" s="42"/>
      <c r="D9" s="43"/>
      <c r="E9" s="43"/>
      <c r="F9" s="43"/>
      <c r="G9" s="43"/>
      <c r="H9" s="44"/>
      <c r="I9" s="43"/>
      <c r="J9" s="43"/>
      <c r="K9" s="45"/>
    </row>
    <row r="10" spans="1:12" ht="30.75">
      <c r="A10" s="46">
        <v>1</v>
      </c>
      <c r="B10" s="80" t="s">
        <v>33</v>
      </c>
      <c r="C10" s="48"/>
      <c r="D10" s="48"/>
      <c r="E10" s="48"/>
      <c r="F10" s="48"/>
      <c r="G10" s="48"/>
      <c r="H10" s="49"/>
      <c r="I10" s="49"/>
      <c r="J10" s="49"/>
      <c r="K10" s="50"/>
    </row>
    <row r="11" spans="1:12">
      <c r="A11" s="46"/>
      <c r="B11" s="51" t="s">
        <v>80</v>
      </c>
      <c r="C11" s="52">
        <v>1</v>
      </c>
      <c r="D11" s="53">
        <v>5</v>
      </c>
      <c r="E11" s="53">
        <f>11/3.281</f>
        <v>3.3526363913441024</v>
      </c>
      <c r="F11" s="53">
        <v>7.4999999999999997E-2</v>
      </c>
      <c r="G11" s="53">
        <f>PRODUCT(C11:F11)</f>
        <v>1.2572386467540384</v>
      </c>
      <c r="H11" s="49"/>
      <c r="I11" s="49"/>
      <c r="J11" s="49"/>
      <c r="K11" s="50"/>
    </row>
    <row r="12" spans="1:12">
      <c r="A12" s="46"/>
      <c r="B12" s="51"/>
      <c r="C12" s="52"/>
      <c r="D12" s="53"/>
      <c r="E12" s="53"/>
      <c r="F12" s="53"/>
      <c r="G12" s="53">
        <f>SUM(G11:G11)</f>
        <v>1.2572386467540384</v>
      </c>
      <c r="H12" s="49" t="s">
        <v>18</v>
      </c>
      <c r="I12" s="49">
        <f>3740</f>
        <v>3740</v>
      </c>
      <c r="J12" s="49">
        <f>G12*I12</f>
        <v>4702.072538860104</v>
      </c>
      <c r="K12" s="50"/>
    </row>
    <row r="13" spans="1:12">
      <c r="A13" s="46"/>
      <c r="B13" s="47"/>
      <c r="C13" s="52"/>
      <c r="D13" s="53"/>
      <c r="E13" s="53"/>
      <c r="F13" s="53"/>
      <c r="G13" s="53"/>
      <c r="H13" s="49"/>
      <c r="I13" s="53"/>
      <c r="J13" s="53"/>
      <c r="K13" s="50"/>
    </row>
    <row r="14" spans="1:12" ht="45.75">
      <c r="A14" s="46">
        <v>2</v>
      </c>
      <c r="B14" s="80" t="s">
        <v>32</v>
      </c>
      <c r="C14" s="48"/>
      <c r="D14" s="48"/>
      <c r="E14" s="48"/>
      <c r="F14" s="48"/>
      <c r="G14" s="48"/>
      <c r="H14" s="49"/>
      <c r="I14" s="49"/>
      <c r="J14" s="49"/>
      <c r="K14" s="50"/>
    </row>
    <row r="15" spans="1:12">
      <c r="A15" s="46"/>
      <c r="B15" s="54" t="str">
        <f>B11</f>
        <v>-water tank</v>
      </c>
      <c r="C15" s="52">
        <v>2</v>
      </c>
      <c r="D15" s="53">
        <f>D11</f>
        <v>5</v>
      </c>
      <c r="E15" s="53">
        <v>0.23</v>
      </c>
      <c r="F15" s="53">
        <v>1.4</v>
      </c>
      <c r="G15" s="53">
        <f>PRODUCT(C15:F15)</f>
        <v>3.22</v>
      </c>
      <c r="H15" s="53"/>
      <c r="I15" s="53"/>
      <c r="J15" s="53"/>
      <c r="K15" s="50"/>
    </row>
    <row r="16" spans="1:12">
      <c r="A16" s="46"/>
      <c r="B16" s="54"/>
      <c r="C16" s="52">
        <v>2</v>
      </c>
      <c r="D16" s="53">
        <f>E11-0.23*2</f>
        <v>2.8926363913441024</v>
      </c>
      <c r="E16" s="53">
        <v>0.23</v>
      </c>
      <c r="F16" s="53">
        <v>1.4</v>
      </c>
      <c r="G16" s="53">
        <f t="shared" ref="G16:G17" si="0">PRODUCT(C16:F16)</f>
        <v>1.8628578360256021</v>
      </c>
      <c r="H16" s="53"/>
      <c r="I16" s="53"/>
      <c r="J16" s="53"/>
      <c r="K16" s="50"/>
    </row>
    <row r="17" spans="1:11">
      <c r="A17" s="46"/>
      <c r="B17" s="54"/>
      <c r="C17" s="52">
        <v>1</v>
      </c>
      <c r="D17" s="53">
        <f>D11</f>
        <v>5</v>
      </c>
      <c r="E17" s="53">
        <v>0.23</v>
      </c>
      <c r="F17" s="53">
        <v>0.45</v>
      </c>
      <c r="G17" s="53">
        <f t="shared" si="0"/>
        <v>0.51750000000000007</v>
      </c>
      <c r="H17" s="53"/>
      <c r="I17" s="53"/>
      <c r="J17" s="53"/>
      <c r="K17" s="50"/>
    </row>
    <row r="18" spans="1:11">
      <c r="A18" s="46"/>
      <c r="B18" s="48"/>
      <c r="C18" s="52"/>
      <c r="D18" s="53"/>
      <c r="E18" s="53"/>
      <c r="F18" s="55"/>
      <c r="G18" s="53">
        <f>SUM(G15:G17)</f>
        <v>5.6003578360256023</v>
      </c>
      <c r="H18" s="49" t="s">
        <v>18</v>
      </c>
      <c r="I18" s="53">
        <f>1982.2</f>
        <v>1982.2</v>
      </c>
      <c r="J18" s="53">
        <f>G18*I18</f>
        <v>11101.029302569948</v>
      </c>
      <c r="K18" s="50"/>
    </row>
    <row r="19" spans="1:11">
      <c r="A19" s="46"/>
      <c r="B19" s="56"/>
      <c r="C19" s="52"/>
      <c r="D19" s="53"/>
      <c r="E19" s="53"/>
      <c r="F19" s="55"/>
      <c r="G19" s="53"/>
      <c r="H19" s="49"/>
      <c r="I19" s="53"/>
      <c r="J19" s="53"/>
      <c r="K19" s="50"/>
    </row>
    <row r="20" spans="1:11" ht="45.75">
      <c r="A20" s="46">
        <v>3</v>
      </c>
      <c r="B20" s="81" t="s">
        <v>35</v>
      </c>
      <c r="C20" s="52"/>
      <c r="D20" s="53"/>
      <c r="E20" s="53"/>
      <c r="F20" s="55"/>
      <c r="G20" s="53"/>
      <c r="H20" s="49"/>
      <c r="I20" s="53"/>
      <c r="J20" s="53"/>
      <c r="K20" s="50"/>
    </row>
    <row r="21" spans="1:11">
      <c r="A21" s="46"/>
      <c r="B21" s="56"/>
      <c r="C21" s="52">
        <v>1</v>
      </c>
      <c r="D21" s="53">
        <f>'Size of water tank'!A3+0.15</f>
        <v>4.5693843340444991</v>
      </c>
      <c r="E21" s="53">
        <f>'Size of water tank'!B3+0.15</f>
        <v>4.4169917708015847</v>
      </c>
      <c r="F21" s="55">
        <v>0.125</v>
      </c>
      <c r="G21" s="53">
        <f t="shared" ref="G21" si="1">PRODUCT(C21:F21)</f>
        <v>2.522866625138029</v>
      </c>
      <c r="H21" s="49"/>
      <c r="I21" s="53"/>
      <c r="J21" s="53"/>
      <c r="K21" s="50"/>
    </row>
    <row r="22" spans="1:11">
      <c r="A22" s="46"/>
      <c r="B22" s="48"/>
      <c r="C22" s="52"/>
      <c r="D22" s="53"/>
      <c r="E22" s="53"/>
      <c r="F22" s="55"/>
      <c r="G22" s="53">
        <f>SUM(G21)</f>
        <v>2.522866625138029</v>
      </c>
      <c r="H22" s="49" t="s">
        <v>18</v>
      </c>
      <c r="I22" s="53">
        <f>770.43</f>
        <v>770.43</v>
      </c>
      <c r="J22" s="53">
        <f>G22*I22</f>
        <v>1943.6921340050915</v>
      </c>
      <c r="K22" s="50"/>
    </row>
    <row r="23" spans="1:11">
      <c r="A23" s="46"/>
      <c r="B23" s="48"/>
      <c r="C23" s="52"/>
      <c r="D23" s="53"/>
      <c r="E23" s="53"/>
      <c r="F23" s="55"/>
      <c r="G23" s="53"/>
      <c r="H23" s="49"/>
      <c r="I23" s="53"/>
      <c r="J23" s="53"/>
      <c r="K23" s="50"/>
    </row>
    <row r="24" spans="1:11">
      <c r="A24" s="57">
        <v>4</v>
      </c>
      <c r="B24" s="82" t="s">
        <v>34</v>
      </c>
      <c r="C24" s="58"/>
      <c r="D24" s="59"/>
      <c r="E24" s="59"/>
      <c r="F24" s="55"/>
      <c r="G24" s="59"/>
      <c r="H24" s="55"/>
      <c r="I24" s="59"/>
      <c r="J24" s="59"/>
      <c r="K24" s="50"/>
    </row>
    <row r="25" spans="1:11">
      <c r="A25" s="57"/>
      <c r="B25" s="60" t="s">
        <v>62</v>
      </c>
      <c r="C25" s="58">
        <f>C21</f>
        <v>1</v>
      </c>
      <c r="D25" s="59">
        <f>D21</f>
        <v>4.5693843340444991</v>
      </c>
      <c r="E25" s="59">
        <f>E21</f>
        <v>4.4169917708015847</v>
      </c>
      <c r="F25" s="55"/>
      <c r="G25" s="59">
        <f>PRODUCT(C25:F25)</f>
        <v>20.182933001104232</v>
      </c>
      <c r="H25" s="55"/>
      <c r="I25" s="59"/>
      <c r="J25" s="59"/>
      <c r="K25" s="50"/>
    </row>
    <row r="26" spans="1:11">
      <c r="A26" s="57"/>
      <c r="B26" s="50"/>
      <c r="C26" s="58"/>
      <c r="D26" s="59"/>
      <c r="E26" s="59"/>
      <c r="F26" s="55"/>
      <c r="G26" s="59">
        <f>SUM(G25)</f>
        <v>20.182933001104232</v>
      </c>
      <c r="H26" s="55" t="s">
        <v>17</v>
      </c>
      <c r="I26" s="59">
        <f>Sheet1!H8/10</f>
        <v>166.5</v>
      </c>
      <c r="J26" s="59">
        <f>G26*I26</f>
        <v>3360.4583446838546</v>
      </c>
      <c r="K26" s="50"/>
    </row>
    <row r="27" spans="1:11">
      <c r="A27" s="46"/>
      <c r="B27" s="48"/>
      <c r="C27" s="52"/>
      <c r="D27" s="53"/>
      <c r="E27" s="53"/>
      <c r="F27" s="55"/>
      <c r="G27" s="53"/>
      <c r="H27" s="49"/>
      <c r="I27" s="53"/>
      <c r="J27" s="53"/>
      <c r="K27" s="50"/>
    </row>
    <row r="28" spans="1:11" ht="30.75">
      <c r="A28" s="46">
        <v>5</v>
      </c>
      <c r="B28" s="80" t="s">
        <v>61</v>
      </c>
      <c r="C28" s="52"/>
      <c r="D28" s="53"/>
      <c r="E28" s="53"/>
      <c r="F28" s="53"/>
      <c r="G28" s="53"/>
      <c r="H28" s="49"/>
      <c r="I28" s="53"/>
      <c r="J28" s="53"/>
      <c r="K28" s="50"/>
    </row>
    <row r="29" spans="1:11">
      <c r="A29" s="46"/>
      <c r="B29" s="61" t="str">
        <f>B25</f>
        <v>-for flooring</v>
      </c>
      <c r="C29" s="52">
        <f>C21</f>
        <v>1</v>
      </c>
      <c r="D29" s="53">
        <f>D21</f>
        <v>4.5693843340444991</v>
      </c>
      <c r="E29" s="53">
        <f>E21</f>
        <v>4.4169917708015847</v>
      </c>
      <c r="F29" s="53">
        <f>'Size of water tank'!I3</f>
        <v>7.4999999999999997E-2</v>
      </c>
      <c r="G29" s="59">
        <f>PRODUCT(C29:F29)</f>
        <v>1.5137199750828174</v>
      </c>
      <c r="H29" s="49"/>
      <c r="I29" s="53"/>
      <c r="J29" s="53"/>
      <c r="K29" s="50"/>
    </row>
    <row r="30" spans="1:11">
      <c r="A30" s="46"/>
      <c r="B30" s="62"/>
      <c r="C30" s="52"/>
      <c r="D30" s="53"/>
      <c r="E30" s="53" t="s">
        <v>20</v>
      </c>
      <c r="F30" s="53"/>
      <c r="G30" s="53">
        <f>SUM(G29)</f>
        <v>1.5137199750828174</v>
      </c>
      <c r="H30" s="49" t="s">
        <v>18</v>
      </c>
      <c r="I30" s="53">
        <f>13351.1</f>
        <v>13351.1</v>
      </c>
      <c r="J30" s="53">
        <f>G30*I30</f>
        <v>20209.826759328203</v>
      </c>
      <c r="K30" s="50"/>
    </row>
    <row r="31" spans="1:11">
      <c r="A31" s="46"/>
      <c r="B31" s="47"/>
      <c r="C31" s="52"/>
      <c r="D31" s="53"/>
      <c r="E31" s="53"/>
      <c r="F31" s="53"/>
      <c r="G31" s="53"/>
      <c r="H31" s="49"/>
      <c r="I31" s="53"/>
      <c r="J31" s="53"/>
      <c r="K31" s="50"/>
    </row>
    <row r="32" spans="1:11" ht="45.75">
      <c r="A32" s="46">
        <v>6</v>
      </c>
      <c r="B32" s="80" t="s">
        <v>27</v>
      </c>
      <c r="C32" s="52"/>
      <c r="D32" s="53"/>
      <c r="E32" s="53"/>
      <c r="F32" s="53"/>
      <c r="G32" s="53"/>
      <c r="H32" s="49"/>
      <c r="I32" s="53"/>
      <c r="J32" s="53"/>
      <c r="K32" s="50"/>
    </row>
    <row r="33" spans="1:11">
      <c r="A33" s="46"/>
      <c r="B33" s="63" t="s">
        <v>81</v>
      </c>
      <c r="C33" s="58">
        <f>TRUNC(('Size of water tank'!A3-'Size of water tank'!G3*2)/0.15,0)+1</f>
        <v>29</v>
      </c>
      <c r="D33" s="59">
        <f>('Size of water tank'!B3-'Size of water tank'!G3*2)+(('Size of water tank'!C3+'Size of water tank'!D3*2-'Size of water tank'!E3*4)*2)+((57*'Size of water tank'!J3/1000)*2)</f>
        <v>8.7554318805242293</v>
      </c>
      <c r="E33" s="53"/>
      <c r="F33" s="53">
        <f>10*10/162</f>
        <v>0.61728395061728392</v>
      </c>
      <c r="G33" s="59">
        <f>PRODUCT(C33:F33)</f>
        <v>156.73303983654483</v>
      </c>
      <c r="H33" s="49"/>
      <c r="I33" s="53"/>
      <c r="J33" s="53"/>
      <c r="K33" s="50"/>
    </row>
    <row r="34" spans="1:11">
      <c r="A34" s="46"/>
      <c r="B34" s="61"/>
      <c r="C34" s="58">
        <f>TRUNC(('Size of water tank'!A3-'Size of water tank'!F3*2+'Size of water tank'!G3*2)/0.15,0)+1</f>
        <v>28</v>
      </c>
      <c r="D34" s="59">
        <f>('Size of water tank'!B3-'Size of water tank'!F3*2+'Size of water tank'!G3*2)+(('Size of water tank'!C3+'Size of water tank'!D3*2-'Size of water tank'!E3*4)*2)+((57*'Size of water tank'!J3/1000)*2)</f>
        <v>8.5014442751193737</v>
      </c>
      <c r="E34" s="53"/>
      <c r="F34" s="53">
        <f>10*10/162</f>
        <v>0.61728395061728392</v>
      </c>
      <c r="G34" s="59">
        <f t="shared" ref="G34:G47" si="2">PRODUCT(C34:F34)</f>
        <v>146.93854302675459</v>
      </c>
      <c r="H34" s="49"/>
      <c r="I34" s="53"/>
      <c r="J34" s="53"/>
      <c r="K34" s="50"/>
    </row>
    <row r="35" spans="1:11">
      <c r="A35" s="46"/>
      <c r="B35" s="63" t="s">
        <v>63</v>
      </c>
      <c r="C35" s="58">
        <f>TRUNC(('Size of water tank'!B3-'Size of water tank'!G3*2)/0.15,0)+1</f>
        <v>28</v>
      </c>
      <c r="D35" s="59">
        <f>('Size of water tank'!A3-'Size of water tank'!G3*2)+(('Size of water tank'!C3+'Size of water tank'!D3*2-'Size of water tank'!E3*4)*2)+((57*'Size of water tank'!J3/1000)*2)</f>
        <v>8.9078244437671437</v>
      </c>
      <c r="E35" s="53"/>
      <c r="F35" s="53">
        <f>10*10/162</f>
        <v>0.61728395061728392</v>
      </c>
      <c r="G35" s="59">
        <f t="shared" si="2"/>
        <v>153.9623977935062</v>
      </c>
      <c r="H35" s="49"/>
      <c r="I35" s="53"/>
      <c r="J35" s="53"/>
      <c r="K35" s="50"/>
    </row>
    <row r="36" spans="1:11">
      <c r="A36" s="46"/>
      <c r="B36" s="61"/>
      <c r="C36" s="58">
        <f>TRUNC(('Size of water tank'!B3-'Size of water tank'!F3*2+'Size of water tank'!G3*2)/0.15,0)+1</f>
        <v>27</v>
      </c>
      <c r="D36" s="59">
        <f>('Size of water tank'!A3-'Size of water tank'!F3*2+'Size of water tank'!G3*2)+(('Size of water tank'!C3+'Size of water tank'!D3*2-'Size of water tank'!E3*4)*2)+((57*'Size of water tank'!J3/1000)*2)</f>
        <v>8.6538368383622881</v>
      </c>
      <c r="E36" s="53"/>
      <c r="F36" s="53">
        <f>10*10/162</f>
        <v>0.61728395061728392</v>
      </c>
      <c r="G36" s="59">
        <f t="shared" si="2"/>
        <v>144.23061397270479</v>
      </c>
      <c r="H36" s="49"/>
      <c r="I36" s="53"/>
      <c r="J36" s="53"/>
      <c r="K36" s="50"/>
    </row>
    <row r="37" spans="1:11">
      <c r="A37" s="46"/>
      <c r="B37" s="63" t="s">
        <v>82</v>
      </c>
      <c r="C37" s="52">
        <f>TRUNC(('Size of water tank'!C3+'Size of water tank'!D3-'Size of water tank'!E3)/0.15,0)+1</f>
        <v>12</v>
      </c>
      <c r="D37" s="53">
        <f>('Size of water tank'!A3-'Size of water tank'!G3*2)*2+('Size of water tank'!B3-'Size of water tank'!G3*2)*2</f>
        <v>17.067967083206337</v>
      </c>
      <c r="E37" s="53"/>
      <c r="F37" s="53">
        <f>8*8/162</f>
        <v>0.39506172839506171</v>
      </c>
      <c r="G37" s="59">
        <f t="shared" si="2"/>
        <v>80.914806912978179</v>
      </c>
      <c r="H37" s="49"/>
      <c r="I37" s="53"/>
      <c r="J37" s="53"/>
      <c r="K37" s="50"/>
    </row>
    <row r="38" spans="1:11">
      <c r="A38" s="46"/>
      <c r="B38" s="61"/>
      <c r="C38" s="52">
        <f>TRUNC(('Size of water tank'!C3+'Size of water tank'!E3)/0.15,0)+1</f>
        <v>12</v>
      </c>
      <c r="D38" s="53">
        <f>('Size of water tank'!A3-'Size of water tank'!F3*2+'Size of water tank'!G3*2)*2+('Size of water tank'!B3-'Size of water tank'!F3*2+'Size of water tank'!G3*2)*2</f>
        <v>16.052016661586915</v>
      </c>
      <c r="E38" s="53"/>
      <c r="F38" s="53">
        <f>8*8/162</f>
        <v>0.39506172839506171</v>
      </c>
      <c r="G38" s="59">
        <f t="shared" si="2"/>
        <v>76.098449358634255</v>
      </c>
      <c r="H38" s="49"/>
      <c r="I38" s="53"/>
      <c r="J38" s="53"/>
      <c r="K38" s="50"/>
    </row>
    <row r="39" spans="1:11">
      <c r="A39" s="46"/>
      <c r="B39" s="63" t="s">
        <v>64</v>
      </c>
      <c r="C39" s="52">
        <f>2*(TRUNC(('Size of water tank'!B3-'Size of water tank'!G3*2)/0.15,0)+1)</f>
        <v>56</v>
      </c>
      <c r="D39" s="53">
        <f>'Size of water tank'!A3</f>
        <v>4.4193843340444987</v>
      </c>
      <c r="E39" s="53"/>
      <c r="F39" s="53">
        <f t="shared" ref="F39:F44" si="3">8*8/162</f>
        <v>0.39506172839506171</v>
      </c>
      <c r="G39" s="59">
        <f t="shared" si="2"/>
        <v>97.77205835318199</v>
      </c>
      <c r="H39" s="49"/>
      <c r="I39" s="53"/>
      <c r="J39" s="53"/>
      <c r="K39" s="50"/>
    </row>
    <row r="40" spans="1:11">
      <c r="A40" s="46"/>
      <c r="B40" s="61"/>
      <c r="C40" s="52">
        <f>2*(TRUNC(('Size of water tank'!A3-'Size of water tank'!G3*2)/0.15,0)+1)</f>
        <v>58</v>
      </c>
      <c r="D40" s="53">
        <f>'Size of water tank'!B3</f>
        <v>4.2669917708015843</v>
      </c>
      <c r="E40" s="53"/>
      <c r="F40" s="53">
        <f t="shared" si="3"/>
        <v>0.39506172839506171</v>
      </c>
      <c r="G40" s="59">
        <f t="shared" si="2"/>
        <v>97.772058353181976</v>
      </c>
      <c r="H40" s="49"/>
      <c r="I40" s="53"/>
      <c r="J40" s="53"/>
      <c r="K40" s="50"/>
    </row>
    <row r="41" spans="1:11">
      <c r="A41" s="46"/>
      <c r="B41" s="63" t="s">
        <v>73</v>
      </c>
      <c r="C41" s="52">
        <f>-2*(TRUNC('Size of water tank'!L3/0.15,0)+1)</f>
        <v>-10</v>
      </c>
      <c r="D41" s="53">
        <f>'Size of water tank'!K3</f>
        <v>0.6095702529716549</v>
      </c>
      <c r="E41" s="53"/>
      <c r="F41" s="53">
        <f t="shared" si="3"/>
        <v>0.39506172839506171</v>
      </c>
      <c r="G41" s="59">
        <f t="shared" si="2"/>
        <v>-2.4081787771719698</v>
      </c>
      <c r="H41" s="49"/>
      <c r="I41" s="53"/>
      <c r="J41" s="53"/>
      <c r="K41" s="50"/>
    </row>
    <row r="42" spans="1:11">
      <c r="A42" s="46"/>
      <c r="B42" s="63"/>
      <c r="C42" s="52">
        <f>-2*(TRUNC('Size of water tank'!K3/0.15,0)+1)</f>
        <v>-10</v>
      </c>
      <c r="D42" s="53">
        <f>'Size of water tank'!L3</f>
        <v>0.6095702529716549</v>
      </c>
      <c r="E42" s="53"/>
      <c r="F42" s="53">
        <f t="shared" si="3"/>
        <v>0.39506172839506171</v>
      </c>
      <c r="G42" s="59">
        <f t="shared" si="2"/>
        <v>-2.4081787771719698</v>
      </c>
      <c r="H42" s="49"/>
      <c r="I42" s="53"/>
      <c r="J42" s="53"/>
      <c r="K42" s="50"/>
    </row>
    <row r="43" spans="1:11">
      <c r="A43" s="46"/>
      <c r="B43" s="63" t="s">
        <v>71</v>
      </c>
      <c r="C43" s="52">
        <f>2*(TRUNC(((('Size of water tank'!A3-'Size of water tank'!F3*2)+('Size of water tank'!A3-'Size of water tank'!F3*2-'Size of water tank'!M3*2))/2)/0.15,0)+1)</f>
        <v>50</v>
      </c>
      <c r="D43" s="53">
        <f>(2*57*('Size of water tank'!J3/1000))+SQRT(('Size of water tank'!M3)^2+('Size of water tank'!N3)^2)</f>
        <v>1.3430312594858564</v>
      </c>
      <c r="E43" s="53"/>
      <c r="F43" s="53">
        <f t="shared" si="3"/>
        <v>0.39506172839506171</v>
      </c>
      <c r="G43" s="59">
        <f t="shared" si="2"/>
        <v>26.529012533053951</v>
      </c>
      <c r="H43" s="49"/>
      <c r="I43" s="53"/>
      <c r="J43" s="53"/>
      <c r="K43" s="50"/>
    </row>
    <row r="44" spans="1:11">
      <c r="A44" s="46"/>
      <c r="B44" s="63"/>
      <c r="C44" s="52">
        <f>2*(TRUNC(((('Size of water tank'!B3-'Size of water tank'!F3*2)+('Size of water tank'!B3-'Size of water tank'!F3*2-'Size of water tank'!M3*2))/2)/0.15,0)+1)</f>
        <v>48</v>
      </c>
      <c r="D44" s="53">
        <f>(2*57*('Size of water tank'!J3/1000))+SQRT(('Size of water tank'!M3)^2+('Size of water tank'!N3)^2)</f>
        <v>1.3430312594858564</v>
      </c>
      <c r="E44" s="53"/>
      <c r="F44" s="53">
        <f t="shared" si="3"/>
        <v>0.39506172839506171</v>
      </c>
      <c r="G44" s="59">
        <f t="shared" si="2"/>
        <v>25.467852031731795</v>
      </c>
      <c r="H44" s="49"/>
      <c r="I44" s="53"/>
      <c r="J44" s="53"/>
      <c r="K44" s="50"/>
    </row>
    <row r="45" spans="1:11">
      <c r="A45" s="46"/>
      <c r="B45" s="63" t="s">
        <v>82</v>
      </c>
      <c r="C45" s="52">
        <f>TRUNC(((SQRT(('Size of water tank'!M3)^2+('Size of water tank'!N3)^2))/0.15)+1)-2</f>
        <v>1</v>
      </c>
      <c r="D45" s="53">
        <f>(((('Size of water tank'!A3-'Size of water tank'!F3*2)+('Size of water tank'!A3-'Size of water tank'!F3*2-'Size of water tank'!M3*2))/2)+((('Size of water tank'!B3-'Size of water tank'!F3*2)+('Size of water tank'!B3-'Size of water tank'!F3*2-'Size of water tank'!M3*2))/2))*2</f>
        <v>14.528091029157777</v>
      </c>
      <c r="E45" s="53"/>
      <c r="F45" s="53">
        <f>8*8/162</f>
        <v>0.39506172839506171</v>
      </c>
      <c r="G45" s="59">
        <f t="shared" si="2"/>
        <v>5.7394927522598618</v>
      </c>
      <c r="H45" s="49"/>
      <c r="I45" s="53"/>
      <c r="J45" s="53"/>
      <c r="K45" s="50"/>
    </row>
    <row r="46" spans="1:11">
      <c r="A46" s="46"/>
      <c r="B46" s="63" t="s">
        <v>108</v>
      </c>
      <c r="C46" s="52">
        <f>TRUNC((D47-0.1)/0.15,0)+1</f>
        <v>5</v>
      </c>
      <c r="D46" s="53">
        <v>1.5</v>
      </c>
      <c r="E46" s="53"/>
      <c r="F46" s="53">
        <f>12*12/162</f>
        <v>0.88888888888888884</v>
      </c>
      <c r="G46" s="59">
        <f t="shared" si="2"/>
        <v>6.6666666666666661</v>
      </c>
      <c r="H46" s="49"/>
      <c r="I46" s="53"/>
      <c r="J46" s="53"/>
      <c r="K46" s="50"/>
    </row>
    <row r="47" spans="1:11">
      <c r="A47" s="46"/>
      <c r="B47" s="63"/>
      <c r="C47" s="52">
        <f>TRUNC(D46/0.15,0)+1</f>
        <v>11</v>
      </c>
      <c r="D47" s="53">
        <f>2.33/3.281</f>
        <v>0.71014934471197799</v>
      </c>
      <c r="E47" s="53"/>
      <c r="F47" s="53">
        <f>12*12/162</f>
        <v>0.88888888888888884</v>
      </c>
      <c r="G47" s="59">
        <f t="shared" si="2"/>
        <v>6.9436824816282297</v>
      </c>
      <c r="H47" s="49"/>
      <c r="I47" s="53"/>
      <c r="J47" s="53"/>
      <c r="K47" s="50"/>
    </row>
    <row r="48" spans="1:11">
      <c r="A48" s="46"/>
      <c r="B48" s="61"/>
      <c r="C48" s="52"/>
      <c r="D48" s="53"/>
      <c r="E48" s="53"/>
      <c r="F48" s="53"/>
      <c r="G48" s="53">
        <f>SUM(G33:G47)</f>
        <v>1020.9523165184833</v>
      </c>
      <c r="H48" s="49" t="s">
        <v>15</v>
      </c>
      <c r="I48" s="53">
        <f>132360/1000</f>
        <v>132.36000000000001</v>
      </c>
      <c r="J48" s="64">
        <f>G48*I48</f>
        <v>135133.24861438645</v>
      </c>
      <c r="K48" s="50"/>
    </row>
    <row r="49" spans="1:11">
      <c r="A49" s="46"/>
      <c r="B49" s="61"/>
      <c r="C49" s="52"/>
      <c r="D49" s="53"/>
      <c r="E49" s="53"/>
      <c r="F49" s="53"/>
      <c r="G49" s="53"/>
      <c r="H49" s="49"/>
      <c r="I49" s="53"/>
      <c r="J49" s="53"/>
      <c r="K49" s="50"/>
    </row>
    <row r="50" spans="1:11" ht="30.75">
      <c r="A50" s="46">
        <v>7</v>
      </c>
      <c r="B50" s="80" t="s">
        <v>65</v>
      </c>
      <c r="C50" s="52"/>
      <c r="D50" s="53"/>
      <c r="E50" s="53"/>
      <c r="F50" s="53"/>
      <c r="G50" s="53"/>
      <c r="H50" s="49"/>
      <c r="I50" s="53"/>
      <c r="J50" s="53"/>
      <c r="K50" s="50"/>
    </row>
    <row r="51" spans="1:11">
      <c r="A51" s="46"/>
      <c r="B51" s="63" t="s">
        <v>66</v>
      </c>
      <c r="C51" s="52">
        <v>1</v>
      </c>
      <c r="D51" s="53">
        <f>('Size of water tank'!A3+'Size of water tank'!B3)*2</f>
        <v>17.372752209692166</v>
      </c>
      <c r="E51" s="53"/>
      <c r="F51" s="53">
        <f>'Size of water tank'!C3+'Size of water tank'!D3</f>
        <v>1.8013181956720512</v>
      </c>
      <c r="G51" s="53">
        <f>PRODUCT(C51:F51)</f>
        <v>31.293854664220333</v>
      </c>
      <c r="H51" s="49"/>
      <c r="I51" s="53"/>
      <c r="J51" s="53"/>
      <c r="K51" s="50"/>
    </row>
    <row r="52" spans="1:11">
      <c r="A52" s="46"/>
      <c r="B52" s="61"/>
      <c r="C52" s="52">
        <v>1</v>
      </c>
      <c r="D52" s="53">
        <f>(('Size of water tank'!A3-'Size of water tank'!F3*2)+('Size of water tank'!B3-'Size of water tank'!F3*2))*2</f>
        <v>15.747231535101086</v>
      </c>
      <c r="E52" s="53"/>
      <c r="F52" s="53">
        <f>'Size of water tank'!C3+'Size of water tank'!D3-'Size of water tank'!N3</f>
        <v>1.4965330691862238</v>
      </c>
      <c r="G52" s="53">
        <f t="shared" ref="G52:G55" si="4">PRODUCT(C52:F52)</f>
        <v>23.566252740410917</v>
      </c>
      <c r="H52" s="49"/>
      <c r="I52" s="53"/>
      <c r="J52" s="53"/>
      <c r="K52" s="50"/>
    </row>
    <row r="53" spans="1:11">
      <c r="A53" s="46"/>
      <c r="B53" s="63" t="s">
        <v>67</v>
      </c>
      <c r="C53" s="52">
        <v>1</v>
      </c>
      <c r="D53" s="93">
        <f>'Size of water tank'!A3-'Size of water tank'!F3*2</f>
        <v>4.0130041653967288</v>
      </c>
      <c r="E53" s="93">
        <f>'Size of water tank'!B3-'Size of water tank'!F3*2</f>
        <v>3.8606116021538144</v>
      </c>
      <c r="F53" s="53"/>
      <c r="G53" s="53">
        <f t="shared" si="4"/>
        <v>15.492650440422196</v>
      </c>
      <c r="H53" s="49"/>
      <c r="I53" s="53"/>
      <c r="J53" s="53"/>
      <c r="K53" s="50"/>
    </row>
    <row r="54" spans="1:11">
      <c r="A54" s="46"/>
      <c r="B54" s="63" t="s">
        <v>73</v>
      </c>
      <c r="C54" s="52">
        <v>-1</v>
      </c>
      <c r="D54" s="53">
        <f>'Size of water tank'!K3</f>
        <v>0.6095702529716549</v>
      </c>
      <c r="E54" s="53">
        <f>'Size of water tank'!L3</f>
        <v>0.6095702529716549</v>
      </c>
      <c r="F54" s="53"/>
      <c r="G54" s="53">
        <f t="shared" si="4"/>
        <v>-0.37157589330792734</v>
      </c>
      <c r="H54" s="49"/>
      <c r="I54" s="53"/>
      <c r="J54" s="53"/>
      <c r="K54" s="50"/>
    </row>
    <row r="55" spans="1:11">
      <c r="A55" s="46"/>
      <c r="B55" s="63" t="str">
        <f>B46</f>
        <v>-for kitchen setup at ward office</v>
      </c>
      <c r="C55" s="52">
        <v>1</v>
      </c>
      <c r="D55" s="53">
        <f>D46</f>
        <v>1.5</v>
      </c>
      <c r="E55" s="53">
        <f>D47</f>
        <v>0.71014934471197799</v>
      </c>
      <c r="F55" s="53"/>
      <c r="G55" s="53">
        <f t="shared" si="4"/>
        <v>1.065224017067967</v>
      </c>
      <c r="H55" s="49"/>
      <c r="I55" s="53"/>
      <c r="J55" s="53"/>
      <c r="K55" s="50"/>
    </row>
    <row r="56" spans="1:11">
      <c r="A56" s="46"/>
      <c r="B56" s="61"/>
      <c r="C56" s="52"/>
      <c r="D56" s="53"/>
      <c r="E56" s="53"/>
      <c r="F56" s="53"/>
      <c r="G56" s="53">
        <f>SUM(G51:G55)</f>
        <v>71.046405968813474</v>
      </c>
      <c r="H56" s="49" t="s">
        <v>17</v>
      </c>
      <c r="I56" s="53">
        <f>922.71</f>
        <v>922.71</v>
      </c>
      <c r="J56" s="53">
        <f>G56*I56</f>
        <v>65555.229251483877</v>
      </c>
      <c r="K56" s="50"/>
    </row>
    <row r="57" spans="1:11">
      <c r="A57" s="46"/>
      <c r="B57" s="61"/>
      <c r="C57" s="52"/>
      <c r="D57" s="53"/>
      <c r="E57" s="53"/>
      <c r="F57" s="53"/>
      <c r="G57" s="53"/>
      <c r="H57" s="49"/>
      <c r="I57" s="53"/>
      <c r="J57" s="53"/>
      <c r="K57" s="50"/>
    </row>
    <row r="58" spans="1:11" ht="30.75">
      <c r="A58" s="46">
        <v>8</v>
      </c>
      <c r="B58" s="80" t="s">
        <v>72</v>
      </c>
      <c r="C58" s="52"/>
      <c r="D58" s="53"/>
      <c r="E58" s="53"/>
      <c r="F58" s="53"/>
      <c r="G58" s="53"/>
      <c r="H58" s="49"/>
      <c r="I58" s="53"/>
      <c r="J58" s="53"/>
      <c r="K58" s="50"/>
    </row>
    <row r="59" spans="1:11">
      <c r="A59" s="46"/>
      <c r="B59" s="63" t="s">
        <v>70</v>
      </c>
      <c r="C59" s="52">
        <v>2</v>
      </c>
      <c r="D59" s="53">
        <f>'Size of water tank'!A3</f>
        <v>4.4193843340444987</v>
      </c>
      <c r="E59" s="53">
        <f>'Size of water tank'!B3</f>
        <v>4.2669917708015843</v>
      </c>
      <c r="F59" s="53">
        <f>'Size of water tank'!D3</f>
        <v>0.125</v>
      </c>
      <c r="G59" s="53">
        <f t="shared" ref="G59:G65" si="5">PRODUCT(C59:F59)</f>
        <v>4.7143691463443291</v>
      </c>
      <c r="H59" s="49"/>
      <c r="I59" s="53"/>
      <c r="J59" s="53"/>
      <c r="K59" s="50"/>
    </row>
    <row r="60" spans="1:11">
      <c r="A60" s="46"/>
      <c r="B60" s="63" t="s">
        <v>69</v>
      </c>
      <c r="C60" s="52">
        <v>2</v>
      </c>
      <c r="D60" s="53">
        <f>'Size of water tank'!A3</f>
        <v>4.4193843340444987</v>
      </c>
      <c r="E60" s="53">
        <f>'Size of water tank'!F3</f>
        <v>0.20319008432388497</v>
      </c>
      <c r="F60" s="53">
        <f>'Size of water tank'!C3</f>
        <v>1.6763181956720512</v>
      </c>
      <c r="G60" s="53">
        <f t="shared" si="5"/>
        <v>3.0105839166216812</v>
      </c>
      <c r="H60" s="49"/>
      <c r="I60" s="53"/>
      <c r="J60" s="53"/>
      <c r="K60" s="50"/>
    </row>
    <row r="61" spans="1:11">
      <c r="A61" s="46"/>
      <c r="B61" s="62"/>
      <c r="C61" s="52">
        <v>2</v>
      </c>
      <c r="D61" s="53">
        <f>'Size of water tank'!B3-'Size of water tank'!F3*2</f>
        <v>3.8606116021538144</v>
      </c>
      <c r="E61" s="53">
        <f>'Size of water tank'!F3</f>
        <v>0.20319008432388497</v>
      </c>
      <c r="F61" s="53">
        <f>'Size of water tank'!C3</f>
        <v>1.6763181956720512</v>
      </c>
      <c r="G61" s="53">
        <f t="shared" si="5"/>
        <v>2.6299353754396293</v>
      </c>
      <c r="H61" s="49"/>
      <c r="I61" s="53"/>
      <c r="J61" s="53"/>
      <c r="K61" s="50"/>
    </row>
    <row r="62" spans="1:11">
      <c r="A62" s="46"/>
      <c r="B62" s="63" t="s">
        <v>68</v>
      </c>
      <c r="C62" s="52">
        <f>2*0.5</f>
        <v>1</v>
      </c>
      <c r="D62" s="53">
        <f>(('Size of water tank'!A3-('Size of water tank'!F3)*2)+('Size of water tank'!A3-('Size of water tank'!F3)*2-('Size of water tank'!M3)*2))/2</f>
        <v>3.7082190389109013</v>
      </c>
      <c r="E62" s="53">
        <f>'Size of water tank'!M3</f>
        <v>0.30478512648582745</v>
      </c>
      <c r="F62" s="53">
        <f>'Size of water tank'!N3</f>
        <v>0.30478512648582745</v>
      </c>
      <c r="G62" s="53">
        <f t="shared" si="5"/>
        <v>0.34447120049119545</v>
      </c>
      <c r="H62" s="49"/>
      <c r="I62" s="53"/>
      <c r="J62" s="53"/>
      <c r="K62" s="50"/>
    </row>
    <row r="63" spans="1:11">
      <c r="A63" s="46"/>
      <c r="B63" s="63"/>
      <c r="C63" s="52">
        <f>2*0.5</f>
        <v>1</v>
      </c>
      <c r="D63" s="53">
        <f>(('Size of water tank'!B3-'Size of water tank'!F3*2)+('Size of water tank'!B3-'Size of water tank'!F3*2-'Size of water tank'!M3*2))/2</f>
        <v>3.5558264756679869</v>
      </c>
      <c r="E63" s="53">
        <f>'Size of water tank'!M3</f>
        <v>0.30478512648582745</v>
      </c>
      <c r="F63" s="53">
        <f>'Size of water tank'!N3</f>
        <v>0.30478512648582745</v>
      </c>
      <c r="G63" s="53">
        <f t="shared" si="5"/>
        <v>0.33031484978607778</v>
      </c>
      <c r="H63" s="49"/>
      <c r="I63" s="53"/>
      <c r="J63" s="53"/>
      <c r="K63" s="50"/>
    </row>
    <row r="64" spans="1:11">
      <c r="A64" s="46"/>
      <c r="B64" s="63" t="s">
        <v>73</v>
      </c>
      <c r="C64" s="52">
        <v>-1</v>
      </c>
      <c r="D64" s="53">
        <v>0.6</v>
      </c>
      <c r="E64" s="53">
        <v>0.6</v>
      </c>
      <c r="F64" s="53">
        <f>0.42/3.281</f>
        <v>0.12800975312404753</v>
      </c>
      <c r="G64" s="53">
        <f t="shared" si="5"/>
        <v>-4.6083511124657105E-2</v>
      </c>
      <c r="H64" s="49"/>
      <c r="I64" s="53"/>
      <c r="J64" s="53"/>
      <c r="K64" s="50"/>
    </row>
    <row r="65" spans="1:11">
      <c r="A65" s="46"/>
      <c r="B65" s="63" t="str">
        <f>B55</f>
        <v>-for kitchen setup at ward office</v>
      </c>
      <c r="C65" s="52">
        <v>1</v>
      </c>
      <c r="D65" s="53">
        <f>D55</f>
        <v>1.5</v>
      </c>
      <c r="E65" s="53">
        <f>E55</f>
        <v>0.71014934471197799</v>
      </c>
      <c r="F65" s="53">
        <v>0.125</v>
      </c>
      <c r="G65" s="53">
        <f t="shared" si="5"/>
        <v>0.13315300213349587</v>
      </c>
      <c r="H65" s="49"/>
      <c r="I65" s="53"/>
      <c r="J65" s="53"/>
      <c r="K65" s="50"/>
    </row>
    <row r="66" spans="1:11">
      <c r="A66" s="46"/>
      <c r="B66" s="63"/>
      <c r="C66" s="52"/>
      <c r="D66" s="53"/>
      <c r="E66" s="53" t="s">
        <v>20</v>
      </c>
      <c r="F66" s="53"/>
      <c r="G66" s="53">
        <f>SUM(G59:G65)</f>
        <v>11.116743979691751</v>
      </c>
      <c r="H66" s="49" t="s">
        <v>18</v>
      </c>
      <c r="I66" s="53">
        <f>13957.29</f>
        <v>13957.29</v>
      </c>
      <c r="J66" s="64">
        <f>G66*I66</f>
        <v>155159.6195803119</v>
      </c>
      <c r="K66" s="50"/>
    </row>
    <row r="67" spans="1:11">
      <c r="A67" s="46"/>
      <c r="B67" s="61"/>
      <c r="C67" s="52"/>
      <c r="D67" s="53"/>
      <c r="E67" s="53"/>
      <c r="F67" s="53"/>
      <c r="G67" s="53"/>
      <c r="H67" s="49"/>
      <c r="I67" s="53"/>
      <c r="J67" s="53"/>
      <c r="K67" s="50"/>
    </row>
    <row r="68" spans="1:11" ht="30.75">
      <c r="A68" s="46">
        <v>9</v>
      </c>
      <c r="B68" s="80" t="s">
        <v>25</v>
      </c>
      <c r="C68" s="52"/>
      <c r="D68" s="49"/>
      <c r="E68" s="49"/>
      <c r="F68" s="49"/>
      <c r="G68" s="53"/>
      <c r="H68" s="49"/>
      <c r="I68" s="53"/>
      <c r="J68" s="53"/>
      <c r="K68" s="50"/>
    </row>
    <row r="69" spans="1:11">
      <c r="A69" s="46"/>
      <c r="B69" s="61" t="s">
        <v>75</v>
      </c>
      <c r="C69" s="52">
        <v>2</v>
      </c>
      <c r="D69" s="49">
        <f>'Size of water tank'!A3-'Size of water tank'!F3*2</f>
        <v>4.0130041653967288</v>
      </c>
      <c r="E69" s="49"/>
      <c r="F69" s="49">
        <f>'Size of water tank'!C3-'Size of water tank'!N3</f>
        <v>1.3715330691862238</v>
      </c>
      <c r="G69" s="53">
        <f t="shared" ref="G69:G72" si="6">PRODUCT(C69:F69)</f>
        <v>11.007935839247352</v>
      </c>
      <c r="H69" s="49"/>
      <c r="I69" s="53"/>
      <c r="J69" s="53"/>
      <c r="K69" s="50"/>
    </row>
    <row r="70" spans="1:11">
      <c r="A70" s="46"/>
      <c r="B70" s="65"/>
      <c r="C70" s="52">
        <v>2</v>
      </c>
      <c r="D70" s="49">
        <f>'Size of water tank'!B3-'Size of water tank'!F3*2</f>
        <v>3.8606116021538144</v>
      </c>
      <c r="E70" s="49"/>
      <c r="F70" s="49">
        <f>'Size of water tank'!C3-'Size of water tank'!N3</f>
        <v>1.3715330691862238</v>
      </c>
      <c r="G70" s="53">
        <f t="shared" si="6"/>
        <v>10.589912959275932</v>
      </c>
      <c r="H70" s="49"/>
      <c r="I70" s="66"/>
      <c r="J70" s="53"/>
      <c r="K70" s="50"/>
    </row>
    <row r="71" spans="1:11">
      <c r="A71" s="46"/>
      <c r="B71" s="63" t="s">
        <v>106</v>
      </c>
      <c r="C71" s="52">
        <v>1</v>
      </c>
      <c r="D71" s="49">
        <f>D62*2+D63*2</f>
        <v>14.528091029157777</v>
      </c>
      <c r="E71" s="49"/>
      <c r="F71" s="49">
        <f>SQRT(('Size of water tank'!M3)^2+('Size of water tank'!N3)^2)</f>
        <v>0.43103125948585641</v>
      </c>
      <c r="G71" s="53">
        <f t="shared" si="6"/>
        <v>6.2620613742230482</v>
      </c>
      <c r="H71" s="49"/>
      <c r="I71" s="66"/>
      <c r="J71" s="53"/>
      <c r="K71" s="50"/>
    </row>
    <row r="72" spans="1:11">
      <c r="A72" s="98"/>
      <c r="B72" s="105" t="str">
        <f>B103</f>
        <v>-for kitchen</v>
      </c>
      <c r="C72" s="99">
        <f>C103</f>
        <v>3</v>
      </c>
      <c r="D72" s="103">
        <f>D103</f>
        <v>0.71014934471197799</v>
      </c>
      <c r="E72" s="103"/>
      <c r="F72" s="104">
        <f>F103</f>
        <v>0.8</v>
      </c>
      <c r="G72" s="53">
        <f t="shared" si="6"/>
        <v>1.7043584273087473</v>
      </c>
      <c r="H72" s="100"/>
      <c r="I72" s="103"/>
      <c r="J72" s="103"/>
      <c r="K72" s="101"/>
    </row>
    <row r="73" spans="1:11">
      <c r="A73" s="46"/>
      <c r="B73" s="65"/>
      <c r="C73" s="52"/>
      <c r="D73" s="53"/>
      <c r="E73" s="53"/>
      <c r="F73" s="55"/>
      <c r="G73" s="53">
        <f>SUM(G69:G72)</f>
        <v>29.56426860005508</v>
      </c>
      <c r="H73" s="49" t="s">
        <v>17</v>
      </c>
      <c r="I73" s="53">
        <f>415.5</f>
        <v>415.5</v>
      </c>
      <c r="J73" s="53">
        <f>G73*I73</f>
        <v>12283.953603322885</v>
      </c>
      <c r="K73" s="50"/>
    </row>
    <row r="74" spans="1:11">
      <c r="A74" s="46"/>
      <c r="B74" s="61"/>
      <c r="C74" s="52"/>
      <c r="D74" s="53"/>
      <c r="E74" s="53"/>
      <c r="F74" s="55"/>
      <c r="G74" s="53"/>
      <c r="H74" s="49"/>
      <c r="I74" s="66"/>
      <c r="J74" s="53"/>
      <c r="K74" s="50"/>
    </row>
    <row r="75" spans="1:11" ht="30.75">
      <c r="A75" s="46">
        <v>10</v>
      </c>
      <c r="B75" s="80" t="s">
        <v>24</v>
      </c>
      <c r="C75" s="52"/>
      <c r="D75" s="49"/>
      <c r="E75" s="49"/>
      <c r="F75" s="53"/>
      <c r="G75" s="49"/>
      <c r="H75" s="55"/>
      <c r="I75" s="53"/>
      <c r="J75" s="49"/>
      <c r="K75" s="50"/>
    </row>
    <row r="76" spans="1:11">
      <c r="A76" s="46"/>
      <c r="B76" s="61" t="s">
        <v>74</v>
      </c>
      <c r="C76" s="52">
        <v>1</v>
      </c>
      <c r="D76" s="49">
        <f>'Size of water tank'!A3-'Size of water tank'!F3*2-'Size of water tank'!M3*2</f>
        <v>3.4034339124250739</v>
      </c>
      <c r="E76" s="49">
        <f>'Size of water tank'!B3-'Size of water tank'!F3*2-'Size of water tank'!M3*2</f>
        <v>3.2510413491821595</v>
      </c>
      <c r="F76" s="53"/>
      <c r="G76" s="53">
        <f t="shared" ref="G76:G81" si="7">PRODUCT(C76:F76)</f>
        <v>11.064704378502729</v>
      </c>
      <c r="H76" s="55"/>
      <c r="I76" s="95"/>
      <c r="J76" s="96"/>
      <c r="K76" s="50"/>
    </row>
    <row r="77" spans="1:11">
      <c r="A77" s="46"/>
      <c r="B77" s="63" t="s">
        <v>109</v>
      </c>
      <c r="C77" s="52">
        <v>1</v>
      </c>
      <c r="D77" s="49">
        <f>13.583/3.281</f>
        <v>4.1398963730569944</v>
      </c>
      <c r="E77" s="49">
        <f>16.75/3.281</f>
        <v>5.1051508686376099</v>
      </c>
      <c r="F77" s="53"/>
      <c r="G77" s="53">
        <f t="shared" si="7"/>
        <v>21.134795564981605</v>
      </c>
      <c r="H77" s="55"/>
      <c r="I77" s="53"/>
      <c r="J77" s="49"/>
      <c r="K77" s="50"/>
    </row>
    <row r="78" spans="1:11">
      <c r="A78" s="98"/>
      <c r="B78" s="106" t="s">
        <v>118</v>
      </c>
      <c r="C78" s="99">
        <v>1</v>
      </c>
      <c r="D78" s="100">
        <f>(30.083+29.917+16.083)/3.281</f>
        <v>23.188966778421211</v>
      </c>
      <c r="E78" s="100">
        <v>0.45</v>
      </c>
      <c r="F78" s="103"/>
      <c r="G78" s="53">
        <f t="shared" si="7"/>
        <v>10.435035050289546</v>
      </c>
      <c r="H78" s="104"/>
      <c r="I78" s="103"/>
      <c r="J78" s="100"/>
      <c r="K78" s="101"/>
    </row>
    <row r="79" spans="1:11">
      <c r="A79" s="98"/>
      <c r="B79" s="106"/>
      <c r="C79" s="99">
        <v>1</v>
      </c>
      <c r="D79" s="100">
        <f>21/3.281</f>
        <v>6.4004876562023769</v>
      </c>
      <c r="E79" s="100">
        <f>0.9</f>
        <v>0.9</v>
      </c>
      <c r="F79" s="103"/>
      <c r="G79" s="53">
        <f t="shared" si="7"/>
        <v>5.7604388905821393</v>
      </c>
      <c r="H79" s="104"/>
      <c r="I79" s="103"/>
      <c r="J79" s="100"/>
      <c r="K79" s="101"/>
    </row>
    <row r="80" spans="1:11">
      <c r="A80" s="98"/>
      <c r="B80" s="106"/>
      <c r="C80" s="99">
        <v>1</v>
      </c>
      <c r="D80" s="100">
        <f>(33.5+16.5)/3.281</f>
        <v>15.239256324291373</v>
      </c>
      <c r="E80" s="100">
        <v>0.6</v>
      </c>
      <c r="F80" s="103"/>
      <c r="G80" s="53">
        <f t="shared" si="7"/>
        <v>9.1435537945748244</v>
      </c>
      <c r="H80" s="104"/>
      <c r="I80" s="103"/>
      <c r="J80" s="100"/>
      <c r="K80" s="101"/>
    </row>
    <row r="81" spans="1:11">
      <c r="A81" s="98"/>
      <c r="B81" s="106"/>
      <c r="C81" s="99">
        <v>1</v>
      </c>
      <c r="D81" s="100">
        <f>33.917/3.281</f>
        <v>10.337397135019812</v>
      </c>
      <c r="E81" s="100">
        <v>0.6</v>
      </c>
      <c r="F81" s="103"/>
      <c r="G81" s="53">
        <f t="shared" si="7"/>
        <v>6.2024382810118865</v>
      </c>
      <c r="H81" s="104"/>
      <c r="I81" s="103"/>
      <c r="J81" s="100"/>
      <c r="K81" s="101"/>
    </row>
    <row r="82" spans="1:11">
      <c r="A82" s="46"/>
      <c r="B82" s="63"/>
      <c r="C82" s="52"/>
      <c r="D82" s="49"/>
      <c r="E82" s="49"/>
      <c r="F82" s="53"/>
      <c r="G82" s="49">
        <f>SUM(G76:G81)</f>
        <v>63.740965959942734</v>
      </c>
      <c r="H82" s="55" t="s">
        <v>17</v>
      </c>
      <c r="I82" s="53">
        <f>689.98</f>
        <v>689.98</v>
      </c>
      <c r="J82" s="49">
        <f>G82*I82</f>
        <v>43979.991693041287</v>
      </c>
      <c r="K82" s="50"/>
    </row>
    <row r="83" spans="1:11" ht="18" customHeight="1">
      <c r="A83" s="46"/>
      <c r="B83" s="61"/>
      <c r="C83" s="52"/>
      <c r="D83" s="53"/>
      <c r="E83" s="53"/>
      <c r="F83" s="55"/>
      <c r="G83" s="53"/>
      <c r="H83" s="49"/>
      <c r="I83" s="53"/>
      <c r="J83" s="53"/>
      <c r="K83" s="50"/>
    </row>
    <row r="84" spans="1:11" ht="30.75">
      <c r="A84" s="46">
        <v>11</v>
      </c>
      <c r="B84" s="80" t="s">
        <v>26</v>
      </c>
      <c r="C84" s="52"/>
      <c r="D84" s="49"/>
      <c r="E84" s="49"/>
      <c r="F84" s="49"/>
      <c r="G84" s="49"/>
      <c r="H84" s="49"/>
      <c r="I84" s="49"/>
      <c r="J84" s="49"/>
      <c r="K84" s="50"/>
    </row>
    <row r="85" spans="1:11">
      <c r="A85" s="46"/>
      <c r="B85" s="61" t="str">
        <f>B69</f>
        <v>-At shear wall</v>
      </c>
      <c r="C85" s="52">
        <f>C60</f>
        <v>2</v>
      </c>
      <c r="D85" s="49">
        <f>D69</f>
        <v>4.0130041653967288</v>
      </c>
      <c r="E85" s="49"/>
      <c r="F85" s="49">
        <f>F69</f>
        <v>1.3715330691862238</v>
      </c>
      <c r="G85" s="53">
        <f>PRODUCT(C85:F85)</f>
        <v>11.007935839247352</v>
      </c>
      <c r="H85" s="49"/>
      <c r="I85" s="49"/>
      <c r="J85" s="49"/>
      <c r="K85" s="50"/>
    </row>
    <row r="86" spans="1:11">
      <c r="A86" s="46"/>
      <c r="B86" s="61"/>
      <c r="C86" s="52">
        <f>C61</f>
        <v>2</v>
      </c>
      <c r="D86" s="49">
        <f>D70</f>
        <v>3.8606116021538144</v>
      </c>
      <c r="E86" s="49"/>
      <c r="F86" s="49">
        <f>F70</f>
        <v>1.3715330691862238</v>
      </c>
      <c r="G86" s="53">
        <f t="shared" ref="G86:G93" si="8">PRODUCT(C86:F86)</f>
        <v>10.589912959275932</v>
      </c>
      <c r="H86" s="49"/>
      <c r="I86" s="49"/>
      <c r="J86" s="49"/>
      <c r="K86" s="50"/>
    </row>
    <row r="87" spans="1:11">
      <c r="A87" s="46"/>
      <c r="B87" s="63" t="s">
        <v>71</v>
      </c>
      <c r="C87" s="52">
        <v>1</v>
      </c>
      <c r="D87" s="49">
        <f>D71</f>
        <v>14.528091029157777</v>
      </c>
      <c r="E87" s="49"/>
      <c r="F87" s="49">
        <f>F71</f>
        <v>0.43103125948585641</v>
      </c>
      <c r="G87" s="53">
        <f t="shared" si="8"/>
        <v>6.2620613742230482</v>
      </c>
      <c r="H87" s="49"/>
      <c r="I87" s="49"/>
      <c r="J87" s="49"/>
      <c r="K87" s="50"/>
    </row>
    <row r="88" spans="1:11">
      <c r="A88" s="46"/>
      <c r="B88" s="63" t="s">
        <v>76</v>
      </c>
      <c r="C88" s="52">
        <v>1</v>
      </c>
      <c r="D88" s="49">
        <f t="shared" ref="D88:E93" si="9">D76</f>
        <v>3.4034339124250739</v>
      </c>
      <c r="E88" s="49">
        <f t="shared" si="9"/>
        <v>3.2510413491821595</v>
      </c>
      <c r="F88" s="49"/>
      <c r="G88" s="53">
        <f t="shared" si="8"/>
        <v>11.064704378502729</v>
      </c>
      <c r="H88" s="49"/>
      <c r="I88" s="49"/>
      <c r="J88" s="49"/>
      <c r="K88" s="50"/>
    </row>
    <row r="89" spans="1:11">
      <c r="A89" s="46"/>
      <c r="B89" s="63" t="str">
        <f>B77</f>
        <v>-at roof of ward office</v>
      </c>
      <c r="C89" s="52">
        <f>C77</f>
        <v>1</v>
      </c>
      <c r="D89" s="49">
        <f t="shared" si="9"/>
        <v>4.1398963730569944</v>
      </c>
      <c r="E89" s="49">
        <f t="shared" si="9"/>
        <v>5.1051508686376099</v>
      </c>
      <c r="F89" s="49"/>
      <c r="G89" s="53">
        <f t="shared" si="8"/>
        <v>21.134795564981605</v>
      </c>
      <c r="H89" s="49"/>
      <c r="I89" s="49"/>
      <c r="J89" s="49"/>
      <c r="K89" s="50"/>
    </row>
    <row r="90" spans="1:11">
      <c r="A90" s="98"/>
      <c r="B90" s="106" t="str">
        <f>B78</f>
        <v>-at cantilever</v>
      </c>
      <c r="C90" s="99">
        <f>C78</f>
        <v>1</v>
      </c>
      <c r="D90" s="100">
        <f t="shared" si="9"/>
        <v>23.188966778421211</v>
      </c>
      <c r="E90" s="100">
        <f t="shared" si="9"/>
        <v>0.45</v>
      </c>
      <c r="F90" s="100"/>
      <c r="G90" s="53">
        <f t="shared" si="8"/>
        <v>10.435035050289546</v>
      </c>
      <c r="H90" s="100"/>
      <c r="I90" s="100"/>
      <c r="J90" s="100"/>
      <c r="K90" s="101"/>
    </row>
    <row r="91" spans="1:11">
      <c r="A91" s="98"/>
      <c r="B91" s="106"/>
      <c r="C91" s="99">
        <f>C79</f>
        <v>1</v>
      </c>
      <c r="D91" s="100">
        <f t="shared" si="9"/>
        <v>6.4004876562023769</v>
      </c>
      <c r="E91" s="100">
        <f t="shared" si="9"/>
        <v>0.9</v>
      </c>
      <c r="F91" s="100"/>
      <c r="G91" s="53">
        <f t="shared" si="8"/>
        <v>5.7604388905821393</v>
      </c>
      <c r="H91" s="100"/>
      <c r="I91" s="100"/>
      <c r="J91" s="100"/>
      <c r="K91" s="101"/>
    </row>
    <row r="92" spans="1:11">
      <c r="A92" s="98"/>
      <c r="B92" s="106"/>
      <c r="C92" s="99">
        <f>C80</f>
        <v>1</v>
      </c>
      <c r="D92" s="100">
        <f t="shared" si="9"/>
        <v>15.239256324291373</v>
      </c>
      <c r="E92" s="100">
        <f t="shared" si="9"/>
        <v>0.6</v>
      </c>
      <c r="F92" s="100"/>
      <c r="G92" s="53">
        <f t="shared" si="8"/>
        <v>9.1435537945748244</v>
      </c>
      <c r="H92" s="100"/>
      <c r="I92" s="100"/>
      <c r="J92" s="100"/>
      <c r="K92" s="101"/>
    </row>
    <row r="93" spans="1:11">
      <c r="A93" s="98"/>
      <c r="B93" s="106"/>
      <c r="C93" s="99">
        <f>C81</f>
        <v>1</v>
      </c>
      <c r="D93" s="100">
        <f t="shared" si="9"/>
        <v>10.337397135019812</v>
      </c>
      <c r="E93" s="100">
        <f t="shared" si="9"/>
        <v>0.6</v>
      </c>
      <c r="F93" s="100"/>
      <c r="G93" s="53">
        <f t="shared" si="8"/>
        <v>6.2024382810118865</v>
      </c>
      <c r="H93" s="100"/>
      <c r="I93" s="100"/>
      <c r="J93" s="100"/>
      <c r="K93" s="101"/>
    </row>
    <row r="94" spans="1:11">
      <c r="A94" s="46"/>
      <c r="B94" s="61"/>
      <c r="C94" s="52"/>
      <c r="D94" s="49"/>
      <c r="E94" s="49"/>
      <c r="F94" s="49"/>
      <c r="G94" s="49">
        <f>SUM(G85:G93)</f>
        <v>91.600876132689052</v>
      </c>
      <c r="H94" s="49" t="s">
        <v>17</v>
      </c>
      <c r="I94" s="49">
        <f>287.32</f>
        <v>287.32</v>
      </c>
      <c r="J94" s="49">
        <f>G94*I94</f>
        <v>26318.763730444218</v>
      </c>
      <c r="K94" s="50"/>
    </row>
    <row r="95" spans="1:11">
      <c r="A95" s="46"/>
      <c r="B95" s="61"/>
      <c r="C95" s="52"/>
      <c r="D95" s="49"/>
      <c r="E95" s="49"/>
      <c r="F95" s="49"/>
      <c r="G95" s="49"/>
      <c r="H95" s="49"/>
      <c r="I95" s="49"/>
      <c r="J95" s="49"/>
      <c r="K95" s="50"/>
    </row>
    <row r="96" spans="1:11" ht="33" customHeight="1">
      <c r="A96" s="46">
        <v>12</v>
      </c>
      <c r="B96" s="65" t="s">
        <v>28</v>
      </c>
      <c r="C96" s="52">
        <v>1</v>
      </c>
      <c r="D96" s="53"/>
      <c r="E96" s="53"/>
      <c r="F96" s="55"/>
      <c r="G96" s="53">
        <f t="shared" ref="G96" si="10">PRODUCT(C96:F96)</f>
        <v>1</v>
      </c>
      <c r="H96" s="49" t="s">
        <v>21</v>
      </c>
      <c r="I96" s="53">
        <v>4659</v>
      </c>
      <c r="J96" s="53">
        <f>G96*I96</f>
        <v>4659</v>
      </c>
      <c r="K96" s="50"/>
    </row>
    <row r="97" spans="1:11">
      <c r="A97" s="46"/>
      <c r="B97" s="65"/>
      <c r="C97" s="52"/>
      <c r="D97" s="53"/>
      <c r="E97" s="53"/>
      <c r="F97" s="55"/>
      <c r="G97" s="53"/>
      <c r="H97" s="49"/>
      <c r="I97" s="53"/>
      <c r="J97" s="53"/>
      <c r="K97" s="50"/>
    </row>
    <row r="98" spans="1:11" ht="30.75">
      <c r="A98" s="46">
        <v>13</v>
      </c>
      <c r="B98" s="80" t="s">
        <v>77</v>
      </c>
      <c r="C98" s="52"/>
      <c r="D98" s="49"/>
      <c r="E98" s="49"/>
      <c r="F98" s="49"/>
      <c r="G98" s="49"/>
      <c r="H98" s="49"/>
      <c r="I98" s="49"/>
      <c r="J98" s="49"/>
      <c r="K98" s="50"/>
    </row>
    <row r="99" spans="1:11">
      <c r="A99" s="46"/>
      <c r="B99" s="63" t="s">
        <v>107</v>
      </c>
      <c r="C99" s="52">
        <v>1</v>
      </c>
      <c r="D99" s="49">
        <f>G94</f>
        <v>91.600876132689052</v>
      </c>
      <c r="E99" s="49"/>
      <c r="F99" s="49"/>
      <c r="G99" s="53">
        <f t="shared" ref="G99" si="11">PRODUCT(C99:F99)</f>
        <v>91.600876132689052</v>
      </c>
      <c r="H99" s="49"/>
      <c r="I99" s="49"/>
      <c r="J99" s="49"/>
      <c r="K99" s="50"/>
    </row>
    <row r="100" spans="1:11">
      <c r="A100" s="46"/>
      <c r="B100" s="61"/>
      <c r="C100" s="52"/>
      <c r="D100" s="49"/>
      <c r="E100" s="49"/>
      <c r="F100" s="49"/>
      <c r="G100" s="49">
        <f>SUM(G99:G99)</f>
        <v>91.600876132689052</v>
      </c>
      <c r="H100" s="49" t="s">
        <v>17</v>
      </c>
      <c r="I100" s="49">
        <f>452.86</f>
        <v>452.86</v>
      </c>
      <c r="J100" s="49">
        <f>G100*I100</f>
        <v>41482.372765449567</v>
      </c>
      <c r="K100" s="50"/>
    </row>
    <row r="101" spans="1:11" s="94" customFormat="1">
      <c r="A101" s="46"/>
      <c r="B101" s="61"/>
      <c r="C101" s="52"/>
      <c r="D101" s="49"/>
      <c r="E101" s="49"/>
      <c r="F101" s="49"/>
      <c r="G101" s="49"/>
      <c r="H101" s="49"/>
      <c r="I101" s="49"/>
      <c r="J101" s="49"/>
      <c r="K101" s="50"/>
    </row>
    <row r="102" spans="1:11" ht="30.75">
      <c r="A102" s="46">
        <v>14</v>
      </c>
      <c r="B102" s="80" t="s">
        <v>110</v>
      </c>
      <c r="C102" s="52"/>
      <c r="D102" s="49"/>
      <c r="E102" s="49"/>
      <c r="F102" s="49"/>
      <c r="G102" s="49"/>
      <c r="H102" s="49"/>
      <c r="I102" s="49"/>
      <c r="J102" s="49"/>
      <c r="K102" s="50"/>
    </row>
    <row r="103" spans="1:11">
      <c r="A103" s="46"/>
      <c r="B103" s="63" t="s">
        <v>92</v>
      </c>
      <c r="C103" s="52">
        <v>3</v>
      </c>
      <c r="D103" s="49">
        <f>2.33/3.281</f>
        <v>0.71014934471197799</v>
      </c>
      <c r="E103" s="49">
        <v>0.1</v>
      </c>
      <c r="F103" s="49">
        <v>0.8</v>
      </c>
      <c r="G103" s="53">
        <f t="shared" ref="G103" si="12">PRODUCT(C103:F103)</f>
        <v>0.17043584273087475</v>
      </c>
      <c r="H103" s="49"/>
      <c r="I103" s="49"/>
      <c r="J103" s="49"/>
      <c r="K103" s="50"/>
    </row>
    <row r="104" spans="1:11">
      <c r="A104" s="46"/>
      <c r="B104" s="61"/>
      <c r="C104" s="52"/>
      <c r="D104" s="49"/>
      <c r="E104" s="49"/>
      <c r="F104" s="49"/>
      <c r="G104" s="49">
        <f>SUM(G103:G103)</f>
        <v>0.17043584273087475</v>
      </c>
      <c r="H104" s="49" t="s">
        <v>18</v>
      </c>
      <c r="I104" s="49">
        <f>15170.83</f>
        <v>15170.83</v>
      </c>
      <c r="J104" s="49">
        <f>G104*I104</f>
        <v>2585.6531959768367</v>
      </c>
      <c r="K104" s="50"/>
    </row>
    <row r="105" spans="1:11" s="94" customFormat="1">
      <c r="A105" s="46"/>
      <c r="B105" s="61"/>
      <c r="C105" s="52"/>
      <c r="D105" s="49"/>
      <c r="E105" s="49"/>
      <c r="F105" s="49"/>
      <c r="G105" s="49"/>
      <c r="H105" s="49"/>
      <c r="I105" s="49"/>
      <c r="J105" s="49"/>
      <c r="K105" s="50"/>
    </row>
    <row r="106" spans="1:11" ht="30">
      <c r="A106" s="46">
        <v>15</v>
      </c>
      <c r="B106" s="102" t="s">
        <v>113</v>
      </c>
      <c r="C106" s="102"/>
      <c r="D106" s="49"/>
      <c r="E106" s="49"/>
      <c r="F106" s="49"/>
      <c r="G106" s="49"/>
      <c r="H106" s="49"/>
      <c r="I106" s="49"/>
      <c r="J106" s="49"/>
      <c r="K106" s="50"/>
    </row>
    <row r="107" spans="1:11">
      <c r="A107" s="46"/>
      <c r="B107" s="63" t="s">
        <v>92</v>
      </c>
      <c r="C107" s="52">
        <f>1</f>
        <v>1</v>
      </c>
      <c r="D107" s="100">
        <f>5/3.281</f>
        <v>1.5239256324291375</v>
      </c>
      <c r="E107" s="49">
        <f>2.33/3.281</f>
        <v>0.71014934471197799</v>
      </c>
      <c r="F107" s="49"/>
      <c r="G107" s="53">
        <f t="shared" ref="G107" si="13">PRODUCT(C107:F107)</f>
        <v>1.0822147892593386</v>
      </c>
      <c r="H107" s="49"/>
      <c r="I107" s="49"/>
      <c r="J107" s="49"/>
      <c r="K107" s="50"/>
    </row>
    <row r="108" spans="1:11">
      <c r="A108" s="46"/>
      <c r="B108" s="61"/>
      <c r="C108" s="52"/>
      <c r="D108" s="49"/>
      <c r="E108" s="49"/>
      <c r="F108" s="49"/>
      <c r="G108" s="49">
        <f>SUM(G107:G107)</f>
        <v>1.0822147892593386</v>
      </c>
      <c r="H108" s="49" t="s">
        <v>17</v>
      </c>
      <c r="I108" s="49">
        <f>7012.25</f>
        <v>7012.25</v>
      </c>
      <c r="J108" s="49">
        <f>G108*I108</f>
        <v>7588.7606559837968</v>
      </c>
      <c r="K108" s="50"/>
    </row>
    <row r="109" spans="1:11" s="94" customFormat="1">
      <c r="A109" s="46"/>
      <c r="B109" s="61"/>
      <c r="C109" s="52"/>
      <c r="D109" s="49"/>
      <c r="E109" s="49"/>
      <c r="F109" s="49"/>
      <c r="G109" s="49"/>
      <c r="H109" s="49"/>
      <c r="I109" s="49"/>
      <c r="J109" s="49"/>
      <c r="K109" s="50"/>
    </row>
    <row r="110" spans="1:11" ht="69">
      <c r="A110" s="46">
        <v>16</v>
      </c>
      <c r="B110" s="108" t="s">
        <v>111</v>
      </c>
      <c r="C110" s="108"/>
      <c r="D110" s="49"/>
      <c r="E110" s="49"/>
      <c r="F110" s="49"/>
      <c r="G110" s="49"/>
      <c r="H110" s="49"/>
      <c r="I110" s="49"/>
      <c r="J110" s="49"/>
      <c r="K110" s="50"/>
    </row>
    <row r="111" spans="1:11">
      <c r="A111" s="46"/>
      <c r="B111" s="63" t="s">
        <v>92</v>
      </c>
      <c r="C111" s="52">
        <v>1</v>
      </c>
      <c r="D111" s="49">
        <v>3.23</v>
      </c>
      <c r="E111" s="49">
        <f>13.33/3.281</f>
        <v>4.06278573605608</v>
      </c>
      <c r="F111" s="49"/>
      <c r="G111" s="53">
        <f>PRODUCT(C111:F111)</f>
        <v>13.122797927461137</v>
      </c>
      <c r="H111" s="49"/>
      <c r="I111" s="49"/>
      <c r="J111" s="49"/>
      <c r="K111" s="50"/>
    </row>
    <row r="112" spans="1:11">
      <c r="A112" s="46"/>
      <c r="B112" s="63" t="s">
        <v>112</v>
      </c>
      <c r="C112" s="52">
        <v>-1</v>
      </c>
      <c r="D112" s="49">
        <f>5/3.281</f>
        <v>1.5239256324291375</v>
      </c>
      <c r="E112" s="49" t="e">
        <f>#REF!</f>
        <v>#REF!</v>
      </c>
      <c r="F112" s="49"/>
      <c r="G112" s="53" t="e">
        <f>PRODUCT(C112:F112)</f>
        <v>#REF!</v>
      </c>
      <c r="H112" s="49"/>
      <c r="I112" s="49"/>
      <c r="J112" s="49"/>
      <c r="K112" s="50"/>
    </row>
    <row r="113" spans="1:11">
      <c r="A113" s="46"/>
      <c r="B113" s="63" t="s">
        <v>114</v>
      </c>
      <c r="C113" s="52">
        <v>1</v>
      </c>
      <c r="D113" s="49">
        <f>D112</f>
        <v>1.5239256324291375</v>
      </c>
      <c r="E113" s="49">
        <f>2.5/3.281</f>
        <v>0.76196281621456874</v>
      </c>
      <c r="F113" s="49"/>
      <c r="G113" s="53">
        <f>PRODUCT(C113:F113)</f>
        <v>1.1611746665872733</v>
      </c>
      <c r="H113" s="49"/>
      <c r="I113" s="49"/>
      <c r="J113" s="49"/>
      <c r="K113" s="50"/>
    </row>
    <row r="114" spans="1:11">
      <c r="A114" s="46"/>
      <c r="B114" s="61"/>
      <c r="C114" s="52"/>
      <c r="D114" s="49"/>
      <c r="E114" s="49"/>
      <c r="F114" s="49"/>
      <c r="G114" s="49" t="e">
        <f>SUM(G111:G113)</f>
        <v>#REF!</v>
      </c>
      <c r="H114" s="49" t="s">
        <v>17</v>
      </c>
      <c r="I114" s="49">
        <v>2988.15</v>
      </c>
      <c r="J114" s="49" t="e">
        <f>G114*I114</f>
        <v>#REF!</v>
      </c>
      <c r="K114" s="50"/>
    </row>
    <row r="115" spans="1:11">
      <c r="A115" s="57">
        <v>17</v>
      </c>
      <c r="B115" s="82" t="s">
        <v>115</v>
      </c>
      <c r="C115" s="58"/>
      <c r="D115" s="59"/>
      <c r="E115" s="59"/>
      <c r="F115" s="55"/>
      <c r="G115" s="59"/>
      <c r="H115" s="55"/>
      <c r="I115" s="59"/>
      <c r="J115" s="59"/>
      <c r="K115" s="50"/>
    </row>
    <row r="116" spans="1:11">
      <c r="A116" s="57"/>
      <c r="B116" s="60" t="s">
        <v>117</v>
      </c>
      <c r="C116" s="58">
        <v>50</v>
      </c>
      <c r="D116" s="59">
        <f>2.5/3.281</f>
        <v>0.76196281621456874</v>
      </c>
      <c r="E116" s="59">
        <f>2.5/12/3.281</f>
        <v>6.3496901351214066E-2</v>
      </c>
      <c r="F116" s="55"/>
      <c r="G116" s="59">
        <f>C116*(2*(D116/2)*PI())*E116</f>
        <v>7.5998704210107402</v>
      </c>
      <c r="H116" s="55"/>
      <c r="I116" s="59"/>
      <c r="J116" s="59"/>
      <c r="K116" s="50"/>
    </row>
    <row r="117" spans="1:11">
      <c r="A117" s="57"/>
      <c r="B117" s="50"/>
      <c r="C117" s="58"/>
      <c r="D117" s="59"/>
      <c r="E117" s="59"/>
      <c r="F117" s="55"/>
      <c r="G117" s="59">
        <f>SUM(G116)</f>
        <v>7.5998704210107402</v>
      </c>
      <c r="H117" s="55" t="s">
        <v>17</v>
      </c>
      <c r="I117" s="59">
        <f>1834.54</f>
        <v>1834.54</v>
      </c>
      <c r="J117" s="59">
        <f>G117*I117</f>
        <v>13942.266282161043</v>
      </c>
      <c r="K117" s="50"/>
    </row>
    <row r="118" spans="1:11">
      <c r="A118" s="46"/>
      <c r="B118" s="48"/>
      <c r="C118" s="52"/>
      <c r="D118" s="53"/>
      <c r="E118" s="53"/>
      <c r="F118" s="55"/>
      <c r="G118" s="53"/>
      <c r="H118" s="49"/>
      <c r="I118" s="53"/>
      <c r="J118" s="53"/>
      <c r="K118" s="50"/>
    </row>
    <row r="119" spans="1:11" ht="45.75">
      <c r="A119" s="46">
        <v>18</v>
      </c>
      <c r="B119" s="80" t="s">
        <v>139</v>
      </c>
      <c r="C119" s="52"/>
      <c r="D119" s="49"/>
      <c r="E119" s="49"/>
      <c r="F119" s="49"/>
      <c r="G119" s="49"/>
      <c r="H119" s="49"/>
      <c r="I119" s="49"/>
      <c r="J119" s="49"/>
      <c r="K119" s="50"/>
    </row>
    <row r="120" spans="1:11">
      <c r="A120" s="46"/>
      <c r="B120" s="63" t="s">
        <v>83</v>
      </c>
      <c r="C120" s="52">
        <v>2</v>
      </c>
      <c r="D120" s="49">
        <v>3.415</v>
      </c>
      <c r="E120" s="49"/>
      <c r="F120" s="49">
        <v>1.43</v>
      </c>
      <c r="G120" s="53">
        <f>PRODUCT(C120:F120)</f>
        <v>9.7668999999999997</v>
      </c>
      <c r="H120" s="49"/>
      <c r="I120" s="49"/>
      <c r="J120" s="49"/>
      <c r="K120" s="50"/>
    </row>
    <row r="121" spans="1:11">
      <c r="A121" s="46"/>
      <c r="B121" s="63"/>
      <c r="C121" s="52">
        <v>2</v>
      </c>
      <c r="D121" s="49">
        <f>0.48*2</f>
        <v>0.96</v>
      </c>
      <c r="E121" s="49"/>
      <c r="F121" s="49">
        <v>2.2000000000000002</v>
      </c>
      <c r="G121" s="53">
        <f t="shared" ref="G121:G153" si="14">PRODUCT(C121:F121)</f>
        <v>4.2240000000000002</v>
      </c>
      <c r="H121" s="49"/>
      <c r="I121" s="49"/>
      <c r="J121" s="49"/>
      <c r="K121" s="50"/>
    </row>
    <row r="122" spans="1:11">
      <c r="A122" s="46"/>
      <c r="B122" s="63"/>
      <c r="C122" s="52">
        <v>2</v>
      </c>
      <c r="D122" s="49">
        <v>4</v>
      </c>
      <c r="E122" s="49"/>
      <c r="F122" s="49">
        <v>1.39</v>
      </c>
      <c r="G122" s="53">
        <f t="shared" si="14"/>
        <v>11.12</v>
      </c>
      <c r="H122" s="49"/>
      <c r="I122" s="49"/>
      <c r="J122" s="49"/>
      <c r="K122" s="50"/>
    </row>
    <row r="123" spans="1:11">
      <c r="A123" s="46"/>
      <c r="B123" s="63"/>
      <c r="C123" s="52">
        <v>2</v>
      </c>
      <c r="D123" s="49">
        <f>0.48*2</f>
        <v>0.96</v>
      </c>
      <c r="E123" s="49"/>
      <c r="F123" s="49">
        <v>2.2000000000000002</v>
      </c>
      <c r="G123" s="53">
        <f t="shared" si="14"/>
        <v>4.2240000000000002</v>
      </c>
      <c r="H123" s="49"/>
      <c r="I123" s="49"/>
      <c r="J123" s="49"/>
      <c r="K123" s="50"/>
    </row>
    <row r="124" spans="1:11">
      <c r="A124" s="46"/>
      <c r="B124" s="63"/>
      <c r="C124" s="52">
        <v>2</v>
      </c>
      <c r="D124" s="49">
        <v>3.91</v>
      </c>
      <c r="E124" s="49"/>
      <c r="F124" s="49">
        <v>1.3</v>
      </c>
      <c r="G124" s="53">
        <f t="shared" si="14"/>
        <v>10.166</v>
      </c>
      <c r="H124" s="49"/>
      <c r="I124" s="49"/>
      <c r="J124" s="49"/>
      <c r="K124" s="50"/>
    </row>
    <row r="125" spans="1:11">
      <c r="A125" s="46"/>
      <c r="B125" s="63"/>
      <c r="C125" s="52">
        <v>2</v>
      </c>
      <c r="D125" s="49">
        <f>0.48*2</f>
        <v>0.96</v>
      </c>
      <c r="E125" s="49"/>
      <c r="F125" s="49">
        <v>2.31</v>
      </c>
      <c r="G125" s="53">
        <f t="shared" si="14"/>
        <v>4.4352</v>
      </c>
      <c r="H125" s="49"/>
      <c r="I125" s="49"/>
      <c r="J125" s="49"/>
      <c r="K125" s="50"/>
    </row>
    <row r="126" spans="1:11">
      <c r="A126" s="46"/>
      <c r="B126" s="63"/>
      <c r="C126" s="52">
        <v>2</v>
      </c>
      <c r="D126" s="49">
        <v>3.96</v>
      </c>
      <c r="E126" s="49"/>
      <c r="F126" s="49">
        <v>1.37</v>
      </c>
      <c r="G126" s="53">
        <f t="shared" si="14"/>
        <v>10.8504</v>
      </c>
      <c r="H126" s="49"/>
      <c r="I126" s="49"/>
      <c r="J126" s="49"/>
      <c r="K126" s="50"/>
    </row>
    <row r="127" spans="1:11">
      <c r="A127" s="46"/>
      <c r="B127" s="63"/>
      <c r="C127" s="52">
        <v>2</v>
      </c>
      <c r="D127" s="49">
        <f>0.48*2</f>
        <v>0.96</v>
      </c>
      <c r="E127" s="49"/>
      <c r="F127" s="49">
        <v>2.29</v>
      </c>
      <c r="G127" s="53">
        <f t="shared" si="14"/>
        <v>4.3967999999999998</v>
      </c>
      <c r="H127" s="49"/>
      <c r="I127" s="49"/>
      <c r="J127" s="49"/>
      <c r="K127" s="50"/>
    </row>
    <row r="128" spans="1:11">
      <c r="A128" s="46"/>
      <c r="B128" s="63"/>
      <c r="C128" s="52">
        <v>2</v>
      </c>
      <c r="D128" s="49">
        <v>3.875</v>
      </c>
      <c r="E128" s="49"/>
      <c r="F128" s="49">
        <v>1.2649999999999999</v>
      </c>
      <c r="G128" s="53">
        <f t="shared" si="14"/>
        <v>9.8037499999999991</v>
      </c>
      <c r="H128" s="49"/>
      <c r="I128" s="49"/>
      <c r="J128" s="49"/>
      <c r="K128" s="50"/>
    </row>
    <row r="129" spans="1:11">
      <c r="A129" s="46"/>
      <c r="B129" s="63"/>
      <c r="C129" s="52">
        <v>2</v>
      </c>
      <c r="D129" s="49">
        <f>0.48*2</f>
        <v>0.96</v>
      </c>
      <c r="E129" s="49"/>
      <c r="F129" s="49">
        <v>2.19</v>
      </c>
      <c r="G129" s="53">
        <f t="shared" si="14"/>
        <v>4.2047999999999996</v>
      </c>
      <c r="H129" s="49"/>
      <c r="I129" s="49"/>
      <c r="J129" s="49"/>
      <c r="K129" s="50"/>
    </row>
    <row r="130" spans="1:11">
      <c r="A130" s="46"/>
      <c r="B130" s="63"/>
      <c r="C130" s="52">
        <v>2</v>
      </c>
      <c r="D130" s="49">
        <v>3.69</v>
      </c>
      <c r="E130" s="49"/>
      <c r="F130" s="49">
        <v>1.28</v>
      </c>
      <c r="G130" s="53">
        <f t="shared" si="14"/>
        <v>9.4464000000000006</v>
      </c>
      <c r="H130" s="49"/>
      <c r="I130" s="49"/>
      <c r="J130" s="49"/>
      <c r="K130" s="50"/>
    </row>
    <row r="131" spans="1:11">
      <c r="A131" s="46"/>
      <c r="B131" s="63"/>
      <c r="C131" s="52">
        <v>2</v>
      </c>
      <c r="D131" s="49">
        <f>0.48*2</f>
        <v>0.96</v>
      </c>
      <c r="E131" s="49"/>
      <c r="F131" s="49">
        <v>2.19</v>
      </c>
      <c r="G131" s="53">
        <f t="shared" si="14"/>
        <v>4.2047999999999996</v>
      </c>
      <c r="H131" s="49"/>
      <c r="I131" s="49"/>
      <c r="J131" s="49"/>
      <c r="K131" s="50"/>
    </row>
    <row r="132" spans="1:11">
      <c r="A132" s="46"/>
      <c r="B132" s="63"/>
      <c r="C132" s="52">
        <v>2</v>
      </c>
      <c r="D132" s="49">
        <f>1.73+2.44</f>
        <v>4.17</v>
      </c>
      <c r="E132" s="49"/>
      <c r="F132" s="49">
        <v>1.1200000000000001</v>
      </c>
      <c r="G132" s="53">
        <f t="shared" si="14"/>
        <v>9.3408000000000015</v>
      </c>
      <c r="H132" s="49"/>
      <c r="I132" s="49"/>
      <c r="J132" s="49"/>
      <c r="K132" s="50"/>
    </row>
    <row r="133" spans="1:11">
      <c r="A133" s="46"/>
      <c r="B133" s="63"/>
      <c r="C133" s="52">
        <v>2</v>
      </c>
      <c r="D133" s="49">
        <f>0.34*2</f>
        <v>0.68</v>
      </c>
      <c r="E133" s="49"/>
      <c r="F133" s="49">
        <v>2.2599999999999998</v>
      </c>
      <c r="G133" s="53">
        <f t="shared" si="14"/>
        <v>3.0735999999999999</v>
      </c>
      <c r="H133" s="49"/>
      <c r="I133" s="49"/>
      <c r="J133" s="49"/>
      <c r="K133" s="50"/>
    </row>
    <row r="134" spans="1:11">
      <c r="A134" s="46"/>
      <c r="B134" s="63"/>
      <c r="C134" s="52">
        <v>2</v>
      </c>
      <c r="D134" s="49">
        <f>0.34*2</f>
        <v>0.68</v>
      </c>
      <c r="E134" s="49"/>
      <c r="F134" s="49">
        <v>2.15</v>
      </c>
      <c r="G134" s="53">
        <f t="shared" si="14"/>
        <v>2.9239999999999999</v>
      </c>
      <c r="H134" s="49"/>
      <c r="I134" s="49"/>
      <c r="J134" s="49"/>
      <c r="K134" s="50"/>
    </row>
    <row r="135" spans="1:11">
      <c r="A135" s="46"/>
      <c r="B135" s="63"/>
      <c r="C135" s="52">
        <v>2</v>
      </c>
      <c r="D135" s="49">
        <v>2.5</v>
      </c>
      <c r="E135" s="49"/>
      <c r="F135" s="49">
        <v>1.1599999999999999</v>
      </c>
      <c r="G135" s="53">
        <f t="shared" si="14"/>
        <v>5.8</v>
      </c>
      <c r="H135" s="49"/>
      <c r="I135" s="49"/>
      <c r="J135" s="49"/>
      <c r="K135" s="50"/>
    </row>
    <row r="136" spans="1:11">
      <c r="A136" s="46"/>
      <c r="B136" s="63"/>
      <c r="C136" s="52">
        <v>2</v>
      </c>
      <c r="D136" s="49">
        <f>0.48*2</f>
        <v>0.96</v>
      </c>
      <c r="E136" s="49"/>
      <c r="F136" s="49">
        <v>2.1800000000000002</v>
      </c>
      <c r="G136" s="53">
        <f t="shared" si="14"/>
        <v>4.1856</v>
      </c>
      <c r="H136" s="49"/>
      <c r="I136" s="49"/>
      <c r="J136" s="49"/>
      <c r="K136" s="50"/>
    </row>
    <row r="137" spans="1:11">
      <c r="A137" s="46"/>
      <c r="B137" s="63"/>
      <c r="C137" s="52">
        <v>2</v>
      </c>
      <c r="D137" s="49">
        <v>3.94</v>
      </c>
      <c r="E137" s="49"/>
      <c r="F137" s="49">
        <v>1.2</v>
      </c>
      <c r="G137" s="53">
        <f t="shared" si="14"/>
        <v>9.4559999999999995</v>
      </c>
      <c r="H137" s="49"/>
      <c r="I137" s="49"/>
      <c r="J137" s="49"/>
      <c r="K137" s="50"/>
    </row>
    <row r="138" spans="1:11">
      <c r="A138" s="46"/>
      <c r="B138" s="63"/>
      <c r="C138" s="52">
        <v>2</v>
      </c>
      <c r="D138" s="49">
        <f>0.48*2</f>
        <v>0.96</v>
      </c>
      <c r="E138" s="49"/>
      <c r="F138" s="49">
        <v>2.15</v>
      </c>
      <c r="G138" s="53">
        <f t="shared" si="14"/>
        <v>4.1280000000000001</v>
      </c>
      <c r="H138" s="49"/>
      <c r="I138" s="49"/>
      <c r="J138" s="49"/>
      <c r="K138" s="50"/>
    </row>
    <row r="139" spans="1:11">
      <c r="A139" s="46"/>
      <c r="B139" s="63"/>
      <c r="C139" s="52">
        <v>2</v>
      </c>
      <c r="D139" s="49">
        <v>4</v>
      </c>
      <c r="E139" s="49"/>
      <c r="F139" s="49">
        <v>1.1499999999999999</v>
      </c>
      <c r="G139" s="53">
        <f t="shared" si="14"/>
        <v>9.1999999999999993</v>
      </c>
      <c r="H139" s="49"/>
      <c r="I139" s="49"/>
      <c r="J139" s="49"/>
      <c r="K139" s="50"/>
    </row>
    <row r="140" spans="1:11">
      <c r="A140" s="46"/>
      <c r="B140" s="63"/>
      <c r="C140" s="52">
        <v>2</v>
      </c>
      <c r="D140" s="49">
        <f>0.48*2</f>
        <v>0.96</v>
      </c>
      <c r="E140" s="49"/>
      <c r="F140" s="49">
        <v>2.08</v>
      </c>
      <c r="G140" s="53">
        <f t="shared" si="14"/>
        <v>3.9935999999999998</v>
      </c>
      <c r="H140" s="49"/>
      <c r="I140" s="49"/>
      <c r="J140" s="49"/>
      <c r="K140" s="50"/>
    </row>
    <row r="141" spans="1:11">
      <c r="A141" s="46"/>
      <c r="B141" s="63"/>
      <c r="C141" s="52">
        <v>2</v>
      </c>
      <c r="D141" s="49">
        <v>3.97</v>
      </c>
      <c r="E141" s="49"/>
      <c r="F141" s="49">
        <v>1.25</v>
      </c>
      <c r="G141" s="53">
        <f t="shared" si="14"/>
        <v>9.9250000000000007</v>
      </c>
      <c r="H141" s="49"/>
      <c r="I141" s="49"/>
      <c r="J141" s="49"/>
      <c r="K141" s="50"/>
    </row>
    <row r="142" spans="1:11">
      <c r="A142" s="46"/>
      <c r="B142" s="63"/>
      <c r="C142" s="52">
        <v>2</v>
      </c>
      <c r="D142" s="49">
        <f>0.48*2</f>
        <v>0.96</v>
      </c>
      <c r="E142" s="49"/>
      <c r="F142" s="49">
        <v>2.25</v>
      </c>
      <c r="G142" s="53">
        <f t="shared" si="14"/>
        <v>4.32</v>
      </c>
      <c r="H142" s="49"/>
      <c r="I142" s="49"/>
      <c r="J142" s="49"/>
      <c r="K142" s="50"/>
    </row>
    <row r="143" spans="1:11">
      <c r="A143" s="46"/>
      <c r="B143" s="63"/>
      <c r="C143" s="52">
        <v>2</v>
      </c>
      <c r="D143" s="49">
        <v>4</v>
      </c>
      <c r="E143" s="49"/>
      <c r="F143" s="49">
        <v>1.23</v>
      </c>
      <c r="G143" s="53">
        <f t="shared" si="14"/>
        <v>9.84</v>
      </c>
      <c r="H143" s="49"/>
      <c r="I143" s="49"/>
      <c r="J143" s="49"/>
      <c r="K143" s="50"/>
    </row>
    <row r="144" spans="1:11">
      <c r="A144" s="46"/>
      <c r="B144" s="63"/>
      <c r="C144" s="52">
        <v>2</v>
      </c>
      <c r="D144" s="49">
        <f>0.48*2</f>
        <v>0.96</v>
      </c>
      <c r="E144" s="49"/>
      <c r="F144" s="49">
        <v>2.25</v>
      </c>
      <c r="G144" s="53">
        <f t="shared" si="14"/>
        <v>4.32</v>
      </c>
      <c r="H144" s="49"/>
      <c r="I144" s="49"/>
      <c r="J144" s="49"/>
      <c r="K144" s="50"/>
    </row>
    <row r="145" spans="1:11">
      <c r="A145" s="46"/>
      <c r="B145" s="63"/>
      <c r="C145" s="52">
        <v>2</v>
      </c>
      <c r="D145" s="49">
        <v>4.0599999999999996</v>
      </c>
      <c r="E145" s="49"/>
      <c r="F145" s="49">
        <v>1.32</v>
      </c>
      <c r="G145" s="53">
        <f t="shared" si="14"/>
        <v>10.718399999999999</v>
      </c>
      <c r="H145" s="49"/>
      <c r="I145" s="49"/>
      <c r="J145" s="49"/>
      <c r="K145" s="50"/>
    </row>
    <row r="146" spans="1:11">
      <c r="A146" s="46"/>
      <c r="B146" s="63"/>
      <c r="C146" s="52">
        <v>2</v>
      </c>
      <c r="D146" s="49">
        <f>0.48*2</f>
        <v>0.96</v>
      </c>
      <c r="E146" s="49"/>
      <c r="F146" s="49">
        <v>2.1800000000000002</v>
      </c>
      <c r="G146" s="53">
        <f t="shared" si="14"/>
        <v>4.1856</v>
      </c>
      <c r="H146" s="49"/>
      <c r="I146" s="49"/>
      <c r="J146" s="49"/>
      <c r="K146" s="50"/>
    </row>
    <row r="147" spans="1:11">
      <c r="A147" s="46"/>
      <c r="B147" s="63"/>
      <c r="C147" s="52">
        <v>2</v>
      </c>
      <c r="D147" s="49">
        <f>3.92</f>
        <v>3.92</v>
      </c>
      <c r="E147" s="49"/>
      <c r="F147" s="49">
        <v>1.32</v>
      </c>
      <c r="G147" s="53">
        <f t="shared" si="14"/>
        <v>10.348800000000001</v>
      </c>
      <c r="H147" s="49"/>
      <c r="I147" s="49"/>
      <c r="J147" s="49"/>
      <c r="K147" s="50"/>
    </row>
    <row r="148" spans="1:11">
      <c r="A148" s="46"/>
      <c r="B148" s="63"/>
      <c r="C148" s="52">
        <v>2</v>
      </c>
      <c r="D148" s="49">
        <f>0.48*2</f>
        <v>0.96</v>
      </c>
      <c r="E148" s="49"/>
      <c r="F148" s="49">
        <v>2.2799999999999998</v>
      </c>
      <c r="G148" s="53">
        <f t="shared" si="14"/>
        <v>4.3775999999999993</v>
      </c>
      <c r="H148" s="49"/>
      <c r="I148" s="49"/>
      <c r="J148" s="49"/>
      <c r="K148" s="50"/>
    </row>
    <row r="149" spans="1:11">
      <c r="A149" s="46"/>
      <c r="B149" s="63"/>
      <c r="C149" s="52">
        <v>2</v>
      </c>
      <c r="D149" s="49">
        <v>3.62</v>
      </c>
      <c r="E149" s="49"/>
      <c r="F149" s="49">
        <v>1.32</v>
      </c>
      <c r="G149" s="53">
        <f t="shared" si="14"/>
        <v>9.5568000000000008</v>
      </c>
      <c r="H149" s="49"/>
      <c r="I149" s="49"/>
      <c r="J149" s="49"/>
      <c r="K149" s="50"/>
    </row>
    <row r="150" spans="1:11">
      <c r="A150" s="46"/>
      <c r="B150" s="63"/>
      <c r="C150" s="52">
        <v>2</v>
      </c>
      <c r="D150" s="49">
        <f>0.48*2</f>
        <v>0.96</v>
      </c>
      <c r="E150" s="49"/>
      <c r="F150" s="49">
        <v>2.2000000000000002</v>
      </c>
      <c r="G150" s="53">
        <f t="shared" si="14"/>
        <v>4.2240000000000002</v>
      </c>
      <c r="H150" s="49"/>
      <c r="I150" s="49"/>
      <c r="J150" s="49"/>
      <c r="K150" s="50"/>
    </row>
    <row r="151" spans="1:11">
      <c r="A151" s="46"/>
      <c r="B151" s="63"/>
      <c r="C151" s="52">
        <f>-2*16</f>
        <v>-32</v>
      </c>
      <c r="D151" s="49">
        <v>0.23</v>
      </c>
      <c r="E151" s="49"/>
      <c r="F151" s="49">
        <v>1.35</v>
      </c>
      <c r="G151" s="53">
        <f t="shared" si="14"/>
        <v>-9.9360000000000017</v>
      </c>
      <c r="H151" s="49"/>
      <c r="I151" s="49"/>
      <c r="J151" s="49"/>
      <c r="K151" s="50"/>
    </row>
    <row r="152" spans="1:11">
      <c r="A152" s="98"/>
      <c r="B152" s="106" t="s">
        <v>116</v>
      </c>
      <c r="C152" s="99">
        <v>1</v>
      </c>
      <c r="D152" s="100">
        <f>((14.583+17.75)*2)/3.281</f>
        <v>19.709234989332518</v>
      </c>
      <c r="E152" s="100"/>
      <c r="F152" s="100">
        <f>0.52</f>
        <v>0.52</v>
      </c>
      <c r="G152" s="53">
        <f t="shared" si="14"/>
        <v>10.24880219445291</v>
      </c>
      <c r="H152" s="100"/>
      <c r="I152" s="100"/>
      <c r="J152" s="100"/>
      <c r="K152" s="101"/>
    </row>
    <row r="153" spans="1:11">
      <c r="A153" s="98"/>
      <c r="B153" s="106"/>
      <c r="C153" s="99">
        <v>1</v>
      </c>
      <c r="D153" s="100">
        <f>((13.583+16.75)*2)/3.281</f>
        <v>18.49009448338921</v>
      </c>
      <c r="E153" s="100"/>
      <c r="F153" s="100">
        <f>0.52</f>
        <v>0.52</v>
      </c>
      <c r="G153" s="53">
        <f t="shared" si="14"/>
        <v>9.6148491313623889</v>
      </c>
      <c r="H153" s="100"/>
      <c r="I153" s="100"/>
      <c r="J153" s="100"/>
      <c r="K153" s="101"/>
    </row>
    <row r="154" spans="1:11">
      <c r="A154" s="98"/>
      <c r="B154" s="85" t="s">
        <v>125</v>
      </c>
      <c r="C154" s="99"/>
      <c r="D154" s="100"/>
      <c r="E154" s="100"/>
      <c r="F154" s="100"/>
      <c r="G154" s="100"/>
      <c r="H154" s="100"/>
      <c r="I154" s="100"/>
      <c r="J154" s="100"/>
      <c r="K154" s="101"/>
    </row>
    <row r="155" spans="1:11">
      <c r="A155" s="98"/>
      <c r="B155" s="106" t="s">
        <v>133</v>
      </c>
      <c r="C155" s="99">
        <v>1</v>
      </c>
      <c r="D155" s="100">
        <f>2*(29.917/3.281)+2*(28.5/3.281)</f>
        <v>35.609265467845169</v>
      </c>
      <c r="E155" s="100"/>
      <c r="F155" s="100">
        <f>9.33/3.281</f>
        <v>2.8436452301127706</v>
      </c>
      <c r="G155" s="53">
        <f t="shared" ref="G155:G160" si="15">PRODUCT(C155:F155)</f>
        <v>101.26011789545731</v>
      </c>
      <c r="H155" s="100"/>
      <c r="I155" s="100"/>
      <c r="J155" s="100"/>
      <c r="K155" s="101"/>
    </row>
    <row r="156" spans="1:11">
      <c r="A156" s="98"/>
      <c r="B156" s="106" t="s">
        <v>123</v>
      </c>
      <c r="C156" s="99">
        <v>-1</v>
      </c>
      <c r="D156" s="100">
        <v>1.2</v>
      </c>
      <c r="E156" s="100"/>
      <c r="F156" s="100">
        <f>8/3.281</f>
        <v>2.4382810118866196</v>
      </c>
      <c r="G156" s="53">
        <f t="shared" si="15"/>
        <v>-2.9259372142639433</v>
      </c>
      <c r="H156" s="100"/>
      <c r="I156" s="100"/>
      <c r="J156" s="100"/>
      <c r="K156" s="101"/>
    </row>
    <row r="157" spans="1:11">
      <c r="A157" s="98"/>
      <c r="B157" s="106" t="s">
        <v>124</v>
      </c>
      <c r="C157" s="99">
        <v>-1</v>
      </c>
      <c r="D157" s="100">
        <v>0.9</v>
      </c>
      <c r="E157" s="100"/>
      <c r="F157" s="100">
        <v>1.8</v>
      </c>
      <c r="G157" s="53">
        <f t="shared" si="15"/>
        <v>-1.62</v>
      </c>
      <c r="H157" s="100"/>
      <c r="I157" s="100"/>
      <c r="J157" s="100"/>
      <c r="K157" s="101"/>
    </row>
    <row r="158" spans="1:11">
      <c r="A158" s="98"/>
      <c r="B158" s="106"/>
      <c r="C158" s="99">
        <v>-6</v>
      </c>
      <c r="D158" s="100">
        <v>1.8</v>
      </c>
      <c r="E158" s="100"/>
      <c r="F158" s="100">
        <v>1.2</v>
      </c>
      <c r="G158" s="53">
        <f t="shared" si="15"/>
        <v>-12.96</v>
      </c>
      <c r="H158" s="100"/>
      <c r="I158" s="100"/>
      <c r="J158" s="100"/>
      <c r="K158" s="101"/>
    </row>
    <row r="159" spans="1:11">
      <c r="A159" s="98"/>
      <c r="B159" s="106"/>
      <c r="C159" s="99">
        <v>-1</v>
      </c>
      <c r="D159" s="100">
        <v>1.2</v>
      </c>
      <c r="E159" s="100"/>
      <c r="F159" s="100">
        <v>1.2</v>
      </c>
      <c r="G159" s="53">
        <f t="shared" si="15"/>
        <v>-1.44</v>
      </c>
      <c r="H159" s="100"/>
      <c r="I159" s="100"/>
      <c r="J159" s="100"/>
      <c r="K159" s="101"/>
    </row>
    <row r="160" spans="1:11">
      <c r="A160" s="98"/>
      <c r="B160" s="106"/>
      <c r="C160" s="99">
        <v>-1</v>
      </c>
      <c r="D160" s="100">
        <v>0.9</v>
      </c>
      <c r="E160" s="100"/>
      <c r="F160" s="100">
        <v>1.2</v>
      </c>
      <c r="G160" s="103">
        <f t="shared" si="15"/>
        <v>-1.08</v>
      </c>
      <c r="H160" s="100"/>
      <c r="I160" s="100"/>
      <c r="J160" s="100"/>
      <c r="K160" s="101"/>
    </row>
    <row r="161" spans="1:11">
      <c r="A161" s="98"/>
      <c r="B161" s="85" t="s">
        <v>128</v>
      </c>
      <c r="C161" s="99"/>
      <c r="D161" s="100"/>
      <c r="E161" s="100"/>
      <c r="F161" s="100"/>
      <c r="G161" s="53"/>
      <c r="H161" s="100"/>
      <c r="I161" s="100"/>
      <c r="J161" s="100"/>
      <c r="K161" s="101"/>
    </row>
    <row r="162" spans="1:11">
      <c r="A162" s="98"/>
      <c r="B162" s="106" t="s">
        <v>133</v>
      </c>
      <c r="C162" s="99">
        <v>1</v>
      </c>
      <c r="D162" s="100">
        <f>2*(29.917/3.281)+2*(28.5/3.281)</f>
        <v>35.609265467845169</v>
      </c>
      <c r="E162" s="100"/>
      <c r="F162" s="100">
        <f>9.33/3.281</f>
        <v>2.8436452301127706</v>
      </c>
      <c r="G162" s="53">
        <f t="shared" ref="G162:G167" si="16">PRODUCT(C162:F162)</f>
        <v>101.26011789545731</v>
      </c>
      <c r="H162" s="100"/>
      <c r="I162" s="100"/>
      <c r="J162" s="100"/>
      <c r="K162" s="101"/>
    </row>
    <row r="163" spans="1:11">
      <c r="A163" s="98"/>
      <c r="B163" s="106" t="s">
        <v>123</v>
      </c>
      <c r="C163" s="99">
        <v>-1</v>
      </c>
      <c r="D163" s="100">
        <f>3.5/3.281</f>
        <v>1.0667479427003961</v>
      </c>
      <c r="E163" s="100"/>
      <c r="F163" s="100">
        <v>2.1</v>
      </c>
      <c r="G163" s="53">
        <f t="shared" si="16"/>
        <v>-2.2401706796708321</v>
      </c>
      <c r="H163" s="100"/>
      <c r="I163" s="100"/>
      <c r="J163" s="100"/>
      <c r="K163" s="101"/>
    </row>
    <row r="164" spans="1:11">
      <c r="A164" s="98"/>
      <c r="B164" s="106" t="s">
        <v>124</v>
      </c>
      <c r="C164" s="99">
        <v>-1</v>
      </c>
      <c r="D164" s="100">
        <v>0.9</v>
      </c>
      <c r="E164" s="100"/>
      <c r="F164" s="100">
        <v>1.8</v>
      </c>
      <c r="G164" s="53">
        <f t="shared" si="16"/>
        <v>-1.62</v>
      </c>
      <c r="H164" s="100"/>
      <c r="I164" s="100"/>
      <c r="J164" s="100"/>
      <c r="K164" s="101"/>
    </row>
    <row r="165" spans="1:11">
      <c r="A165" s="98"/>
      <c r="B165" s="106"/>
      <c r="C165" s="99">
        <v>-6</v>
      </c>
      <c r="D165" s="100">
        <v>1.8</v>
      </c>
      <c r="E165" s="100"/>
      <c r="F165" s="100">
        <v>1.2</v>
      </c>
      <c r="G165" s="53">
        <f t="shared" si="16"/>
        <v>-12.96</v>
      </c>
      <c r="H165" s="100"/>
      <c r="I165" s="100"/>
      <c r="J165" s="100"/>
      <c r="K165" s="101"/>
    </row>
    <row r="166" spans="1:11">
      <c r="A166" s="98"/>
      <c r="B166" s="106"/>
      <c r="C166" s="99">
        <v>-1</v>
      </c>
      <c r="D166" s="100">
        <v>1.2</v>
      </c>
      <c r="E166" s="100"/>
      <c r="F166" s="100">
        <v>1.2</v>
      </c>
      <c r="G166" s="53">
        <f t="shared" si="16"/>
        <v>-1.44</v>
      </c>
      <c r="H166" s="100"/>
      <c r="I166" s="100"/>
      <c r="J166" s="100"/>
      <c r="K166" s="101"/>
    </row>
    <row r="167" spans="1:11">
      <c r="A167" s="98"/>
      <c r="B167" s="106"/>
      <c r="C167" s="99">
        <v>-1</v>
      </c>
      <c r="D167" s="100">
        <v>0.9</v>
      </c>
      <c r="E167" s="100"/>
      <c r="F167" s="100">
        <v>1.2</v>
      </c>
      <c r="G167" s="103">
        <f t="shared" si="16"/>
        <v>-1.08</v>
      </c>
      <c r="H167" s="100"/>
      <c r="I167" s="100"/>
      <c r="J167" s="100"/>
      <c r="K167" s="101"/>
    </row>
    <row r="168" spans="1:11">
      <c r="A168" s="98"/>
      <c r="B168" s="107" t="s">
        <v>130</v>
      </c>
      <c r="C168" s="99"/>
      <c r="D168" s="100"/>
      <c r="E168" s="100"/>
      <c r="F168" s="100"/>
      <c r="G168" s="53"/>
      <c r="H168" s="100"/>
      <c r="I168" s="100"/>
      <c r="J168" s="100"/>
      <c r="K168" s="101"/>
    </row>
    <row r="169" spans="1:11">
      <c r="A169" s="98"/>
      <c r="B169" s="106" t="s">
        <v>134</v>
      </c>
      <c r="C169" s="99">
        <v>1</v>
      </c>
      <c r="D169" s="100">
        <f>(11.833/3.281)+(14.833/3.281)</f>
        <v>8.1274001828710745</v>
      </c>
      <c r="E169" s="100"/>
      <c r="F169" s="100">
        <f>9.33/3.281</f>
        <v>2.8436452301127706</v>
      </c>
      <c r="G169" s="53">
        <f t="shared" ref="G169" si="17">PRODUCT(C169:F169)</f>
        <v>23.11144276323899</v>
      </c>
      <c r="H169" s="100"/>
      <c r="I169" s="100"/>
      <c r="J169" s="100"/>
      <c r="K169" s="101"/>
    </row>
    <row r="170" spans="1:11">
      <c r="A170" s="46"/>
      <c r="B170" s="61"/>
      <c r="C170" s="52"/>
      <c r="D170" s="49"/>
      <c r="E170" s="49"/>
      <c r="F170" s="49"/>
      <c r="G170" s="49">
        <f>SUM(G120:G169)</f>
        <v>406.95407198603414</v>
      </c>
      <c r="H170" s="49" t="s">
        <v>17</v>
      </c>
      <c r="I170" s="49">
        <f>253.8</f>
        <v>253.8</v>
      </c>
      <c r="J170" s="49">
        <f>G170*I170</f>
        <v>103284.94347005547</v>
      </c>
      <c r="K170" s="50"/>
    </row>
    <row r="171" spans="1:11">
      <c r="A171" s="46"/>
      <c r="B171" s="61"/>
      <c r="C171" s="52"/>
      <c r="D171" s="49"/>
      <c r="E171" s="49"/>
      <c r="F171" s="49"/>
      <c r="G171" s="49"/>
      <c r="H171" s="49"/>
      <c r="I171" s="49"/>
      <c r="J171" s="49"/>
      <c r="K171" s="50"/>
    </row>
    <row r="172" spans="1:11" ht="45.75">
      <c r="A172" s="98">
        <v>19</v>
      </c>
      <c r="B172" s="80" t="s">
        <v>140</v>
      </c>
      <c r="C172" s="99"/>
      <c r="D172" s="100"/>
      <c r="E172" s="100"/>
      <c r="F172" s="100"/>
      <c r="G172" s="100"/>
      <c r="H172" s="100"/>
      <c r="I172" s="100"/>
      <c r="J172" s="100"/>
      <c r="K172" s="101"/>
    </row>
    <row r="173" spans="1:11">
      <c r="A173" s="98"/>
      <c r="B173" s="106" t="s">
        <v>119</v>
      </c>
      <c r="C173" s="99">
        <v>1</v>
      </c>
      <c r="D173" s="100">
        <f>(2*(12.33+13))/3.281</f>
        <v>15.440414507772019</v>
      </c>
      <c r="E173" s="100"/>
      <c r="F173" s="100">
        <f>8.75/3.281</f>
        <v>2.6668698567509903</v>
      </c>
      <c r="G173" s="53">
        <f t="shared" ref="G173:G181" si="18">PRODUCT(C173:F173)</f>
        <v>41.177576026517876</v>
      </c>
      <c r="H173" s="100"/>
      <c r="I173" s="100"/>
      <c r="J173" s="100"/>
      <c r="K173" s="101"/>
    </row>
    <row r="174" spans="1:11">
      <c r="A174" s="98"/>
      <c r="B174" s="106" t="s">
        <v>120</v>
      </c>
      <c r="C174" s="99">
        <v>1</v>
      </c>
      <c r="D174" s="100">
        <f>12.33/3.281</f>
        <v>3.7580006095702529</v>
      </c>
      <c r="E174" s="100">
        <f>13/3.281</f>
        <v>3.9622066443157573</v>
      </c>
      <c r="F174" s="100"/>
      <c r="G174" s="53">
        <f t="shared" si="18"/>
        <v>14.889974984581922</v>
      </c>
      <c r="H174" s="100"/>
      <c r="I174" s="100"/>
      <c r="J174" s="100"/>
      <c r="K174" s="101"/>
    </row>
    <row r="175" spans="1:11">
      <c r="A175" s="98"/>
      <c r="B175" s="106" t="s">
        <v>121</v>
      </c>
      <c r="C175" s="99">
        <v>1</v>
      </c>
      <c r="D175" s="100">
        <f>(2*(17.25+13.42))/3.281</f>
        <v>18.695519658640659</v>
      </c>
      <c r="E175" s="100"/>
      <c r="F175" s="100">
        <f>8.75/3.281</f>
        <v>2.6668698567509903</v>
      </c>
      <c r="G175" s="53">
        <f t="shared" si="18"/>
        <v>49.858517833924338</v>
      </c>
      <c r="H175" s="100"/>
      <c r="I175" s="100"/>
      <c r="J175" s="100"/>
      <c r="K175" s="101"/>
    </row>
    <row r="176" spans="1:11">
      <c r="A176" s="98"/>
      <c r="B176" s="106" t="s">
        <v>120</v>
      </c>
      <c r="C176" s="99">
        <v>1</v>
      </c>
      <c r="D176" s="100">
        <f>17.25/3.281</f>
        <v>5.2575434318805243</v>
      </c>
      <c r="E176" s="100">
        <f>13.42/3.281</f>
        <v>4.0902163974398045</v>
      </c>
      <c r="F176" s="100"/>
      <c r="G176" s="53">
        <f t="shared" si="18"/>
        <v>21.504490355329665</v>
      </c>
      <c r="H176" s="100"/>
      <c r="I176" s="100"/>
      <c r="J176" s="100"/>
      <c r="K176" s="101"/>
    </row>
    <row r="177" spans="1:11">
      <c r="A177" s="98"/>
      <c r="B177" s="106" t="s">
        <v>122</v>
      </c>
      <c r="C177" s="99">
        <v>1</v>
      </c>
      <c r="D177" s="100">
        <f>(2*(10.833+13.42))/3.281</f>
        <v>14.783907345321548</v>
      </c>
      <c r="E177" s="100"/>
      <c r="F177" s="100">
        <f>8.75/3.281</f>
        <v>2.6668698567509903</v>
      </c>
      <c r="G177" s="53">
        <f t="shared" si="18"/>
        <v>39.426756864237589</v>
      </c>
      <c r="H177" s="100"/>
      <c r="I177" s="100"/>
      <c r="J177" s="100"/>
      <c r="K177" s="101"/>
    </row>
    <row r="178" spans="1:11">
      <c r="A178" s="98"/>
      <c r="B178" s="106" t="s">
        <v>120</v>
      </c>
      <c r="C178" s="99">
        <v>1</v>
      </c>
      <c r="D178" s="100">
        <f>10.833/3.281</f>
        <v>3.3017372752209693</v>
      </c>
      <c r="E178" s="100">
        <f>13.42/3.281</f>
        <v>4.0902163974398045</v>
      </c>
      <c r="F178" s="100"/>
      <c r="G178" s="53">
        <f t="shared" si="18"/>
        <v>13.504819943147028</v>
      </c>
      <c r="H178" s="100"/>
      <c r="I178" s="100"/>
      <c r="J178" s="100"/>
      <c r="K178" s="101"/>
    </row>
    <row r="179" spans="1:11">
      <c r="A179" s="98"/>
      <c r="B179" s="106" t="s">
        <v>123</v>
      </c>
      <c r="C179" s="99">
        <v>-3</v>
      </c>
      <c r="D179" s="100">
        <f>3.5/3.281</f>
        <v>1.0667479427003961</v>
      </c>
      <c r="E179" s="100"/>
      <c r="F179" s="100">
        <f>7/3.281</f>
        <v>2.1334958854007922</v>
      </c>
      <c r="G179" s="53">
        <f t="shared" si="18"/>
        <v>-6.8277070395331645</v>
      </c>
      <c r="H179" s="100"/>
      <c r="I179" s="100"/>
      <c r="J179" s="100"/>
      <c r="K179" s="101"/>
    </row>
    <row r="180" spans="1:11">
      <c r="A180" s="98"/>
      <c r="B180" s="106" t="s">
        <v>124</v>
      </c>
      <c r="C180" s="99">
        <v>-6</v>
      </c>
      <c r="D180" s="100">
        <f>6/3.281</f>
        <v>1.8287107589149649</v>
      </c>
      <c r="E180" s="100"/>
      <c r="F180" s="100">
        <f>4/3.281</f>
        <v>1.2191405059433098</v>
      </c>
      <c r="G180" s="53">
        <f t="shared" si="18"/>
        <v>-13.376732159085387</v>
      </c>
      <c r="H180" s="100"/>
      <c r="I180" s="100"/>
      <c r="J180" s="100"/>
      <c r="K180" s="101"/>
    </row>
    <row r="181" spans="1:11">
      <c r="A181" s="98"/>
      <c r="B181" s="106"/>
      <c r="C181" s="99">
        <v>-1</v>
      </c>
      <c r="D181" s="100">
        <f>4/3.281</f>
        <v>1.2191405059433098</v>
      </c>
      <c r="E181" s="100"/>
      <c r="F181" s="100">
        <f>4/3.281</f>
        <v>1.2191405059433098</v>
      </c>
      <c r="G181" s="53">
        <f t="shared" si="18"/>
        <v>-1.4863035732317094</v>
      </c>
      <c r="H181" s="100"/>
      <c r="I181" s="100"/>
      <c r="J181" s="100"/>
      <c r="K181" s="101"/>
    </row>
    <row r="182" spans="1:11">
      <c r="A182" s="46"/>
      <c r="B182" s="61"/>
      <c r="C182" s="52"/>
      <c r="D182" s="49"/>
      <c r="E182" s="49"/>
      <c r="F182" s="49"/>
      <c r="G182" s="49">
        <f>SUM(G173:G181)</f>
        <v>158.67139323588816</v>
      </c>
      <c r="H182" s="49" t="s">
        <v>17</v>
      </c>
      <c r="I182" s="49">
        <f>300.03</f>
        <v>300.02999999999997</v>
      </c>
      <c r="J182" s="49">
        <f>G182*I182</f>
        <v>47606.178112563517</v>
      </c>
      <c r="K182" s="50"/>
    </row>
    <row r="183" spans="1:11">
      <c r="A183" s="98"/>
      <c r="B183" s="97"/>
      <c r="C183" s="99"/>
      <c r="D183" s="100"/>
      <c r="E183" s="100"/>
      <c r="F183" s="100"/>
      <c r="G183" s="100"/>
      <c r="H183" s="100"/>
      <c r="I183" s="100"/>
      <c r="J183" s="100"/>
      <c r="K183" s="101"/>
    </row>
    <row r="184" spans="1:11" ht="30.75">
      <c r="A184" s="98">
        <v>20</v>
      </c>
      <c r="B184" s="80" t="s">
        <v>141</v>
      </c>
      <c r="C184" s="99"/>
      <c r="D184" s="100"/>
      <c r="E184" s="100"/>
      <c r="F184" s="100"/>
      <c r="G184" s="100"/>
      <c r="H184" s="100"/>
      <c r="I184" s="100"/>
      <c r="J184" s="100"/>
      <c r="K184" s="101"/>
    </row>
    <row r="185" spans="1:11">
      <c r="A185" s="98"/>
      <c r="B185" s="106" t="s">
        <v>121</v>
      </c>
      <c r="C185" s="99">
        <v>1</v>
      </c>
      <c r="D185" s="100">
        <f>17.25/3.281</f>
        <v>5.2575434318805243</v>
      </c>
      <c r="E185" s="100"/>
      <c r="F185" s="100">
        <f>8.75/3.281</f>
        <v>2.6668698567509903</v>
      </c>
      <c r="G185" s="53">
        <f t="shared" ref="G185:G189" si="19">PRODUCT(C185:F185)</f>
        <v>14.021184099041324</v>
      </c>
      <c r="H185" s="100"/>
      <c r="I185" s="100"/>
      <c r="J185" s="100"/>
      <c r="K185" s="101"/>
    </row>
    <row r="186" spans="1:11">
      <c r="A186" s="98"/>
      <c r="B186" s="106" t="s">
        <v>122</v>
      </c>
      <c r="C186" s="99">
        <v>1</v>
      </c>
      <c r="D186" s="100">
        <f>(2*(10.833))/3.281</f>
        <v>6.6034745504419385</v>
      </c>
      <c r="E186" s="100"/>
      <c r="F186" s="100">
        <f>8.75/3.281</f>
        <v>2.6668698567509903</v>
      </c>
      <c r="G186" s="53">
        <f t="shared" si="19"/>
        <v>17.610607228395903</v>
      </c>
      <c r="H186" s="100"/>
      <c r="I186" s="100"/>
      <c r="J186" s="100"/>
      <c r="K186" s="101"/>
    </row>
    <row r="187" spans="1:11">
      <c r="A187" s="98"/>
      <c r="B187" s="106" t="s">
        <v>123</v>
      </c>
      <c r="C187" s="99">
        <v>-1</v>
      </c>
      <c r="D187" s="100">
        <f>3.5/3.281</f>
        <v>1.0667479427003961</v>
      </c>
      <c r="E187" s="100"/>
      <c r="F187" s="100">
        <f>7/3.281</f>
        <v>2.1334958854007922</v>
      </c>
      <c r="G187" s="53">
        <f t="shared" si="19"/>
        <v>-2.2759023465110548</v>
      </c>
      <c r="H187" s="100"/>
      <c r="I187" s="100"/>
      <c r="J187" s="100"/>
      <c r="K187" s="101"/>
    </row>
    <row r="188" spans="1:11">
      <c r="A188" s="98"/>
      <c r="B188" s="106" t="s">
        <v>124</v>
      </c>
      <c r="C188" s="99">
        <v>-2</v>
      </c>
      <c r="D188" s="100">
        <f>6/3.281</f>
        <v>1.8287107589149649</v>
      </c>
      <c r="E188" s="100"/>
      <c r="F188" s="100">
        <f>4/3.281</f>
        <v>1.2191405059433098</v>
      </c>
      <c r="G188" s="53">
        <f t="shared" si="19"/>
        <v>-4.4589107196951288</v>
      </c>
      <c r="H188" s="100"/>
      <c r="I188" s="100"/>
      <c r="J188" s="100"/>
      <c r="K188" s="101"/>
    </row>
    <row r="189" spans="1:11">
      <c r="A189" s="98"/>
      <c r="B189" s="106"/>
      <c r="C189" s="99">
        <v>-1</v>
      </c>
      <c r="D189" s="100">
        <f>4/3.281</f>
        <v>1.2191405059433098</v>
      </c>
      <c r="E189" s="100"/>
      <c r="F189" s="100">
        <f>4/3.281</f>
        <v>1.2191405059433098</v>
      </c>
      <c r="G189" s="53">
        <f t="shared" si="19"/>
        <v>-1.4863035732317094</v>
      </c>
      <c r="H189" s="100"/>
      <c r="I189" s="100"/>
      <c r="J189" s="100"/>
      <c r="K189" s="101"/>
    </row>
    <row r="190" spans="1:11">
      <c r="A190" s="46"/>
      <c r="B190" s="61"/>
      <c r="C190" s="52"/>
      <c r="D190" s="49"/>
      <c r="E190" s="49"/>
      <c r="F190" s="49"/>
      <c r="G190" s="49">
        <f>SUM(G185:G189)</f>
        <v>23.410674687999336</v>
      </c>
      <c r="H190" s="49" t="s">
        <v>17</v>
      </c>
      <c r="I190" s="49">
        <f>60.3</f>
        <v>60.3</v>
      </c>
      <c r="J190" s="49">
        <f>G190*I190</f>
        <v>1411.6636836863599</v>
      </c>
      <c r="K190" s="50"/>
    </row>
    <row r="191" spans="1:11">
      <c r="A191" s="98"/>
      <c r="B191" s="97"/>
      <c r="C191" s="99"/>
      <c r="D191" s="100"/>
      <c r="E191" s="100"/>
      <c r="F191" s="100"/>
      <c r="G191" s="100"/>
      <c r="H191" s="100"/>
      <c r="I191" s="100"/>
      <c r="J191" s="100"/>
      <c r="K191" s="101"/>
    </row>
    <row r="192" spans="1:11" ht="45.75">
      <c r="A192" s="98">
        <v>21</v>
      </c>
      <c r="B192" s="80" t="s">
        <v>142</v>
      </c>
      <c r="C192" s="99"/>
      <c r="D192" s="100"/>
      <c r="E192" s="100"/>
      <c r="F192" s="100"/>
      <c r="G192" s="100"/>
      <c r="H192" s="100"/>
      <c r="I192" s="100"/>
      <c r="J192" s="100"/>
      <c r="K192" s="101"/>
    </row>
    <row r="193" spans="1:11">
      <c r="A193" s="98"/>
      <c r="B193" s="85" t="s">
        <v>125</v>
      </c>
      <c r="C193" s="99"/>
      <c r="D193" s="100"/>
      <c r="E193" s="100"/>
      <c r="F193" s="100"/>
      <c r="G193" s="100"/>
      <c r="H193" s="100"/>
      <c r="I193" s="100"/>
      <c r="J193" s="100"/>
      <c r="K193" s="101"/>
    </row>
    <row r="194" spans="1:11">
      <c r="A194" s="98"/>
      <c r="B194" s="106" t="s">
        <v>126</v>
      </c>
      <c r="C194" s="99">
        <v>1</v>
      </c>
      <c r="D194" s="100">
        <f>2*(28.25/3.281)+2*(13.42/3.281)</f>
        <v>25.400792441328861</v>
      </c>
      <c r="E194" s="100"/>
      <c r="F194" s="100">
        <f>8.75/3.281</f>
        <v>2.6668698567509903</v>
      </c>
      <c r="G194" s="53">
        <f t="shared" ref="G194:G201" si="20">PRODUCT(C194:F194)</f>
        <v>67.74060769936834</v>
      </c>
      <c r="H194" s="100"/>
      <c r="I194" s="100"/>
      <c r="J194" s="100"/>
      <c r="K194" s="101"/>
    </row>
    <row r="195" spans="1:11" ht="31.5">
      <c r="A195" s="98"/>
      <c r="B195" s="106" t="s">
        <v>129</v>
      </c>
      <c r="C195" s="99">
        <v>1</v>
      </c>
      <c r="D195" s="100">
        <f>2*(28.25/3.281)+2*(13.083/3.281)</f>
        <v>25.195367266077415</v>
      </c>
      <c r="E195" s="100"/>
      <c r="F195" s="100">
        <f>8.75/3.281</f>
        <v>2.6668698567509903</v>
      </c>
      <c r="G195" s="53">
        <f t="shared" si="20"/>
        <v>67.192765491672461</v>
      </c>
      <c r="H195" s="100"/>
      <c r="I195" s="100"/>
      <c r="J195" s="100"/>
      <c r="K195" s="101"/>
    </row>
    <row r="196" spans="1:11">
      <c r="A196" s="98"/>
      <c r="B196" s="106" t="s">
        <v>123</v>
      </c>
      <c r="C196" s="99">
        <v>-1</v>
      </c>
      <c r="D196" s="100">
        <v>1.2</v>
      </c>
      <c r="E196" s="100"/>
      <c r="F196" s="100">
        <f>8/3.281</f>
        <v>2.4382810118866196</v>
      </c>
      <c r="G196" s="53">
        <f t="shared" si="20"/>
        <v>-2.9259372142639433</v>
      </c>
      <c r="H196" s="100"/>
      <c r="I196" s="100"/>
      <c r="J196" s="100"/>
      <c r="K196" s="101"/>
    </row>
    <row r="197" spans="1:11">
      <c r="A197" s="98"/>
      <c r="B197" s="106"/>
      <c r="C197" s="99">
        <v>-1</v>
      </c>
      <c r="D197" s="100">
        <f t="shared" ref="D197" si="21">3.5/3.281</f>
        <v>1.0667479427003961</v>
      </c>
      <c r="E197" s="100"/>
      <c r="F197" s="100">
        <v>2.1</v>
      </c>
      <c r="G197" s="53">
        <f t="shared" si="20"/>
        <v>-2.2401706796708321</v>
      </c>
      <c r="H197" s="100"/>
      <c r="I197" s="100"/>
      <c r="J197" s="100"/>
      <c r="K197" s="101"/>
    </row>
    <row r="198" spans="1:11">
      <c r="A198" s="98"/>
      <c r="B198" s="106"/>
      <c r="C198" s="99">
        <v>-1</v>
      </c>
      <c r="D198" s="100">
        <v>0.75</v>
      </c>
      <c r="E198" s="100"/>
      <c r="F198" s="100">
        <v>1.8</v>
      </c>
      <c r="G198" s="53">
        <f t="shared" si="20"/>
        <v>-1.35</v>
      </c>
      <c r="H198" s="100"/>
      <c r="I198" s="100"/>
      <c r="J198" s="100"/>
      <c r="K198" s="101"/>
    </row>
    <row r="199" spans="1:11">
      <c r="A199" s="98"/>
      <c r="B199" s="106" t="s">
        <v>124</v>
      </c>
      <c r="C199" s="99">
        <v>-1</v>
      </c>
      <c r="D199" s="100">
        <v>0.9</v>
      </c>
      <c r="E199" s="100"/>
      <c r="F199" s="100">
        <v>1.8</v>
      </c>
      <c r="G199" s="53">
        <f t="shared" si="20"/>
        <v>-1.62</v>
      </c>
      <c r="H199" s="100"/>
      <c r="I199" s="100"/>
      <c r="J199" s="100"/>
      <c r="K199" s="101"/>
    </row>
    <row r="200" spans="1:11">
      <c r="A200" s="98"/>
      <c r="B200" s="106"/>
      <c r="C200" s="99">
        <v>-6</v>
      </c>
      <c r="D200" s="100">
        <v>1.8</v>
      </c>
      <c r="E200" s="100"/>
      <c r="F200" s="100">
        <v>1.2</v>
      </c>
      <c r="G200" s="53">
        <f t="shared" si="20"/>
        <v>-12.96</v>
      </c>
      <c r="H200" s="100"/>
      <c r="I200" s="100"/>
      <c r="J200" s="100"/>
      <c r="K200" s="101"/>
    </row>
    <row r="201" spans="1:11">
      <c r="A201" s="98"/>
      <c r="B201" s="106"/>
      <c r="C201" s="99">
        <v>-1</v>
      </c>
      <c r="D201" s="100">
        <v>1.2</v>
      </c>
      <c r="E201" s="100"/>
      <c r="F201" s="100">
        <v>1.2</v>
      </c>
      <c r="G201" s="53">
        <f t="shared" si="20"/>
        <v>-1.44</v>
      </c>
      <c r="H201" s="100"/>
      <c r="I201" s="100"/>
      <c r="J201" s="100"/>
      <c r="K201" s="101"/>
    </row>
    <row r="202" spans="1:11">
      <c r="A202" s="98"/>
      <c r="B202" s="85" t="s">
        <v>128</v>
      </c>
      <c r="C202" s="99"/>
      <c r="D202" s="100"/>
      <c r="E202" s="100"/>
      <c r="F202" s="100"/>
      <c r="G202" s="53"/>
      <c r="H202" s="100"/>
      <c r="I202" s="100"/>
      <c r="J202" s="100"/>
      <c r="K202" s="101"/>
    </row>
    <row r="203" spans="1:11">
      <c r="A203" s="98"/>
      <c r="B203" s="106" t="s">
        <v>127</v>
      </c>
      <c r="C203" s="99">
        <v>1</v>
      </c>
      <c r="D203" s="100">
        <f>2*(15.5/3.281)+2*(13.083/3.281)</f>
        <v>17.423346540688812</v>
      </c>
      <c r="E203" s="100"/>
      <c r="F203" s="100">
        <f>8.75/3.281</f>
        <v>2.6668698567509903</v>
      </c>
      <c r="G203" s="53">
        <f t="shared" ref="G203:G206" si="22">PRODUCT(C203:F203)</f>
        <v>46.465797693089634</v>
      </c>
      <c r="H203" s="100"/>
      <c r="I203" s="100"/>
      <c r="J203" s="100"/>
      <c r="K203" s="101"/>
    </row>
    <row r="204" spans="1:11">
      <c r="A204" s="98"/>
      <c r="B204" s="106" t="s">
        <v>123</v>
      </c>
      <c r="C204" s="99">
        <v>-4</v>
      </c>
      <c r="D204" s="100">
        <f>3.5/3.281</f>
        <v>1.0667479427003961</v>
      </c>
      <c r="E204" s="100"/>
      <c r="F204" s="100">
        <v>2.1</v>
      </c>
      <c r="G204" s="53">
        <f t="shared" si="22"/>
        <v>-8.9606827186833282</v>
      </c>
      <c r="H204" s="100"/>
      <c r="I204" s="100"/>
      <c r="J204" s="100"/>
      <c r="K204" s="101"/>
    </row>
    <row r="205" spans="1:11">
      <c r="A205" s="98"/>
      <c r="B205" s="106"/>
      <c r="C205" s="99">
        <v>-1</v>
      </c>
      <c r="D205" s="100">
        <v>0.75</v>
      </c>
      <c r="E205" s="100"/>
      <c r="F205" s="100">
        <v>1.8</v>
      </c>
      <c r="G205" s="53">
        <f t="shared" si="22"/>
        <v>-1.35</v>
      </c>
      <c r="H205" s="100"/>
      <c r="I205" s="100"/>
      <c r="J205" s="100"/>
      <c r="K205" s="101"/>
    </row>
    <row r="206" spans="1:11">
      <c r="A206" s="98"/>
      <c r="B206" s="106" t="s">
        <v>124</v>
      </c>
      <c r="C206" s="99">
        <v>-1</v>
      </c>
      <c r="D206" s="100">
        <v>0.9</v>
      </c>
      <c r="E206" s="100"/>
      <c r="F206" s="100">
        <v>1.8</v>
      </c>
      <c r="G206" s="53">
        <f t="shared" si="22"/>
        <v>-1.62</v>
      </c>
      <c r="H206" s="100"/>
      <c r="I206" s="100"/>
      <c r="J206" s="100"/>
      <c r="K206" s="101"/>
    </row>
    <row r="207" spans="1:11">
      <c r="A207" s="98"/>
      <c r="B207" s="107" t="s">
        <v>130</v>
      </c>
      <c r="C207" s="99"/>
      <c r="D207" s="100"/>
      <c r="E207" s="100"/>
      <c r="F207" s="100"/>
      <c r="G207" s="53"/>
      <c r="H207" s="100"/>
      <c r="I207" s="100"/>
      <c r="J207" s="100"/>
      <c r="K207" s="101"/>
    </row>
    <row r="208" spans="1:11">
      <c r="A208" s="98"/>
      <c r="B208" s="106" t="s">
        <v>127</v>
      </c>
      <c r="C208" s="99">
        <v>1</v>
      </c>
      <c r="D208" s="100">
        <f>2*(10.5/3.281)+2*(13.5/3.281)</f>
        <v>14.629686071319718</v>
      </c>
      <c r="E208" s="100"/>
      <c r="F208" s="100">
        <f>8.75/3.281</f>
        <v>2.6668698567509903</v>
      </c>
      <c r="G208" s="53">
        <f t="shared" ref="G208:G212" si="23">PRODUCT(C208:F208)</f>
        <v>39.015468797332375</v>
      </c>
      <c r="H208" s="100"/>
      <c r="I208" s="100"/>
      <c r="J208" s="100"/>
      <c r="K208" s="101"/>
    </row>
    <row r="209" spans="1:11">
      <c r="A209" s="98"/>
      <c r="B209" s="106" t="s">
        <v>131</v>
      </c>
      <c r="C209" s="99">
        <v>1</v>
      </c>
      <c r="D209" s="100">
        <f>2*(10.917/3.281)+(13.17/3.281)</f>
        <v>10.668698567509905</v>
      </c>
      <c r="E209" s="100"/>
      <c r="F209" s="100">
        <f>8.667/3.281</f>
        <v>2.6415726912526667</v>
      </c>
      <c r="G209" s="53">
        <f t="shared" si="23"/>
        <v>28.182142787140609</v>
      </c>
      <c r="H209" s="100"/>
      <c r="I209" s="100"/>
      <c r="J209" s="100"/>
      <c r="K209" s="101"/>
    </row>
    <row r="210" spans="1:11">
      <c r="A210" s="98"/>
      <c r="B210" s="106"/>
      <c r="C210" s="99">
        <v>1</v>
      </c>
      <c r="D210" s="100">
        <f>(13.17/3.281)</f>
        <v>4.0140201158183482</v>
      </c>
      <c r="E210" s="100">
        <f>(10.917/3.281)</f>
        <v>3.3273392258457783</v>
      </c>
      <c r="F210" s="100"/>
      <c r="G210" s="53">
        <f t="shared" si="23"/>
        <v>13.356006584696404</v>
      </c>
      <c r="H210" s="100"/>
      <c r="I210" s="100"/>
      <c r="J210" s="100"/>
      <c r="K210" s="101"/>
    </row>
    <row r="211" spans="1:11">
      <c r="A211" s="98"/>
      <c r="B211" s="106" t="s">
        <v>132</v>
      </c>
      <c r="C211" s="99">
        <v>-1</v>
      </c>
      <c r="D211" s="100">
        <v>1.5</v>
      </c>
      <c r="E211" s="100"/>
      <c r="F211" s="100">
        <v>0.9</v>
      </c>
      <c r="G211" s="53">
        <f t="shared" si="23"/>
        <v>-1.35</v>
      </c>
      <c r="H211" s="100"/>
      <c r="I211" s="100"/>
      <c r="J211" s="100"/>
      <c r="K211" s="101"/>
    </row>
    <row r="212" spans="1:11">
      <c r="A212" s="98"/>
      <c r="B212" s="106" t="s">
        <v>123</v>
      </c>
      <c r="C212" s="99">
        <v>-1</v>
      </c>
      <c r="D212" s="100">
        <f>3.5/3.281</f>
        <v>1.0667479427003961</v>
      </c>
      <c r="E212" s="100"/>
      <c r="F212" s="100">
        <v>1.8</v>
      </c>
      <c r="G212" s="53">
        <f t="shared" si="23"/>
        <v>-1.920146296860713</v>
      </c>
      <c r="H212" s="100"/>
      <c r="I212" s="100"/>
      <c r="J212" s="100"/>
      <c r="K212" s="101"/>
    </row>
    <row r="213" spans="1:11">
      <c r="A213" s="98"/>
      <c r="B213" s="106" t="s">
        <v>124</v>
      </c>
      <c r="C213" s="99">
        <v>-1</v>
      </c>
      <c r="D213" s="100">
        <v>1.8</v>
      </c>
      <c r="E213" s="100"/>
      <c r="F213" s="100">
        <f>4.5/3.281</f>
        <v>1.3715330691862238</v>
      </c>
      <c r="G213" s="53">
        <f>PRODUCT(C213:F213)</f>
        <v>-2.4687595245352028</v>
      </c>
      <c r="H213" s="100"/>
      <c r="I213" s="100"/>
      <c r="J213" s="100"/>
      <c r="K213" s="101"/>
    </row>
    <row r="214" spans="1:11">
      <c r="A214" s="46"/>
      <c r="B214" s="61"/>
      <c r="C214" s="52"/>
      <c r="D214" s="49"/>
      <c r="E214" s="49"/>
      <c r="F214" s="49"/>
      <c r="G214" s="49">
        <f>SUM(G194:G213)</f>
        <v>221.74709261928581</v>
      </c>
      <c r="H214" s="49" t="s">
        <v>17</v>
      </c>
      <c r="I214" s="49">
        <f>195.14</f>
        <v>195.14</v>
      </c>
      <c r="J214" s="49">
        <f>G214*I214</f>
        <v>43271.72765372743</v>
      </c>
      <c r="K214" s="50"/>
    </row>
    <row r="215" spans="1:11">
      <c r="A215" s="98"/>
      <c r="B215" s="97"/>
      <c r="C215" s="99"/>
      <c r="D215" s="100"/>
      <c r="E215" s="100"/>
      <c r="F215" s="100"/>
      <c r="G215" s="100"/>
      <c r="H215" s="100"/>
      <c r="I215" s="100"/>
      <c r="J215" s="100"/>
      <c r="K215" s="101"/>
    </row>
    <row r="216" spans="1:11" ht="31.5">
      <c r="A216" s="46">
        <v>22</v>
      </c>
      <c r="B216" s="85" t="s">
        <v>86</v>
      </c>
      <c r="C216" s="52"/>
      <c r="D216" s="49"/>
      <c r="E216" s="49"/>
      <c r="F216" s="49"/>
      <c r="G216" s="49"/>
      <c r="H216" s="49"/>
      <c r="I216" s="49"/>
      <c r="J216" s="49"/>
      <c r="K216" s="50"/>
    </row>
    <row r="217" spans="1:11">
      <c r="A217" s="46"/>
      <c r="B217" s="63" t="s">
        <v>87</v>
      </c>
      <c r="C217" s="52">
        <v>1</v>
      </c>
      <c r="D217" s="49">
        <f>0.9</f>
        <v>0.9</v>
      </c>
      <c r="E217" s="49"/>
      <c r="F217" s="49"/>
      <c r="G217" s="53">
        <f t="shared" ref="G217:G219" si="24">PRODUCT(C217:F217)</f>
        <v>0.9</v>
      </c>
      <c r="H217" s="49"/>
      <c r="I217" s="49"/>
      <c r="J217" s="49"/>
      <c r="K217" s="50"/>
    </row>
    <row r="218" spans="1:11">
      <c r="A218" s="46"/>
      <c r="B218" s="63" t="s">
        <v>88</v>
      </c>
      <c r="C218" s="52">
        <v>1</v>
      </c>
      <c r="D218" s="49">
        <f>1.5</f>
        <v>1.5</v>
      </c>
      <c r="E218" s="49"/>
      <c r="F218" s="49"/>
      <c r="G218" s="53">
        <f t="shared" si="24"/>
        <v>1.5</v>
      </c>
      <c r="H218" s="49"/>
      <c r="I218" s="49"/>
      <c r="J218" s="49"/>
      <c r="K218" s="50"/>
    </row>
    <row r="219" spans="1:11">
      <c r="A219" s="46"/>
      <c r="B219" s="63" t="s">
        <v>89</v>
      </c>
      <c r="C219" s="52">
        <v>2</v>
      </c>
      <c r="D219" s="49">
        <v>0.9</v>
      </c>
      <c r="E219" s="49"/>
      <c r="F219" s="49"/>
      <c r="G219" s="53">
        <f t="shared" si="24"/>
        <v>1.8</v>
      </c>
      <c r="H219" s="49"/>
      <c r="I219" s="49"/>
      <c r="J219" s="49"/>
      <c r="K219" s="50"/>
    </row>
    <row r="220" spans="1:11">
      <c r="A220" s="46"/>
      <c r="B220" s="61"/>
      <c r="C220" s="52"/>
      <c r="D220" s="49"/>
      <c r="E220" s="49"/>
      <c r="F220" s="49"/>
      <c r="G220" s="49">
        <f>SUM(G217:G219)</f>
        <v>4.2</v>
      </c>
      <c r="H220" s="49" t="s">
        <v>90</v>
      </c>
      <c r="I220" s="49">
        <v>248</v>
      </c>
      <c r="J220" s="49">
        <f>G220*I220</f>
        <v>1041.6000000000001</v>
      </c>
      <c r="K220" s="50"/>
    </row>
    <row r="221" spans="1:11">
      <c r="A221" s="46"/>
      <c r="B221" s="61"/>
      <c r="C221" s="52"/>
      <c r="D221" s="49"/>
      <c r="E221" s="49"/>
      <c r="F221" s="49"/>
      <c r="G221" s="49"/>
      <c r="H221" s="49"/>
      <c r="I221" s="49"/>
      <c r="J221" s="49"/>
      <c r="K221" s="50"/>
    </row>
    <row r="222" spans="1:11" ht="31.5">
      <c r="A222" s="46">
        <v>23</v>
      </c>
      <c r="B222" s="85" t="s">
        <v>91</v>
      </c>
      <c r="C222" s="52"/>
      <c r="D222" s="49"/>
      <c r="E222" s="49"/>
      <c r="F222" s="49"/>
      <c r="G222" s="49"/>
      <c r="H222" s="49"/>
      <c r="I222" s="49"/>
      <c r="J222" s="49"/>
      <c r="K222" s="50"/>
    </row>
    <row r="223" spans="1:11">
      <c r="A223" s="46"/>
      <c r="B223" s="63" t="s">
        <v>92</v>
      </c>
      <c r="C223" s="52">
        <v>1</v>
      </c>
      <c r="D223" s="49">
        <v>9</v>
      </c>
      <c r="E223" s="49"/>
      <c r="F223" s="49"/>
      <c r="G223" s="53">
        <f t="shared" ref="G223" si="25">PRODUCT(C223:F223)</f>
        <v>9</v>
      </c>
      <c r="H223" s="49"/>
      <c r="I223" s="49"/>
      <c r="J223" s="49"/>
      <c r="K223" s="50"/>
    </row>
    <row r="224" spans="1:11">
      <c r="A224" s="46"/>
      <c r="B224" s="61"/>
      <c r="C224" s="52"/>
      <c r="D224" s="49"/>
      <c r="E224" s="49"/>
      <c r="F224" s="49"/>
      <c r="G224" s="49">
        <f>SUM(G223:G223)</f>
        <v>9</v>
      </c>
      <c r="H224" s="49" t="s">
        <v>90</v>
      </c>
      <c r="I224" s="49">
        <v>75</v>
      </c>
      <c r="J224" s="49">
        <f>G224*I224</f>
        <v>675</v>
      </c>
      <c r="K224" s="50"/>
    </row>
    <row r="225" spans="1:11">
      <c r="A225" s="46"/>
      <c r="B225" s="61"/>
      <c r="C225" s="52"/>
      <c r="D225" s="49"/>
      <c r="E225" s="49"/>
      <c r="F225" s="49"/>
      <c r="G225" s="49"/>
      <c r="H225" s="49"/>
      <c r="I225" s="49"/>
      <c r="J225" s="49"/>
      <c r="K225" s="50"/>
    </row>
    <row r="226" spans="1:11" ht="47.25">
      <c r="A226" s="46">
        <v>24</v>
      </c>
      <c r="B226" s="85" t="s">
        <v>94</v>
      </c>
      <c r="C226" s="52"/>
      <c r="D226" s="49"/>
      <c r="E226" s="49"/>
      <c r="F226" s="49"/>
      <c r="G226" s="49"/>
      <c r="H226" s="49"/>
      <c r="I226" s="49"/>
      <c r="J226" s="49"/>
      <c r="K226" s="50"/>
    </row>
    <row r="227" spans="1:11">
      <c r="A227" s="46"/>
      <c r="B227" s="63" t="s">
        <v>92</v>
      </c>
      <c r="C227" s="52">
        <v>1</v>
      </c>
      <c r="D227" s="49"/>
      <c r="E227" s="49"/>
      <c r="F227" s="49"/>
      <c r="G227" s="53">
        <f t="shared" ref="G227" si="26">PRODUCT(C227:F227)</f>
        <v>1</v>
      </c>
      <c r="H227" s="49"/>
      <c r="I227" s="49"/>
      <c r="J227" s="49"/>
      <c r="K227" s="50"/>
    </row>
    <row r="228" spans="1:11">
      <c r="A228" s="46"/>
      <c r="B228" s="61"/>
      <c r="C228" s="52"/>
      <c r="D228" s="49"/>
      <c r="E228" s="49"/>
      <c r="F228" s="49"/>
      <c r="G228" s="49">
        <f>SUM(G227:G227)</f>
        <v>1</v>
      </c>
      <c r="H228" s="49" t="s">
        <v>93</v>
      </c>
      <c r="I228" s="49">
        <v>1070</v>
      </c>
      <c r="J228" s="49">
        <f>G228*I228</f>
        <v>1070</v>
      </c>
      <c r="K228" s="50"/>
    </row>
    <row r="229" spans="1:11">
      <c r="A229" s="46"/>
      <c r="B229" s="61"/>
      <c r="C229" s="52"/>
      <c r="D229" s="49"/>
      <c r="E229" s="49"/>
      <c r="F229" s="49"/>
      <c r="G229" s="49"/>
      <c r="H229" s="49"/>
      <c r="I229" s="49"/>
      <c r="J229" s="49"/>
      <c r="K229" s="50"/>
    </row>
    <row r="230" spans="1:11">
      <c r="A230" s="46">
        <v>25</v>
      </c>
      <c r="B230" s="85" t="s">
        <v>95</v>
      </c>
      <c r="C230" s="52"/>
      <c r="D230" s="49"/>
      <c r="E230" s="49"/>
      <c r="F230" s="49"/>
      <c r="G230" s="49"/>
      <c r="H230" s="49"/>
      <c r="I230" s="49"/>
      <c r="J230" s="49"/>
      <c r="K230" s="50"/>
    </row>
    <row r="231" spans="1:11">
      <c r="A231" s="46"/>
      <c r="B231" s="63" t="s">
        <v>96</v>
      </c>
      <c r="C231" s="52">
        <v>2</v>
      </c>
      <c r="D231" s="49"/>
      <c r="E231" s="49"/>
      <c r="F231" s="49"/>
      <c r="G231" s="53">
        <f t="shared" ref="G231" si="27">PRODUCT(C231:F231)</f>
        <v>2</v>
      </c>
      <c r="H231" s="49"/>
      <c r="I231" s="49"/>
      <c r="J231" s="49"/>
      <c r="K231" s="50"/>
    </row>
    <row r="232" spans="1:11">
      <c r="A232" s="46"/>
      <c r="B232" s="61"/>
      <c r="C232" s="52"/>
      <c r="D232" s="49"/>
      <c r="E232" s="49"/>
      <c r="F232" s="49"/>
      <c r="G232" s="49">
        <f>SUM(G231:G231)</f>
        <v>2</v>
      </c>
      <c r="H232" s="49" t="s">
        <v>93</v>
      </c>
      <c r="I232" s="49">
        <v>750</v>
      </c>
      <c r="J232" s="49">
        <f>G232*I232</f>
        <v>1500</v>
      </c>
      <c r="K232" s="50"/>
    </row>
    <row r="233" spans="1:11">
      <c r="A233" s="46"/>
      <c r="B233" s="61"/>
      <c r="C233" s="52"/>
      <c r="D233" s="49"/>
      <c r="E233" s="49"/>
      <c r="F233" s="49"/>
      <c r="G233" s="49"/>
      <c r="H233" s="49"/>
      <c r="I233" s="49"/>
      <c r="J233" s="49"/>
      <c r="K233" s="50"/>
    </row>
    <row r="234" spans="1:11" ht="47.25">
      <c r="A234" s="46">
        <v>26</v>
      </c>
      <c r="B234" s="85" t="s">
        <v>135</v>
      </c>
      <c r="C234" s="52"/>
      <c r="D234" s="49"/>
      <c r="E234" s="49"/>
      <c r="F234" s="49"/>
      <c r="G234" s="49"/>
      <c r="H234" s="49"/>
      <c r="I234" s="49"/>
      <c r="J234" s="49"/>
      <c r="K234" s="50"/>
    </row>
    <row r="235" spans="1:11">
      <c r="A235" s="46"/>
      <c r="B235" s="63" t="s">
        <v>136</v>
      </c>
      <c r="C235" s="52">
        <v>1</v>
      </c>
      <c r="D235" s="49"/>
      <c r="E235" s="49"/>
      <c r="F235" s="49"/>
      <c r="G235" s="53">
        <f t="shared" ref="G235" si="28">PRODUCT(C235:F235)</f>
        <v>1</v>
      </c>
      <c r="H235" s="49"/>
      <c r="I235" s="49"/>
      <c r="J235" s="49"/>
      <c r="K235" s="50"/>
    </row>
    <row r="236" spans="1:11">
      <c r="A236" s="46"/>
      <c r="B236" s="61"/>
      <c r="C236" s="52"/>
      <c r="D236" s="49"/>
      <c r="E236" s="49"/>
      <c r="F236" s="49"/>
      <c r="G236" s="49">
        <f>SUM(G235:G235)</f>
        <v>1</v>
      </c>
      <c r="H236" s="49" t="s">
        <v>93</v>
      </c>
      <c r="I236" s="49">
        <v>8656</v>
      </c>
      <c r="J236" s="49">
        <f>G236*I236</f>
        <v>8656</v>
      </c>
      <c r="K236" s="50"/>
    </row>
    <row r="237" spans="1:11">
      <c r="A237" s="46"/>
      <c r="B237" s="61"/>
      <c r="C237" s="52"/>
      <c r="D237" s="49"/>
      <c r="E237" s="49"/>
      <c r="F237" s="49"/>
      <c r="G237" s="49"/>
      <c r="H237" s="49"/>
      <c r="I237" s="49"/>
      <c r="J237" s="49"/>
      <c r="K237" s="50"/>
    </row>
    <row r="238" spans="1:11" ht="195" customHeight="1">
      <c r="A238" s="46">
        <v>27</v>
      </c>
      <c r="B238" s="85" t="s">
        <v>144</v>
      </c>
      <c r="C238" s="52"/>
      <c r="D238" s="49"/>
      <c r="E238" s="49"/>
      <c r="F238" s="49"/>
      <c r="G238" s="49"/>
      <c r="H238" s="49"/>
      <c r="I238" s="49"/>
      <c r="J238" s="49"/>
      <c r="K238" s="50"/>
    </row>
    <row r="239" spans="1:11" ht="31.5">
      <c r="A239" s="46"/>
      <c r="B239" s="63" t="s">
        <v>145</v>
      </c>
      <c r="C239" s="52">
        <v>1</v>
      </c>
      <c r="D239" s="49">
        <v>35</v>
      </c>
      <c r="E239" s="49">
        <v>0.5</v>
      </c>
      <c r="F239" s="49">
        <v>0.3</v>
      </c>
      <c r="G239" s="53">
        <f t="shared" ref="G239" si="29">PRODUCT(C239:F239)</f>
        <v>5.25</v>
      </c>
      <c r="H239" s="49"/>
      <c r="I239" s="49"/>
      <c r="J239" s="49"/>
      <c r="K239" s="50"/>
    </row>
    <row r="240" spans="1:11">
      <c r="A240" s="46"/>
      <c r="B240" s="61"/>
      <c r="C240" s="52"/>
      <c r="D240" s="49"/>
      <c r="E240" s="49"/>
      <c r="F240" s="49"/>
      <c r="G240" s="49">
        <f>SUM(G239:G239)</f>
        <v>5.25</v>
      </c>
      <c r="H240" s="49" t="s">
        <v>18</v>
      </c>
      <c r="I240" s="49">
        <v>73.88</v>
      </c>
      <c r="J240" s="49">
        <f>G240*I240</f>
        <v>387.87</v>
      </c>
      <c r="K240" s="50"/>
    </row>
    <row r="241" spans="1:11">
      <c r="A241" s="46"/>
      <c r="B241" s="61"/>
      <c r="C241" s="52"/>
      <c r="D241" s="49"/>
      <c r="E241" s="49"/>
      <c r="F241" s="49"/>
      <c r="G241" s="49"/>
      <c r="H241" s="49"/>
      <c r="I241" s="49"/>
      <c r="J241" s="49"/>
      <c r="K241" s="50"/>
    </row>
    <row r="242" spans="1:11" ht="110.25">
      <c r="A242" s="46">
        <v>28</v>
      </c>
      <c r="B242" s="85" t="s">
        <v>146</v>
      </c>
      <c r="C242" s="52"/>
      <c r="D242" s="49"/>
      <c r="E242" s="49"/>
      <c r="F242" s="49"/>
      <c r="G242" s="49"/>
      <c r="H242" s="49"/>
      <c r="I242" s="49"/>
      <c r="J242" s="49"/>
      <c r="K242" s="50"/>
    </row>
    <row r="243" spans="1:11" ht="31.5">
      <c r="A243" s="46"/>
      <c r="B243" s="63" t="s">
        <v>145</v>
      </c>
      <c r="C243" s="52">
        <v>1</v>
      </c>
      <c r="D243" s="49">
        <f>D239</f>
        <v>35</v>
      </c>
      <c r="E243" s="49">
        <f>E239</f>
        <v>0.5</v>
      </c>
      <c r="F243" s="49">
        <v>0.15</v>
      </c>
      <c r="G243" s="53">
        <f t="shared" ref="G243" si="30">PRODUCT(C243:F243)</f>
        <v>2.625</v>
      </c>
      <c r="H243" s="49"/>
      <c r="I243" s="49"/>
      <c r="J243" s="49"/>
      <c r="K243" s="50"/>
    </row>
    <row r="244" spans="1:11">
      <c r="A244" s="46"/>
      <c r="B244" s="61"/>
      <c r="C244" s="52"/>
      <c r="D244" s="49"/>
      <c r="E244" s="49"/>
      <c r="F244" s="49"/>
      <c r="G244" s="49">
        <f>SUM(G243:G243)</f>
        <v>2.625</v>
      </c>
      <c r="H244" s="49" t="s">
        <v>18</v>
      </c>
      <c r="I244" s="49">
        <v>4646.1899999999996</v>
      </c>
      <c r="J244" s="49">
        <f>G244*I244</f>
        <v>12196.248749999999</v>
      </c>
      <c r="K244" s="50"/>
    </row>
    <row r="245" spans="1:11">
      <c r="A245" s="46"/>
      <c r="B245" s="61"/>
      <c r="C245" s="52"/>
      <c r="D245" s="49"/>
      <c r="E245" s="49"/>
      <c r="F245" s="49"/>
      <c r="G245" s="49"/>
      <c r="H245" s="49"/>
      <c r="I245" s="49"/>
      <c r="J245" s="49"/>
      <c r="K245" s="50"/>
    </row>
    <row r="246" spans="1:11" ht="94.5">
      <c r="A246" s="46">
        <v>29</v>
      </c>
      <c r="B246" s="85" t="s">
        <v>147</v>
      </c>
      <c r="C246" s="52"/>
      <c r="D246" s="49"/>
      <c r="E246" s="49"/>
      <c r="F246" s="49"/>
      <c r="G246" s="49"/>
      <c r="H246" s="49"/>
      <c r="I246" s="49"/>
      <c r="J246" s="49"/>
      <c r="K246" s="50"/>
    </row>
    <row r="247" spans="1:11" ht="31.5">
      <c r="A247" s="46"/>
      <c r="B247" s="63" t="s">
        <v>145</v>
      </c>
      <c r="C247" s="52">
        <v>1</v>
      </c>
      <c r="D247" s="49">
        <f>D243</f>
        <v>35</v>
      </c>
      <c r="E247" s="49">
        <f>E243</f>
        <v>0.5</v>
      </c>
      <c r="F247" s="49">
        <v>0.15</v>
      </c>
      <c r="G247" s="53">
        <f t="shared" ref="G247" si="31">PRODUCT(C247:F247)</f>
        <v>2.625</v>
      </c>
      <c r="H247" s="49"/>
      <c r="I247" s="49"/>
      <c r="J247" s="49"/>
      <c r="K247" s="50"/>
    </row>
    <row r="248" spans="1:11">
      <c r="A248" s="46"/>
      <c r="B248" s="61"/>
      <c r="C248" s="52"/>
      <c r="D248" s="49"/>
      <c r="E248" s="49"/>
      <c r="F248" s="49"/>
      <c r="G248" s="49">
        <f>SUM(G247:G247)</f>
        <v>2.625</v>
      </c>
      <c r="H248" s="49" t="s">
        <v>18</v>
      </c>
      <c r="I248" s="49">
        <v>12546.42</v>
      </c>
      <c r="J248" s="49">
        <f>G248*I248</f>
        <v>32934.352500000001</v>
      </c>
      <c r="K248" s="50"/>
    </row>
    <row r="249" spans="1:11">
      <c r="A249" s="46"/>
      <c r="B249" s="61"/>
      <c r="C249" s="52"/>
      <c r="D249" s="49"/>
      <c r="E249" s="49"/>
      <c r="F249" s="49"/>
      <c r="G249" s="49"/>
      <c r="H249" s="49"/>
      <c r="I249" s="49"/>
      <c r="J249" s="49"/>
      <c r="K249" s="50"/>
    </row>
    <row r="250" spans="1:11" ht="47.25">
      <c r="A250" s="46">
        <v>30</v>
      </c>
      <c r="B250" s="62" t="s">
        <v>143</v>
      </c>
      <c r="C250" s="52">
        <v>1</v>
      </c>
      <c r="D250" s="49"/>
      <c r="E250" s="49"/>
      <c r="F250" s="49"/>
      <c r="G250" s="49">
        <v>1</v>
      </c>
      <c r="H250" s="49" t="s">
        <v>78</v>
      </c>
      <c r="I250" s="53">
        <v>40000</v>
      </c>
      <c r="J250" s="53">
        <f>G250*I250</f>
        <v>40000</v>
      </c>
      <c r="K250" s="50"/>
    </row>
    <row r="251" spans="1:11">
      <c r="A251" s="46"/>
      <c r="B251" s="67"/>
      <c r="C251" s="52"/>
      <c r="D251" s="49"/>
      <c r="E251" s="49"/>
      <c r="F251" s="53"/>
      <c r="G251" s="49"/>
      <c r="H251" s="49"/>
      <c r="I251" s="53"/>
      <c r="J251" s="53"/>
      <c r="K251" s="50"/>
    </row>
    <row r="252" spans="1:11" ht="33" customHeight="1">
      <c r="A252" s="46">
        <v>31</v>
      </c>
      <c r="B252" s="62" t="s">
        <v>29</v>
      </c>
      <c r="C252" s="52">
        <v>1</v>
      </c>
      <c r="D252" s="49"/>
      <c r="E252" s="49"/>
      <c r="F252" s="49"/>
      <c r="G252" s="49">
        <v>1</v>
      </c>
      <c r="H252" s="49" t="s">
        <v>21</v>
      </c>
      <c r="I252" s="53">
        <v>500</v>
      </c>
      <c r="J252" s="53">
        <f>G252*I252</f>
        <v>500</v>
      </c>
      <c r="K252" s="50"/>
    </row>
    <row r="253" spans="1:11">
      <c r="A253" s="68"/>
      <c r="B253" s="69"/>
      <c r="C253" s="49"/>
      <c r="D253" s="53"/>
      <c r="E253" s="53"/>
      <c r="F253" s="53"/>
      <c r="G253" s="53"/>
      <c r="H253" s="49"/>
      <c r="I253" s="53"/>
      <c r="J253" s="70" t="e">
        <f>SUM(J12:J252)</f>
        <v>#REF!</v>
      </c>
      <c r="K253" s="71"/>
    </row>
    <row r="254" spans="1:11">
      <c r="A254" s="72"/>
      <c r="B254" s="73"/>
      <c r="C254" s="34"/>
      <c r="D254" s="34"/>
      <c r="E254" s="34"/>
      <c r="F254" s="34"/>
      <c r="G254" s="34"/>
      <c r="H254" s="34"/>
      <c r="I254" s="34"/>
      <c r="J254" s="74"/>
      <c r="K254" s="75"/>
    </row>
    <row r="255" spans="1:11">
      <c r="A255" s="72"/>
      <c r="B255" s="44" t="s">
        <v>11</v>
      </c>
      <c r="C255" s="109" t="s">
        <v>22</v>
      </c>
      <c r="D255" s="109"/>
      <c r="E255" s="44" t="s">
        <v>23</v>
      </c>
      <c r="F255" s="76"/>
      <c r="G255" s="77"/>
      <c r="H255" s="76"/>
      <c r="I255" s="77"/>
      <c r="J255" s="76"/>
      <c r="K255" s="76"/>
    </row>
    <row r="256" spans="1:11">
      <c r="A256" s="72"/>
      <c r="B256" s="48" t="s">
        <v>12</v>
      </c>
      <c r="C256" s="110" t="e">
        <f>+J253</f>
        <v>#REF!</v>
      </c>
      <c r="D256" s="110"/>
      <c r="E256" s="78"/>
      <c r="F256" s="76"/>
      <c r="G256" s="79"/>
      <c r="H256" s="76"/>
      <c r="I256" s="77"/>
      <c r="J256" s="76"/>
      <c r="K256" s="76"/>
    </row>
    <row r="257" spans="1:11">
      <c r="A257" s="72"/>
      <c r="B257" s="48" t="s">
        <v>137</v>
      </c>
      <c r="C257" s="111" t="e">
        <f>C256*13%</f>
        <v>#REF!</v>
      </c>
      <c r="D257" s="112"/>
      <c r="E257" s="78"/>
      <c r="F257" s="76"/>
      <c r="G257" s="79"/>
      <c r="H257" s="76"/>
      <c r="I257" s="77"/>
      <c r="J257" s="76"/>
      <c r="K257" s="76"/>
    </row>
    <row r="258" spans="1:11">
      <c r="A258" s="72"/>
      <c r="B258" s="48" t="s">
        <v>138</v>
      </c>
      <c r="C258" s="111" t="e">
        <f>SUM(C256:D257)</f>
        <v>#REF!</v>
      </c>
      <c r="D258" s="112"/>
      <c r="E258" s="78"/>
      <c r="F258" s="76"/>
      <c r="G258" s="79"/>
      <c r="H258" s="76"/>
      <c r="I258" s="77"/>
      <c r="J258" s="76"/>
      <c r="K258" s="76"/>
    </row>
    <row r="259" spans="1:11">
      <c r="F259" s="6"/>
    </row>
  </sheetData>
  <sheetProtection algorithmName="SHA-512" hashValue="sz8XRGqmWy6OAvZ9EjQDY5sDy5cYWWdIsOazlEgozQagzoEjKz9SUk6jsipL72ADmEoqNi/4Sm//dalcB0zxiw==" saltValue="yKxP2jej3y1AOUNsqhgsMw==" spinCount="100000" sheet="1" objects="1" scenarios="1"/>
  <mergeCells count="11">
    <mergeCell ref="C255:D255"/>
    <mergeCell ref="C256:D256"/>
    <mergeCell ref="C257:D257"/>
    <mergeCell ref="C258:D258"/>
    <mergeCell ref="A1:K1"/>
    <mergeCell ref="A2:K2"/>
    <mergeCell ref="A3:K3"/>
    <mergeCell ref="A4:K4"/>
    <mergeCell ref="J5:K5"/>
    <mergeCell ref="A6:F6"/>
    <mergeCell ref="H6:K6"/>
  </mergeCells>
  <printOptions horizontalCentered="1"/>
  <pageMargins left="0.511811023622047" right="0.511811023622047" top="0.39370078740157499" bottom="0.70866141732283505" header="0.31496062992126" footer="0.31496062992126"/>
  <pageSetup paperSize="9" scale="80" fitToHeight="2" orientation="portrait" r:id="rId1"/>
  <headerFooter>
    <oddHeader>&amp;RPage &amp;P of &amp;N</oddHeader>
    <oddFooter>&amp;LPrepared By:&amp;CChecked By:&amp;RApproved By:</oddFooter>
  </headerFooter>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2</vt:i4>
      </vt:variant>
    </vt:vector>
  </HeadingPairs>
  <TitlesOfParts>
    <vt:vector size="5" baseType="lpstr">
      <vt:lpstr>Sheet1</vt:lpstr>
      <vt:lpstr>Size of water tank</vt:lpstr>
      <vt:lpstr>estimated</vt:lpstr>
      <vt:lpstr>estimated!Print_Area</vt:lpstr>
      <vt:lpstr>estimated!Print_Titles</vt:lpstr>
    </vt:vector>
  </TitlesOfParts>
  <Company>Deftones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cp:lastPrinted>2026-09-11T07:00:17Z</cp:lastPrinted>
  <dcterms:created xsi:type="dcterms:W3CDTF">2015-02-11T06:39:48Z</dcterms:created>
  <dcterms:modified xsi:type="dcterms:W3CDTF">2026-09-14T08:09:11Z</dcterms:modified>
</cp:coreProperties>
</file>