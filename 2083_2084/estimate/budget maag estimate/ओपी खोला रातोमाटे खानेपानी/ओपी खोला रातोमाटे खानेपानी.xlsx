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C9F0113D-C5A3-4724-9206-C5F4D84F8EC8}" xr6:coauthVersionLast="47" xr6:coauthVersionMax="47" xr10:uidLastSave="{00000000-0000-0000-0000-000000000000}"/>
  <bookViews>
    <workbookView xWindow="-120" yWindow="-120" windowWidth="2064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13" l="1"/>
  <c r="J22" i="13" s="1"/>
  <c r="C15" i="13" l="1"/>
  <c r="D15" i="13"/>
  <c r="D19" i="13" s="1"/>
  <c r="C19" i="13" l="1"/>
  <c r="F19" i="13" l="1"/>
  <c r="G19" i="13" s="1"/>
  <c r="G20" i="13" l="1"/>
  <c r="G15" i="13"/>
  <c r="G16" i="13" s="1"/>
  <c r="J16" i="13" s="1"/>
  <c r="G11" i="13"/>
  <c r="G12" i="13" s="1"/>
  <c r="J12" i="13" l="1"/>
  <c r="J20" i="13"/>
  <c r="C33" i="13" l="1"/>
  <c r="C32" i="13"/>
  <c r="G24" i="13"/>
  <c r="J24" i="13" s="1"/>
  <c r="J26" i="13" s="1"/>
  <c r="C30" i="13" l="1"/>
  <c r="C28" i="13" l="1"/>
  <c r="C31" i="13" s="1"/>
  <c r="E30" i="13" l="1"/>
  <c r="E31" i="13" s="1"/>
</calcChain>
</file>

<file path=xl/sharedStrings.xml><?xml version="1.0" encoding="utf-8"?>
<sst xmlns="http://schemas.openxmlformats.org/spreadsheetml/2006/main" count="48" uniqueCount="46">
  <si>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</si>
  <si>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</si>
  <si>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</si>
  <si>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</si>
  <si>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</si>
  <si>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</si>
  <si>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</si>
  <si>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</si>
  <si>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</si>
  <si>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</si>
  <si>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</si>
  <si>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</si>
  <si>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</si>
  <si>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</si>
  <si>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</si>
  <si>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</si>
  <si>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</si>
  <si>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</si>
  <si>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</si>
  <si>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</si>
  <si>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</si>
  <si>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</si>
  <si>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</si>
  <si>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</si>
  <si>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</si>
  <si>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User contribution</t>
  </si>
  <si>
    <t>Length (m)</t>
  </si>
  <si>
    <t>sub-total</t>
  </si>
  <si>
    <t>cum</t>
  </si>
  <si>
    <t>-High Density Polythene Pipe NS 40 pipe material PE 100, PN 16</t>
  </si>
  <si>
    <t>Weight (Kg/m)</t>
  </si>
  <si>
    <t>Total weight (Kg)</t>
  </si>
  <si>
    <t>kg</t>
  </si>
  <si>
    <t>Location:- Shankharapur Municipality 1</t>
  </si>
  <si>
    <t>-for pipe laying</t>
  </si>
  <si>
    <t>rm</t>
  </si>
  <si>
    <t>A</t>
  </si>
  <si>
    <t>Pipe works</t>
  </si>
  <si>
    <t>-for pipe laying for tap distribution</t>
  </si>
  <si>
    <r>
      <t>Project:-</t>
    </r>
    <r>
      <rPr>
        <sz val="12"/>
        <rFont val="Preeti"/>
      </rPr>
      <t xml:space="preserve"> </t>
    </r>
    <r>
      <rPr>
        <sz val="14"/>
        <rFont val="Preeti"/>
      </rPr>
      <t>cf]kL vf]nf /ftf]df6]</t>
    </r>
  </si>
  <si>
    <t>-for 50mm pipe laying for distribution</t>
  </si>
  <si>
    <t>Laying and joining of 50 mmØ HDPE pipe with butt-weld joints</t>
  </si>
  <si>
    <t>g/d k|sf/sf] Sn] / l;N6L df6f]df ;j} lsl;dsf] vGg] sfd</t>
  </si>
  <si>
    <t>GI pipe threaded light class 50mm</t>
  </si>
  <si>
    <t>F.Y.: 2083/2084</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</si>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</sst>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14" fillId="2" borderId="2" xfId="0" applyFont="1" applyFill="1" applyBorder="1" applyAlignment="1">
      <alignmen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
  <sheetViews>
    <sheetView tabSelected="1" topLeftCell="A21" zoomScaleNormal="100" workbookViewId="0">
      <selection activeCell="I32" sqref="I32"/>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3" t="s">
        <v>0</v>
      </c>
      <c r="B1" s="43"/>
      <c r="C1" s="43"/>
      <c r="D1" s="43"/>
      <c r="E1" s="43"/>
      <c r="F1" s="43"/>
      <c r="G1" s="43"/>
      <c r="H1" s="43"/>
      <c r="I1" s="43"/>
      <c r="J1" s="43"/>
      <c r="K1" s="43"/>
    </row>
    <row r="2" spans="1:25" ht="22.5" x14ac:dyDescent="0.25">
      <c r="A2" s="44" t="s">
        <v>1</v>
      </c>
      <c r="B2" s="44"/>
      <c r="C2" s="44"/>
      <c r="D2" s="44"/>
      <c r="E2" s="44"/>
      <c r="F2" s="44"/>
      <c r="G2" s="44"/>
      <c r="H2" s="44"/>
      <c r="I2" s="44"/>
      <c r="J2" s="44"/>
      <c r="K2" s="44"/>
    </row>
    <row r="3" spans="1:25" x14ac:dyDescent="0.25">
      <c r="A3" s="45" t="s">
        <v>2</v>
      </c>
      <c r="B3" s="45"/>
      <c r="C3" s="45"/>
      <c r="D3" s="45"/>
      <c r="E3" s="45"/>
      <c r="F3" s="45"/>
      <c r="G3" s="45"/>
      <c r="H3" s="45"/>
      <c r="I3" s="45"/>
      <c r="J3" s="45"/>
      <c r="K3" s="45"/>
    </row>
    <row r="4" spans="1:25" x14ac:dyDescent="0.25">
      <c r="A4" s="45" t="s">
        <v>3</v>
      </c>
      <c r="B4" s="45"/>
      <c r="C4" s="45"/>
      <c r="D4" s="45"/>
      <c r="E4" s="45"/>
      <c r="F4" s="45"/>
      <c r="G4" s="45"/>
      <c r="H4" s="45"/>
      <c r="I4" s="45"/>
      <c r="J4" s="45"/>
      <c r="K4" s="45"/>
    </row>
    <row r="5" spans="1:25" ht="18.75" x14ac:dyDescent="0.3">
      <c r="A5" s="46" t="s">
        <v>4</v>
      </c>
      <c r="B5" s="46"/>
      <c r="C5" s="46"/>
      <c r="D5" s="46"/>
      <c r="E5" s="46"/>
      <c r="F5" s="46"/>
      <c r="G5" s="46"/>
      <c r="H5" s="46"/>
      <c r="I5" s="46"/>
      <c r="J5" s="46"/>
      <c r="K5" s="46"/>
    </row>
    <row r="6" spans="1:25" ht="18" x14ac:dyDescent="0.25">
      <c r="A6" s="47" t="s">
        <v>39</v>
      </c>
      <c r="B6" s="47"/>
      <c r="C6" s="47"/>
      <c r="D6" s="47"/>
      <c r="E6" s="47"/>
      <c r="F6" s="47"/>
      <c r="G6" s="3"/>
      <c r="H6" s="48" t="s">
        <v>44</v>
      </c>
      <c r="I6" s="48"/>
      <c r="J6" s="48"/>
      <c r="K6" s="48"/>
    </row>
    <row r="7" spans="1:25" ht="15.75" x14ac:dyDescent="0.25">
      <c r="A7" s="41" t="s">
        <v>33</v>
      </c>
      <c r="B7" s="41"/>
      <c r="C7" s="41"/>
      <c r="D7" s="41"/>
      <c r="E7" s="41"/>
      <c r="F7" s="41"/>
      <c r="G7" s="4"/>
      <c r="H7" s="42" t="s">
        <v>45</v>
      </c>
      <c r="I7" s="42"/>
      <c r="J7" s="42"/>
      <c r="K7" s="42"/>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36</v>
      </c>
      <c r="B9" s="6" t="s">
        <v>37</v>
      </c>
      <c r="C9" s="5"/>
      <c r="D9" s="7"/>
      <c r="E9" s="7"/>
      <c r="F9" s="7"/>
      <c r="G9" s="7"/>
      <c r="H9" s="5"/>
      <c r="I9" s="7"/>
      <c r="J9" s="7"/>
      <c r="K9" s="8"/>
    </row>
    <row r="10" spans="1:25" ht="30.75" x14ac:dyDescent="0.25">
      <c r="A10" s="17">
        <v>1</v>
      </c>
      <c r="B10" s="54" t="s">
        <v>42</v>
      </c>
      <c r="C10" s="19"/>
      <c r="D10" s="19"/>
      <c r="E10" s="19"/>
      <c r="F10" s="19"/>
      <c r="G10" s="19"/>
      <c r="H10" s="19"/>
      <c r="I10" s="19"/>
      <c r="J10" s="16"/>
      <c r="K10" s="19"/>
      <c r="M10" s="10"/>
      <c r="N10" s="10"/>
      <c r="O10" s="10"/>
      <c r="P10" s="10"/>
      <c r="Q10" s="10"/>
      <c r="R10" s="10"/>
      <c r="S10" s="10"/>
      <c r="T10" s="10"/>
      <c r="U10" s="10"/>
      <c r="V10" s="10"/>
      <c r="W10" s="10"/>
      <c r="X10" s="10"/>
      <c r="Y10" s="10"/>
    </row>
    <row r="11" spans="1:25" x14ac:dyDescent="0.25">
      <c r="A11" s="17"/>
      <c r="B11" s="18" t="s">
        <v>38</v>
      </c>
      <c r="C11" s="19">
        <v>1</v>
      </c>
      <c r="D11" s="20">
        <v>250</v>
      </c>
      <c r="E11" s="19">
        <v>0.15</v>
      </c>
      <c r="F11" s="19">
        <v>0.45</v>
      </c>
      <c r="G11" s="20">
        <f t="shared" ref="G11" si="0">PRODUCT(C11:F11)</f>
        <v>16.875</v>
      </c>
      <c r="H11" s="19"/>
      <c r="I11" s="19"/>
      <c r="J11" s="16"/>
      <c r="K11" s="19"/>
    </row>
    <row r="12" spans="1:25" s="10" customFormat="1" x14ac:dyDescent="0.25">
      <c r="A12" s="11"/>
      <c r="B12" s="37" t="s">
        <v>27</v>
      </c>
      <c r="C12" s="13"/>
      <c r="D12" s="1"/>
      <c r="E12" s="14"/>
      <c r="F12" s="14"/>
      <c r="G12" s="38">
        <f>SUM(G11:G11)</f>
        <v>16.875</v>
      </c>
      <c r="H12" s="15" t="s">
        <v>28</v>
      </c>
      <c r="I12" s="2">
        <v>721</v>
      </c>
      <c r="J12" s="38">
        <f>G12*I12</f>
        <v>12166.875</v>
      </c>
      <c r="K12" s="14"/>
      <c r="M12" s="9"/>
      <c r="N12" s="9"/>
      <c r="O12" s="9"/>
      <c r="P12" s="9"/>
      <c r="Q12" s="9"/>
      <c r="R12" s="9"/>
      <c r="S12" s="9"/>
      <c r="T12" s="9"/>
      <c r="U12" s="9"/>
      <c r="V12" s="9"/>
      <c r="W12" s="9"/>
      <c r="X12" s="9"/>
      <c r="Y12" s="9"/>
    </row>
    <row r="13" spans="1:25" x14ac:dyDescent="0.25">
      <c r="A13" s="17"/>
      <c r="B13" s="18"/>
      <c r="C13" s="19"/>
      <c r="D13" s="19"/>
      <c r="E13" s="19"/>
      <c r="F13" s="19"/>
      <c r="G13" s="19"/>
      <c r="H13" s="19"/>
      <c r="I13" s="19"/>
      <c r="J13" s="16"/>
      <c r="K13" s="19"/>
    </row>
    <row r="14" spans="1:25" ht="30" x14ac:dyDescent="0.25">
      <c r="A14" s="17">
        <v>2</v>
      </c>
      <c r="B14" s="36" t="s">
        <v>41</v>
      </c>
      <c r="C14" s="19"/>
      <c r="D14" s="19"/>
      <c r="E14" s="19"/>
      <c r="F14" s="19"/>
      <c r="G14" s="19"/>
      <c r="H14" s="19"/>
      <c r="I14" s="19"/>
      <c r="J14" s="19"/>
      <c r="K14" s="19"/>
      <c r="M14" s="10"/>
      <c r="N14" s="10"/>
      <c r="O14" s="10"/>
      <c r="P14" s="10"/>
      <c r="Q14" s="10"/>
      <c r="R14" s="10"/>
      <c r="S14" s="10"/>
      <c r="T14" s="10"/>
      <c r="U14" s="10"/>
      <c r="V14" s="10"/>
      <c r="W14" s="10"/>
      <c r="X14" s="10"/>
      <c r="Y14" s="10"/>
    </row>
    <row r="15" spans="1:25" x14ac:dyDescent="0.25">
      <c r="A15" s="17"/>
      <c r="B15" s="18" t="s">
        <v>34</v>
      </c>
      <c r="C15" s="19">
        <f>C11</f>
        <v>1</v>
      </c>
      <c r="D15" s="20">
        <f>D11</f>
        <v>250</v>
      </c>
      <c r="E15" s="19"/>
      <c r="F15" s="19"/>
      <c r="G15" s="20">
        <f t="shared" ref="G15" si="1">PRODUCT(C15:F15)</f>
        <v>250</v>
      </c>
      <c r="H15" s="19"/>
      <c r="I15" s="19"/>
      <c r="J15" s="16"/>
      <c r="K15" s="19"/>
    </row>
    <row r="16" spans="1:25" s="10" customFormat="1" x14ac:dyDescent="0.25">
      <c r="A16" s="11"/>
      <c r="B16" s="37" t="s">
        <v>27</v>
      </c>
      <c r="C16" s="13"/>
      <c r="D16" s="1"/>
      <c r="E16" s="14"/>
      <c r="F16" s="14"/>
      <c r="G16" s="38">
        <f>SUM(G15:G15)</f>
        <v>250</v>
      </c>
      <c r="H16" s="15" t="s">
        <v>35</v>
      </c>
      <c r="I16" s="2">
        <v>6.91</v>
      </c>
      <c r="J16" s="38">
        <f>G16*I16</f>
        <v>1727.5</v>
      </c>
      <c r="K16" s="14"/>
      <c r="M16" s="9"/>
      <c r="N16" s="9"/>
      <c r="O16" s="9"/>
      <c r="P16" s="9"/>
      <c r="Q16" s="9"/>
      <c r="R16" s="9"/>
      <c r="S16" s="9"/>
      <c r="T16" s="9"/>
      <c r="U16" s="9"/>
      <c r="V16" s="9"/>
      <c r="W16" s="9"/>
      <c r="X16" s="9"/>
      <c r="Y16" s="9"/>
    </row>
    <row r="17" spans="1:25" x14ac:dyDescent="0.25">
      <c r="A17" s="17"/>
      <c r="B17" s="36"/>
      <c r="C17" s="19"/>
      <c r="D17" s="19"/>
      <c r="E17" s="19"/>
      <c r="F17" s="19"/>
      <c r="G17" s="19"/>
      <c r="H17" s="19"/>
      <c r="I17" s="19"/>
      <c r="J17" s="19"/>
      <c r="K17" s="19"/>
      <c r="M17" s="10"/>
      <c r="N17" s="10"/>
      <c r="O17" s="10"/>
      <c r="P17" s="10"/>
      <c r="Q17" s="10"/>
      <c r="R17" s="10"/>
      <c r="S17" s="10"/>
      <c r="T17" s="10"/>
      <c r="U17" s="10"/>
      <c r="V17" s="10"/>
      <c r="W17" s="10"/>
      <c r="X17" s="10"/>
      <c r="Y17" s="10"/>
    </row>
    <row r="18" spans="1:25" ht="45" x14ac:dyDescent="0.25">
      <c r="A18" s="17">
        <v>3</v>
      </c>
      <c r="B18" s="39" t="s">
        <v>29</v>
      </c>
      <c r="C18" s="19"/>
      <c r="D18" s="21" t="s">
        <v>26</v>
      </c>
      <c r="E18" s="21" t="s">
        <v>30</v>
      </c>
      <c r="F18" s="21" t="s">
        <v>31</v>
      </c>
      <c r="G18" s="19"/>
      <c r="H18" s="19"/>
      <c r="I18" s="19"/>
      <c r="J18" s="16"/>
      <c r="K18" s="19"/>
    </row>
    <row r="19" spans="1:25" s="10" customFormat="1" ht="30" x14ac:dyDescent="0.25">
      <c r="A19" s="17"/>
      <c r="B19" s="40" t="s">
        <v>40</v>
      </c>
      <c r="C19" s="22">
        <f>C15</f>
        <v>1</v>
      </c>
      <c r="D19" s="31">
        <f>D15</f>
        <v>250</v>
      </c>
      <c r="E19" s="22">
        <v>0.80800000000000005</v>
      </c>
      <c r="F19" s="22">
        <f>C19*D19*E19</f>
        <v>202</v>
      </c>
      <c r="G19" s="31">
        <f>F19</f>
        <v>202</v>
      </c>
      <c r="H19" s="22"/>
      <c r="I19" s="22"/>
      <c r="J19" s="15"/>
      <c r="K19" s="22"/>
      <c r="M19" s="9"/>
      <c r="N19" s="9"/>
      <c r="O19" s="9"/>
      <c r="P19" s="9"/>
      <c r="Q19" s="9"/>
      <c r="R19" s="9"/>
      <c r="S19" s="9"/>
      <c r="T19" s="9"/>
      <c r="U19" s="9"/>
      <c r="V19" s="9"/>
      <c r="W19" s="9"/>
      <c r="X19" s="9"/>
      <c r="Y19" s="9"/>
    </row>
    <row r="20" spans="1:25" ht="15" customHeight="1" x14ac:dyDescent="0.25">
      <c r="A20" s="11"/>
      <c r="B20" s="12" t="s">
        <v>16</v>
      </c>
      <c r="C20" s="13"/>
      <c r="D20" s="1"/>
      <c r="E20" s="14"/>
      <c r="F20" s="14"/>
      <c r="G20" s="2">
        <f>SUM(G19:G19)</f>
        <v>202</v>
      </c>
      <c r="H20" s="15" t="s">
        <v>32</v>
      </c>
      <c r="I20" s="2">
        <v>315</v>
      </c>
      <c r="J20" s="16">
        <f>G20*I20</f>
        <v>63630</v>
      </c>
      <c r="K20" s="14"/>
    </row>
    <row r="21" spans="1:25" x14ac:dyDescent="0.25">
      <c r="A21" s="17"/>
      <c r="B21" s="19"/>
      <c r="C21" s="19"/>
      <c r="D21" s="19"/>
      <c r="E21" s="19"/>
      <c r="F21" s="19"/>
      <c r="G21" s="19"/>
      <c r="H21" s="19"/>
      <c r="I21" s="19"/>
      <c r="J21" s="19"/>
      <c r="K21" s="19"/>
    </row>
    <row r="22" spans="1:25" ht="15" customHeight="1" x14ac:dyDescent="0.25">
      <c r="A22" s="11">
        <v>4</v>
      </c>
      <c r="B22" s="23" t="s">
        <v>43</v>
      </c>
      <c r="C22" s="13">
        <v>1</v>
      </c>
      <c r="D22" s="1">
        <v>12</v>
      </c>
      <c r="E22" s="14"/>
      <c r="F22" s="14"/>
      <c r="G22" s="15">
        <f t="shared" ref="G22" si="2">PRODUCT(C22:F22)</f>
        <v>12</v>
      </c>
      <c r="H22" s="15" t="s">
        <v>35</v>
      </c>
      <c r="I22" s="2">
        <v>705</v>
      </c>
      <c r="J22" s="15">
        <f>G22*I22</f>
        <v>8460</v>
      </c>
      <c r="K22" s="14"/>
    </row>
    <row r="23" spans="1:25" x14ac:dyDescent="0.25">
      <c r="A23" s="11"/>
      <c r="B23" s="24"/>
      <c r="C23" s="13"/>
      <c r="D23" s="1"/>
      <c r="E23" s="14"/>
      <c r="F23" s="14"/>
      <c r="G23" s="2"/>
      <c r="H23" s="15"/>
      <c r="I23" s="2"/>
      <c r="J23" s="16"/>
      <c r="K23" s="14"/>
    </row>
    <row r="24" spans="1:25" ht="15" customHeight="1" x14ac:dyDescent="0.25">
      <c r="A24" s="11">
        <v>5</v>
      </c>
      <c r="B24" s="23" t="s">
        <v>17</v>
      </c>
      <c r="C24" s="13">
        <v>1</v>
      </c>
      <c r="D24" s="1"/>
      <c r="E24" s="14"/>
      <c r="F24" s="14"/>
      <c r="G24" s="15">
        <f t="shared" ref="G24" si="3">PRODUCT(C24:F24)</f>
        <v>1</v>
      </c>
      <c r="H24" s="15" t="s">
        <v>18</v>
      </c>
      <c r="I24" s="2">
        <v>500</v>
      </c>
      <c r="J24" s="15">
        <f>G24*I24</f>
        <v>500</v>
      </c>
      <c r="K24" s="14"/>
    </row>
    <row r="25" spans="1:25" x14ac:dyDescent="0.25">
      <c r="A25" s="11"/>
      <c r="B25" s="24"/>
      <c r="C25" s="13"/>
      <c r="D25" s="1"/>
      <c r="E25" s="14"/>
      <c r="F25" s="14"/>
      <c r="G25" s="2"/>
      <c r="H25" s="15"/>
      <c r="I25" s="2"/>
      <c r="J25" s="16"/>
      <c r="K25" s="14"/>
    </row>
    <row r="26" spans="1:25" x14ac:dyDescent="0.25">
      <c r="A26" s="25"/>
      <c r="B26" s="26" t="s">
        <v>20</v>
      </c>
      <c r="C26" s="27"/>
      <c r="D26" s="28"/>
      <c r="E26" s="28"/>
      <c r="F26" s="28"/>
      <c r="G26" s="16"/>
      <c r="H26" s="16"/>
      <c r="I26" s="16"/>
      <c r="J26" s="16">
        <f>SUM(J10:J24)</f>
        <v>86484.375</v>
      </c>
      <c r="K26" s="29"/>
      <c r="M26" s="10"/>
      <c r="N26" s="10"/>
      <c r="O26" s="10"/>
      <c r="P26" s="10"/>
      <c r="Q26" s="10"/>
      <c r="R26" s="10"/>
      <c r="S26" s="10"/>
      <c r="T26" s="10"/>
      <c r="U26" s="10"/>
      <c r="V26" s="10"/>
      <c r="W26" s="10"/>
      <c r="X26" s="10"/>
      <c r="Y26" s="10"/>
    </row>
    <row r="28" spans="1:25" s="10" customFormat="1" x14ac:dyDescent="0.25">
      <c r="A28" s="30"/>
      <c r="B28" s="22" t="s">
        <v>19</v>
      </c>
      <c r="C28" s="49">
        <f>J26</f>
        <v>86484.375</v>
      </c>
      <c r="D28" s="50"/>
      <c r="E28" s="31">
        <v>100</v>
      </c>
      <c r="F28" s="30"/>
      <c r="G28" s="32"/>
      <c r="H28" s="30"/>
      <c r="I28" s="33"/>
      <c r="J28" s="34"/>
      <c r="K28" s="35"/>
      <c r="M28" s="9"/>
      <c r="N28" s="9"/>
      <c r="O28" s="9"/>
      <c r="P28" s="9"/>
      <c r="Q28" s="9"/>
      <c r="R28" s="9"/>
      <c r="S28" s="9"/>
      <c r="T28" s="9"/>
      <c r="U28" s="9"/>
      <c r="V28" s="9"/>
      <c r="W28" s="9"/>
      <c r="X28" s="9"/>
      <c r="Y28" s="9"/>
    </row>
    <row r="29" spans="1:25" x14ac:dyDescent="0.25">
      <c r="B29" s="22" t="s">
        <v>21</v>
      </c>
      <c r="C29" s="51">
        <v>75000</v>
      </c>
      <c r="D29" s="52"/>
      <c r="E29" s="31"/>
    </row>
    <row r="30" spans="1:25" x14ac:dyDescent="0.25">
      <c r="B30" s="22" t="s">
        <v>22</v>
      </c>
      <c r="C30" s="51">
        <f>C29-C32-C33</f>
        <v>71250</v>
      </c>
      <c r="D30" s="52"/>
      <c r="E30" s="31">
        <f>C30/C28*100</f>
        <v>82.384823848238483</v>
      </c>
    </row>
    <row r="31" spans="1:25" x14ac:dyDescent="0.25">
      <c r="B31" s="22" t="s">
        <v>25</v>
      </c>
      <c r="C31" s="53">
        <f>C28-C30</f>
        <v>15234.375</v>
      </c>
      <c r="D31" s="53"/>
      <c r="E31" s="31">
        <f>100-E30</f>
        <v>17.615176151761517</v>
      </c>
    </row>
    <row r="32" spans="1:25" x14ac:dyDescent="0.25">
      <c r="B32" s="22" t="s">
        <v>23</v>
      </c>
      <c r="C32" s="49">
        <f>C29*0.03</f>
        <v>2250</v>
      </c>
      <c r="D32" s="50"/>
      <c r="E32" s="31">
        <v>3</v>
      </c>
    </row>
    <row r="33" spans="2:5" x14ac:dyDescent="0.25">
      <c r="B33" s="22" t="s">
        <v>24</v>
      </c>
      <c r="C33" s="49">
        <f>C29*0.02</f>
        <v>1500</v>
      </c>
      <c r="D33" s="50"/>
      <c r="E33" s="31">
        <v>2</v>
      </c>
    </row>
  </sheetData>
  <mergeCells count="15">
    <mergeCell ref="C33:D33"/>
    <mergeCell ref="C28:D28"/>
    <mergeCell ref="C29:D29"/>
    <mergeCell ref="C30:D30"/>
    <mergeCell ref="C31:D31"/>
    <mergeCell ref="C32:D32"/>
    <mergeCell ref="A7:F7"/>
    <mergeCell ref="H7:K7"/>
    <mergeCell ref="A1:K1"/>
    <mergeCell ref="A2:K2"/>
    <mergeCell ref="A3:K3"/>
    <mergeCell ref="A4:K4"/>
    <mergeCell ref="A5:K5"/>
    <mergeCell ref="A6:F6"/>
    <mergeCell ref="H6:K6"/>
  </mergeCells>
  <pageMargins left="0.7" right="0.7" top="0.75" bottom="0.75" header="0.3" footer="0.3"/>
  <pageSetup paperSize="9"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2026-10-27T09:18:35Z</dcterms:modified>
</cp:coreProperties>
</file>