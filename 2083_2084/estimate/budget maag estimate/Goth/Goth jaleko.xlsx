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filterPrivacy="1" defaultThemeVersion="124226"/>
  <xr:revisionPtr revIDLastSave="0" documentId="13_ncr:1_{AC3B557A-A136-47DC-BD26-EE72F213366E}" xr6:coauthVersionLast="47" xr6:coauthVersionMax="47" xr10:uidLastSave="{00000000-0000-0000-0000-000000000000}"/>
  <bookViews>
    <workbookView xWindow="-120" yWindow="-120" windowWidth="20730" windowHeight="11040" xr2:uid="{00000000-000D-0000-FFFF-FFFF00000000}"/>
  </bookViews>
  <sheets>
    <sheet name="estimate" sheetId="12" r:id="rId1"/>
    <sheet name="WCR" sheetId="13" r:id="rId2"/>
  </sheets>
  <externalReferences>
    <externalReference r:id="rId3"/>
    <externalReference r:id="rId4"/>
    <externalReference r:id="rId5"/>
    <externalReference r:id="rId6"/>
  </externalReferences>
  <definedNames>
    <definedName name="description_103" localSheetId="1">#REF!</definedName>
    <definedName name="description_103">[1]Abstract!$B$16</definedName>
    <definedName name="description_124" localSheetId="0">#REF!</definedName>
    <definedName name="description_124" localSheetId="1">#REF!</definedName>
    <definedName name="description_124">#REF!</definedName>
    <definedName name="description_247" localSheetId="1">#REF!</definedName>
    <definedName name="description_247">[1]Abstract!$B$22</definedName>
    <definedName name="description_248" localSheetId="1">#REF!</definedName>
    <definedName name="description_248">[1]Abstract!$B$23</definedName>
    <definedName name="description_261" localSheetId="1">#REF!</definedName>
    <definedName name="description_261">[2]Abstract!$B$33</definedName>
    <definedName name="description_262" localSheetId="1">#REF!</definedName>
    <definedName name="description_262">[1]Abstract!$B$34</definedName>
    <definedName name="description_276" localSheetId="1">#REF!</definedName>
    <definedName name="description_276">[3]Abstract!$B$40</definedName>
    <definedName name="description_3" localSheetId="1">#REF!</definedName>
    <definedName name="description_3">[1]Abstract!$B$169</definedName>
    <definedName name="description_310" localSheetId="0">#REF!</definedName>
    <definedName name="description_310" localSheetId="1">#REF!</definedName>
    <definedName name="description_310">#REF!</definedName>
    <definedName name="description_312" localSheetId="0">#REF!</definedName>
    <definedName name="description_312" localSheetId="1">#REF!</definedName>
    <definedName name="description_312">#REF!</definedName>
    <definedName name="description_4">#REF!</definedName>
    <definedName name="description_5" localSheetId="1">#REF!</definedName>
    <definedName name="description_5">[1]Abstract!$B$171</definedName>
    <definedName name="description_6" localSheetId="0">#REF!</definedName>
    <definedName name="description_6" localSheetId="1">#REF!</definedName>
    <definedName name="description_6">#REF!</definedName>
    <definedName name="description_759" localSheetId="1">#REF!</definedName>
    <definedName name="description_759">[1]Abstract!$B$278</definedName>
    <definedName name="description_781" localSheetId="0">#REF!</definedName>
    <definedName name="description_781" localSheetId="1">#REF!</definedName>
    <definedName name="description_781">#REF!</definedName>
    <definedName name="description_783" localSheetId="1">#REF!</definedName>
    <definedName name="description_783">[1]Abstract!$B$301</definedName>
    <definedName name="description_784" localSheetId="1">#REF!</definedName>
    <definedName name="description_784">[3]Abstract!$B$300</definedName>
    <definedName name="_xlnm.Print_Area" localSheetId="0">estimate!$A$1:$K$23</definedName>
    <definedName name="_xlnm.Print_Area" localSheetId="1">WCR!$A$1:$K$49</definedName>
    <definedName name="_xlnm.Print_Titles" localSheetId="0">estimate!$1:$8</definedName>
    <definedName name="_xlnm.Print_Titles" localSheetId="1">WCR!$1:$12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1" i="12" l="1"/>
  <c r="E10" i="12"/>
  <c r="D10" i="12"/>
  <c r="F30" i="13"/>
  <c r="F31" i="13"/>
  <c r="F32" i="13"/>
  <c r="F33" i="13"/>
  <c r="F29" i="13"/>
  <c r="H47" i="13"/>
  <c r="G47" i="13"/>
  <c r="E47" i="13"/>
  <c r="C47" i="13"/>
  <c r="B47" i="13"/>
  <c r="A47" i="13"/>
  <c r="I45" i="13"/>
  <c r="H44" i="13"/>
  <c r="G44" i="13"/>
  <c r="F45" i="13"/>
  <c r="E44" i="13"/>
  <c r="D44" i="13"/>
  <c r="C44" i="13"/>
  <c r="B45" i="13"/>
  <c r="B44" i="13"/>
  <c r="A44" i="13"/>
  <c r="H41" i="13"/>
  <c r="F42" i="13"/>
  <c r="E41" i="13"/>
  <c r="D41" i="13"/>
  <c r="C41" i="13"/>
  <c r="B42" i="13"/>
  <c r="B41" i="13"/>
  <c r="A41" i="13"/>
  <c r="B37" i="13"/>
  <c r="F37" i="13"/>
  <c r="B38" i="13"/>
  <c r="F38" i="13"/>
  <c r="B39" i="13"/>
  <c r="F39" i="13"/>
  <c r="H35" i="13"/>
  <c r="F36" i="13"/>
  <c r="E35" i="13"/>
  <c r="D35" i="13"/>
  <c r="C35" i="13"/>
  <c r="B36" i="13"/>
  <c r="B35" i="13"/>
  <c r="A35" i="13"/>
  <c r="B30" i="13"/>
  <c r="B31" i="13"/>
  <c r="B32" i="13"/>
  <c r="B33" i="13"/>
  <c r="H28" i="13"/>
  <c r="E28" i="13"/>
  <c r="D28" i="13"/>
  <c r="C28" i="13"/>
  <c r="B29" i="13"/>
  <c r="B28" i="13"/>
  <c r="A28" i="13"/>
  <c r="H25" i="13"/>
  <c r="F26" i="13"/>
  <c r="E25" i="13"/>
  <c r="D25" i="13"/>
  <c r="C25" i="13"/>
  <c r="B26" i="13"/>
  <c r="B25" i="13"/>
  <c r="A25" i="13"/>
  <c r="F23" i="13"/>
  <c r="B23" i="13"/>
  <c r="H22" i="13"/>
  <c r="E22" i="13"/>
  <c r="D22" i="13"/>
  <c r="C22" i="13"/>
  <c r="B22" i="13"/>
  <c r="A22" i="13"/>
  <c r="B18" i="13"/>
  <c r="B19" i="13"/>
  <c r="B20" i="13"/>
  <c r="B17" i="13"/>
  <c r="H16" i="13"/>
  <c r="E16" i="13"/>
  <c r="C16" i="13"/>
  <c r="B16" i="13"/>
  <c r="A16" i="13"/>
  <c r="H13" i="13"/>
  <c r="E13" i="13"/>
  <c r="C13" i="13"/>
  <c r="B13" i="13"/>
  <c r="A13" i="13"/>
  <c r="A8" i="13"/>
  <c r="B14" i="13"/>
  <c r="F41" i="13" l="1"/>
  <c r="M41" i="13" s="1"/>
  <c r="M42" i="13"/>
  <c r="M36" i="13"/>
  <c r="F35" i="13"/>
  <c r="M35" i="13" s="1"/>
  <c r="F28" i="13"/>
  <c r="M28" i="13" s="1"/>
  <c r="M29" i="13"/>
  <c r="F22" i="13"/>
  <c r="M22" i="13" s="1"/>
  <c r="I44" i="13"/>
  <c r="F44" i="13"/>
  <c r="M44" i="13" s="1"/>
  <c r="I47" i="13"/>
  <c r="M26" i="13"/>
  <c r="F25" i="13"/>
  <c r="M25" i="13" s="1"/>
  <c r="M23" i="13"/>
  <c r="G41" i="13" l="1"/>
  <c r="I41" i="13" s="1"/>
  <c r="J41" i="13" s="1"/>
  <c r="G35" i="13"/>
  <c r="I35" i="13" s="1"/>
  <c r="J35" i="13" s="1"/>
  <c r="G16" i="13"/>
  <c r="I16" i="13" s="1"/>
  <c r="J44" i="13"/>
  <c r="I42" i="13" l="1"/>
  <c r="J42" i="13" s="1"/>
  <c r="G25" i="13"/>
  <c r="I25" i="13" s="1"/>
  <c r="J25" i="13" s="1"/>
  <c r="G28" i="13"/>
  <c r="I28" i="13" s="1"/>
  <c r="J28" i="13" s="1"/>
  <c r="I39" i="13"/>
  <c r="J39" i="13" s="1"/>
  <c r="I38" i="13"/>
  <c r="J38" i="13" s="1"/>
  <c r="I37" i="13"/>
  <c r="J37" i="13" s="1"/>
  <c r="I36" i="13"/>
  <c r="J36" i="13" s="1"/>
  <c r="I20" i="13"/>
  <c r="I19" i="13"/>
  <c r="I18" i="13"/>
  <c r="I17" i="13"/>
  <c r="G13" i="13" l="1"/>
  <c r="I13" i="13" s="1"/>
  <c r="G22" i="13"/>
  <c r="I22" i="13" s="1"/>
  <c r="J22" i="13" s="1"/>
  <c r="I26" i="13"/>
  <c r="J26" i="13" s="1"/>
  <c r="I23" i="13"/>
  <c r="J23" i="13" s="1"/>
  <c r="I33" i="13"/>
  <c r="J33" i="13" s="1"/>
  <c r="I32" i="13"/>
  <c r="J32" i="13" s="1"/>
  <c r="I31" i="13"/>
  <c r="J31" i="13" s="1"/>
  <c r="I30" i="13"/>
  <c r="J30" i="13" s="1"/>
  <c r="I29" i="13"/>
  <c r="J29" i="13" s="1"/>
  <c r="I14" i="13"/>
  <c r="I49" i="13" l="1"/>
  <c r="J6" i="13" l="1"/>
  <c r="G10" i="12"/>
  <c r="G12" i="12" s="1"/>
  <c r="F20" i="13" l="1"/>
  <c r="J20" i="13" s="1"/>
  <c r="F19" i="13"/>
  <c r="J19" i="13" s="1"/>
  <c r="D16" i="13" l="1"/>
  <c r="F16" i="13" s="1"/>
  <c r="M16" i="13" s="1"/>
  <c r="F17" i="13"/>
  <c r="F18" i="13"/>
  <c r="J18" i="13" s="1"/>
  <c r="J12" i="12"/>
  <c r="J16" i="13" l="1"/>
  <c r="M17" i="13"/>
  <c r="J17" i="13"/>
  <c r="D13" i="13" l="1"/>
  <c r="F13" i="13" s="1"/>
  <c r="M13" i="13" l="1"/>
  <c r="F49" i="13"/>
  <c r="J13" i="13"/>
  <c r="F14" i="13"/>
  <c r="C6" i="13" l="1"/>
  <c r="J49" i="13"/>
  <c r="M14" i="13"/>
  <c r="J14" i="13"/>
  <c r="C22" i="12"/>
  <c r="C23" i="12" l="1"/>
  <c r="C20" i="12" s="1"/>
  <c r="G14" i="12"/>
  <c r="J14" i="12" l="1"/>
  <c r="D47" i="13"/>
  <c r="F47" i="13" s="1"/>
  <c r="J47" i="13" s="1"/>
  <c r="J16" i="12" l="1"/>
  <c r="C18" i="12" s="1"/>
  <c r="C21" i="12" l="1"/>
  <c r="E20" i="12"/>
  <c r="E21" i="12" s="1"/>
</calcChain>
</file>

<file path=xl/sharedStrings.xml><?xml version="1.0" encoding="utf-8"?>
<sst xmlns="http://schemas.openxmlformats.org/spreadsheetml/2006/main" count="59" uniqueCount="47">
  <si>
    <t>Government of Nepal</t>
  </si>
  <si>
    <t>Shankharapur Municipality Office</t>
  </si>
  <si>
    <t>Bagmati Province</t>
  </si>
  <si>
    <t>Sankhu, Kathmandu</t>
  </si>
  <si>
    <t>Detail Estimated Sheet</t>
  </si>
  <si>
    <t>S.N.</t>
  </si>
  <si>
    <t>Description of work</t>
  </si>
  <si>
    <t>No.</t>
  </si>
  <si>
    <t>Length</t>
  </si>
  <si>
    <t>Breadth</t>
  </si>
  <si>
    <t>Height</t>
  </si>
  <si>
    <t>Quantity</t>
  </si>
  <si>
    <t>Unit</t>
  </si>
  <si>
    <t>Rate</t>
  </si>
  <si>
    <t>Amount</t>
  </si>
  <si>
    <t>Remark</t>
  </si>
  <si>
    <t>Information board (सुचना पाटि)</t>
  </si>
  <si>
    <t>no.</t>
  </si>
  <si>
    <t>Total Estimated</t>
  </si>
  <si>
    <t>Total</t>
  </si>
  <si>
    <t>Budget allocated</t>
  </si>
  <si>
    <t>Municipal payment</t>
  </si>
  <si>
    <t xml:space="preserve">Contingencies </t>
  </si>
  <si>
    <t xml:space="preserve">Maintanince </t>
  </si>
  <si>
    <t>User contribution</t>
  </si>
  <si>
    <t>sub-total</t>
  </si>
  <si>
    <t>-upper portion</t>
  </si>
  <si>
    <t>sqm</t>
  </si>
  <si>
    <t>Location:- Shankharapur Municipality 1</t>
  </si>
  <si>
    <t>Work Completion Report</t>
  </si>
  <si>
    <t>Total Estimated Amount:</t>
  </si>
  <si>
    <t>Total Valuated Amount :</t>
  </si>
  <si>
    <t xml:space="preserve">Work Started : </t>
  </si>
  <si>
    <t xml:space="preserve">Work Finished:           </t>
  </si>
  <si>
    <t xml:space="preserve">F.Y:2082/2083            </t>
  </si>
  <si>
    <t>S.No.</t>
  </si>
  <si>
    <t>Description</t>
  </si>
  <si>
    <t>Estimated</t>
  </si>
  <si>
    <t>Valuated</t>
  </si>
  <si>
    <t>Difference</t>
  </si>
  <si>
    <t>Remarks</t>
  </si>
  <si>
    <t xml:space="preserve">Quantity </t>
  </si>
  <si>
    <t xml:space="preserve">Date:2083/03/15       </t>
  </si>
  <si>
    <t>F.Y.: 2083/2084</t>
  </si>
  <si>
    <t xml:space="preserve">).#^ lblv ).$ dL.dL.afSnf] sf]?u]6]8 /+lug ss{6 kftfsf] 5fgf 5fpg] sfd </t>
  </si>
  <si>
    <t>Project:- जलेको गोठ नयाँ बनाउने कार्य</t>
  </si>
  <si>
    <t>Date:2083/04/26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</si>
</sst>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22"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amily val="2"/>
    </font>
    <font>
      <sz val="10"/>
      <name val="Arial"/>
      <family val="2"/>
    </font>
    <font>
      <b/>
      <sz val="12"/>
      <name val="Preeti"/>
    </font>
    <font>
      <b/>
      <sz val="11"/>
      <color theme="1"/>
      <name val="Calibri"/>
      <family val="2"/>
      <scheme val="minor"/>
    </font>
    <font>
      <b/>
      <sz val="11"/>
      <color theme="1"/>
      <name val="Times New Roman"/>
      <family val="1"/>
    </font>
    <font>
      <b/>
      <sz val="20"/>
      <color theme="1"/>
      <name val="Times New Roman"/>
      <family val="1"/>
    </font>
    <font>
      <b/>
      <sz val="14"/>
      <color theme="1"/>
      <name val="Calibri"/>
      <family val="2"/>
      <scheme val="minor"/>
    </font>
    <font>
      <sz val="12"/>
      <color theme="1"/>
      <name val="Calibri"/>
      <family val="2"/>
      <scheme val="minor"/>
    </font>
    <font>
      <sz val="14"/>
      <color theme="1"/>
      <name val="Calibri"/>
      <family val="2"/>
      <scheme val="minor"/>
    </font>
    <font>
      <sz val="12"/>
      <color theme="1"/>
      <name val="Times New Roman"/>
      <family val="1"/>
    </font>
    <font>
      <sz val="11"/>
      <color theme="1"/>
      <name val="Times New Roman"/>
      <family val="1"/>
    </font>
    <font>
      <sz val="10"/>
      <name val="Arial"/>
    </font>
  </fonts>
  <fills count="4">
    <fill>
      <patternFill patternType="none"/>
    </fill>
    <fill>
      <patternFill patternType="gray125"/>
    </fill>
    <fill>
      <patternFill patternType="solid">
        <fgColor theme="0"/>
        <bgColor indexed="64"/>
      </patternFill>
    </fill>
    <fill>
      <patternFill patternType="solid">
        <fgColor theme="0" tint="-0.14999847407452621"/>
        <bgColor indexed="64"/>
      </patternFill>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0">
    <xf numFmtId="0" fontId="0" fillId="0" borderId="0"/>
    <xf numFmtId="43" fontId="1" fillId="0" borderId="0" applyFont="0" applyFill="0" applyBorder="0" applyAlignment="0" applyProtection="0"/>
    <xf numFmtId="0" fontId="10" fillId="0" borderId="0"/>
    <xf numFmtId="43" fontId="11" fillId="0" borderId="0" applyFont="0" applyFill="0" applyBorder="0" applyAlignment="0" applyProtection="0"/>
    <xf numFmtId="9" fontId="11" fillId="0" borderId="0" applyFont="0" applyFill="0" applyBorder="0" applyAlignment="0" applyProtection="0"/>
    <xf numFmtId="0" fontId="11" fillId="0" borderId="0"/>
    <xf numFmtId="0" fontId="21" fillId="0" borderId="0"/>
    <xf numFmtId="43" fontId="10" fillId="0" borderId="0" applyFont="0" applyFill="0" applyBorder="0" applyAlignment="0" applyProtection="0"/>
    <xf numFmtId="9" fontId="10" fillId="0" borderId="0" applyFont="0" applyFill="0" applyBorder="0" applyAlignment="0" applyProtection="0"/>
    <xf numFmtId="0" fontId="10" fillId="0" borderId="0"/>
  </cellStyleXfs>
  <cellXfs count="82">
    <xf numFmtId="0" fontId="0" fillId="0" borderId="0" xfId="0"/>
    <xf numFmtId="1" fontId="2" fillId="0" borderId="2" xfId="0" applyNumberFormat="1" applyFont="1" applyBorder="1" applyAlignment="1">
      <alignment vertical="center" wrapText="1"/>
    </xf>
    <xf numFmtId="1" fontId="3" fillId="0" borderId="2" xfId="0" applyNumberFormat="1" applyFont="1" applyBorder="1" applyAlignment="1">
      <alignment vertical="center"/>
    </xf>
    <xf numFmtId="164" fontId="2" fillId="0" borderId="2" xfId="0" applyNumberFormat="1" applyFont="1" applyBorder="1" applyAlignment="1">
      <alignment vertical="center"/>
    </xf>
    <xf numFmtId="2" fontId="2" fillId="0" borderId="2" xfId="1" applyNumberFormat="1" applyFont="1" applyFill="1" applyBorder="1" applyAlignment="1">
      <alignment vertical="center"/>
    </xf>
    <xf numFmtId="2" fontId="2" fillId="0" borderId="2" xfId="0" applyNumberFormat="1" applyFont="1" applyBorder="1" applyAlignment="1">
      <alignment vertical="center"/>
    </xf>
    <xf numFmtId="2" fontId="3" fillId="0" borderId="2" xfId="1" applyNumberFormat="1" applyFont="1" applyFill="1" applyBorder="1" applyAlignment="1">
      <alignment vertical="center"/>
    </xf>
    <xf numFmtId="2" fontId="3" fillId="0" borderId="2" xfId="0" applyNumberFormat="1" applyFont="1" applyBorder="1" applyAlignment="1">
      <alignment vertical="center"/>
    </xf>
    <xf numFmtId="1" fontId="2" fillId="0" borderId="2" xfId="0" applyNumberFormat="1" applyFont="1" applyBorder="1" applyAlignment="1">
      <alignment horizontal="right" vertical="center" wrapText="1"/>
    </xf>
    <xf numFmtId="2" fontId="4" fillId="0" borderId="2" xfId="0" applyNumberFormat="1" applyFont="1" applyBorder="1" applyAlignment="1">
      <alignment vertical="center"/>
    </xf>
    <xf numFmtId="0" fontId="9" fillId="0" borderId="0" xfId="0" applyFont="1" applyAlignment="1">
      <alignment horizontal="center"/>
    </xf>
    <xf numFmtId="43" fontId="9" fillId="0" borderId="0" xfId="1" applyFont="1"/>
    <xf numFmtId="0" fontId="9" fillId="0" borderId="2" xfId="0" applyFont="1" applyBorder="1" applyAlignment="1">
      <alignment horizontal="center"/>
    </xf>
    <xf numFmtId="0" fontId="9" fillId="0" borderId="2" xfId="0" applyFont="1" applyBorder="1" applyAlignment="1">
      <alignment horizontal="center" vertical="top" wrapText="1"/>
    </xf>
    <xf numFmtId="43" fontId="9" fillId="0" borderId="2" xfId="1" applyFont="1" applyBorder="1" applyAlignment="1">
      <alignment horizontal="center"/>
    </xf>
    <xf numFmtId="0" fontId="9" fillId="0" borderId="2" xfId="0" applyFont="1" applyBorder="1" applyAlignment="1">
      <alignment horizontal="center" wrapText="1"/>
    </xf>
    <xf numFmtId="0" fontId="6" fillId="0" borderId="2" xfId="0" applyFont="1" applyBorder="1" applyAlignment="1">
      <alignment vertical="center"/>
    </xf>
    <xf numFmtId="0" fontId="4" fillId="0" borderId="2" xfId="0" applyFont="1" applyBorder="1"/>
    <xf numFmtId="2" fontId="3" fillId="0" borderId="2" xfId="0" applyNumberFormat="1" applyFont="1" applyBorder="1"/>
    <xf numFmtId="0" fontId="4" fillId="0" borderId="0" xfId="0" applyFont="1"/>
    <xf numFmtId="0" fontId="4" fillId="0" borderId="0" xfId="0" applyFont="1" applyAlignment="1">
      <alignment vertical="center"/>
    </xf>
    <xf numFmtId="0" fontId="3" fillId="0" borderId="2" xfId="0" applyFont="1" applyBorder="1"/>
    <xf numFmtId="0" fontId="3" fillId="0" borderId="2" xfId="0" applyFont="1" applyBorder="1" applyAlignment="1">
      <alignment horizontal="right" wrapText="1"/>
    </xf>
    <xf numFmtId="164" fontId="2" fillId="0" borderId="2" xfId="0" applyNumberFormat="1" applyFont="1" applyBorder="1"/>
    <xf numFmtId="2" fontId="2" fillId="0" borderId="2" xfId="0" applyNumberFormat="1" applyFont="1" applyBorder="1"/>
    <xf numFmtId="0" fontId="2" fillId="0" borderId="2" xfId="0" applyFont="1" applyBorder="1"/>
    <xf numFmtId="0" fontId="2" fillId="0" borderId="0" xfId="0" applyFont="1" applyAlignment="1">
      <alignment vertical="center"/>
    </xf>
    <xf numFmtId="0" fontId="4" fillId="0" borderId="2" xfId="0" applyFont="1" applyBorder="1" applyAlignment="1">
      <alignment vertical="center"/>
    </xf>
    <xf numFmtId="2" fontId="2" fillId="0" borderId="0" xfId="0" applyNumberFormat="1" applyFont="1" applyAlignment="1">
      <alignment vertical="center"/>
    </xf>
    <xf numFmtId="0" fontId="3" fillId="0" borderId="0" xfId="0" applyFont="1" applyAlignment="1">
      <alignment horizontal="right" vertical="center"/>
    </xf>
    <xf numFmtId="43" fontId="3" fillId="0" borderId="0" xfId="1" applyFont="1" applyBorder="1" applyAlignment="1">
      <alignment vertical="center"/>
    </xf>
    <xf numFmtId="0" fontId="3" fillId="0" borderId="0" xfId="0" applyFont="1" applyAlignment="1">
      <alignment vertical="center"/>
    </xf>
    <xf numFmtId="0" fontId="4" fillId="0" borderId="2" xfId="0" quotePrefix="1" applyFont="1" applyBorder="1" applyAlignment="1">
      <alignment horizontal="right"/>
    </xf>
    <xf numFmtId="2" fontId="4" fillId="0" borderId="2" xfId="0" applyNumberFormat="1" applyFont="1" applyBorder="1"/>
    <xf numFmtId="0" fontId="0" fillId="0" borderId="0" xfId="0" applyAlignment="1">
      <alignment vertical="center"/>
    </xf>
    <xf numFmtId="0" fontId="12" fillId="2" borderId="2" xfId="0" applyFont="1" applyFill="1" applyBorder="1" applyAlignment="1">
      <alignment vertical="center" wrapText="1"/>
    </xf>
    <xf numFmtId="2" fontId="6" fillId="0" borderId="2" xfId="0" applyNumberFormat="1" applyFont="1" applyBorder="1" applyAlignment="1">
      <alignment vertical="center"/>
    </xf>
    <xf numFmtId="0" fontId="2" fillId="0" borderId="2" xfId="0" quotePrefix="1" applyFont="1" applyBorder="1" applyAlignment="1">
      <alignment horizontal="right" vertical="center" wrapText="1"/>
    </xf>
    <xf numFmtId="0" fontId="17" fillId="0" borderId="0" xfId="0" applyFont="1"/>
    <xf numFmtId="0" fontId="18" fillId="0" borderId="0" xfId="0" applyFont="1" applyAlignment="1">
      <alignment horizontal="center"/>
    </xf>
    <xf numFmtId="0" fontId="0" fillId="0" borderId="0" xfId="0" applyAlignment="1">
      <alignment horizontal="left"/>
    </xf>
    <xf numFmtId="0" fontId="0" fillId="3" borderId="2" xfId="0" applyFill="1" applyBorder="1"/>
    <xf numFmtId="1" fontId="14" fillId="0" borderId="2" xfId="0" applyNumberFormat="1" applyFont="1" applyBorder="1" applyAlignment="1">
      <alignment vertical="center"/>
    </xf>
    <xf numFmtId="2" fontId="0" fillId="0" borderId="2" xfId="0" applyNumberFormat="1" applyBorder="1" applyAlignment="1">
      <alignment vertical="center"/>
    </xf>
    <xf numFmtId="43" fontId="13" fillId="0" borderId="2" xfId="1" applyFont="1" applyBorder="1" applyAlignment="1">
      <alignment vertical="center"/>
    </xf>
    <xf numFmtId="0" fontId="0" fillId="0" borderId="2" xfId="0" applyBorder="1" applyAlignment="1">
      <alignment vertical="center" wrapText="1"/>
    </xf>
    <xf numFmtId="1" fontId="19" fillId="0" borderId="2" xfId="0" applyNumberFormat="1" applyFont="1" applyBorder="1" applyAlignment="1">
      <alignment horizontal="right" vertical="center" wrapText="1"/>
    </xf>
    <xf numFmtId="0" fontId="14" fillId="0" borderId="2" xfId="0" applyFont="1" applyBorder="1" applyAlignment="1">
      <alignment vertical="center"/>
    </xf>
    <xf numFmtId="0" fontId="20" fillId="0" borderId="2" xfId="0" applyFont="1" applyBorder="1" applyAlignment="1">
      <alignment vertical="center"/>
    </xf>
    <xf numFmtId="0" fontId="8" fillId="2" borderId="2" xfId="0" applyFont="1" applyFill="1" applyBorder="1" applyAlignment="1">
      <alignment vertical="center" wrapText="1"/>
    </xf>
    <xf numFmtId="1" fontId="8" fillId="2" borderId="2" xfId="0" applyNumberFormat="1" applyFont="1" applyFill="1" applyBorder="1" applyAlignment="1">
      <alignment vertical="center" wrapText="1"/>
    </xf>
    <xf numFmtId="1" fontId="20" fillId="0" borderId="2" xfId="0" applyNumberFormat="1" applyFont="1" applyBorder="1" applyAlignment="1">
      <alignment vertical="center" wrapText="1"/>
    </xf>
    <xf numFmtId="0" fontId="0" fillId="0" borderId="2" xfId="0" applyBorder="1"/>
    <xf numFmtId="0" fontId="13" fillId="0" borderId="2" xfId="0" applyFont="1" applyBorder="1" applyAlignment="1">
      <alignment horizontal="right"/>
    </xf>
    <xf numFmtId="2" fontId="13" fillId="0" borderId="2" xfId="0" applyNumberFormat="1" applyFont="1" applyBorder="1"/>
    <xf numFmtId="43" fontId="13" fillId="0" borderId="2" xfId="1" applyFont="1" applyBorder="1"/>
    <xf numFmtId="2" fontId="4" fillId="0" borderId="3" xfId="0" applyNumberFormat="1" applyFont="1" applyBorder="1" applyAlignment="1">
      <alignment horizontal="center" vertical="center"/>
    </xf>
    <xf numFmtId="2" fontId="4" fillId="0" borderId="4" xfId="0" applyNumberFormat="1" applyFont="1" applyBorder="1" applyAlignment="1">
      <alignment horizontal="center" vertical="center"/>
    </xf>
    <xf numFmtId="0" fontId="8" fillId="0" borderId="1" xfId="0" applyFont="1" applyBorder="1"/>
    <xf numFmtId="0" fontId="8" fillId="0" borderId="1" xfId="0" applyFont="1" applyBorder="1" applyAlignment="1">
      <alignment horizontal="right"/>
    </xf>
    <xf numFmtId="2" fontId="4" fillId="0" borderId="3" xfId="1" applyNumberFormat="1" applyFont="1" applyBorder="1" applyAlignment="1">
      <alignment horizontal="center" vertical="center"/>
    </xf>
    <xf numFmtId="2" fontId="4" fillId="0" borderId="4" xfId="1" applyNumberFormat="1" applyFont="1" applyBorder="1" applyAlignment="1">
      <alignment horizontal="center" vertical="center"/>
    </xf>
    <xf numFmtId="2" fontId="4" fillId="0" borderId="2" xfId="0" applyNumberFormat="1" applyFont="1" applyBorder="1" applyAlignment="1">
      <alignment horizontal="center" vertical="center"/>
    </xf>
    <xf numFmtId="0" fontId="8" fillId="0" borderId="0" xfId="0" applyFont="1" applyAlignment="1">
      <alignment horizontal="left"/>
    </xf>
    <xf numFmtId="0" fontId="8" fillId="0" borderId="0" xfId="0" applyFont="1" applyAlignment="1">
      <alignment horizontal="right"/>
    </xf>
    <xf numFmtId="0" fontId="3"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xf>
    <xf numFmtId="0" fontId="0" fillId="3" borderId="2" xfId="0" applyFill="1" applyBorder="1" applyAlignment="1">
      <alignment horizontal="center" vertical="center" wrapText="1"/>
    </xf>
    <xf numFmtId="0" fontId="0" fillId="3" borderId="2" xfId="0" applyFill="1" applyBorder="1" applyAlignment="1">
      <alignment horizontal="center" vertical="center"/>
    </xf>
    <xf numFmtId="0" fontId="0" fillId="3" borderId="2" xfId="0" applyFill="1" applyBorder="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0" xfId="0" applyAlignment="1">
      <alignment horizontal="right"/>
    </xf>
    <xf numFmtId="0" fontId="0" fillId="0" borderId="0" xfId="0" applyAlignment="1">
      <alignment horizontal="left"/>
    </xf>
    <xf numFmtId="43" fontId="17" fillId="0" borderId="0" xfId="0" applyNumberFormat="1" applyFont="1" applyAlignment="1">
      <alignment horizontal="center"/>
    </xf>
    <xf numFmtId="0" fontId="17" fillId="0" borderId="0" xfId="0" applyFont="1" applyAlignment="1">
      <alignment horizontal="center"/>
    </xf>
    <xf numFmtId="0" fontId="14" fillId="0" borderId="0" xfId="0" applyFont="1" applyAlignment="1">
      <alignment horizontal="center"/>
    </xf>
    <xf numFmtId="0" fontId="15" fillId="0" borderId="0" xfId="0" applyFont="1" applyAlignment="1">
      <alignment horizontal="center"/>
    </xf>
    <xf numFmtId="0" fontId="13" fillId="0" borderId="0" xfId="0" applyFont="1" applyAlignment="1">
      <alignment horizontal="center" vertical="center"/>
    </xf>
    <xf numFmtId="0" fontId="16" fillId="0" borderId="0" xfId="0" applyFont="1" applyAlignment="1">
      <alignment horizontal="center"/>
    </xf>
  </cellXfs>
  <cellStyles count="10">
    <cellStyle name="Comma" xfId="1" builtinId="3"/>
    <cellStyle name="Comma 2" xfId="3" xr:uid="{00000000-0005-0000-0000-000001000000}"/>
    <cellStyle name="Comma 3" xfId="7" xr:uid="{B7BCD2E9-672B-4400-B315-11F0C24D9E11}"/>
    <cellStyle name="Normal" xfId="0" builtinId="0"/>
    <cellStyle name="Normal 2" xfId="2" xr:uid="{00000000-0005-0000-0000-000003000000}"/>
    <cellStyle name="Normal 3" xfId="5" xr:uid="{00000000-0005-0000-0000-000004000000}"/>
    <cellStyle name="Normal 3 2" xfId="9" xr:uid="{455BD627-B193-408A-8F0A-36D650E3E482}"/>
    <cellStyle name="Normal 4" xfId="6" xr:uid="{AC2F3E6F-031F-4B4A-951F-5DA0398CC8E6}"/>
    <cellStyle name="Percent 2" xfId="4" xr:uid="{00000000-0005-0000-0000-000005000000}"/>
    <cellStyle name="Percent 3" xfId="8" xr:uid="{346AFAC7-200C-4B7F-8CB6-32A4AF71FBFC}"/>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externalLink" Target="externalLinks/externalLink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5" Type="http://schemas.openxmlformats.org/officeDocument/2006/relationships/externalLink" Target="externalLinks/externalLink3.xml"/><Relationship Id="rId10" Type="http://schemas.openxmlformats.org/officeDocument/2006/relationships/calcChain" Target="calcChain.xml"/><Relationship Id="rId4" Type="http://schemas.openxmlformats.org/officeDocument/2006/relationships/externalLink" Target="externalLinks/externalLink2.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2082_2083\rate%20analysis\For%20all%20Road-rate%20analysis%2082%2083%20shankharapur.xlsx" TargetMode="External"/></Relationships>
</file>

<file path=xl/externalLinks/_rels/externalLink4.xml.rels><?xml version="1.0" encoding="UTF-8" standalone="yes"?>
<Relationships xmlns="http://schemas.openxmlformats.org/package/2006/relationships"><Relationship Id="rId3" Type="http://schemas.openxmlformats.org/officeDocument/2006/relationships/externalLinkPath" Target="../../../../&#2348;&#2332;&#2375;&#2335;%20&#2350;&#2366;&#2327;%20estimate/&#2344;&#2327;&#2352;%20&#2348;&#2332;&#2375;&#2335;%20estimate/&#2354;&#2366;&#2305;&#2325;&#2369;&#2352;&#2368;%20&#2348;&#2379;&#2335;%20&#2342;&#2375;&#2357;&#2368;%20&#2360;&#2369;&#2350;&#2366;&#2352;&#2366;%20&#2360;&#2337;&#2325;/valuation%20&#2354;&#2366;&#2305;&#2325;&#2369;&#2352;&#2368;%20-%20Copy.xlsx" TargetMode="External"/><Relationship Id="rId2" Type="http://schemas.openxmlformats.org/officeDocument/2006/relationships/externalLinkPath" Target="file:///G:\2082_2083\&#2348;&#2332;&#2375;&#2335;%20&#2350;&#2366;&#2327;%20estimate\&#2344;&#2327;&#2352;%20&#2348;&#2332;&#2375;&#2335;%20estimate\&#2354;&#2366;&#2305;&#2325;&#2369;&#2352;&#2368;%20&#2348;&#2379;&#2335;%20&#2342;&#2375;&#2357;&#2368;%20&#2360;&#2369;&#2350;&#2366;&#2352;&#2366;%20&#2360;&#2337;&#2325;\valuation%20&#2354;&#2366;&#2305;&#2325;&#2369;&#2352;&#2368;%20-%20Copy.xlsx" TargetMode="External"/><Relationship Id="rId1" Type="http://schemas.openxmlformats.org/officeDocument/2006/relationships/externalLinkPath" Target="/2082_2083/&#2348;&#2332;&#2375;&#2335;%20&#2350;&#2366;&#2327;%20estimate/&#2344;&#2327;&#2352;%20&#2348;&#2332;&#2375;&#2335;%20estimate/&#2354;&#2366;&#2305;&#2325;&#2369;&#2352;&#2368;%20&#2348;&#2379;&#2335;%20&#2342;&#2375;&#2357;&#2368;%20&#2360;&#2369;&#2350;&#2366;&#2352;&#2366;%20&#2360;&#2337;&#2325;/valuation%20&#2354;&#2366;&#2305;&#2325;&#2369;&#2352;&#2368;%20-%20Cop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300">
          <cell r="B300" t="str">
            <v>Random Rubble Masonry, Providing and laying of Stone Masonry Work in Cement Mortar 1:6 in Foundation complete as per Drawing and Technical Specifications., Using Concrete Mixer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estimate"/>
      <sheetName val="WCR"/>
      <sheetName val="V"/>
      <sheetName val="chainage measurement"/>
    </sheetNames>
    <sheetDataSet>
      <sheetData sheetId="0">
        <row r="9">
          <cell r="A9">
            <v>1</v>
          </cell>
        </row>
        <row r="12">
          <cell r="B12" t="str">
            <v>-13% VAT for excavator</v>
          </cell>
        </row>
      </sheetData>
      <sheetData sheetId="1"/>
      <sheetData sheetId="2">
        <row r="26">
          <cell r="G26">
            <v>22.511609090584113</v>
          </cell>
        </row>
      </sheetData>
      <sheetData sheetId="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3"/>
  <sheetViews>
    <sheetView tabSelected="1" view="pageBreakPreview" topLeftCell="A4" zoomScale="95" zoomScaleNormal="90" zoomScaleSheetLayoutView="95" workbookViewId="0">
      <selection activeCell="E9" sqref="E9"/>
    </sheetView>
  </sheetViews>
  <sheetFormatPr defaultColWidth="9.140625" defaultRowHeight="15" x14ac:dyDescent="0.25"/>
  <cols>
    <col min="1" max="1" width="4.7109375" style="19" customWidth="1"/>
    <col min="2" max="2" width="30.85546875" style="19" customWidth="1"/>
    <col min="3" max="3" width="4.42578125" style="19" bestFit="1" customWidth="1"/>
    <col min="4" max="4" width="8.42578125" style="19" customWidth="1"/>
    <col min="5" max="5" width="8.5703125" style="19" customWidth="1"/>
    <col min="6" max="6" width="7.28515625" style="19" customWidth="1"/>
    <col min="7" max="7" width="9.140625" style="19"/>
    <col min="8" max="8" width="5" style="19" bestFit="1" customWidth="1"/>
    <col min="9" max="9" width="9.5703125" style="19" customWidth="1"/>
    <col min="10" max="10" width="10.7109375" style="19" bestFit="1" customWidth="1"/>
    <col min="11" max="12" width="9.140625" style="19"/>
    <col min="13" max="16" width="0" style="19" hidden="1" customWidth="1"/>
    <col min="17" max="16384" width="9.140625" style="19"/>
  </cols>
  <sheetData>
    <row r="1" spans="1:11" x14ac:dyDescent="0.25">
      <c r="A1" s="65" t="s">
        <v>0</v>
      </c>
      <c r="B1" s="65"/>
      <c r="C1" s="65"/>
      <c r="D1" s="65"/>
      <c r="E1" s="65"/>
      <c r="F1" s="65"/>
      <c r="G1" s="65"/>
      <c r="H1" s="65"/>
      <c r="I1" s="65"/>
      <c r="J1" s="65"/>
      <c r="K1" s="65"/>
    </row>
    <row r="2" spans="1:11" ht="22.5" x14ac:dyDescent="0.25">
      <c r="A2" s="66" t="s">
        <v>1</v>
      </c>
      <c r="B2" s="66"/>
      <c r="C2" s="66"/>
      <c r="D2" s="66"/>
      <c r="E2" s="66"/>
      <c r="F2" s="66"/>
      <c r="G2" s="66"/>
      <c r="H2" s="66"/>
      <c r="I2" s="66"/>
      <c r="J2" s="66"/>
      <c r="K2" s="66"/>
    </row>
    <row r="3" spans="1:11" x14ac:dyDescent="0.25">
      <c r="A3" s="67" t="s">
        <v>2</v>
      </c>
      <c r="B3" s="67"/>
      <c r="C3" s="67"/>
      <c r="D3" s="67"/>
      <c r="E3" s="67"/>
      <c r="F3" s="67"/>
      <c r="G3" s="67"/>
      <c r="H3" s="67"/>
      <c r="I3" s="67"/>
      <c r="J3" s="67"/>
      <c r="K3" s="67"/>
    </row>
    <row r="4" spans="1:11" x14ac:dyDescent="0.25">
      <c r="A4" s="67" t="s">
        <v>3</v>
      </c>
      <c r="B4" s="67"/>
      <c r="C4" s="67"/>
      <c r="D4" s="67"/>
      <c r="E4" s="67"/>
      <c r="F4" s="67"/>
      <c r="G4" s="67"/>
      <c r="H4" s="67"/>
      <c r="I4" s="67"/>
      <c r="J4" s="67"/>
      <c r="K4" s="67"/>
    </row>
    <row r="5" spans="1:11" ht="18.75" x14ac:dyDescent="0.3">
      <c r="A5" s="68" t="s">
        <v>4</v>
      </c>
      <c r="B5" s="68"/>
      <c r="C5" s="68"/>
      <c r="D5" s="68"/>
      <c r="E5" s="68"/>
      <c r="F5" s="68"/>
      <c r="G5" s="68"/>
      <c r="H5" s="68"/>
      <c r="I5" s="68"/>
      <c r="J5" s="68"/>
      <c r="K5" s="68"/>
    </row>
    <row r="6" spans="1:11" ht="15.75" x14ac:dyDescent="0.25">
      <c r="A6" s="63" t="s">
        <v>45</v>
      </c>
      <c r="B6" s="63"/>
      <c r="C6" s="63"/>
      <c r="D6" s="63"/>
      <c r="E6" s="63"/>
      <c r="F6" s="63"/>
      <c r="G6" s="10"/>
      <c r="H6" s="64" t="s">
        <v>43</v>
      </c>
      <c r="I6" s="64"/>
      <c r="J6" s="64"/>
      <c r="K6" s="64"/>
    </row>
    <row r="7" spans="1:11" ht="15.75" x14ac:dyDescent="0.25">
      <c r="A7" s="58" t="s">
        <v>28</v>
      </c>
      <c r="B7" s="58"/>
      <c r="C7" s="58"/>
      <c r="D7" s="58"/>
      <c r="E7" s="58"/>
      <c r="F7" s="58"/>
      <c r="G7" s="11"/>
      <c r="H7" s="59" t="s">
        <v>46</v>
      </c>
      <c r="I7" s="59"/>
      <c r="J7" s="59"/>
      <c r="K7" s="59"/>
    </row>
    <row r="8" spans="1:11" ht="15.75" x14ac:dyDescent="0.25">
      <c r="A8" s="12" t="s">
        <v>5</v>
      </c>
      <c r="B8" s="13" t="s">
        <v>6</v>
      </c>
      <c r="C8" s="12" t="s">
        <v>7</v>
      </c>
      <c r="D8" s="14" t="s">
        <v>8</v>
      </c>
      <c r="E8" s="14" t="s">
        <v>9</v>
      </c>
      <c r="F8" s="14" t="s">
        <v>10</v>
      </c>
      <c r="G8" s="14" t="s">
        <v>11</v>
      </c>
      <c r="H8" s="12" t="s">
        <v>12</v>
      </c>
      <c r="I8" s="14" t="s">
        <v>13</v>
      </c>
      <c r="J8" s="14" t="s">
        <v>14</v>
      </c>
      <c r="K8" s="15" t="s">
        <v>15</v>
      </c>
    </row>
    <row r="9" spans="1:11" s="34" customFormat="1" ht="45" x14ac:dyDescent="0.25">
      <c r="A9" s="2">
        <v>1</v>
      </c>
      <c r="B9" s="35" t="s">
        <v>44</v>
      </c>
      <c r="C9" s="3"/>
      <c r="D9" s="4"/>
      <c r="E9" s="5"/>
      <c r="F9" s="5"/>
      <c r="G9" s="36"/>
      <c r="H9" s="7"/>
      <c r="I9" s="6"/>
      <c r="J9" s="36"/>
      <c r="K9" s="5"/>
    </row>
    <row r="10" spans="1:11" s="34" customFormat="1" x14ac:dyDescent="0.25">
      <c r="A10" s="2"/>
      <c r="B10" s="37" t="s">
        <v>26</v>
      </c>
      <c r="C10" s="3">
        <v>2</v>
      </c>
      <c r="D10" s="4">
        <f>10/3.281</f>
        <v>3.047851264858275</v>
      </c>
      <c r="E10" s="5">
        <f>7.25*3.281</f>
        <v>23.78725</v>
      </c>
      <c r="F10" s="5"/>
      <c r="G10" s="33">
        <f t="shared" ref="G10:G11" si="0">PRODUCT(C10:F10)</f>
        <v>145</v>
      </c>
      <c r="H10" s="7"/>
      <c r="I10" s="6"/>
      <c r="J10" s="36"/>
      <c r="K10" s="5"/>
    </row>
    <row r="11" spans="1:11" s="34" customFormat="1" x14ac:dyDescent="0.25">
      <c r="A11" s="2"/>
      <c r="B11" s="37"/>
      <c r="C11" s="3">
        <v>1</v>
      </c>
      <c r="D11" s="4">
        <v>5.4</v>
      </c>
      <c r="E11" s="5">
        <v>1.5</v>
      </c>
      <c r="F11" s="5"/>
      <c r="G11" s="33">
        <f t="shared" si="0"/>
        <v>8.1000000000000014</v>
      </c>
      <c r="H11" s="7"/>
      <c r="I11" s="6"/>
      <c r="J11" s="36"/>
      <c r="K11" s="5"/>
    </row>
    <row r="12" spans="1:11" s="34" customFormat="1" x14ac:dyDescent="0.25">
      <c r="A12" s="2"/>
      <c r="B12" s="37" t="s">
        <v>25</v>
      </c>
      <c r="C12" s="3"/>
      <c r="D12" s="4"/>
      <c r="E12" s="5"/>
      <c r="F12" s="5"/>
      <c r="G12" s="36">
        <f>SUM(G10:G11)</f>
        <v>153.1</v>
      </c>
      <c r="H12" s="7" t="s">
        <v>27</v>
      </c>
      <c r="I12" s="6">
        <v>1092.46</v>
      </c>
      <c r="J12" s="36">
        <f>G12*I12</f>
        <v>167255.62599999999</v>
      </c>
      <c r="K12" s="5"/>
    </row>
    <row r="13" spans="1:11" x14ac:dyDescent="0.25">
      <c r="A13" s="16"/>
      <c r="B13" s="32"/>
      <c r="C13" s="17"/>
      <c r="D13" s="17"/>
      <c r="E13" s="17"/>
      <c r="F13" s="17"/>
      <c r="G13" s="17"/>
      <c r="H13" s="17"/>
      <c r="I13" s="17"/>
      <c r="J13" s="18"/>
      <c r="K13" s="17"/>
    </row>
    <row r="14" spans="1:11" ht="15" customHeight="1" x14ac:dyDescent="0.25">
      <c r="A14" s="2">
        <v>2</v>
      </c>
      <c r="B14" s="1" t="s">
        <v>16</v>
      </c>
      <c r="C14" s="3">
        <v>1</v>
      </c>
      <c r="D14" s="4"/>
      <c r="E14" s="5"/>
      <c r="F14" s="5"/>
      <c r="G14" s="7">
        <f t="shared" ref="G14" si="1">PRODUCT(C14:F14)</f>
        <v>1</v>
      </c>
      <c r="H14" s="7" t="s">
        <v>17</v>
      </c>
      <c r="I14" s="6">
        <v>500</v>
      </c>
      <c r="J14" s="7">
        <f>G14*I14</f>
        <v>500</v>
      </c>
      <c r="K14" s="5"/>
    </row>
    <row r="15" spans="1:11" x14ac:dyDescent="0.25">
      <c r="A15" s="2"/>
      <c r="B15" s="8"/>
      <c r="C15" s="3"/>
      <c r="D15" s="4"/>
      <c r="E15" s="5"/>
      <c r="F15" s="5"/>
      <c r="G15" s="6"/>
      <c r="H15" s="7"/>
      <c r="I15" s="6"/>
      <c r="J15" s="18"/>
      <c r="K15" s="5"/>
    </row>
    <row r="16" spans="1:11" x14ac:dyDescent="0.25">
      <c r="A16" s="21"/>
      <c r="B16" s="22" t="s">
        <v>19</v>
      </c>
      <c r="C16" s="23"/>
      <c r="D16" s="24"/>
      <c r="E16" s="24"/>
      <c r="F16" s="24"/>
      <c r="G16" s="18"/>
      <c r="H16" s="18"/>
      <c r="I16" s="18"/>
      <c r="J16" s="18">
        <f>SUM(J10:J14)</f>
        <v>167755.62599999999</v>
      </c>
      <c r="K16" s="25"/>
    </row>
    <row r="17" spans="1:19" x14ac:dyDescent="0.25">
      <c r="M17" s="20"/>
      <c r="N17" s="20"/>
      <c r="O17" s="20"/>
      <c r="P17" s="20"/>
      <c r="Q17" s="20"/>
      <c r="R17" s="20"/>
      <c r="S17" s="20"/>
    </row>
    <row r="18" spans="1:19" s="20" customFormat="1" x14ac:dyDescent="0.25">
      <c r="A18" s="26"/>
      <c r="B18" s="27" t="s">
        <v>18</v>
      </c>
      <c r="C18" s="56">
        <f>J16</f>
        <v>167755.62599999999</v>
      </c>
      <c r="D18" s="57"/>
      <c r="E18" s="9">
        <v>100</v>
      </c>
      <c r="F18" s="26"/>
      <c r="G18" s="28"/>
      <c r="H18" s="26"/>
      <c r="I18" s="29"/>
      <c r="J18" s="30"/>
      <c r="K18" s="31"/>
      <c r="M18" s="19"/>
      <c r="N18" s="19"/>
      <c r="O18" s="19"/>
      <c r="P18" s="19"/>
      <c r="Q18" s="19"/>
      <c r="R18" s="19"/>
      <c r="S18" s="19"/>
    </row>
    <row r="19" spans="1:19" x14ac:dyDescent="0.25">
      <c r="B19" s="27" t="s">
        <v>20</v>
      </c>
      <c r="C19" s="60">
        <v>150000</v>
      </c>
      <c r="D19" s="61"/>
      <c r="E19" s="9"/>
    </row>
    <row r="20" spans="1:19" x14ac:dyDescent="0.25">
      <c r="B20" s="27" t="s">
        <v>21</v>
      </c>
      <c r="C20" s="60">
        <f>C19-C22-C23</f>
        <v>142500</v>
      </c>
      <c r="D20" s="61"/>
      <c r="E20" s="9">
        <f>C20/C18*100</f>
        <v>84.94499016086651</v>
      </c>
    </row>
    <row r="21" spans="1:19" x14ac:dyDescent="0.25">
      <c r="B21" s="27" t="s">
        <v>24</v>
      </c>
      <c r="C21" s="62">
        <f>C18-C20</f>
        <v>25255.625999999989</v>
      </c>
      <c r="D21" s="62"/>
      <c r="E21" s="9">
        <f>100-E20</f>
        <v>15.05500983913349</v>
      </c>
    </row>
    <row r="22" spans="1:19" x14ac:dyDescent="0.25">
      <c r="B22" s="27" t="s">
        <v>22</v>
      </c>
      <c r="C22" s="56">
        <f>C19*0.03</f>
        <v>4500</v>
      </c>
      <c r="D22" s="57"/>
      <c r="E22" s="9">
        <v>3</v>
      </c>
    </row>
    <row r="23" spans="1:19" x14ac:dyDescent="0.25">
      <c r="B23" s="27" t="s">
        <v>23</v>
      </c>
      <c r="C23" s="56">
        <f>C19*0.02</f>
        <v>3000</v>
      </c>
      <c r="D23" s="57"/>
      <c r="E23" s="9">
        <v>2</v>
      </c>
    </row>
  </sheetData>
  <mergeCells count="15">
    <mergeCell ref="A6:F6"/>
    <mergeCell ref="H6:K6"/>
    <mergeCell ref="A1:K1"/>
    <mergeCell ref="A2:K2"/>
    <mergeCell ref="A3:K3"/>
    <mergeCell ref="A4:K4"/>
    <mergeCell ref="A5:K5"/>
    <mergeCell ref="C22:D22"/>
    <mergeCell ref="C23:D23"/>
    <mergeCell ref="A7:F7"/>
    <mergeCell ref="H7:K7"/>
    <mergeCell ref="C18:D18"/>
    <mergeCell ref="C19:D19"/>
    <mergeCell ref="C20:D20"/>
    <mergeCell ref="C21:D21"/>
  </mergeCells>
  <pageMargins left="0.70866141732283505" right="0.70866141732283505" top="0.74803149606299202" bottom="0.74803149606299202" header="0.31496062992126" footer="0.31496062992126"/>
  <pageSetup paperSize="9" scale="80" orientation="portrait" verticalDpi="1200" r:id="rId1"/>
  <headerFooter>
    <oddFooter>&amp;LPrepared By:&amp;CChecked By:&amp;RApproved By: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C7C3A-4B53-4873-A254-2981ED93CBDA}">
  <dimension ref="A1:M49"/>
  <sheetViews>
    <sheetView view="pageBreakPreview" zoomScaleNormal="100" zoomScaleSheetLayoutView="100" workbookViewId="0">
      <selection activeCell="I10" sqref="I10"/>
    </sheetView>
  </sheetViews>
  <sheetFormatPr defaultRowHeight="15" x14ac:dyDescent="0.25"/>
  <cols>
    <col min="1" max="1" width="6.28515625" customWidth="1"/>
    <col min="2" max="2" width="39.28515625" customWidth="1"/>
    <col min="3" max="3" width="8.85546875" customWidth="1"/>
    <col min="4" max="4" width="9.28515625" bestFit="1" customWidth="1"/>
    <col min="5" max="5" width="11.5703125" bestFit="1" customWidth="1"/>
    <col min="6" max="6" width="12.28515625" bestFit="1" customWidth="1"/>
    <col min="7" max="7" width="9.5703125" bestFit="1" customWidth="1"/>
    <col min="8" max="8" width="11.140625" bestFit="1" customWidth="1"/>
    <col min="9" max="9" width="11.85546875" bestFit="1" customWidth="1"/>
    <col min="10" max="10" width="12.28515625" bestFit="1" customWidth="1"/>
    <col min="11" max="11" width="11" customWidth="1"/>
    <col min="13" max="13" width="9.5703125" bestFit="1" customWidth="1"/>
  </cols>
  <sheetData>
    <row r="1" spans="1:13" x14ac:dyDescent="0.25">
      <c r="A1" s="78" t="s">
        <v>0</v>
      </c>
      <c r="B1" s="78"/>
      <c r="C1" s="78"/>
      <c r="D1" s="78"/>
      <c r="E1" s="78"/>
      <c r="F1" s="78"/>
      <c r="G1" s="78"/>
      <c r="H1" s="78"/>
      <c r="I1" s="78"/>
      <c r="J1" s="78"/>
      <c r="K1" s="78"/>
    </row>
    <row r="2" spans="1:13" ht="25.5" x14ac:dyDescent="0.35">
      <c r="A2" s="79" t="s">
        <v>1</v>
      </c>
      <c r="B2" s="79"/>
      <c r="C2" s="79"/>
      <c r="D2" s="79"/>
      <c r="E2" s="79"/>
      <c r="F2" s="79"/>
      <c r="G2" s="79"/>
      <c r="H2" s="79"/>
      <c r="I2" s="79"/>
      <c r="J2" s="79"/>
      <c r="K2" s="79"/>
    </row>
    <row r="3" spans="1:13" s="34" customFormat="1" x14ac:dyDescent="0.25">
      <c r="A3" s="80" t="s">
        <v>2</v>
      </c>
      <c r="B3" s="80"/>
      <c r="C3" s="80"/>
      <c r="D3" s="80"/>
      <c r="E3" s="80"/>
      <c r="F3" s="80"/>
      <c r="G3" s="80"/>
      <c r="H3" s="80"/>
      <c r="I3" s="80"/>
      <c r="J3" s="80"/>
      <c r="K3" s="80"/>
    </row>
    <row r="4" spans="1:13" s="34" customFormat="1" x14ac:dyDescent="0.25">
      <c r="A4" s="80" t="s">
        <v>3</v>
      </c>
      <c r="B4" s="80"/>
      <c r="C4" s="80"/>
      <c r="D4" s="80"/>
      <c r="E4" s="80"/>
      <c r="F4" s="80"/>
      <c r="G4" s="80"/>
      <c r="H4" s="80"/>
      <c r="I4" s="80"/>
      <c r="J4" s="80"/>
      <c r="K4" s="80"/>
    </row>
    <row r="5" spans="1:13" ht="18.75" x14ac:dyDescent="0.3">
      <c r="A5" s="81" t="s">
        <v>29</v>
      </c>
      <c r="B5" s="81"/>
      <c r="C5" s="81"/>
      <c r="D5" s="81"/>
      <c r="E5" s="81"/>
      <c r="F5" s="81"/>
      <c r="G5" s="81"/>
      <c r="H5" s="81"/>
      <c r="I5" s="81"/>
      <c r="J5" s="81"/>
      <c r="K5" s="81"/>
    </row>
    <row r="6" spans="1:13" ht="18.75" x14ac:dyDescent="0.3">
      <c r="A6" s="38" t="s">
        <v>30</v>
      </c>
      <c r="B6" s="38"/>
      <c r="C6" s="76" t="e">
        <f>F49</f>
        <v>#REF!</v>
      </c>
      <c r="D6" s="77"/>
      <c r="E6" s="39"/>
      <c r="F6" s="38"/>
      <c r="G6" s="38"/>
      <c r="H6" s="38" t="s">
        <v>31</v>
      </c>
      <c r="I6" s="38"/>
      <c r="J6" s="76" t="e">
        <f>I49</f>
        <v>#REF!</v>
      </c>
      <c r="K6" s="77"/>
    </row>
    <row r="7" spans="1:13" x14ac:dyDescent="0.25">
      <c r="A7" s="40" t="s">
        <v>32</v>
      </c>
      <c r="B7" s="40"/>
      <c r="C7" s="40"/>
      <c r="D7" s="40"/>
      <c r="F7" s="72"/>
      <c r="G7" s="72"/>
      <c r="I7" s="73" t="s">
        <v>33</v>
      </c>
      <c r="J7" s="73"/>
      <c r="K7" s="73"/>
    </row>
    <row r="8" spans="1:13" ht="18" x14ac:dyDescent="0.25">
      <c r="A8" s="63" t="str">
        <f>estimate!A6</f>
        <v>Project:- जलेको गोठ नयाँ बनाउने कार्य</v>
      </c>
      <c r="B8" s="63"/>
      <c r="C8" s="63"/>
      <c r="D8" s="63"/>
      <c r="E8" s="63"/>
      <c r="F8" s="63"/>
      <c r="I8" s="74" t="s">
        <v>34</v>
      </c>
      <c r="J8" s="74"/>
      <c r="K8" s="74"/>
    </row>
    <row r="9" spans="1:13" x14ac:dyDescent="0.25">
      <c r="A9" s="75" t="s">
        <v>28</v>
      </c>
      <c r="B9" s="75"/>
      <c r="C9" s="75"/>
      <c r="D9" s="75"/>
      <c r="E9" s="75"/>
      <c r="F9" s="75"/>
      <c r="I9" s="74" t="s">
        <v>42</v>
      </c>
      <c r="J9" s="74"/>
      <c r="K9" s="74"/>
    </row>
    <row r="11" spans="1:13" x14ac:dyDescent="0.25">
      <c r="A11" s="70" t="s">
        <v>35</v>
      </c>
      <c r="B11" s="70" t="s">
        <v>36</v>
      </c>
      <c r="C11" s="70" t="s">
        <v>12</v>
      </c>
      <c r="D11" s="71" t="s">
        <v>37</v>
      </c>
      <c r="E11" s="71"/>
      <c r="F11" s="71"/>
      <c r="G11" s="71" t="s">
        <v>38</v>
      </c>
      <c r="H11" s="71"/>
      <c r="I11" s="71"/>
      <c r="J11" s="70" t="s">
        <v>39</v>
      </c>
      <c r="K11" s="69" t="s">
        <v>40</v>
      </c>
    </row>
    <row r="12" spans="1:13" x14ac:dyDescent="0.25">
      <c r="A12" s="70"/>
      <c r="B12" s="70"/>
      <c r="C12" s="70"/>
      <c r="D12" s="41" t="s">
        <v>41</v>
      </c>
      <c r="E12" s="41" t="s">
        <v>13</v>
      </c>
      <c r="F12" s="41" t="s">
        <v>14</v>
      </c>
      <c r="G12" s="41" t="s">
        <v>41</v>
      </c>
      <c r="H12" s="41" t="s">
        <v>13</v>
      </c>
      <c r="I12" s="41" t="s">
        <v>14</v>
      </c>
      <c r="J12" s="70"/>
      <c r="K12" s="69"/>
    </row>
    <row r="13" spans="1:13" s="34" customFormat="1" x14ac:dyDescent="0.25">
      <c r="A13" s="42" t="e">
        <f>estimate!#REF!</f>
        <v>#REF!</v>
      </c>
      <c r="B13" s="35" t="e">
        <f>estimate!#REF!</f>
        <v>#REF!</v>
      </c>
      <c r="C13" s="43" t="e">
        <f>estimate!#REF!</f>
        <v>#REF!</v>
      </c>
      <c r="D13" s="43" t="e">
        <f>estimate!#REF!</f>
        <v>#REF!</v>
      </c>
      <c r="E13" s="43" t="e">
        <f>estimate!#REF!</f>
        <v>#REF!</v>
      </c>
      <c r="F13" s="43" t="e">
        <f>D13*E13</f>
        <v>#REF!</v>
      </c>
      <c r="G13" s="43" t="e">
        <f>#REF!</f>
        <v>#REF!</v>
      </c>
      <c r="H13" s="43" t="e">
        <f>#REF!</f>
        <v>#REF!</v>
      </c>
      <c r="I13" s="43" t="e">
        <f>G13*H13</f>
        <v>#REF!</v>
      </c>
      <c r="J13" s="44" t="e">
        <f>I13-F13</f>
        <v>#REF!</v>
      </c>
      <c r="K13" s="45"/>
      <c r="M13" s="34" t="e">
        <f>1.25*F13</f>
        <v>#REF!</v>
      </c>
    </row>
    <row r="14" spans="1:13" s="34" customFormat="1" ht="15.75" x14ac:dyDescent="0.25">
      <c r="A14" s="42"/>
      <c r="B14" s="46" t="str">
        <f>[4]estimate!B12</f>
        <v>-13% VAT for excavator</v>
      </c>
      <c r="C14" s="43"/>
      <c r="D14" s="43"/>
      <c r="E14" s="43"/>
      <c r="F14" s="43" t="e">
        <f>estimate!#REF!</f>
        <v>#REF!</v>
      </c>
      <c r="G14" s="43"/>
      <c r="H14" s="43"/>
      <c r="I14" s="43" t="e">
        <f>#REF!</f>
        <v>#REF!</v>
      </c>
      <c r="J14" s="44" t="e">
        <f>I14-F14</f>
        <v>#REF!</v>
      </c>
      <c r="K14" s="45"/>
      <c r="M14" s="34" t="e">
        <f t="shared" ref="M14" si="0">1.25*F14</f>
        <v>#REF!</v>
      </c>
    </row>
    <row r="15" spans="1:13" s="34" customFormat="1" x14ac:dyDescent="0.25">
      <c r="A15" s="47"/>
      <c r="B15" s="48"/>
      <c r="C15" s="43"/>
      <c r="D15" s="43"/>
      <c r="E15" s="43"/>
      <c r="F15" s="43"/>
      <c r="G15" s="43"/>
      <c r="H15" s="43"/>
      <c r="I15" s="43"/>
      <c r="J15" s="44"/>
      <c r="K15" s="45"/>
    </row>
    <row r="16" spans="1:13" s="34" customFormat="1" ht="30" x14ac:dyDescent="0.25">
      <c r="A16" s="42">
        <f>estimate!A9</f>
        <v>1</v>
      </c>
      <c r="B16" s="35" t="str">
        <f>estimate!B9</f>
        <v xml:space="preserve">).#^ lblv ).$ dL.dL.afSnf] sf]?u]6]8 /+lug ss{6 kftfsf] 5fgf 5fpg] sfd </v>
      </c>
      <c r="C16" s="43" t="str">
        <f>estimate!H12</f>
        <v>sqm</v>
      </c>
      <c r="D16" s="43">
        <f>estimate!G12</f>
        <v>153.1</v>
      </c>
      <c r="E16" s="43">
        <f>estimate!I12</f>
        <v>1092.46</v>
      </c>
      <c r="F16" s="43">
        <f>D16*E16</f>
        <v>167255.62599999999</v>
      </c>
      <c r="G16" s="43" t="e">
        <f>#REF!</f>
        <v>#REF!</v>
      </c>
      <c r="H16" s="43" t="e">
        <f>#REF!</f>
        <v>#REF!</v>
      </c>
      <c r="I16" s="43" t="e">
        <f>G16*H16</f>
        <v>#REF!</v>
      </c>
      <c r="J16" s="44" t="e">
        <f>I16-F16</f>
        <v>#REF!</v>
      </c>
      <c r="K16" s="45"/>
      <c r="M16" s="34">
        <f t="shared" ref="M16:M44" si="1">1.25*F16</f>
        <v>209069.53249999997</v>
      </c>
    </row>
    <row r="17" spans="1:13" s="34" customFormat="1" ht="15.75" x14ac:dyDescent="0.25">
      <c r="A17" s="42"/>
      <c r="B17" s="46" t="e">
        <f>estimate!#REF!</f>
        <v>#REF!</v>
      </c>
      <c r="C17" s="43"/>
      <c r="D17" s="43"/>
      <c r="E17" s="43"/>
      <c r="F17" s="43" t="e">
        <f>estimate!#REF!</f>
        <v>#REF!</v>
      </c>
      <c r="G17" s="43"/>
      <c r="H17" s="43"/>
      <c r="I17" s="43" t="e">
        <f>#REF!</f>
        <v>#REF!</v>
      </c>
      <c r="J17" s="44" t="e">
        <f>I17-F17</f>
        <v>#REF!</v>
      </c>
      <c r="K17" s="45"/>
      <c r="M17" s="34" t="e">
        <f t="shared" si="1"/>
        <v>#REF!</v>
      </c>
    </row>
    <row r="18" spans="1:13" s="34" customFormat="1" ht="15.75" x14ac:dyDescent="0.25">
      <c r="A18" s="42"/>
      <c r="B18" s="46" t="e">
        <f>estimate!#REF!</f>
        <v>#REF!</v>
      </c>
      <c r="C18" s="43"/>
      <c r="D18" s="43"/>
      <c r="E18" s="43"/>
      <c r="F18" s="43" t="e">
        <f>estimate!#REF!</f>
        <v>#REF!</v>
      </c>
      <c r="G18" s="43"/>
      <c r="H18" s="43"/>
      <c r="I18" s="43" t="e">
        <f>#REF!</f>
        <v>#REF!</v>
      </c>
      <c r="J18" s="44" t="e">
        <f t="shared" ref="J18:J20" si="2">I18-F18</f>
        <v>#REF!</v>
      </c>
      <c r="K18" s="45"/>
    </row>
    <row r="19" spans="1:13" s="34" customFormat="1" ht="15.75" x14ac:dyDescent="0.25">
      <c r="A19" s="42"/>
      <c r="B19" s="46" t="e">
        <f>estimate!#REF!</f>
        <v>#REF!</v>
      </c>
      <c r="C19" s="43"/>
      <c r="D19" s="43"/>
      <c r="E19" s="43"/>
      <c r="F19" s="43" t="e">
        <f>estimate!#REF!</f>
        <v>#REF!</v>
      </c>
      <c r="G19" s="43"/>
      <c r="H19" s="43"/>
      <c r="I19" s="43" t="e">
        <f>#REF!</f>
        <v>#REF!</v>
      </c>
      <c r="J19" s="44" t="e">
        <f t="shared" si="2"/>
        <v>#REF!</v>
      </c>
      <c r="K19" s="45"/>
    </row>
    <row r="20" spans="1:13" s="34" customFormat="1" ht="15.75" x14ac:dyDescent="0.25">
      <c r="A20" s="42"/>
      <c r="B20" s="46" t="e">
        <f>estimate!#REF!</f>
        <v>#REF!</v>
      </c>
      <c r="C20" s="43"/>
      <c r="D20" s="43"/>
      <c r="E20" s="43"/>
      <c r="F20" s="43" t="e">
        <f>estimate!#REF!</f>
        <v>#REF!</v>
      </c>
      <c r="G20" s="43"/>
      <c r="H20" s="43"/>
      <c r="I20" s="43" t="e">
        <f>#REF!</f>
        <v>#REF!</v>
      </c>
      <c r="J20" s="44" t="e">
        <f t="shared" si="2"/>
        <v>#REF!</v>
      </c>
      <c r="K20" s="45"/>
    </row>
    <row r="21" spans="1:13" s="34" customFormat="1" ht="15.75" x14ac:dyDescent="0.25">
      <c r="A21" s="42"/>
      <c r="B21" s="49"/>
      <c r="C21" s="43"/>
      <c r="D21" s="43"/>
      <c r="E21" s="43"/>
      <c r="F21" s="43"/>
      <c r="G21" s="43"/>
      <c r="H21" s="43"/>
      <c r="I21" s="43"/>
      <c r="J21" s="44"/>
      <c r="K21" s="45"/>
    </row>
    <row r="22" spans="1:13" s="34" customFormat="1" ht="15.75" x14ac:dyDescent="0.25">
      <c r="A22" s="42" t="e">
        <f>estimate!#REF!</f>
        <v>#REF!</v>
      </c>
      <c r="B22" s="49" t="e">
        <f>estimate!#REF!</f>
        <v>#REF!</v>
      </c>
      <c r="C22" s="43" t="e">
        <f>estimate!#REF!</f>
        <v>#REF!</v>
      </c>
      <c r="D22" s="43" t="e">
        <f>estimate!#REF!</f>
        <v>#REF!</v>
      </c>
      <c r="E22" s="43" t="e">
        <f>estimate!#REF!</f>
        <v>#REF!</v>
      </c>
      <c r="F22" s="43" t="e">
        <f>D22*E22</f>
        <v>#REF!</v>
      </c>
      <c r="G22" s="43" t="e">
        <f>#REF!</f>
        <v>#REF!</v>
      </c>
      <c r="H22" s="43" t="e">
        <f>#REF!</f>
        <v>#REF!</v>
      </c>
      <c r="I22" s="43" t="e">
        <f>G22*H22</f>
        <v>#REF!</v>
      </c>
      <c r="J22" s="44" t="e">
        <f>I22-F22</f>
        <v>#REF!</v>
      </c>
      <c r="K22" s="45"/>
      <c r="M22" s="34" t="e">
        <f t="shared" si="1"/>
        <v>#REF!</v>
      </c>
    </row>
    <row r="23" spans="1:13" s="34" customFormat="1" ht="15.75" x14ac:dyDescent="0.25">
      <c r="A23" s="42"/>
      <c r="B23" s="46" t="e">
        <f>estimate!#REF!</f>
        <v>#REF!</v>
      </c>
      <c r="C23" s="43"/>
      <c r="D23" s="43"/>
      <c r="E23" s="43"/>
      <c r="F23" s="43" t="e">
        <f>estimate!#REF!</f>
        <v>#REF!</v>
      </c>
      <c r="G23" s="43"/>
      <c r="H23" s="43"/>
      <c r="I23" s="43" t="e">
        <f>#REF!</f>
        <v>#REF!</v>
      </c>
      <c r="J23" s="44" t="e">
        <f>I23-F23</f>
        <v>#REF!</v>
      </c>
      <c r="K23" s="45"/>
      <c r="M23" s="34" t="e">
        <f t="shared" si="1"/>
        <v>#REF!</v>
      </c>
    </row>
    <row r="24" spans="1:13" s="34" customFormat="1" x14ac:dyDescent="0.25">
      <c r="A24" s="47"/>
      <c r="B24" s="48"/>
      <c r="C24" s="43"/>
      <c r="D24" s="43"/>
      <c r="E24" s="43"/>
      <c r="F24" s="43"/>
      <c r="G24" s="43"/>
      <c r="H24" s="43"/>
      <c r="I24" s="43"/>
      <c r="J24" s="44"/>
      <c r="K24" s="45"/>
    </row>
    <row r="25" spans="1:13" s="34" customFormat="1" ht="15.75" x14ac:dyDescent="0.25">
      <c r="A25" s="42" t="e">
        <f>estimate!#REF!</f>
        <v>#REF!</v>
      </c>
      <c r="B25" s="49" t="e">
        <f>estimate!#REF!</f>
        <v>#REF!</v>
      </c>
      <c r="C25" s="43" t="e">
        <f>estimate!#REF!</f>
        <v>#REF!</v>
      </c>
      <c r="D25" s="43" t="e">
        <f>estimate!#REF!</f>
        <v>#REF!</v>
      </c>
      <c r="E25" s="43" t="e">
        <f>estimate!#REF!</f>
        <v>#REF!</v>
      </c>
      <c r="F25" s="43" t="e">
        <f>D25*E25</f>
        <v>#REF!</v>
      </c>
      <c r="G25" s="43" t="e">
        <f>#REF!</f>
        <v>#REF!</v>
      </c>
      <c r="H25" s="43" t="e">
        <f>#REF!</f>
        <v>#REF!</v>
      </c>
      <c r="I25" s="43" t="e">
        <f>G25*H25</f>
        <v>#REF!</v>
      </c>
      <c r="J25" s="44" t="e">
        <f>I25-F25</f>
        <v>#REF!</v>
      </c>
      <c r="K25" s="45"/>
      <c r="M25" s="34" t="e">
        <f t="shared" si="1"/>
        <v>#REF!</v>
      </c>
    </row>
    <row r="26" spans="1:13" s="34" customFormat="1" ht="15.75" x14ac:dyDescent="0.25">
      <c r="A26" s="42"/>
      <c r="B26" s="46" t="e">
        <f>estimate!#REF!</f>
        <v>#REF!</v>
      </c>
      <c r="C26" s="43"/>
      <c r="D26" s="43"/>
      <c r="E26" s="43"/>
      <c r="F26" s="43" t="e">
        <f>estimate!#REF!</f>
        <v>#REF!</v>
      </c>
      <c r="G26" s="43"/>
      <c r="H26" s="43"/>
      <c r="I26" s="43" t="e">
        <f>#REF!</f>
        <v>#REF!</v>
      </c>
      <c r="J26" s="44" t="e">
        <f>I26-F26</f>
        <v>#REF!</v>
      </c>
      <c r="K26" s="45"/>
      <c r="M26" s="34" t="e">
        <f t="shared" si="1"/>
        <v>#REF!</v>
      </c>
    </row>
    <row r="27" spans="1:13" s="34" customFormat="1" x14ac:dyDescent="0.25">
      <c r="A27" s="47"/>
      <c r="B27" s="48"/>
      <c r="C27" s="43"/>
      <c r="D27" s="43"/>
      <c r="E27" s="43"/>
      <c r="F27" s="43"/>
      <c r="G27" s="43"/>
      <c r="H27" s="43"/>
      <c r="I27" s="43"/>
      <c r="J27" s="44"/>
      <c r="K27" s="45"/>
    </row>
    <row r="28" spans="1:13" s="34" customFormat="1" ht="15.75" x14ac:dyDescent="0.25">
      <c r="A28" s="42" t="e">
        <f>estimate!#REF!</f>
        <v>#REF!</v>
      </c>
      <c r="B28" s="49" t="e">
        <f>estimate!#REF!</f>
        <v>#REF!</v>
      </c>
      <c r="C28" s="43" t="e">
        <f>estimate!#REF!</f>
        <v>#REF!</v>
      </c>
      <c r="D28" s="43" t="e">
        <f>estimate!#REF!</f>
        <v>#REF!</v>
      </c>
      <c r="E28" s="43" t="e">
        <f>estimate!#REF!</f>
        <v>#REF!</v>
      </c>
      <c r="F28" s="43" t="e">
        <f>D28*E28</f>
        <v>#REF!</v>
      </c>
      <c r="G28" s="43" t="e">
        <f>#REF!</f>
        <v>#REF!</v>
      </c>
      <c r="H28" s="43" t="e">
        <f>#REF!</f>
        <v>#REF!</v>
      </c>
      <c r="I28" s="43" t="e">
        <f>G28*H28</f>
        <v>#REF!</v>
      </c>
      <c r="J28" s="44" t="e">
        <f>I28-F28</f>
        <v>#REF!</v>
      </c>
      <c r="K28" s="45"/>
      <c r="M28" s="34" t="e">
        <f t="shared" ref="M28:M29" si="3">1.25*F28</f>
        <v>#REF!</v>
      </c>
    </row>
    <row r="29" spans="1:13" s="34" customFormat="1" ht="15.75" x14ac:dyDescent="0.25">
      <c r="A29" s="42"/>
      <c r="B29" s="46" t="e">
        <f>estimate!#REF!</f>
        <v>#REF!</v>
      </c>
      <c r="C29" s="43"/>
      <c r="D29" s="43"/>
      <c r="E29" s="43"/>
      <c r="F29" s="43" t="e">
        <f>estimate!#REF!</f>
        <v>#REF!</v>
      </c>
      <c r="G29" s="43"/>
      <c r="H29" s="43"/>
      <c r="I29" s="43" t="e">
        <f>#REF!</f>
        <v>#REF!</v>
      </c>
      <c r="J29" s="44" t="e">
        <f>I29-F29</f>
        <v>#REF!</v>
      </c>
      <c r="K29" s="45"/>
      <c r="M29" s="34" t="e">
        <f t="shared" si="3"/>
        <v>#REF!</v>
      </c>
    </row>
    <row r="30" spans="1:13" s="34" customFormat="1" ht="15.75" x14ac:dyDescent="0.25">
      <c r="A30" s="42"/>
      <c r="B30" s="46" t="e">
        <f>estimate!#REF!</f>
        <v>#REF!</v>
      </c>
      <c r="C30" s="43"/>
      <c r="D30" s="43"/>
      <c r="E30" s="43"/>
      <c r="F30" s="43" t="e">
        <f>estimate!#REF!</f>
        <v>#REF!</v>
      </c>
      <c r="G30" s="43"/>
      <c r="H30" s="43"/>
      <c r="I30" s="43" t="e">
        <f>#REF!</f>
        <v>#REF!</v>
      </c>
      <c r="J30" s="44" t="e">
        <f t="shared" ref="J30:J33" si="4">I30-F30</f>
        <v>#REF!</v>
      </c>
      <c r="K30" s="45"/>
    </row>
    <row r="31" spans="1:13" s="34" customFormat="1" ht="15.75" x14ac:dyDescent="0.25">
      <c r="A31" s="42"/>
      <c r="B31" s="46" t="e">
        <f>estimate!#REF!</f>
        <v>#REF!</v>
      </c>
      <c r="C31" s="43"/>
      <c r="D31" s="43"/>
      <c r="E31" s="43"/>
      <c r="F31" s="43" t="e">
        <f>estimate!#REF!</f>
        <v>#REF!</v>
      </c>
      <c r="G31" s="43"/>
      <c r="H31" s="43"/>
      <c r="I31" s="43" t="e">
        <f>#REF!</f>
        <v>#REF!</v>
      </c>
      <c r="J31" s="44" t="e">
        <f t="shared" si="4"/>
        <v>#REF!</v>
      </c>
      <c r="K31" s="45"/>
    </row>
    <row r="32" spans="1:13" s="34" customFormat="1" ht="15.75" x14ac:dyDescent="0.25">
      <c r="A32" s="42"/>
      <c r="B32" s="46" t="e">
        <f>estimate!#REF!</f>
        <v>#REF!</v>
      </c>
      <c r="C32" s="43"/>
      <c r="D32" s="43"/>
      <c r="E32" s="43"/>
      <c r="F32" s="43" t="e">
        <f>estimate!#REF!</f>
        <v>#REF!</v>
      </c>
      <c r="G32" s="43"/>
      <c r="H32" s="43"/>
      <c r="I32" s="43" t="e">
        <f>#REF!</f>
        <v>#REF!</v>
      </c>
      <c r="J32" s="44" t="e">
        <f t="shared" si="4"/>
        <v>#REF!</v>
      </c>
      <c r="K32" s="45"/>
    </row>
    <row r="33" spans="1:13" s="34" customFormat="1" ht="15.75" x14ac:dyDescent="0.25">
      <c r="A33" s="42"/>
      <c r="B33" s="46" t="e">
        <f>estimate!#REF!</f>
        <v>#REF!</v>
      </c>
      <c r="C33" s="43"/>
      <c r="D33" s="43"/>
      <c r="E33" s="43"/>
      <c r="F33" s="43" t="e">
        <f>estimate!#REF!</f>
        <v>#REF!</v>
      </c>
      <c r="G33" s="43"/>
      <c r="H33" s="43"/>
      <c r="I33" s="43" t="e">
        <f>#REF!</f>
        <v>#REF!</v>
      </c>
      <c r="J33" s="44" t="e">
        <f t="shared" si="4"/>
        <v>#REF!</v>
      </c>
      <c r="K33" s="45"/>
    </row>
    <row r="34" spans="1:13" s="34" customFormat="1" x14ac:dyDescent="0.25">
      <c r="A34" s="47"/>
      <c r="B34" s="48"/>
      <c r="C34" s="43"/>
      <c r="D34" s="43"/>
      <c r="E34" s="43"/>
      <c r="F34" s="43"/>
      <c r="G34" s="43"/>
      <c r="H34" s="43"/>
      <c r="I34" s="43"/>
      <c r="J34" s="44"/>
      <c r="K34" s="45"/>
    </row>
    <row r="35" spans="1:13" s="34" customFormat="1" ht="15.75" x14ac:dyDescent="0.25">
      <c r="A35" s="42" t="e">
        <f>estimate!#REF!</f>
        <v>#REF!</v>
      </c>
      <c r="B35" s="49" t="e">
        <f>estimate!#REF!</f>
        <v>#REF!</v>
      </c>
      <c r="C35" s="43" t="e">
        <f>estimate!#REF!</f>
        <v>#REF!</v>
      </c>
      <c r="D35" s="43" t="e">
        <f>estimate!#REF!</f>
        <v>#REF!</v>
      </c>
      <c r="E35" s="43" t="e">
        <f>estimate!#REF!</f>
        <v>#REF!</v>
      </c>
      <c r="F35" s="43" t="e">
        <f>D35*E35</f>
        <v>#REF!</v>
      </c>
      <c r="G35" s="43" t="e">
        <f>#REF!</f>
        <v>#REF!</v>
      </c>
      <c r="H35" s="43" t="e">
        <f>#REF!</f>
        <v>#REF!</v>
      </c>
      <c r="I35" s="43" t="e">
        <f>G35*H35</f>
        <v>#REF!</v>
      </c>
      <c r="J35" s="44" t="e">
        <f>I35-F35</f>
        <v>#REF!</v>
      </c>
      <c r="K35" s="45"/>
      <c r="M35" s="34" t="e">
        <f t="shared" ref="M35:M36" si="5">1.25*F35</f>
        <v>#REF!</v>
      </c>
    </row>
    <row r="36" spans="1:13" s="34" customFormat="1" ht="15.75" x14ac:dyDescent="0.25">
      <c r="A36" s="42"/>
      <c r="B36" s="46" t="e">
        <f>estimate!#REF!</f>
        <v>#REF!</v>
      </c>
      <c r="C36" s="43"/>
      <c r="D36" s="43"/>
      <c r="E36" s="43"/>
      <c r="F36" s="43" t="e">
        <f>estimate!#REF!</f>
        <v>#REF!</v>
      </c>
      <c r="G36" s="43"/>
      <c r="H36" s="43"/>
      <c r="I36" s="43" t="e">
        <f>#REF!</f>
        <v>#REF!</v>
      </c>
      <c r="J36" s="44" t="e">
        <f>I36-F36</f>
        <v>#REF!</v>
      </c>
      <c r="K36" s="45"/>
      <c r="M36" s="34" t="e">
        <f t="shared" si="5"/>
        <v>#REF!</v>
      </c>
    </row>
    <row r="37" spans="1:13" s="34" customFormat="1" ht="15.75" x14ac:dyDescent="0.25">
      <c r="A37" s="42"/>
      <c r="B37" s="46" t="e">
        <f>estimate!#REF!</f>
        <v>#REF!</v>
      </c>
      <c r="C37" s="43"/>
      <c r="D37" s="43"/>
      <c r="E37" s="43"/>
      <c r="F37" s="43" t="e">
        <f>estimate!#REF!</f>
        <v>#REF!</v>
      </c>
      <c r="G37" s="43"/>
      <c r="H37" s="43"/>
      <c r="I37" s="43" t="e">
        <f>#REF!</f>
        <v>#REF!</v>
      </c>
      <c r="J37" s="44" t="e">
        <f t="shared" ref="J37:J39" si="6">I37-F37</f>
        <v>#REF!</v>
      </c>
      <c r="K37" s="45"/>
    </row>
    <row r="38" spans="1:13" s="34" customFormat="1" ht="15.75" x14ac:dyDescent="0.25">
      <c r="A38" s="42"/>
      <c r="B38" s="46" t="e">
        <f>estimate!#REF!</f>
        <v>#REF!</v>
      </c>
      <c r="C38" s="43"/>
      <c r="D38" s="43"/>
      <c r="E38" s="43"/>
      <c r="F38" s="43" t="e">
        <f>estimate!#REF!</f>
        <v>#REF!</v>
      </c>
      <c r="G38" s="43"/>
      <c r="H38" s="43"/>
      <c r="I38" s="43" t="e">
        <f>#REF!</f>
        <v>#REF!</v>
      </c>
      <c r="J38" s="44" t="e">
        <f t="shared" si="6"/>
        <v>#REF!</v>
      </c>
      <c r="K38" s="45"/>
    </row>
    <row r="39" spans="1:13" s="34" customFormat="1" ht="15.75" x14ac:dyDescent="0.25">
      <c r="A39" s="42"/>
      <c r="B39" s="46" t="e">
        <f>estimate!#REF!</f>
        <v>#REF!</v>
      </c>
      <c r="C39" s="43"/>
      <c r="D39" s="43"/>
      <c r="E39" s="43"/>
      <c r="F39" s="43" t="e">
        <f>estimate!#REF!</f>
        <v>#REF!</v>
      </c>
      <c r="G39" s="43"/>
      <c r="H39" s="43"/>
      <c r="I39" s="43" t="e">
        <f>#REF!</f>
        <v>#REF!</v>
      </c>
      <c r="J39" s="44" t="e">
        <f t="shared" si="6"/>
        <v>#REF!</v>
      </c>
      <c r="K39" s="45"/>
    </row>
    <row r="40" spans="1:13" s="34" customFormat="1" x14ac:dyDescent="0.25">
      <c r="A40" s="47"/>
      <c r="B40" s="48"/>
      <c r="C40" s="43"/>
      <c r="D40" s="43"/>
      <c r="E40" s="43"/>
      <c r="F40" s="43"/>
      <c r="G40" s="43"/>
      <c r="H40" s="43"/>
      <c r="I40" s="43"/>
      <c r="J40" s="44"/>
      <c r="K40" s="45"/>
    </row>
    <row r="41" spans="1:13" s="34" customFormat="1" x14ac:dyDescent="0.25">
      <c r="A41" s="42" t="e">
        <f>estimate!#REF!</f>
        <v>#REF!</v>
      </c>
      <c r="B41" s="35" t="e">
        <f>estimate!#REF!</f>
        <v>#REF!</v>
      </c>
      <c r="C41" s="43" t="e">
        <f>estimate!#REF!</f>
        <v>#REF!</v>
      </c>
      <c r="D41" s="43" t="e">
        <f>estimate!#REF!</f>
        <v>#REF!</v>
      </c>
      <c r="E41" s="43" t="e">
        <f>estimate!#REF!</f>
        <v>#REF!</v>
      </c>
      <c r="F41" s="43" t="e">
        <f>D41*E41</f>
        <v>#REF!</v>
      </c>
      <c r="G41" s="43" t="e">
        <f>#REF!</f>
        <v>#REF!</v>
      </c>
      <c r="H41" s="43" t="e">
        <f>#REF!</f>
        <v>#REF!</v>
      </c>
      <c r="I41" s="43" t="e">
        <f>G41*H41</f>
        <v>#REF!</v>
      </c>
      <c r="J41" s="44" t="e">
        <f>I41-F41</f>
        <v>#REF!</v>
      </c>
      <c r="K41" s="45"/>
      <c r="M41" s="34" t="e">
        <f t="shared" ref="M41:M42" si="7">1.25*F41</f>
        <v>#REF!</v>
      </c>
    </row>
    <row r="42" spans="1:13" s="34" customFormat="1" ht="15.75" x14ac:dyDescent="0.25">
      <c r="A42" s="42"/>
      <c r="B42" s="46" t="e">
        <f>estimate!#REF!</f>
        <v>#REF!</v>
      </c>
      <c r="C42" s="43"/>
      <c r="D42" s="43"/>
      <c r="E42" s="43"/>
      <c r="F42" s="43" t="e">
        <f>estimate!#REF!</f>
        <v>#REF!</v>
      </c>
      <c r="G42" s="43"/>
      <c r="H42" s="43"/>
      <c r="I42" s="43" t="e">
        <f>#REF!</f>
        <v>#REF!</v>
      </c>
      <c r="J42" s="44" t="e">
        <f>I42-F42</f>
        <v>#REF!</v>
      </c>
      <c r="K42" s="45"/>
      <c r="M42" s="34" t="e">
        <f t="shared" si="7"/>
        <v>#REF!</v>
      </c>
    </row>
    <row r="43" spans="1:13" s="34" customFormat="1" x14ac:dyDescent="0.25">
      <c r="A43" s="47"/>
      <c r="B43" s="48"/>
      <c r="C43" s="43"/>
      <c r="D43" s="43"/>
      <c r="E43" s="43"/>
      <c r="F43" s="43"/>
      <c r="G43" s="43"/>
      <c r="H43" s="43"/>
      <c r="I43" s="43"/>
      <c r="J43" s="44"/>
      <c r="K43" s="45"/>
    </row>
    <row r="44" spans="1:13" s="34" customFormat="1" ht="15.75" x14ac:dyDescent="0.25">
      <c r="A44" s="42" t="e">
        <f>estimate!#REF!</f>
        <v>#REF!</v>
      </c>
      <c r="B44" s="50" t="e">
        <f>estimate!#REF!</f>
        <v>#REF!</v>
      </c>
      <c r="C44" s="43" t="e">
        <f>estimate!#REF!</f>
        <v>#REF!</v>
      </c>
      <c r="D44" s="43" t="e">
        <f>estimate!#REF!</f>
        <v>#REF!</v>
      </c>
      <c r="E44" s="43" t="e">
        <f>estimate!#REF!</f>
        <v>#REF!</v>
      </c>
      <c r="F44" s="43" t="e">
        <f>D44*E44</f>
        <v>#REF!</v>
      </c>
      <c r="G44" s="43" t="e">
        <f>#REF!</f>
        <v>#REF!</v>
      </c>
      <c r="H44" s="43" t="e">
        <f>#REF!</f>
        <v>#REF!</v>
      </c>
      <c r="I44" s="43" t="e">
        <f>G44*H44</f>
        <v>#REF!</v>
      </c>
      <c r="J44" s="44" t="e">
        <f>I44-F44</f>
        <v>#REF!</v>
      </c>
      <c r="K44" s="45"/>
      <c r="M44" s="34" t="e">
        <f t="shared" si="1"/>
        <v>#REF!</v>
      </c>
    </row>
    <row r="45" spans="1:13" s="34" customFormat="1" ht="15.75" x14ac:dyDescent="0.25">
      <c r="A45" s="42"/>
      <c r="B45" s="50" t="e">
        <f>estimate!#REF!</f>
        <v>#REF!</v>
      </c>
      <c r="C45" s="43"/>
      <c r="D45" s="43"/>
      <c r="E45" s="43"/>
      <c r="F45" s="43" t="e">
        <f>estimate!#REF!</f>
        <v>#REF!</v>
      </c>
      <c r="G45" s="43"/>
      <c r="H45" s="43"/>
      <c r="I45" s="43" t="e">
        <f>#REF!</f>
        <v>#REF!</v>
      </c>
      <c r="J45" s="44"/>
      <c r="K45" s="45"/>
    </row>
    <row r="46" spans="1:13" s="34" customFormat="1" x14ac:dyDescent="0.25">
      <c r="A46" s="47"/>
      <c r="B46" s="48"/>
      <c r="C46" s="43"/>
      <c r="D46" s="43"/>
      <c r="E46" s="43"/>
      <c r="F46" s="43"/>
      <c r="G46" s="43"/>
      <c r="H46" s="43"/>
      <c r="I46" s="43"/>
      <c r="J46" s="44"/>
      <c r="K46" s="45"/>
    </row>
    <row r="47" spans="1:13" s="34" customFormat="1" x14ac:dyDescent="0.25">
      <c r="A47" s="42">
        <f>estimate!A14</f>
        <v>2</v>
      </c>
      <c r="B47" s="51" t="str">
        <f>estimate!B14</f>
        <v>Information board (सुचना पाटि)</v>
      </c>
      <c r="C47" s="43" t="str">
        <f>estimate!H14</f>
        <v>no.</v>
      </c>
      <c r="D47" s="43">
        <f>estimate!G14</f>
        <v>1</v>
      </c>
      <c r="E47" s="43">
        <f>estimate!I14</f>
        <v>500</v>
      </c>
      <c r="F47" s="43">
        <f>D47*E47</f>
        <v>500</v>
      </c>
      <c r="G47" s="43" t="e">
        <f>#REF!</f>
        <v>#REF!</v>
      </c>
      <c r="H47" s="43" t="e">
        <f>#REF!</f>
        <v>#REF!</v>
      </c>
      <c r="I47" s="43" t="e">
        <f>G47*H47</f>
        <v>#REF!</v>
      </c>
      <c r="J47" s="44" t="e">
        <f>I47-F47</f>
        <v>#REF!</v>
      </c>
      <c r="K47" s="45"/>
    </row>
    <row r="48" spans="1:13" s="34" customFormat="1" x14ac:dyDescent="0.25">
      <c r="A48" s="48"/>
      <c r="B48" s="48"/>
      <c r="C48" s="43"/>
      <c r="D48" s="43"/>
      <c r="E48" s="43"/>
      <c r="F48" s="43"/>
      <c r="G48" s="43"/>
      <c r="H48" s="43"/>
      <c r="I48" s="43"/>
      <c r="J48" s="44"/>
      <c r="K48" s="45"/>
    </row>
    <row r="49" spans="1:11" x14ac:dyDescent="0.25">
      <c r="A49" s="52"/>
      <c r="B49" s="53" t="s">
        <v>19</v>
      </c>
      <c r="C49" s="53"/>
      <c r="D49" s="54"/>
      <c r="E49" s="54"/>
      <c r="F49" s="54" t="e">
        <f>SUM(F13:F47)</f>
        <v>#REF!</v>
      </c>
      <c r="G49" s="54"/>
      <c r="H49" s="54"/>
      <c r="I49" s="54" t="e">
        <f>SUM(I13:I47)</f>
        <v>#REF!</v>
      </c>
      <c r="J49" s="55" t="e">
        <f>I49-F49</f>
        <v>#REF!</v>
      </c>
      <c r="K49" s="52"/>
    </row>
  </sheetData>
  <mergeCells count="20">
    <mergeCell ref="C6:D6"/>
    <mergeCell ref="J6:K6"/>
    <mergeCell ref="A1:K1"/>
    <mergeCell ref="A2:K2"/>
    <mergeCell ref="A3:K3"/>
    <mergeCell ref="A4:K4"/>
    <mergeCell ref="A5:K5"/>
    <mergeCell ref="F7:G7"/>
    <mergeCell ref="I7:K7"/>
    <mergeCell ref="A8:F8"/>
    <mergeCell ref="I8:K8"/>
    <mergeCell ref="A9:F9"/>
    <mergeCell ref="I9:K9"/>
    <mergeCell ref="K11:K12"/>
    <mergeCell ref="A11:A12"/>
    <mergeCell ref="B11:B12"/>
    <mergeCell ref="C11:C12"/>
    <mergeCell ref="D11:F11"/>
    <mergeCell ref="G11:I11"/>
    <mergeCell ref="J11:J12"/>
  </mergeCells>
  <printOptions horizontalCentered="1"/>
  <pageMargins left="0.7" right="0.7" top="0.75" bottom="0.75" header="0.3" footer="0.3"/>
  <pageSetup scale="80" orientation="landscape" horizontalDpi="300" verticalDpi="300" r:id="rId1"/>
  <headerFooter>
    <oddFooter xml:space="preserve">&amp;LPrepared By:
&amp;CChecked By:
&amp;RApproved By:
</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estimate</vt:lpstr>
      <vt:lpstr>WCR</vt:lpstr>
      <vt:lpstr>estimate!Print_Area</vt:lpstr>
      <vt:lpstr>WCR!Print_Area</vt:lpstr>
      <vt:lpstr>estimate!Print_Titles</vt:lpstr>
      <vt:lpstr>WCR!Print_Titles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2026-09-09T04:34:16Z</dcterms:modified>
</cp:coreProperties>
</file>