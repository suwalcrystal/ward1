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124226"/>
  <xr:revisionPtr revIDLastSave="0" documentId="13_ncr:1_{4719CCA7-E593-4008-8447-B38074E0C0D7}" xr6:coauthVersionLast="47" xr6:coauthVersionMax="47" xr10:uidLastSave="{00000000-0000-0000-0000-000000000000}"/>
  <bookViews>
    <workbookView xWindow="-120" yWindow="-120" windowWidth="20640" windowHeight="11040" xr2:uid="{00000000-000D-0000-FFFF-FFFF00000000}"/>
  </bookViews>
  <sheets>
    <sheet name="water tank"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'water tank'!$A$1:$K$29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13" l="1"/>
  <c r="G23" i="13"/>
  <c r="F21" i="13"/>
  <c r="G21" i="13"/>
  <c r="F22" i="13"/>
  <c r="G22" i="13" s="1"/>
  <c r="F20" i="13"/>
  <c r="G20" i="13" s="1"/>
  <c r="F19" i="13"/>
  <c r="G19" i="13" s="1"/>
  <c r="F17" i="13"/>
  <c r="G17" i="13" s="1"/>
  <c r="F16" i="13"/>
  <c r="G16" i="13" s="1"/>
  <c r="F15" i="13"/>
  <c r="G15" i="13" s="1"/>
  <c r="F18" i="13"/>
  <c r="G18" i="13" s="1"/>
  <c r="C10" i="13"/>
  <c r="C34" i="13" l="1"/>
  <c r="C33" i="13"/>
  <c r="G25" i="13"/>
  <c r="J25" i="13" s="1"/>
  <c r="C31" i="13" l="1"/>
  <c r="G10" i="13"/>
  <c r="G11" i="13" s="1"/>
  <c r="J11" i="13" s="1"/>
  <c r="F14" i="13"/>
  <c r="G14" i="13" s="1"/>
  <c r="J23" i="13" l="1"/>
  <c r="J27" i="13" s="1"/>
  <c r="C29" i="13" s="1"/>
  <c r="E31" i="13" s="1"/>
  <c r="E32" i="13" s="1"/>
  <c r="C32" i="13" l="1"/>
</calcChain>
</file>

<file path=xl/sharedStrings.xml><?xml version="1.0" encoding="utf-8"?>
<sst xmlns="http://schemas.openxmlformats.org/spreadsheetml/2006/main" count="48" uniqueCount="48">
  <si>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</si>
  <si>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</si>
  <si>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</si>
  <si>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</si>
  <si>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</si>
  <si>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</si>
  <si>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</si>
  <si>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</si>
  <si>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</si>
  <si>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</si>
  <si>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</si>
  <si>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</si>
  <si>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</si>
  <si>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</si>
  <si>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</si>
  <si>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</si>
  <si>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</si>
  <si>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</si>
  <si>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</si>
  <si>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</si>
  <si>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</si>
  <si>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</si>
  <si>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</si>
  <si>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</si>
  <si>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</si>
  <si>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User contribution</t>
  </si>
  <si>
    <t>Length (m)</t>
  </si>
  <si>
    <t>sub-total</t>
  </si>
  <si>
    <t>-High Density Polythene Pipe NS 40 pipe material PE 100, PN 16</t>
  </si>
  <si>
    <t>Weight (Kg/m)</t>
  </si>
  <si>
    <t>Total weight (Kg)</t>
  </si>
  <si>
    <t>kg</t>
  </si>
  <si>
    <t>Location:- Shankharapur Municipality 1</t>
  </si>
  <si>
    <t>-for pipe laying</t>
  </si>
  <si>
    <t>rm</t>
  </si>
  <si>
    <t>F.Y.: 2083/2084</t>
  </si>
  <si>
    <r>
      <t xml:space="preserve">-for 25mm pipe laying for drinking water supply at </t>
    </r>
    <r>
      <rPr>
        <sz val="11"/>
        <rFont val="Preeti"/>
      </rPr>
      <t>gfËn]vgfn6f]n vfg]kfgL kfOk</t>
    </r>
  </si>
  <si>
    <r>
      <t xml:space="preserve">-for 25mm pipe laying for drinking water supply at </t>
    </r>
    <r>
      <rPr>
        <sz val="11"/>
        <rFont val="Preeti"/>
      </rPr>
      <t>k~rkfn] 9sfnufpF vfg]kfgL kfOk</t>
    </r>
  </si>
  <si>
    <r>
      <t xml:space="preserve">-for 25mm pipe laying for drinking water supply at </t>
    </r>
    <r>
      <rPr>
        <sz val="11"/>
        <rFont val="Preeti"/>
      </rPr>
      <t>kfv/Lrf}/ cfrfo{6f]n vfg]kfgL kfOk</t>
    </r>
  </si>
  <si>
    <r>
      <t xml:space="preserve">-for 25mm pipe laying for drinking water supply at </t>
    </r>
    <r>
      <rPr>
        <sz val="11"/>
        <rFont val="Preeti"/>
      </rPr>
      <t>s]/fjf/L vfg]kfgL kfOk</t>
    </r>
  </si>
  <si>
    <r>
      <t xml:space="preserve">-for 25mm pipe laying for drinking water supply at </t>
    </r>
    <r>
      <rPr>
        <sz val="11"/>
        <rFont val="Preeti"/>
      </rPr>
      <t>g]jf/6f]n vfg]kfgL kfOk</t>
    </r>
  </si>
  <si>
    <t>HDPE pipe laying and jointing works 20, 25mm dia</t>
  </si>
  <si>
    <t xml:space="preserve">Date:2083/7/11  </t>
  </si>
  <si>
    <r>
      <t>Project:-</t>
    </r>
    <r>
      <rPr>
        <sz val="12"/>
        <rFont val="Preeti"/>
      </rPr>
      <t xml:space="preserve"> </t>
    </r>
    <r>
      <rPr>
        <sz val="14"/>
        <rFont val="Preeti"/>
      </rPr>
      <t>vfg]kfgL kfOk vl/b</t>
    </r>
  </si>
  <si>
    <r>
      <t xml:space="preserve">-for 25mm pipe laying for drinking water supply at </t>
    </r>
    <r>
      <rPr>
        <sz val="11"/>
        <rFont val="Preeti"/>
      </rPr>
      <t>j/fjf]6 vfg]kfgL kfOk</t>
    </r>
  </si>
  <si>
    <r>
      <t xml:space="preserve">-for 25mm pipe laying for drinking water supply at </t>
    </r>
    <r>
      <rPr>
        <sz val="11"/>
        <rFont val="Preeti"/>
      </rPr>
      <t>b+ufn ufFp vfg]kfgL kfOk</t>
    </r>
  </si>
  <si>
    <r>
      <t xml:space="preserve">-for 25mm pipe laying for drinking water supply at </t>
    </r>
    <r>
      <rPr>
        <sz val="11"/>
        <rFont val="Preeti"/>
      </rPr>
      <t>dflyNnf] vgfn6f]n vfg]kfgL kfOk</t>
    </r>
  </si>
  <si>
    <r>
      <t xml:space="preserve">-for 25mm pipe laying for drinking water supply at </t>
    </r>
    <r>
      <rPr>
        <sz val="11"/>
        <rFont val="Preeti"/>
      </rPr>
      <t>kf}8]n6f]n 5fk vfg]kfgL kfOk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</si>
</sst>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sz val="11"/>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4">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4" fillId="0" borderId="0" xfId="0" applyFont="1" applyAlignment="1">
      <alignment vertical="center"/>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4" fillId="0" borderId="2" xfId="0" applyFont="1" applyBorder="1" applyAlignment="1">
      <alignment wrapText="1"/>
    </xf>
    <xf numFmtId="0" fontId="4" fillId="0" borderId="2" xfId="0"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1" fontId="2" fillId="0" borderId="2" xfId="0" quotePrefix="1" applyNumberFormat="1" applyFont="1" applyBorder="1" applyAlignment="1">
      <alignment vertical="center" wrapText="1"/>
    </xf>
    <xf numFmtId="0" fontId="4" fillId="0" borderId="2" xfId="0" quotePrefix="1" applyFont="1" applyBorder="1" applyAlignment="1">
      <alignment horizontal="right" vertical="center" wrapText="1"/>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topLeftCell="A5" zoomScaleNormal="100" workbookViewId="0">
      <selection activeCell="D11" sqref="D11"/>
    </sheetView>
  </sheetViews>
  <sheetFormatPr defaultColWidth="9.140625" defaultRowHeight="15" x14ac:dyDescent="0.25"/>
  <cols>
    <col min="1" max="1" width="4.7109375" style="9" customWidth="1"/>
    <col min="2" max="2" width="30.85546875" style="9" customWidth="1"/>
    <col min="3" max="3" width="4.42578125" style="9" bestFit="1" customWidth="1"/>
    <col min="4" max="4" width="8.42578125" style="9" customWidth="1"/>
    <col min="5" max="5" width="8.5703125" style="9" customWidth="1"/>
    <col min="6" max="6" width="7.28515625" style="9" customWidth="1"/>
    <col min="7" max="7" width="9.140625" style="9"/>
    <col min="8" max="8" width="5" style="9" bestFit="1" customWidth="1"/>
    <col min="9" max="9" width="9.5703125" style="9" customWidth="1"/>
    <col min="10" max="10" width="10.7109375" style="9" bestFit="1" customWidth="1"/>
    <col min="11" max="12" width="9.140625" style="9"/>
    <col min="13" max="13" width="6.42578125" style="9" bestFit="1" customWidth="1"/>
    <col min="14" max="14" width="7.42578125" style="9" bestFit="1" customWidth="1"/>
    <col min="15" max="16" width="8.42578125" style="9" bestFit="1" customWidth="1"/>
    <col min="17" max="17" width="9.140625" style="9"/>
    <col min="18" max="18" width="16.5703125" style="9" customWidth="1"/>
    <col min="19" max="20" width="8.5703125" style="9" bestFit="1" customWidth="1"/>
    <col min="21" max="21" width="6.5703125" style="9" customWidth="1"/>
    <col min="22" max="22" width="7.42578125" style="9" bestFit="1" customWidth="1"/>
    <col min="23" max="23" width="8.42578125" style="9" bestFit="1" customWidth="1"/>
    <col min="24" max="25" width="7.7109375" style="9" bestFit="1" customWidth="1"/>
    <col min="26" max="16384" width="9.140625" style="9"/>
  </cols>
  <sheetData>
    <row r="1" spans="1:25" x14ac:dyDescent="0.25">
      <c r="A1" s="43" t="s">
        <v>0</v>
      </c>
      <c r="B1" s="43"/>
      <c r="C1" s="43"/>
      <c r="D1" s="43"/>
      <c r="E1" s="43"/>
      <c r="F1" s="43"/>
      <c r="G1" s="43"/>
      <c r="H1" s="43"/>
      <c r="I1" s="43"/>
      <c r="J1" s="43"/>
      <c r="K1" s="43"/>
    </row>
    <row r="2" spans="1:25" ht="22.5" x14ac:dyDescent="0.25">
      <c r="A2" s="44" t="s">
        <v>1</v>
      </c>
      <c r="B2" s="44"/>
      <c r="C2" s="44"/>
      <c r="D2" s="44"/>
      <c r="E2" s="44"/>
      <c r="F2" s="44"/>
      <c r="G2" s="44"/>
      <c r="H2" s="44"/>
      <c r="I2" s="44"/>
      <c r="J2" s="44"/>
      <c r="K2" s="44"/>
    </row>
    <row r="3" spans="1:25" x14ac:dyDescent="0.25">
      <c r="A3" s="45" t="s">
        <v>2</v>
      </c>
      <c r="B3" s="45"/>
      <c r="C3" s="45"/>
      <c r="D3" s="45"/>
      <c r="E3" s="45"/>
      <c r="F3" s="45"/>
      <c r="G3" s="45"/>
      <c r="H3" s="45"/>
      <c r="I3" s="45"/>
      <c r="J3" s="45"/>
      <c r="K3" s="45"/>
    </row>
    <row r="4" spans="1:25" x14ac:dyDescent="0.25">
      <c r="A4" s="45" t="s">
        <v>3</v>
      </c>
      <c r="B4" s="45"/>
      <c r="C4" s="45"/>
      <c r="D4" s="45"/>
      <c r="E4" s="45"/>
      <c r="F4" s="45"/>
      <c r="G4" s="45"/>
      <c r="H4" s="45"/>
      <c r="I4" s="45"/>
      <c r="J4" s="45"/>
      <c r="K4" s="45"/>
    </row>
    <row r="5" spans="1:25" ht="18.75" x14ac:dyDescent="0.3">
      <c r="A5" s="46" t="s">
        <v>4</v>
      </c>
      <c r="B5" s="46"/>
      <c r="C5" s="46"/>
      <c r="D5" s="46"/>
      <c r="E5" s="46"/>
      <c r="F5" s="46"/>
      <c r="G5" s="46"/>
      <c r="H5" s="46"/>
      <c r="I5" s="46"/>
      <c r="J5" s="46"/>
      <c r="K5" s="46"/>
    </row>
    <row r="6" spans="1:25" ht="18" x14ac:dyDescent="0.25">
      <c r="A6" s="47" t="s">
        <v>43</v>
      </c>
      <c r="B6" s="47"/>
      <c r="C6" s="47"/>
      <c r="D6" s="47"/>
      <c r="E6" s="47"/>
      <c r="F6" s="47"/>
      <c r="G6" s="3"/>
      <c r="H6" s="48" t="s">
        <v>35</v>
      </c>
      <c r="I6" s="48"/>
      <c r="J6" s="48"/>
      <c r="K6" s="48"/>
    </row>
    <row r="7" spans="1:25" ht="15.75" x14ac:dyDescent="0.25">
      <c r="A7" s="41" t="s">
        <v>32</v>
      </c>
      <c r="B7" s="41"/>
      <c r="C7" s="41"/>
      <c r="D7" s="41"/>
      <c r="E7" s="41"/>
      <c r="F7" s="41"/>
      <c r="G7" s="4"/>
      <c r="H7" s="42" t="s">
        <v>42</v>
      </c>
      <c r="I7" s="42"/>
      <c r="J7" s="42"/>
      <c r="K7" s="42"/>
    </row>
    <row r="8" spans="1:25" ht="15.75" x14ac:dyDescent="0.25">
      <c r="A8" s="5" t="s">
        <v>5</v>
      </c>
      <c r="B8" s="6" t="s">
        <v>6</v>
      </c>
      <c r="C8" s="5" t="s">
        <v>7</v>
      </c>
      <c r="D8" s="7" t="s">
        <v>8</v>
      </c>
      <c r="E8" s="7" t="s">
        <v>9</v>
      </c>
      <c r="F8" s="7" t="s">
        <v>10</v>
      </c>
      <c r="G8" s="7" t="s">
        <v>11</v>
      </c>
      <c r="H8" s="5" t="s">
        <v>12</v>
      </c>
      <c r="I8" s="7" t="s">
        <v>13</v>
      </c>
      <c r="J8" s="7" t="s">
        <v>14</v>
      </c>
      <c r="K8" s="8" t="s">
        <v>15</v>
      </c>
      <c r="M8" s="10"/>
      <c r="N8" s="10"/>
      <c r="O8" s="10"/>
      <c r="P8" s="10"/>
      <c r="Q8" s="10"/>
      <c r="R8" s="10"/>
      <c r="S8" s="10"/>
      <c r="T8" s="10"/>
      <c r="U8" s="10"/>
      <c r="V8" s="10"/>
      <c r="W8" s="10"/>
      <c r="X8" s="10"/>
      <c r="Y8" s="10"/>
    </row>
    <row r="9" spans="1:25" ht="30" x14ac:dyDescent="0.25">
      <c r="A9" s="17">
        <v>1</v>
      </c>
      <c r="B9" s="36" t="s">
        <v>41</v>
      </c>
      <c r="C9" s="19"/>
      <c r="D9" s="19"/>
      <c r="E9" s="19"/>
      <c r="F9" s="19"/>
      <c r="G9" s="19"/>
      <c r="H9" s="19"/>
      <c r="I9" s="19"/>
      <c r="J9" s="19"/>
      <c r="K9" s="19"/>
      <c r="M9" s="10"/>
      <c r="N9" s="10"/>
      <c r="O9" s="10"/>
      <c r="P9" s="10"/>
      <c r="Q9" s="10"/>
      <c r="R9" s="10"/>
      <c r="S9" s="10"/>
      <c r="T9" s="10"/>
      <c r="U9" s="10"/>
      <c r="V9" s="10"/>
      <c r="W9" s="10"/>
      <c r="X9" s="10"/>
      <c r="Y9" s="10"/>
    </row>
    <row r="10" spans="1:25" x14ac:dyDescent="0.25">
      <c r="A10" s="17"/>
      <c r="B10" s="18" t="s">
        <v>33</v>
      </c>
      <c r="C10" s="19">
        <f>C14</f>
        <v>1</v>
      </c>
      <c r="D10" s="20">
        <f>SUM(D14:D22)</f>
        <v>3000</v>
      </c>
      <c r="E10" s="19"/>
      <c r="F10" s="19"/>
      <c r="G10" s="20">
        <f t="shared" ref="G10" si="0">PRODUCT(C10:F10)</f>
        <v>3000</v>
      </c>
      <c r="H10" s="19"/>
      <c r="I10" s="19"/>
      <c r="J10" s="16"/>
      <c r="K10" s="19"/>
    </row>
    <row r="11" spans="1:25" s="10" customFormat="1" x14ac:dyDescent="0.25">
      <c r="A11" s="11"/>
      <c r="B11" s="37" t="s">
        <v>27</v>
      </c>
      <c r="C11" s="13"/>
      <c r="D11" s="1"/>
      <c r="E11" s="14"/>
      <c r="F11" s="14"/>
      <c r="G11" s="38">
        <f>SUM(G10:G10)</f>
        <v>3000</v>
      </c>
      <c r="H11" s="15" t="s">
        <v>34</v>
      </c>
      <c r="I11" s="2">
        <v>4.6100000000000003</v>
      </c>
      <c r="J11" s="38">
        <f>G11*I11</f>
        <v>13830.000000000002</v>
      </c>
      <c r="K11" s="14"/>
      <c r="M11" s="9"/>
      <c r="N11" s="9"/>
      <c r="O11" s="9"/>
      <c r="P11" s="9"/>
      <c r="Q11" s="9"/>
      <c r="R11" s="9"/>
      <c r="S11" s="9"/>
      <c r="T11" s="9"/>
      <c r="U11" s="9"/>
      <c r="V11" s="9"/>
      <c r="W11" s="9"/>
      <c r="X11" s="9"/>
      <c r="Y11" s="9"/>
    </row>
    <row r="12" spans="1:25" x14ac:dyDescent="0.25">
      <c r="A12" s="17"/>
      <c r="B12" s="36"/>
      <c r="C12" s="19"/>
      <c r="D12" s="19"/>
      <c r="E12" s="19"/>
      <c r="F12" s="19"/>
      <c r="G12" s="19"/>
      <c r="H12" s="19"/>
      <c r="I12" s="19"/>
      <c r="J12" s="19"/>
      <c r="K12" s="19"/>
      <c r="M12" s="10"/>
      <c r="N12" s="10"/>
      <c r="O12" s="10"/>
      <c r="P12" s="10"/>
      <c r="Q12" s="10"/>
      <c r="R12" s="10"/>
      <c r="S12" s="10"/>
      <c r="T12" s="10"/>
      <c r="U12" s="10"/>
      <c r="V12" s="10"/>
      <c r="W12" s="10"/>
      <c r="X12" s="10"/>
      <c r="Y12" s="10"/>
    </row>
    <row r="13" spans="1:25" ht="45" x14ac:dyDescent="0.25">
      <c r="A13" s="17">
        <v>2</v>
      </c>
      <c r="B13" s="39" t="s">
        <v>28</v>
      </c>
      <c r="C13" s="19"/>
      <c r="D13" s="21" t="s">
        <v>26</v>
      </c>
      <c r="E13" s="21" t="s">
        <v>29</v>
      </c>
      <c r="F13" s="21" t="s">
        <v>30</v>
      </c>
      <c r="G13" s="19"/>
      <c r="H13" s="19"/>
      <c r="I13" s="19"/>
      <c r="J13" s="16"/>
      <c r="K13" s="19"/>
    </row>
    <row r="14" spans="1:25" s="10" customFormat="1" ht="44.25" x14ac:dyDescent="0.25">
      <c r="A14" s="17"/>
      <c r="B14" s="40" t="s">
        <v>36</v>
      </c>
      <c r="C14" s="22">
        <v>1</v>
      </c>
      <c r="D14" s="31">
        <v>300</v>
      </c>
      <c r="E14" s="22">
        <v>0.189</v>
      </c>
      <c r="F14" s="22">
        <f t="shared" ref="F14:F19" si="1">C14*D14*E14</f>
        <v>56.7</v>
      </c>
      <c r="G14" s="31">
        <f t="shared" ref="G14:G22" si="2">F14</f>
        <v>56.7</v>
      </c>
      <c r="H14" s="22"/>
      <c r="I14" s="22"/>
      <c r="J14" s="15"/>
      <c r="K14" s="22"/>
      <c r="M14" s="9"/>
      <c r="N14" s="9"/>
      <c r="O14" s="9"/>
      <c r="P14" s="9"/>
      <c r="Q14" s="9"/>
      <c r="R14" s="9"/>
      <c r="S14" s="9"/>
      <c r="T14" s="9"/>
      <c r="U14" s="9"/>
      <c r="V14" s="9"/>
      <c r="W14" s="9"/>
      <c r="X14" s="9"/>
      <c r="Y14" s="9"/>
    </row>
    <row r="15" spans="1:25" s="10" customFormat="1" ht="44.25" x14ac:dyDescent="0.25">
      <c r="A15" s="17"/>
      <c r="B15" s="40" t="s">
        <v>37</v>
      </c>
      <c r="C15" s="22">
        <v>1</v>
      </c>
      <c r="D15" s="31">
        <v>500</v>
      </c>
      <c r="E15" s="22">
        <v>0.189</v>
      </c>
      <c r="F15" s="22">
        <f t="shared" si="1"/>
        <v>94.5</v>
      </c>
      <c r="G15" s="31">
        <f t="shared" si="2"/>
        <v>94.5</v>
      </c>
      <c r="H15" s="22"/>
      <c r="I15" s="22"/>
      <c r="J15" s="15"/>
      <c r="K15" s="22"/>
      <c r="M15" s="9"/>
      <c r="N15" s="9"/>
      <c r="O15" s="9"/>
      <c r="P15" s="9"/>
      <c r="Q15" s="9"/>
      <c r="R15" s="9"/>
      <c r="S15" s="9"/>
      <c r="T15" s="9"/>
      <c r="U15" s="9"/>
      <c r="V15" s="9"/>
      <c r="W15" s="9"/>
      <c r="X15" s="9"/>
      <c r="Y15" s="9"/>
    </row>
    <row r="16" spans="1:25" s="10" customFormat="1" ht="44.25" x14ac:dyDescent="0.25">
      <c r="A16" s="17"/>
      <c r="B16" s="40" t="s">
        <v>38</v>
      </c>
      <c r="C16" s="22">
        <v>1</v>
      </c>
      <c r="D16" s="31">
        <v>300</v>
      </c>
      <c r="E16" s="22">
        <v>0.189</v>
      </c>
      <c r="F16" s="22">
        <f t="shared" si="1"/>
        <v>56.7</v>
      </c>
      <c r="G16" s="31">
        <f t="shared" si="2"/>
        <v>56.7</v>
      </c>
      <c r="H16" s="22"/>
      <c r="I16" s="22"/>
      <c r="J16" s="15"/>
      <c r="K16" s="22"/>
      <c r="M16" s="9"/>
      <c r="N16" s="9"/>
      <c r="O16" s="9"/>
      <c r="P16" s="9"/>
      <c r="Q16" s="9"/>
      <c r="R16" s="9"/>
      <c r="S16" s="9"/>
      <c r="T16" s="9"/>
      <c r="U16" s="9"/>
      <c r="V16" s="9"/>
      <c r="W16" s="9"/>
      <c r="X16" s="9"/>
      <c r="Y16" s="9"/>
    </row>
    <row r="17" spans="1:25" s="10" customFormat="1" ht="44.25" x14ac:dyDescent="0.25">
      <c r="A17" s="17"/>
      <c r="B17" s="40" t="s">
        <v>39</v>
      </c>
      <c r="C17" s="22">
        <v>1</v>
      </c>
      <c r="D17" s="31">
        <v>200</v>
      </c>
      <c r="E17" s="22">
        <v>0.189</v>
      </c>
      <c r="F17" s="22">
        <f t="shared" si="1"/>
        <v>37.799999999999997</v>
      </c>
      <c r="G17" s="31">
        <f t="shared" si="2"/>
        <v>37.799999999999997</v>
      </c>
      <c r="H17" s="22"/>
      <c r="I17" s="22"/>
      <c r="J17" s="15"/>
      <c r="K17" s="22"/>
      <c r="M17" s="9"/>
      <c r="N17" s="9"/>
      <c r="O17" s="9"/>
      <c r="P17" s="9"/>
      <c r="Q17" s="9"/>
      <c r="R17" s="9"/>
      <c r="S17" s="9"/>
      <c r="T17" s="9"/>
      <c r="U17" s="9"/>
      <c r="V17" s="9"/>
      <c r="W17" s="9"/>
      <c r="X17" s="9"/>
      <c r="Y17" s="9"/>
    </row>
    <row r="18" spans="1:25" s="10" customFormat="1" ht="44.25" x14ac:dyDescent="0.25">
      <c r="A18" s="17"/>
      <c r="B18" s="40" t="s">
        <v>40</v>
      </c>
      <c r="C18" s="22">
        <v>1</v>
      </c>
      <c r="D18" s="31">
        <v>300</v>
      </c>
      <c r="E18" s="22">
        <v>0.189</v>
      </c>
      <c r="F18" s="22">
        <f t="shared" si="1"/>
        <v>56.7</v>
      </c>
      <c r="G18" s="31">
        <f t="shared" si="2"/>
        <v>56.7</v>
      </c>
      <c r="H18" s="22"/>
      <c r="I18" s="22"/>
      <c r="J18" s="15"/>
      <c r="K18" s="22"/>
      <c r="M18" s="9"/>
      <c r="N18" s="9"/>
      <c r="O18" s="9"/>
      <c r="P18" s="9"/>
      <c r="Q18" s="9"/>
      <c r="R18" s="9"/>
      <c r="S18" s="9"/>
      <c r="T18" s="9"/>
      <c r="U18" s="9"/>
      <c r="V18" s="9"/>
      <c r="W18" s="9"/>
      <c r="X18" s="9"/>
      <c r="Y18" s="9"/>
    </row>
    <row r="19" spans="1:25" s="10" customFormat="1" ht="44.25" x14ac:dyDescent="0.25">
      <c r="A19" s="17"/>
      <c r="B19" s="40" t="s">
        <v>44</v>
      </c>
      <c r="C19" s="22">
        <v>1</v>
      </c>
      <c r="D19" s="31">
        <v>200</v>
      </c>
      <c r="E19" s="22">
        <v>0.189</v>
      </c>
      <c r="F19" s="22">
        <f t="shared" si="1"/>
        <v>37.799999999999997</v>
      </c>
      <c r="G19" s="31">
        <f t="shared" si="2"/>
        <v>37.799999999999997</v>
      </c>
      <c r="H19" s="22"/>
      <c r="I19" s="22"/>
      <c r="J19" s="15"/>
      <c r="K19" s="22"/>
      <c r="M19" s="9"/>
      <c r="N19" s="9"/>
      <c r="O19" s="9"/>
      <c r="P19" s="9"/>
      <c r="Q19" s="9"/>
      <c r="R19" s="9"/>
      <c r="S19" s="9"/>
      <c r="T19" s="9"/>
      <c r="U19" s="9"/>
      <c r="V19" s="9"/>
      <c r="W19" s="9"/>
      <c r="X19" s="9"/>
      <c r="Y19" s="9"/>
    </row>
    <row r="20" spans="1:25" s="10" customFormat="1" ht="44.25" x14ac:dyDescent="0.25">
      <c r="A20" s="17"/>
      <c r="B20" s="40" t="s">
        <v>45</v>
      </c>
      <c r="C20" s="22">
        <v>1</v>
      </c>
      <c r="D20" s="31">
        <v>500</v>
      </c>
      <c r="E20" s="22">
        <v>0.189</v>
      </c>
      <c r="F20" s="22">
        <f t="shared" ref="F20" si="3">C20*D20*E20</f>
        <v>94.5</v>
      </c>
      <c r="G20" s="31">
        <f t="shared" si="2"/>
        <v>94.5</v>
      </c>
      <c r="H20" s="22"/>
      <c r="I20" s="22"/>
      <c r="J20" s="15"/>
      <c r="K20" s="22"/>
      <c r="M20" s="9"/>
      <c r="N20" s="9"/>
      <c r="O20" s="9"/>
      <c r="P20" s="9"/>
      <c r="Q20" s="9"/>
      <c r="R20" s="9"/>
      <c r="S20" s="9"/>
      <c r="T20" s="9"/>
      <c r="U20" s="9"/>
      <c r="V20" s="9"/>
      <c r="W20" s="9"/>
      <c r="X20" s="9"/>
      <c r="Y20" s="9"/>
    </row>
    <row r="21" spans="1:25" s="10" customFormat="1" ht="44.25" x14ac:dyDescent="0.25">
      <c r="A21" s="17"/>
      <c r="B21" s="40" t="s">
        <v>46</v>
      </c>
      <c r="C21" s="22">
        <v>1</v>
      </c>
      <c r="D21" s="31">
        <v>200</v>
      </c>
      <c r="E21" s="22">
        <v>0.309</v>
      </c>
      <c r="F21" s="22">
        <f>C21*D21*E21</f>
        <v>61.8</v>
      </c>
      <c r="G21" s="31">
        <f>F21</f>
        <v>61.8</v>
      </c>
      <c r="H21" s="22"/>
      <c r="I21" s="22"/>
      <c r="J21" s="15"/>
      <c r="K21" s="22"/>
      <c r="M21" s="9"/>
      <c r="N21" s="9"/>
      <c r="O21" s="9"/>
      <c r="P21" s="9"/>
      <c r="Q21" s="9"/>
      <c r="R21" s="9"/>
      <c r="S21" s="9"/>
      <c r="T21" s="9"/>
      <c r="U21" s="9"/>
      <c r="V21" s="9"/>
      <c r="W21" s="9"/>
      <c r="X21" s="9"/>
      <c r="Y21" s="9"/>
    </row>
    <row r="22" spans="1:25" s="10" customFormat="1" ht="44.25" x14ac:dyDescent="0.25">
      <c r="A22" s="17"/>
      <c r="B22" s="40" t="s">
        <v>47</v>
      </c>
      <c r="C22" s="22">
        <v>1</v>
      </c>
      <c r="D22" s="31">
        <v>500</v>
      </c>
      <c r="E22" s="22">
        <v>0.189</v>
      </c>
      <c r="F22" s="22">
        <f t="shared" ref="F22" si="4">C22*D22*E22</f>
        <v>94.5</v>
      </c>
      <c r="G22" s="31">
        <f t="shared" si="2"/>
        <v>94.5</v>
      </c>
      <c r="H22" s="22"/>
      <c r="I22" s="22"/>
      <c r="J22" s="15"/>
      <c r="K22" s="22"/>
      <c r="M22" s="9"/>
      <c r="N22" s="9"/>
      <c r="O22" s="9"/>
      <c r="P22" s="9"/>
      <c r="Q22" s="9"/>
      <c r="R22" s="9"/>
      <c r="S22" s="9"/>
      <c r="T22" s="9"/>
      <c r="U22" s="9"/>
      <c r="V22" s="9"/>
      <c r="W22" s="9"/>
      <c r="X22" s="9"/>
      <c r="Y22" s="9"/>
    </row>
    <row r="23" spans="1:25" ht="15" customHeight="1" x14ac:dyDescent="0.25">
      <c r="A23" s="11"/>
      <c r="B23" s="12" t="s">
        <v>16</v>
      </c>
      <c r="C23" s="13"/>
      <c r="D23" s="1"/>
      <c r="E23" s="14"/>
      <c r="F23" s="14"/>
      <c r="G23" s="2">
        <f>SUM(G14:G22)</f>
        <v>591</v>
      </c>
      <c r="H23" s="15" t="s">
        <v>31</v>
      </c>
      <c r="I23" s="2">
        <v>315</v>
      </c>
      <c r="J23" s="16">
        <f>G23*I23</f>
        <v>186165</v>
      </c>
      <c r="K23" s="14"/>
    </row>
    <row r="24" spans="1:25" x14ac:dyDescent="0.25">
      <c r="A24" s="17"/>
      <c r="B24" s="19"/>
      <c r="C24" s="19"/>
      <c r="D24" s="19"/>
      <c r="E24" s="19"/>
      <c r="F24" s="19"/>
      <c r="G24" s="19"/>
      <c r="H24" s="19"/>
      <c r="I24" s="19"/>
      <c r="J24" s="19"/>
      <c r="K24" s="19"/>
    </row>
    <row r="25" spans="1:25" ht="15" customHeight="1" x14ac:dyDescent="0.25">
      <c r="A25" s="11">
        <v>3</v>
      </c>
      <c r="B25" s="23" t="s">
        <v>17</v>
      </c>
      <c r="C25" s="13">
        <v>1</v>
      </c>
      <c r="D25" s="1"/>
      <c r="E25" s="14"/>
      <c r="F25" s="14"/>
      <c r="G25" s="15">
        <f t="shared" ref="G25" si="5">PRODUCT(C25:F25)</f>
        <v>1</v>
      </c>
      <c r="H25" s="15" t="s">
        <v>18</v>
      </c>
      <c r="I25" s="2">
        <v>500</v>
      </c>
      <c r="J25" s="15">
        <f>G25*I25</f>
        <v>500</v>
      </c>
      <c r="K25" s="14"/>
    </row>
    <row r="26" spans="1:25" x14ac:dyDescent="0.25">
      <c r="A26" s="11"/>
      <c r="B26" s="24"/>
      <c r="C26" s="13"/>
      <c r="D26" s="1"/>
      <c r="E26" s="14"/>
      <c r="F26" s="14"/>
      <c r="G26" s="2"/>
      <c r="H26" s="15"/>
      <c r="I26" s="2"/>
      <c r="J26" s="16"/>
      <c r="K26" s="14"/>
    </row>
    <row r="27" spans="1:25" x14ac:dyDescent="0.25">
      <c r="A27" s="25"/>
      <c r="B27" s="26" t="s">
        <v>20</v>
      </c>
      <c r="C27" s="27"/>
      <c r="D27" s="28"/>
      <c r="E27" s="28"/>
      <c r="F27" s="28"/>
      <c r="G27" s="16"/>
      <c r="H27" s="16"/>
      <c r="I27" s="16"/>
      <c r="J27" s="16">
        <f>SUM(J9:J25)</f>
        <v>200495</v>
      </c>
      <c r="K27" s="29"/>
      <c r="M27" s="10"/>
      <c r="N27" s="10"/>
      <c r="O27" s="10"/>
      <c r="P27" s="10"/>
      <c r="Q27" s="10"/>
      <c r="R27" s="10"/>
      <c r="S27" s="10"/>
      <c r="T27" s="10"/>
      <c r="U27" s="10"/>
      <c r="V27" s="10"/>
      <c r="W27" s="10"/>
      <c r="X27" s="10"/>
      <c r="Y27" s="10"/>
    </row>
    <row r="29" spans="1:25" s="10" customFormat="1" x14ac:dyDescent="0.25">
      <c r="A29" s="30"/>
      <c r="B29" s="22" t="s">
        <v>19</v>
      </c>
      <c r="C29" s="49">
        <f>J27</f>
        <v>200495</v>
      </c>
      <c r="D29" s="50"/>
      <c r="E29" s="31">
        <v>100</v>
      </c>
      <c r="F29" s="30"/>
      <c r="G29" s="32"/>
      <c r="H29" s="30"/>
      <c r="I29" s="33"/>
      <c r="J29" s="34"/>
      <c r="K29" s="35"/>
      <c r="M29" s="9"/>
      <c r="N29" s="9"/>
      <c r="O29" s="9"/>
      <c r="P29" s="9"/>
      <c r="Q29" s="9"/>
      <c r="R29" s="9"/>
      <c r="S29" s="9"/>
      <c r="T29" s="9"/>
      <c r="U29" s="9"/>
      <c r="V29" s="9"/>
      <c r="W29" s="9"/>
      <c r="X29" s="9"/>
      <c r="Y29" s="9"/>
    </row>
    <row r="30" spans="1:25" x14ac:dyDescent="0.25">
      <c r="B30" s="22" t="s">
        <v>21</v>
      </c>
      <c r="C30" s="51">
        <v>100000</v>
      </c>
      <c r="D30" s="52"/>
      <c r="E30" s="31"/>
    </row>
    <row r="31" spans="1:25" x14ac:dyDescent="0.25">
      <c r="B31" s="22" t="s">
        <v>22</v>
      </c>
      <c r="C31" s="51">
        <f>C30-C33-C34</f>
        <v>95000</v>
      </c>
      <c r="D31" s="52"/>
      <c r="E31" s="31">
        <f>C31/C29*100</f>
        <v>47.382727748821665</v>
      </c>
    </row>
    <row r="32" spans="1:25" x14ac:dyDescent="0.25">
      <c r="B32" s="22" t="s">
        <v>25</v>
      </c>
      <c r="C32" s="53">
        <f>C29-C31</f>
        <v>105495</v>
      </c>
      <c r="D32" s="53"/>
      <c r="E32" s="31">
        <f>100-E31</f>
        <v>52.617272251178335</v>
      </c>
    </row>
    <row r="33" spans="2:5" x14ac:dyDescent="0.25">
      <c r="B33" s="22" t="s">
        <v>23</v>
      </c>
      <c r="C33" s="49">
        <f>C30*0.03</f>
        <v>3000</v>
      </c>
      <c r="D33" s="50"/>
      <c r="E33" s="31">
        <v>3</v>
      </c>
    </row>
    <row r="34" spans="2:5" x14ac:dyDescent="0.25">
      <c r="B34" s="22" t="s">
        <v>24</v>
      </c>
      <c r="C34" s="49">
        <f>C30*0.02</f>
        <v>2000</v>
      </c>
      <c r="D34" s="50"/>
      <c r="E34" s="31">
        <v>2</v>
      </c>
    </row>
  </sheetData>
  <mergeCells count="15">
    <mergeCell ref="C34:D34"/>
    <mergeCell ref="C29:D29"/>
    <mergeCell ref="C30:D30"/>
    <mergeCell ref="C31:D31"/>
    <mergeCell ref="C32:D32"/>
    <mergeCell ref="C33:D33"/>
    <mergeCell ref="A7:F7"/>
    <mergeCell ref="H7:K7"/>
    <mergeCell ref="A1:K1"/>
    <mergeCell ref="A2:K2"/>
    <mergeCell ref="A3:K3"/>
    <mergeCell ref="A4:K4"/>
    <mergeCell ref="A5:K5"/>
    <mergeCell ref="A6:F6"/>
    <mergeCell ref="H6:K6"/>
  </mergeCells>
  <pageMargins left="0.7" right="0.7" top="0.75" bottom="0.75" header="0.3" footer="0.3"/>
  <pageSetup paperSize="9" scale="80" orientation="portrait"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water tank</vt:lpstr>
      <vt:lpstr>'water tank'!Print_Area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2026-10-28T07:24:11Z</dcterms:modified>
</cp:coreProperties>
</file>