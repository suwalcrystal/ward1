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24226"/>
  <mc:AlternateContent xmlns:mc="http://schemas.openxmlformats.org/markup-compatibility/2006">
    <mc:Choice Requires="x15">
      <x15ac:absPath xmlns:x15ac="http://schemas.microsoft.com/office/spreadsheetml/2010/11/ac" url="H:\082_083\ward1\2083_2084\estimate\budget maag estimate\lapse sinchai\"/>
    </mc:Choice>
  </mc:AlternateContent>
  <xr:revisionPtr revIDLastSave="0" documentId="13_ncr:1_{83F058DA-79A5-4B0F-8475-35F12834D2D0}" xr6:coauthVersionLast="47" xr6:coauthVersionMax="47" xr10:uidLastSave="{00000000-0000-0000-0000-000000000000}"/>
  <bookViews>
    <workbookView xWindow="-108" yWindow="-108" windowWidth="23256" windowHeight="12576" firstSheet="2" activeTab="3" xr2:uid="{00000000-000D-0000-FFFF-FFFF00000000}"/>
  </bookViews>
  <sheets>
    <sheet name="WCR" sheetId="27" state="hidden" r:id="rId1"/>
    <sheet name="Sheet1" sheetId="30" state="hidden" r:id="rId2"/>
    <sheet name="Size of water tank" sheetId="33" r:id="rId3"/>
    <sheet name="estimated" sheetId="35" r:id="rId4"/>
  </sheets>
  <externalReferences>
    <externalReference r:id="rId5"/>
  </externalReferences>
  <definedNames>
    <definedName name="description_262">[1]Abstract!$B$34</definedName>
    <definedName name="description_6">[1]Abstract!$B$172</definedName>
    <definedName name="_xlnm.Print_Area" localSheetId="3">estimated!$A$1:$K$81</definedName>
    <definedName name="_xlnm.Print_Titles" localSheetId="3">estimated!$1:$8</definedName>
    <definedName name="_xlnm.Print_Titles" localSheetId="0">WCR!$1:$11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9" i="35" l="1"/>
  <c r="C3" i="33"/>
  <c r="F38" i="35" s="1"/>
  <c r="F40" i="35" s="1"/>
  <c r="G40" i="35" s="1"/>
  <c r="B3" i="33"/>
  <c r="D46" i="35" s="1"/>
  <c r="F12" i="33"/>
  <c r="F11" i="33"/>
  <c r="D45" i="35"/>
  <c r="A3" i="33"/>
  <c r="D47" i="35" s="1"/>
  <c r="E49" i="35"/>
  <c r="D49" i="35"/>
  <c r="F34" i="35"/>
  <c r="F33" i="35"/>
  <c r="F32" i="35"/>
  <c r="D34" i="35"/>
  <c r="D33" i="35"/>
  <c r="E40" i="35"/>
  <c r="D40" i="35"/>
  <c r="C84" i="35"/>
  <c r="C83" i="35"/>
  <c r="C81" i="35"/>
  <c r="C26" i="35" l="1"/>
  <c r="C27" i="35"/>
  <c r="C33" i="35" s="1"/>
  <c r="C34" i="35" s="1"/>
  <c r="G34" i="35" s="1"/>
  <c r="F39" i="35"/>
  <c r="C24" i="35"/>
  <c r="C29" i="35"/>
  <c r="C23" i="35"/>
  <c r="D48" i="35"/>
  <c r="C25" i="35"/>
  <c r="C30" i="35"/>
  <c r="D32" i="35"/>
  <c r="G32" i="35" s="1"/>
  <c r="D23" i="35"/>
  <c r="D25" i="35"/>
  <c r="D26" i="35"/>
  <c r="D24" i="35"/>
  <c r="G33" i="35" l="1"/>
  <c r="F15" i="35" l="1"/>
  <c r="I35" i="35"/>
  <c r="E11" i="35" l="1"/>
  <c r="D11" i="35"/>
  <c r="J75" i="35" l="1"/>
  <c r="J73" i="35"/>
  <c r="C64" i="35"/>
  <c r="C63" i="35"/>
  <c r="B63" i="35"/>
  <c r="E59" i="35"/>
  <c r="E66" i="35" s="1"/>
  <c r="D59" i="35"/>
  <c r="D66" i="35" s="1"/>
  <c r="F55" i="35"/>
  <c r="F65" i="35" s="1"/>
  <c r="F54" i="35"/>
  <c r="F64" i="35" s="1"/>
  <c r="D54" i="35"/>
  <c r="D64" i="35" s="1"/>
  <c r="F53" i="35"/>
  <c r="F63" i="35" s="1"/>
  <c r="D53" i="35"/>
  <c r="D63" i="35" s="1"/>
  <c r="F48" i="35"/>
  <c r="E48" i="35"/>
  <c r="C48" i="35"/>
  <c r="F47" i="35"/>
  <c r="G49" i="35" s="1"/>
  <c r="E47" i="35"/>
  <c r="C47" i="35"/>
  <c r="F46" i="35"/>
  <c r="E46" i="35"/>
  <c r="F45" i="35"/>
  <c r="E45" i="35"/>
  <c r="F44" i="35"/>
  <c r="E44" i="35"/>
  <c r="D44" i="35"/>
  <c r="D39" i="35"/>
  <c r="D38" i="35"/>
  <c r="F31" i="35"/>
  <c r="D31" i="35"/>
  <c r="C31" i="35"/>
  <c r="F30" i="35"/>
  <c r="D30" i="35"/>
  <c r="F29" i="35"/>
  <c r="D29" i="35"/>
  <c r="F28" i="35"/>
  <c r="D28" i="35"/>
  <c r="C28" i="35"/>
  <c r="F27" i="35"/>
  <c r="D27" i="35"/>
  <c r="F26" i="35"/>
  <c r="F25" i="35"/>
  <c r="F24" i="35"/>
  <c r="F23" i="35"/>
  <c r="F19" i="35"/>
  <c r="E19" i="35"/>
  <c r="C19" i="35"/>
  <c r="B19" i="35"/>
  <c r="E15" i="35"/>
  <c r="D15" i="35"/>
  <c r="C15" i="35"/>
  <c r="G11" i="35"/>
  <c r="G12" i="35" s="1"/>
  <c r="G23" i="35" l="1"/>
  <c r="D55" i="35"/>
  <c r="G55" i="35" s="1"/>
  <c r="G27" i="35"/>
  <c r="G31" i="35"/>
  <c r="G48" i="35"/>
  <c r="G38" i="35"/>
  <c r="G45" i="35"/>
  <c r="G46" i="35"/>
  <c r="G25" i="35"/>
  <c r="G44" i="35"/>
  <c r="G53" i="35"/>
  <c r="D19" i="35"/>
  <c r="G19" i="35" s="1"/>
  <c r="G20" i="35" s="1"/>
  <c r="J20" i="35" s="1"/>
  <c r="G29" i="35"/>
  <c r="G26" i="35"/>
  <c r="G30" i="35"/>
  <c r="G39" i="35"/>
  <c r="G63" i="35"/>
  <c r="G66" i="35"/>
  <c r="G15" i="35"/>
  <c r="G16" i="35" s="1"/>
  <c r="J16" i="35" s="1"/>
  <c r="G24" i="35"/>
  <c r="G28" i="35"/>
  <c r="G47" i="35"/>
  <c r="J12" i="35"/>
  <c r="G64" i="35"/>
  <c r="G54" i="35"/>
  <c r="G59" i="35"/>
  <c r="G41" i="35" l="1"/>
  <c r="J41" i="35" s="1"/>
  <c r="G35" i="35"/>
  <c r="J35" i="35" s="1"/>
  <c r="D65" i="35"/>
  <c r="G65" i="35" s="1"/>
  <c r="G67" i="35" s="1"/>
  <c r="J67" i="35" s="1"/>
  <c r="G50" i="35"/>
  <c r="J50" i="35" s="1"/>
  <c r="G60" i="35"/>
  <c r="J60" i="35" s="1"/>
  <c r="G56" i="35"/>
  <c r="J56" i="35" s="1"/>
  <c r="J4" i="33"/>
  <c r="M4" i="33"/>
  <c r="N3" i="33"/>
  <c r="M3" i="33"/>
  <c r="L3" i="33"/>
  <c r="K3" i="33"/>
  <c r="G3" i="33"/>
  <c r="F3" i="33"/>
  <c r="D70" i="35" l="1"/>
  <c r="G70" i="35" s="1"/>
  <c r="G71" i="35" s="1"/>
  <c r="J71" i="35" s="1"/>
  <c r="J76" i="35" s="1"/>
  <c r="C79" i="35" s="1"/>
  <c r="C82" i="35" l="1"/>
  <c r="E82" i="35" s="1"/>
  <c r="E81" i="35"/>
  <c r="D7" i="30"/>
  <c r="G7" i="30" s="1"/>
  <c r="D6" i="30"/>
  <c r="G6" i="30" s="1"/>
  <c r="G4" i="30"/>
  <c r="G5" i="30"/>
  <c r="H7" i="30" l="1"/>
  <c r="H5" i="30"/>
  <c r="H8" i="30" s="1"/>
  <c r="H9" i="30" l="1"/>
  <c r="H10" i="30" s="1"/>
  <c r="B10" i="30" s="1"/>
  <c r="D10" i="30" s="1"/>
  <c r="B8" i="27" l="1"/>
  <c r="G12" i="27" l="1"/>
  <c r="G14" i="27"/>
  <c r="G16" i="27"/>
  <c r="G19" i="27"/>
  <c r="G22" i="27"/>
  <c r="G27" i="27"/>
  <c r="G32" i="27"/>
  <c r="G35" i="27"/>
  <c r="G39" i="27"/>
  <c r="G41" i="27"/>
  <c r="G44" i="27"/>
  <c r="G47" i="27"/>
  <c r="G50" i="27"/>
  <c r="F50" i="27"/>
  <c r="I50" i="27" s="1"/>
  <c r="F47" i="27"/>
  <c r="D12" i="27"/>
  <c r="D14" i="27"/>
  <c r="D16" i="27"/>
  <c r="D19" i="27"/>
  <c r="D22" i="27"/>
  <c r="D27" i="27"/>
  <c r="D32" i="27"/>
  <c r="D35" i="27"/>
  <c r="D39" i="27"/>
  <c r="D41" i="27"/>
  <c r="D44" i="27"/>
  <c r="D47" i="27"/>
  <c r="C47" i="27"/>
  <c r="I47" i="27" l="1"/>
  <c r="H50" i="27"/>
  <c r="F41" i="27"/>
  <c r="F19" i="27"/>
  <c r="H14" i="27" l="1"/>
  <c r="F14" i="27"/>
  <c r="H39" i="27"/>
  <c r="F39" i="27"/>
  <c r="H48" i="27"/>
  <c r="H47" i="27"/>
  <c r="H12" i="27"/>
  <c r="F12" i="27"/>
  <c r="F32" i="27"/>
  <c r="H44" i="27"/>
  <c r="F44" i="27"/>
  <c r="F27" i="27"/>
  <c r="H45" i="27"/>
  <c r="H20" i="27"/>
  <c r="H19" i="27"/>
  <c r="H41" i="27"/>
  <c r="H42" i="27"/>
  <c r="H29" i="27"/>
  <c r="F16" i="27"/>
  <c r="C19" i="27" l="1"/>
  <c r="I19" i="27" s="1"/>
  <c r="E42" i="27"/>
  <c r="C41" i="27"/>
  <c r="I41" i="27" s="1"/>
  <c r="H30" i="27"/>
  <c r="H27" i="27"/>
  <c r="E14" i="27"/>
  <c r="C14" i="27"/>
  <c r="I14" i="27" s="1"/>
  <c r="H28" i="27"/>
  <c r="C39" i="27"/>
  <c r="I39" i="27" s="1"/>
  <c r="E12" i="27"/>
  <c r="C12" i="27"/>
  <c r="I12" i="27" s="1"/>
  <c r="E45" i="27"/>
  <c r="C44" i="27"/>
  <c r="I44" i="27" s="1"/>
  <c r="E48" i="27"/>
  <c r="E47" i="27"/>
  <c r="H37" i="27"/>
  <c r="F35" i="27"/>
  <c r="H24" i="27"/>
  <c r="F22" i="27"/>
  <c r="H23" i="27"/>
  <c r="H25" i="27"/>
  <c r="H22" i="27"/>
  <c r="H35" i="27"/>
  <c r="H36" i="27"/>
  <c r="H17" i="27"/>
  <c r="H16" i="27"/>
  <c r="H32" i="27"/>
  <c r="H33" i="27"/>
  <c r="E44" i="27"/>
  <c r="E16" i="27"/>
  <c r="E37" i="27"/>
  <c r="C32" i="27"/>
  <c r="I32" i="27" s="1"/>
  <c r="E19" i="27"/>
  <c r="E41" i="27"/>
  <c r="E39" i="27" l="1"/>
  <c r="E29" i="27"/>
  <c r="E28" i="27"/>
  <c r="E30" i="27"/>
  <c r="E20" i="27"/>
  <c r="E36" i="27"/>
  <c r="C35" i="27"/>
  <c r="I35" i="27" s="1"/>
  <c r="C27" i="27"/>
  <c r="I27" i="27" s="1"/>
  <c r="E17" i="27"/>
  <c r="C16" i="27"/>
  <c r="I16" i="27" s="1"/>
  <c r="H51" i="27"/>
  <c r="I6" i="27" s="1"/>
  <c r="E27" i="27"/>
  <c r="E35" i="27"/>
  <c r="E33" i="27"/>
  <c r="E32" i="27"/>
  <c r="C22" i="27" l="1"/>
  <c r="I22" i="27" s="1"/>
  <c r="E24" i="27"/>
  <c r="E25" i="27"/>
  <c r="E22" i="27" l="1"/>
  <c r="E51" i="27" s="1"/>
  <c r="C6" i="27" s="1"/>
  <c r="E23"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4" authorId="0" shapeId="0" xr:uid="{939D02E8-1D53-47F7-B50A-37D91712303F}">
      <text>
        <r>
          <rPr>
            <b/>
            <sz val="9"/>
            <color indexed="81"/>
            <rFont val="Tahoma"/>
            <family val="2"/>
          </rPr>
          <t>User:</t>
        </r>
        <r>
          <rPr>
            <sz val="9"/>
            <color indexed="81"/>
            <rFont val="Tahoma"/>
            <family val="2"/>
          </rPr>
          <t xml:space="preserve">
57*dia</t>
        </r>
      </text>
    </comment>
    <comment ref="M4" authorId="0" shapeId="0" xr:uid="{446E0234-02B1-41B8-ABE3-CFAA9DECD219}">
      <text>
        <r>
          <rPr>
            <b/>
            <sz val="9"/>
            <color indexed="81"/>
            <rFont val="Tahoma"/>
            <family val="2"/>
          </rPr>
          <t>User:</t>
        </r>
        <r>
          <rPr>
            <sz val="9"/>
            <color indexed="81"/>
            <rFont val="Tahoma"/>
            <family val="2"/>
          </rPr>
          <t xml:space="preserve">
hypoteneous</t>
        </r>
      </text>
    </comment>
  </commentList>
</comments>
</file>

<file path=xl/sharedStrings.xml><?xml version="1.0" encoding="utf-8"?>
<sst xmlns="http://schemas.openxmlformats.org/spreadsheetml/2006/main" count="168" uniqueCount="137">
  <si>
    <t>S.N.</t>
  </si>
  <si>
    <t>Description of work</t>
  </si>
  <si>
    <t>No.</t>
  </si>
  <si>
    <t>Length</t>
  </si>
  <si>
    <t>Breadth</t>
  </si>
  <si>
    <t>Height</t>
  </si>
  <si>
    <t>Quantity</t>
  </si>
  <si>
    <t>Unit</t>
  </si>
  <si>
    <t>Rate</t>
  </si>
  <si>
    <t>Amount</t>
  </si>
  <si>
    <t>Remarks</t>
  </si>
  <si>
    <t>Government of Nepal</t>
  </si>
  <si>
    <t>Description</t>
  </si>
  <si>
    <t>Total Estimated</t>
  </si>
  <si>
    <t>Budget Allocated</t>
  </si>
  <si>
    <t>User Contribution</t>
  </si>
  <si>
    <t>Shankharapur Municipality</t>
  </si>
  <si>
    <t>Shankhu, Kathmandu</t>
  </si>
  <si>
    <t>kg</t>
  </si>
  <si>
    <t>Municipal Payment</t>
  </si>
  <si>
    <t>Maintenance 2%</t>
  </si>
  <si>
    <t>Contingencies 3%</t>
  </si>
  <si>
    <t>Detail Estimate Sheet</t>
  </si>
  <si>
    <t>sqm</t>
  </si>
  <si>
    <t>cum</t>
  </si>
  <si>
    <t>RCC works 1:1.5:3 ratio in water collection chamber with all work complete</t>
  </si>
  <si>
    <t>3mm punning all complete work</t>
  </si>
  <si>
    <t>Location:- Shankharapur Municipality- 1</t>
  </si>
  <si>
    <t>vat on cement</t>
  </si>
  <si>
    <t xml:space="preserve">vat on sand </t>
  </si>
  <si>
    <t>vat on aggregate</t>
  </si>
  <si>
    <t xml:space="preserve"> </t>
  </si>
  <si>
    <t>Information Board</t>
  </si>
  <si>
    <t>no.</t>
  </si>
  <si>
    <t>stone soling</t>
  </si>
  <si>
    <t>vat on stone</t>
  </si>
  <si>
    <t>vat on brick</t>
  </si>
  <si>
    <t>plastering work</t>
  </si>
  <si>
    <t xml:space="preserve">tap and fittings </t>
  </si>
  <si>
    <t xml:space="preserve">Dry Stone  Masonry work </t>
  </si>
  <si>
    <t>Dismantle the rcc work on the base of water tank</t>
  </si>
  <si>
    <t xml:space="preserve">Earthwork in excavaiton </t>
  </si>
  <si>
    <t>Iron frame for barbed wire</t>
  </si>
  <si>
    <t xml:space="preserve">Barbed wire </t>
  </si>
  <si>
    <t>Roof top PVC Water Tank</t>
  </si>
  <si>
    <t>vat on pvc water tank</t>
  </si>
  <si>
    <t xml:space="preserve">Brick  Masonry work in 1:6 </t>
  </si>
  <si>
    <t>Vat on iron frame</t>
  </si>
  <si>
    <t>vat on barbed wire</t>
  </si>
  <si>
    <t>Shankharapur Municipality Office</t>
  </si>
  <si>
    <t>Sankhu, Kathmandu</t>
  </si>
  <si>
    <t>Work Completion Report</t>
  </si>
  <si>
    <t xml:space="preserve">Total Estimated Amount: </t>
  </si>
  <si>
    <t>Total Valuated Amount :</t>
  </si>
  <si>
    <t>Project:</t>
  </si>
  <si>
    <t>Fiscal Year:079/80</t>
  </si>
  <si>
    <t>Location:Shankharapur-1</t>
  </si>
  <si>
    <t>S.No.</t>
  </si>
  <si>
    <t>Estimated</t>
  </si>
  <si>
    <t>Valuated</t>
  </si>
  <si>
    <t>Difference</t>
  </si>
  <si>
    <t xml:space="preserve">Quantity </t>
  </si>
  <si>
    <t>Amount (Rs)</t>
  </si>
  <si>
    <t>Amount(Rs)</t>
  </si>
  <si>
    <t>Total</t>
  </si>
  <si>
    <t>Date:2079/12/21</t>
  </si>
  <si>
    <t xml:space="preserve">Amount </t>
  </si>
  <si>
    <t>Percent</t>
  </si>
  <si>
    <t xml:space="preserve">l;d]G6 s+qmL6 ˆnf]l/Ë -!M@M$_ -#* dL=dL=_ </t>
  </si>
  <si>
    <t>!@=% dL=dL= l;d]G6 afn'jf -!M$_ Knfi6/</t>
  </si>
  <si>
    <t># dL=dL= df]6fO{ d;Lgf] l;d]G6 3f]6\g] sfd</t>
  </si>
  <si>
    <t xml:space="preserve">cf/=;L=;L= nflu !) ld=ld= kmnfd] 808L sf6\g], df]8\g] #) dL6/ ;Dd </t>
  </si>
  <si>
    <t>Information Board  and photographs</t>
  </si>
  <si>
    <t>A.</t>
  </si>
  <si>
    <t>kfgL 6\ofÍL dd{t</t>
  </si>
  <si>
    <t>;'Vvf O{6f RofK6f] 5fKg] sfd .</t>
  </si>
  <si>
    <t>H 15</t>
  </si>
  <si>
    <t>b/ ljZn]if0fsf] nflu !) j=dL= lnOPsf]</t>
  </si>
  <si>
    <t>;|f]t ;fwg</t>
  </si>
  <si>
    <t>tx÷lsl;d</t>
  </si>
  <si>
    <t>kl/df0f</t>
  </si>
  <si>
    <t>PsfO{</t>
  </si>
  <si>
    <t>b/ k|lt PsfO{</t>
  </si>
  <si>
    <t>/sd</t>
  </si>
  <si>
    <t>k|To]s ;|f]t ;fwgsf] hDdf</t>
  </si>
  <si>
    <t>&gt;lds</t>
  </si>
  <si>
    <t>s_ l;kfn'</t>
  </si>
  <si>
    <t>hjfg</t>
  </si>
  <si>
    <t>v_ HofdL</t>
  </si>
  <si>
    <t>lgdf{0f ;fdu|L</t>
  </si>
  <si>
    <t>O{6f</t>
  </si>
  <si>
    <t>uf]6f</t>
  </si>
  <si>
    <t xml:space="preserve">jfn'jf vf]nfsf] </t>
  </si>
  <si>
    <t>3=dL=</t>
  </si>
  <si>
    <t>jf:tljs b//]6</t>
  </si>
  <si>
    <t>b/ k|lt j=dL=sf]</t>
  </si>
  <si>
    <t>!%Ü 7]s]bf/ cf]e/x]8</t>
  </si>
  <si>
    <t>Ö ?=</t>
  </si>
  <si>
    <t>k}=</t>
  </si>
  <si>
    <t>hDdf b/ /]6</t>
  </si>
  <si>
    <t>hu leQf kvf{ndf l;d]G6 s+lqm6 ug]{ sfd -lk=;L=;L= !M@M$_</t>
  </si>
  <si>
    <t>-for flooring</t>
  </si>
  <si>
    <t>-Along short length</t>
  </si>
  <si>
    <t>kmnfd]sf] kfOk / KnfOaf]8{af6 kmdf{ agfpg] sfd</t>
  </si>
  <si>
    <t>-For shear wall</t>
  </si>
  <si>
    <t>-fillet</t>
  </si>
  <si>
    <t>-shear wall</t>
  </si>
  <si>
    <t>-for fillet</t>
  </si>
  <si>
    <t>d]lzgsf] k|of]u u/L ;'k/ :6«Sr/df l;d]G6 s+lqm6 ug]{ sfd -!M!=%M#_</t>
  </si>
  <si>
    <t>-at water tank</t>
  </si>
  <si>
    <t>-At shear wall</t>
  </si>
  <si>
    <t>-at floor</t>
  </si>
  <si>
    <t>-!M@ efudf jf6/ k|'km sDkfp08 ld;fO{ 8]Dk k|'lkm+Ë ug</t>
  </si>
  <si>
    <t>PS</t>
  </si>
  <si>
    <t>Remark</t>
  </si>
  <si>
    <t>-Along long length</t>
  </si>
  <si>
    <t>-binder</t>
  </si>
  <si>
    <t>Soiling thickness</t>
  </si>
  <si>
    <t>PCC</t>
  </si>
  <si>
    <t>Slab thickness</t>
  </si>
  <si>
    <t>Shear wall thickness</t>
  </si>
  <si>
    <t>Cover for shear wall</t>
  </si>
  <si>
    <t>Cover for slab</t>
  </si>
  <si>
    <t>Vertical rebar</t>
  </si>
  <si>
    <t>Opening</t>
  </si>
  <si>
    <t>Fillet</t>
  </si>
  <si>
    <t>-at fillet</t>
  </si>
  <si>
    <t>-as of item no. 11</t>
  </si>
  <si>
    <t>F.Y.:-2083/084</t>
  </si>
  <si>
    <r>
      <rPr>
        <sz val="14"/>
        <color theme="1"/>
        <rFont val="Times New Roman"/>
        <family val="1"/>
      </rPr>
      <t>Project:-</t>
    </r>
    <r>
      <rPr>
        <sz val="16"/>
        <color theme="1"/>
        <rFont val="Preeti"/>
      </rPr>
      <t>k+rkfn] If]qdf l;FrfO 6ØfÍL</t>
    </r>
  </si>
  <si>
    <t>Date: 2082/06/14</t>
  </si>
  <si>
    <t>husf] vf8ndf 9'+uf eg]{ / n]en ug]{ sfddf</t>
  </si>
  <si>
    <t>-for column</t>
  </si>
  <si>
    <t>-stirrups</t>
  </si>
  <si>
    <t>Provisional sum for unforseen works of water tank and lab tests</t>
  </si>
  <si>
    <t>-floor</t>
  </si>
  <si>
    <t>g/d k|sf/sf] Sn] / l;N6L df6f]df ;j} lsl;dsf] vGg] sfd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</si>
</sst>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quot;$&quot;#,##0_);\(&quot;$&quot;#,##0\)"/>
    <numFmt numFmtId="165" formatCode="_(* #,##0.00_);_(* \(#,##0.00\);_(* &quot;-&quot;??_);_(@_)"/>
    <numFmt numFmtId="166" formatCode="_(* #,##0.000_);_(* \(#,##0.000\);_(* &quot;-&quot;??_);_(@_)"/>
    <numFmt numFmtId="167" formatCode="0.000"/>
    <numFmt numFmtId="168" formatCode="#."/>
    <numFmt numFmtId="169" formatCode="0.00_)"/>
    <numFmt numFmtId="170" formatCode="_-&quot;$&quot;* #,##0_-;\-&quot;$&quot;* #,##0_-;_-&quot;$&quot;* &quot;-&quot;_-;_-@_-"/>
    <numFmt numFmtId="171" formatCode="_-&quot;$&quot;* #,##0.00_-;\-&quot;$&quot;* #,##0.00_-;_-&quot;$&quot;* &quot;-&quot;??_-;_-@_-"/>
    <numFmt numFmtId="172" formatCode="_ * #,##0_)&quot;$&quot;_ ;_ * \(#,##0\)&quot;$&quot;_ ;_ * &quot;-&quot;_)&quot;$&quot;_ ;_ @_ "/>
    <numFmt numFmtId="173" formatCode="General_)"/>
    <numFmt numFmtId="174" formatCode="_ * #,##0_)_$_ ;_ * \(#,##0\)_$_ ;_ * &quot;-&quot;_)_$_ ;_ @_ "/>
    <numFmt numFmtId="175" formatCode="_ * #,##0.00_)&quot;$&quot;_ ;_ * \(#,##0.00\)&quot;$&quot;_ ;_ * &quot;-&quot;??_)&quot;$&quot;_ ;_ @_ "/>
    <numFmt numFmtId="176" formatCode="_ * #,##0.00_)_$_ ;_ * \(#,##0.00\)_$_ ;_ * &quot;-&quot;??_)_$_ ;_ @_ "/>
    <numFmt numFmtId="177" formatCode="mmmm\ d\,\ yyyy"/>
    <numFmt numFmtId="178" formatCode="&quot;$&quot;#,##0.00_);\(&quot;$&quot;#.##0\)"/>
    <numFmt numFmtId="179" formatCode="_ * #,##0_ ;_ * \-#,##0_ ;_ * &quot;-&quot;_ ;_ @_ "/>
    <numFmt numFmtId="180" formatCode="_ * #,##0.00_ ;_ * \-#,##0.00_ ;_ * &quot;-&quot;??_ ;_ @_ "/>
    <numFmt numFmtId="181" formatCode="_ &quot;\&quot;* #,##0_ ;_ &quot;\&quot;* \-#,##0_ ;_ &quot;\&quot;* &quot;-&quot;_ ;_ @_ "/>
    <numFmt numFmtId="182" formatCode="_ &quot;\&quot;* #,##0.00_ ;_ &quot;\&quot;* \-#,##0.00_ ;_ &quot;\&quot;* &quot;-&quot;??_ ;_ @_ "/>
    <numFmt numFmtId="183" formatCode="0.0"/>
    <numFmt numFmtId="184" formatCode="_(* #,##0.0_);_(* \(#,##0.0\);_(* &quot;-&quot;??_);_(@_)"/>
  </numFmts>
  <fonts count="80">
    <font>
      <sz val="11"/>
      <color theme="1"/>
      <name val="Calibri"/>
      <family val="2"/>
      <scheme val="minor"/>
    </font>
    <font>
      <sz val="11"/>
      <color theme="1"/>
      <name val="Calibri"/>
      <family val="2"/>
      <scheme val="minor"/>
    </font>
    <font>
      <sz val="10"/>
      <name val="Arial"/>
      <family val="2"/>
    </font>
    <font>
      <sz val="10"/>
      <name val="Times New Roman"/>
      <family val="1"/>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
      <color indexed="16"/>
      <name val="Courier"/>
      <family val="3"/>
    </font>
    <font>
      <i/>
      <sz val="1"/>
      <color indexed="16"/>
      <name val="Courier"/>
      <family val="3"/>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0"/>
      <name val="Tms Rmn"/>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Arial"/>
      <family val="2"/>
    </font>
    <font>
      <sz val="11"/>
      <name val="Times New Roman"/>
      <family val="1"/>
    </font>
    <font>
      <sz val="10"/>
      <name val="MS Sans Serif"/>
      <family val="2"/>
    </font>
    <font>
      <b/>
      <i/>
      <sz val="16"/>
      <name val="Helv"/>
    </font>
    <font>
      <b/>
      <sz val="11"/>
      <color indexed="12"/>
      <name val="Arial"/>
      <family val="2"/>
    </font>
    <font>
      <b/>
      <sz val="12"/>
      <name val="Arial"/>
      <family val="2"/>
    </font>
    <font>
      <b/>
      <sz val="14"/>
      <name val="Arial"/>
      <family val="2"/>
    </font>
    <font>
      <sz val="10"/>
      <color indexed="8"/>
      <name val="Arial"/>
      <family val="2"/>
    </font>
    <font>
      <sz val="10"/>
      <color indexed="12"/>
      <name val="Arial"/>
      <family val="2"/>
    </font>
    <font>
      <sz val="9"/>
      <name val="Times New Roman"/>
      <family val="1"/>
    </font>
    <font>
      <sz val="10"/>
      <name val="BERNHARD"/>
    </font>
    <font>
      <sz val="10"/>
      <name val="Helv"/>
    </font>
    <font>
      <sz val="12"/>
      <color indexed="9"/>
      <name val="Helv"/>
    </font>
    <font>
      <sz val="1"/>
      <color indexed="8"/>
      <name val="Courier"/>
      <family val="3"/>
    </font>
    <font>
      <b/>
      <sz val="1"/>
      <color indexed="8"/>
      <name val="Courier"/>
      <family val="3"/>
    </font>
    <font>
      <sz val="8"/>
      <color indexed="8"/>
      <name val="Helvetica"/>
      <family val="2"/>
    </font>
    <font>
      <b/>
      <sz val="18"/>
      <name val="Arial"/>
      <family val="2"/>
    </font>
    <font>
      <u/>
      <sz val="8"/>
      <color indexed="12"/>
      <name val="Arial Narrow"/>
      <family val="2"/>
    </font>
    <font>
      <b/>
      <sz val="12"/>
      <color indexed="9"/>
      <name val="Helv"/>
    </font>
    <font>
      <sz val="12"/>
      <color indexed="13"/>
      <name val="Helv"/>
    </font>
    <font>
      <sz val="12"/>
      <name val="바탕체"/>
      <family val="3"/>
      <charset val="129"/>
    </font>
    <font>
      <b/>
      <sz val="12"/>
      <color theme="1"/>
      <name val="Times New Roman"/>
      <family val="1"/>
    </font>
    <font>
      <b/>
      <sz val="13"/>
      <color theme="1"/>
      <name val="Times New Roman"/>
      <family val="1"/>
    </font>
    <font>
      <sz val="13"/>
      <color theme="1"/>
      <name val="Times New Roman"/>
      <family val="1"/>
    </font>
    <font>
      <b/>
      <sz val="16"/>
      <color theme="1"/>
      <name val="Times New Roman"/>
      <family val="1"/>
    </font>
    <font>
      <sz val="16"/>
      <color theme="1"/>
      <name val="Preeti"/>
    </font>
    <font>
      <sz val="10"/>
      <name val="Arial"/>
      <family val="2"/>
    </font>
    <font>
      <sz val="12"/>
      <name val="Times New Roman"/>
      <family val="1"/>
    </font>
    <font>
      <sz val="12"/>
      <name val="Helv"/>
    </font>
    <font>
      <sz val="11"/>
      <color indexed="8"/>
      <name val="Calibri"/>
      <family val="2"/>
      <scheme val="minor"/>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3"/>
      <color theme="1"/>
      <name val="Preeti"/>
    </font>
    <font>
      <sz val="11"/>
      <color theme="1"/>
      <name val="Times New Roman"/>
      <family val="1"/>
    </font>
    <font>
      <sz val="12"/>
      <color theme="1"/>
      <name val="Times New Roman"/>
      <family val="1"/>
    </font>
    <font>
      <sz val="10"/>
      <name val="FONTASY_ HIMALI_ TT"/>
      <family val="5"/>
    </font>
    <font>
      <sz val="16"/>
      <name val="Preeti"/>
    </font>
    <font>
      <sz val="11"/>
      <name val="Preeti"/>
    </font>
    <font>
      <sz val="12"/>
      <name val="Preeti"/>
    </font>
    <font>
      <sz val="13"/>
      <name val="Preeti"/>
    </font>
    <font>
      <sz val="10"/>
      <name val="Fontasy Himali"/>
      <family val="5"/>
    </font>
    <font>
      <sz val="13"/>
      <name val="FONTASY_ HIMALI_ TT"/>
      <family val="5"/>
    </font>
    <font>
      <sz val="10"/>
      <name val="Arial"/>
      <family val="2"/>
    </font>
    <font>
      <sz val="14"/>
      <color theme="1"/>
      <name val="Times New Roman"/>
      <family val="1"/>
    </font>
    <font>
      <b/>
      <sz val="12"/>
      <color theme="1"/>
      <name val="Preeti"/>
    </font>
    <font>
      <b/>
      <sz val="12"/>
      <name val="Times New Roman"/>
      <family val="1"/>
    </font>
    <font>
      <b/>
      <sz val="12"/>
      <name val="Preeti"/>
    </font>
    <font>
      <sz val="16"/>
      <color theme="1"/>
      <name val="Preeti"/>
      <family val="1"/>
    </font>
    <font>
      <sz val="9"/>
      <color indexed="81"/>
      <name val="Tahoma"/>
      <family val="2"/>
    </font>
    <font>
      <b/>
      <sz val="9"/>
      <color indexed="81"/>
      <name val="Tahoma"/>
      <family val="2"/>
    </font>
  </fonts>
  <fills count="33">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9"/>
        <bgColor indexed="9"/>
      </patternFill>
    </fill>
    <fill>
      <patternFill patternType="solid">
        <fgColor indexed="13"/>
      </patternFill>
    </fill>
    <fill>
      <patternFill patternType="solid">
        <fgColor indexed="12"/>
      </patternFill>
    </fill>
    <fill>
      <patternFill patternType="solid">
        <fgColor indexed="1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medium">
        <color indexed="10"/>
      </left>
      <right style="medium">
        <color indexed="10"/>
      </right>
      <top style="hair">
        <color indexed="10"/>
      </top>
      <bottom style="hair">
        <color indexed="10"/>
      </bottom>
      <diagonal/>
    </border>
    <border>
      <left style="thin">
        <color indexed="8"/>
      </left>
      <right style="thin">
        <color indexed="8"/>
      </right>
      <top style="double">
        <color indexed="8"/>
      </top>
      <bottom style="thin">
        <color indexed="8"/>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s>
  <cellStyleXfs count="804">
    <xf numFmtId="0" fontId="0" fillId="0" borderId="0"/>
    <xf numFmtId="165" fontId="1"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165" fontId="3"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11" fillId="0" borderId="0" applyNumberFormat="0" applyFill="0" applyBorder="0" applyAlignment="0" applyProtection="0"/>
    <xf numFmtId="168" fontId="12" fillId="0" borderId="0">
      <protection locked="0"/>
    </xf>
    <xf numFmtId="168" fontId="12" fillId="0" borderId="0">
      <protection locked="0"/>
    </xf>
    <xf numFmtId="168" fontId="13" fillId="0" borderId="0">
      <protection locked="0"/>
    </xf>
    <xf numFmtId="168" fontId="12" fillId="0" borderId="0">
      <protection locked="0"/>
    </xf>
    <xf numFmtId="168" fontId="12" fillId="0" borderId="0">
      <protection locked="0"/>
    </xf>
    <xf numFmtId="168" fontId="12" fillId="0" borderId="0">
      <protection locked="0"/>
    </xf>
    <xf numFmtId="168" fontId="12" fillId="0" borderId="0">
      <protection locked="0"/>
    </xf>
    <xf numFmtId="0" fontId="2" fillId="0" borderId="0"/>
    <xf numFmtId="0" fontId="14" fillId="5" borderId="0" applyNumberFormat="0" applyBorder="0" applyAlignment="0" applyProtection="0"/>
    <xf numFmtId="38" fontId="5" fillId="23"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9" fillId="8" borderId="4" applyNumberFormat="0" applyAlignment="0" applyProtection="0"/>
    <xf numFmtId="10" fontId="5" fillId="24" borderId="1" applyNumberFormat="0" applyBorder="0" applyAlignment="0" applyProtection="0"/>
    <xf numFmtId="0" fontId="20" fillId="0" borderId="9" applyNumberFormat="0" applyFill="0" applyAlignment="0" applyProtection="0"/>
    <xf numFmtId="0" fontId="21" fillId="25" borderId="0" applyNumberFormat="0" applyBorder="0" applyAlignment="0" applyProtection="0"/>
    <xf numFmtId="169" fontId="30" fillId="0" borderId="0"/>
    <xf numFmtId="0" fontId="27" fillId="0" borderId="0"/>
    <xf numFmtId="0" fontId="27"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1" fillId="0" borderId="0"/>
    <xf numFmtId="0" fontId="3" fillId="0" borderId="0"/>
    <xf numFmtId="0" fontId="3" fillId="0" borderId="0"/>
    <xf numFmtId="0" fontId="2"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6" fillId="26" borderId="10" applyNumberFormat="0" applyFont="0" applyAlignment="0" applyProtection="0"/>
    <xf numFmtId="0" fontId="23" fillId="21" borderId="11" applyNumberFormat="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28" fillId="0" borderId="0" applyFont="0" applyFill="0" applyBorder="0" applyAlignment="0" applyProtection="0"/>
    <xf numFmtId="0" fontId="18"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3" fillId="0" borderId="0"/>
    <xf numFmtId="0" fontId="2" fillId="0" borderId="0"/>
    <xf numFmtId="0" fontId="27" fillId="0" borderId="0"/>
    <xf numFmtId="10" fontId="2" fillId="0" borderId="0" applyFont="0" applyFill="0" applyBorder="0" applyAlignment="0" applyProtection="0"/>
    <xf numFmtId="0" fontId="1" fillId="0" borderId="0"/>
    <xf numFmtId="0" fontId="31" fillId="0" borderId="0">
      <alignment horizontal="left" vertical="center" indent="1"/>
    </xf>
    <xf numFmtId="0" fontId="2" fillId="0" borderId="0"/>
    <xf numFmtId="0" fontId="2" fillId="0" borderId="0"/>
    <xf numFmtId="0" fontId="2" fillId="0" borderId="0"/>
    <xf numFmtId="0" fontId="1" fillId="0" borderId="0"/>
    <xf numFmtId="0" fontId="22" fillId="0" borderId="0"/>
    <xf numFmtId="0" fontId="2" fillId="0" borderId="0"/>
    <xf numFmtId="0" fontId="2" fillId="0" borderId="0"/>
    <xf numFmtId="0" fontId="1" fillId="0" borderId="0"/>
    <xf numFmtId="0" fontId="2" fillId="0" borderId="0"/>
    <xf numFmtId="0" fontId="3" fillId="0" borderId="0"/>
    <xf numFmtId="0" fontId="2" fillId="0" borderId="0"/>
    <xf numFmtId="0" fontId="2" fillId="0" borderId="0"/>
    <xf numFmtId="9" fontId="2"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1" fillId="25" borderId="0" applyNumberFormat="0" applyBorder="0" applyAlignment="0" applyProtection="0"/>
    <xf numFmtId="0" fontId="2" fillId="0" borderId="0"/>
    <xf numFmtId="0" fontId="21" fillId="25" borderId="0" applyNumberFormat="0" applyBorder="0" applyAlignment="0" applyProtection="0"/>
    <xf numFmtId="0" fontId="17" fillId="0" borderId="0" applyNumberFormat="0" applyFill="0" applyBorder="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15" borderId="0" applyNumberFormat="0" applyBorder="0" applyAlignment="0" applyProtection="0"/>
    <xf numFmtId="0" fontId="8" fillId="4" borderId="0" applyNumberFormat="0" applyBorder="0" applyAlignment="0" applyProtection="0"/>
    <xf numFmtId="0" fontId="17"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6" fillId="0" borderId="7" applyNumberFormat="0" applyFill="0" applyAlignment="0" applyProtection="0"/>
    <xf numFmtId="0" fontId="11" fillId="0" borderId="0" applyNumberFormat="0" applyFill="0" applyBorder="0" applyAlignment="0" applyProtection="0"/>
    <xf numFmtId="0" fontId="21" fillId="25" borderId="0" applyNumberFormat="0" applyBorder="0" applyAlignment="0" applyProtection="0"/>
    <xf numFmtId="0" fontId="2" fillId="0" borderId="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21" fillId="25" borderId="0" applyNumberFormat="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19" fillId="8" borderId="4" applyNumberFormat="0" applyAlignment="0" applyProtection="0"/>
    <xf numFmtId="0" fontId="2" fillId="0" borderId="0"/>
    <xf numFmtId="0" fontId="14" fillId="5" borderId="0" applyNumberFormat="0" applyBorder="0" applyAlignment="0" applyProtection="0"/>
    <xf numFmtId="0" fontId="11" fillId="0" borderId="0" applyNumberFormat="0" applyFill="0" applyBorder="0" applyAlignment="0" applyProtection="0"/>
    <xf numFmtId="0" fontId="10" fillId="22" borderId="5" applyNumberFormat="0" applyAlignment="0" applyProtection="0"/>
    <xf numFmtId="0" fontId="9" fillId="21" borderId="4" applyNumberFormat="0" applyAlignment="0" applyProtection="0"/>
    <xf numFmtId="0" fontId="7" fillId="20"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20" fillId="0" borderId="9" applyNumberFormat="0" applyFill="0" applyAlignment="0" applyProtection="0"/>
    <xf numFmtId="0" fontId="17" fillId="0" borderId="8" applyNumberFormat="0" applyFill="0" applyAlignment="0" applyProtection="0"/>
    <xf numFmtId="0" fontId="16" fillId="0" borderId="7" applyNumberFormat="0" applyFill="0" applyAlignment="0" applyProtection="0"/>
    <xf numFmtId="0" fontId="7" fillId="13" borderId="0" applyNumberFormat="0" applyBorder="0" applyAlignment="0" applyProtection="0"/>
    <xf numFmtId="0" fontId="6" fillId="4" borderId="0" applyNumberFormat="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8" fillId="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4" fillId="0" borderId="0"/>
    <xf numFmtId="0" fontId="6" fillId="11" borderId="0" applyNumberFormat="0" applyBorder="0" applyAlignment="0" applyProtection="0"/>
    <xf numFmtId="0" fontId="6" fillId="9" borderId="0" applyNumberFormat="0" applyBorder="0" applyAlignment="0" applyProtection="0"/>
    <xf numFmtId="0" fontId="7" fillId="15" borderId="0" applyNumberFormat="0" applyBorder="0" applyAlignment="0" applyProtection="0"/>
    <xf numFmtId="0" fontId="7" fillId="11" borderId="0" applyNumberFormat="0" applyBorder="0" applyAlignment="0" applyProtection="0"/>
    <xf numFmtId="0" fontId="6" fillId="10"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2" fillId="0" borderId="0"/>
    <xf numFmtId="0" fontId="9" fillId="21" borderId="4" applyNumberFormat="0" applyAlignment="0" applyProtection="0"/>
    <xf numFmtId="0" fontId="7" fillId="20"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9"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1" fillId="25" borderId="0" applyNumberFormat="0" applyBorder="0" applyAlignment="0" applyProtection="0"/>
    <xf numFmtId="0" fontId="17" fillId="0" borderId="0" applyNumberFormat="0" applyFill="0" applyBorder="0" applyAlignment="0" applyProtection="0"/>
    <xf numFmtId="0" fontId="14" fillId="5" borderId="0" applyNumberFormat="0" applyBorder="0" applyAlignment="0" applyProtection="0"/>
    <xf numFmtId="0" fontId="7" fillId="15"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4" borderId="0" applyNumberFormat="0" applyBorder="0" applyAlignment="0" applyProtection="0"/>
    <xf numFmtId="0" fontId="2" fillId="0" borderId="0"/>
    <xf numFmtId="0" fontId="6" fillId="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6" borderId="0" applyNumberFormat="0" applyBorder="0" applyAlignment="0" applyProtection="0"/>
    <xf numFmtId="0" fontId="4" fillId="0" borderId="0"/>
    <xf numFmtId="170" fontId="2" fillId="0" borderId="0" applyFont="0" applyFill="0" applyBorder="0" applyAlignment="0" applyProtection="0"/>
    <xf numFmtId="17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70" fontId="2" fillId="0" borderId="0" applyFont="0" applyFill="0" applyBorder="0" applyAlignment="0" applyProtection="0"/>
    <xf numFmtId="0" fontId="27" fillId="0" borderId="1" applyNumberFormat="0" applyFont="0">
      <alignment horizontal="center" vertical="justify"/>
    </xf>
    <xf numFmtId="172" fontId="2" fillId="0" borderId="0" applyFill="0" applyBorder="0" applyAlignment="0"/>
    <xf numFmtId="173" fontId="36" fillId="0" borderId="0" applyFill="0" applyBorder="0" applyAlignment="0"/>
    <xf numFmtId="167" fontId="36" fillId="0" borderId="0" applyFill="0" applyBorder="0" applyAlignment="0"/>
    <xf numFmtId="174" fontId="2" fillId="0" borderId="0" applyFill="0" applyBorder="0" applyAlignment="0"/>
    <xf numFmtId="175" fontId="2" fillId="0" borderId="0" applyFill="0" applyBorder="0" applyAlignment="0"/>
    <xf numFmtId="172" fontId="2" fillId="0" borderId="0" applyFill="0" applyBorder="0" applyAlignment="0"/>
    <xf numFmtId="176" fontId="2" fillId="0" borderId="0" applyFill="0" applyBorder="0" applyAlignment="0"/>
    <xf numFmtId="173" fontId="36" fillId="0" borderId="0" applyFill="0" applyBorder="0" applyAlignment="0"/>
    <xf numFmtId="172" fontId="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8"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3" fontId="2" fillId="0" borderId="0" applyFill="0" applyBorder="0" applyAlignment="0" applyProtection="0"/>
    <xf numFmtId="0" fontId="37" fillId="0" borderId="0"/>
    <xf numFmtId="0" fontId="38" fillId="0" borderId="0"/>
    <xf numFmtId="0" fontId="37" fillId="0" borderId="0"/>
    <xf numFmtId="0" fontId="38" fillId="0" borderId="0"/>
    <xf numFmtId="173" fontId="36" fillId="0" borderId="0" applyFont="0" applyFill="0" applyBorder="0" applyAlignment="0" applyProtection="0"/>
    <xf numFmtId="164" fontId="2" fillId="0" borderId="0" applyFill="0" applyBorder="0" applyAlignment="0" applyProtection="0"/>
    <xf numFmtId="0" fontId="39" fillId="0" borderId="0"/>
    <xf numFmtId="0" fontId="39" fillId="0" borderId="15"/>
    <xf numFmtId="177" fontId="2" fillId="0" borderId="0" applyFill="0" applyBorder="0" applyAlignment="0" applyProtection="0"/>
    <xf numFmtId="14" fontId="34" fillId="0" borderId="0" applyFill="0" applyBorder="0" applyAlignment="0"/>
    <xf numFmtId="38" fontId="29" fillId="0" borderId="16">
      <alignment vertical="center"/>
    </xf>
    <xf numFmtId="0" fontId="40" fillId="0" borderId="0">
      <protection locked="0"/>
    </xf>
    <xf numFmtId="0" fontId="41" fillId="0" borderId="0">
      <protection locked="0"/>
    </xf>
    <xf numFmtId="0" fontId="41" fillId="0" borderId="0">
      <protection locked="0"/>
    </xf>
    <xf numFmtId="172" fontId="2" fillId="0" borderId="0" applyFill="0" applyBorder="0" applyAlignment="0"/>
    <xf numFmtId="173" fontId="36" fillId="0" borderId="0" applyFill="0" applyBorder="0" applyAlignment="0"/>
    <xf numFmtId="172" fontId="2" fillId="0" borderId="0" applyFill="0" applyBorder="0" applyAlignment="0"/>
    <xf numFmtId="176" fontId="2" fillId="0" borderId="0" applyFill="0" applyBorder="0" applyAlignment="0"/>
    <xf numFmtId="173" fontId="36" fillId="0" borderId="0" applyFill="0" applyBorder="0" applyAlignment="0"/>
    <xf numFmtId="0" fontId="40" fillId="0" borderId="0">
      <protection locked="0"/>
    </xf>
    <xf numFmtId="0" fontId="40" fillId="0" borderId="0">
      <protection locked="0"/>
    </xf>
    <xf numFmtId="2" fontId="2" fillId="0" borderId="0" applyFill="0" applyBorder="0" applyAlignment="0" applyProtection="0"/>
    <xf numFmtId="0" fontId="42" fillId="28" borderId="17" applyNumberFormat="0" applyAlignment="0">
      <protection locked="0"/>
    </xf>
    <xf numFmtId="0" fontId="5" fillId="23" borderId="0" applyNumberFormat="0" applyBorder="0" applyAlignment="0" applyProtection="0"/>
    <xf numFmtId="0" fontId="32" fillId="0" borderId="14" applyNumberFormat="0" applyAlignment="0" applyProtection="0">
      <alignment horizontal="left" vertical="center"/>
    </xf>
    <xf numFmtId="0" fontId="32" fillId="0" borderId="3">
      <alignment horizontal="left" vertical="center"/>
    </xf>
    <xf numFmtId="0" fontId="43" fillId="0" borderId="0" applyNumberFormat="0" applyFill="0" applyBorder="0" applyAlignment="0" applyProtection="0"/>
    <xf numFmtId="0" fontId="32" fillId="0" borderId="0" applyNumberFormat="0" applyFill="0" applyBorder="0" applyAlignment="0" applyProtection="0"/>
    <xf numFmtId="0" fontId="44" fillId="0" borderId="0" applyNumberFormat="0" applyFill="0" applyBorder="0" applyAlignment="0" applyProtection="0">
      <alignment vertical="top"/>
      <protection locked="0"/>
    </xf>
    <xf numFmtId="0" fontId="5" fillId="24" borderId="1" applyNumberFormat="0" applyBorder="0" applyAlignment="0" applyProtection="0"/>
    <xf numFmtId="0" fontId="28" fillId="0" borderId="13" applyNumberFormat="0" applyFont="0" applyBorder="0">
      <alignment horizontal="center" vertical="top"/>
    </xf>
    <xf numFmtId="0" fontId="45" fillId="29" borderId="15"/>
    <xf numFmtId="0" fontId="45" fillId="27" borderId="15"/>
    <xf numFmtId="172" fontId="2" fillId="0" borderId="0" applyFill="0" applyBorder="0" applyAlignment="0"/>
    <xf numFmtId="173" fontId="36" fillId="0" borderId="0" applyFill="0" applyBorder="0" applyAlignment="0"/>
    <xf numFmtId="172" fontId="2" fillId="0" borderId="0" applyFill="0" applyBorder="0" applyAlignment="0"/>
    <xf numFmtId="176" fontId="2" fillId="0" borderId="0" applyFill="0" applyBorder="0" applyAlignment="0"/>
    <xf numFmtId="173" fontId="36" fillId="0" borderId="0" applyFill="0" applyBorder="0" applyAlignment="0"/>
    <xf numFmtId="178" fontId="2"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0"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3" fillId="0" borderId="0"/>
    <xf numFmtId="0" fontId="1" fillId="0" borderId="0"/>
    <xf numFmtId="0" fontId="1" fillId="0" borderId="0"/>
    <xf numFmtId="0" fontId="1" fillId="0" borderId="0"/>
    <xf numFmtId="0" fontId="2" fillId="0" borderId="0"/>
    <xf numFmtId="0" fontId="6" fillId="0" borderId="0"/>
    <xf numFmtId="0" fontId="2" fillId="0" borderId="0"/>
    <xf numFmtId="9" fontId="1" fillId="0" borderId="0" applyFont="0" applyFill="0" applyBorder="0" applyAlignment="0" applyProtection="0"/>
    <xf numFmtId="0" fontId="39" fillId="0" borderId="0"/>
    <xf numFmtId="3" fontId="3" fillId="0" borderId="2" applyBorder="0">
      <alignment horizontal="center" vertical="top"/>
    </xf>
    <xf numFmtId="0" fontId="35" fillId="0" borderId="0"/>
    <xf numFmtId="0" fontId="33" fillId="0" borderId="0"/>
    <xf numFmtId="0" fontId="39" fillId="0" borderId="15"/>
    <xf numFmtId="0" fontId="46" fillId="30" borderId="0"/>
    <xf numFmtId="0" fontId="46" fillId="31" borderId="0"/>
    <xf numFmtId="0" fontId="45" fillId="0" borderId="18"/>
    <xf numFmtId="0" fontId="45" fillId="0" borderId="15"/>
    <xf numFmtId="0" fontId="3" fillId="0" borderId="0">
      <alignment horizontal="center" vertical="center" textRotation="90"/>
    </xf>
    <xf numFmtId="9" fontId="47" fillId="0" borderId="0" applyFont="0" applyFill="0" applyBorder="0" applyAlignment="0" applyProtection="0"/>
    <xf numFmtId="179" fontId="47" fillId="0" borderId="0" applyFont="0" applyFill="0" applyBorder="0" applyAlignment="0" applyProtection="0"/>
    <xf numFmtId="180" fontId="47" fillId="0" borderId="0" applyFont="0" applyFill="0" applyBorder="0" applyAlignment="0" applyProtection="0"/>
    <xf numFmtId="181" fontId="47" fillId="0" borderId="0" applyFont="0" applyFill="0" applyBorder="0" applyAlignment="0" applyProtection="0"/>
    <xf numFmtId="182" fontId="47" fillId="0" borderId="0" applyFont="0" applyFill="0" applyBorder="0" applyAlignment="0" applyProtection="0"/>
    <xf numFmtId="0" fontId="47"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2"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5" fillId="0" borderId="12" applyNumberFormat="0" applyFill="0" applyAlignment="0" applyProtection="0"/>
    <xf numFmtId="0" fontId="24" fillId="0" borderId="0" applyNumberFormat="0" applyFill="0" applyBorder="0" applyAlignment="0" applyProtection="0"/>
    <xf numFmtId="0" fontId="2" fillId="0" borderId="0"/>
    <xf numFmtId="0" fontId="2" fillId="0" borderId="0"/>
    <xf numFmtId="0" fontId="16" fillId="0" borderId="7" applyNumberFormat="0" applyFill="0" applyAlignment="0" applyProtection="0"/>
    <xf numFmtId="0" fontId="14" fillId="5" borderId="0" applyNumberFormat="0" applyBorder="0" applyAlignment="0" applyProtection="0"/>
    <xf numFmtId="0" fontId="9" fillId="21" borderId="4"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9"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7" fillId="18"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20" borderId="0" applyNumberFormat="0" applyBorder="0" applyAlignment="0" applyProtection="0"/>
    <xf numFmtId="0" fontId="7" fillId="16" borderId="0" applyNumberFormat="0" applyBorder="0" applyAlignment="0" applyProtection="0"/>
    <xf numFmtId="0" fontId="21" fillId="25" borderId="0" applyNumberFormat="0" applyBorder="0" applyAlignment="0" applyProtection="0"/>
    <xf numFmtId="0" fontId="19" fillId="8" borderId="4" applyNumberFormat="0" applyAlignment="0" applyProtection="0"/>
    <xf numFmtId="0" fontId="17" fillId="0" borderId="0" applyNumberFormat="0" applyFill="0" applyBorder="0" applyAlignment="0" applyProtection="0"/>
    <xf numFmtId="0" fontId="15" fillId="0" borderId="6" applyNumberFormat="0" applyFill="0" applyAlignment="0" applyProtection="0"/>
    <xf numFmtId="0" fontId="7" fillId="14" borderId="0" applyNumberFormat="0" applyBorder="0" applyAlignment="0" applyProtection="0"/>
    <xf numFmtId="0" fontId="26" fillId="0" borderId="0" applyNumberFormat="0" applyFill="0" applyBorder="0" applyAlignment="0" applyProtection="0"/>
    <xf numFmtId="0" fontId="23" fillId="21" borderId="11" applyNumberFormat="0" applyAlignment="0" applyProtection="0"/>
    <xf numFmtId="0" fontId="6" fillId="26" borderId="10" applyNumberFormat="0" applyFont="0" applyAlignment="0" applyProtection="0"/>
    <xf numFmtId="0" fontId="1" fillId="0" borderId="0"/>
    <xf numFmtId="0" fontId="1" fillId="0" borderId="0"/>
    <xf numFmtId="0" fontId="1" fillId="0" borderId="0"/>
    <xf numFmtId="0" fontId="20" fillId="0" borderId="9" applyNumberFormat="0" applyFill="0" applyAlignment="0" applyProtection="0"/>
    <xf numFmtId="0" fontId="17" fillId="0" borderId="8"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3" borderId="0" applyNumberFormat="0" applyBorder="0" applyAlignment="0" applyProtection="0"/>
    <xf numFmtId="0" fontId="4" fillId="0" borderId="0"/>
    <xf numFmtId="0" fontId="1" fillId="0" borderId="0"/>
    <xf numFmtId="0" fontId="1" fillId="0" borderId="0"/>
    <xf numFmtId="0" fontId="1" fillId="0" borderId="0"/>
    <xf numFmtId="0" fontId="53"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1" fillId="0" borderId="0"/>
    <xf numFmtId="0" fontId="54" fillId="0" borderId="0"/>
    <xf numFmtId="0" fontId="53" fillId="0" borderId="0"/>
    <xf numFmtId="169" fontId="55" fillId="0" borderId="0"/>
    <xf numFmtId="180" fontId="2" fillId="0" borderId="0" applyFont="0" applyFill="0" applyBorder="0" applyAlignment="0" applyProtection="0"/>
    <xf numFmtId="166" fontId="55" fillId="0" borderId="0"/>
    <xf numFmtId="165" fontId="2" fillId="0" borderId="0" applyFont="0" applyFill="0" applyBorder="0" applyAlignment="0" applyProtection="0"/>
    <xf numFmtId="0" fontId="1" fillId="0" borderId="0"/>
    <xf numFmtId="0" fontId="1" fillId="0" borderId="0"/>
    <xf numFmtId="0" fontId="2" fillId="0" borderId="0"/>
    <xf numFmtId="0" fontId="1" fillId="0" borderId="0"/>
    <xf numFmtId="0" fontId="1" fillId="0" borderId="0"/>
    <xf numFmtId="165" fontId="1" fillId="0" borderId="0" applyFont="0" applyFill="0" applyBorder="0" applyAlignment="0" applyProtection="0"/>
    <xf numFmtId="0" fontId="56" fillId="0" borderId="0"/>
    <xf numFmtId="165" fontId="56" fillId="0" borderId="0" applyFont="0" applyFill="0" applyBorder="0" applyAlignment="0" applyProtection="0"/>
    <xf numFmtId="0" fontId="2" fillId="0" borderId="0"/>
    <xf numFmtId="165" fontId="2" fillId="0" borderId="0" applyFont="0" applyFill="0" applyBorder="0" applyAlignment="0" applyProtection="0"/>
    <xf numFmtId="0" fontId="2" fillId="0" borderId="0"/>
    <xf numFmtId="0" fontId="53"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72" fillId="0" borderId="0"/>
    <xf numFmtId="165" fontId="2" fillId="0" borderId="0" applyFont="0" applyFill="0" applyBorder="0" applyAlignment="0" applyProtection="0"/>
    <xf numFmtId="9" fontId="2" fillId="0" borderId="0" applyFont="0" applyFill="0" applyBorder="0" applyAlignment="0" applyProtection="0"/>
    <xf numFmtId="0" fontId="72" fillId="0" borderId="0"/>
    <xf numFmtId="165" fontId="2" fillId="0" borderId="0" applyFont="0" applyFill="0" applyBorder="0" applyAlignment="0" applyProtection="0"/>
    <xf numFmtId="9" fontId="2" fillId="0" borderId="0" applyFont="0" applyFill="0" applyBorder="0" applyAlignment="0" applyProtection="0"/>
    <xf numFmtId="0" fontId="72" fillId="0" borderId="0"/>
    <xf numFmtId="165" fontId="2" fillId="0" borderId="0" applyFont="0" applyFill="0" applyBorder="0" applyAlignment="0" applyProtection="0"/>
    <xf numFmtId="9" fontId="2" fillId="0" borderId="0" applyFont="0" applyFill="0" applyBorder="0" applyAlignment="0" applyProtection="0"/>
    <xf numFmtId="0" fontId="72" fillId="0" borderId="0"/>
    <xf numFmtId="165"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cellStyleXfs>
  <cellXfs count="160">
    <xf numFmtId="0" fontId="0" fillId="0" borderId="0" xfId="0"/>
    <xf numFmtId="0" fontId="50" fillId="0" borderId="0" xfId="0" applyFont="1"/>
    <xf numFmtId="0" fontId="49" fillId="0" borderId="0" xfId="0" applyFont="1"/>
    <xf numFmtId="0" fontId="50" fillId="0" borderId="0" xfId="0" applyFont="1" applyAlignment="1">
      <alignment horizontal="left" vertical="top" wrapText="1"/>
    </xf>
    <xf numFmtId="0" fontId="50" fillId="0" borderId="0" xfId="0" applyFont="1" applyAlignment="1">
      <alignment horizontal="center"/>
    </xf>
    <xf numFmtId="0" fontId="50" fillId="0" borderId="0" xfId="0" applyFont="1" applyAlignment="1">
      <alignment wrapText="1"/>
    </xf>
    <xf numFmtId="0" fontId="61" fillId="0" borderId="0" xfId="0" applyFont="1"/>
    <xf numFmtId="0" fontId="0" fillId="0" borderId="0" xfId="0" applyAlignment="1">
      <alignment horizontal="left"/>
    </xf>
    <xf numFmtId="0" fontId="62" fillId="0" borderId="0" xfId="0" applyFont="1"/>
    <xf numFmtId="0" fontId="0" fillId="0" borderId="0" xfId="0" applyAlignment="1">
      <alignment horizontal="center"/>
    </xf>
    <xf numFmtId="165" fontId="0" fillId="0" borderId="0" xfId="1" applyFont="1"/>
    <xf numFmtId="165" fontId="0" fillId="0" borderId="0" xfId="1" applyFont="1" applyAlignment="1">
      <alignment horizontal="right"/>
    </xf>
    <xf numFmtId="0" fontId="57" fillId="0" borderId="0" xfId="0" applyFont="1" applyAlignment="1">
      <alignment horizontal="center"/>
    </xf>
    <xf numFmtId="165" fontId="0" fillId="0" borderId="0" xfId="0" applyNumberFormat="1"/>
    <xf numFmtId="0" fontId="63" fillId="32" borderId="20" xfId="0" applyFont="1" applyFill="1" applyBorder="1"/>
    <xf numFmtId="0" fontId="63" fillId="32" borderId="20" xfId="0" applyFont="1" applyFill="1" applyBorder="1" applyAlignment="1">
      <alignment horizontal="center"/>
    </xf>
    <xf numFmtId="165" fontId="63" fillId="0" borderId="20" xfId="0" applyNumberFormat="1" applyFont="1" applyBorder="1"/>
    <xf numFmtId="2" fontId="63" fillId="0" borderId="20" xfId="0" applyNumberFormat="1" applyFont="1" applyBorder="1"/>
    <xf numFmtId="0" fontId="63" fillId="0" borderId="20" xfId="0" applyFont="1" applyBorder="1"/>
    <xf numFmtId="0" fontId="63" fillId="0" borderId="22" xfId="0" applyFont="1" applyBorder="1"/>
    <xf numFmtId="0" fontId="48" fillId="0" borderId="22" xfId="0" applyFont="1" applyBorder="1"/>
    <xf numFmtId="165" fontId="48" fillId="0" borderId="22" xfId="0" applyNumberFormat="1" applyFont="1" applyBorder="1"/>
    <xf numFmtId="0" fontId="64" fillId="2" borderId="20" xfId="0" applyFont="1" applyFill="1" applyBorder="1" applyAlignment="1">
      <alignment vertical="top"/>
    </xf>
    <xf numFmtId="0" fontId="54" fillId="2" borderId="20" xfId="0" applyFont="1" applyFill="1" applyBorder="1" applyAlignment="1">
      <alignment horizontal="left" vertical="top" wrapText="1"/>
    </xf>
    <xf numFmtId="0" fontId="64" fillId="2" borderId="20" xfId="0" applyFont="1" applyFill="1" applyBorder="1" applyAlignment="1">
      <alignment horizontal="right" vertical="top"/>
    </xf>
    <xf numFmtId="0" fontId="54" fillId="0" borderId="20" xfId="0" applyFont="1" applyBorder="1" applyAlignment="1">
      <alignment horizontal="justify" vertical="justify"/>
    </xf>
    <xf numFmtId="0" fontId="64" fillId="0" borderId="20" xfId="0" applyFont="1" applyBorder="1"/>
    <xf numFmtId="0" fontId="64" fillId="0" borderId="20" xfId="0" applyFont="1" applyBorder="1" applyAlignment="1">
      <alignment horizontal="right"/>
    </xf>
    <xf numFmtId="0" fontId="64" fillId="2" borderId="20" xfId="0" applyFont="1" applyFill="1" applyBorder="1" applyAlignment="1">
      <alignment horizontal="right" vertical="top" wrapText="1"/>
    </xf>
    <xf numFmtId="0" fontId="64" fillId="2" borderId="20" xfId="0" applyFont="1" applyFill="1" applyBorder="1" applyAlignment="1">
      <alignment horizontal="left" vertical="top" wrapText="1"/>
    </xf>
    <xf numFmtId="0" fontId="54" fillId="0" borderId="20" xfId="0" applyFont="1" applyBorder="1" applyAlignment="1">
      <alignment horizontal="left" vertical="top" wrapText="1"/>
    </xf>
    <xf numFmtId="0" fontId="54" fillId="0" borderId="20" xfId="0" applyFont="1" applyBorder="1" applyAlignment="1">
      <alignment horizontal="right" vertical="top" wrapText="1"/>
    </xf>
    <xf numFmtId="0" fontId="54" fillId="0" borderId="20" xfId="0" applyFont="1" applyBorder="1" applyAlignment="1">
      <alignment horizontal="right" vertical="justify"/>
    </xf>
    <xf numFmtId="0" fontId="64" fillId="2" borderId="20" xfId="0" applyFont="1" applyFill="1" applyBorder="1" applyAlignment="1">
      <alignment horizontal="right" vertical="center"/>
    </xf>
    <xf numFmtId="0" fontId="64" fillId="2" borderId="20" xfId="0" applyFont="1" applyFill="1" applyBorder="1" applyAlignment="1">
      <alignment wrapText="1"/>
    </xf>
    <xf numFmtId="0" fontId="54" fillId="2" borderId="20" xfId="0" applyFont="1" applyFill="1" applyBorder="1" applyAlignment="1">
      <alignment horizontal="right" vertical="top" wrapText="1"/>
    </xf>
    <xf numFmtId="0" fontId="64" fillId="2" borderId="20" xfId="0" applyFont="1" applyFill="1" applyBorder="1" applyAlignment="1">
      <alignment horizontal="left" vertical="top"/>
    </xf>
    <xf numFmtId="165" fontId="50" fillId="0" borderId="0" xfId="0" applyNumberFormat="1" applyFont="1" applyAlignment="1">
      <alignment horizontal="center"/>
    </xf>
    <xf numFmtId="1" fontId="65" fillId="0" borderId="19" xfId="0" applyNumberFormat="1" applyFont="1" applyBorder="1" applyAlignment="1">
      <alignment horizontal="center"/>
    </xf>
    <xf numFmtId="0" fontId="27" fillId="0" borderId="23" xfId="0" applyFont="1" applyBorder="1" applyAlignment="1">
      <alignment horizontal="center"/>
    </xf>
    <xf numFmtId="0" fontId="68" fillId="0" borderId="0" xfId="0" applyFont="1"/>
    <xf numFmtId="0" fontId="69" fillId="0" borderId="19" xfId="0" applyFont="1" applyBorder="1" applyAlignment="1">
      <alignment horizontal="center" vertical="center" wrapText="1"/>
    </xf>
    <xf numFmtId="0" fontId="69" fillId="0" borderId="24" xfId="0" applyFont="1" applyBorder="1" applyAlignment="1">
      <alignment horizontal="center" vertical="center" wrapText="1"/>
    </xf>
    <xf numFmtId="2" fontId="70" fillId="0" borderId="24" xfId="0" applyNumberFormat="1" applyFont="1" applyBorder="1" applyAlignment="1">
      <alignment horizontal="center"/>
    </xf>
    <xf numFmtId="0" fontId="69" fillId="0" borderId="24" xfId="0" applyFont="1" applyBorder="1" applyAlignment="1">
      <alignment horizontal="center"/>
    </xf>
    <xf numFmtId="2" fontId="65" fillId="0" borderId="24" xfId="0" applyNumberFormat="1" applyFont="1" applyBorder="1" applyAlignment="1">
      <alignment horizontal="center" vertical="center" wrapText="1"/>
    </xf>
    <xf numFmtId="2" fontId="65" fillId="0" borderId="24" xfId="0" applyNumberFormat="1" applyFont="1" applyBorder="1" applyAlignment="1">
      <alignment horizontal="center" vertical="center"/>
    </xf>
    <xf numFmtId="0" fontId="69" fillId="0" borderId="25" xfId="0" applyFont="1" applyBorder="1" applyAlignment="1">
      <alignment horizontal="center"/>
    </xf>
    <xf numFmtId="2" fontId="70" fillId="0" borderId="25" xfId="0" applyNumberFormat="1" applyFont="1" applyBorder="1" applyAlignment="1">
      <alignment horizontal="center"/>
    </xf>
    <xf numFmtId="2" fontId="65" fillId="0" borderId="25" xfId="0" applyNumberFormat="1" applyFont="1" applyBorder="1" applyAlignment="1">
      <alignment horizontal="center"/>
    </xf>
    <xf numFmtId="2" fontId="65" fillId="0" borderId="2" xfId="0" applyNumberFormat="1" applyFont="1" applyBorder="1" applyAlignment="1">
      <alignment horizontal="center" vertical="center"/>
    </xf>
    <xf numFmtId="2" fontId="65" fillId="0" borderId="24" xfId="0" applyNumberFormat="1" applyFont="1" applyBorder="1" applyAlignment="1">
      <alignment horizontal="center"/>
    </xf>
    <xf numFmtId="2" fontId="65" fillId="0" borderId="2" xfId="0" applyNumberFormat="1" applyFont="1" applyBorder="1" applyAlignment="1">
      <alignment horizontal="center"/>
    </xf>
    <xf numFmtId="2" fontId="65" fillId="0" borderId="25" xfId="0" applyNumberFormat="1" applyFont="1" applyBorder="1" applyAlignment="1">
      <alignment horizontal="center" vertical="center"/>
    </xf>
    <xf numFmtId="0" fontId="69" fillId="0" borderId="0" xfId="0" applyFont="1"/>
    <xf numFmtId="0" fontId="71" fillId="0" borderId="0" xfId="0" applyFont="1"/>
    <xf numFmtId="2" fontId="65" fillId="0" borderId="19" xfId="0" applyNumberFormat="1" applyFont="1" applyBorder="1" applyAlignment="1">
      <alignment horizontal="center"/>
    </xf>
    <xf numFmtId="0" fontId="72" fillId="0" borderId="0" xfId="0" applyFont="1"/>
    <xf numFmtId="2" fontId="65" fillId="0" borderId="26" xfId="0" applyNumberFormat="1" applyFont="1" applyBorder="1" applyAlignment="1">
      <alignment horizontal="center"/>
    </xf>
    <xf numFmtId="0" fontId="68" fillId="0" borderId="0" xfId="0" applyFont="1" applyAlignment="1">
      <alignment horizontal="right"/>
    </xf>
    <xf numFmtId="0" fontId="65" fillId="0" borderId="0" xfId="0" applyFont="1" applyAlignment="1">
      <alignment horizontal="center"/>
    </xf>
    <xf numFmtId="165" fontId="50" fillId="0" borderId="0" xfId="1" applyFont="1" applyFill="1"/>
    <xf numFmtId="165" fontId="49" fillId="0" borderId="0" xfId="1" applyFont="1" applyFill="1"/>
    <xf numFmtId="0" fontId="49" fillId="0" borderId="19" xfId="0" applyFont="1" applyBorder="1" applyAlignment="1">
      <alignment horizontal="center"/>
    </xf>
    <xf numFmtId="165" fontId="49" fillId="0" borderId="19" xfId="1" applyFont="1" applyFill="1" applyBorder="1" applyAlignment="1">
      <alignment horizontal="center" vertical="center"/>
    </xf>
    <xf numFmtId="0" fontId="48" fillId="0" borderId="0" xfId="0" applyFont="1" applyAlignment="1">
      <alignment horizontal="center"/>
    </xf>
    <xf numFmtId="0" fontId="49" fillId="0" borderId="19" xfId="0" applyFont="1" applyBorder="1" applyAlignment="1">
      <alignment horizontal="center" vertical="top" wrapText="1"/>
    </xf>
    <xf numFmtId="165" fontId="49" fillId="0" borderId="19" xfId="1" applyFont="1" applyFill="1" applyBorder="1" applyAlignment="1">
      <alignment horizontal="center"/>
    </xf>
    <xf numFmtId="0" fontId="49" fillId="0" borderId="19" xfId="0" applyFont="1" applyBorder="1" applyAlignment="1">
      <alignment horizontal="center" wrapText="1"/>
    </xf>
    <xf numFmtId="1" fontId="50" fillId="0" borderId="0" xfId="0" applyNumberFormat="1" applyFont="1" applyAlignment="1">
      <alignment vertical="center"/>
    </xf>
    <xf numFmtId="1" fontId="49" fillId="0" borderId="19" xfId="0" applyNumberFormat="1" applyFont="1" applyBorder="1" applyAlignment="1">
      <alignment horizontal="center" vertical="center"/>
    </xf>
    <xf numFmtId="1" fontId="48" fillId="0" borderId="19" xfId="0" applyNumberFormat="1" applyFont="1" applyBorder="1" applyAlignment="1">
      <alignment vertical="center"/>
    </xf>
    <xf numFmtId="0" fontId="74" fillId="0" borderId="19" xfId="0" applyFont="1" applyBorder="1" applyAlignment="1">
      <alignment horizontal="left" vertical="top" wrapText="1"/>
    </xf>
    <xf numFmtId="0" fontId="48" fillId="0" borderId="19" xfId="0" applyFont="1" applyBorder="1" applyAlignment="1">
      <alignment horizontal="center"/>
    </xf>
    <xf numFmtId="165" fontId="48" fillId="0" borderId="19" xfId="1" applyFont="1" applyFill="1" applyBorder="1"/>
    <xf numFmtId="0" fontId="48" fillId="0" borderId="19" xfId="0" applyFont="1" applyBorder="1"/>
    <xf numFmtId="0" fontId="48" fillId="0" borderId="19" xfId="0" applyFont="1" applyBorder="1" applyAlignment="1">
      <alignment wrapText="1"/>
    </xf>
    <xf numFmtId="1" fontId="64" fillId="0" borderId="19" xfId="0" applyNumberFormat="1" applyFont="1" applyBorder="1" applyAlignment="1">
      <alignment horizontal="right" vertical="center"/>
    </xf>
    <xf numFmtId="0" fontId="68" fillId="0" borderId="19" xfId="0" quotePrefix="1" applyFont="1" applyBorder="1" applyAlignment="1">
      <alignment wrapText="1"/>
    </xf>
    <xf numFmtId="0" fontId="64" fillId="0" borderId="19" xfId="0" applyFont="1" applyBorder="1"/>
    <xf numFmtId="2" fontId="64" fillId="0" borderId="19" xfId="0" applyNumberFormat="1" applyFont="1" applyBorder="1" applyAlignment="1">
      <alignment horizontal="right"/>
    </xf>
    <xf numFmtId="0" fontId="54" fillId="0" borderId="19" xfId="0" applyFont="1" applyBorder="1"/>
    <xf numFmtId="183" fontId="64" fillId="0" borderId="19" xfId="0" applyNumberFormat="1" applyFont="1" applyBorder="1" applyAlignment="1">
      <alignment horizontal="right"/>
    </xf>
    <xf numFmtId="2" fontId="64" fillId="0" borderId="19" xfId="1" applyNumberFormat="1" applyFont="1" applyFill="1" applyBorder="1" applyAlignment="1">
      <alignment horizontal="right"/>
    </xf>
    <xf numFmtId="2" fontId="54" fillId="0" borderId="19" xfId="0" applyNumberFormat="1" applyFont="1" applyBorder="1" applyAlignment="1">
      <alignment horizontal="right"/>
    </xf>
    <xf numFmtId="0" fontId="64" fillId="0" borderId="19" xfId="0" applyFont="1" applyBorder="1" applyAlignment="1">
      <alignment horizontal="right"/>
    </xf>
    <xf numFmtId="1" fontId="54" fillId="0" borderId="19" xfId="0" applyNumberFormat="1" applyFont="1" applyBorder="1" applyAlignment="1">
      <alignment horizontal="right" vertical="center"/>
    </xf>
    <xf numFmtId="183" fontId="54" fillId="0" borderId="19" xfId="0" applyNumberFormat="1" applyFont="1" applyBorder="1" applyAlignment="1">
      <alignment horizontal="right"/>
    </xf>
    <xf numFmtId="2" fontId="54" fillId="0" borderId="19" xfId="1" applyNumberFormat="1" applyFont="1" applyFill="1" applyBorder="1" applyAlignment="1">
      <alignment horizontal="right"/>
    </xf>
    <xf numFmtId="0" fontId="54" fillId="0" borderId="19" xfId="0" quotePrefix="1" applyFont="1" applyBorder="1" applyAlignment="1">
      <alignment horizontal="right"/>
    </xf>
    <xf numFmtId="0" fontId="64" fillId="0" borderId="19" xfId="0" applyFont="1" applyBorder="1" applyAlignment="1">
      <alignment horizontal="right" vertical="top" wrapText="1"/>
    </xf>
    <xf numFmtId="0" fontId="64" fillId="0" borderId="19" xfId="0" applyFont="1" applyBorder="1" applyAlignment="1">
      <alignment horizontal="left" vertical="top" wrapText="1"/>
    </xf>
    <xf numFmtId="0" fontId="64" fillId="0" borderId="19" xfId="0" quotePrefix="1" applyFont="1" applyBorder="1" applyAlignment="1">
      <alignment horizontal="right" vertical="top" wrapText="1"/>
    </xf>
    <xf numFmtId="183" fontId="64" fillId="0" borderId="19" xfId="1" applyNumberFormat="1" applyFont="1" applyFill="1" applyBorder="1" applyAlignment="1">
      <alignment horizontal="right"/>
    </xf>
    <xf numFmtId="0" fontId="54" fillId="0" borderId="19" xfId="0" applyFont="1" applyBorder="1" applyAlignment="1">
      <alignment horizontal="justify" vertical="justify"/>
    </xf>
    <xf numFmtId="2" fontId="54" fillId="0" borderId="19" xfId="734" applyNumberFormat="1" applyBorder="1" applyAlignment="1">
      <alignment horizontal="right"/>
    </xf>
    <xf numFmtId="0" fontId="54" fillId="0" borderId="19" xfId="0" applyFont="1" applyBorder="1" applyAlignment="1">
      <alignment horizontal="right" vertical="top" wrapText="1"/>
    </xf>
    <xf numFmtId="1" fontId="64" fillId="0" borderId="19" xfId="0" applyNumberFormat="1" applyFont="1" applyBorder="1" applyAlignment="1">
      <alignment vertical="center"/>
    </xf>
    <xf numFmtId="0" fontId="75" fillId="0" borderId="19" xfId="0" applyFont="1" applyBorder="1" applyAlignment="1">
      <alignment horizontal="left" vertical="top" wrapText="1"/>
    </xf>
    <xf numFmtId="183" fontId="48" fillId="0" borderId="19" xfId="1" applyNumberFormat="1" applyFont="1" applyFill="1" applyBorder="1" applyAlignment="1">
      <alignment horizontal="right"/>
    </xf>
    <xf numFmtId="0" fontId="64" fillId="0" borderId="19" xfId="0" applyFont="1" applyBorder="1" applyAlignment="1">
      <alignment wrapText="1"/>
    </xf>
    <xf numFmtId="1" fontId="64" fillId="0" borderId="0" xfId="0" applyNumberFormat="1" applyFont="1" applyAlignment="1">
      <alignment vertical="center"/>
    </xf>
    <xf numFmtId="0" fontId="48" fillId="0" borderId="0" xfId="0" applyFont="1" applyAlignment="1">
      <alignment horizontal="left" vertical="top" wrapText="1"/>
    </xf>
    <xf numFmtId="165" fontId="48" fillId="0" borderId="0" xfId="1" applyFont="1" applyFill="1" applyBorder="1"/>
    <xf numFmtId="0" fontId="64" fillId="0" borderId="0" xfId="0" applyFont="1" applyAlignment="1">
      <alignment wrapText="1"/>
    </xf>
    <xf numFmtId="0" fontId="64" fillId="0" borderId="0" xfId="0" applyFont="1"/>
    <xf numFmtId="0" fontId="48" fillId="0" borderId="0" xfId="0" applyFont="1"/>
    <xf numFmtId="165" fontId="64" fillId="0" borderId="19" xfId="0" applyNumberFormat="1" applyFont="1" applyBorder="1"/>
    <xf numFmtId="165" fontId="64" fillId="0" borderId="0" xfId="0" applyNumberFormat="1" applyFont="1"/>
    <xf numFmtId="184" fontId="64" fillId="0" borderId="19" xfId="1" applyNumberFormat="1" applyFont="1" applyFill="1" applyBorder="1" applyAlignment="1"/>
    <xf numFmtId="165" fontId="64" fillId="0" borderId="19" xfId="1" applyFont="1" applyFill="1" applyBorder="1" applyAlignment="1"/>
    <xf numFmtId="0" fontId="76" fillId="0" borderId="19" xfId="0" quotePrefix="1" applyFont="1" applyBorder="1" applyAlignment="1">
      <alignment wrapText="1"/>
    </xf>
    <xf numFmtId="0" fontId="76" fillId="0" borderId="19" xfId="0" applyFont="1" applyBorder="1" applyAlignment="1">
      <alignment wrapText="1"/>
    </xf>
    <xf numFmtId="0" fontId="51" fillId="0" borderId="0" xfId="0" applyFont="1"/>
    <xf numFmtId="1" fontId="77" fillId="0" borderId="0" xfId="0" applyNumberFormat="1" applyFont="1"/>
    <xf numFmtId="0" fontId="57" fillId="0" borderId="19" xfId="0" applyFont="1" applyBorder="1"/>
    <xf numFmtId="2" fontId="0" fillId="0" borderId="19" xfId="0" applyNumberFormat="1" applyBorder="1"/>
    <xf numFmtId="0" fontId="0" fillId="0" borderId="19" xfId="0" applyBorder="1"/>
    <xf numFmtId="0" fontId="57" fillId="0" borderId="28" xfId="0" applyFont="1" applyBorder="1" applyAlignment="1">
      <alignment horizontal="center"/>
    </xf>
    <xf numFmtId="2" fontId="0" fillId="0" borderId="28" xfId="0" applyNumberFormat="1" applyBorder="1"/>
    <xf numFmtId="0" fontId="57" fillId="0" borderId="23" xfId="0" applyFont="1" applyBorder="1" applyAlignment="1">
      <alignment horizontal="center"/>
    </xf>
    <xf numFmtId="2" fontId="0" fillId="0" borderId="23" xfId="0" applyNumberFormat="1" applyBorder="1"/>
    <xf numFmtId="0" fontId="49" fillId="0" borderId="19" xfId="0" applyFont="1" applyBorder="1"/>
    <xf numFmtId="0" fontId="50" fillId="0" borderId="19" xfId="0" applyFont="1" applyBorder="1"/>
    <xf numFmtId="165" fontId="64" fillId="0" borderId="19" xfId="0" applyNumberFormat="1" applyFont="1" applyBorder="1" applyAlignment="1">
      <alignment horizontal="center"/>
    </xf>
    <xf numFmtId="165" fontId="64" fillId="0" borderId="19" xfId="1" applyFont="1" applyFill="1" applyBorder="1" applyAlignment="1">
      <alignment horizontal="center"/>
    </xf>
    <xf numFmtId="0" fontId="48" fillId="0" borderId="19" xfId="0" applyFont="1" applyBorder="1" applyAlignment="1">
      <alignment horizontal="center"/>
    </xf>
    <xf numFmtId="0" fontId="48" fillId="0" borderId="0" xfId="0" applyFont="1" applyAlignment="1">
      <alignment horizontal="center"/>
    </xf>
    <xf numFmtId="0" fontId="51" fillId="0" borderId="0" xfId="0" applyFont="1" applyAlignment="1">
      <alignment horizontal="center"/>
    </xf>
    <xf numFmtId="0" fontId="50" fillId="0" borderId="0" xfId="0" applyFont="1" applyAlignment="1">
      <alignment horizontal="center"/>
    </xf>
    <xf numFmtId="0" fontId="50" fillId="0" borderId="0" xfId="0" quotePrefix="1" applyFont="1" applyAlignment="1">
      <alignment horizontal="right"/>
    </xf>
    <xf numFmtId="0" fontId="50" fillId="0" borderId="0" xfId="0" applyFont="1"/>
    <xf numFmtId="0" fontId="50" fillId="0" borderId="0" xfId="0" applyFont="1" applyAlignment="1">
      <alignment horizontal="right"/>
    </xf>
    <xf numFmtId="0" fontId="0" fillId="0" borderId="0" xfId="0" applyAlignment="1">
      <alignment horizontal="center"/>
    </xf>
    <xf numFmtId="0" fontId="0" fillId="0" borderId="0" xfId="0" applyAlignment="1">
      <alignment horizontal="right"/>
    </xf>
    <xf numFmtId="0" fontId="63" fillId="32" borderId="21" xfId="0" applyFont="1" applyFill="1" applyBorder="1" applyAlignment="1">
      <alignment horizontal="center" vertical="center"/>
    </xf>
    <xf numFmtId="0" fontId="63" fillId="32" borderId="20" xfId="0" applyFont="1" applyFill="1" applyBorder="1" applyAlignment="1">
      <alignment horizontal="center" vertical="center"/>
    </xf>
    <xf numFmtId="0" fontId="63" fillId="32" borderId="21" xfId="0" applyFont="1" applyFill="1" applyBorder="1" applyAlignment="1">
      <alignment horizontal="center"/>
    </xf>
    <xf numFmtId="0" fontId="58" fillId="0" borderId="0" xfId="0" applyFont="1" applyAlignment="1">
      <alignment horizontal="center"/>
    </xf>
    <xf numFmtId="0" fontId="59" fillId="0" borderId="0" xfId="0" applyFont="1" applyAlignment="1">
      <alignment horizontal="center"/>
    </xf>
    <xf numFmtId="0" fontId="60" fillId="0" borderId="0" xfId="0" applyFont="1" applyAlignment="1">
      <alignment horizontal="center"/>
    </xf>
    <xf numFmtId="0" fontId="57" fillId="0" borderId="0" xfId="0" applyFont="1" applyAlignment="1">
      <alignment horizontal="center"/>
    </xf>
    <xf numFmtId="165" fontId="61" fillId="0" borderId="0" xfId="0" applyNumberFormat="1" applyFont="1" applyAlignment="1">
      <alignment horizontal="center"/>
    </xf>
    <xf numFmtId="0" fontId="61" fillId="0" borderId="0" xfId="0" applyFont="1" applyAlignment="1">
      <alignment horizontal="center"/>
    </xf>
    <xf numFmtId="0" fontId="66" fillId="0" borderId="13" xfId="0" applyFont="1" applyBorder="1" applyAlignment="1">
      <alignment horizontal="center"/>
    </xf>
    <xf numFmtId="0" fontId="66" fillId="0" borderId="0" xfId="0" applyFont="1" applyAlignment="1">
      <alignment horizontal="center"/>
    </xf>
    <xf numFmtId="0" fontId="67" fillId="0" borderId="27" xfId="0" applyFont="1" applyBorder="1" applyAlignment="1">
      <alignment horizontal="center"/>
    </xf>
    <xf numFmtId="0" fontId="67" fillId="0" borderId="26" xfId="0" applyFont="1" applyBorder="1" applyAlignment="1">
      <alignment horizontal="center"/>
    </xf>
    <xf numFmtId="0" fontId="69" fillId="0" borderId="24" xfId="0" applyFont="1" applyBorder="1" applyAlignment="1">
      <alignment horizontal="center" vertical="center" wrapText="1"/>
    </xf>
    <xf numFmtId="0" fontId="69" fillId="0" borderId="25" xfId="0" applyFont="1" applyBorder="1" applyAlignment="1">
      <alignment horizontal="center" vertical="center" wrapText="1"/>
    </xf>
    <xf numFmtId="0" fontId="69" fillId="0" borderId="24" xfId="0" applyFont="1" applyBorder="1" applyAlignment="1">
      <alignment horizontal="center" vertical="center"/>
    </xf>
    <xf numFmtId="0" fontId="69" fillId="0" borderId="25" xfId="0" applyFont="1" applyBorder="1" applyAlignment="1">
      <alignment horizontal="center" vertical="center"/>
    </xf>
    <xf numFmtId="0" fontId="57" fillId="0" borderId="19" xfId="0" applyFont="1" applyBorder="1" applyAlignment="1">
      <alignment horizontal="center" vertical="center"/>
    </xf>
    <xf numFmtId="0" fontId="57" fillId="0" borderId="19" xfId="0" applyFont="1" applyBorder="1" applyAlignment="1">
      <alignment horizontal="center"/>
    </xf>
    <xf numFmtId="2" fontId="0" fillId="0" borderId="19" xfId="0" applyNumberFormat="1" applyBorder="1" applyAlignment="1">
      <alignment horizontal="center"/>
    </xf>
    <xf numFmtId="0" fontId="57" fillId="0" borderId="29" xfId="0" applyFont="1" applyBorder="1" applyAlignment="1">
      <alignment horizontal="center"/>
    </xf>
    <xf numFmtId="0" fontId="57" fillId="0" borderId="24" xfId="0" applyFont="1" applyBorder="1" applyAlignment="1">
      <alignment horizontal="center" vertical="center"/>
    </xf>
    <xf numFmtId="0" fontId="57" fillId="0" borderId="25" xfId="0" applyFont="1" applyBorder="1" applyAlignment="1">
      <alignment horizontal="center" vertical="center"/>
    </xf>
    <xf numFmtId="0" fontId="57" fillId="0" borderId="30" xfId="0" applyFont="1" applyBorder="1" applyAlignment="1">
      <alignment horizontal="center" vertical="center"/>
    </xf>
    <xf numFmtId="0" fontId="57" fillId="0" borderId="27" xfId="0" applyFont="1" applyBorder="1" applyAlignment="1">
      <alignment horizontal="center" vertical="center"/>
    </xf>
  </cellXfs>
  <cellStyles count="804">
    <cellStyle name="??" xfId="476" xr:uid="{00000000-0005-0000-0000-000000000000}"/>
    <cellStyle name="?? [0.00]_PERSONAL" xfId="477" xr:uid="{00000000-0005-0000-0000-000001000000}"/>
    <cellStyle name="???? [0.00]_PERSONAL" xfId="478" xr:uid="{00000000-0005-0000-0000-000002000000}"/>
    <cellStyle name="????_PERSONAL" xfId="479" xr:uid="{00000000-0005-0000-0000-000003000000}"/>
    <cellStyle name="??_PERSONAL" xfId="480" xr:uid="{00000000-0005-0000-0000-000004000000}"/>
    <cellStyle name="20% - Accent1 10" xfId="457" xr:uid="{00000000-0005-0000-0000-000005000000}"/>
    <cellStyle name="20% - Accent1 11" xfId="592" xr:uid="{00000000-0005-0000-0000-000006000000}"/>
    <cellStyle name="20% - Accent1 12" xfId="638" xr:uid="{00000000-0005-0000-0000-000007000000}"/>
    <cellStyle name="20% - Accent1 13" xfId="724" xr:uid="{00000000-0005-0000-0000-000008000000}"/>
    <cellStyle name="20% - Accent1 2" xfId="2" xr:uid="{00000000-0005-0000-0000-000009000000}"/>
    <cellStyle name="20% - Accent1 3" xfId="138" xr:uid="{00000000-0005-0000-0000-00000A000000}"/>
    <cellStyle name="20% - Accent1 4" xfId="209" xr:uid="{00000000-0005-0000-0000-00000B000000}"/>
    <cellStyle name="20% - Accent1 5" xfId="241" xr:uid="{00000000-0005-0000-0000-00000C000000}"/>
    <cellStyle name="20% - Accent1 6" xfId="267" xr:uid="{00000000-0005-0000-0000-00000D000000}"/>
    <cellStyle name="20% - Accent1 7" xfId="328" xr:uid="{00000000-0005-0000-0000-00000E000000}"/>
    <cellStyle name="20% - Accent1 8" xfId="370" xr:uid="{00000000-0005-0000-0000-00000F000000}"/>
    <cellStyle name="20% - Accent1 9" xfId="396" xr:uid="{00000000-0005-0000-0000-000010000000}"/>
    <cellStyle name="20% - Accent2 10" xfId="467" xr:uid="{00000000-0005-0000-0000-000011000000}"/>
    <cellStyle name="20% - Accent2 11" xfId="593" xr:uid="{00000000-0005-0000-0000-000012000000}"/>
    <cellStyle name="20% - Accent2 12" xfId="639" xr:uid="{00000000-0005-0000-0000-000013000000}"/>
    <cellStyle name="20% - Accent2 13" xfId="723" xr:uid="{00000000-0005-0000-0000-000014000000}"/>
    <cellStyle name="20% - Accent2 2" xfId="3" xr:uid="{00000000-0005-0000-0000-000015000000}"/>
    <cellStyle name="20% - Accent2 3" xfId="139" xr:uid="{00000000-0005-0000-0000-000016000000}"/>
    <cellStyle name="20% - Accent2 4" xfId="222" xr:uid="{00000000-0005-0000-0000-000017000000}"/>
    <cellStyle name="20% - Accent2 5" xfId="251" xr:uid="{00000000-0005-0000-0000-000018000000}"/>
    <cellStyle name="20% - Accent2 6" xfId="268" xr:uid="{00000000-0005-0000-0000-000019000000}"/>
    <cellStyle name="20% - Accent2 7" xfId="340" xr:uid="{00000000-0005-0000-0000-00001A000000}"/>
    <cellStyle name="20% - Accent2 8" xfId="380" xr:uid="{00000000-0005-0000-0000-00001B000000}"/>
    <cellStyle name="20% - Accent2 9" xfId="397" xr:uid="{00000000-0005-0000-0000-00001C000000}"/>
    <cellStyle name="20% - Accent3 10" xfId="456" xr:uid="{00000000-0005-0000-0000-00001D000000}"/>
    <cellStyle name="20% - Accent3 11" xfId="594" xr:uid="{00000000-0005-0000-0000-00001E000000}"/>
    <cellStyle name="20% - Accent3 12" xfId="640" xr:uid="{00000000-0005-0000-0000-00001F000000}"/>
    <cellStyle name="20% - Accent3 13" xfId="722" xr:uid="{00000000-0005-0000-0000-000020000000}"/>
    <cellStyle name="20% - Accent3 2" xfId="4" xr:uid="{00000000-0005-0000-0000-000021000000}"/>
    <cellStyle name="20% - Accent3 3" xfId="140" xr:uid="{00000000-0005-0000-0000-000022000000}"/>
    <cellStyle name="20% - Accent3 4" xfId="208" xr:uid="{00000000-0005-0000-0000-000023000000}"/>
    <cellStyle name="20% - Accent3 5" xfId="240" xr:uid="{00000000-0005-0000-0000-000024000000}"/>
    <cellStyle name="20% - Accent3 6" xfId="269" xr:uid="{00000000-0005-0000-0000-000025000000}"/>
    <cellStyle name="20% - Accent3 7" xfId="327" xr:uid="{00000000-0005-0000-0000-000026000000}"/>
    <cellStyle name="20% - Accent3 8" xfId="369" xr:uid="{00000000-0005-0000-0000-000027000000}"/>
    <cellStyle name="20% - Accent3 9" xfId="398" xr:uid="{00000000-0005-0000-0000-000028000000}"/>
    <cellStyle name="20% - Accent4 10" xfId="455" xr:uid="{00000000-0005-0000-0000-000029000000}"/>
    <cellStyle name="20% - Accent4 11" xfId="595" xr:uid="{00000000-0005-0000-0000-00002A000000}"/>
    <cellStyle name="20% - Accent4 12" xfId="641" xr:uid="{00000000-0005-0000-0000-00002B000000}"/>
    <cellStyle name="20% - Accent4 13" xfId="721" xr:uid="{00000000-0005-0000-0000-00002C000000}"/>
    <cellStyle name="20% - Accent4 2" xfId="5" xr:uid="{00000000-0005-0000-0000-00002D000000}"/>
    <cellStyle name="20% - Accent4 3" xfId="141" xr:uid="{00000000-0005-0000-0000-00002E000000}"/>
    <cellStyle name="20% - Accent4 4" xfId="207" xr:uid="{00000000-0005-0000-0000-00002F000000}"/>
    <cellStyle name="20% - Accent4 5" xfId="239" xr:uid="{00000000-0005-0000-0000-000030000000}"/>
    <cellStyle name="20% - Accent4 6" xfId="270" xr:uid="{00000000-0005-0000-0000-000031000000}"/>
    <cellStyle name="20% - Accent4 7" xfId="326" xr:uid="{00000000-0005-0000-0000-000032000000}"/>
    <cellStyle name="20% - Accent4 8" xfId="368" xr:uid="{00000000-0005-0000-0000-000033000000}"/>
    <cellStyle name="20% - Accent4 9" xfId="399" xr:uid="{00000000-0005-0000-0000-000034000000}"/>
    <cellStyle name="20% - Accent5 10" xfId="452" xr:uid="{00000000-0005-0000-0000-000035000000}"/>
    <cellStyle name="20% - Accent5 11" xfId="596" xr:uid="{00000000-0005-0000-0000-000036000000}"/>
    <cellStyle name="20% - Accent5 12" xfId="642" xr:uid="{00000000-0005-0000-0000-000037000000}"/>
    <cellStyle name="20% - Accent5 13" xfId="720" xr:uid="{00000000-0005-0000-0000-000038000000}"/>
    <cellStyle name="20% - Accent5 2" xfId="6" xr:uid="{00000000-0005-0000-0000-000039000000}"/>
    <cellStyle name="20% - Accent5 3" xfId="142" xr:uid="{00000000-0005-0000-0000-00003A000000}"/>
    <cellStyle name="20% - Accent5 4" xfId="204" xr:uid="{00000000-0005-0000-0000-00003B000000}"/>
    <cellStyle name="20% - Accent5 5" xfId="236" xr:uid="{00000000-0005-0000-0000-00003C000000}"/>
    <cellStyle name="20% - Accent5 6" xfId="271" xr:uid="{00000000-0005-0000-0000-00003D000000}"/>
    <cellStyle name="20% - Accent5 7" xfId="325" xr:uid="{00000000-0005-0000-0000-00003E000000}"/>
    <cellStyle name="20% - Accent5 8" xfId="365" xr:uid="{00000000-0005-0000-0000-00003F000000}"/>
    <cellStyle name="20% - Accent5 9" xfId="400" xr:uid="{00000000-0005-0000-0000-000040000000}"/>
    <cellStyle name="20% - Accent6 10" xfId="451" xr:uid="{00000000-0005-0000-0000-000041000000}"/>
    <cellStyle name="20% - Accent6 11" xfId="597" xr:uid="{00000000-0005-0000-0000-000042000000}"/>
    <cellStyle name="20% - Accent6 12" xfId="643" xr:uid="{00000000-0005-0000-0000-000043000000}"/>
    <cellStyle name="20% - Accent6 13" xfId="719" xr:uid="{00000000-0005-0000-0000-000044000000}"/>
    <cellStyle name="20% - Accent6 2" xfId="7" xr:uid="{00000000-0005-0000-0000-000045000000}"/>
    <cellStyle name="20% - Accent6 3" xfId="143" xr:uid="{00000000-0005-0000-0000-000046000000}"/>
    <cellStyle name="20% - Accent6 4" xfId="231" xr:uid="{00000000-0005-0000-0000-000047000000}"/>
    <cellStyle name="20% - Accent6 5" xfId="260" xr:uid="{00000000-0005-0000-0000-000048000000}"/>
    <cellStyle name="20% - Accent6 6" xfId="272" xr:uid="{00000000-0005-0000-0000-000049000000}"/>
    <cellStyle name="20% - Accent6 7" xfId="324" xr:uid="{00000000-0005-0000-0000-00004A000000}"/>
    <cellStyle name="20% - Accent6 8" xfId="389" xr:uid="{00000000-0005-0000-0000-00004B000000}"/>
    <cellStyle name="20% - Accent6 9" xfId="401" xr:uid="{00000000-0005-0000-0000-00004C000000}"/>
    <cellStyle name="40% - Accent1 10" xfId="466" xr:uid="{00000000-0005-0000-0000-00004D000000}"/>
    <cellStyle name="40% - Accent1 11" xfId="598" xr:uid="{00000000-0005-0000-0000-00004E000000}"/>
    <cellStyle name="40% - Accent1 12" xfId="644" xr:uid="{00000000-0005-0000-0000-00004F000000}"/>
    <cellStyle name="40% - Accent1 13" xfId="718" xr:uid="{00000000-0005-0000-0000-000050000000}"/>
    <cellStyle name="40% - Accent1 2" xfId="8" xr:uid="{00000000-0005-0000-0000-000051000000}"/>
    <cellStyle name="40% - Accent1 3" xfId="144" xr:uid="{00000000-0005-0000-0000-000052000000}"/>
    <cellStyle name="40% - Accent1 4" xfId="203" xr:uid="{00000000-0005-0000-0000-000053000000}"/>
    <cellStyle name="40% - Accent1 5" xfId="235" xr:uid="{00000000-0005-0000-0000-000054000000}"/>
    <cellStyle name="40% - Accent1 6" xfId="273" xr:uid="{00000000-0005-0000-0000-000055000000}"/>
    <cellStyle name="40% - Accent1 7" xfId="348" xr:uid="{00000000-0005-0000-0000-000056000000}"/>
    <cellStyle name="40% - Accent1 8" xfId="364" xr:uid="{00000000-0005-0000-0000-000057000000}"/>
    <cellStyle name="40% - Accent1 9" xfId="402" xr:uid="{00000000-0005-0000-0000-000058000000}"/>
    <cellStyle name="40% - Accent2 10" xfId="450" xr:uid="{00000000-0005-0000-0000-000059000000}"/>
    <cellStyle name="40% - Accent2 11" xfId="599" xr:uid="{00000000-0005-0000-0000-00005A000000}"/>
    <cellStyle name="40% - Accent2 12" xfId="645" xr:uid="{00000000-0005-0000-0000-00005B000000}"/>
    <cellStyle name="40% - Accent2 13" xfId="717" xr:uid="{00000000-0005-0000-0000-00005C000000}"/>
    <cellStyle name="40% - Accent2 2" xfId="9" xr:uid="{00000000-0005-0000-0000-00005D000000}"/>
    <cellStyle name="40% - Accent2 3" xfId="145" xr:uid="{00000000-0005-0000-0000-00005E000000}"/>
    <cellStyle name="40% - Accent2 4" xfId="221" xr:uid="{00000000-0005-0000-0000-00005F000000}"/>
    <cellStyle name="40% - Accent2 5" xfId="250" xr:uid="{00000000-0005-0000-0000-000060000000}"/>
    <cellStyle name="40% - Accent2 6" xfId="274" xr:uid="{00000000-0005-0000-0000-000061000000}"/>
    <cellStyle name="40% - Accent2 7" xfId="351" xr:uid="{00000000-0005-0000-0000-000062000000}"/>
    <cellStyle name="40% - Accent2 8" xfId="379" xr:uid="{00000000-0005-0000-0000-000063000000}"/>
    <cellStyle name="40% - Accent2 9" xfId="403" xr:uid="{00000000-0005-0000-0000-000064000000}"/>
    <cellStyle name="40% - Accent3 10" xfId="449" xr:uid="{00000000-0005-0000-0000-000065000000}"/>
    <cellStyle name="40% - Accent3 11" xfId="600" xr:uid="{00000000-0005-0000-0000-000066000000}"/>
    <cellStyle name="40% - Accent3 12" xfId="646" xr:uid="{00000000-0005-0000-0000-000067000000}"/>
    <cellStyle name="40% - Accent3 13" xfId="716" xr:uid="{00000000-0005-0000-0000-000068000000}"/>
    <cellStyle name="40% - Accent3 2" xfId="10" xr:uid="{00000000-0005-0000-0000-000069000000}"/>
    <cellStyle name="40% - Accent3 3" xfId="146" xr:uid="{00000000-0005-0000-0000-00006A000000}"/>
    <cellStyle name="40% - Accent3 4" xfId="202" xr:uid="{00000000-0005-0000-0000-00006B000000}"/>
    <cellStyle name="40% - Accent3 5" xfId="234" xr:uid="{00000000-0005-0000-0000-00006C000000}"/>
    <cellStyle name="40% - Accent3 6" xfId="275" xr:uid="{00000000-0005-0000-0000-00006D000000}"/>
    <cellStyle name="40% - Accent3 7" xfId="347" xr:uid="{00000000-0005-0000-0000-00006E000000}"/>
    <cellStyle name="40% - Accent3 8" xfId="363" xr:uid="{00000000-0005-0000-0000-00006F000000}"/>
    <cellStyle name="40% - Accent3 9" xfId="404" xr:uid="{00000000-0005-0000-0000-000070000000}"/>
    <cellStyle name="40% - Accent4 10" xfId="469" xr:uid="{00000000-0005-0000-0000-000071000000}"/>
    <cellStyle name="40% - Accent4 11" xfId="601" xr:uid="{00000000-0005-0000-0000-000072000000}"/>
    <cellStyle name="40% - Accent4 12" xfId="647" xr:uid="{00000000-0005-0000-0000-000073000000}"/>
    <cellStyle name="40% - Accent4 13" xfId="715" xr:uid="{00000000-0005-0000-0000-000074000000}"/>
    <cellStyle name="40% - Accent4 2" xfId="11" xr:uid="{00000000-0005-0000-0000-000075000000}"/>
    <cellStyle name="40% - Accent4 3" xfId="147" xr:uid="{00000000-0005-0000-0000-000076000000}"/>
    <cellStyle name="40% - Accent4 4" xfId="201" xr:uid="{00000000-0005-0000-0000-000077000000}"/>
    <cellStyle name="40% - Accent4 5" xfId="233" xr:uid="{00000000-0005-0000-0000-000078000000}"/>
    <cellStyle name="40% - Accent4 6" xfId="276" xr:uid="{00000000-0005-0000-0000-000079000000}"/>
    <cellStyle name="40% - Accent4 7" xfId="323" xr:uid="{00000000-0005-0000-0000-00007A000000}"/>
    <cellStyle name="40% - Accent4 8" xfId="362" xr:uid="{00000000-0005-0000-0000-00007B000000}"/>
    <cellStyle name="40% - Accent4 9" xfId="405" xr:uid="{00000000-0005-0000-0000-00007C000000}"/>
    <cellStyle name="40% - Accent5 10" xfId="448" xr:uid="{00000000-0005-0000-0000-00007D000000}"/>
    <cellStyle name="40% - Accent5 11" xfId="602" xr:uid="{00000000-0005-0000-0000-00007E000000}"/>
    <cellStyle name="40% - Accent5 12" xfId="648" xr:uid="{00000000-0005-0000-0000-00007F000000}"/>
    <cellStyle name="40% - Accent5 13" xfId="714" xr:uid="{00000000-0005-0000-0000-000080000000}"/>
    <cellStyle name="40% - Accent5 2" xfId="12" xr:uid="{00000000-0005-0000-0000-000081000000}"/>
    <cellStyle name="40% - Accent5 3" xfId="148" xr:uid="{00000000-0005-0000-0000-000082000000}"/>
    <cellStyle name="40% - Accent5 4" xfId="224" xr:uid="{00000000-0005-0000-0000-000083000000}"/>
    <cellStyle name="40% - Accent5 5" xfId="253" xr:uid="{00000000-0005-0000-0000-000084000000}"/>
    <cellStyle name="40% - Accent5 6" xfId="277" xr:uid="{00000000-0005-0000-0000-000085000000}"/>
    <cellStyle name="40% - Accent5 7" xfId="322" xr:uid="{00000000-0005-0000-0000-000086000000}"/>
    <cellStyle name="40% - Accent5 8" xfId="382" xr:uid="{00000000-0005-0000-0000-000087000000}"/>
    <cellStyle name="40% - Accent5 9" xfId="406" xr:uid="{00000000-0005-0000-0000-000088000000}"/>
    <cellStyle name="40% - Accent6 10" xfId="465" xr:uid="{00000000-0005-0000-0000-000089000000}"/>
    <cellStyle name="40% - Accent6 11" xfId="603" xr:uid="{00000000-0005-0000-0000-00008A000000}"/>
    <cellStyle name="40% - Accent6 12" xfId="649" xr:uid="{00000000-0005-0000-0000-00008B000000}"/>
    <cellStyle name="40% - Accent6 13" xfId="713" xr:uid="{00000000-0005-0000-0000-00008C000000}"/>
    <cellStyle name="40% - Accent6 2" xfId="13" xr:uid="{00000000-0005-0000-0000-00008D000000}"/>
    <cellStyle name="40% - Accent6 3" xfId="149" xr:uid="{00000000-0005-0000-0000-00008E000000}"/>
    <cellStyle name="40% - Accent6 4" xfId="200" xr:uid="{00000000-0005-0000-0000-00008F000000}"/>
    <cellStyle name="40% - Accent6 5" xfId="232" xr:uid="{00000000-0005-0000-0000-000090000000}"/>
    <cellStyle name="40% - Accent6 6" xfId="278" xr:uid="{00000000-0005-0000-0000-000091000000}"/>
    <cellStyle name="40% - Accent6 7" xfId="321" xr:uid="{00000000-0005-0000-0000-000092000000}"/>
    <cellStyle name="40% - Accent6 8" xfId="361" xr:uid="{00000000-0005-0000-0000-000093000000}"/>
    <cellStyle name="40% - Accent6 9" xfId="407" xr:uid="{00000000-0005-0000-0000-000094000000}"/>
    <cellStyle name="60% - Accent1 10" xfId="447" xr:uid="{00000000-0005-0000-0000-000095000000}"/>
    <cellStyle name="60% - Accent1 11" xfId="604" xr:uid="{00000000-0005-0000-0000-000096000000}"/>
    <cellStyle name="60% - Accent1 12" xfId="650" xr:uid="{00000000-0005-0000-0000-000097000000}"/>
    <cellStyle name="60% - Accent1 13" xfId="712" xr:uid="{00000000-0005-0000-0000-000098000000}"/>
    <cellStyle name="60% - Accent1 2" xfId="14" xr:uid="{00000000-0005-0000-0000-000099000000}"/>
    <cellStyle name="60% - Accent1 3" xfId="150" xr:uid="{00000000-0005-0000-0000-00009A000000}"/>
    <cellStyle name="60% - Accent1 4" xfId="220" xr:uid="{00000000-0005-0000-0000-00009B000000}"/>
    <cellStyle name="60% - Accent1 5" xfId="249" xr:uid="{00000000-0005-0000-0000-00009C000000}"/>
    <cellStyle name="60% - Accent1 6" xfId="279" xr:uid="{00000000-0005-0000-0000-00009D000000}"/>
    <cellStyle name="60% - Accent1 7" xfId="339" xr:uid="{00000000-0005-0000-0000-00009E000000}"/>
    <cellStyle name="60% - Accent1 8" xfId="378" xr:uid="{00000000-0005-0000-0000-00009F000000}"/>
    <cellStyle name="60% - Accent1 9" xfId="408" xr:uid="{00000000-0005-0000-0000-0000A0000000}"/>
    <cellStyle name="60% - Accent2 10" xfId="446" xr:uid="{00000000-0005-0000-0000-0000A1000000}"/>
    <cellStyle name="60% - Accent2 11" xfId="605" xr:uid="{00000000-0005-0000-0000-0000A2000000}"/>
    <cellStyle name="60% - Accent2 12" xfId="651" xr:uid="{00000000-0005-0000-0000-0000A3000000}"/>
    <cellStyle name="60% - Accent2 13" xfId="711" xr:uid="{00000000-0005-0000-0000-0000A4000000}"/>
    <cellStyle name="60% - Accent2 2" xfId="15" xr:uid="{00000000-0005-0000-0000-0000A5000000}"/>
    <cellStyle name="60% - Accent2 3" xfId="151" xr:uid="{00000000-0005-0000-0000-0000A6000000}"/>
    <cellStyle name="60% - Accent2 4" xfId="199" xr:uid="{00000000-0005-0000-0000-0000A7000000}"/>
    <cellStyle name="60% - Accent2 5" xfId="165" xr:uid="{00000000-0005-0000-0000-0000A8000000}"/>
    <cellStyle name="60% - Accent2 6" xfId="280" xr:uid="{00000000-0005-0000-0000-0000A9000000}"/>
    <cellStyle name="60% - Accent2 7" xfId="320" xr:uid="{00000000-0005-0000-0000-0000AA000000}"/>
    <cellStyle name="60% - Accent2 8" xfId="360" xr:uid="{00000000-0005-0000-0000-0000AB000000}"/>
    <cellStyle name="60% - Accent2 9" xfId="409" xr:uid="{00000000-0005-0000-0000-0000AC000000}"/>
    <cellStyle name="60% - Accent3 10" xfId="445" xr:uid="{00000000-0005-0000-0000-0000AD000000}"/>
    <cellStyle name="60% - Accent3 11" xfId="606" xr:uid="{00000000-0005-0000-0000-0000AE000000}"/>
    <cellStyle name="60% - Accent3 12" xfId="652" xr:uid="{00000000-0005-0000-0000-0000AF000000}"/>
    <cellStyle name="60% - Accent3 13" xfId="710" xr:uid="{00000000-0005-0000-0000-0000B0000000}"/>
    <cellStyle name="60% - Accent3 2" xfId="16" xr:uid="{00000000-0005-0000-0000-0000B1000000}"/>
    <cellStyle name="60% - Accent3 3" xfId="152" xr:uid="{00000000-0005-0000-0000-0000B2000000}"/>
    <cellStyle name="60% - Accent3 4" xfId="198" xr:uid="{00000000-0005-0000-0000-0000B3000000}"/>
    <cellStyle name="60% - Accent3 5" xfId="166" xr:uid="{00000000-0005-0000-0000-0000B4000000}"/>
    <cellStyle name="60% - Accent3 6" xfId="281" xr:uid="{00000000-0005-0000-0000-0000B5000000}"/>
    <cellStyle name="60% - Accent3 7" xfId="350" xr:uid="{00000000-0005-0000-0000-0000B6000000}"/>
    <cellStyle name="60% - Accent3 8" xfId="359" xr:uid="{00000000-0005-0000-0000-0000B7000000}"/>
    <cellStyle name="60% - Accent3 9" xfId="410" xr:uid="{00000000-0005-0000-0000-0000B8000000}"/>
    <cellStyle name="60% - Accent4 10" xfId="444" xr:uid="{00000000-0005-0000-0000-0000B9000000}"/>
    <cellStyle name="60% - Accent4 11" xfId="607" xr:uid="{00000000-0005-0000-0000-0000BA000000}"/>
    <cellStyle name="60% - Accent4 12" xfId="653" xr:uid="{00000000-0005-0000-0000-0000BB000000}"/>
    <cellStyle name="60% - Accent4 13" xfId="698" xr:uid="{00000000-0005-0000-0000-0000BC000000}"/>
    <cellStyle name="60% - Accent4 2" xfId="17" xr:uid="{00000000-0005-0000-0000-0000BD000000}"/>
    <cellStyle name="60% - Accent4 3" xfId="153" xr:uid="{00000000-0005-0000-0000-0000BE000000}"/>
    <cellStyle name="60% - Accent4 4" xfId="197" xr:uid="{00000000-0005-0000-0000-0000BF000000}"/>
    <cellStyle name="60% - Accent4 5" xfId="167" xr:uid="{00000000-0005-0000-0000-0000C0000000}"/>
    <cellStyle name="60% - Accent4 6" xfId="282" xr:uid="{00000000-0005-0000-0000-0000C1000000}"/>
    <cellStyle name="60% - Accent4 7" xfId="319" xr:uid="{00000000-0005-0000-0000-0000C2000000}"/>
    <cellStyle name="60% - Accent4 8" xfId="358" xr:uid="{00000000-0005-0000-0000-0000C3000000}"/>
    <cellStyle name="60% - Accent4 9" xfId="411" xr:uid="{00000000-0005-0000-0000-0000C4000000}"/>
    <cellStyle name="60% - Accent5 10" xfId="471" xr:uid="{00000000-0005-0000-0000-0000C5000000}"/>
    <cellStyle name="60% - Accent5 11" xfId="608" xr:uid="{00000000-0005-0000-0000-0000C6000000}"/>
    <cellStyle name="60% - Accent5 12" xfId="654" xr:uid="{00000000-0005-0000-0000-0000C7000000}"/>
    <cellStyle name="60% - Accent5 13" xfId="688" xr:uid="{00000000-0005-0000-0000-0000C8000000}"/>
    <cellStyle name="60% - Accent5 2" xfId="18" xr:uid="{00000000-0005-0000-0000-0000C9000000}"/>
    <cellStyle name="60% - Accent5 3" xfId="154" xr:uid="{00000000-0005-0000-0000-0000CA000000}"/>
    <cellStyle name="60% - Accent5 4" xfId="196" xr:uid="{00000000-0005-0000-0000-0000CB000000}"/>
    <cellStyle name="60% - Accent5 5" xfId="213" xr:uid="{00000000-0005-0000-0000-0000CC000000}"/>
    <cellStyle name="60% - Accent5 6" xfId="283" xr:uid="{00000000-0005-0000-0000-0000CD000000}"/>
    <cellStyle name="60% - Accent5 7" xfId="349" xr:uid="{00000000-0005-0000-0000-0000CE000000}"/>
    <cellStyle name="60% - Accent5 8" xfId="357" xr:uid="{00000000-0005-0000-0000-0000CF000000}"/>
    <cellStyle name="60% - Accent5 9" xfId="412" xr:uid="{00000000-0005-0000-0000-0000D0000000}"/>
    <cellStyle name="60% - Accent6 10" xfId="474" xr:uid="{00000000-0005-0000-0000-0000D1000000}"/>
    <cellStyle name="60% - Accent6 11" xfId="609" xr:uid="{00000000-0005-0000-0000-0000D2000000}"/>
    <cellStyle name="60% - Accent6 12" xfId="655" xr:uid="{00000000-0005-0000-0000-0000D3000000}"/>
    <cellStyle name="60% - Accent6 13" xfId="693" xr:uid="{00000000-0005-0000-0000-0000D4000000}"/>
    <cellStyle name="60% - Accent6 2" xfId="19" xr:uid="{00000000-0005-0000-0000-0000D5000000}"/>
    <cellStyle name="60% - Accent6 3" xfId="155" xr:uid="{00000000-0005-0000-0000-0000D6000000}"/>
    <cellStyle name="60% - Accent6 4" xfId="227" xr:uid="{00000000-0005-0000-0000-0000D7000000}"/>
    <cellStyle name="60% - Accent6 5" xfId="256" xr:uid="{00000000-0005-0000-0000-0000D8000000}"/>
    <cellStyle name="60% - Accent6 6" xfId="284" xr:uid="{00000000-0005-0000-0000-0000D9000000}"/>
    <cellStyle name="60% - Accent6 7" xfId="318" xr:uid="{00000000-0005-0000-0000-0000DA000000}"/>
    <cellStyle name="60% - Accent6 8" xfId="385" xr:uid="{00000000-0005-0000-0000-0000DB000000}"/>
    <cellStyle name="60% - Accent6 9" xfId="413" xr:uid="{00000000-0005-0000-0000-0000DC000000}"/>
    <cellStyle name="Accent1 10" xfId="470" xr:uid="{00000000-0005-0000-0000-0000DD000000}"/>
    <cellStyle name="Accent1 11" xfId="610" xr:uid="{00000000-0005-0000-0000-0000DE000000}"/>
    <cellStyle name="Accent1 12" xfId="656" xr:uid="{00000000-0005-0000-0000-0000DF000000}"/>
    <cellStyle name="Accent1 13" xfId="687" xr:uid="{00000000-0005-0000-0000-0000E0000000}"/>
    <cellStyle name="Accent1 2" xfId="20" xr:uid="{00000000-0005-0000-0000-0000E1000000}"/>
    <cellStyle name="Accent1 3" xfId="156" xr:uid="{00000000-0005-0000-0000-0000E2000000}"/>
    <cellStyle name="Accent1 4" xfId="229" xr:uid="{00000000-0005-0000-0000-0000E3000000}"/>
    <cellStyle name="Accent1 5" xfId="258" xr:uid="{00000000-0005-0000-0000-0000E4000000}"/>
    <cellStyle name="Accent1 6" xfId="285" xr:uid="{00000000-0005-0000-0000-0000E5000000}"/>
    <cellStyle name="Accent1 7" xfId="317" xr:uid="{00000000-0005-0000-0000-0000E6000000}"/>
    <cellStyle name="Accent1 8" xfId="387" xr:uid="{00000000-0005-0000-0000-0000E7000000}"/>
    <cellStyle name="Accent1 9" xfId="414" xr:uid="{00000000-0005-0000-0000-0000E8000000}"/>
    <cellStyle name="Accent2 10" xfId="443" xr:uid="{00000000-0005-0000-0000-0000E9000000}"/>
    <cellStyle name="Accent2 11" xfId="611" xr:uid="{00000000-0005-0000-0000-0000EA000000}"/>
    <cellStyle name="Accent2 12" xfId="657" xr:uid="{00000000-0005-0000-0000-0000EB000000}"/>
    <cellStyle name="Accent2 13" xfId="686" xr:uid="{00000000-0005-0000-0000-0000EC000000}"/>
    <cellStyle name="Accent2 2" xfId="21" xr:uid="{00000000-0005-0000-0000-0000ED000000}"/>
    <cellStyle name="Accent2 3" xfId="157" xr:uid="{00000000-0005-0000-0000-0000EE000000}"/>
    <cellStyle name="Accent2 4" xfId="226" xr:uid="{00000000-0005-0000-0000-0000EF000000}"/>
    <cellStyle name="Accent2 5" xfId="255" xr:uid="{00000000-0005-0000-0000-0000F0000000}"/>
    <cellStyle name="Accent2 6" xfId="286" xr:uid="{00000000-0005-0000-0000-0000F1000000}"/>
    <cellStyle name="Accent2 7" xfId="345" xr:uid="{00000000-0005-0000-0000-0000F2000000}"/>
    <cellStyle name="Accent2 8" xfId="384" xr:uid="{00000000-0005-0000-0000-0000F3000000}"/>
    <cellStyle name="Accent2 9" xfId="415" xr:uid="{00000000-0005-0000-0000-0000F4000000}"/>
    <cellStyle name="Accent3 10" xfId="442" xr:uid="{00000000-0005-0000-0000-0000F5000000}"/>
    <cellStyle name="Accent3 11" xfId="612" xr:uid="{00000000-0005-0000-0000-0000F6000000}"/>
    <cellStyle name="Accent3 12" xfId="658" xr:uid="{00000000-0005-0000-0000-0000F7000000}"/>
    <cellStyle name="Accent3 13" xfId="683" xr:uid="{00000000-0005-0000-0000-0000F8000000}"/>
    <cellStyle name="Accent3 2" xfId="22" xr:uid="{00000000-0005-0000-0000-0000F9000000}"/>
    <cellStyle name="Accent3 3" xfId="158" xr:uid="{00000000-0005-0000-0000-0000FA000000}"/>
    <cellStyle name="Accent3 4" xfId="195" xr:uid="{00000000-0005-0000-0000-0000FB000000}"/>
    <cellStyle name="Accent3 5" xfId="168" xr:uid="{00000000-0005-0000-0000-0000FC000000}"/>
    <cellStyle name="Accent3 6" xfId="287" xr:uid="{00000000-0005-0000-0000-0000FD000000}"/>
    <cellStyle name="Accent3 7" xfId="344" xr:uid="{00000000-0005-0000-0000-0000FE000000}"/>
    <cellStyle name="Accent3 8" xfId="356" xr:uid="{00000000-0005-0000-0000-0000FF000000}"/>
    <cellStyle name="Accent3 9" xfId="416" xr:uid="{00000000-0005-0000-0000-000000010000}"/>
    <cellStyle name="Accent4 10" xfId="441" xr:uid="{00000000-0005-0000-0000-000001010000}"/>
    <cellStyle name="Accent4 11" xfId="613" xr:uid="{00000000-0005-0000-0000-000002010000}"/>
    <cellStyle name="Accent4 12" xfId="659" xr:uid="{00000000-0005-0000-0000-000003010000}"/>
    <cellStyle name="Accent4 13" xfId="709" xr:uid="{00000000-0005-0000-0000-000004010000}"/>
    <cellStyle name="Accent4 2" xfId="23" xr:uid="{00000000-0005-0000-0000-000005010000}"/>
    <cellStyle name="Accent4 3" xfId="159" xr:uid="{00000000-0005-0000-0000-000006010000}"/>
    <cellStyle name="Accent4 4" xfId="194" xr:uid="{00000000-0005-0000-0000-000007010000}"/>
    <cellStyle name="Accent4 5" xfId="169" xr:uid="{00000000-0005-0000-0000-000008010000}"/>
    <cellStyle name="Accent4 6" xfId="288" xr:uid="{00000000-0005-0000-0000-000009010000}"/>
    <cellStyle name="Accent4 7" xfId="316" xr:uid="{00000000-0005-0000-0000-00000A010000}"/>
    <cellStyle name="Accent4 8" xfId="355" xr:uid="{00000000-0005-0000-0000-00000B010000}"/>
    <cellStyle name="Accent4 9" xfId="417" xr:uid="{00000000-0005-0000-0000-00000C010000}"/>
    <cellStyle name="Accent5 10" xfId="464" xr:uid="{00000000-0005-0000-0000-00000D010000}"/>
    <cellStyle name="Accent5 11" xfId="614" xr:uid="{00000000-0005-0000-0000-00000E010000}"/>
    <cellStyle name="Accent5 12" xfId="660" xr:uid="{00000000-0005-0000-0000-00000F010000}"/>
    <cellStyle name="Accent5 13" xfId="682" xr:uid="{00000000-0005-0000-0000-000010010000}"/>
    <cellStyle name="Accent5 2" xfId="24" xr:uid="{00000000-0005-0000-0000-000011010000}"/>
    <cellStyle name="Accent5 3" xfId="160" xr:uid="{00000000-0005-0000-0000-000012010000}"/>
    <cellStyle name="Accent5 4" xfId="193" xr:uid="{00000000-0005-0000-0000-000013010000}"/>
    <cellStyle name="Accent5 5" xfId="170" xr:uid="{00000000-0005-0000-0000-000014010000}"/>
    <cellStyle name="Accent5 6" xfId="289" xr:uid="{00000000-0005-0000-0000-000015010000}"/>
    <cellStyle name="Accent5 7" xfId="315" xr:uid="{00000000-0005-0000-0000-000016010000}"/>
    <cellStyle name="Accent5 8" xfId="354" xr:uid="{00000000-0005-0000-0000-000017010000}"/>
    <cellStyle name="Accent5 9" xfId="418" xr:uid="{00000000-0005-0000-0000-000018010000}"/>
    <cellStyle name="Accent6 10" xfId="440" xr:uid="{00000000-0005-0000-0000-000019010000}"/>
    <cellStyle name="Accent6 11" xfId="615" xr:uid="{00000000-0005-0000-0000-00001A010000}"/>
    <cellStyle name="Accent6 12" xfId="661" xr:uid="{00000000-0005-0000-0000-00001B010000}"/>
    <cellStyle name="Accent6 13" xfId="692" xr:uid="{00000000-0005-0000-0000-00001C010000}"/>
    <cellStyle name="Accent6 2" xfId="25" xr:uid="{00000000-0005-0000-0000-00001D010000}"/>
    <cellStyle name="Accent6 3" xfId="161" xr:uid="{00000000-0005-0000-0000-00001E010000}"/>
    <cellStyle name="Accent6 4" xfId="219" xr:uid="{00000000-0005-0000-0000-00001F010000}"/>
    <cellStyle name="Accent6 5" xfId="248" xr:uid="{00000000-0005-0000-0000-000020010000}"/>
    <cellStyle name="Accent6 6" xfId="290" xr:uid="{00000000-0005-0000-0000-000021010000}"/>
    <cellStyle name="Accent6 7" xfId="314" xr:uid="{00000000-0005-0000-0000-000022010000}"/>
    <cellStyle name="Accent6 8" xfId="377" xr:uid="{00000000-0005-0000-0000-000023010000}"/>
    <cellStyle name="Accent6 9" xfId="419" xr:uid="{00000000-0005-0000-0000-000024010000}"/>
    <cellStyle name="as" xfId="481" xr:uid="{00000000-0005-0000-0000-000025010000}"/>
    <cellStyle name="Bad 10" xfId="473" xr:uid="{00000000-0005-0000-0000-000026010000}"/>
    <cellStyle name="Bad 11" xfId="616" xr:uid="{00000000-0005-0000-0000-000027010000}"/>
    <cellStyle name="Bad 12" xfId="662" xr:uid="{00000000-0005-0000-0000-000028010000}"/>
    <cellStyle name="Bad 13" xfId="681" xr:uid="{00000000-0005-0000-0000-000029010000}"/>
    <cellStyle name="Bad 2" xfId="26" xr:uid="{00000000-0005-0000-0000-00002A010000}"/>
    <cellStyle name="Bad 3" xfId="162" xr:uid="{00000000-0005-0000-0000-00002B010000}"/>
    <cellStyle name="Bad 4" xfId="192" xr:uid="{00000000-0005-0000-0000-00002C010000}"/>
    <cellStyle name="Bad 5" xfId="214" xr:uid="{00000000-0005-0000-0000-00002D010000}"/>
    <cellStyle name="Bad 6" xfId="291" xr:uid="{00000000-0005-0000-0000-00002E010000}"/>
    <cellStyle name="Bad 7" xfId="343" xr:uid="{00000000-0005-0000-0000-00002F010000}"/>
    <cellStyle name="Bad 8" xfId="353" xr:uid="{00000000-0005-0000-0000-000030010000}"/>
    <cellStyle name="Bad 9" xfId="420" xr:uid="{00000000-0005-0000-0000-000031010000}"/>
    <cellStyle name="Calc Currency (0)" xfId="482" xr:uid="{00000000-0005-0000-0000-000032010000}"/>
    <cellStyle name="Calc Currency (2)" xfId="483" xr:uid="{00000000-0005-0000-0000-000033010000}"/>
    <cellStyle name="Calc Percent (0)" xfId="484" xr:uid="{00000000-0005-0000-0000-000034010000}"/>
    <cellStyle name="Calc Percent (1)" xfId="485" xr:uid="{00000000-0005-0000-0000-000035010000}"/>
    <cellStyle name="Calc Percent (2)" xfId="486" xr:uid="{00000000-0005-0000-0000-000036010000}"/>
    <cellStyle name="Calc Units (0)" xfId="487" xr:uid="{00000000-0005-0000-0000-000037010000}"/>
    <cellStyle name="Calc Units (1)" xfId="488" xr:uid="{00000000-0005-0000-0000-000038010000}"/>
    <cellStyle name="Calc Units (2)" xfId="489" xr:uid="{00000000-0005-0000-0000-000039010000}"/>
    <cellStyle name="Calculation 10" xfId="439" xr:uid="{00000000-0005-0000-0000-00003A010000}"/>
    <cellStyle name="Calculation 11" xfId="617" xr:uid="{00000000-0005-0000-0000-00003B010000}"/>
    <cellStyle name="Calculation 12" xfId="663" xr:uid="{00000000-0005-0000-0000-00003C010000}"/>
    <cellStyle name="Calculation 13" xfId="680" xr:uid="{00000000-0005-0000-0000-00003D010000}"/>
    <cellStyle name="Calculation 2" xfId="27" xr:uid="{00000000-0005-0000-0000-00003E010000}"/>
    <cellStyle name="Calculation 3" xfId="163" xr:uid="{00000000-0005-0000-0000-00003F010000}"/>
    <cellStyle name="Calculation 4" xfId="228" xr:uid="{00000000-0005-0000-0000-000040010000}"/>
    <cellStyle name="Calculation 5" xfId="257" xr:uid="{00000000-0005-0000-0000-000041010000}"/>
    <cellStyle name="Calculation 6" xfId="292" xr:uid="{00000000-0005-0000-0000-000042010000}"/>
    <cellStyle name="Calculation 7" xfId="313" xr:uid="{00000000-0005-0000-0000-000043010000}"/>
    <cellStyle name="Calculation 8" xfId="386" xr:uid="{00000000-0005-0000-0000-000044010000}"/>
    <cellStyle name="Calculation 9" xfId="421" xr:uid="{00000000-0005-0000-0000-000045010000}"/>
    <cellStyle name="Check Cell 10" xfId="472" xr:uid="{00000000-0005-0000-0000-000046010000}"/>
    <cellStyle name="Check Cell 11" xfId="618" xr:uid="{00000000-0005-0000-0000-000047010000}"/>
    <cellStyle name="Check Cell 12" xfId="664" xr:uid="{00000000-0005-0000-0000-000048010000}"/>
    <cellStyle name="Check Cell 13" xfId="708" xr:uid="{00000000-0005-0000-0000-000049010000}"/>
    <cellStyle name="Check Cell 2" xfId="28" xr:uid="{00000000-0005-0000-0000-00004A010000}"/>
    <cellStyle name="Check Cell 3" xfId="164" xr:uid="{00000000-0005-0000-0000-00004B010000}"/>
    <cellStyle name="Check Cell 4" xfId="191" xr:uid="{00000000-0005-0000-0000-00004C010000}"/>
    <cellStyle name="Check Cell 5" xfId="171" xr:uid="{00000000-0005-0000-0000-00004D010000}"/>
    <cellStyle name="Check Cell 6" xfId="293" xr:uid="{00000000-0005-0000-0000-00004E010000}"/>
    <cellStyle name="Check Cell 7" xfId="312" xr:uid="{00000000-0005-0000-0000-00004F010000}"/>
    <cellStyle name="Check Cell 8" xfId="352" xr:uid="{00000000-0005-0000-0000-000050010000}"/>
    <cellStyle name="Check Cell 9" xfId="422" xr:uid="{00000000-0005-0000-0000-000051010000}"/>
    <cellStyle name="Comma" xfId="1" builtinId="3"/>
    <cellStyle name="Comma [00]" xfId="490" xr:uid="{00000000-0005-0000-0000-000053010000}"/>
    <cellStyle name="Comma 10" xfId="732" xr:uid="{00000000-0005-0000-0000-000054010000}"/>
    <cellStyle name="Comma 11" xfId="731" xr:uid="{00000000-0005-0000-0000-000055010000}"/>
    <cellStyle name="Comma 12" xfId="752" xr:uid="{00000000-0005-0000-0000-000056010000}"/>
    <cellStyle name="Comma 13" xfId="753" xr:uid="{00000000-0005-0000-0000-000057010000}"/>
    <cellStyle name="Comma 14" xfId="754" xr:uid="{00000000-0005-0000-0000-000058010000}"/>
    <cellStyle name="Comma 15" xfId="758" xr:uid="{00000000-0005-0000-0000-000059010000}"/>
    <cellStyle name="Comma 16" xfId="760" xr:uid="{E5A622E7-BAE6-44CB-BC5E-795FEE2A13E6}"/>
    <cellStyle name="Comma 17" xfId="763" xr:uid="{90CD636A-D904-4180-B688-303CE3FC72E8}"/>
    <cellStyle name="Comma 18" xfId="766" xr:uid="{1A0C8FFF-9AB9-473E-83CA-36BC27E6ED35}"/>
    <cellStyle name="Comma 19" xfId="769" xr:uid="{CB32660D-59C3-4C90-BFEB-DC1E4C13B344}"/>
    <cellStyle name="Comma 2" xfId="29" xr:uid="{00000000-0005-0000-0000-00005A010000}"/>
    <cellStyle name="Comma 2 2" xfId="30" xr:uid="{00000000-0005-0000-0000-00005B010000}"/>
    <cellStyle name="Comma 2 2 2" xfId="491" xr:uid="{00000000-0005-0000-0000-00005C010000}"/>
    <cellStyle name="Comma 2 2 2 2" xfId="739" xr:uid="{00000000-0005-0000-0000-00005D010000}"/>
    <cellStyle name="Comma 2 2 2 2 2" xfId="749" xr:uid="{00000000-0005-0000-0000-00005E010000}"/>
    <cellStyle name="Comma 2 3" xfId="31" xr:uid="{00000000-0005-0000-0000-00005F010000}"/>
    <cellStyle name="Comma 2 3 2" xfId="109" xr:uid="{00000000-0005-0000-0000-000060010000}"/>
    <cellStyle name="Comma 2 4" xfId="492" xr:uid="{00000000-0005-0000-0000-000061010000}"/>
    <cellStyle name="Comma 2 5" xfId="737" xr:uid="{00000000-0005-0000-0000-000062010000}"/>
    <cellStyle name="Comma 20" xfId="772" xr:uid="{DA8AABCE-F3E7-4C73-A42A-05F76E5B028E}"/>
    <cellStyle name="Comma 21" xfId="773" xr:uid="{DDFFB206-9F7E-4FE0-AA74-F5EE5681D4D7}"/>
    <cellStyle name="Comma 22" xfId="776" xr:uid="{95D5F6D9-BB5B-4A52-BC80-9B4DCCC4B57C}"/>
    <cellStyle name="Comma 23" xfId="781" xr:uid="{E5462668-C4B9-4FC5-8C29-E78E80FF37A7}"/>
    <cellStyle name="Comma 24" xfId="784" xr:uid="{99955E2B-DF5D-442B-9F57-B007F246F71E}"/>
    <cellStyle name="Comma 25" xfId="787" xr:uid="{24F0319B-B267-4052-860E-423F631067D5}"/>
    <cellStyle name="Comma 26" xfId="788" xr:uid="{2ED7C39A-AF9F-44B1-8DE7-9D25961A7AC0}"/>
    <cellStyle name="Comma 27" xfId="793" xr:uid="{8FB510BD-8266-40BA-8D49-E25742C51152}"/>
    <cellStyle name="Comma 28" xfId="794" xr:uid="{8D7EC90E-99D4-41ED-B92A-034756A1195B}"/>
    <cellStyle name="Comma 29" xfId="797" xr:uid="{EEB9E692-3204-4076-9A19-69EF6A7D6EDC}"/>
    <cellStyle name="Comma 3" xfId="32" xr:uid="{00000000-0005-0000-0000-000063010000}"/>
    <cellStyle name="Comma 3 2" xfId="33" xr:uid="{00000000-0005-0000-0000-000064010000}"/>
    <cellStyle name="Comma 3 2 2" xfId="493" xr:uid="{00000000-0005-0000-0000-000065010000}"/>
    <cellStyle name="Comma 3 3" xfId="34" xr:uid="{00000000-0005-0000-0000-000066010000}"/>
    <cellStyle name="Comma 3 4" xfId="110" xr:uid="{00000000-0005-0000-0000-000067010000}"/>
    <cellStyle name="Comma 3 5" xfId="745" xr:uid="{00000000-0005-0000-0000-000068010000}"/>
    <cellStyle name="Comma 30" xfId="802" xr:uid="{B58D6146-0E10-487E-B8B9-F261CCFF3115}"/>
    <cellStyle name="Comma 4" xfId="35" xr:uid="{00000000-0005-0000-0000-000069010000}"/>
    <cellStyle name="Comma 4 2" xfId="36" xr:uid="{00000000-0005-0000-0000-00006A010000}"/>
    <cellStyle name="Comma 4 3" xfId="111" xr:uid="{00000000-0005-0000-0000-00006B010000}"/>
    <cellStyle name="Comma 4 4" xfId="747" xr:uid="{00000000-0005-0000-0000-00006C010000}"/>
    <cellStyle name="Comma 5" xfId="37" xr:uid="{00000000-0005-0000-0000-00006D010000}"/>
    <cellStyle name="Comma 5 2" xfId="494" xr:uid="{00000000-0005-0000-0000-00006E010000}"/>
    <cellStyle name="Comma 6" xfId="112" xr:uid="{00000000-0005-0000-0000-00006F010000}"/>
    <cellStyle name="Comma 6 2" xfId="495" xr:uid="{00000000-0005-0000-0000-000070010000}"/>
    <cellStyle name="Comma 7" xfId="496" xr:uid="{00000000-0005-0000-0000-000071010000}"/>
    <cellStyle name="Comma 7 2" xfId="497" xr:uid="{00000000-0005-0000-0000-000072010000}"/>
    <cellStyle name="Comma 8" xfId="498" xr:uid="{00000000-0005-0000-0000-000073010000}"/>
    <cellStyle name="Comma 9" xfId="730" xr:uid="{00000000-0005-0000-0000-000074010000}"/>
    <cellStyle name="Comma0" xfId="499" xr:uid="{00000000-0005-0000-0000-000075010000}"/>
    <cellStyle name="Comma0 - Modelo1" xfId="500" xr:uid="{00000000-0005-0000-0000-000076010000}"/>
    <cellStyle name="Comma0 - Style1" xfId="501" xr:uid="{00000000-0005-0000-0000-000077010000}"/>
    <cellStyle name="Comma1 - Modelo2" xfId="502" xr:uid="{00000000-0005-0000-0000-000078010000}"/>
    <cellStyle name="Comma1 - Style2" xfId="503" xr:uid="{00000000-0005-0000-0000-000079010000}"/>
    <cellStyle name="ContentsHyperlink" xfId="124" xr:uid="{00000000-0005-0000-0000-00007A010000}"/>
    <cellStyle name="Currency [00]" xfId="504" xr:uid="{00000000-0005-0000-0000-00007B010000}"/>
    <cellStyle name="Currency0" xfId="505" xr:uid="{00000000-0005-0000-0000-00007C010000}"/>
    <cellStyle name="Custom - Style1" xfId="506" xr:uid="{00000000-0005-0000-0000-00007D010000}"/>
    <cellStyle name="Data   - Style2" xfId="507" xr:uid="{00000000-0005-0000-0000-00007E010000}"/>
    <cellStyle name="Date" xfId="508" xr:uid="{00000000-0005-0000-0000-00007F010000}"/>
    <cellStyle name="Date Short" xfId="509" xr:uid="{00000000-0005-0000-0000-000080010000}"/>
    <cellStyle name="DELTA" xfId="510" xr:uid="{00000000-0005-0000-0000-000081010000}"/>
    <cellStyle name="Dia" xfId="511" xr:uid="{00000000-0005-0000-0000-000082010000}"/>
    <cellStyle name="Encabez1" xfId="512" xr:uid="{00000000-0005-0000-0000-000083010000}"/>
    <cellStyle name="Encabez2" xfId="513" xr:uid="{00000000-0005-0000-0000-000084010000}"/>
    <cellStyle name="Enter Currency (0)" xfId="514" xr:uid="{00000000-0005-0000-0000-000085010000}"/>
    <cellStyle name="Enter Currency (2)" xfId="515" xr:uid="{00000000-0005-0000-0000-000086010000}"/>
    <cellStyle name="Enter Units (0)" xfId="516" xr:uid="{00000000-0005-0000-0000-000087010000}"/>
    <cellStyle name="Enter Units (1)" xfId="517" xr:uid="{00000000-0005-0000-0000-000088010000}"/>
    <cellStyle name="Enter Units (2)" xfId="518" xr:uid="{00000000-0005-0000-0000-000089010000}"/>
    <cellStyle name="Explanatory Text 10" xfId="437" xr:uid="{00000000-0005-0000-0000-00008A010000}"/>
    <cellStyle name="Explanatory Text 11" xfId="619" xr:uid="{00000000-0005-0000-0000-00008B010000}"/>
    <cellStyle name="Explanatory Text 12" xfId="665" xr:uid="{00000000-0005-0000-0000-00008C010000}"/>
    <cellStyle name="Explanatory Text 13" xfId="707" xr:uid="{00000000-0005-0000-0000-00008D010000}"/>
    <cellStyle name="Explanatory Text 2" xfId="38" xr:uid="{00000000-0005-0000-0000-00008E010000}"/>
    <cellStyle name="Explanatory Text 3" xfId="172" xr:uid="{00000000-0005-0000-0000-00008F010000}"/>
    <cellStyle name="Explanatory Text 4" xfId="190" xr:uid="{00000000-0005-0000-0000-000090010000}"/>
    <cellStyle name="Explanatory Text 5" xfId="173" xr:uid="{00000000-0005-0000-0000-000091010000}"/>
    <cellStyle name="Explanatory Text 6" xfId="296" xr:uid="{00000000-0005-0000-0000-000092010000}"/>
    <cellStyle name="Explanatory Text 7" xfId="311" xr:uid="{00000000-0005-0000-0000-000093010000}"/>
    <cellStyle name="Explanatory Text 8" xfId="294" xr:uid="{00000000-0005-0000-0000-000094010000}"/>
    <cellStyle name="Explanatory Text 9" xfId="423" xr:uid="{00000000-0005-0000-0000-000095010000}"/>
    <cellStyle name="F2" xfId="39" xr:uid="{00000000-0005-0000-0000-000096010000}"/>
    <cellStyle name="F3" xfId="40" xr:uid="{00000000-0005-0000-0000-000097010000}"/>
    <cellStyle name="F4" xfId="41" xr:uid="{00000000-0005-0000-0000-000098010000}"/>
    <cellStyle name="F5" xfId="42" xr:uid="{00000000-0005-0000-0000-000099010000}"/>
    <cellStyle name="F6" xfId="43" xr:uid="{00000000-0005-0000-0000-00009A010000}"/>
    <cellStyle name="F7" xfId="44" xr:uid="{00000000-0005-0000-0000-00009B010000}"/>
    <cellStyle name="F8" xfId="45" xr:uid="{00000000-0005-0000-0000-00009C010000}"/>
    <cellStyle name="Fijo" xfId="519" xr:uid="{00000000-0005-0000-0000-00009D010000}"/>
    <cellStyle name="Financiero" xfId="520" xr:uid="{00000000-0005-0000-0000-00009E010000}"/>
    <cellStyle name="Fixed" xfId="521" xr:uid="{00000000-0005-0000-0000-00009F010000}"/>
    <cellStyle name="Formulas" xfId="522" xr:uid="{00000000-0005-0000-0000-0000A0010000}"/>
    <cellStyle name="General" xfId="46" xr:uid="{00000000-0005-0000-0000-0000A1010000}"/>
    <cellStyle name="Good 10" xfId="463" xr:uid="{00000000-0005-0000-0000-0000A2010000}"/>
    <cellStyle name="Good 11" xfId="620" xr:uid="{00000000-0005-0000-0000-0000A3010000}"/>
    <cellStyle name="Good 12" xfId="666" xr:uid="{00000000-0005-0000-0000-0000A4010000}"/>
    <cellStyle name="Good 13" xfId="679" xr:uid="{00000000-0005-0000-0000-0000A5010000}"/>
    <cellStyle name="Good 2" xfId="47" xr:uid="{00000000-0005-0000-0000-0000A6010000}"/>
    <cellStyle name="Good 3" xfId="174" xr:uid="{00000000-0005-0000-0000-0000A7010000}"/>
    <cellStyle name="Good 4" xfId="225" xr:uid="{00000000-0005-0000-0000-0000A8010000}"/>
    <cellStyle name="Good 5" xfId="254" xr:uid="{00000000-0005-0000-0000-0000A9010000}"/>
    <cellStyle name="Good 6" xfId="299" xr:uid="{00000000-0005-0000-0000-0000AA010000}"/>
    <cellStyle name="Good 7" xfId="310" xr:uid="{00000000-0005-0000-0000-0000AB010000}"/>
    <cellStyle name="Good 8" xfId="383" xr:uid="{00000000-0005-0000-0000-0000AC010000}"/>
    <cellStyle name="Good 9" xfId="424" xr:uid="{00000000-0005-0000-0000-0000AD010000}"/>
    <cellStyle name="Grey" xfId="48" xr:uid="{00000000-0005-0000-0000-0000AE010000}"/>
    <cellStyle name="Grey 2" xfId="523" xr:uid="{00000000-0005-0000-0000-0000AF010000}"/>
    <cellStyle name="Header1" xfId="524" xr:uid="{00000000-0005-0000-0000-0000B0010000}"/>
    <cellStyle name="Header2" xfId="525" xr:uid="{00000000-0005-0000-0000-0000B1010000}"/>
    <cellStyle name="Heading 1 10" xfId="436" xr:uid="{00000000-0005-0000-0000-0000B2010000}"/>
    <cellStyle name="Heading 1 11" xfId="621" xr:uid="{00000000-0005-0000-0000-0000B3010000}"/>
    <cellStyle name="Heading 1 12" xfId="667" xr:uid="{00000000-0005-0000-0000-0000B4010000}"/>
    <cellStyle name="Heading 1 13" xfId="697" xr:uid="{00000000-0005-0000-0000-0000B5010000}"/>
    <cellStyle name="Heading 1 2" xfId="49" xr:uid="{00000000-0005-0000-0000-0000B6010000}"/>
    <cellStyle name="Heading 1 3" xfId="175" xr:uid="{00000000-0005-0000-0000-0000B7010000}"/>
    <cellStyle name="Heading 1 4" xfId="189" xr:uid="{00000000-0005-0000-0000-0000B8010000}"/>
    <cellStyle name="Heading 1 5" xfId="179" xr:uid="{00000000-0005-0000-0000-0000B9010000}"/>
    <cellStyle name="Heading 1 6" xfId="300" xr:uid="{00000000-0005-0000-0000-0000BA010000}"/>
    <cellStyle name="Heading 1 7" xfId="341" xr:uid="{00000000-0005-0000-0000-0000BB010000}"/>
    <cellStyle name="Heading 1 8" xfId="334" xr:uid="{00000000-0005-0000-0000-0000BC010000}"/>
    <cellStyle name="Heading 1 9" xfId="425" xr:uid="{00000000-0005-0000-0000-0000BD010000}"/>
    <cellStyle name="Heading 2 10" xfId="435" xr:uid="{00000000-0005-0000-0000-0000BE010000}"/>
    <cellStyle name="Heading 2 11" xfId="622" xr:uid="{00000000-0005-0000-0000-0000BF010000}"/>
    <cellStyle name="Heading 2 12" xfId="668" xr:uid="{00000000-0005-0000-0000-0000C0010000}"/>
    <cellStyle name="Heading 2 13" xfId="678" xr:uid="{00000000-0005-0000-0000-0000C1010000}"/>
    <cellStyle name="Heading 2 2" xfId="50" xr:uid="{00000000-0005-0000-0000-0000C2010000}"/>
    <cellStyle name="Heading 2 3" xfId="176" xr:uid="{00000000-0005-0000-0000-0000C3010000}"/>
    <cellStyle name="Heading 2 4" xfId="188" xr:uid="{00000000-0005-0000-0000-0000C4010000}"/>
    <cellStyle name="Heading 2 5" xfId="180" xr:uid="{00000000-0005-0000-0000-0000C5010000}"/>
    <cellStyle name="Heading 2 6" xfId="301" xr:uid="{00000000-0005-0000-0000-0000C6010000}"/>
    <cellStyle name="Heading 2 7" xfId="338" xr:uid="{00000000-0005-0000-0000-0000C7010000}"/>
    <cellStyle name="Heading 2 8" xfId="295" xr:uid="{00000000-0005-0000-0000-0000C8010000}"/>
    <cellStyle name="Heading 2 9" xfId="426" xr:uid="{00000000-0005-0000-0000-0000C9010000}"/>
    <cellStyle name="Heading 3 10" xfId="434" xr:uid="{00000000-0005-0000-0000-0000CA010000}"/>
    <cellStyle name="Heading 3 11" xfId="623" xr:uid="{00000000-0005-0000-0000-0000CB010000}"/>
    <cellStyle name="Heading 3 12" xfId="669" xr:uid="{00000000-0005-0000-0000-0000CC010000}"/>
    <cellStyle name="Heading 3 13" xfId="706" xr:uid="{00000000-0005-0000-0000-0000CD010000}"/>
    <cellStyle name="Heading 3 2" xfId="51" xr:uid="{00000000-0005-0000-0000-0000CE010000}"/>
    <cellStyle name="Heading 3 3" xfId="177" xr:uid="{00000000-0005-0000-0000-0000CF010000}"/>
    <cellStyle name="Heading 3 4" xfId="218" xr:uid="{00000000-0005-0000-0000-0000D0010000}"/>
    <cellStyle name="Heading 3 5" xfId="247" xr:uid="{00000000-0005-0000-0000-0000D1010000}"/>
    <cellStyle name="Heading 3 6" xfId="302" xr:uid="{00000000-0005-0000-0000-0000D2010000}"/>
    <cellStyle name="Heading 3 7" xfId="337" xr:uid="{00000000-0005-0000-0000-0000D3010000}"/>
    <cellStyle name="Heading 3 8" xfId="376" xr:uid="{00000000-0005-0000-0000-0000D4010000}"/>
    <cellStyle name="Heading 3 9" xfId="427" xr:uid="{00000000-0005-0000-0000-0000D5010000}"/>
    <cellStyle name="Heading 4 10" xfId="462" xr:uid="{00000000-0005-0000-0000-0000D6010000}"/>
    <cellStyle name="Heading 4 11" xfId="624" xr:uid="{00000000-0005-0000-0000-0000D7010000}"/>
    <cellStyle name="Heading 4 12" xfId="670" xr:uid="{00000000-0005-0000-0000-0000D8010000}"/>
    <cellStyle name="Heading 4 13" xfId="696" xr:uid="{00000000-0005-0000-0000-0000D9010000}"/>
    <cellStyle name="Heading 4 2" xfId="52" xr:uid="{00000000-0005-0000-0000-0000DA010000}"/>
    <cellStyle name="Heading 4 3" xfId="178" xr:uid="{00000000-0005-0000-0000-0000DB010000}"/>
    <cellStyle name="Heading 4 4" xfId="187" xr:uid="{00000000-0005-0000-0000-0000DC010000}"/>
    <cellStyle name="Heading 4 5" xfId="215" xr:uid="{00000000-0005-0000-0000-0000DD010000}"/>
    <cellStyle name="Heading 4 6" xfId="303" xr:uid="{00000000-0005-0000-0000-0000DE010000}"/>
    <cellStyle name="Heading 4 7" xfId="342" xr:uid="{00000000-0005-0000-0000-0000DF010000}"/>
    <cellStyle name="Heading 4 8" xfId="335" xr:uid="{00000000-0005-0000-0000-0000E0010000}"/>
    <cellStyle name="Heading 4 9" xfId="428" xr:uid="{00000000-0005-0000-0000-0000E1010000}"/>
    <cellStyle name="HEADING1" xfId="526" xr:uid="{00000000-0005-0000-0000-0000E2010000}"/>
    <cellStyle name="HEADING2" xfId="527" xr:uid="{00000000-0005-0000-0000-0000E3010000}"/>
    <cellStyle name="Hyperlink 2" xfId="53" xr:uid="{00000000-0005-0000-0000-0000E4010000}"/>
    <cellStyle name="Hyperlink 2 2" xfId="54" xr:uid="{00000000-0005-0000-0000-0000E5010000}"/>
    <cellStyle name="Hyperlink 2 3" xfId="55" xr:uid="{00000000-0005-0000-0000-0000E6010000}"/>
    <cellStyle name="Hyperlink 2 4" xfId="113" xr:uid="{00000000-0005-0000-0000-0000E7010000}"/>
    <cellStyle name="Hyperlink 3" xfId="528" xr:uid="{00000000-0005-0000-0000-0000E8010000}"/>
    <cellStyle name="Input [yellow]" xfId="57" xr:uid="{00000000-0005-0000-0000-0000E9010000}"/>
    <cellStyle name="Input [yellow] 2" xfId="529" xr:uid="{00000000-0005-0000-0000-0000EA010000}"/>
    <cellStyle name="Input 10" xfId="433" xr:uid="{00000000-0005-0000-0000-0000EB010000}"/>
    <cellStyle name="Input 11" xfId="625" xr:uid="{00000000-0005-0000-0000-0000EC010000}"/>
    <cellStyle name="Input 12" xfId="671" xr:uid="{00000000-0005-0000-0000-0000ED010000}"/>
    <cellStyle name="Input 13" xfId="695" xr:uid="{00000000-0005-0000-0000-0000EE010000}"/>
    <cellStyle name="Input 2" xfId="56" xr:uid="{00000000-0005-0000-0000-0000EF010000}"/>
    <cellStyle name="Input 3" xfId="181" xr:uid="{00000000-0005-0000-0000-0000F0010000}"/>
    <cellStyle name="Input 4" xfId="217" xr:uid="{00000000-0005-0000-0000-0000F1010000}"/>
    <cellStyle name="Input 5" xfId="246" xr:uid="{00000000-0005-0000-0000-0000F2010000}"/>
    <cellStyle name="Input 6" xfId="305" xr:uid="{00000000-0005-0000-0000-0000F3010000}"/>
    <cellStyle name="Input 7" xfId="308" xr:uid="{00000000-0005-0000-0000-0000F4010000}"/>
    <cellStyle name="Input 8" xfId="375" xr:uid="{00000000-0005-0000-0000-0000F5010000}"/>
    <cellStyle name="Input 9" xfId="429" xr:uid="{00000000-0005-0000-0000-0000F6010000}"/>
    <cellStyle name="Item" xfId="530" xr:uid="{00000000-0005-0000-0000-0000F7010000}"/>
    <cellStyle name="Labels - Style3" xfId="531" xr:uid="{00000000-0005-0000-0000-0000F8010000}"/>
    <cellStyle name="Labels - Style3 2" xfId="532" xr:uid="{00000000-0005-0000-0000-0000F9010000}"/>
    <cellStyle name="Link Currency (0)" xfId="533" xr:uid="{00000000-0005-0000-0000-0000FA010000}"/>
    <cellStyle name="Link Currency (2)" xfId="534" xr:uid="{00000000-0005-0000-0000-0000FB010000}"/>
    <cellStyle name="Link Units (0)" xfId="535" xr:uid="{00000000-0005-0000-0000-0000FC010000}"/>
    <cellStyle name="Link Units (1)" xfId="536" xr:uid="{00000000-0005-0000-0000-0000FD010000}"/>
    <cellStyle name="Link Units (2)" xfId="537" xr:uid="{00000000-0005-0000-0000-0000FE010000}"/>
    <cellStyle name="Linked Cell 10" xfId="546" xr:uid="{00000000-0005-0000-0000-0000FF010000}"/>
    <cellStyle name="Linked Cell 11" xfId="626" xr:uid="{00000000-0005-0000-0000-000000020000}"/>
    <cellStyle name="Linked Cell 12" xfId="672" xr:uid="{00000000-0005-0000-0000-000001020000}"/>
    <cellStyle name="Linked Cell 13" xfId="705" xr:uid="{00000000-0005-0000-0000-000002020000}"/>
    <cellStyle name="Linked Cell 2" xfId="58" xr:uid="{00000000-0005-0000-0000-000003020000}"/>
    <cellStyle name="Linked Cell 3" xfId="182" xr:uid="{00000000-0005-0000-0000-000004020000}"/>
    <cellStyle name="Linked Cell 4" xfId="223" xr:uid="{00000000-0005-0000-0000-000005020000}"/>
    <cellStyle name="Linked Cell 5" xfId="252" xr:uid="{00000000-0005-0000-0000-000006020000}"/>
    <cellStyle name="Linked Cell 6" xfId="306" xr:uid="{00000000-0005-0000-0000-000007020000}"/>
    <cellStyle name="Linked Cell 7" xfId="336" xr:uid="{00000000-0005-0000-0000-000008020000}"/>
    <cellStyle name="Linked Cell 8" xfId="381" xr:uid="{00000000-0005-0000-0000-000009020000}"/>
    <cellStyle name="Linked Cell 9" xfId="430" xr:uid="{00000000-0005-0000-0000-00000A020000}"/>
    <cellStyle name="Millares [0]_10 AVERIAS MASIVAS + ANT" xfId="538" xr:uid="{00000000-0005-0000-0000-00000B020000}"/>
    <cellStyle name="Neutral 10" xfId="461" xr:uid="{00000000-0005-0000-0000-00000C020000}"/>
    <cellStyle name="Neutral 11" xfId="627" xr:uid="{00000000-0005-0000-0000-00000D020000}"/>
    <cellStyle name="Neutral 12" xfId="673" xr:uid="{00000000-0005-0000-0000-00000E020000}"/>
    <cellStyle name="Neutral 13" xfId="694" xr:uid="{00000000-0005-0000-0000-00000F020000}"/>
    <cellStyle name="Neutral 2" xfId="59" xr:uid="{00000000-0005-0000-0000-000010020000}"/>
    <cellStyle name="Neutral 3" xfId="183" xr:uid="{00000000-0005-0000-0000-000011020000}"/>
    <cellStyle name="Neutral 4" xfId="186" xr:uid="{00000000-0005-0000-0000-000012020000}"/>
    <cellStyle name="Neutral 5" xfId="184" xr:uid="{00000000-0005-0000-0000-000013020000}"/>
    <cellStyle name="Neutral 6" xfId="307" xr:uid="{00000000-0005-0000-0000-000014020000}"/>
    <cellStyle name="Neutral 7" xfId="304" xr:uid="{00000000-0005-0000-0000-000015020000}"/>
    <cellStyle name="Neutral 8" xfId="297" xr:uid="{00000000-0005-0000-0000-000016020000}"/>
    <cellStyle name="Neutral 9" xfId="431" xr:uid="{00000000-0005-0000-0000-000017020000}"/>
    <cellStyle name="Normal" xfId="0" builtinId="0"/>
    <cellStyle name="Normal - Style1" xfId="60" xr:uid="{00000000-0005-0000-0000-000019020000}"/>
    <cellStyle name="Normal 10" xfId="61" xr:uid="{00000000-0005-0000-0000-00001A020000}"/>
    <cellStyle name="Normal 10 2" xfId="742" xr:uid="{00000000-0005-0000-0000-00001B020000}"/>
    <cellStyle name="Normal 11" xfId="62" xr:uid="{00000000-0005-0000-0000-00001C020000}"/>
    <cellStyle name="Normal 11 2" xfId="736" xr:uid="{00000000-0005-0000-0000-00001D020000}"/>
    <cellStyle name="Normal 12" xfId="63" xr:uid="{00000000-0005-0000-0000-00001E020000}"/>
    <cellStyle name="Normal 12 2" xfId="125" xr:uid="{00000000-0005-0000-0000-00001F020000}"/>
    <cellStyle name="Normal 12 2 2" xfId="539" xr:uid="{00000000-0005-0000-0000-000020020000}"/>
    <cellStyle name="Normal 12 3" xfId="540" xr:uid="{00000000-0005-0000-0000-000021020000}"/>
    <cellStyle name="Normal 13" xfId="114" xr:uid="{00000000-0005-0000-0000-000022020000}"/>
    <cellStyle name="Normal 13 2" xfId="541" xr:uid="{00000000-0005-0000-0000-000023020000}"/>
    <cellStyle name="Normal 14" xfId="115" xr:uid="{00000000-0005-0000-0000-000024020000}"/>
    <cellStyle name="Normal 15" xfId="123" xr:uid="{00000000-0005-0000-0000-000025020000}"/>
    <cellStyle name="Normal 15 4 4" xfId="740" xr:uid="{00000000-0005-0000-0000-000026020000}"/>
    <cellStyle name="Normal 16" xfId="65" xr:uid="{00000000-0005-0000-0000-000027020000}"/>
    <cellStyle name="Normal 16 2" xfId="542" xr:uid="{00000000-0005-0000-0000-000028020000}"/>
    <cellStyle name="Normal 16 3" xfId="588" xr:uid="{00000000-0005-0000-0000-000029020000}"/>
    <cellStyle name="Normal 16 4" xfId="634" xr:uid="{00000000-0005-0000-0000-00002A020000}"/>
    <cellStyle name="Normal 16 5" xfId="702" xr:uid="{00000000-0005-0000-0000-00002B020000}"/>
    <cellStyle name="Normal 16 6" xfId="726" xr:uid="{00000000-0005-0000-0000-00002C020000}"/>
    <cellStyle name="Normal 17" xfId="230" xr:uid="{00000000-0005-0000-0000-00002D020000}"/>
    <cellStyle name="Normal 17 2" xfId="543" xr:uid="{00000000-0005-0000-0000-00002E020000}"/>
    <cellStyle name="Normal 17 2 2" xfId="544" xr:uid="{00000000-0005-0000-0000-00002F020000}"/>
    <cellStyle name="Normal 17 3" xfId="589" xr:uid="{00000000-0005-0000-0000-000030020000}"/>
    <cellStyle name="Normal 17 4" xfId="635" xr:uid="{00000000-0005-0000-0000-000031020000}"/>
    <cellStyle name="Normal 17 5" xfId="703" xr:uid="{00000000-0005-0000-0000-000032020000}"/>
    <cellStyle name="Normal 17 6" xfId="727" xr:uid="{00000000-0005-0000-0000-000033020000}"/>
    <cellStyle name="Normal 18" xfId="259" xr:uid="{00000000-0005-0000-0000-000034020000}"/>
    <cellStyle name="Normal 18 2" xfId="545" xr:uid="{00000000-0005-0000-0000-000035020000}"/>
    <cellStyle name="Normal 18 3" xfId="590" xr:uid="{00000000-0005-0000-0000-000036020000}"/>
    <cellStyle name="Normal 18 4" xfId="636" xr:uid="{00000000-0005-0000-0000-000037020000}"/>
    <cellStyle name="Normal 18 5" xfId="704" xr:uid="{00000000-0005-0000-0000-000038020000}"/>
    <cellStyle name="Normal 18 6" xfId="728" xr:uid="{00000000-0005-0000-0000-000039020000}"/>
    <cellStyle name="Normal 19" xfId="346" xr:uid="{00000000-0005-0000-0000-00003A020000}"/>
    <cellStyle name="Normal 2" xfId="266" xr:uid="{00000000-0005-0000-0000-00003B020000}"/>
    <cellStyle name="Normal 2 10" xfId="116" xr:uid="{00000000-0005-0000-0000-00003C020000}"/>
    <cellStyle name="Normal 2 11" xfId="185" xr:uid="{00000000-0005-0000-0000-00003D020000}"/>
    <cellStyle name="Normal 2 11 2" xfId="547" xr:uid="{00000000-0005-0000-0000-00003E020000}"/>
    <cellStyle name="Normal 2 12" xfId="216" xr:uid="{00000000-0005-0000-0000-00003F020000}"/>
    <cellStyle name="Normal 2 13" xfId="245" xr:uid="{00000000-0005-0000-0000-000040020000}"/>
    <cellStyle name="Normal 2 14" xfId="309" xr:uid="{00000000-0005-0000-0000-000041020000}"/>
    <cellStyle name="Normal 2 15" xfId="298" xr:uid="{00000000-0005-0000-0000-000042020000}"/>
    <cellStyle name="Normal 2 16" xfId="374" xr:uid="{00000000-0005-0000-0000-000043020000}"/>
    <cellStyle name="Normal 2 17" xfId="432" xr:uid="{00000000-0005-0000-0000-000044020000}"/>
    <cellStyle name="Normal 2 18" xfId="468" xr:uid="{00000000-0005-0000-0000-000045020000}"/>
    <cellStyle name="Normal 2 19" xfId="628" xr:uid="{00000000-0005-0000-0000-000046020000}"/>
    <cellStyle name="Normal 2 2" xfId="64" xr:uid="{00000000-0005-0000-0000-000047020000}"/>
    <cellStyle name="Normal 2 2 2" xfId="66" xr:uid="{00000000-0005-0000-0000-000048020000}"/>
    <cellStyle name="Normal 2 2 2 2" xfId="67" xr:uid="{00000000-0005-0000-0000-000049020000}"/>
    <cellStyle name="Normal 2 2 2 2 2" xfId="126" xr:uid="{00000000-0005-0000-0000-00004A020000}"/>
    <cellStyle name="Normal 2 2 2 2 2 2" xfId="548" xr:uid="{00000000-0005-0000-0000-00004B020000}"/>
    <cellStyle name="Normal 2 2 2 2 3" xfId="549" xr:uid="{00000000-0005-0000-0000-00004C020000}"/>
    <cellStyle name="Normal 2 2 2 26" xfId="748" xr:uid="{00000000-0005-0000-0000-00004D020000}"/>
    <cellStyle name="Normal 2 2 2 3" xfId="68" xr:uid="{00000000-0005-0000-0000-00004E020000}"/>
    <cellStyle name="Normal 2 2 2 4" xfId="117" xr:uid="{00000000-0005-0000-0000-00004F020000}"/>
    <cellStyle name="Normal 2 2 2_0.JHOR JAHANIYA ESTIMATE" xfId="69" xr:uid="{00000000-0005-0000-0000-000050020000}"/>
    <cellStyle name="Normal 2 2 3" xfId="70" xr:uid="{00000000-0005-0000-0000-000051020000}"/>
    <cellStyle name="Normal 2 2 4" xfId="71" xr:uid="{00000000-0005-0000-0000-000052020000}"/>
    <cellStyle name="Normal 2 2 5" xfId="72" xr:uid="{00000000-0005-0000-0000-000053020000}"/>
    <cellStyle name="Normal 2 2 6" xfId="118" xr:uid="{00000000-0005-0000-0000-000054020000}"/>
    <cellStyle name="Normal 2 2_Estimated BOQ, cost, summary" xfId="73" xr:uid="{00000000-0005-0000-0000-000055020000}"/>
    <cellStyle name="Normal 2 20" xfId="676" xr:uid="{00000000-0005-0000-0000-000056020000}"/>
    <cellStyle name="Normal 2 21" xfId="677" xr:uid="{00000000-0005-0000-0000-000057020000}"/>
    <cellStyle name="Normal 2 3" xfId="74" xr:uid="{00000000-0005-0000-0000-000058020000}"/>
    <cellStyle name="Normal 2 3 2" xfId="75" xr:uid="{00000000-0005-0000-0000-000059020000}"/>
    <cellStyle name="Normal 2 3 3" xfId="131" xr:uid="{00000000-0005-0000-0000-00005A020000}"/>
    <cellStyle name="Normal 2 4" xfId="76" xr:uid="{00000000-0005-0000-0000-00005B020000}"/>
    <cellStyle name="Normal 2 4 2" xfId="743" xr:uid="{00000000-0005-0000-0000-00005C020000}"/>
    <cellStyle name="Normal 2 5" xfId="77" xr:uid="{00000000-0005-0000-0000-00005D020000}"/>
    <cellStyle name="Normal 2 6" xfId="78" xr:uid="{00000000-0005-0000-0000-00005E020000}"/>
    <cellStyle name="Normal 2 7" xfId="79" xr:uid="{00000000-0005-0000-0000-00005F020000}"/>
    <cellStyle name="Normal 2 7 2" xfId="550" xr:uid="{00000000-0005-0000-0000-000060020000}"/>
    <cellStyle name="Normal 2 8" xfId="80" xr:uid="{00000000-0005-0000-0000-000061020000}"/>
    <cellStyle name="Normal 2 8 2" xfId="551" xr:uid="{00000000-0005-0000-0000-000062020000}"/>
    <cellStyle name="Normal 2 9" xfId="81" xr:uid="{00000000-0005-0000-0000-000063020000}"/>
    <cellStyle name="Normal 2 9 2" xfId="127" xr:uid="{00000000-0005-0000-0000-000064020000}"/>
    <cellStyle name="Normal 2 9 2 2" xfId="552" xr:uid="{00000000-0005-0000-0000-000065020000}"/>
    <cellStyle name="Normal 2 9 3" xfId="553" xr:uid="{00000000-0005-0000-0000-000066020000}"/>
    <cellStyle name="Normal 2_150m3" xfId="438" xr:uid="{00000000-0005-0000-0000-000067020000}"/>
    <cellStyle name="Normal 20" xfId="388" xr:uid="{00000000-0005-0000-0000-000068020000}"/>
    <cellStyle name="Normal 21" xfId="395" xr:uid="{00000000-0005-0000-0000-000069020000}"/>
    <cellStyle name="Normal 22" xfId="475" xr:uid="{00000000-0005-0000-0000-00006A020000}"/>
    <cellStyle name="Normal 23" xfId="591" xr:uid="{00000000-0005-0000-0000-00006B020000}"/>
    <cellStyle name="Normal 24" xfId="637" xr:uid="{00000000-0005-0000-0000-00006C020000}"/>
    <cellStyle name="Normal 25" xfId="725" xr:uid="{00000000-0005-0000-0000-00006D020000}"/>
    <cellStyle name="Normal 25 4" xfId="738" xr:uid="{00000000-0005-0000-0000-00006E020000}"/>
    <cellStyle name="Normal 26" xfId="729" xr:uid="{00000000-0005-0000-0000-00006F020000}"/>
    <cellStyle name="Normal 27" xfId="735" xr:uid="{00000000-0005-0000-0000-000070020000}"/>
    <cellStyle name="Normal 28" xfId="751" xr:uid="{00000000-0005-0000-0000-000071020000}"/>
    <cellStyle name="Normal 29" xfId="756" xr:uid="{00000000-0005-0000-0000-000072020000}"/>
    <cellStyle name="Normal 3" xfId="82" xr:uid="{00000000-0005-0000-0000-000073020000}"/>
    <cellStyle name="Normal 3 2" xfId="83" xr:uid="{00000000-0005-0000-0000-000074020000}"/>
    <cellStyle name="Normal 3 2 2" xfId="554" xr:uid="{00000000-0005-0000-0000-000075020000}"/>
    <cellStyle name="Normal 3 22" xfId="741" xr:uid="{00000000-0005-0000-0000-000076020000}"/>
    <cellStyle name="Normal 3 3" xfId="84" xr:uid="{00000000-0005-0000-0000-000077020000}"/>
    <cellStyle name="Normal 3 3 2" xfId="128" xr:uid="{00000000-0005-0000-0000-000078020000}"/>
    <cellStyle name="Normal 3 3 3" xfId="555" xr:uid="{00000000-0005-0000-0000-000079020000}"/>
    <cellStyle name="Normal 3 3 4" xfId="556" xr:uid="{00000000-0005-0000-0000-00007A020000}"/>
    <cellStyle name="Normal 3 4" xfId="129" xr:uid="{00000000-0005-0000-0000-00007B020000}"/>
    <cellStyle name="Normal 3_Cost Estimate for ghat renovation" xfId="557" xr:uid="{00000000-0005-0000-0000-00007C020000}"/>
    <cellStyle name="Normal 30" xfId="757" xr:uid="{00000000-0005-0000-0000-00007D020000}"/>
    <cellStyle name="Normal 31" xfId="755" xr:uid="{00000000-0005-0000-0000-00007E020000}"/>
    <cellStyle name="Normal 32" xfId="750" xr:uid="{00000000-0005-0000-0000-00007F020000}"/>
    <cellStyle name="Normal 33" xfId="759" xr:uid="{E299337D-93C4-4E90-AED7-C685D6213B39}"/>
    <cellStyle name="Normal 34" xfId="762" xr:uid="{9D207AD1-120F-478F-9934-BD09C355312B}"/>
    <cellStyle name="Normal 35" xfId="765" xr:uid="{1C359BF9-3C4E-4928-8413-48B5C78357B5}"/>
    <cellStyle name="Normal 36" xfId="768" xr:uid="{E3D7B181-9542-40D9-A9DC-D177D99EE88D}"/>
    <cellStyle name="Normal 37" xfId="771" xr:uid="{DA424D15-A1C8-4AE4-84D8-9A516FC032EB}"/>
    <cellStyle name="Normal 38" xfId="775" xr:uid="{28FF901A-58AB-47F8-9099-C065A2C14A41}"/>
    <cellStyle name="Normal 39" xfId="778" xr:uid="{CB36182A-9443-45D2-8AC6-5BA8741588FA}"/>
    <cellStyle name="Normal 4" xfId="85" xr:uid="{00000000-0005-0000-0000-000080020000}"/>
    <cellStyle name="Normal 4 2" xfId="86" xr:uid="{00000000-0005-0000-0000-000081020000}"/>
    <cellStyle name="Normal 4 2 2" xfId="134" xr:uid="{00000000-0005-0000-0000-000082020000}"/>
    <cellStyle name="Normal 4 2 3" xfId="558" xr:uid="{00000000-0005-0000-0000-000083020000}"/>
    <cellStyle name="Normal 4 3" xfId="87" xr:uid="{00000000-0005-0000-0000-000084020000}"/>
    <cellStyle name="Normal 4 3 2" xfId="135" xr:uid="{00000000-0005-0000-0000-000085020000}"/>
    <cellStyle name="Normal 4 3 3" xfId="559" xr:uid="{00000000-0005-0000-0000-000086020000}"/>
    <cellStyle name="Normal 4 4" xfId="88" xr:uid="{00000000-0005-0000-0000-000087020000}"/>
    <cellStyle name="Normal 4 5" xfId="119" xr:uid="{00000000-0005-0000-0000-000088020000}"/>
    <cellStyle name="Normal 4 6" xfId="733" xr:uid="{00000000-0005-0000-0000-000089020000}"/>
    <cellStyle name="Normal 4_0.JHOR JAHANIYA ESTIMATE" xfId="89" xr:uid="{00000000-0005-0000-0000-00008A020000}"/>
    <cellStyle name="Normal 40" xfId="779" xr:uid="{4D1EDB02-F6EB-40DB-AFC8-C2D43EB57276}"/>
    <cellStyle name="Normal 41" xfId="783" xr:uid="{6B9295E7-F97F-42D4-8894-2D6335F76503}"/>
    <cellStyle name="Normal 42" xfId="786" xr:uid="{104B0107-82F0-48A7-A60F-518F33062874}"/>
    <cellStyle name="Normal 43" xfId="790" xr:uid="{DA7A7BF7-4B89-4BC7-AA2D-99A61422CC10}"/>
    <cellStyle name="Normal 44" xfId="792" xr:uid="{AB5FD68D-3491-43FF-B71B-E04ECFF24DC4}"/>
    <cellStyle name="Normal 45" xfId="796" xr:uid="{2CF964BB-B386-4460-8BD6-DE3DCA36B14D}"/>
    <cellStyle name="Normal 46" xfId="799" xr:uid="{C5731914-F411-4CA3-8021-E5608C155697}"/>
    <cellStyle name="Normal 47" xfId="801" xr:uid="{97DF287E-EFA0-4438-91B0-065A34F53D06}"/>
    <cellStyle name="Normal 5" xfId="90" xr:uid="{00000000-0005-0000-0000-00008B020000}"/>
    <cellStyle name="Normal 5 2" xfId="91" xr:uid="{00000000-0005-0000-0000-00008C020000}"/>
    <cellStyle name="Normal 5 2 2" xfId="132" xr:uid="{00000000-0005-0000-0000-00008D020000}"/>
    <cellStyle name="Normal 5 2 2 2" xfId="136" xr:uid="{00000000-0005-0000-0000-00008E020000}"/>
    <cellStyle name="Normal 5 2 3" xfId="560" xr:uid="{00000000-0005-0000-0000-00008F020000}"/>
    <cellStyle name="Normal 5 2 3 2" xfId="561" xr:uid="{00000000-0005-0000-0000-000090020000}"/>
    <cellStyle name="Normal 5 2 4" xfId="562" xr:uid="{00000000-0005-0000-0000-000091020000}"/>
    <cellStyle name="Normal 5 2_Setidevi-1" xfId="133" xr:uid="{00000000-0005-0000-0000-000092020000}"/>
    <cellStyle name="Normal 5 3" xfId="92" xr:uid="{00000000-0005-0000-0000-000093020000}"/>
    <cellStyle name="Normal 5 6" xfId="563" xr:uid="{00000000-0005-0000-0000-000094020000}"/>
    <cellStyle name="Normal 5_Setidevi-1" xfId="93" xr:uid="{00000000-0005-0000-0000-000095020000}"/>
    <cellStyle name="Normal 6" xfId="94" xr:uid="{00000000-0005-0000-0000-000096020000}"/>
    <cellStyle name="Normal 6 2" xfId="95" xr:uid="{00000000-0005-0000-0000-000097020000}"/>
    <cellStyle name="Normal 6 3" xfId="120" xr:uid="{00000000-0005-0000-0000-000098020000}"/>
    <cellStyle name="Normal 6 4" xfId="744" xr:uid="{00000000-0005-0000-0000-000099020000}"/>
    <cellStyle name="Normal 7" xfId="96" xr:uid="{00000000-0005-0000-0000-00009A020000}"/>
    <cellStyle name="Normal 7 2" xfId="130" xr:uid="{00000000-0005-0000-0000-00009B020000}"/>
    <cellStyle name="Normal 7 3" xfId="564" xr:uid="{00000000-0005-0000-0000-00009C020000}"/>
    <cellStyle name="Normal 7 4" xfId="746" xr:uid="{00000000-0005-0000-0000-00009D020000}"/>
    <cellStyle name="Normal 8" xfId="97" xr:uid="{00000000-0005-0000-0000-00009E020000}"/>
    <cellStyle name="Normal 8 2" xfId="98" xr:uid="{00000000-0005-0000-0000-00009F020000}"/>
    <cellStyle name="Normal 8 3" xfId="121" xr:uid="{00000000-0005-0000-0000-0000A0020000}"/>
    <cellStyle name="Normal 9" xfId="99" xr:uid="{00000000-0005-0000-0000-0000A1020000}"/>
    <cellStyle name="Normal 9 2" xfId="565" xr:uid="{00000000-0005-0000-0000-0000A2020000}"/>
    <cellStyle name="Normal_Rates" xfId="734" xr:uid="{00000000-0005-0000-0000-0000A3020000}"/>
    <cellStyle name="Normalaprom-lat" xfId="100" xr:uid="{00000000-0005-0000-0000-0000A4020000}"/>
    <cellStyle name="Note 10" xfId="583" xr:uid="{00000000-0005-0000-0000-0000A5020000}"/>
    <cellStyle name="Note 11" xfId="629" xr:uid="{00000000-0005-0000-0000-0000A6020000}"/>
    <cellStyle name="Note 12" xfId="684" xr:uid="{00000000-0005-0000-0000-0000A7020000}"/>
    <cellStyle name="Note 13" xfId="701" xr:uid="{00000000-0005-0000-0000-0000A8020000}"/>
    <cellStyle name="Note 2" xfId="101" xr:uid="{00000000-0005-0000-0000-0000A9020000}"/>
    <cellStyle name="Note 3" xfId="205" xr:uid="{00000000-0005-0000-0000-0000AA020000}"/>
    <cellStyle name="Note 4" xfId="237" xr:uid="{00000000-0005-0000-0000-0000AB020000}"/>
    <cellStyle name="Note 5" xfId="261" xr:uid="{00000000-0005-0000-0000-0000AC020000}"/>
    <cellStyle name="Note 6" xfId="329" xr:uid="{00000000-0005-0000-0000-0000AD020000}"/>
    <cellStyle name="Note 7" xfId="366" xr:uid="{00000000-0005-0000-0000-0000AE020000}"/>
    <cellStyle name="Note 8" xfId="390" xr:uid="{00000000-0005-0000-0000-0000AF020000}"/>
    <cellStyle name="Note 9" xfId="453" xr:uid="{00000000-0005-0000-0000-0000B0020000}"/>
    <cellStyle name="Output 10" xfId="584" xr:uid="{00000000-0005-0000-0000-0000B1020000}"/>
    <cellStyle name="Output 11" xfId="630" xr:uid="{00000000-0005-0000-0000-0000B2020000}"/>
    <cellStyle name="Output 12" xfId="685" xr:uid="{00000000-0005-0000-0000-0000B3020000}"/>
    <cellStyle name="Output 13" xfId="700" xr:uid="{00000000-0005-0000-0000-0000B4020000}"/>
    <cellStyle name="Output 2" xfId="102" xr:uid="{00000000-0005-0000-0000-0000B5020000}"/>
    <cellStyle name="Output 3" xfId="206" xr:uid="{00000000-0005-0000-0000-0000B6020000}"/>
    <cellStyle name="Output 4" xfId="238" xr:uid="{00000000-0005-0000-0000-0000B7020000}"/>
    <cellStyle name="Output 5" xfId="262" xr:uid="{00000000-0005-0000-0000-0000B8020000}"/>
    <cellStyle name="Output 6" xfId="330" xr:uid="{00000000-0005-0000-0000-0000B9020000}"/>
    <cellStyle name="Output 7" xfId="367" xr:uid="{00000000-0005-0000-0000-0000BA020000}"/>
    <cellStyle name="Output 8" xfId="391" xr:uid="{00000000-0005-0000-0000-0000BB020000}"/>
    <cellStyle name="Output 9" xfId="454" xr:uid="{00000000-0005-0000-0000-0000BC020000}"/>
    <cellStyle name="Percent [2]" xfId="103" xr:uid="{00000000-0005-0000-0000-0000BD020000}"/>
    <cellStyle name="Percent [2] 2" xfId="104" xr:uid="{00000000-0005-0000-0000-0000BE020000}"/>
    <cellStyle name="Percent [2] 3" xfId="122" xr:uid="{00000000-0005-0000-0000-0000BF020000}"/>
    <cellStyle name="Percent 10" xfId="780" xr:uid="{EFF55575-F5C9-41C9-A52A-73063212C887}"/>
    <cellStyle name="Percent 11" xfId="782" xr:uid="{B99E6001-9D0F-400A-B045-91200215E09C}"/>
    <cellStyle name="Percent 12" xfId="785" xr:uid="{777D705E-031D-443E-8DDD-9E70CA46916B}"/>
    <cellStyle name="Percent 13" xfId="789" xr:uid="{41A61722-8834-467C-8A19-06B09ADF4FC7}"/>
    <cellStyle name="Percent 14" xfId="791" xr:uid="{80504006-B67A-4888-9083-4FA1FD6D2C93}"/>
    <cellStyle name="Percent 15" xfId="795" xr:uid="{7017D206-A498-422A-B124-F3BEC15D36FB}"/>
    <cellStyle name="Percent 16" xfId="798" xr:uid="{C187A8F2-3060-4764-8820-2D8F715043C6}"/>
    <cellStyle name="Percent 17" xfId="800" xr:uid="{58C0EDE0-CAB0-4174-9196-4A57447DECA0}"/>
    <cellStyle name="Percent 18" xfId="803" xr:uid="{DC8FB19E-72D6-4D44-8213-9E9DF9364829}"/>
    <cellStyle name="Percent 2" xfId="105" xr:uid="{00000000-0005-0000-0000-0000C0020000}"/>
    <cellStyle name="Percent 2 2" xfId="137" xr:uid="{00000000-0005-0000-0000-0000C1020000}"/>
    <cellStyle name="Percent 3" xfId="566" xr:uid="{00000000-0005-0000-0000-0000C2020000}"/>
    <cellStyle name="Percent 4" xfId="761" xr:uid="{43F16171-8B75-4FAB-B67C-73FBE95CD19D}"/>
    <cellStyle name="Percent 5" xfId="764" xr:uid="{9B6CC1AA-7AE4-4A89-8529-54A650E2E52E}"/>
    <cellStyle name="Percent 6" xfId="767" xr:uid="{F35F9205-4BA8-4E68-B390-E44EEB8F1CB4}"/>
    <cellStyle name="Percent 7" xfId="770" xr:uid="{70F854BD-02D0-43C4-AF84-4D78E0E7DFDF}"/>
    <cellStyle name="Percent 8" xfId="774" xr:uid="{55982310-00C3-40DD-ACE8-9C14992DD095}"/>
    <cellStyle name="Percent 9" xfId="777" xr:uid="{8C945554-E7BE-479D-94B4-8EB24BC8C116}"/>
    <cellStyle name="Reset  - Style4" xfId="567" xr:uid="{00000000-0005-0000-0000-0000C3020000}"/>
    <cellStyle name="special" xfId="568" xr:uid="{00000000-0005-0000-0000-0000C4020000}"/>
    <cellStyle name="STYL1 - Style1" xfId="569" xr:uid="{00000000-0005-0000-0000-0000C5020000}"/>
    <cellStyle name="STYL2 - Style2" xfId="570" xr:uid="{00000000-0005-0000-0000-0000C6020000}"/>
    <cellStyle name="Table  - Style5" xfId="571" xr:uid="{00000000-0005-0000-0000-0000C7020000}"/>
    <cellStyle name="Title  - Style6" xfId="572" xr:uid="{00000000-0005-0000-0000-0000C8020000}"/>
    <cellStyle name="Title  - Style6 2" xfId="573" xr:uid="{00000000-0005-0000-0000-0000C9020000}"/>
    <cellStyle name="Title 10" xfId="585" xr:uid="{00000000-0005-0000-0000-0000CA020000}"/>
    <cellStyle name="Title 11" xfId="631" xr:uid="{00000000-0005-0000-0000-0000CB020000}"/>
    <cellStyle name="Title 12" xfId="689" xr:uid="{00000000-0005-0000-0000-0000CC020000}"/>
    <cellStyle name="Title 13" xfId="675" xr:uid="{00000000-0005-0000-0000-0000CD020000}"/>
    <cellStyle name="Title 2" xfId="106" xr:uid="{00000000-0005-0000-0000-0000CE020000}"/>
    <cellStyle name="Title 3" xfId="210" xr:uid="{00000000-0005-0000-0000-0000CF020000}"/>
    <cellStyle name="Title 4" xfId="242" xr:uid="{00000000-0005-0000-0000-0000D0020000}"/>
    <cellStyle name="Title 5" xfId="263" xr:uid="{00000000-0005-0000-0000-0000D1020000}"/>
    <cellStyle name="Title 6" xfId="331" xr:uid="{00000000-0005-0000-0000-0000D2020000}"/>
    <cellStyle name="Title 7" xfId="371" xr:uid="{00000000-0005-0000-0000-0000D3020000}"/>
    <cellStyle name="Title 8" xfId="392" xr:uid="{00000000-0005-0000-0000-0000D4020000}"/>
    <cellStyle name="Title 9" xfId="458" xr:uid="{00000000-0005-0000-0000-0000D5020000}"/>
    <cellStyle name="Total 10" xfId="586" xr:uid="{00000000-0005-0000-0000-0000D6020000}"/>
    <cellStyle name="Total 11" xfId="632" xr:uid="{00000000-0005-0000-0000-0000D7020000}"/>
    <cellStyle name="Total 12" xfId="690" xr:uid="{00000000-0005-0000-0000-0000D8020000}"/>
    <cellStyle name="Total 13" xfId="674" xr:uid="{00000000-0005-0000-0000-0000D9020000}"/>
    <cellStyle name="Total 2" xfId="107" xr:uid="{00000000-0005-0000-0000-0000DA020000}"/>
    <cellStyle name="Total 3" xfId="211" xr:uid="{00000000-0005-0000-0000-0000DB020000}"/>
    <cellStyle name="Total 4" xfId="243" xr:uid="{00000000-0005-0000-0000-0000DC020000}"/>
    <cellStyle name="Total 5" xfId="264" xr:uid="{00000000-0005-0000-0000-0000DD020000}"/>
    <cellStyle name="Total 6" xfId="332" xr:uid="{00000000-0005-0000-0000-0000DE020000}"/>
    <cellStyle name="Total 7" xfId="372" xr:uid="{00000000-0005-0000-0000-0000DF020000}"/>
    <cellStyle name="Total 8" xfId="393" xr:uid="{00000000-0005-0000-0000-0000E0020000}"/>
    <cellStyle name="Total 9" xfId="459" xr:uid="{00000000-0005-0000-0000-0000E1020000}"/>
    <cellStyle name="TotCol - Style7" xfId="574" xr:uid="{00000000-0005-0000-0000-0000E2020000}"/>
    <cellStyle name="TotRow - Style8" xfId="575" xr:uid="{00000000-0005-0000-0000-0000E3020000}"/>
    <cellStyle name="Turn" xfId="576" xr:uid="{00000000-0005-0000-0000-0000E4020000}"/>
    <cellStyle name="Warning Text 10" xfId="587" xr:uid="{00000000-0005-0000-0000-0000E5020000}"/>
    <cellStyle name="Warning Text 11" xfId="633" xr:uid="{00000000-0005-0000-0000-0000E6020000}"/>
    <cellStyle name="Warning Text 12" xfId="691" xr:uid="{00000000-0005-0000-0000-0000E7020000}"/>
    <cellStyle name="Warning Text 13" xfId="699" xr:uid="{00000000-0005-0000-0000-0000E8020000}"/>
    <cellStyle name="Warning Text 2" xfId="108" xr:uid="{00000000-0005-0000-0000-0000E9020000}"/>
    <cellStyle name="Warning Text 3" xfId="212" xr:uid="{00000000-0005-0000-0000-0000EA020000}"/>
    <cellStyle name="Warning Text 4" xfId="244" xr:uid="{00000000-0005-0000-0000-0000EB020000}"/>
    <cellStyle name="Warning Text 5" xfId="265" xr:uid="{00000000-0005-0000-0000-0000EC020000}"/>
    <cellStyle name="Warning Text 6" xfId="333" xr:uid="{00000000-0005-0000-0000-0000ED020000}"/>
    <cellStyle name="Warning Text 7" xfId="373" xr:uid="{00000000-0005-0000-0000-0000EE020000}"/>
    <cellStyle name="Warning Text 8" xfId="394" xr:uid="{00000000-0005-0000-0000-0000EF020000}"/>
    <cellStyle name="Warning Text 9" xfId="460" xr:uid="{00000000-0005-0000-0000-0000F0020000}"/>
    <cellStyle name="백분율_95" xfId="577" xr:uid="{00000000-0005-0000-0000-0000F1020000}"/>
    <cellStyle name="콤마 [0]_95" xfId="578" xr:uid="{00000000-0005-0000-0000-0000F2020000}"/>
    <cellStyle name="콤마_95" xfId="579" xr:uid="{00000000-0005-0000-0000-0000F3020000}"/>
    <cellStyle name="통화 [0]_95" xfId="580" xr:uid="{00000000-0005-0000-0000-0000F4020000}"/>
    <cellStyle name="통화_95" xfId="581" xr:uid="{00000000-0005-0000-0000-0000F5020000}"/>
    <cellStyle name="표준_4월실적" xfId="582" xr:uid="{00000000-0005-0000-0000-0000F6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482136</xdr:colOff>
      <xdr:row>8</xdr:row>
      <xdr:rowOff>91719</xdr:rowOff>
    </xdr:from>
    <xdr:to>
      <xdr:col>3</xdr:col>
      <xdr:colOff>2569</xdr:colOff>
      <xdr:row>9</xdr:row>
      <xdr:rowOff>96320</xdr:rowOff>
    </xdr:to>
    <xdr:sp macro="" textlink="">
      <xdr:nvSpPr>
        <xdr:cNvPr id="4" name="Text Box 41">
          <a:extLst>
            <a:ext uri="{FF2B5EF4-FFF2-40B4-BE49-F238E27FC236}">
              <a16:creationId xmlns:a16="http://schemas.microsoft.com/office/drawing/2014/main" id="{00000000-0008-0000-0300-000004000000}"/>
            </a:ext>
          </a:extLst>
        </xdr:cNvPr>
        <xdr:cNvSpPr txBox="1">
          <a:spLocks noChangeArrowheads="1"/>
        </xdr:cNvSpPr>
      </xdr:nvSpPr>
      <xdr:spPr bwMode="auto">
        <a:xfrm>
          <a:off x="1876596" y="546026619"/>
          <a:ext cx="320533" cy="233201"/>
        </a:xfrm>
        <a:prstGeom prst="rect">
          <a:avLst/>
        </a:prstGeom>
        <a:solidFill>
          <a:srgbClr val="FFFFFF"/>
        </a:solidFill>
        <a:ln w="9525">
          <a:noFill/>
          <a:miter lim="800000"/>
          <a:headEnd/>
          <a:tailEnd/>
        </a:ln>
      </xdr:spPr>
      <xdr:txBody>
        <a:bodyPr vertOverflow="clip" wrap="square" lIns="27432"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Arial"/>
              <a:cs typeface="Arial"/>
            </a:rPr>
            <a: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2082_2083\2083_2084\estimate\Rate%20analysis\Road-rate%20analysis%2083%2084%20shankharapur%20as%20per%20dor%20norms.xlsx" TargetMode="External"/><Relationship Id="rId1" Type="http://schemas.openxmlformats.org/officeDocument/2006/relationships/externalLinkPath" Target="file:///G:\2082_2083\2083_2084\estimate\Rate%20analysis\Road-rate%20analysis%2083%2084%20shankharapur%20as%20per%20dor%20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1"/>
  <sheetViews>
    <sheetView topLeftCell="A6" zoomScaleNormal="100" workbookViewId="0">
      <selection sqref="A1:J11"/>
    </sheetView>
  </sheetViews>
  <sheetFormatPr defaultRowHeight="14.4"/>
  <cols>
    <col min="1" max="1" width="7.44140625" customWidth="1"/>
    <col min="2" max="2" width="39" customWidth="1"/>
    <col min="3" max="3" width="11.5546875" customWidth="1"/>
    <col min="4" max="4" width="10.88671875" bestFit="1" customWidth="1"/>
    <col min="5" max="5" width="13.109375" customWidth="1"/>
    <col min="6" max="6" width="11.33203125" customWidth="1"/>
    <col min="7" max="7" width="10.6640625" customWidth="1"/>
    <col min="8" max="8" width="12.5546875" customWidth="1"/>
    <col min="9" max="9" width="11.109375" customWidth="1"/>
    <col min="10" max="10" width="11" customWidth="1"/>
  </cols>
  <sheetData>
    <row r="1" spans="1:10">
      <c r="A1" s="138" t="s">
        <v>11</v>
      </c>
      <c r="B1" s="138"/>
      <c r="C1" s="138"/>
      <c r="D1" s="138"/>
      <c r="E1" s="138"/>
      <c r="F1" s="138"/>
      <c r="G1" s="138"/>
      <c r="H1" s="138"/>
      <c r="I1" s="138"/>
      <c r="J1" s="138"/>
    </row>
    <row r="2" spans="1:10" ht="24.6">
      <c r="A2" s="139" t="s">
        <v>49</v>
      </c>
      <c r="B2" s="139"/>
      <c r="C2" s="139"/>
      <c r="D2" s="139"/>
      <c r="E2" s="139"/>
      <c r="F2" s="139"/>
      <c r="G2" s="139"/>
      <c r="H2" s="139"/>
      <c r="I2" s="139"/>
      <c r="J2" s="139"/>
    </row>
    <row r="3" spans="1:10" ht="18">
      <c r="A3" s="140" t="s">
        <v>50</v>
      </c>
      <c r="B3" s="140"/>
      <c r="C3" s="140"/>
      <c r="D3" s="140"/>
      <c r="E3" s="140"/>
      <c r="F3" s="140"/>
      <c r="G3" s="140"/>
      <c r="H3" s="140"/>
      <c r="I3" s="140"/>
      <c r="J3" s="140"/>
    </row>
    <row r="4" spans="1:10">
      <c r="A4" s="141" t="s">
        <v>51</v>
      </c>
      <c r="B4" s="141"/>
      <c r="C4" s="141"/>
      <c r="D4" s="141"/>
      <c r="E4" s="141"/>
      <c r="F4" s="141"/>
      <c r="G4" s="141"/>
      <c r="H4" s="141"/>
      <c r="I4" s="141"/>
      <c r="J4" s="141"/>
    </row>
    <row r="5" spans="1:10">
      <c r="A5" s="12"/>
      <c r="B5" s="12"/>
      <c r="C5" s="12"/>
      <c r="D5" s="12"/>
      <c r="E5" s="12"/>
      <c r="F5" s="12"/>
      <c r="G5" s="12"/>
      <c r="H5" s="12"/>
      <c r="I5" s="12"/>
      <c r="J5" s="12"/>
    </row>
    <row r="6" spans="1:10" ht="15.6">
      <c r="A6" s="6" t="s">
        <v>52</v>
      </c>
      <c r="B6" s="6"/>
      <c r="C6" s="142" t="e">
        <f>E51</f>
        <v>#REF!</v>
      </c>
      <c r="D6" s="143"/>
      <c r="E6" s="6"/>
      <c r="F6" s="6"/>
      <c r="G6" s="6" t="s">
        <v>53</v>
      </c>
      <c r="H6" s="6"/>
      <c r="I6" s="142" t="e">
        <f>H51</f>
        <v>#REF!</v>
      </c>
      <c r="J6" s="143"/>
    </row>
    <row r="7" spans="1:10">
      <c r="A7" s="7"/>
      <c r="B7" s="7"/>
      <c r="C7" s="133"/>
      <c r="D7" s="133"/>
      <c r="E7" s="133"/>
      <c r="F7" s="133"/>
      <c r="H7" s="134"/>
      <c r="I7" s="134"/>
      <c r="J7" s="134"/>
    </row>
    <row r="8" spans="1:10" ht="16.8">
      <c r="A8" t="s">
        <v>54</v>
      </c>
      <c r="B8" s="8" t="e">
        <f>#REF!</f>
        <v>#REF!</v>
      </c>
      <c r="D8" s="9"/>
      <c r="G8" s="10"/>
      <c r="J8" s="11" t="s">
        <v>55</v>
      </c>
    </row>
    <row r="9" spans="1:10">
      <c r="A9" t="s">
        <v>56</v>
      </c>
      <c r="D9" s="9"/>
      <c r="G9" s="10"/>
      <c r="J9" s="11" t="s">
        <v>65</v>
      </c>
    </row>
    <row r="10" spans="1:10">
      <c r="A10" s="135" t="s">
        <v>57</v>
      </c>
      <c r="B10" s="135" t="s">
        <v>12</v>
      </c>
      <c r="C10" s="137" t="s">
        <v>58</v>
      </c>
      <c r="D10" s="137"/>
      <c r="E10" s="137"/>
      <c r="F10" s="137" t="s">
        <v>59</v>
      </c>
      <c r="G10" s="137"/>
      <c r="H10" s="137"/>
      <c r="I10" s="135" t="s">
        <v>60</v>
      </c>
      <c r="J10" s="135" t="s">
        <v>10</v>
      </c>
    </row>
    <row r="11" spans="1:10">
      <c r="A11" s="136"/>
      <c r="B11" s="136"/>
      <c r="C11" s="14" t="s">
        <v>61</v>
      </c>
      <c r="D11" s="15" t="s">
        <v>8</v>
      </c>
      <c r="E11" s="14" t="s">
        <v>62</v>
      </c>
      <c r="F11" s="14" t="s">
        <v>61</v>
      </c>
      <c r="G11" s="14" t="s">
        <v>8</v>
      </c>
      <c r="H11" s="14" t="s">
        <v>63</v>
      </c>
      <c r="I11" s="136"/>
      <c r="J11" s="136"/>
    </row>
    <row r="12" spans="1:10" ht="15.6">
      <c r="A12" s="22">
        <v>1</v>
      </c>
      <c r="B12" s="23" t="s">
        <v>41</v>
      </c>
      <c r="C12" s="16" t="e">
        <f>#REF!</f>
        <v>#REF!</v>
      </c>
      <c r="D12" s="16" t="e">
        <f>#REF!</f>
        <v>#REF!</v>
      </c>
      <c r="E12" s="16" t="e">
        <f>#REF!</f>
        <v>#REF!</v>
      </c>
      <c r="F12" s="16" t="e">
        <f>#REF!</f>
        <v>#REF!</v>
      </c>
      <c r="G12" s="16" t="e">
        <f>#REF!</f>
        <v>#REF!</v>
      </c>
      <c r="H12" s="16" t="e">
        <f>#REF!</f>
        <v>#REF!</v>
      </c>
      <c r="I12" s="17" t="e">
        <f>F12-C12</f>
        <v>#REF!</v>
      </c>
      <c r="J12" s="18"/>
    </row>
    <row r="13" spans="1:10" ht="15.6">
      <c r="A13" s="24"/>
      <c r="B13" s="25"/>
      <c r="C13" s="18"/>
      <c r="D13" s="18"/>
      <c r="E13" s="18"/>
      <c r="F13" s="18"/>
      <c r="G13" s="18"/>
      <c r="H13" s="18"/>
      <c r="I13" s="17"/>
      <c r="J13" s="18"/>
    </row>
    <row r="14" spans="1:10" ht="31.2">
      <c r="A14" s="24">
        <v>2</v>
      </c>
      <c r="B14" s="25" t="s">
        <v>40</v>
      </c>
      <c r="C14" s="16" t="e">
        <f>#REF!</f>
        <v>#REF!</v>
      </c>
      <c r="D14" s="16" t="e">
        <f>#REF!</f>
        <v>#REF!</v>
      </c>
      <c r="E14" s="16" t="e">
        <f>#REF!</f>
        <v>#REF!</v>
      </c>
      <c r="F14" s="16" t="e">
        <f>#REF!</f>
        <v>#REF!</v>
      </c>
      <c r="G14" s="16" t="e">
        <f>#REF!</f>
        <v>#REF!</v>
      </c>
      <c r="H14" s="16" t="e">
        <f>#REF!</f>
        <v>#REF!</v>
      </c>
      <c r="I14" s="17" t="e">
        <f>F14-C14</f>
        <v>#REF!</v>
      </c>
      <c r="J14" s="18"/>
    </row>
    <row r="15" spans="1:10" ht="15.6">
      <c r="A15" s="24"/>
      <c r="B15" s="25"/>
      <c r="C15" s="16"/>
      <c r="D15" s="18"/>
      <c r="E15" s="18"/>
      <c r="F15" s="18"/>
      <c r="G15" s="18"/>
      <c r="H15" s="18"/>
      <c r="I15" s="17"/>
      <c r="J15" s="18"/>
    </row>
    <row r="16" spans="1:10" ht="15.6">
      <c r="A16" s="24">
        <v>3</v>
      </c>
      <c r="B16" s="26" t="s">
        <v>34</v>
      </c>
      <c r="C16" s="16" t="e">
        <f>#REF!</f>
        <v>#REF!</v>
      </c>
      <c r="D16" s="16" t="e">
        <f>#REF!</f>
        <v>#REF!</v>
      </c>
      <c r="E16" s="16" t="e">
        <f>#REF!</f>
        <v>#REF!</v>
      </c>
      <c r="F16" s="16" t="e">
        <f>#REF!</f>
        <v>#REF!</v>
      </c>
      <c r="G16" s="16" t="e">
        <f>#REF!</f>
        <v>#REF!</v>
      </c>
      <c r="H16" s="16" t="e">
        <f>#REF!</f>
        <v>#REF!</v>
      </c>
      <c r="I16" s="17" t="e">
        <f>F16-C16</f>
        <v>#REF!</v>
      </c>
      <c r="J16" s="18"/>
    </row>
    <row r="17" spans="1:13" ht="15.6">
      <c r="A17" s="24"/>
      <c r="B17" s="27" t="s">
        <v>35</v>
      </c>
      <c r="C17" s="18"/>
      <c r="D17" s="18"/>
      <c r="E17" s="16" t="e">
        <f>#REF!</f>
        <v>#REF!</v>
      </c>
      <c r="F17" s="18"/>
      <c r="G17" s="18"/>
      <c r="H17" s="16" t="e">
        <f>#REF!</f>
        <v>#REF!</v>
      </c>
      <c r="I17" s="17"/>
      <c r="J17" s="18"/>
    </row>
    <row r="18" spans="1:13" ht="15.6">
      <c r="A18" s="24"/>
      <c r="B18" s="27"/>
      <c r="C18" s="18"/>
      <c r="D18" s="18"/>
      <c r="E18" s="18"/>
      <c r="F18" s="18"/>
      <c r="G18" s="18"/>
      <c r="H18" s="18"/>
      <c r="I18" s="17"/>
      <c r="J18" s="18"/>
    </row>
    <row r="19" spans="1:13" ht="15.6">
      <c r="A19" s="24">
        <v>4</v>
      </c>
      <c r="B19" s="26" t="s">
        <v>39</v>
      </c>
      <c r="C19" s="16" t="e">
        <f>#REF!</f>
        <v>#REF!</v>
      </c>
      <c r="D19" s="16" t="e">
        <f>#REF!</f>
        <v>#REF!</v>
      </c>
      <c r="E19" s="16" t="e">
        <f>#REF!</f>
        <v>#REF!</v>
      </c>
      <c r="F19" s="16" t="e">
        <f>#REF!</f>
        <v>#REF!</v>
      </c>
      <c r="G19" s="16" t="e">
        <f>#REF!</f>
        <v>#REF!</v>
      </c>
      <c r="H19" s="16" t="e">
        <f>#REF!</f>
        <v>#REF!</v>
      </c>
      <c r="I19" s="17" t="e">
        <f>F19-C19</f>
        <v>#REF!</v>
      </c>
      <c r="J19" s="18"/>
      <c r="M19" s="13"/>
    </row>
    <row r="20" spans="1:13" ht="15.6">
      <c r="A20" s="24"/>
      <c r="B20" s="28" t="s">
        <v>35</v>
      </c>
      <c r="C20" s="18"/>
      <c r="D20" s="18"/>
      <c r="E20" s="16" t="e">
        <f>#REF!</f>
        <v>#REF!</v>
      </c>
      <c r="F20" s="18"/>
      <c r="G20" s="18"/>
      <c r="H20" s="16" t="e">
        <f>#REF!</f>
        <v>#REF!</v>
      </c>
      <c r="I20" s="17"/>
      <c r="J20" s="18"/>
    </row>
    <row r="21" spans="1:13" ht="15.6">
      <c r="A21" s="24"/>
      <c r="B21" s="27"/>
      <c r="C21" s="18"/>
      <c r="D21" s="18"/>
      <c r="E21" s="18"/>
      <c r="F21" s="18"/>
      <c r="G21" s="18"/>
      <c r="H21" s="18"/>
      <c r="I21" s="17"/>
      <c r="J21" s="18"/>
    </row>
    <row r="22" spans="1:13" ht="15.6">
      <c r="A22" s="24">
        <v>5</v>
      </c>
      <c r="B22" s="26" t="s">
        <v>46</v>
      </c>
      <c r="C22" s="16" t="e">
        <f>#REF!</f>
        <v>#REF!</v>
      </c>
      <c r="D22" s="16" t="e">
        <f>#REF!</f>
        <v>#REF!</v>
      </c>
      <c r="E22" s="16" t="e">
        <f>#REF!</f>
        <v>#REF!</v>
      </c>
      <c r="F22" s="16" t="e">
        <f>#REF!</f>
        <v>#REF!</v>
      </c>
      <c r="G22" s="16" t="e">
        <f>#REF!</f>
        <v>#REF!</v>
      </c>
      <c r="H22" s="16" t="e">
        <f>#REF!</f>
        <v>#REF!</v>
      </c>
      <c r="I22" s="17" t="e">
        <f>F22-C22</f>
        <v>#REF!</v>
      </c>
      <c r="J22" s="18"/>
    </row>
    <row r="23" spans="1:13" ht="15.6">
      <c r="A23" s="24"/>
      <c r="B23" s="28" t="s">
        <v>28</v>
      </c>
      <c r="C23" s="18"/>
      <c r="D23" s="18"/>
      <c r="E23" s="16" t="e">
        <f>#REF!</f>
        <v>#REF!</v>
      </c>
      <c r="F23" s="18"/>
      <c r="G23" s="18"/>
      <c r="H23" s="16" t="e">
        <f>#REF!</f>
        <v>#REF!</v>
      </c>
      <c r="I23" s="17"/>
      <c r="J23" s="18"/>
    </row>
    <row r="24" spans="1:13" ht="15.6">
      <c r="A24" s="24"/>
      <c r="B24" s="28" t="s">
        <v>36</v>
      </c>
      <c r="C24" s="18"/>
      <c r="D24" s="18"/>
      <c r="E24" s="16" t="e">
        <f>#REF!</f>
        <v>#REF!</v>
      </c>
      <c r="F24" s="18"/>
      <c r="G24" s="18"/>
      <c r="H24" s="16" t="e">
        <f>#REF!</f>
        <v>#REF!</v>
      </c>
      <c r="I24" s="17"/>
      <c r="J24" s="18"/>
    </row>
    <row r="25" spans="1:13" ht="15.6">
      <c r="A25" s="24"/>
      <c r="B25" s="28" t="s">
        <v>29</v>
      </c>
      <c r="C25" s="18"/>
      <c r="D25" s="18"/>
      <c r="E25" s="16" t="e">
        <f>#REF!</f>
        <v>#REF!</v>
      </c>
      <c r="F25" s="18"/>
      <c r="G25" s="18"/>
      <c r="H25" s="16" t="e">
        <f>#REF!</f>
        <v>#REF!</v>
      </c>
      <c r="I25" s="17"/>
      <c r="J25" s="18"/>
    </row>
    <row r="26" spans="1:13" ht="15.6">
      <c r="A26" s="24"/>
      <c r="B26" s="28"/>
      <c r="C26" s="18"/>
      <c r="D26" s="18"/>
      <c r="E26" s="18"/>
      <c r="F26" s="18"/>
      <c r="G26" s="18"/>
      <c r="H26" s="18"/>
      <c r="I26" s="17"/>
      <c r="J26" s="18"/>
    </row>
    <row r="27" spans="1:13" ht="46.8">
      <c r="A27" s="24">
        <v>6</v>
      </c>
      <c r="B27" s="29" t="s">
        <v>25</v>
      </c>
      <c r="C27" s="16" t="e">
        <f>#REF!</f>
        <v>#REF!</v>
      </c>
      <c r="D27" s="16" t="e">
        <f>#REF!</f>
        <v>#REF!</v>
      </c>
      <c r="E27" s="16" t="e">
        <f>#REF!</f>
        <v>#REF!</v>
      </c>
      <c r="F27" s="16" t="e">
        <f>#REF!</f>
        <v>#REF!</v>
      </c>
      <c r="G27" s="16" t="e">
        <f>#REF!</f>
        <v>#REF!</v>
      </c>
      <c r="H27" s="16" t="e">
        <f>#REF!</f>
        <v>#REF!</v>
      </c>
      <c r="I27" s="17" t="e">
        <f>F27-C27</f>
        <v>#REF!</v>
      </c>
      <c r="J27" s="18"/>
    </row>
    <row r="28" spans="1:13" ht="15.6">
      <c r="A28" s="24"/>
      <c r="B28" s="28" t="s">
        <v>28</v>
      </c>
      <c r="C28" s="18"/>
      <c r="D28" s="18"/>
      <c r="E28" s="16" t="e">
        <f>#REF!</f>
        <v>#REF!</v>
      </c>
      <c r="F28" s="18"/>
      <c r="G28" s="18"/>
      <c r="H28" s="16" t="e">
        <f>#REF!</f>
        <v>#REF!</v>
      </c>
      <c r="I28" s="17"/>
      <c r="J28" s="18"/>
    </row>
    <row r="29" spans="1:13" ht="15.6">
      <c r="A29" s="24"/>
      <c r="B29" s="28" t="s">
        <v>30</v>
      </c>
      <c r="C29" s="18"/>
      <c r="D29" s="18"/>
      <c r="E29" s="16" t="e">
        <f>#REF!</f>
        <v>#REF!</v>
      </c>
      <c r="F29" s="18"/>
      <c r="G29" s="18"/>
      <c r="H29" s="16" t="e">
        <f>#REF!</f>
        <v>#REF!</v>
      </c>
      <c r="I29" s="17"/>
      <c r="J29" s="18"/>
    </row>
    <row r="30" spans="1:13" ht="15.6">
      <c r="A30" s="24"/>
      <c r="B30" s="28" t="s">
        <v>29</v>
      </c>
      <c r="C30" s="18"/>
      <c r="D30" s="18"/>
      <c r="E30" s="16" t="e">
        <f>#REF!</f>
        <v>#REF!</v>
      </c>
      <c r="F30" s="18"/>
      <c r="G30" s="18"/>
      <c r="H30" s="16" t="e">
        <f>#REF!</f>
        <v>#REF!</v>
      </c>
      <c r="I30" s="17"/>
      <c r="J30" s="18"/>
    </row>
    <row r="31" spans="1:13" ht="15.6">
      <c r="A31" s="24"/>
      <c r="B31" s="28"/>
      <c r="C31" s="18"/>
      <c r="D31" s="18"/>
      <c r="E31" s="18"/>
      <c r="F31" s="18"/>
      <c r="G31" s="18"/>
      <c r="H31" s="18"/>
      <c r="I31" s="17"/>
      <c r="J31" s="18"/>
    </row>
    <row r="32" spans="1:13" ht="15.6">
      <c r="A32" s="26">
        <v>7</v>
      </c>
      <c r="B32" s="30" t="s">
        <v>26</v>
      </c>
      <c r="C32" s="17" t="e">
        <f>#REF!</f>
        <v>#REF!</v>
      </c>
      <c r="D32" s="16" t="e">
        <f>#REF!</f>
        <v>#REF!</v>
      </c>
      <c r="E32" s="16" t="e">
        <f>#REF!</f>
        <v>#REF!</v>
      </c>
      <c r="F32" s="17" t="e">
        <f>#REF!</f>
        <v>#REF!</v>
      </c>
      <c r="G32" s="16" t="e">
        <f>#REF!</f>
        <v>#REF!</v>
      </c>
      <c r="H32" s="16" t="e">
        <f>#REF!</f>
        <v>#REF!</v>
      </c>
      <c r="I32" s="17" t="e">
        <f>F32-C32</f>
        <v>#REF!</v>
      </c>
      <c r="J32" s="18"/>
    </row>
    <row r="33" spans="1:10" ht="15.6">
      <c r="A33" s="26"/>
      <c r="B33" s="28" t="s">
        <v>28</v>
      </c>
      <c r="C33" s="18"/>
      <c r="D33" s="18"/>
      <c r="E33" s="16" t="e">
        <f>#REF!</f>
        <v>#REF!</v>
      </c>
      <c r="F33" s="18"/>
      <c r="G33" s="18"/>
      <c r="H33" s="16" t="e">
        <f>#REF!</f>
        <v>#REF!</v>
      </c>
      <c r="I33" s="17"/>
      <c r="J33" s="18"/>
    </row>
    <row r="34" spans="1:10" ht="15.6">
      <c r="A34" s="24"/>
      <c r="B34" s="28"/>
      <c r="C34" s="18"/>
      <c r="D34" s="18"/>
      <c r="E34" s="18"/>
      <c r="F34" s="18"/>
      <c r="G34" s="18"/>
      <c r="H34" s="18"/>
      <c r="I34" s="17"/>
      <c r="J34" s="18"/>
    </row>
    <row r="35" spans="1:10" ht="15.6">
      <c r="A35" s="24">
        <v>8</v>
      </c>
      <c r="B35" s="25" t="s">
        <v>37</v>
      </c>
      <c r="C35" s="16" t="e">
        <f>#REF!</f>
        <v>#REF!</v>
      </c>
      <c r="D35" s="16" t="e">
        <f>#REF!</f>
        <v>#REF!</v>
      </c>
      <c r="E35" s="16" t="e">
        <f>#REF!</f>
        <v>#REF!</v>
      </c>
      <c r="F35" s="16" t="e">
        <f>#REF!</f>
        <v>#REF!</v>
      </c>
      <c r="G35" s="16" t="e">
        <f>#REF!</f>
        <v>#REF!</v>
      </c>
      <c r="H35" s="16" t="e">
        <f>#REF!</f>
        <v>#REF!</v>
      </c>
      <c r="I35" s="17" t="e">
        <f>F35-C35</f>
        <v>#REF!</v>
      </c>
      <c r="J35" s="18"/>
    </row>
    <row r="36" spans="1:10" ht="15.6">
      <c r="A36" s="24"/>
      <c r="B36" s="28" t="s">
        <v>28</v>
      </c>
      <c r="C36" s="18"/>
      <c r="D36" s="18"/>
      <c r="E36" s="16" t="e">
        <f>#REF!</f>
        <v>#REF!</v>
      </c>
      <c r="F36" s="18"/>
      <c r="G36" s="18"/>
      <c r="H36" s="16" t="e">
        <f>#REF!</f>
        <v>#REF!</v>
      </c>
      <c r="I36" s="17"/>
      <c r="J36" s="18"/>
    </row>
    <row r="37" spans="1:10" ht="15.6">
      <c r="A37" s="24"/>
      <c r="B37" s="28" t="s">
        <v>29</v>
      </c>
      <c r="C37" s="18"/>
      <c r="D37" s="18"/>
      <c r="E37" s="16" t="e">
        <f>#REF!</f>
        <v>#REF!</v>
      </c>
      <c r="F37" s="18"/>
      <c r="G37" s="18"/>
      <c r="H37" s="16" t="e">
        <f>#REF!</f>
        <v>#REF!</v>
      </c>
      <c r="I37" s="17"/>
      <c r="J37" s="18"/>
    </row>
    <row r="38" spans="1:10" ht="15.6">
      <c r="A38" s="26"/>
      <c r="B38" s="28"/>
      <c r="C38" s="18"/>
      <c r="D38" s="18"/>
      <c r="E38" s="18"/>
      <c r="F38" s="18"/>
      <c r="G38" s="18"/>
      <c r="H38" s="18"/>
      <c r="I38" s="17"/>
      <c r="J38" s="18"/>
    </row>
    <row r="39" spans="1:10" ht="15.6">
      <c r="A39" s="24">
        <v>9</v>
      </c>
      <c r="B39" s="25" t="s">
        <v>38</v>
      </c>
      <c r="C39" s="16" t="e">
        <f>#REF!</f>
        <v>#REF!</v>
      </c>
      <c r="D39" s="16" t="e">
        <f>#REF!</f>
        <v>#REF!</v>
      </c>
      <c r="E39" s="16" t="e">
        <f>#REF!</f>
        <v>#REF!</v>
      </c>
      <c r="F39" s="16" t="e">
        <f>#REF!</f>
        <v>#REF!</v>
      </c>
      <c r="G39" s="16" t="e">
        <f>#REF!</f>
        <v>#REF!</v>
      </c>
      <c r="H39" s="16" t="e">
        <f>#REF!</f>
        <v>#REF!</v>
      </c>
      <c r="I39" s="17" t="e">
        <f>F39-C39</f>
        <v>#REF!</v>
      </c>
      <c r="J39" s="18"/>
    </row>
    <row r="40" spans="1:10" ht="15.6">
      <c r="A40" s="24"/>
      <c r="B40" s="25"/>
      <c r="C40" s="18"/>
      <c r="D40" s="18"/>
      <c r="E40" s="18"/>
      <c r="F40" s="18"/>
      <c r="G40" s="18"/>
      <c r="H40" s="18"/>
      <c r="I40" s="17"/>
      <c r="J40" s="18"/>
    </row>
    <row r="41" spans="1:10" ht="15.6">
      <c r="A41" s="26">
        <v>10</v>
      </c>
      <c r="B41" s="30" t="s">
        <v>42</v>
      </c>
      <c r="C41" s="17" t="e">
        <f>#REF!</f>
        <v>#REF!</v>
      </c>
      <c r="D41" s="16" t="e">
        <f>#REF!</f>
        <v>#REF!</v>
      </c>
      <c r="E41" s="16" t="e">
        <f>#REF!</f>
        <v>#REF!</v>
      </c>
      <c r="F41" s="17" t="e">
        <f>#REF!</f>
        <v>#REF!</v>
      </c>
      <c r="G41" s="16" t="e">
        <f>#REF!</f>
        <v>#REF!</v>
      </c>
      <c r="H41" s="16" t="e">
        <f>#REF!</f>
        <v>#REF!</v>
      </c>
      <c r="I41" s="17" t="e">
        <f>F41-C41</f>
        <v>#REF!</v>
      </c>
      <c r="J41" s="18"/>
    </row>
    <row r="42" spans="1:10" ht="15.6">
      <c r="A42" s="26"/>
      <c r="B42" s="31" t="s">
        <v>47</v>
      </c>
      <c r="C42" s="18"/>
      <c r="D42" s="16"/>
      <c r="E42" s="16" t="e">
        <f>#REF!</f>
        <v>#REF!</v>
      </c>
      <c r="F42" s="18"/>
      <c r="G42" s="18"/>
      <c r="H42" s="16" t="e">
        <f>#REF!</f>
        <v>#REF!</v>
      </c>
      <c r="I42" s="17"/>
      <c r="J42" s="18"/>
    </row>
    <row r="43" spans="1:10" ht="15.6">
      <c r="A43" s="26"/>
      <c r="B43" s="30"/>
      <c r="C43" s="18"/>
      <c r="D43" s="18"/>
      <c r="E43" s="18"/>
      <c r="F43" s="18"/>
      <c r="G43" s="18"/>
      <c r="H43" s="18"/>
      <c r="I43" s="17"/>
      <c r="J43" s="18"/>
    </row>
    <row r="44" spans="1:10" ht="15.6">
      <c r="A44" s="26">
        <v>11</v>
      </c>
      <c r="B44" s="30" t="s">
        <v>43</v>
      </c>
      <c r="C44" s="18" t="e">
        <f>#REF!</f>
        <v>#REF!</v>
      </c>
      <c r="D44" s="16" t="e">
        <f>#REF!</f>
        <v>#REF!</v>
      </c>
      <c r="E44" s="16" t="e">
        <f>#REF!</f>
        <v>#REF!</v>
      </c>
      <c r="F44" s="18" t="e">
        <f>#REF!</f>
        <v>#REF!</v>
      </c>
      <c r="G44" s="16" t="e">
        <f>#REF!</f>
        <v>#REF!</v>
      </c>
      <c r="H44" s="16" t="e">
        <f>#REF!</f>
        <v>#REF!</v>
      </c>
      <c r="I44" s="17" t="e">
        <f>F44-C44</f>
        <v>#REF!</v>
      </c>
      <c r="J44" s="18"/>
    </row>
    <row r="45" spans="1:10" ht="15.6">
      <c r="A45" s="24"/>
      <c r="B45" s="32" t="s">
        <v>48</v>
      </c>
      <c r="C45" s="18"/>
      <c r="D45" s="18"/>
      <c r="E45" s="16" t="e">
        <f>#REF!</f>
        <v>#REF!</v>
      </c>
      <c r="F45" s="18"/>
      <c r="G45" s="18"/>
      <c r="H45" s="16" t="e">
        <f>#REF!</f>
        <v>#REF!</v>
      </c>
      <c r="I45" s="17"/>
      <c r="J45" s="18"/>
    </row>
    <row r="46" spans="1:10" ht="15.6">
      <c r="A46" s="24"/>
      <c r="B46" s="25"/>
      <c r="C46" s="18"/>
      <c r="D46" s="18"/>
      <c r="E46" s="18"/>
      <c r="F46" s="18"/>
      <c r="G46" s="18"/>
      <c r="H46" s="18"/>
      <c r="I46" s="17"/>
      <c r="J46" s="18"/>
    </row>
    <row r="47" spans="1:10" ht="15.6">
      <c r="A47" s="33">
        <v>12</v>
      </c>
      <c r="B47" s="34" t="s">
        <v>44</v>
      </c>
      <c r="C47" s="16" t="e">
        <f>#REF!</f>
        <v>#REF!</v>
      </c>
      <c r="D47" s="16" t="e">
        <f>#REF!</f>
        <v>#REF!</v>
      </c>
      <c r="E47" s="16" t="e">
        <f>#REF!</f>
        <v>#REF!</v>
      </c>
      <c r="F47" s="16" t="e">
        <f>#REF!</f>
        <v>#REF!</v>
      </c>
      <c r="G47" s="16" t="e">
        <f>#REF!</f>
        <v>#REF!</v>
      </c>
      <c r="H47" s="16" t="e">
        <f>#REF!</f>
        <v>#REF!</v>
      </c>
      <c r="I47" s="17" t="e">
        <f>F47-C47</f>
        <v>#REF!</v>
      </c>
      <c r="J47" s="18"/>
    </row>
    <row r="48" spans="1:10" ht="15.6">
      <c r="A48" s="22"/>
      <c r="B48" s="35" t="s">
        <v>45</v>
      </c>
      <c r="C48" s="18"/>
      <c r="D48" s="18"/>
      <c r="E48" s="16" t="e">
        <f>#REF!</f>
        <v>#REF!</v>
      </c>
      <c r="F48" s="18"/>
      <c r="G48" s="18"/>
      <c r="H48" s="16" t="e">
        <f>#REF!</f>
        <v>#REF!</v>
      </c>
      <c r="I48" s="17"/>
      <c r="J48" s="18"/>
    </row>
    <row r="49" spans="1:10" ht="15.6">
      <c r="A49" s="26"/>
      <c r="B49" s="30"/>
      <c r="C49" s="18"/>
      <c r="D49" s="18"/>
      <c r="E49" s="18"/>
      <c r="F49" s="18"/>
      <c r="G49" s="18"/>
      <c r="H49" s="18"/>
      <c r="I49" s="17"/>
      <c r="J49" s="18"/>
    </row>
    <row r="50" spans="1:10" ht="15.6">
      <c r="A50" s="24">
        <v>12</v>
      </c>
      <c r="B50" s="36" t="s">
        <v>32</v>
      </c>
      <c r="C50" s="18">
        <v>1</v>
      </c>
      <c r="D50" s="18">
        <v>500</v>
      </c>
      <c r="E50" s="18">
        <v>500</v>
      </c>
      <c r="F50" s="17" t="e">
        <f>#REF!</f>
        <v>#REF!</v>
      </c>
      <c r="G50" s="16" t="e">
        <f>#REF!</f>
        <v>#REF!</v>
      </c>
      <c r="H50" s="16" t="e">
        <f>#REF!</f>
        <v>#REF!</v>
      </c>
      <c r="I50" s="17" t="e">
        <f>F50-C50</f>
        <v>#REF!</v>
      </c>
      <c r="J50" s="18"/>
    </row>
    <row r="51" spans="1:10" ht="15.6">
      <c r="A51" s="19"/>
      <c r="B51" s="20" t="s">
        <v>64</v>
      </c>
      <c r="C51" s="20"/>
      <c r="D51" s="20"/>
      <c r="E51" s="21" t="e">
        <f>SUM(E12:E50)</f>
        <v>#REF!</v>
      </c>
      <c r="F51" s="20"/>
      <c r="G51" s="20"/>
      <c r="H51" s="21" t="e">
        <f>SUM(H12:H50)</f>
        <v>#REF!</v>
      </c>
      <c r="I51" s="20"/>
      <c r="J51" s="20"/>
    </row>
  </sheetData>
  <mergeCells count="15">
    <mergeCell ref="A1:J1"/>
    <mergeCell ref="A2:J2"/>
    <mergeCell ref="A3:J3"/>
    <mergeCell ref="A4:J4"/>
    <mergeCell ref="C6:D6"/>
    <mergeCell ref="I6:J6"/>
    <mergeCell ref="C7:D7"/>
    <mergeCell ref="E7:F7"/>
    <mergeCell ref="H7:J7"/>
    <mergeCell ref="A10:A11"/>
    <mergeCell ref="B10:B11"/>
    <mergeCell ref="C10:E10"/>
    <mergeCell ref="F10:H10"/>
    <mergeCell ref="I10:I11"/>
    <mergeCell ref="J10:J11"/>
  </mergeCells>
  <pageMargins left="0.7" right="0.7" top="0.75" bottom="0.75" header="0.3" footer="0.3"/>
  <pageSetup scale="88" orientation="landscape" horizontalDpi="1200" verticalDpi="1200" r:id="rId1"/>
  <headerFooter>
    <oddFooter>&amp;LPrepared By
Nitesh Basukala
Sub Engineer&amp;CChecked By         Submitted By
Nabin KC   Prakash Singh Saud
Engineer                        Engineer&amp;RApproved By 
Basudev Khanal 
CAO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zoomScale="80" zoomScaleNormal="80" workbookViewId="0">
      <selection activeCell="F8" sqref="F8"/>
    </sheetView>
  </sheetViews>
  <sheetFormatPr defaultRowHeight="14.4"/>
  <cols>
    <col min="1" max="1" width="10.5546875" customWidth="1"/>
    <col min="2" max="3" width="13.88671875" customWidth="1"/>
    <col min="4" max="5" width="14" customWidth="1"/>
    <col min="6" max="6" width="12.5546875" customWidth="1"/>
    <col min="7" max="7" width="13.44140625" customWidth="1"/>
    <col min="8" max="8" width="12.5546875" customWidth="1"/>
  </cols>
  <sheetData>
    <row r="1" spans="1:8" ht="21">
      <c r="A1" s="38">
        <v>152</v>
      </c>
      <c r="B1" s="144" t="s">
        <v>75</v>
      </c>
      <c r="C1" s="145"/>
      <c r="D1" s="145"/>
      <c r="E1" s="145"/>
      <c r="F1" s="145"/>
      <c r="G1" s="145"/>
      <c r="H1" s="145"/>
    </row>
    <row r="2" spans="1:8" ht="15.6">
      <c r="A2" s="39" t="s">
        <v>76</v>
      </c>
      <c r="B2" s="146" t="s">
        <v>77</v>
      </c>
      <c r="C2" s="147"/>
      <c r="D2" s="147"/>
      <c r="E2" s="147"/>
      <c r="F2" s="147"/>
      <c r="G2" s="147"/>
      <c r="H2" s="147"/>
    </row>
    <row r="3" spans="1:8" ht="32.4">
      <c r="A3" s="40"/>
      <c r="B3" s="41" t="s">
        <v>78</v>
      </c>
      <c r="C3" s="41" t="s">
        <v>79</v>
      </c>
      <c r="D3" s="41" t="s">
        <v>80</v>
      </c>
      <c r="E3" s="41" t="s">
        <v>81</v>
      </c>
      <c r="F3" s="41" t="s">
        <v>82</v>
      </c>
      <c r="G3" s="41" t="s">
        <v>83</v>
      </c>
      <c r="H3" s="41" t="s">
        <v>84</v>
      </c>
    </row>
    <row r="4" spans="1:8" ht="16.8">
      <c r="A4" s="40"/>
      <c r="B4" s="148" t="s">
        <v>85</v>
      </c>
      <c r="C4" s="42" t="s">
        <v>86</v>
      </c>
      <c r="D4" s="43">
        <v>0.5</v>
      </c>
      <c r="E4" s="44" t="s">
        <v>87</v>
      </c>
      <c r="F4" s="45">
        <v>1330</v>
      </c>
      <c r="G4" s="45">
        <f>FLOOR(D4*F4,0.01)</f>
        <v>665</v>
      </c>
      <c r="H4" s="46"/>
    </row>
    <row r="5" spans="1:8" ht="18">
      <c r="A5" s="40"/>
      <c r="B5" s="149"/>
      <c r="C5" s="47" t="s">
        <v>88</v>
      </c>
      <c r="D5" s="48">
        <v>1</v>
      </c>
      <c r="E5" s="47" t="s">
        <v>87</v>
      </c>
      <c r="F5" s="49">
        <v>1000</v>
      </c>
      <c r="G5" s="49">
        <f>FLOOR(D5*F5,0.01)</f>
        <v>1000</v>
      </c>
      <c r="H5" s="50">
        <f>SUM(G4+G5)</f>
        <v>1665</v>
      </c>
    </row>
    <row r="6" spans="1:8" ht="18">
      <c r="A6" s="40"/>
      <c r="B6" s="150" t="s">
        <v>89</v>
      </c>
      <c r="C6" s="44" t="s">
        <v>90</v>
      </c>
      <c r="D6" s="43">
        <f>420*0</f>
        <v>0</v>
      </c>
      <c r="E6" s="44" t="s">
        <v>91</v>
      </c>
      <c r="F6" s="51">
        <v>15.145</v>
      </c>
      <c r="G6" s="52">
        <f>FLOOR(D6*F6,0.01)</f>
        <v>0</v>
      </c>
      <c r="H6" s="46"/>
    </row>
    <row r="7" spans="1:8" ht="18">
      <c r="A7" s="40"/>
      <c r="B7" s="151"/>
      <c r="C7" s="47" t="s">
        <v>92</v>
      </c>
      <c r="D7" s="48">
        <f>0.71*0</f>
        <v>0</v>
      </c>
      <c r="E7" s="47" t="s">
        <v>93</v>
      </c>
      <c r="F7" s="49">
        <v>3389.76</v>
      </c>
      <c r="G7" s="49">
        <f>FLOOR(D7*F7,0.01)</f>
        <v>0</v>
      </c>
      <c r="H7" s="53">
        <f>SUM(G6:G7)</f>
        <v>0</v>
      </c>
    </row>
    <row r="8" spans="1:8" ht="20.399999999999999">
      <c r="A8" s="40"/>
      <c r="B8" s="40"/>
      <c r="C8" s="40"/>
      <c r="D8" s="40"/>
      <c r="E8" s="40"/>
      <c r="F8" s="54" t="s">
        <v>94</v>
      </c>
      <c r="G8" s="55"/>
      <c r="H8" s="49">
        <f>SUM(H7,H5)</f>
        <v>1665</v>
      </c>
    </row>
    <row r="9" spans="1:8" ht="20.399999999999999">
      <c r="A9" s="40"/>
      <c r="B9" s="40" t="s">
        <v>95</v>
      </c>
      <c r="C9" s="40"/>
      <c r="D9" s="40"/>
      <c r="E9" s="40"/>
      <c r="F9" s="54" t="s">
        <v>96</v>
      </c>
      <c r="G9" s="55"/>
      <c r="H9" s="56">
        <f>FLOOR(H8*0.15,0.01)</f>
        <v>249.75</v>
      </c>
    </row>
    <row r="10" spans="1:8" ht="20.399999999999999">
      <c r="A10" s="57"/>
      <c r="B10" s="58">
        <f>+H10</f>
        <v>1914.75</v>
      </c>
      <c r="C10" s="59" t="s">
        <v>97</v>
      </c>
      <c r="D10" s="56">
        <f>INT(B10/B11*100)/100</f>
        <v>191.47</v>
      </c>
      <c r="E10" s="40" t="s">
        <v>98</v>
      </c>
      <c r="F10" s="54" t="s">
        <v>99</v>
      </c>
      <c r="G10" s="55"/>
      <c r="H10" s="56">
        <f>SUM(H8:H9)</f>
        <v>1914.75</v>
      </c>
    </row>
    <row r="11" spans="1:8" ht="16.8">
      <c r="A11" s="40"/>
      <c r="B11" s="60">
        <v>10</v>
      </c>
      <c r="C11" s="40"/>
      <c r="D11" s="40"/>
      <c r="E11" s="40"/>
      <c r="F11" s="40"/>
      <c r="G11" s="40"/>
      <c r="H11" s="40"/>
    </row>
  </sheetData>
  <sheetProtection algorithmName="SHA-512" hashValue="BHpjvqogGsJTyvmswF5yADF/MQEH182kQ3BQwKxz7nBNmFdMyiRYNKN1krIKmS/vSA+RKVYcNPDTXBu+udIgPg==" saltValue="a+MvDxOYwIW2M4YgJ1Ikug==" spinCount="100000" sheet="1" objects="1" scenarios="1"/>
  <mergeCells count="4">
    <mergeCell ref="B1:H1"/>
    <mergeCell ref="B2:H2"/>
    <mergeCell ref="B4:B5"/>
    <mergeCell ref="B6:B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4D04-1B58-42BA-A05B-E669B2EB3EFE}">
  <dimension ref="A1:N12"/>
  <sheetViews>
    <sheetView workbookViewId="0">
      <selection activeCell="C4" sqref="C4"/>
    </sheetView>
  </sheetViews>
  <sheetFormatPr defaultRowHeight="14.4"/>
  <cols>
    <col min="1" max="1" width="7" bestFit="1" customWidth="1"/>
    <col min="2" max="2" width="8" bestFit="1" customWidth="1"/>
    <col min="3" max="3" width="6.88671875" bestFit="1" customWidth="1"/>
    <col min="4" max="4" width="13.5546875" bestFit="1" customWidth="1"/>
    <col min="5" max="5" width="13.33203125" bestFit="1" customWidth="1"/>
    <col min="6" max="6" width="19.109375" bestFit="1" customWidth="1"/>
    <col min="7" max="7" width="18.88671875" bestFit="1" customWidth="1"/>
    <col min="8" max="8" width="15.88671875" bestFit="1" customWidth="1"/>
    <col min="9" max="9" width="4.5546875" bestFit="1" customWidth="1"/>
    <col min="10" max="10" width="13.109375" bestFit="1" customWidth="1"/>
  </cols>
  <sheetData>
    <row r="1" spans="1:14">
      <c r="A1" s="156" t="s">
        <v>3</v>
      </c>
      <c r="B1" s="156" t="s">
        <v>4</v>
      </c>
      <c r="C1" s="156" t="s">
        <v>5</v>
      </c>
      <c r="D1" s="156" t="s">
        <v>119</v>
      </c>
      <c r="E1" s="156" t="s">
        <v>122</v>
      </c>
      <c r="F1" s="156" t="s">
        <v>120</v>
      </c>
      <c r="G1" s="156" t="s">
        <v>121</v>
      </c>
      <c r="H1" s="156" t="s">
        <v>117</v>
      </c>
      <c r="I1" s="158" t="s">
        <v>118</v>
      </c>
      <c r="J1" s="152" t="s">
        <v>123</v>
      </c>
      <c r="K1" s="155" t="s">
        <v>124</v>
      </c>
      <c r="L1" s="155"/>
      <c r="M1" s="153" t="s">
        <v>125</v>
      </c>
      <c r="N1" s="153"/>
    </row>
    <row r="2" spans="1:14">
      <c r="A2" s="157"/>
      <c r="B2" s="157"/>
      <c r="C2" s="157"/>
      <c r="D2" s="157"/>
      <c r="E2" s="157"/>
      <c r="F2" s="157"/>
      <c r="G2" s="157"/>
      <c r="H2" s="157"/>
      <c r="I2" s="159"/>
      <c r="J2" s="152"/>
      <c r="K2" s="120" t="s">
        <v>3</v>
      </c>
      <c r="L2" s="118" t="s">
        <v>4</v>
      </c>
      <c r="M2" s="115" t="s">
        <v>3</v>
      </c>
      <c r="N2" s="115" t="s">
        <v>5</v>
      </c>
    </row>
    <row r="3" spans="1:14">
      <c r="A3" s="116">
        <f>26/3.281</f>
        <v>7.9244132886315146</v>
      </c>
      <c r="B3" s="116">
        <f>12.5/3.281</f>
        <v>3.8098140810728434</v>
      </c>
      <c r="C3" s="116">
        <f>6/3.281</f>
        <v>1.8287107589149649</v>
      </c>
      <c r="D3" s="116">
        <v>0.125</v>
      </c>
      <c r="E3" s="116">
        <v>2.5000000000000001E-2</v>
      </c>
      <c r="F3" s="116">
        <f>8/12/3.281</f>
        <v>0.20319008432388497</v>
      </c>
      <c r="G3" s="116">
        <f>1.5/12/3.281</f>
        <v>3.8098140810728431E-2</v>
      </c>
      <c r="H3" s="116">
        <v>0.15</v>
      </c>
      <c r="I3" s="119">
        <v>7.4999999999999997E-2</v>
      </c>
      <c r="J3" s="117">
        <v>8</v>
      </c>
      <c r="K3" s="121">
        <f>2/3.281</f>
        <v>0.6095702529716549</v>
      </c>
      <c r="L3" s="119">
        <f>2/3.281</f>
        <v>0.6095702529716549</v>
      </c>
      <c r="M3" s="116">
        <f>1/3.281</f>
        <v>0.30478512648582745</v>
      </c>
      <c r="N3" s="116">
        <f>1/3.281</f>
        <v>0.30478512648582745</v>
      </c>
    </row>
    <row r="4" spans="1:14">
      <c r="J4" s="117">
        <f>57*J3/1000</f>
        <v>0.45600000000000002</v>
      </c>
      <c r="M4" s="154">
        <f>SQRT(('Size of water tank'!M3)^2+('Size of water tank'!N3)^2)</f>
        <v>0.43103125948585641</v>
      </c>
      <c r="N4" s="154"/>
    </row>
    <row r="11" spans="1:14">
      <c r="F11">
        <f>7.5*3.281</f>
        <v>24.607500000000002</v>
      </c>
    </row>
    <row r="12" spans="1:14">
      <c r="F12">
        <f>3.5*3.281</f>
        <v>11.483500000000001</v>
      </c>
    </row>
  </sheetData>
  <mergeCells count="13">
    <mergeCell ref="J1:J2"/>
    <mergeCell ref="M1:N1"/>
    <mergeCell ref="M4:N4"/>
    <mergeCell ref="K1:L1"/>
    <mergeCell ref="A1:A2"/>
    <mergeCell ref="B1:B2"/>
    <mergeCell ref="C1:C2"/>
    <mergeCell ref="D1:D2"/>
    <mergeCell ref="E1:E2"/>
    <mergeCell ref="F1:F2"/>
    <mergeCell ref="G1:G2"/>
    <mergeCell ref="H1:H2"/>
    <mergeCell ref="I1:I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B3309-9F25-4755-BF2A-62A086A4BBD1}">
  <dimension ref="A1:L84"/>
  <sheetViews>
    <sheetView tabSelected="1" topLeftCell="A62" zoomScaleNormal="100" zoomScaleSheetLayoutView="80" workbookViewId="0">
      <selection activeCell="F12" sqref="F12"/>
    </sheetView>
  </sheetViews>
  <sheetFormatPr defaultColWidth="9.109375" defaultRowHeight="16.8"/>
  <cols>
    <col min="1" max="1" width="4.44140625" style="69" customWidth="1"/>
    <col min="2" max="2" width="30.5546875" style="5" customWidth="1"/>
    <col min="3" max="3" width="5.5546875" style="1" customWidth="1"/>
    <col min="4" max="4" width="8.33203125" style="1" customWidth="1"/>
    <col min="5" max="5" width="9.109375" style="1" customWidth="1"/>
    <col min="6" max="6" width="8.44140625" style="1" customWidth="1"/>
    <col min="7" max="7" width="10.109375" style="1" customWidth="1"/>
    <col min="8" max="8" width="5.44140625" style="1" customWidth="1"/>
    <col min="9" max="9" width="10.6640625" style="2" bestFit="1" customWidth="1"/>
    <col min="10" max="10" width="11.33203125" style="1" bestFit="1" customWidth="1"/>
    <col min="11" max="11" width="9.6640625" style="1" customWidth="1"/>
    <col min="12" max="16384" width="9.109375" style="1"/>
  </cols>
  <sheetData>
    <row r="1" spans="1:12">
      <c r="A1" s="127" t="s">
        <v>11</v>
      </c>
      <c r="B1" s="127"/>
      <c r="C1" s="127"/>
      <c r="D1" s="127"/>
      <c r="E1" s="127"/>
      <c r="F1" s="127"/>
      <c r="G1" s="127"/>
      <c r="H1" s="127"/>
      <c r="I1" s="127"/>
      <c r="J1" s="127"/>
      <c r="K1" s="127"/>
      <c r="L1" s="106"/>
    </row>
    <row r="2" spans="1:12" ht="20.399999999999999">
      <c r="A2" s="128" t="s">
        <v>16</v>
      </c>
      <c r="B2" s="128"/>
      <c r="C2" s="128"/>
      <c r="D2" s="128"/>
      <c r="E2" s="128"/>
      <c r="F2" s="128"/>
      <c r="G2" s="128"/>
      <c r="H2" s="128"/>
      <c r="I2" s="128"/>
      <c r="J2" s="128"/>
      <c r="K2" s="128"/>
      <c r="L2" s="113"/>
    </row>
    <row r="3" spans="1:12">
      <c r="A3" s="127" t="s">
        <v>17</v>
      </c>
      <c r="B3" s="127"/>
      <c r="C3" s="127"/>
      <c r="D3" s="127"/>
      <c r="E3" s="127"/>
      <c r="F3" s="127"/>
      <c r="G3" s="127"/>
      <c r="H3" s="127"/>
      <c r="I3" s="127"/>
      <c r="J3" s="127"/>
      <c r="K3" s="127"/>
      <c r="L3" s="106"/>
    </row>
    <row r="4" spans="1:12">
      <c r="A4" s="129" t="s">
        <v>22</v>
      </c>
      <c r="B4" s="129"/>
      <c r="C4" s="129"/>
      <c r="D4" s="129"/>
      <c r="E4" s="129"/>
      <c r="F4" s="129"/>
      <c r="G4" s="129"/>
      <c r="H4" s="129"/>
      <c r="I4" s="129"/>
      <c r="J4" s="129"/>
      <c r="K4" s="129"/>
    </row>
    <row r="5" spans="1:12" ht="21.6">
      <c r="A5" s="114" t="s">
        <v>129</v>
      </c>
      <c r="G5" s="4"/>
      <c r="J5" s="130" t="s">
        <v>128</v>
      </c>
      <c r="K5" s="130"/>
    </row>
    <row r="6" spans="1:12">
      <c r="A6" s="131" t="s">
        <v>27</v>
      </c>
      <c r="B6" s="131"/>
      <c r="C6" s="131"/>
      <c r="D6" s="131"/>
      <c r="E6" s="131"/>
      <c r="F6" s="131"/>
      <c r="G6" s="61"/>
      <c r="H6" s="132" t="s">
        <v>130</v>
      </c>
      <c r="I6" s="132"/>
      <c r="J6" s="132"/>
      <c r="K6" s="132"/>
    </row>
    <row r="7" spans="1:12">
      <c r="B7" s="3"/>
      <c r="C7" s="4"/>
      <c r="D7" s="61"/>
      <c r="E7" s="61"/>
      <c r="F7" s="61"/>
      <c r="G7" s="61"/>
      <c r="I7" s="62"/>
      <c r="J7" s="61"/>
      <c r="K7" s="5"/>
    </row>
    <row r="8" spans="1:12" s="4" customFormat="1">
      <c r="A8" s="70" t="s">
        <v>0</v>
      </c>
      <c r="B8" s="66" t="s">
        <v>1</v>
      </c>
      <c r="C8" s="63" t="s">
        <v>2</v>
      </c>
      <c r="D8" s="67" t="s">
        <v>3</v>
      </c>
      <c r="E8" s="67" t="s">
        <v>4</v>
      </c>
      <c r="F8" s="67" t="s">
        <v>5</v>
      </c>
      <c r="G8" s="64" t="s">
        <v>6</v>
      </c>
      <c r="H8" s="63" t="s">
        <v>7</v>
      </c>
      <c r="I8" s="67" t="s">
        <v>8</v>
      </c>
      <c r="J8" s="67" t="s">
        <v>9</v>
      </c>
      <c r="K8" s="68" t="s">
        <v>114</v>
      </c>
    </row>
    <row r="9" spans="1:12">
      <c r="A9" s="71" t="s">
        <v>73</v>
      </c>
      <c r="B9" s="72" t="s">
        <v>74</v>
      </c>
      <c r="C9" s="73"/>
      <c r="D9" s="74"/>
      <c r="E9" s="74"/>
      <c r="F9" s="74"/>
      <c r="G9" s="74"/>
      <c r="H9" s="75"/>
      <c r="I9" s="74"/>
      <c r="J9" s="74"/>
      <c r="K9" s="76"/>
    </row>
    <row r="10" spans="1:12" ht="30.6">
      <c r="A10" s="77">
        <v>1</v>
      </c>
      <c r="B10" s="112" t="s">
        <v>136</v>
      </c>
      <c r="C10" s="82"/>
      <c r="D10" s="83"/>
      <c r="E10" s="83"/>
      <c r="F10" s="84"/>
      <c r="G10" s="83"/>
      <c r="H10" s="80"/>
      <c r="I10" s="83"/>
      <c r="J10" s="83"/>
      <c r="K10" s="81"/>
    </row>
    <row r="11" spans="1:12">
      <c r="A11" s="77"/>
      <c r="B11" s="85"/>
      <c r="C11" s="82">
        <v>1</v>
      </c>
      <c r="D11" s="83">
        <f>'Size of water tank'!A3+0.15</f>
        <v>8.074413288631515</v>
      </c>
      <c r="E11" s="83">
        <f>'Size of water tank'!B3+0.15</f>
        <v>3.9598140810728433</v>
      </c>
      <c r="F11" s="84">
        <v>0.3</v>
      </c>
      <c r="G11" s="83">
        <f t="shared" ref="G11" si="0">PRODUCT(C11:F11)</f>
        <v>9.5919526310174259</v>
      </c>
      <c r="H11" s="80"/>
      <c r="I11" s="83"/>
      <c r="J11" s="83"/>
      <c r="K11" s="81"/>
    </row>
    <row r="12" spans="1:12">
      <c r="A12" s="77"/>
      <c r="B12" s="79"/>
      <c r="C12" s="82"/>
      <c r="D12" s="83"/>
      <c r="E12" s="83"/>
      <c r="F12" s="84"/>
      <c r="G12" s="83">
        <f>SUM(G11)</f>
        <v>9.5919526310174259</v>
      </c>
      <c r="H12" s="80" t="s">
        <v>24</v>
      </c>
      <c r="I12" s="83">
        <v>721</v>
      </c>
      <c r="J12" s="83">
        <f>G12*I12</f>
        <v>6915.7978469635636</v>
      </c>
      <c r="K12" s="81"/>
    </row>
    <row r="13" spans="1:12">
      <c r="A13" s="77"/>
      <c r="B13" s="79"/>
      <c r="C13" s="82"/>
      <c r="D13" s="83"/>
      <c r="E13" s="83"/>
      <c r="F13" s="84"/>
      <c r="G13" s="83"/>
      <c r="H13" s="80"/>
      <c r="I13" s="83"/>
      <c r="J13" s="83"/>
      <c r="K13" s="81"/>
    </row>
    <row r="14" spans="1:12" ht="30.6">
      <c r="A14" s="86">
        <v>2</v>
      </c>
      <c r="B14" s="112" t="s">
        <v>131</v>
      </c>
      <c r="C14" s="87"/>
      <c r="D14" s="88"/>
      <c r="E14" s="88"/>
      <c r="F14" s="84"/>
      <c r="G14" s="88"/>
      <c r="H14" s="84"/>
      <c r="I14" s="88"/>
      <c r="J14" s="88"/>
      <c r="K14" s="81"/>
    </row>
    <row r="15" spans="1:12">
      <c r="A15" s="86"/>
      <c r="B15" s="89" t="s">
        <v>101</v>
      </c>
      <c r="C15" s="87">
        <f>C11</f>
        <v>1</v>
      </c>
      <c r="D15" s="88">
        <f>D11</f>
        <v>8.074413288631515</v>
      </c>
      <c r="E15" s="88">
        <f>E11</f>
        <v>3.9598140810728433</v>
      </c>
      <c r="F15" s="84">
        <f>'Size of water tank'!H3</f>
        <v>0.15</v>
      </c>
      <c r="G15" s="88">
        <f>PRODUCT(C15:F15)</f>
        <v>4.795976315508713</v>
      </c>
      <c r="H15" s="84"/>
      <c r="I15" s="88"/>
      <c r="J15" s="88"/>
      <c r="K15" s="81"/>
    </row>
    <row r="16" spans="1:12">
      <c r="A16" s="86"/>
      <c r="B16" s="81"/>
      <c r="C16" s="87"/>
      <c r="D16" s="88"/>
      <c r="E16" s="88"/>
      <c r="F16" s="84"/>
      <c r="G16" s="88">
        <f>SUM(G15)</f>
        <v>4.795976315508713</v>
      </c>
      <c r="H16" s="84" t="s">
        <v>23</v>
      </c>
      <c r="I16" s="88">
        <v>4805.01</v>
      </c>
      <c r="J16" s="88">
        <f>G16*I16</f>
        <v>23044.714155782523</v>
      </c>
      <c r="K16" s="81"/>
    </row>
    <row r="17" spans="1:11">
      <c r="A17" s="77"/>
      <c r="B17" s="79"/>
      <c r="C17" s="82"/>
      <c r="D17" s="83"/>
      <c r="E17" s="83"/>
      <c r="F17" s="84"/>
      <c r="G17" s="83"/>
      <c r="H17" s="80"/>
      <c r="I17" s="83"/>
      <c r="J17" s="83"/>
      <c r="K17" s="81"/>
    </row>
    <row r="18" spans="1:11" ht="30.6">
      <c r="A18" s="77">
        <v>3</v>
      </c>
      <c r="B18" s="111" t="s">
        <v>100</v>
      </c>
      <c r="C18" s="82"/>
      <c r="D18" s="83"/>
      <c r="E18" s="83"/>
      <c r="F18" s="83"/>
      <c r="G18" s="83"/>
      <c r="H18" s="80"/>
      <c r="I18" s="83"/>
      <c r="J18" s="83"/>
      <c r="K18" s="81"/>
    </row>
    <row r="19" spans="1:11">
      <c r="A19" s="77"/>
      <c r="B19" s="90" t="str">
        <f>B15</f>
        <v>-for flooring</v>
      </c>
      <c r="C19" s="82">
        <f>C11</f>
        <v>1</v>
      </c>
      <c r="D19" s="83">
        <f>D11</f>
        <v>8.074413288631515</v>
      </c>
      <c r="E19" s="83">
        <f>E11</f>
        <v>3.9598140810728433</v>
      </c>
      <c r="F19" s="83">
        <f>'Size of water tank'!I3</f>
        <v>7.4999999999999997E-2</v>
      </c>
      <c r="G19" s="88">
        <f>PRODUCT(C19:F19)</f>
        <v>2.3979881577543565</v>
      </c>
      <c r="H19" s="80"/>
      <c r="I19" s="83"/>
      <c r="J19" s="83"/>
      <c r="K19" s="81"/>
    </row>
    <row r="20" spans="1:11">
      <c r="A20" s="77"/>
      <c r="B20" s="91"/>
      <c r="C20" s="82"/>
      <c r="D20" s="83"/>
      <c r="E20" s="83" t="s">
        <v>31</v>
      </c>
      <c r="F20" s="83"/>
      <c r="G20" s="83">
        <f>SUM(G19)</f>
        <v>2.3979881577543565</v>
      </c>
      <c r="H20" s="80" t="s">
        <v>24</v>
      </c>
      <c r="I20" s="83">
        <v>13944.36</v>
      </c>
      <c r="J20" s="83">
        <f>G20*I20</f>
        <v>33438.410147463539</v>
      </c>
      <c r="K20" s="81"/>
    </row>
    <row r="21" spans="1:11">
      <c r="A21" s="77"/>
      <c r="B21" s="78"/>
      <c r="C21" s="82"/>
      <c r="D21" s="83"/>
      <c r="E21" s="83"/>
      <c r="F21" s="83"/>
      <c r="G21" s="83"/>
      <c r="H21" s="80"/>
      <c r="I21" s="83"/>
      <c r="J21" s="83"/>
      <c r="K21" s="81"/>
    </row>
    <row r="22" spans="1:11" ht="30.6">
      <c r="A22" s="77">
        <v>4</v>
      </c>
      <c r="B22" s="111" t="s">
        <v>71</v>
      </c>
      <c r="C22" s="82"/>
      <c r="D22" s="83"/>
      <c r="E22" s="83"/>
      <c r="F22" s="83"/>
      <c r="G22" s="83"/>
      <c r="H22" s="80"/>
      <c r="I22" s="83"/>
      <c r="J22" s="83"/>
      <c r="K22" s="81"/>
    </row>
    <row r="23" spans="1:11">
      <c r="A23" s="77"/>
      <c r="B23" s="92" t="s">
        <v>115</v>
      </c>
      <c r="C23" s="87">
        <f>TRUNC(('Size of water tank'!A3-'Size of water tank'!G3*2)/0.15,0)+1-6</f>
        <v>47</v>
      </c>
      <c r="D23" s="88">
        <f>('Size of water tank'!B3-'Size of water tank'!G3*2)+(('Size of water tank'!C3+'Size of water tank'!D3-'Size of water tank'!E3*2)*2)</f>
        <v>7.5410393172813164</v>
      </c>
      <c r="E23" s="83"/>
      <c r="F23" s="83">
        <f>10*10/162</f>
        <v>0.61728395061728392</v>
      </c>
      <c r="G23" s="88">
        <f>PRODUCT(C23:F23)</f>
        <v>218.78323945198881</v>
      </c>
      <c r="H23" s="80"/>
      <c r="I23" s="83"/>
      <c r="J23" s="83"/>
      <c r="K23" s="81"/>
    </row>
    <row r="24" spans="1:11">
      <c r="A24" s="77"/>
      <c r="B24" s="90"/>
      <c r="C24" s="87">
        <f>TRUNC(('Size of water tank'!A3-'Size of water tank'!F3*2+'Size of water tank'!G3*2)/0.15,0)+1-6</f>
        <v>45</v>
      </c>
      <c r="D24" s="88">
        <f>('Size of water tank'!B3-'Size of water tank'!F3*2+'Size of water tank'!G3*2)+(('Size of water tank'!C3+'Size of water tank'!D3-'Size of water tank'!E3*2)*2)</f>
        <v>7.2870517118764599</v>
      </c>
      <c r="E24" s="83"/>
      <c r="F24" s="83">
        <f>10*10/162</f>
        <v>0.61728395061728392</v>
      </c>
      <c r="G24" s="88">
        <f t="shared" ref="G24:G32" si="1">PRODUCT(C24:F24)</f>
        <v>202.41810310767943</v>
      </c>
      <c r="H24" s="80"/>
      <c r="I24" s="83"/>
      <c r="J24" s="83"/>
      <c r="K24" s="81"/>
    </row>
    <row r="25" spans="1:11">
      <c r="A25" s="77"/>
      <c r="B25" s="92" t="s">
        <v>102</v>
      </c>
      <c r="C25" s="87">
        <f>TRUNC(('Size of water tank'!B3-'Size of water tank'!G3*2)/0.15,0)+1-4</f>
        <v>21</v>
      </c>
      <c r="D25" s="88">
        <f>('Size of water tank'!A3-'Size of water tank'!G3*2)+(('Size of water tank'!C3+'Size of water tank'!D3-'Size of water tank'!E3*2)*2)</f>
        <v>11.655638524839986</v>
      </c>
      <c r="E25" s="83"/>
      <c r="F25" s="83">
        <f>10*10/162</f>
        <v>0.61728395061728392</v>
      </c>
      <c r="G25" s="88">
        <f t="shared" si="1"/>
        <v>151.09161050718501</v>
      </c>
      <c r="H25" s="80"/>
      <c r="I25" s="83"/>
      <c r="J25" s="83"/>
      <c r="K25" s="81"/>
    </row>
    <row r="26" spans="1:11">
      <c r="A26" s="77"/>
      <c r="B26" s="90"/>
      <c r="C26" s="87">
        <f>TRUNC(('Size of water tank'!B3-'Size of water tank'!F3*2+'Size of water tank'!G3*2)/0.15,0)+1-4</f>
        <v>20</v>
      </c>
      <c r="D26" s="88">
        <f>('Size of water tank'!A3-'Size of water tank'!F3*2+'Size of water tank'!G3*2)+(('Size of water tank'!C3+'Size of water tank'!D3-'Size of water tank'!E3*2)*2)</f>
        <v>11.401650919435131</v>
      </c>
      <c r="E26" s="83"/>
      <c r="F26" s="83">
        <f>10*10/162</f>
        <v>0.61728395061728392</v>
      </c>
      <c r="G26" s="88">
        <f t="shared" si="1"/>
        <v>140.76112246216209</v>
      </c>
      <c r="H26" s="80"/>
      <c r="I26" s="83"/>
      <c r="J26" s="83"/>
      <c r="K26" s="81"/>
    </row>
    <row r="27" spans="1:11">
      <c r="A27" s="77"/>
      <c r="B27" s="92" t="s">
        <v>116</v>
      </c>
      <c r="C27" s="82">
        <f>TRUNC(('Size of water tank'!C3-'Size of water tank'!E3)/0.15,0)+1</f>
        <v>13</v>
      </c>
      <c r="D27" s="83">
        <f>('Size of water tank'!A3-'Size of water tank'!G3*2)*2+('Size of water tank'!B3-'Size of water tank'!G3*2)*2</f>
        <v>23.163669612922888</v>
      </c>
      <c r="E27" s="83"/>
      <c r="F27" s="83">
        <f>8*8/162</f>
        <v>0.39506172839506171</v>
      </c>
      <c r="G27" s="88">
        <f t="shared" si="1"/>
        <v>118.96403159229531</v>
      </c>
      <c r="H27" s="80"/>
      <c r="I27" s="83"/>
      <c r="J27" s="83"/>
      <c r="K27" s="81"/>
    </row>
    <row r="28" spans="1:11">
      <c r="A28" s="77"/>
      <c r="B28" s="90"/>
      <c r="C28" s="82">
        <f>TRUNC(('Size of water tank'!C3+'Size of water tank'!E3)/0.15,0)+1</f>
        <v>13</v>
      </c>
      <c r="D28" s="83">
        <f>('Size of water tank'!A3-'Size of water tank'!F3*2+'Size of water tank'!G3*2)*2+('Size of water tank'!B3-'Size of water tank'!F3*2+'Size of water tank'!G3*2)*2</f>
        <v>22.147719191303466</v>
      </c>
      <c r="E28" s="83"/>
      <c r="F28" s="83">
        <f>8*8/162</f>
        <v>0.39506172839506171</v>
      </c>
      <c r="G28" s="88">
        <f t="shared" si="1"/>
        <v>113.74631090842273</v>
      </c>
      <c r="H28" s="80"/>
      <c r="I28" s="83"/>
      <c r="J28" s="83"/>
      <c r="K28" s="81"/>
    </row>
    <row r="29" spans="1:11">
      <c r="A29" s="77"/>
      <c r="B29" s="92" t="s">
        <v>107</v>
      </c>
      <c r="C29" s="82">
        <f>2*(TRUNC(((('Size of water tank'!A3-'Size of water tank'!F3*2)+('Size of water tank'!A3-'Size of water tank'!F3*2-'Size of water tank'!M3*2))/2)/0.15,0)+1)-6</f>
        <v>92</v>
      </c>
      <c r="D29" s="83">
        <f>(2*57*('Size of water tank'!J3/1000))+SQRT(('Size of water tank'!M3)^2+('Size of water tank'!N3)^2)</f>
        <v>1.3430312594858564</v>
      </c>
      <c r="E29" s="83"/>
      <c r="F29" s="83">
        <f t="shared" ref="F29:F30" si="2">8*8/162</f>
        <v>0.39506172839506171</v>
      </c>
      <c r="G29" s="88">
        <f t="shared" si="1"/>
        <v>48.81338306081927</v>
      </c>
      <c r="H29" s="80"/>
      <c r="I29" s="83"/>
      <c r="J29" s="83"/>
      <c r="K29" s="81"/>
    </row>
    <row r="30" spans="1:11">
      <c r="A30" s="77"/>
      <c r="B30" s="92"/>
      <c r="C30" s="82">
        <f>2*(TRUNC(((('Size of water tank'!B3-'Size of water tank'!F3*2)+('Size of water tank'!B3-'Size of water tank'!F3*2-'Size of water tank'!M3*2))/2)/0.15,0)+1)-4</f>
        <v>38</v>
      </c>
      <c r="D30" s="83">
        <f>(2*57*('Size of water tank'!J3/1000))+SQRT(('Size of water tank'!M3)^2+('Size of water tank'!N3)^2)</f>
        <v>1.3430312594858564</v>
      </c>
      <c r="E30" s="83"/>
      <c r="F30" s="83">
        <f t="shared" si="2"/>
        <v>0.39506172839506171</v>
      </c>
      <c r="G30" s="88">
        <f t="shared" si="1"/>
        <v>20.162049525121002</v>
      </c>
      <c r="H30" s="80"/>
      <c r="I30" s="83"/>
      <c r="J30" s="83"/>
      <c r="K30" s="81"/>
    </row>
    <row r="31" spans="1:11">
      <c r="A31" s="77"/>
      <c r="B31" s="92" t="s">
        <v>116</v>
      </c>
      <c r="C31" s="82">
        <f>TRUNC(((SQRT(('Size of water tank'!M3)^2+('Size of water tank'!N3)^2))/0.15)+1)-2</f>
        <v>1</v>
      </c>
      <c r="D31" s="83">
        <f>(((('Size of water tank'!A3-'Size of water tank'!F3*2)+('Size of water tank'!A3-'Size of water tank'!F3*2-'Size of water tank'!M3*2))/2)+((('Size of water tank'!B3-'Size of water tank'!F3*2)+('Size of water tank'!B3-'Size of water tank'!F3*2-'Size of water tank'!M3*2))/2))*2</f>
        <v>20.623793558874326</v>
      </c>
      <c r="E31" s="83"/>
      <c r="F31" s="83">
        <f>8*8/162</f>
        <v>0.39506172839506171</v>
      </c>
      <c r="G31" s="88">
        <f t="shared" si="1"/>
        <v>8.1476715294318325</v>
      </c>
      <c r="H31" s="80"/>
      <c r="I31" s="83"/>
      <c r="J31" s="83"/>
      <c r="K31" s="81"/>
    </row>
    <row r="32" spans="1:11">
      <c r="A32" s="77"/>
      <c r="B32" s="92" t="s">
        <v>132</v>
      </c>
      <c r="C32" s="82">
        <v>6</v>
      </c>
      <c r="D32" s="83">
        <f>F38+0.9</f>
        <v>2.7287107589149651</v>
      </c>
      <c r="E32" s="83"/>
      <c r="F32" s="83">
        <f>16*16/162</f>
        <v>1.5802469135802468</v>
      </c>
      <c r="G32" s="88">
        <f t="shared" si="1"/>
        <v>25.872220528971521</v>
      </c>
      <c r="H32" s="80"/>
      <c r="I32" s="83"/>
      <c r="J32" s="83"/>
      <c r="K32" s="81"/>
    </row>
    <row r="33" spans="1:11">
      <c r="A33" s="77"/>
      <c r="B33" s="92" t="s">
        <v>133</v>
      </c>
      <c r="C33" s="82">
        <f>C27</f>
        <v>13</v>
      </c>
      <c r="D33" s="83">
        <f>(4*0.3+0.05*2)</f>
        <v>1.3</v>
      </c>
      <c r="E33" s="83"/>
      <c r="F33" s="83">
        <f>8*8/162</f>
        <v>0.39506172839506171</v>
      </c>
      <c r="G33" s="88">
        <f t="shared" ref="G33:G34" si="3">PRODUCT(C33:F33)</f>
        <v>6.6765432098765434</v>
      </c>
      <c r="H33" s="80"/>
      <c r="I33" s="83"/>
      <c r="J33" s="83"/>
      <c r="K33" s="81"/>
    </row>
    <row r="34" spans="1:11">
      <c r="A34" s="77"/>
      <c r="B34" s="92"/>
      <c r="C34" s="82">
        <f>C33</f>
        <v>13</v>
      </c>
      <c r="D34" s="83">
        <f>(4*0.23+0.05*2)</f>
        <v>1.02</v>
      </c>
      <c r="E34" s="83"/>
      <c r="F34" s="83">
        <f>8*8/162</f>
        <v>0.39506172839506171</v>
      </c>
      <c r="G34" s="88">
        <f t="shared" si="3"/>
        <v>5.2385185185185179</v>
      </c>
      <c r="H34" s="80"/>
      <c r="I34" s="83"/>
      <c r="J34" s="83"/>
      <c r="K34" s="81"/>
    </row>
    <row r="35" spans="1:11">
      <c r="A35" s="77"/>
      <c r="B35" s="90"/>
      <c r="C35" s="82"/>
      <c r="D35" s="83"/>
      <c r="E35" s="83"/>
      <c r="F35" s="83"/>
      <c r="G35" s="83">
        <f>SUM(G23:G34)</f>
        <v>1060.6748044024721</v>
      </c>
      <c r="H35" s="80" t="s">
        <v>18</v>
      </c>
      <c r="I35" s="83">
        <f>134160/1000</f>
        <v>134.16</v>
      </c>
      <c r="J35" s="93">
        <f>G35*I35</f>
        <v>142300.13175863566</v>
      </c>
      <c r="K35" s="81"/>
    </row>
    <row r="36" spans="1:11">
      <c r="A36" s="77"/>
      <c r="B36" s="90"/>
      <c r="C36" s="82"/>
      <c r="D36" s="83"/>
      <c r="E36" s="83"/>
      <c r="F36" s="83"/>
      <c r="G36" s="83"/>
      <c r="H36" s="80"/>
      <c r="I36" s="83"/>
      <c r="J36" s="83"/>
      <c r="K36" s="81"/>
    </row>
    <row r="37" spans="1:11" ht="30.6">
      <c r="A37" s="77">
        <v>5</v>
      </c>
      <c r="B37" s="111" t="s">
        <v>103</v>
      </c>
      <c r="C37" s="82"/>
      <c r="D37" s="83"/>
      <c r="E37" s="83"/>
      <c r="F37" s="83"/>
      <c r="G37" s="83"/>
      <c r="H37" s="80"/>
      <c r="I37" s="83"/>
      <c r="J37" s="83"/>
      <c r="K37" s="81"/>
    </row>
    <row r="38" spans="1:11">
      <c r="A38" s="77"/>
      <c r="B38" s="92" t="s">
        <v>104</v>
      </c>
      <c r="C38" s="82">
        <v>1</v>
      </c>
      <c r="D38" s="83">
        <f>('Size of water tank'!A3+'Size of water tank'!B3)*2</f>
        <v>23.468454739408717</v>
      </c>
      <c r="E38" s="83"/>
      <c r="F38" s="83">
        <f>'Size of water tank'!C3</f>
        <v>1.8287107589149649</v>
      </c>
      <c r="G38" s="83">
        <f>PRODUCT(C38:F38)</f>
        <v>42.917015677065621</v>
      </c>
      <c r="H38" s="80"/>
      <c r="I38" s="83"/>
      <c r="J38" s="83"/>
      <c r="K38" s="81"/>
    </row>
    <row r="39" spans="1:11">
      <c r="A39" s="77"/>
      <c r="B39" s="90"/>
      <c r="C39" s="82">
        <v>1</v>
      </c>
      <c r="D39" s="83">
        <f>(('Size of water tank'!A3-'Size of water tank'!F3*2)+('Size of water tank'!B3-'Size of water tank'!F3*2))*2</f>
        <v>21.842934064817637</v>
      </c>
      <c r="E39" s="83"/>
      <c r="F39" s="83">
        <f>'Size of water tank'!C3-'Size of water tank'!N3</f>
        <v>1.5239256324291375</v>
      </c>
      <c r="G39" s="83">
        <f t="shared" ref="G39:G40" si="4">PRODUCT(C39:F39)</f>
        <v>33.287007108835169</v>
      </c>
      <c r="H39" s="80"/>
      <c r="I39" s="83"/>
      <c r="J39" s="83"/>
      <c r="K39" s="81"/>
    </row>
    <row r="40" spans="1:11">
      <c r="A40" s="77"/>
      <c r="B40" s="92" t="s">
        <v>132</v>
      </c>
      <c r="C40" s="82">
        <v>6</v>
      </c>
      <c r="D40" s="83">
        <f>14/12/3.281</f>
        <v>0.35558264756679875</v>
      </c>
      <c r="E40" s="83">
        <f>14/12/3.281</f>
        <v>0.35558264756679875</v>
      </c>
      <c r="F40" s="83">
        <f>F38</f>
        <v>1.8287107589149649</v>
      </c>
      <c r="G40" s="83">
        <f t="shared" si="4"/>
        <v>1.3873223691015275</v>
      </c>
      <c r="H40" s="80"/>
      <c r="I40" s="83"/>
      <c r="J40" s="83"/>
      <c r="K40" s="81"/>
    </row>
    <row r="41" spans="1:11">
      <c r="A41" s="77"/>
      <c r="B41" s="90"/>
      <c r="C41" s="82"/>
      <c r="D41" s="83"/>
      <c r="E41" s="83"/>
      <c r="F41" s="83"/>
      <c r="G41" s="83">
        <f>SUM(G38:G40)</f>
        <v>77.591345155002315</v>
      </c>
      <c r="H41" s="80" t="s">
        <v>23</v>
      </c>
      <c r="I41" s="83">
        <v>954.03</v>
      </c>
      <c r="J41" s="83">
        <f>G41*I41</f>
        <v>74024.471018226861</v>
      </c>
      <c r="K41" s="81"/>
    </row>
    <row r="42" spans="1:11">
      <c r="A42" s="77"/>
      <c r="B42" s="90"/>
      <c r="C42" s="82"/>
      <c r="D42" s="83"/>
      <c r="E42" s="83"/>
      <c r="F42" s="83"/>
      <c r="G42" s="83"/>
      <c r="H42" s="80"/>
      <c r="I42" s="83"/>
      <c r="J42" s="83"/>
      <c r="K42" s="81"/>
    </row>
    <row r="43" spans="1:11" ht="30.6">
      <c r="A43" s="77">
        <v>6</v>
      </c>
      <c r="B43" s="111" t="s">
        <v>108</v>
      </c>
      <c r="C43" s="82"/>
      <c r="D43" s="83"/>
      <c r="E43" s="83"/>
      <c r="F43" s="83"/>
      <c r="G43" s="83"/>
      <c r="H43" s="80"/>
      <c r="I43" s="83"/>
      <c r="J43" s="83"/>
      <c r="K43" s="81"/>
    </row>
    <row r="44" spans="1:11">
      <c r="A44" s="77"/>
      <c r="B44" s="92" t="s">
        <v>135</v>
      </c>
      <c r="C44" s="82">
        <v>1</v>
      </c>
      <c r="D44" s="83">
        <f>'Size of water tank'!A3</f>
        <v>7.9244132886315146</v>
      </c>
      <c r="E44" s="83">
        <f>'Size of water tank'!B3</f>
        <v>3.8098140810728434</v>
      </c>
      <c r="F44" s="83">
        <f>'Size of water tank'!D3</f>
        <v>0.125</v>
      </c>
      <c r="G44" s="83">
        <f t="shared" ref="G44:G49" si="5">PRODUCT(C44:F44)</f>
        <v>3.7738176664086378</v>
      </c>
      <c r="H44" s="80"/>
      <c r="I44" s="83"/>
      <c r="J44" s="83"/>
      <c r="K44" s="81"/>
    </row>
    <row r="45" spans="1:11">
      <c r="A45" s="77"/>
      <c r="B45" s="92" t="s">
        <v>106</v>
      </c>
      <c r="C45" s="82">
        <v>2</v>
      </c>
      <c r="D45" s="83">
        <f>'Size of water tank'!A3-(14/12/3.281)*3</f>
        <v>6.8576653459311183</v>
      </c>
      <c r="E45" s="83">
        <f>'Size of water tank'!F3</f>
        <v>0.20319008432388497</v>
      </c>
      <c r="F45" s="83">
        <f>'Size of water tank'!C3</f>
        <v>1.8287107589149649</v>
      </c>
      <c r="G45" s="83">
        <f t="shared" si="5"/>
        <v>5.0962862538423446</v>
      </c>
      <c r="H45" s="80"/>
      <c r="I45" s="83"/>
      <c r="J45" s="83"/>
      <c r="K45" s="81"/>
    </row>
    <row r="46" spans="1:11">
      <c r="A46" s="77"/>
      <c r="B46" s="91"/>
      <c r="C46" s="82">
        <v>2</v>
      </c>
      <c r="D46" s="83">
        <f>'Size of water tank'!B3-'Size of water tank'!F3*2-(14/12/3.281)*2</f>
        <v>2.692268617291476</v>
      </c>
      <c r="E46" s="83">
        <f>'Size of water tank'!F3</f>
        <v>0.20319008432388497</v>
      </c>
      <c r="F46" s="83">
        <f>'Size of water tank'!C3</f>
        <v>1.8287107589149649</v>
      </c>
      <c r="G46" s="83">
        <f t="shared" si="5"/>
        <v>2.0007642329899573</v>
      </c>
      <c r="H46" s="80"/>
      <c r="I46" s="83"/>
      <c r="J46" s="83"/>
      <c r="K46" s="81"/>
    </row>
    <row r="47" spans="1:11">
      <c r="A47" s="77"/>
      <c r="B47" s="92" t="s">
        <v>105</v>
      </c>
      <c r="C47" s="82">
        <f>2*0.5</f>
        <v>1</v>
      </c>
      <c r="D47" s="83">
        <f>(('Size of water tank'!A3-('Size of water tank'!F3)*2)+('Size of water tank'!A3-('Size of water tank'!F3)*2-('Size of water tank'!M3)*2))/2-(14/12/3.281)*3</f>
        <v>6.1465000507975214</v>
      </c>
      <c r="E47" s="83">
        <f>'Size of water tank'!M3</f>
        <v>0.30478512648582745</v>
      </c>
      <c r="F47" s="83">
        <f>'Size of water tank'!N3</f>
        <v>0.30478512648582745</v>
      </c>
      <c r="G47" s="83">
        <f t="shared" si="5"/>
        <v>0.57097281177307746</v>
      </c>
      <c r="H47" s="80"/>
      <c r="I47" s="83"/>
      <c r="J47" s="83"/>
      <c r="K47" s="81"/>
    </row>
    <row r="48" spans="1:11">
      <c r="A48" s="77"/>
      <c r="B48" s="92"/>
      <c r="C48" s="82">
        <f>2*0.5</f>
        <v>1</v>
      </c>
      <c r="D48" s="83">
        <f>(('Size of water tank'!B3-'Size of water tank'!F3*2)+('Size of water tank'!B3-'Size of water tank'!F3*2-'Size of water tank'!M3*2))/2-(14/12/3.281)*3</f>
        <v>2.0319008432388497</v>
      </c>
      <c r="E48" s="83">
        <f>'Size of water tank'!M3</f>
        <v>0.30478512648582745</v>
      </c>
      <c r="F48" s="83">
        <f>'Size of water tank'!N3</f>
        <v>0.30478512648582745</v>
      </c>
      <c r="G48" s="83">
        <f t="shared" si="5"/>
        <v>0.18875134273490163</v>
      </c>
      <c r="H48" s="80"/>
      <c r="I48" s="83"/>
      <c r="J48" s="83"/>
      <c r="K48" s="81"/>
    </row>
    <row r="49" spans="1:11">
      <c r="A49" s="77"/>
      <c r="B49" s="92" t="s">
        <v>132</v>
      </c>
      <c r="C49" s="82">
        <v>6</v>
      </c>
      <c r="D49" s="83">
        <f>14/12/3.281</f>
        <v>0.35558264756679875</v>
      </c>
      <c r="E49" s="83">
        <f>14/12/3.281</f>
        <v>0.35558264756679875</v>
      </c>
      <c r="F49" s="83">
        <f>F40-F48</f>
        <v>1.5239256324291375</v>
      </c>
      <c r="G49" s="83">
        <f t="shared" si="5"/>
        <v>1.156101974251273</v>
      </c>
      <c r="H49" s="80"/>
      <c r="I49" s="83"/>
      <c r="J49" s="83"/>
      <c r="K49" s="81"/>
    </row>
    <row r="50" spans="1:11">
      <c r="A50" s="77"/>
      <c r="B50" s="92"/>
      <c r="C50" s="82"/>
      <c r="D50" s="83"/>
      <c r="E50" s="83" t="s">
        <v>31</v>
      </c>
      <c r="F50" s="83"/>
      <c r="G50" s="83">
        <f>SUM(G44:G48)</f>
        <v>11.630592307748921</v>
      </c>
      <c r="H50" s="80" t="s">
        <v>24</v>
      </c>
      <c r="I50" s="83">
        <v>14655.45</v>
      </c>
      <c r="J50" s="93">
        <f>G50*I50</f>
        <v>170451.56403659895</v>
      </c>
      <c r="K50" s="81"/>
    </row>
    <row r="51" spans="1:11">
      <c r="A51" s="77"/>
      <c r="B51" s="90"/>
      <c r="C51" s="82"/>
      <c r="D51" s="83"/>
      <c r="E51" s="83"/>
      <c r="F51" s="83"/>
      <c r="G51" s="83"/>
      <c r="H51" s="80"/>
      <c r="I51" s="83"/>
      <c r="J51" s="83"/>
      <c r="K51" s="81"/>
    </row>
    <row r="52" spans="1:11" ht="30.6">
      <c r="A52" s="77">
        <v>7</v>
      </c>
      <c r="B52" s="111" t="s">
        <v>69</v>
      </c>
      <c r="C52" s="82"/>
      <c r="D52" s="80"/>
      <c r="E52" s="80"/>
      <c r="F52" s="80"/>
      <c r="G52" s="83"/>
      <c r="H52" s="80"/>
      <c r="I52" s="83"/>
      <c r="J52" s="83"/>
      <c r="K52" s="81"/>
    </row>
    <row r="53" spans="1:11">
      <c r="A53" s="77"/>
      <c r="B53" s="90" t="s">
        <v>110</v>
      </c>
      <c r="C53" s="82">
        <v>2</v>
      </c>
      <c r="D53" s="80">
        <f>'Size of water tank'!A3-'Size of water tank'!F3*2</f>
        <v>7.5180331199837447</v>
      </c>
      <c r="E53" s="80"/>
      <c r="F53" s="80">
        <f>'Size of water tank'!C3-'Size of water tank'!N3</f>
        <v>1.5239256324291375</v>
      </c>
      <c r="G53" s="83">
        <f t="shared" ref="G53:G55" si="6">PRODUCT(C53:F53)</f>
        <v>22.91384675398886</v>
      </c>
      <c r="H53" s="80"/>
      <c r="I53" s="83"/>
      <c r="J53" s="83"/>
      <c r="K53" s="81"/>
    </row>
    <row r="54" spans="1:11">
      <c r="A54" s="77"/>
      <c r="B54" s="94"/>
      <c r="C54" s="82">
        <v>2</v>
      </c>
      <c r="D54" s="80">
        <f>'Size of water tank'!B3-'Size of water tank'!F3*2</f>
        <v>3.4034339124250734</v>
      </c>
      <c r="E54" s="80"/>
      <c r="F54" s="80">
        <f>'Size of water tank'!C3-'Size of water tank'!N3</f>
        <v>1.5239256324291375</v>
      </c>
      <c r="G54" s="83">
        <f t="shared" si="6"/>
        <v>10.373160354846307</v>
      </c>
      <c r="H54" s="80"/>
      <c r="I54" s="95"/>
      <c r="J54" s="83"/>
      <c r="K54" s="81"/>
    </row>
    <row r="55" spans="1:11">
      <c r="A55" s="77"/>
      <c r="B55" s="92" t="s">
        <v>126</v>
      </c>
      <c r="C55" s="82">
        <v>1</v>
      </c>
      <c r="D55" s="80">
        <f>D47*2+D48*2</f>
        <v>16.356801788072744</v>
      </c>
      <c r="E55" s="80"/>
      <c r="F55" s="80">
        <f>SQRT(('Size of water tank'!M3)^2+('Size of water tank'!N3)^2)</f>
        <v>0.43103125948585641</v>
      </c>
      <c r="G55" s="83">
        <f t="shared" si="6"/>
        <v>7.0502928758735033</v>
      </c>
      <c r="H55" s="80"/>
      <c r="I55" s="95"/>
      <c r="J55" s="83"/>
      <c r="K55" s="81"/>
    </row>
    <row r="56" spans="1:11">
      <c r="A56" s="77"/>
      <c r="B56" s="94"/>
      <c r="C56" s="82"/>
      <c r="D56" s="83"/>
      <c r="E56" s="83"/>
      <c r="F56" s="84"/>
      <c r="G56" s="83">
        <f>SUM(G53:G55)</f>
        <v>40.337299984708672</v>
      </c>
      <c r="H56" s="80" t="s">
        <v>23</v>
      </c>
      <c r="I56" s="83">
        <v>439.19</v>
      </c>
      <c r="J56" s="83">
        <f>G56*I56</f>
        <v>17715.738780284202</v>
      </c>
      <c r="K56" s="81"/>
    </row>
    <row r="57" spans="1:11">
      <c r="A57" s="77"/>
      <c r="B57" s="90"/>
      <c r="C57" s="82"/>
      <c r="D57" s="83"/>
      <c r="E57" s="83"/>
      <c r="F57" s="84"/>
      <c r="G57" s="83"/>
      <c r="H57" s="80"/>
      <c r="I57" s="95"/>
      <c r="J57" s="83"/>
      <c r="K57" s="81"/>
    </row>
    <row r="58" spans="1:11" ht="30.6">
      <c r="A58" s="77">
        <v>8</v>
      </c>
      <c r="B58" s="111" t="s">
        <v>68</v>
      </c>
      <c r="C58" s="82"/>
      <c r="D58" s="80"/>
      <c r="E58" s="80"/>
      <c r="F58" s="83"/>
      <c r="G58" s="80"/>
      <c r="H58" s="84"/>
      <c r="I58" s="83"/>
      <c r="J58" s="80"/>
      <c r="K58" s="81"/>
    </row>
    <row r="59" spans="1:11">
      <c r="A59" s="77"/>
      <c r="B59" s="90" t="s">
        <v>109</v>
      </c>
      <c r="C59" s="82">
        <v>1</v>
      </c>
      <c r="D59" s="80">
        <f>'Size of water tank'!A3-'Size of water tank'!F3*2-'Size of water tank'!M3*2</f>
        <v>6.9084628670120898</v>
      </c>
      <c r="E59" s="80">
        <f>'Size of water tank'!B3-'Size of water tank'!F3*2-'Size of water tank'!M3*2</f>
        <v>2.7938636594534185</v>
      </c>
      <c r="F59" s="83"/>
      <c r="G59" s="83">
        <f t="shared" ref="G59" si="7">PRODUCT(C59:F59)</f>
        <v>19.301303346828451</v>
      </c>
      <c r="H59" s="84"/>
      <c r="I59" s="122"/>
      <c r="J59" s="123"/>
      <c r="K59" s="81"/>
    </row>
    <row r="60" spans="1:11">
      <c r="A60" s="77"/>
      <c r="B60" s="92"/>
      <c r="C60" s="82"/>
      <c r="D60" s="80"/>
      <c r="E60" s="80"/>
      <c r="F60" s="83"/>
      <c r="G60" s="80">
        <f>SUM(G59:G59)</f>
        <v>19.301303346828451</v>
      </c>
      <c r="H60" s="84" t="s">
        <v>23</v>
      </c>
      <c r="I60" s="83">
        <v>723.78</v>
      </c>
      <c r="J60" s="80">
        <f>G60*I60</f>
        <v>13969.897336367496</v>
      </c>
      <c r="K60" s="81"/>
    </row>
    <row r="61" spans="1:11" ht="18" customHeight="1">
      <c r="A61" s="77"/>
      <c r="B61" s="90"/>
      <c r="C61" s="82"/>
      <c r="D61" s="83"/>
      <c r="E61" s="83"/>
      <c r="F61" s="84"/>
      <c r="G61" s="83"/>
      <c r="H61" s="80"/>
      <c r="I61" s="83"/>
      <c r="J61" s="83"/>
      <c r="K61" s="81"/>
    </row>
    <row r="62" spans="1:11" ht="30.6">
      <c r="A62" s="77">
        <v>9</v>
      </c>
      <c r="B62" s="111" t="s">
        <v>70</v>
      </c>
      <c r="C62" s="82"/>
      <c r="D62" s="80"/>
      <c r="E62" s="80"/>
      <c r="F62" s="80"/>
      <c r="G62" s="80"/>
      <c r="H62" s="80"/>
      <c r="I62" s="80"/>
      <c r="J62" s="80"/>
      <c r="K62" s="81"/>
    </row>
    <row r="63" spans="1:11">
      <c r="A63" s="77"/>
      <c r="B63" s="90" t="str">
        <f>B53</f>
        <v>-At shear wall</v>
      </c>
      <c r="C63" s="82">
        <f>C45</f>
        <v>2</v>
      </c>
      <c r="D63" s="80">
        <f>D53</f>
        <v>7.5180331199837447</v>
      </c>
      <c r="E63" s="80"/>
      <c r="F63" s="80">
        <f>F53</f>
        <v>1.5239256324291375</v>
      </c>
      <c r="G63" s="83">
        <f>PRODUCT(C63:F63)</f>
        <v>22.91384675398886</v>
      </c>
      <c r="H63" s="80"/>
      <c r="I63" s="80"/>
      <c r="J63" s="80"/>
      <c r="K63" s="81"/>
    </row>
    <row r="64" spans="1:11">
      <c r="A64" s="77"/>
      <c r="B64" s="90"/>
      <c r="C64" s="82">
        <f>C46</f>
        <v>2</v>
      </c>
      <c r="D64" s="80">
        <f>D54</f>
        <v>3.4034339124250734</v>
      </c>
      <c r="E64" s="80"/>
      <c r="F64" s="80">
        <f>F54</f>
        <v>1.5239256324291375</v>
      </c>
      <c r="G64" s="83">
        <f t="shared" ref="G64:G66" si="8">PRODUCT(C64:F64)</f>
        <v>10.373160354846307</v>
      </c>
      <c r="H64" s="80"/>
      <c r="I64" s="80"/>
      <c r="J64" s="80"/>
      <c r="K64" s="81"/>
    </row>
    <row r="65" spans="1:11">
      <c r="A65" s="77"/>
      <c r="B65" s="92" t="s">
        <v>107</v>
      </c>
      <c r="C65" s="82">
        <v>1</v>
      </c>
      <c r="D65" s="80">
        <f>D55</f>
        <v>16.356801788072744</v>
      </c>
      <c r="E65" s="80"/>
      <c r="F65" s="80">
        <f>F55</f>
        <v>0.43103125948585641</v>
      </c>
      <c r="G65" s="83">
        <f t="shared" si="8"/>
        <v>7.0502928758735033</v>
      </c>
      <c r="H65" s="80"/>
      <c r="I65" s="80"/>
      <c r="J65" s="80"/>
      <c r="K65" s="81"/>
    </row>
    <row r="66" spans="1:11">
      <c r="A66" s="77"/>
      <c r="B66" s="92" t="s">
        <v>111</v>
      </c>
      <c r="C66" s="82">
        <v>1</v>
      </c>
      <c r="D66" s="80">
        <f>D59</f>
        <v>6.9084628670120898</v>
      </c>
      <c r="E66" s="80">
        <f>E59</f>
        <v>2.7938636594534185</v>
      </c>
      <c r="F66" s="80"/>
      <c r="G66" s="83">
        <f t="shared" si="8"/>
        <v>19.301303346828451</v>
      </c>
      <c r="H66" s="80"/>
      <c r="I66" s="80"/>
      <c r="J66" s="80"/>
      <c r="K66" s="81"/>
    </row>
    <row r="67" spans="1:11">
      <c r="A67" s="77"/>
      <c r="B67" s="90"/>
      <c r="C67" s="82"/>
      <c r="D67" s="80"/>
      <c r="E67" s="80"/>
      <c r="F67" s="80"/>
      <c r="G67" s="80">
        <f>SUM(G63:G66)</f>
        <v>59.638603331537126</v>
      </c>
      <c r="H67" s="80" t="s">
        <v>23</v>
      </c>
      <c r="I67" s="80">
        <v>302.32</v>
      </c>
      <c r="J67" s="80">
        <f>G67*I67</f>
        <v>18029.942559190305</v>
      </c>
      <c r="K67" s="81"/>
    </row>
    <row r="68" spans="1:11">
      <c r="A68" s="77"/>
      <c r="B68" s="90"/>
      <c r="C68" s="82"/>
      <c r="D68" s="80"/>
      <c r="E68" s="80"/>
      <c r="F68" s="80"/>
      <c r="G68" s="80"/>
      <c r="H68" s="80"/>
      <c r="I68" s="80"/>
      <c r="J68" s="80"/>
      <c r="K68" s="81"/>
    </row>
    <row r="69" spans="1:11" ht="30.6">
      <c r="A69" s="77">
        <v>11</v>
      </c>
      <c r="B69" s="111" t="s">
        <v>112</v>
      </c>
      <c r="C69" s="82"/>
      <c r="D69" s="80"/>
      <c r="E69" s="80"/>
      <c r="F69" s="80"/>
      <c r="G69" s="80"/>
      <c r="H69" s="80"/>
      <c r="I69" s="80"/>
      <c r="J69" s="80"/>
      <c r="K69" s="81"/>
    </row>
    <row r="70" spans="1:11">
      <c r="A70" s="77"/>
      <c r="B70" s="92" t="s">
        <v>127</v>
      </c>
      <c r="C70" s="82">
        <v>1</v>
      </c>
      <c r="D70" s="80">
        <f>G67</f>
        <v>59.638603331537126</v>
      </c>
      <c r="E70" s="80"/>
      <c r="F70" s="80"/>
      <c r="G70" s="83">
        <f t="shared" ref="G70" si="9">PRODUCT(C70:F70)</f>
        <v>59.638603331537126</v>
      </c>
      <c r="H70" s="80"/>
      <c r="I70" s="80"/>
      <c r="J70" s="80"/>
      <c r="K70" s="81"/>
    </row>
    <row r="71" spans="1:11">
      <c r="A71" s="77"/>
      <c r="B71" s="90"/>
      <c r="C71" s="82"/>
      <c r="D71" s="80"/>
      <c r="E71" s="80"/>
      <c r="F71" s="80"/>
      <c r="G71" s="80">
        <f>SUM(G70:G70)</f>
        <v>59.638603331537126</v>
      </c>
      <c r="H71" s="80" t="s">
        <v>23</v>
      </c>
      <c r="I71" s="80">
        <v>468.25</v>
      </c>
      <c r="J71" s="80">
        <f>G71*I71</f>
        <v>27925.77600999226</v>
      </c>
      <c r="K71" s="81"/>
    </row>
    <row r="72" spans="1:11">
      <c r="A72" s="77"/>
      <c r="B72" s="90"/>
      <c r="C72" s="82"/>
      <c r="D72" s="80"/>
      <c r="E72" s="80"/>
      <c r="F72" s="80"/>
      <c r="G72" s="80"/>
      <c r="H72" s="80"/>
      <c r="I72" s="80"/>
      <c r="J72" s="80"/>
      <c r="K72" s="81"/>
    </row>
    <row r="73" spans="1:11" ht="31.2">
      <c r="A73" s="77">
        <v>12</v>
      </c>
      <c r="B73" s="91" t="s">
        <v>134</v>
      </c>
      <c r="C73" s="82">
        <v>1</v>
      </c>
      <c r="D73" s="80"/>
      <c r="E73" s="80"/>
      <c r="F73" s="80"/>
      <c r="G73" s="80">
        <v>1</v>
      </c>
      <c r="H73" s="80" t="s">
        <v>113</v>
      </c>
      <c r="I73" s="83">
        <v>5000</v>
      </c>
      <c r="J73" s="83">
        <f>G73*I73</f>
        <v>5000</v>
      </c>
      <c r="K73" s="81"/>
    </row>
    <row r="74" spans="1:11">
      <c r="A74" s="77"/>
      <c r="B74" s="96"/>
      <c r="C74" s="82"/>
      <c r="D74" s="80"/>
      <c r="E74" s="80"/>
      <c r="F74" s="83"/>
      <c r="G74" s="80"/>
      <c r="H74" s="80"/>
      <c r="I74" s="83"/>
      <c r="J74" s="83"/>
      <c r="K74" s="81"/>
    </row>
    <row r="75" spans="1:11" ht="33" customHeight="1">
      <c r="A75" s="77">
        <v>13</v>
      </c>
      <c r="B75" s="91" t="s">
        <v>72</v>
      </c>
      <c r="C75" s="82">
        <v>1</v>
      </c>
      <c r="D75" s="80"/>
      <c r="E75" s="80"/>
      <c r="F75" s="80"/>
      <c r="G75" s="80">
        <v>1</v>
      </c>
      <c r="H75" s="80" t="s">
        <v>33</v>
      </c>
      <c r="I75" s="83">
        <v>500</v>
      </c>
      <c r="J75" s="83">
        <f>G75*I75</f>
        <v>500</v>
      </c>
      <c r="K75" s="81"/>
    </row>
    <row r="76" spans="1:11">
      <c r="A76" s="97"/>
      <c r="B76" s="98"/>
      <c r="C76" s="80"/>
      <c r="D76" s="83"/>
      <c r="E76" s="83"/>
      <c r="F76" s="83"/>
      <c r="G76" s="83"/>
      <c r="H76" s="80"/>
      <c r="I76" s="83"/>
      <c r="J76" s="99">
        <f>SUM(J10:J75)</f>
        <v>533316.44364950538</v>
      </c>
      <c r="K76" s="100"/>
    </row>
    <row r="77" spans="1:11">
      <c r="A77" s="101"/>
      <c r="B77" s="102"/>
      <c r="C77" s="65"/>
      <c r="D77" s="65"/>
      <c r="E77" s="65"/>
      <c r="F77" s="65"/>
      <c r="G77" s="65"/>
      <c r="H77" s="65"/>
      <c r="I77" s="65"/>
      <c r="J77" s="103"/>
      <c r="K77" s="104"/>
    </row>
    <row r="78" spans="1:11">
      <c r="A78" s="101"/>
      <c r="B78" s="75" t="s">
        <v>12</v>
      </c>
      <c r="C78" s="126" t="s">
        <v>66</v>
      </c>
      <c r="D78" s="126"/>
      <c r="E78" s="75" t="s">
        <v>67</v>
      </c>
      <c r="F78" s="105"/>
      <c r="G78" s="106"/>
      <c r="H78" s="105"/>
      <c r="I78" s="106"/>
      <c r="J78" s="105"/>
      <c r="K78" s="105"/>
    </row>
    <row r="79" spans="1:11">
      <c r="A79" s="101"/>
      <c r="B79" s="79" t="s">
        <v>13</v>
      </c>
      <c r="C79" s="124">
        <f>+J76</f>
        <v>533316.44364950538</v>
      </c>
      <c r="D79" s="124"/>
      <c r="E79" s="107"/>
      <c r="F79" s="105"/>
      <c r="G79" s="108"/>
      <c r="H79" s="105"/>
      <c r="I79" s="106"/>
      <c r="J79" s="105"/>
      <c r="K79" s="105"/>
    </row>
    <row r="80" spans="1:11">
      <c r="A80" s="101"/>
      <c r="B80" s="79" t="s">
        <v>14</v>
      </c>
      <c r="C80" s="124">
        <v>500000</v>
      </c>
      <c r="D80" s="124"/>
      <c r="E80" s="109">
        <v>100</v>
      </c>
      <c r="F80" s="105"/>
      <c r="G80" s="108"/>
      <c r="H80" s="105"/>
      <c r="I80" s="106"/>
      <c r="J80" s="105"/>
      <c r="K80" s="105"/>
    </row>
    <row r="81" spans="1:11">
      <c r="A81" s="101"/>
      <c r="B81" s="79" t="s">
        <v>19</v>
      </c>
      <c r="C81" s="124">
        <f>0.95*C80</f>
        <v>475000</v>
      </c>
      <c r="D81" s="124"/>
      <c r="E81" s="110">
        <f>C81/C79*100</f>
        <v>89.06532053456975</v>
      </c>
      <c r="F81" s="105"/>
      <c r="G81" s="108"/>
      <c r="H81" s="105"/>
      <c r="I81" s="106"/>
      <c r="J81" s="105"/>
      <c r="K81" s="105"/>
    </row>
    <row r="82" spans="1:11">
      <c r="B82" s="79" t="s">
        <v>15</v>
      </c>
      <c r="C82" s="124">
        <f>C79-C81</f>
        <v>58316.443649505381</v>
      </c>
      <c r="D82" s="124"/>
      <c r="E82" s="110">
        <f>C82/C80*100</f>
        <v>11.663288729901076</v>
      </c>
      <c r="F82" s="37"/>
    </row>
    <row r="83" spans="1:11">
      <c r="B83" s="79" t="s">
        <v>20</v>
      </c>
      <c r="C83" s="124">
        <f>E83*C80/100</f>
        <v>10000</v>
      </c>
      <c r="D83" s="124"/>
      <c r="E83" s="110">
        <v>2</v>
      </c>
    </row>
    <row r="84" spans="1:11">
      <c r="B84" s="79" t="s">
        <v>21</v>
      </c>
      <c r="C84" s="125">
        <f>E84*C80/100</f>
        <v>15000</v>
      </c>
      <c r="D84" s="125"/>
      <c r="E84" s="110">
        <v>3</v>
      </c>
    </row>
  </sheetData>
  <mergeCells count="14">
    <mergeCell ref="A6:F6"/>
    <mergeCell ref="H6:K6"/>
    <mergeCell ref="A1:K1"/>
    <mergeCell ref="A2:K2"/>
    <mergeCell ref="A3:K3"/>
    <mergeCell ref="A4:K4"/>
    <mergeCell ref="J5:K5"/>
    <mergeCell ref="C82:D82"/>
    <mergeCell ref="C83:D83"/>
    <mergeCell ref="C84:D84"/>
    <mergeCell ref="C78:D78"/>
    <mergeCell ref="C79:D79"/>
    <mergeCell ref="C80:D80"/>
    <mergeCell ref="C81:D81"/>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WCR</vt:lpstr>
      <vt:lpstr>Sheet1</vt:lpstr>
      <vt:lpstr>Size of water tank</vt:lpstr>
      <vt:lpstr>estimated</vt:lpstr>
      <vt:lpstr>estimated!Print_Area</vt:lpstr>
      <vt:lpstr>estimated!Print_Titles</vt:lpstr>
      <vt:lpstr>WCR!Print_Titles</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rabina baga</cp:lastModifiedBy>
  <cp:lastPrinted>2026-09-11T07:00:17Z</cp:lastPrinted>
  <dcterms:created xsi:type="dcterms:W3CDTF">2015-02-11T06:39:48Z</dcterms:created>
  <dcterms:modified xsi:type="dcterms:W3CDTF">2026-10-12T01:45:03Z</dcterms:modified>
</cp:coreProperties>
</file>