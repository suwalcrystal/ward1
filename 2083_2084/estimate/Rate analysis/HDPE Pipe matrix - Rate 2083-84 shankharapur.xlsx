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131"/>
  <workbookPr/>
  <mc:AlternateContent xmlns:mc="http://schemas.openxmlformats.org/markup-compatibility/2006">
    <mc:Choice Requires="x15">
      <x15ac:absPath xmlns:x15ac="http://schemas.microsoft.com/office/spreadsheetml/2010/11/ac" url="F:\dar rate\dar rate 83 84\"/>
    </mc:Choice>
  </mc:AlternateContent>
  <xr:revisionPtr revIDLastSave="0" documentId="13_ncr:1_{8F9D44A2-D388-4E23-8EAA-17BED6AEDCB0}" xr6:coauthVersionLast="47" xr6:coauthVersionMax="47" xr10:uidLastSave="{00000000-0000-0000-0000-000000000000}"/>
  <bookViews>
    <workbookView xWindow="-120" yWindow="-120" windowWidth="29040" windowHeight="15720" xr2:uid="{00000000-000D-0000-FFFF-FFFF00000000}"/>
  </bookViews>
  <sheets>
    <sheet name="PE 100 HDPE (2)"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s>
  <definedNames>
    <definedName name="\A" localSheetId="0">#REF!</definedName>
    <definedName name="\a">#N/A</definedName>
    <definedName name="\b" localSheetId="0">'[1]Water Demand'!#REF!</definedName>
    <definedName name="\b">'[1]Water Demand'!#REF!</definedName>
    <definedName name="\berr" localSheetId="0">'[1]Water Demand'!#REF!</definedName>
    <definedName name="\berr">'[1]Water Demand'!#REF!</definedName>
    <definedName name="\c" localSheetId="0">'[1]Water Demand'!#REF!</definedName>
    <definedName name="\c">'[1]Water Demand'!#REF!</definedName>
    <definedName name="\cerr" localSheetId="0">'[1]Water Demand'!#REF!</definedName>
    <definedName name="\cerr">'[1]Water Demand'!#REF!</definedName>
    <definedName name="\d">#REF!</definedName>
    <definedName name="\e" localSheetId="0">#REF!</definedName>
    <definedName name="\e">#REF!</definedName>
    <definedName name="\P">#REF!</definedName>
    <definedName name="\QUIT">#N/A</definedName>
    <definedName name="\s">#N/A</definedName>
    <definedName name="_" hidden="1">[2]PipeDesign!$D$25:$D$26</definedName>
    <definedName name="__" hidden="1">#REF!</definedName>
    <definedName name="___" hidden="1">#REF!</definedName>
    <definedName name="____" hidden="1">#REF!</definedName>
    <definedName name="_____" hidden="1">#REF!</definedName>
    <definedName name="______" hidden="1">#REF!</definedName>
    <definedName name="_______" hidden="1">#REF!</definedName>
    <definedName name="________" hidden="1">[3]PipeDesign!$D$39:$D$40</definedName>
    <definedName name="_________" hidden="1">#REF!</definedName>
    <definedName name="__________" hidden="1">[3]PipeDesign!$D$39:$D$40</definedName>
    <definedName name="___________" hidden="1">#REF!</definedName>
    <definedName name="____________" hidden="1">[3]PipeDesign!$D$39:$D$40</definedName>
    <definedName name="_____________" hidden="1">[3]PipeDesign!$D$39:$D$40</definedName>
    <definedName name="______________" hidden="1">[3]PipeDesign!$D$39:$D$40</definedName>
    <definedName name="_______________" hidden="1">[3]PipeDesign!$D$39:$D$40</definedName>
    <definedName name="________________" hidden="1">[3]PipeDesign!$D$39:$D$40</definedName>
    <definedName name="_________________" hidden="1">[3]PipeDesign!$D$39:$D$40</definedName>
    <definedName name="__________________" hidden="1">[3]PipeDesign!$D$39:$D$40</definedName>
    <definedName name="___________________" hidden="1">[4]PipeDesign!$D$39:$D$40</definedName>
    <definedName name="____________________" hidden="1">[5]PipeDesign!#REF!</definedName>
    <definedName name="_____________________" hidden="1">[5]PipeDesign!#REF!</definedName>
    <definedName name="______________________" hidden="1">[5]PipeDesign!#REF!</definedName>
    <definedName name="_______________________" hidden="1">[5]PipeDesign!#REF!</definedName>
    <definedName name="________________________" hidden="1">[6]PipeDesign!#REF!</definedName>
    <definedName name="_________________________" hidden="1">[5]PipeDesign!#REF!</definedName>
    <definedName name="__________________________" hidden="1">[5]PipeDesign!#REF!</definedName>
    <definedName name="___________________________" hidden="1">[7]PipeDesign!$D$39:$D$40</definedName>
    <definedName name="____________________________" hidden="1">[7]PipeDesign!$D$39:$D$40</definedName>
    <definedName name="_____________________________" hidden="1">[7]PipeDesign!$D$39:$D$40</definedName>
    <definedName name="__________________________________________LN1">'[1]Water Demand'!#REF!</definedName>
    <definedName name="__________________________________________LN10">'[1]Water Demand'!#REF!</definedName>
    <definedName name="__________________________________________LN11">'[1]Water Demand'!#REF!</definedName>
    <definedName name="__________________________________________LN12">'[1]Water Demand'!#REF!</definedName>
    <definedName name="__________________________________________LN13">'[1]Water Demand'!#REF!</definedName>
    <definedName name="__________________________________________LN14">'[1]Water Demand'!#REF!</definedName>
    <definedName name="__________________________________________LN15">'[1]Water Demand'!#REF!</definedName>
    <definedName name="__________________________________________LN16">'[1]Water Demand'!#REF!</definedName>
    <definedName name="__________________________________________LN17">'[1]Water Demand'!#REF!</definedName>
    <definedName name="__________________________________________LN18">'[1]Water Demand'!#REF!</definedName>
    <definedName name="__________________________________________LN19">'[1]Water Demand'!#REF!</definedName>
    <definedName name="__________________________________________LN2">'[1]Water Demand'!#REF!</definedName>
    <definedName name="__________________________________________LN22">'[1]Water Demand'!#REF!</definedName>
    <definedName name="__________________________________________LN23">'[1]Water Demand'!#REF!</definedName>
    <definedName name="__________________________________________LN24">'[1]Water Demand'!#REF!</definedName>
    <definedName name="__________________________________________LN25">'[1]Water Demand'!#REF!</definedName>
    <definedName name="__________________________________________LN26">'[1]Water Demand'!#REF!</definedName>
    <definedName name="__________________________________________LN27">'[1]Water Demand'!#REF!</definedName>
    <definedName name="__________________________________________LN28">'[1]Water Demand'!#REF!</definedName>
    <definedName name="__________________________________________LN29">'[1]Water Demand'!#REF!</definedName>
    <definedName name="__________________________________________LN30">'[1]Water Demand'!#REF!</definedName>
    <definedName name="__________________________________________LN9">'[1]Water Demand'!#REF!</definedName>
    <definedName name="_________________________________________LN1">'[1]Water Demand'!#REF!</definedName>
    <definedName name="_________________________________________LN10">'[1]Water Demand'!#REF!</definedName>
    <definedName name="_________________________________________LN11">'[1]Water Demand'!#REF!</definedName>
    <definedName name="_________________________________________LN12">'[1]Water Demand'!#REF!</definedName>
    <definedName name="_________________________________________LN13">'[1]Water Demand'!#REF!</definedName>
    <definedName name="_________________________________________LN14">'[1]Water Demand'!#REF!</definedName>
    <definedName name="_________________________________________LN15">'[1]Water Demand'!#REF!</definedName>
    <definedName name="_________________________________________LN16">'[1]Water Demand'!#REF!</definedName>
    <definedName name="_________________________________________LN17">'[1]Water Demand'!#REF!</definedName>
    <definedName name="_________________________________________LN18">'[1]Water Demand'!#REF!</definedName>
    <definedName name="_________________________________________LN19">'[1]Water Demand'!#REF!</definedName>
    <definedName name="_________________________________________LN2">'[1]Water Demand'!#REF!</definedName>
    <definedName name="_________________________________________LN22">'[1]Water Demand'!#REF!</definedName>
    <definedName name="_________________________________________LN23">'[1]Water Demand'!#REF!</definedName>
    <definedName name="_________________________________________LN24">'[1]Water Demand'!#REF!</definedName>
    <definedName name="_________________________________________LN25">'[1]Water Demand'!#REF!</definedName>
    <definedName name="_________________________________________LN26">'[1]Water Demand'!#REF!</definedName>
    <definedName name="_________________________________________LN27">'[1]Water Demand'!#REF!</definedName>
    <definedName name="_________________________________________LN28">'[1]Water Demand'!#REF!</definedName>
    <definedName name="_________________________________________LN29">'[1]Water Demand'!#REF!</definedName>
    <definedName name="_________________________________________LN30">'[1]Water Demand'!#REF!</definedName>
    <definedName name="_________________________________________LN9">'[1]Water Demand'!#REF!</definedName>
    <definedName name="________________________________________DPC124">#REF!</definedName>
    <definedName name="________________________________________DPC136">#REF!</definedName>
    <definedName name="________________________________________DPC148">#REF!</definedName>
    <definedName name="________________________________________LN1">'[1]Water Demand'!#REF!</definedName>
    <definedName name="________________________________________LN10">'[1]Water Demand'!#REF!</definedName>
    <definedName name="________________________________________LN11">'[1]Water Demand'!#REF!</definedName>
    <definedName name="________________________________________LN12">'[1]Water Demand'!#REF!</definedName>
    <definedName name="________________________________________LN13">'[1]Water Demand'!#REF!</definedName>
    <definedName name="________________________________________LN14">'[1]Water Demand'!#REF!</definedName>
    <definedName name="________________________________________LN15">'[1]Water Demand'!#REF!</definedName>
    <definedName name="________________________________________LN16">'[1]Water Demand'!#REF!</definedName>
    <definedName name="________________________________________LN17">'[1]Water Demand'!#REF!</definedName>
    <definedName name="________________________________________LN18">'[1]Water Demand'!#REF!</definedName>
    <definedName name="________________________________________LN19">'[1]Water Demand'!#REF!</definedName>
    <definedName name="________________________________________LN2">'[1]Water Demand'!#REF!</definedName>
    <definedName name="________________________________________LN20">#REF!</definedName>
    <definedName name="________________________________________LN21">#REF!</definedName>
    <definedName name="________________________________________LN22">'[1]Water Demand'!#REF!</definedName>
    <definedName name="________________________________________LN23">'[1]Water Demand'!#REF!</definedName>
    <definedName name="________________________________________LN24">'[1]Water Demand'!#REF!</definedName>
    <definedName name="________________________________________LN25">'[1]Water Demand'!#REF!</definedName>
    <definedName name="________________________________________LN26">'[1]Water Demand'!#REF!</definedName>
    <definedName name="________________________________________LN27">'[1]Water Demand'!#REF!</definedName>
    <definedName name="________________________________________LN28">'[1]Water Demand'!#REF!</definedName>
    <definedName name="________________________________________LN29">'[1]Water Demand'!#REF!</definedName>
    <definedName name="________________________________________LN3">#REF!</definedName>
    <definedName name="________________________________________LN30">'[1]Water Demand'!#REF!</definedName>
    <definedName name="________________________________________LN31">#REF!</definedName>
    <definedName name="________________________________________LN32">#REF!</definedName>
    <definedName name="________________________________________LN33">#REF!</definedName>
    <definedName name="________________________________________LN34">#REF!</definedName>
    <definedName name="________________________________________LN35">#REF!</definedName>
    <definedName name="________________________________________LN36">#REF!</definedName>
    <definedName name="________________________________________LN37">#REF!</definedName>
    <definedName name="________________________________________LN38">#REF!</definedName>
    <definedName name="________________________________________LN39">#REF!</definedName>
    <definedName name="________________________________________LN4">#REF!</definedName>
    <definedName name="________________________________________LN40">#REF!</definedName>
    <definedName name="________________________________________LN41">#REF!</definedName>
    <definedName name="________________________________________LN42">#REF!</definedName>
    <definedName name="________________________________________LN43">#REF!</definedName>
    <definedName name="________________________________________LN44">#REF!</definedName>
    <definedName name="________________________________________LN45">#REF!</definedName>
    <definedName name="________________________________________LN46">#REF!</definedName>
    <definedName name="________________________________________LN47">#REF!</definedName>
    <definedName name="________________________________________LN48">#REF!</definedName>
    <definedName name="________________________________________LN49">#REF!</definedName>
    <definedName name="________________________________________LN5">#REF!</definedName>
    <definedName name="________________________________________LN50">#REF!</definedName>
    <definedName name="________________________________________LN6">#REF!</definedName>
    <definedName name="________________________________________LN7">#REF!</definedName>
    <definedName name="________________________________________LN8">#REF!</definedName>
    <definedName name="________________________________________LN9">'[1]Water Demand'!#REF!</definedName>
    <definedName name="________________________________________RSD2">'[8]Data-Table'!$D$27</definedName>
    <definedName name="_______________________________________DPC124">#REF!</definedName>
    <definedName name="_______________________________________DPC136">#REF!</definedName>
    <definedName name="_______________________________________DPC148">#REF!</definedName>
    <definedName name="_______________________________________LN1">'[1]Water Demand'!#REF!</definedName>
    <definedName name="_______________________________________LN10">'[1]Water Demand'!#REF!</definedName>
    <definedName name="_______________________________________LN11">'[1]Water Demand'!#REF!</definedName>
    <definedName name="_______________________________________LN12">'[1]Water Demand'!#REF!</definedName>
    <definedName name="_______________________________________LN13">'[1]Water Demand'!#REF!</definedName>
    <definedName name="_______________________________________LN14">'[1]Water Demand'!#REF!</definedName>
    <definedName name="_______________________________________LN15">'[1]Water Demand'!#REF!</definedName>
    <definedName name="_______________________________________LN16">'[1]Water Demand'!#REF!</definedName>
    <definedName name="_______________________________________LN17">'[1]Water Demand'!#REF!</definedName>
    <definedName name="_______________________________________LN18">'[1]Water Demand'!#REF!</definedName>
    <definedName name="_______________________________________LN19">'[1]Water Demand'!#REF!</definedName>
    <definedName name="_______________________________________LN2">'[1]Water Demand'!#REF!</definedName>
    <definedName name="_______________________________________LN20">#REF!</definedName>
    <definedName name="_______________________________________LN21">#REF!</definedName>
    <definedName name="_______________________________________LN22">'[1]Water Demand'!#REF!</definedName>
    <definedName name="_______________________________________LN23">'[1]Water Demand'!#REF!</definedName>
    <definedName name="_______________________________________LN24">'[1]Water Demand'!#REF!</definedName>
    <definedName name="_______________________________________LN25">'[1]Water Demand'!#REF!</definedName>
    <definedName name="_______________________________________LN26">'[1]Water Demand'!#REF!</definedName>
    <definedName name="_______________________________________LN27">'[1]Water Demand'!#REF!</definedName>
    <definedName name="_______________________________________LN28">'[1]Water Demand'!#REF!</definedName>
    <definedName name="_______________________________________LN29">'[1]Water Demand'!#REF!</definedName>
    <definedName name="_______________________________________LN3">#REF!</definedName>
    <definedName name="_______________________________________LN30">'[1]Water Demand'!#REF!</definedName>
    <definedName name="_______________________________________LN31">#REF!</definedName>
    <definedName name="_______________________________________LN32">#REF!</definedName>
    <definedName name="_______________________________________LN33">#REF!</definedName>
    <definedName name="_______________________________________LN34">#REF!</definedName>
    <definedName name="_______________________________________LN35">#REF!</definedName>
    <definedName name="_______________________________________LN36">#REF!</definedName>
    <definedName name="_______________________________________LN37">#REF!</definedName>
    <definedName name="_______________________________________LN38">#REF!</definedName>
    <definedName name="_______________________________________LN39">#REF!</definedName>
    <definedName name="_______________________________________LN4">#REF!</definedName>
    <definedName name="_______________________________________LN40">#REF!</definedName>
    <definedName name="_______________________________________LN41">#REF!</definedName>
    <definedName name="_______________________________________LN42">#REF!</definedName>
    <definedName name="_______________________________________LN43">#REF!</definedName>
    <definedName name="_______________________________________LN44">#REF!</definedName>
    <definedName name="_______________________________________LN45">#REF!</definedName>
    <definedName name="_______________________________________LN46">#REF!</definedName>
    <definedName name="_______________________________________LN47">#REF!</definedName>
    <definedName name="_______________________________________LN48">#REF!</definedName>
    <definedName name="_______________________________________LN49">#REF!</definedName>
    <definedName name="_______________________________________LN5">#REF!</definedName>
    <definedName name="_______________________________________LN50">#REF!</definedName>
    <definedName name="_______________________________________LN6">#REF!</definedName>
    <definedName name="_______________________________________LN7">#REF!</definedName>
    <definedName name="_______________________________________LN8">#REF!</definedName>
    <definedName name="_______________________________________LN9">'[1]Water Demand'!#REF!</definedName>
    <definedName name="_______________________________________RSD2">'[8]Data-Table'!$D$27</definedName>
    <definedName name="______________________________________DPC124">#REF!</definedName>
    <definedName name="______________________________________DPC136">#REF!</definedName>
    <definedName name="______________________________________DPC148">#REF!</definedName>
    <definedName name="______________________________________LN1">'[1]Water Demand'!#REF!</definedName>
    <definedName name="______________________________________LN10">'[1]Water Demand'!#REF!</definedName>
    <definedName name="______________________________________LN11">'[1]Water Demand'!#REF!</definedName>
    <definedName name="______________________________________LN12">'[1]Water Demand'!#REF!</definedName>
    <definedName name="______________________________________LN13">'[1]Water Demand'!#REF!</definedName>
    <definedName name="______________________________________LN14">'[1]Water Demand'!#REF!</definedName>
    <definedName name="______________________________________LN15">'[1]Water Demand'!#REF!</definedName>
    <definedName name="______________________________________LN16">'[1]Water Demand'!#REF!</definedName>
    <definedName name="______________________________________LN17">'[1]Water Demand'!#REF!</definedName>
    <definedName name="______________________________________LN18">'[1]Water Demand'!#REF!</definedName>
    <definedName name="______________________________________LN19">'[1]Water Demand'!#REF!</definedName>
    <definedName name="______________________________________LN2">'[1]Water Demand'!#REF!</definedName>
    <definedName name="______________________________________LN20">#REF!</definedName>
    <definedName name="______________________________________LN21">#REF!</definedName>
    <definedName name="______________________________________LN22">'[1]Water Demand'!#REF!</definedName>
    <definedName name="______________________________________LN23">'[1]Water Demand'!#REF!</definedName>
    <definedName name="______________________________________LN24">'[1]Water Demand'!#REF!</definedName>
    <definedName name="______________________________________LN25">'[1]Water Demand'!#REF!</definedName>
    <definedName name="______________________________________LN26">'[1]Water Demand'!#REF!</definedName>
    <definedName name="______________________________________LN27">'[1]Water Demand'!#REF!</definedName>
    <definedName name="______________________________________LN28">'[1]Water Demand'!#REF!</definedName>
    <definedName name="______________________________________LN29">'[1]Water Demand'!#REF!</definedName>
    <definedName name="______________________________________LN3">#REF!</definedName>
    <definedName name="______________________________________LN30">'[1]Water Demand'!#REF!</definedName>
    <definedName name="______________________________________LN31">#REF!</definedName>
    <definedName name="______________________________________LN32">#REF!</definedName>
    <definedName name="______________________________________LN33">#REF!</definedName>
    <definedName name="______________________________________LN34">#REF!</definedName>
    <definedName name="______________________________________LN35">#REF!</definedName>
    <definedName name="______________________________________LN36">#REF!</definedName>
    <definedName name="______________________________________LN37">#REF!</definedName>
    <definedName name="______________________________________LN38">#REF!</definedName>
    <definedName name="______________________________________LN39">#REF!</definedName>
    <definedName name="______________________________________LN4">#REF!</definedName>
    <definedName name="______________________________________LN40">#REF!</definedName>
    <definedName name="______________________________________LN41">#REF!</definedName>
    <definedName name="______________________________________LN42">#REF!</definedName>
    <definedName name="______________________________________LN43">#REF!</definedName>
    <definedName name="______________________________________LN44">#REF!</definedName>
    <definedName name="______________________________________LN45">#REF!</definedName>
    <definedName name="______________________________________LN46">#REF!</definedName>
    <definedName name="______________________________________LN47">#REF!</definedName>
    <definedName name="______________________________________LN48">#REF!</definedName>
    <definedName name="______________________________________LN49">#REF!</definedName>
    <definedName name="______________________________________LN5">#REF!</definedName>
    <definedName name="______________________________________LN50">#REF!</definedName>
    <definedName name="______________________________________LN6">#REF!</definedName>
    <definedName name="______________________________________LN7">#REF!</definedName>
    <definedName name="______________________________________LN8">#REF!</definedName>
    <definedName name="______________________________________LN9">'[1]Water Demand'!#REF!</definedName>
    <definedName name="______________________________________RSD2">'[8]Data-Table'!$D$27</definedName>
    <definedName name="_____________________________________DPC124">#REF!</definedName>
    <definedName name="_____________________________________DPC136">#REF!</definedName>
    <definedName name="_____________________________________DPC148">#REF!</definedName>
    <definedName name="_____________________________________LN1">'[1]Water Demand'!#REF!</definedName>
    <definedName name="_____________________________________LN10">'[1]Water Demand'!#REF!</definedName>
    <definedName name="_____________________________________LN11">'[1]Water Demand'!#REF!</definedName>
    <definedName name="_____________________________________LN12">'[1]Water Demand'!#REF!</definedName>
    <definedName name="_____________________________________LN13">'[1]Water Demand'!#REF!</definedName>
    <definedName name="_____________________________________LN14">'[1]Water Demand'!#REF!</definedName>
    <definedName name="_____________________________________LN15">'[1]Water Demand'!#REF!</definedName>
    <definedName name="_____________________________________LN16">'[1]Water Demand'!#REF!</definedName>
    <definedName name="_____________________________________LN17">'[1]Water Demand'!#REF!</definedName>
    <definedName name="_____________________________________LN18">'[1]Water Demand'!#REF!</definedName>
    <definedName name="_____________________________________LN19">'[1]Water Demand'!#REF!</definedName>
    <definedName name="_____________________________________LN2">'[1]Water Demand'!#REF!</definedName>
    <definedName name="_____________________________________LN20">#REF!</definedName>
    <definedName name="_____________________________________LN21">#REF!</definedName>
    <definedName name="_____________________________________LN22">'[1]Water Demand'!#REF!</definedName>
    <definedName name="_____________________________________LN23">'[1]Water Demand'!#REF!</definedName>
    <definedName name="_____________________________________LN24">'[1]Water Demand'!#REF!</definedName>
    <definedName name="_____________________________________LN25">'[1]Water Demand'!#REF!</definedName>
    <definedName name="_____________________________________LN26">'[1]Water Demand'!#REF!</definedName>
    <definedName name="_____________________________________LN27">'[1]Water Demand'!#REF!</definedName>
    <definedName name="_____________________________________LN28">'[1]Water Demand'!#REF!</definedName>
    <definedName name="_____________________________________LN29">'[1]Water Demand'!#REF!</definedName>
    <definedName name="_____________________________________LN3">#REF!</definedName>
    <definedName name="_____________________________________LN30">'[1]Water Demand'!#REF!</definedName>
    <definedName name="_____________________________________LN31">#REF!</definedName>
    <definedName name="_____________________________________LN32">#REF!</definedName>
    <definedName name="_____________________________________LN33">#REF!</definedName>
    <definedName name="_____________________________________LN34">#REF!</definedName>
    <definedName name="_____________________________________LN35">#REF!</definedName>
    <definedName name="_____________________________________LN36">#REF!</definedName>
    <definedName name="_____________________________________LN37">#REF!</definedName>
    <definedName name="_____________________________________LN38">#REF!</definedName>
    <definedName name="_____________________________________LN39">#REF!</definedName>
    <definedName name="_____________________________________LN4">#REF!</definedName>
    <definedName name="_____________________________________LN40">#REF!</definedName>
    <definedName name="_____________________________________LN41">#REF!</definedName>
    <definedName name="_____________________________________LN42">#REF!</definedName>
    <definedName name="_____________________________________LN43">#REF!</definedName>
    <definedName name="_____________________________________LN44">#REF!</definedName>
    <definedName name="_____________________________________LN45">#REF!</definedName>
    <definedName name="_____________________________________LN46">#REF!</definedName>
    <definedName name="_____________________________________LN47">#REF!</definedName>
    <definedName name="_____________________________________LN48">#REF!</definedName>
    <definedName name="_____________________________________LN49">#REF!</definedName>
    <definedName name="_____________________________________LN5">#REF!</definedName>
    <definedName name="_____________________________________LN50">#REF!</definedName>
    <definedName name="_____________________________________LN6">#REF!</definedName>
    <definedName name="_____________________________________LN7">#REF!</definedName>
    <definedName name="_____________________________________LN8">#REF!</definedName>
    <definedName name="_____________________________________LN9">'[1]Water Demand'!#REF!</definedName>
    <definedName name="_____________________________________RSD2">'[8]Data-Table'!$D$27</definedName>
    <definedName name="____________________________________DPC124">#REF!</definedName>
    <definedName name="____________________________________DPC136">#REF!</definedName>
    <definedName name="____________________________________DPC148">#REF!</definedName>
    <definedName name="____________________________________LN1">'[1]Water Demand'!#REF!</definedName>
    <definedName name="____________________________________LN10">'[1]Water Demand'!#REF!</definedName>
    <definedName name="____________________________________LN11">'[1]Water Demand'!#REF!</definedName>
    <definedName name="____________________________________LN12">'[1]Water Demand'!#REF!</definedName>
    <definedName name="____________________________________LN13">'[1]Water Demand'!#REF!</definedName>
    <definedName name="____________________________________LN14">'[1]Water Demand'!#REF!</definedName>
    <definedName name="____________________________________LN15">'[1]Water Demand'!#REF!</definedName>
    <definedName name="____________________________________LN16">'[1]Water Demand'!#REF!</definedName>
    <definedName name="____________________________________LN17">'[1]Water Demand'!#REF!</definedName>
    <definedName name="____________________________________LN18">'[1]Water Demand'!#REF!</definedName>
    <definedName name="____________________________________LN19">'[1]Water Demand'!#REF!</definedName>
    <definedName name="____________________________________LN2">'[1]Water Demand'!#REF!</definedName>
    <definedName name="____________________________________LN20">#REF!</definedName>
    <definedName name="____________________________________LN21">#REF!</definedName>
    <definedName name="____________________________________LN22">'[1]Water Demand'!#REF!</definedName>
    <definedName name="____________________________________LN23">'[1]Water Demand'!#REF!</definedName>
    <definedName name="____________________________________LN24">'[1]Water Demand'!#REF!</definedName>
    <definedName name="____________________________________LN25">'[1]Water Demand'!#REF!</definedName>
    <definedName name="____________________________________LN26">'[1]Water Demand'!#REF!</definedName>
    <definedName name="____________________________________LN27">'[1]Water Demand'!#REF!</definedName>
    <definedName name="____________________________________LN28">'[1]Water Demand'!#REF!</definedName>
    <definedName name="____________________________________LN29">'[1]Water Demand'!#REF!</definedName>
    <definedName name="____________________________________LN3">#REF!</definedName>
    <definedName name="____________________________________LN30">'[1]Water Demand'!#REF!</definedName>
    <definedName name="____________________________________LN31">#REF!</definedName>
    <definedName name="____________________________________LN32">#REF!</definedName>
    <definedName name="____________________________________LN33">#REF!</definedName>
    <definedName name="____________________________________LN34">#REF!</definedName>
    <definedName name="____________________________________LN35">#REF!</definedName>
    <definedName name="____________________________________LN36">#REF!</definedName>
    <definedName name="____________________________________LN37">#REF!</definedName>
    <definedName name="____________________________________LN38">#REF!</definedName>
    <definedName name="____________________________________LN39">#REF!</definedName>
    <definedName name="____________________________________LN4">#REF!</definedName>
    <definedName name="____________________________________LN40">#REF!</definedName>
    <definedName name="____________________________________LN41">#REF!</definedName>
    <definedName name="____________________________________LN42">#REF!</definedName>
    <definedName name="____________________________________LN43">#REF!</definedName>
    <definedName name="____________________________________LN44">#REF!</definedName>
    <definedName name="____________________________________LN45">#REF!</definedName>
    <definedName name="____________________________________LN46">#REF!</definedName>
    <definedName name="____________________________________LN47">#REF!</definedName>
    <definedName name="____________________________________LN48">#REF!</definedName>
    <definedName name="____________________________________LN49">#REF!</definedName>
    <definedName name="____________________________________LN5">#REF!</definedName>
    <definedName name="____________________________________LN50">#REF!</definedName>
    <definedName name="____________________________________LN6">#REF!</definedName>
    <definedName name="____________________________________LN7">#REF!</definedName>
    <definedName name="____________________________________LN8">#REF!</definedName>
    <definedName name="____________________________________LN9">'[1]Water Demand'!#REF!</definedName>
    <definedName name="____________________________________RSD1">'[8]Data-Table'!$D$26</definedName>
    <definedName name="____________________________________RSD2">'[8]Data-Table'!$D$27</definedName>
    <definedName name="___________________________________DPC124">#REF!</definedName>
    <definedName name="___________________________________DPC136">#REF!</definedName>
    <definedName name="___________________________________DPC148">#REF!</definedName>
    <definedName name="___________________________________LN1">'[1]Water Demand'!#REF!</definedName>
    <definedName name="___________________________________LN10">'[1]Water Demand'!#REF!</definedName>
    <definedName name="___________________________________LN11">'[1]Water Demand'!#REF!</definedName>
    <definedName name="___________________________________LN12">'[1]Water Demand'!#REF!</definedName>
    <definedName name="___________________________________LN13">'[1]Water Demand'!#REF!</definedName>
    <definedName name="___________________________________LN14">'[1]Water Demand'!#REF!</definedName>
    <definedName name="___________________________________LN15">'[1]Water Demand'!#REF!</definedName>
    <definedName name="___________________________________LN16">'[1]Water Demand'!#REF!</definedName>
    <definedName name="___________________________________LN17">'[1]Water Demand'!#REF!</definedName>
    <definedName name="___________________________________LN18">'[1]Water Demand'!#REF!</definedName>
    <definedName name="___________________________________LN19">'[1]Water Demand'!#REF!</definedName>
    <definedName name="___________________________________LN2">'[1]Water Demand'!#REF!</definedName>
    <definedName name="___________________________________LN20">#REF!</definedName>
    <definedName name="___________________________________LN21">#REF!</definedName>
    <definedName name="___________________________________LN22">'[1]Water Demand'!#REF!</definedName>
    <definedName name="___________________________________LN23">'[1]Water Demand'!#REF!</definedName>
    <definedName name="___________________________________LN24">'[1]Water Demand'!#REF!</definedName>
    <definedName name="___________________________________LN25">'[1]Water Demand'!#REF!</definedName>
    <definedName name="___________________________________LN26">'[1]Water Demand'!#REF!</definedName>
    <definedName name="___________________________________LN27">'[1]Water Demand'!#REF!</definedName>
    <definedName name="___________________________________LN28">'[1]Water Demand'!#REF!</definedName>
    <definedName name="___________________________________LN29">'[1]Water Demand'!#REF!</definedName>
    <definedName name="___________________________________LN3">#REF!</definedName>
    <definedName name="___________________________________LN30">'[1]Water Demand'!#REF!</definedName>
    <definedName name="___________________________________LN31">#REF!</definedName>
    <definedName name="___________________________________LN32">#REF!</definedName>
    <definedName name="___________________________________LN33">#REF!</definedName>
    <definedName name="___________________________________LN34">#REF!</definedName>
    <definedName name="___________________________________LN35">#REF!</definedName>
    <definedName name="___________________________________LN36">#REF!</definedName>
    <definedName name="___________________________________LN37">#REF!</definedName>
    <definedName name="___________________________________LN38">#REF!</definedName>
    <definedName name="___________________________________LN39">#REF!</definedName>
    <definedName name="___________________________________LN4">#REF!</definedName>
    <definedName name="___________________________________LN40">#REF!</definedName>
    <definedName name="___________________________________LN41">#REF!</definedName>
    <definedName name="___________________________________LN42">#REF!</definedName>
    <definedName name="___________________________________LN43">#REF!</definedName>
    <definedName name="___________________________________LN44">#REF!</definedName>
    <definedName name="___________________________________LN45">#REF!</definedName>
    <definedName name="___________________________________LN46">#REF!</definedName>
    <definedName name="___________________________________LN47">#REF!</definedName>
    <definedName name="___________________________________LN48">#REF!</definedName>
    <definedName name="___________________________________LN49">#REF!</definedName>
    <definedName name="___________________________________LN5">#REF!</definedName>
    <definedName name="___________________________________LN50">#REF!</definedName>
    <definedName name="___________________________________LN6">#REF!</definedName>
    <definedName name="___________________________________LN7">#REF!</definedName>
    <definedName name="___________________________________LN8">#REF!</definedName>
    <definedName name="___________________________________LN9">'[1]Water Demand'!#REF!</definedName>
    <definedName name="___________________________________RSD1">'[8]Data-Table'!$D$26</definedName>
    <definedName name="___________________________________RSD2">'[8]Data-Table'!$D$27</definedName>
    <definedName name="__________________________________DPC124">#REF!</definedName>
    <definedName name="__________________________________DPC136">#REF!</definedName>
    <definedName name="__________________________________DPC148">#REF!</definedName>
    <definedName name="__________________________________LN1">'[1]Water Demand'!#REF!</definedName>
    <definedName name="__________________________________LN10">'[1]Water Demand'!#REF!</definedName>
    <definedName name="__________________________________LN11">'[1]Water Demand'!#REF!</definedName>
    <definedName name="__________________________________LN12">'[1]Water Demand'!#REF!</definedName>
    <definedName name="__________________________________LN13">'[1]Water Demand'!#REF!</definedName>
    <definedName name="__________________________________LN14">'[1]Water Demand'!#REF!</definedName>
    <definedName name="__________________________________LN15">'[1]Water Demand'!#REF!</definedName>
    <definedName name="__________________________________LN16">'[1]Water Demand'!#REF!</definedName>
    <definedName name="__________________________________LN17">'[1]Water Demand'!#REF!</definedName>
    <definedName name="__________________________________LN18">'[1]Water Demand'!#REF!</definedName>
    <definedName name="__________________________________LN19">'[1]Water Demand'!#REF!</definedName>
    <definedName name="__________________________________LN2">'[1]Water Demand'!#REF!</definedName>
    <definedName name="__________________________________LN20">#REF!</definedName>
    <definedName name="__________________________________LN21">#REF!</definedName>
    <definedName name="__________________________________LN22">'[1]Water Demand'!#REF!</definedName>
    <definedName name="__________________________________LN23">'[1]Water Demand'!#REF!</definedName>
    <definedName name="__________________________________LN24">'[1]Water Demand'!#REF!</definedName>
    <definedName name="__________________________________LN25">'[1]Water Demand'!#REF!</definedName>
    <definedName name="__________________________________LN26">'[1]Water Demand'!#REF!</definedName>
    <definedName name="__________________________________LN27">'[1]Water Demand'!#REF!</definedName>
    <definedName name="__________________________________LN28">'[1]Water Demand'!#REF!</definedName>
    <definedName name="__________________________________LN29">'[1]Water Demand'!#REF!</definedName>
    <definedName name="__________________________________LN3">#REF!</definedName>
    <definedName name="__________________________________LN30">'[1]Water Demand'!#REF!</definedName>
    <definedName name="__________________________________LN31">#REF!</definedName>
    <definedName name="__________________________________LN32">#REF!</definedName>
    <definedName name="__________________________________LN33">#REF!</definedName>
    <definedName name="__________________________________LN34">#REF!</definedName>
    <definedName name="__________________________________LN35">#REF!</definedName>
    <definedName name="__________________________________LN36">#REF!</definedName>
    <definedName name="__________________________________LN37">#REF!</definedName>
    <definedName name="__________________________________LN38">#REF!</definedName>
    <definedName name="__________________________________LN39">#REF!</definedName>
    <definedName name="__________________________________LN4">#REF!</definedName>
    <definedName name="__________________________________LN40">#REF!</definedName>
    <definedName name="__________________________________LN41">#REF!</definedName>
    <definedName name="__________________________________LN42">#REF!</definedName>
    <definedName name="__________________________________LN43">#REF!</definedName>
    <definedName name="__________________________________LN44">#REF!</definedName>
    <definedName name="__________________________________LN45">#REF!</definedName>
    <definedName name="__________________________________LN46">#REF!</definedName>
    <definedName name="__________________________________LN47">#REF!</definedName>
    <definedName name="__________________________________LN48">#REF!</definedName>
    <definedName name="__________________________________LN49">#REF!</definedName>
    <definedName name="__________________________________LN5">#REF!</definedName>
    <definedName name="__________________________________LN50">#REF!</definedName>
    <definedName name="__________________________________LN6">#REF!</definedName>
    <definedName name="__________________________________LN7">#REF!</definedName>
    <definedName name="__________________________________LN8">#REF!</definedName>
    <definedName name="__________________________________LN9">'[1]Water Demand'!#REF!</definedName>
    <definedName name="__________________________________RSD1">'[8]Data-Table'!$D$26</definedName>
    <definedName name="__________________________________RSD2">'[8]Data-Table'!$D$27</definedName>
    <definedName name="_________________________________DPC124">#REF!</definedName>
    <definedName name="_________________________________DPC136">#REF!</definedName>
    <definedName name="_________________________________DPC148">#REF!</definedName>
    <definedName name="_________________________________LN1">'[1]Water Demand'!#REF!</definedName>
    <definedName name="_________________________________LN10">'[1]Water Demand'!#REF!</definedName>
    <definedName name="_________________________________LN11">'[1]Water Demand'!#REF!</definedName>
    <definedName name="_________________________________LN12">'[1]Water Demand'!#REF!</definedName>
    <definedName name="_________________________________LN13">'[1]Water Demand'!#REF!</definedName>
    <definedName name="_________________________________LN14">'[1]Water Demand'!#REF!</definedName>
    <definedName name="_________________________________LN15">'[1]Water Demand'!#REF!</definedName>
    <definedName name="_________________________________LN16">'[1]Water Demand'!#REF!</definedName>
    <definedName name="_________________________________LN17">'[1]Water Demand'!#REF!</definedName>
    <definedName name="_________________________________LN18">'[1]Water Demand'!#REF!</definedName>
    <definedName name="_________________________________LN19">'[1]Water Demand'!#REF!</definedName>
    <definedName name="_________________________________LN2">'[1]Water Demand'!#REF!</definedName>
    <definedName name="_________________________________LN20">#REF!</definedName>
    <definedName name="_________________________________LN21">#REF!</definedName>
    <definedName name="_________________________________LN22">'[1]Water Demand'!#REF!</definedName>
    <definedName name="_________________________________LN23">'[1]Water Demand'!#REF!</definedName>
    <definedName name="_________________________________LN24">'[1]Water Demand'!#REF!</definedName>
    <definedName name="_________________________________LN25">'[1]Water Demand'!#REF!</definedName>
    <definedName name="_________________________________LN26">'[1]Water Demand'!#REF!</definedName>
    <definedName name="_________________________________LN27">'[1]Water Demand'!#REF!</definedName>
    <definedName name="_________________________________LN28">'[1]Water Demand'!#REF!</definedName>
    <definedName name="_________________________________LN29">'[1]Water Demand'!#REF!</definedName>
    <definedName name="_________________________________LN3">#REF!</definedName>
    <definedName name="_________________________________LN30">'[1]Water Demand'!#REF!</definedName>
    <definedName name="_________________________________LN31">#REF!</definedName>
    <definedName name="_________________________________LN32">#REF!</definedName>
    <definedName name="_________________________________LN33">#REF!</definedName>
    <definedName name="_________________________________LN34">#REF!</definedName>
    <definedName name="_________________________________LN35">#REF!</definedName>
    <definedName name="_________________________________LN36">#REF!</definedName>
    <definedName name="_________________________________LN37">#REF!</definedName>
    <definedName name="_________________________________LN38">#REF!</definedName>
    <definedName name="_________________________________LN39">#REF!</definedName>
    <definedName name="_________________________________LN4">#REF!</definedName>
    <definedName name="_________________________________LN40">#REF!</definedName>
    <definedName name="_________________________________LN41">#REF!</definedName>
    <definedName name="_________________________________LN42">#REF!</definedName>
    <definedName name="_________________________________LN43">#REF!</definedName>
    <definedName name="_________________________________LN44">#REF!</definedName>
    <definedName name="_________________________________LN45">#REF!</definedName>
    <definedName name="_________________________________LN46">#REF!</definedName>
    <definedName name="_________________________________LN47">#REF!</definedName>
    <definedName name="_________________________________LN48">#REF!</definedName>
    <definedName name="_________________________________LN49">#REF!</definedName>
    <definedName name="_________________________________LN5">#REF!</definedName>
    <definedName name="_________________________________LN50">#REF!</definedName>
    <definedName name="_________________________________LN6">#REF!</definedName>
    <definedName name="_________________________________LN7">#REF!</definedName>
    <definedName name="_________________________________LN8">#REF!</definedName>
    <definedName name="_________________________________LN9">'[1]Water Demand'!#REF!</definedName>
    <definedName name="_________________________________RSD1">'[8]Data-Table'!$D$26</definedName>
    <definedName name="_________________________________RSD2">'[8]Data-Table'!$D$27</definedName>
    <definedName name="________________________________DPC124">#REF!</definedName>
    <definedName name="________________________________DPC136">#REF!</definedName>
    <definedName name="________________________________DPC148">#REF!</definedName>
    <definedName name="________________________________LN20">#REF!</definedName>
    <definedName name="________________________________LN21">#REF!</definedName>
    <definedName name="________________________________LN3">#REF!</definedName>
    <definedName name="________________________________LN31">#REF!</definedName>
    <definedName name="________________________________LN32">#REF!</definedName>
    <definedName name="________________________________LN33">#REF!</definedName>
    <definedName name="________________________________LN34">#REF!</definedName>
    <definedName name="________________________________LN35">#REF!</definedName>
    <definedName name="________________________________LN36">#REF!</definedName>
    <definedName name="________________________________LN37">#REF!</definedName>
    <definedName name="________________________________LN38">#REF!</definedName>
    <definedName name="________________________________LN39">#REF!</definedName>
    <definedName name="________________________________LN4">#REF!</definedName>
    <definedName name="________________________________LN40">#REF!</definedName>
    <definedName name="________________________________LN41">#REF!</definedName>
    <definedName name="________________________________LN42">#REF!</definedName>
    <definedName name="________________________________LN43">#REF!</definedName>
    <definedName name="________________________________LN44">#REF!</definedName>
    <definedName name="________________________________LN45">#REF!</definedName>
    <definedName name="________________________________LN46">#REF!</definedName>
    <definedName name="________________________________LN47">#REF!</definedName>
    <definedName name="________________________________LN48">#REF!</definedName>
    <definedName name="________________________________LN49">#REF!</definedName>
    <definedName name="________________________________LN5">#REF!</definedName>
    <definedName name="________________________________LN50">#REF!</definedName>
    <definedName name="________________________________LN6">#REF!</definedName>
    <definedName name="________________________________LN7">#REF!</definedName>
    <definedName name="________________________________LN8">#REF!</definedName>
    <definedName name="________________________________RSD1">'[8]Data-Table'!$D$26</definedName>
    <definedName name="________________________________RSD2">'[8]Data-Table'!$D$27</definedName>
    <definedName name="_______________________________DPC124">#REF!</definedName>
    <definedName name="_______________________________DPC136">#REF!</definedName>
    <definedName name="_______________________________DPC148">#REF!</definedName>
    <definedName name="_______________________________LN20">#REF!</definedName>
    <definedName name="_______________________________LN21">#REF!</definedName>
    <definedName name="_______________________________LN3">#REF!</definedName>
    <definedName name="_______________________________LN31">#REF!</definedName>
    <definedName name="_______________________________LN32">#REF!</definedName>
    <definedName name="_______________________________LN33">#REF!</definedName>
    <definedName name="_______________________________LN34">#REF!</definedName>
    <definedName name="_______________________________LN35">#REF!</definedName>
    <definedName name="_______________________________LN36">#REF!</definedName>
    <definedName name="_______________________________LN37">#REF!</definedName>
    <definedName name="_______________________________LN38">#REF!</definedName>
    <definedName name="_______________________________LN39">#REF!</definedName>
    <definedName name="_______________________________LN4">#REF!</definedName>
    <definedName name="_______________________________LN40">#REF!</definedName>
    <definedName name="_______________________________LN41">#REF!</definedName>
    <definedName name="_______________________________LN42">#REF!</definedName>
    <definedName name="_______________________________LN43">#REF!</definedName>
    <definedName name="_______________________________LN44">#REF!</definedName>
    <definedName name="_______________________________LN45">#REF!</definedName>
    <definedName name="_______________________________LN46">#REF!</definedName>
    <definedName name="_______________________________LN47">#REF!</definedName>
    <definedName name="_______________________________LN48">#REF!</definedName>
    <definedName name="_______________________________LN49">#REF!</definedName>
    <definedName name="_______________________________LN5">#REF!</definedName>
    <definedName name="_______________________________LN50">#REF!</definedName>
    <definedName name="_______________________________LN6">#REF!</definedName>
    <definedName name="_______________________________LN7">#REF!</definedName>
    <definedName name="_______________________________LN8">#REF!</definedName>
    <definedName name="_______________________________RSD1">'[8]Data-Table'!$D$26</definedName>
    <definedName name="_______________________________RSD2">'[8]Data-Table'!$D$27</definedName>
    <definedName name="______________________________DPC124">#REF!</definedName>
    <definedName name="______________________________DPC136">#REF!</definedName>
    <definedName name="______________________________DPC148">#REF!</definedName>
    <definedName name="______________________________LN20">#REF!</definedName>
    <definedName name="______________________________LN21">#REF!</definedName>
    <definedName name="______________________________LN3">#REF!</definedName>
    <definedName name="______________________________LN31">#REF!</definedName>
    <definedName name="______________________________LN32">#REF!</definedName>
    <definedName name="______________________________LN33">#REF!</definedName>
    <definedName name="______________________________LN34">#REF!</definedName>
    <definedName name="______________________________LN35">#REF!</definedName>
    <definedName name="______________________________LN36">#REF!</definedName>
    <definedName name="______________________________LN37">#REF!</definedName>
    <definedName name="______________________________LN38">#REF!</definedName>
    <definedName name="______________________________LN39">#REF!</definedName>
    <definedName name="______________________________LN4">#REF!</definedName>
    <definedName name="______________________________LN40">#REF!</definedName>
    <definedName name="______________________________LN41">#REF!</definedName>
    <definedName name="______________________________LN42">#REF!</definedName>
    <definedName name="______________________________LN43">#REF!</definedName>
    <definedName name="______________________________LN44">#REF!</definedName>
    <definedName name="______________________________LN45">#REF!</definedName>
    <definedName name="______________________________LN46">#REF!</definedName>
    <definedName name="______________________________LN47">#REF!</definedName>
    <definedName name="______________________________LN48">#REF!</definedName>
    <definedName name="______________________________LN49">#REF!</definedName>
    <definedName name="______________________________LN5">#REF!</definedName>
    <definedName name="______________________________LN50">#REF!</definedName>
    <definedName name="______________________________LN6">#REF!</definedName>
    <definedName name="______________________________LN7">#REF!</definedName>
    <definedName name="______________________________LN8">#REF!</definedName>
    <definedName name="______________________________RSD1">'[8]Data-Table'!$D$26</definedName>
    <definedName name="______________________________RSD2">'[8]Data-Table'!$D$27</definedName>
    <definedName name="_____________________________DPC124">#REF!</definedName>
    <definedName name="_____________________________DPC136">#REF!</definedName>
    <definedName name="_____________________________DPC148">#REF!</definedName>
    <definedName name="_____________________________LN20">#REF!</definedName>
    <definedName name="_____________________________LN21">#REF!</definedName>
    <definedName name="_____________________________LN3">#REF!</definedName>
    <definedName name="_____________________________LN31">#REF!</definedName>
    <definedName name="_____________________________LN32">#REF!</definedName>
    <definedName name="_____________________________LN33">#REF!</definedName>
    <definedName name="_____________________________LN34">#REF!</definedName>
    <definedName name="_____________________________LN35">#REF!</definedName>
    <definedName name="_____________________________LN36">#REF!</definedName>
    <definedName name="_____________________________LN37">#REF!</definedName>
    <definedName name="_____________________________LN38">#REF!</definedName>
    <definedName name="_____________________________LN39">#REF!</definedName>
    <definedName name="_____________________________LN4">#REF!</definedName>
    <definedName name="_____________________________LN40">#REF!</definedName>
    <definedName name="_____________________________LN41">#REF!</definedName>
    <definedName name="_____________________________LN42">#REF!</definedName>
    <definedName name="_____________________________LN43">#REF!</definedName>
    <definedName name="_____________________________LN44">#REF!</definedName>
    <definedName name="_____________________________LN45">#REF!</definedName>
    <definedName name="_____________________________LN46">#REF!</definedName>
    <definedName name="_____________________________LN47">#REF!</definedName>
    <definedName name="_____________________________LN48">#REF!</definedName>
    <definedName name="_____________________________LN49">#REF!</definedName>
    <definedName name="_____________________________LN5">#REF!</definedName>
    <definedName name="_____________________________LN50">#REF!</definedName>
    <definedName name="_____________________________LN6">#REF!</definedName>
    <definedName name="_____________________________LN7">#REF!</definedName>
    <definedName name="_____________________________LN8">#REF!</definedName>
    <definedName name="_____________________________RCT10" hidden="1">[9]RCT!$K$474</definedName>
    <definedName name="_____________________________RCT50" hidden="1">[9]RCT!$K$98</definedName>
    <definedName name="_____________________________RCT75" hidden="1">[9]RCT!$K$192</definedName>
    <definedName name="_____________________________RSD1">'[8]Data-Table'!$D$26</definedName>
    <definedName name="_____________________________RSD2">'[8]Data-Table'!$D$27</definedName>
    <definedName name="____________________________FRT18" hidden="1">[10]FRT!$K$251</definedName>
    <definedName name="____________________________RCT10" hidden="1">[10]RCT!$K$474</definedName>
    <definedName name="____________________________RCT50" hidden="1">[10]RCT!$K$98</definedName>
    <definedName name="____________________________RCT75" hidden="1">[10]RCT!$K$192</definedName>
    <definedName name="____________________________RSD1">'[8]Data-Table'!$D$26</definedName>
    <definedName name="____________________________RSD2">'[8]Data-Table'!$D$27</definedName>
    <definedName name="___________________________agg10" hidden="1">[10]MatCol!$U$56</definedName>
    <definedName name="___________________________agg20" hidden="1">[10]MatCol!$U$55</definedName>
    <definedName name="___________________________agg40" hidden="1">[10]MatCol!$U$54</definedName>
    <definedName name="___________________________FRT10">'[11]FRT 1'!$F$417</definedName>
    <definedName name="___________________________FRT18" hidden="1">[10]FRT!$K$251</definedName>
    <definedName name="___________________________FRT20" hidden="1">[9]FRT!$K$87</definedName>
    <definedName name="___________________________FRT3" hidden="1">[9]FRT!$K$251</definedName>
    <definedName name="___________________________LN1">'[1]Water Demand'!#REF!</definedName>
    <definedName name="___________________________LN10">'[1]Water Demand'!#REF!</definedName>
    <definedName name="___________________________LN11">'[1]Water Demand'!#REF!</definedName>
    <definedName name="___________________________LN12">'[1]Water Demand'!#REF!</definedName>
    <definedName name="___________________________LN13">'[1]Water Demand'!#REF!</definedName>
    <definedName name="___________________________LN14">'[1]Water Demand'!#REF!</definedName>
    <definedName name="___________________________LN15">'[1]Water Demand'!#REF!</definedName>
    <definedName name="___________________________LN16">'[1]Water Demand'!#REF!</definedName>
    <definedName name="___________________________LN17">'[1]Water Demand'!#REF!</definedName>
    <definedName name="___________________________LN18">'[1]Water Demand'!#REF!</definedName>
    <definedName name="___________________________LN19">'[1]Water Demand'!#REF!</definedName>
    <definedName name="___________________________LN2">'[1]Water Demand'!#REF!</definedName>
    <definedName name="___________________________LN22">'[1]Water Demand'!#REF!</definedName>
    <definedName name="___________________________LN23">'[1]Water Demand'!#REF!</definedName>
    <definedName name="___________________________LN24">'[1]Water Demand'!#REF!</definedName>
    <definedName name="___________________________LN25">'[1]Water Demand'!#REF!</definedName>
    <definedName name="___________________________LN26">'[1]Water Demand'!#REF!</definedName>
    <definedName name="___________________________LN27">'[1]Water Demand'!#REF!</definedName>
    <definedName name="___________________________LN28">'[1]Water Demand'!#REF!</definedName>
    <definedName name="___________________________LN29">'[1]Water Demand'!#REF!</definedName>
    <definedName name="___________________________LN30">'[1]Water Demand'!#REF!</definedName>
    <definedName name="___________________________LN9">'[1]Water Demand'!#REF!</definedName>
    <definedName name="___________________________mh60" hidden="1">[10]MatCol!$U$39</definedName>
    <definedName name="___________________________RCT10" hidden="1">[10]RCT!$K$474</definedName>
    <definedName name="___________________________RCT50" hidden="1">[10]RCT!$K$98</definedName>
    <definedName name="___________________________RCT75" hidden="1">[10]RCT!$K$192</definedName>
    <definedName name="___________________________RSD1">'[8]Data-Table'!$D$26</definedName>
    <definedName name="___________________________RSD2">'[8]Data-Table'!$D$27</definedName>
    <definedName name="__________________________agg10" hidden="1">[10]MatCol!$U$56</definedName>
    <definedName name="__________________________agg20" hidden="1">[10]MatCol!$U$55</definedName>
    <definedName name="__________________________agg40" hidden="1">[10]MatCol!$U$54</definedName>
    <definedName name="__________________________FRT10" hidden="1">'[11]FRT 1'!$F$417</definedName>
    <definedName name="__________________________FRT18" hidden="1">[10]FRT!$K$251</definedName>
    <definedName name="__________________________FRT2">#REF!</definedName>
    <definedName name="__________________________FRT20" hidden="1">[10]FRT!$K$87</definedName>
    <definedName name="__________________________FRT3" hidden="1">[10]FRT!$K$251</definedName>
    <definedName name="__________________________mh60" hidden="1">[10]MatCol!$U$39</definedName>
    <definedName name="__________________________RCT10" hidden="1">[10]RCT!$K$474</definedName>
    <definedName name="__________________________RCT50" hidden="1">[10]RCT!$K$98</definedName>
    <definedName name="__________________________RCT75" hidden="1">[10]RCT!$K$192</definedName>
    <definedName name="__________________________RSD1">'[8]Data-Table'!$D$26</definedName>
    <definedName name="__________________________RSD2">'[8]Data-Table'!$D$27</definedName>
    <definedName name="_________________________agg10" hidden="1">[9]MatCol!$U$56</definedName>
    <definedName name="_________________________agg20" hidden="1">[9]MatCol!$U$55</definedName>
    <definedName name="_________________________agg40" hidden="1">[9]MatCol!$U$54</definedName>
    <definedName name="_________________________FRT10" hidden="1">'[11]FRT 1'!$F$417</definedName>
    <definedName name="_________________________FRT18" hidden="1">[10]FRT!$K$333</definedName>
    <definedName name="_________________________FRT2" hidden="1">#REF!</definedName>
    <definedName name="_________________________FRT20" hidden="1">[10]FRT!$K$87</definedName>
    <definedName name="_________________________FRT3" hidden="1">[10]FRT!$K$251</definedName>
    <definedName name="_________________________LN1">'[1]Water Demand'!#REF!</definedName>
    <definedName name="_________________________LN10">'[1]Water Demand'!#REF!</definedName>
    <definedName name="_________________________LN11">'[1]Water Demand'!#REF!</definedName>
    <definedName name="_________________________LN12">'[1]Water Demand'!#REF!</definedName>
    <definedName name="_________________________LN13">'[1]Water Demand'!#REF!</definedName>
    <definedName name="_________________________LN14">'[1]Water Demand'!#REF!</definedName>
    <definedName name="_________________________LN15">'[1]Water Demand'!#REF!</definedName>
    <definedName name="_________________________LN16">'[1]Water Demand'!#REF!</definedName>
    <definedName name="_________________________LN17">'[1]Water Demand'!#REF!</definedName>
    <definedName name="_________________________LN18">'[1]Water Demand'!#REF!</definedName>
    <definedName name="_________________________LN19">'[1]Water Demand'!#REF!</definedName>
    <definedName name="_________________________LN2">'[1]Water Demand'!#REF!</definedName>
    <definedName name="_________________________LN22">'[1]Water Demand'!#REF!</definedName>
    <definedName name="_________________________LN23">'[1]Water Demand'!#REF!</definedName>
    <definedName name="_________________________LN24">'[1]Water Demand'!#REF!</definedName>
    <definedName name="_________________________LN25">'[1]Water Demand'!#REF!</definedName>
    <definedName name="_________________________LN26">'[1]Water Demand'!#REF!</definedName>
    <definedName name="_________________________LN27">'[1]Water Demand'!#REF!</definedName>
    <definedName name="_________________________LN28">'[1]Water Demand'!#REF!</definedName>
    <definedName name="_________________________LN29">'[1]Water Demand'!#REF!</definedName>
    <definedName name="_________________________LN30">'[1]Water Demand'!#REF!</definedName>
    <definedName name="_________________________LN9">'[1]Water Demand'!#REF!</definedName>
    <definedName name="_________________________mh60" hidden="1">[9]MatCol!$U$39</definedName>
    <definedName name="_________________________RCT10" hidden="1">[10]RCT!$K$474</definedName>
    <definedName name="_________________________RCT50" hidden="1">[10]RCT!$K$98</definedName>
    <definedName name="_________________________RCT75" hidden="1">[10]RCT!$K$192</definedName>
    <definedName name="_________________________RSD1">'[8]Data-Table'!$D$26</definedName>
    <definedName name="_________________________RSD2">'[8]Data-Table'!$D$27</definedName>
    <definedName name="________________________agg10" hidden="1">[10]MatCol!$U$56</definedName>
    <definedName name="________________________agg20" hidden="1">[10]MatCol!$U$55</definedName>
    <definedName name="________________________agg40" hidden="1">[10]MatCol!$U$54</definedName>
    <definedName name="________________________FRT10" hidden="1">'[11]FRT 1'!$F$417</definedName>
    <definedName name="________________________FRT18" hidden="1">[10]FRT!$K$333</definedName>
    <definedName name="________________________FRT2" hidden="1">#REF!</definedName>
    <definedName name="________________________FRT20" hidden="1">[10]FRT!$K$87</definedName>
    <definedName name="________________________FRT3" hidden="1">[10]FRT!$K$251</definedName>
    <definedName name="________________________FRT5">#REF!</definedName>
    <definedName name="________________________mh60" hidden="1">[10]MatCol!$U$39</definedName>
    <definedName name="________________________nHH1">#REF!</definedName>
    <definedName name="________________________RCT10" hidden="1">[10]RCT!$K$474</definedName>
    <definedName name="________________________RCT50" hidden="1">[10]RCT!$K$98</definedName>
    <definedName name="________________________RCT75" hidden="1">[10]RCT!$K$192</definedName>
    <definedName name="________________________RSD1">'[8]Data-Table'!$D$26</definedName>
    <definedName name="________________________RSD2">'[8]Data-Table'!$D$27</definedName>
    <definedName name="_______________________agg10" hidden="1">[10]MatCol!$U$56</definedName>
    <definedName name="_______________________agg20" hidden="1">[10]MatCol!$U$55</definedName>
    <definedName name="_______________________agg40" hidden="1">[10]MatCol!$U$54</definedName>
    <definedName name="_______________________FRT10">'[11]FRT 1'!$F$417</definedName>
    <definedName name="_______________________FRT16">#REF!</definedName>
    <definedName name="_______________________FRT18" hidden="1">[10]FRT!$K$333</definedName>
    <definedName name="_______________________FRT2" hidden="1">#REF!</definedName>
    <definedName name="_______________________FRT20" hidden="1">[10]FRT!$K$87</definedName>
    <definedName name="_______________________FRT3" hidden="1">[10]FRT!$K$251</definedName>
    <definedName name="_______________________FRT5">#REF!</definedName>
    <definedName name="_______________________mh60" hidden="1">[10]MatCol!$U$39</definedName>
    <definedName name="_______________________nHH1" hidden="1">#REF!</definedName>
    <definedName name="_______________________RCT10" hidden="1">[10]RCT!$K$474</definedName>
    <definedName name="_______________________RCT50" hidden="1">[10]RCT!$K$98</definedName>
    <definedName name="_______________________RCT75" hidden="1">[10]RCT!$K$192</definedName>
    <definedName name="_______________________RSD1">'[8]Data-Table'!$D$26</definedName>
    <definedName name="_______________________RSD2">'[8]Data-Table'!$D$27</definedName>
    <definedName name="______________________agg10" hidden="1">[10]MatCol!$U$56</definedName>
    <definedName name="______________________agg20" hidden="1">[10]MatCol!$U$55</definedName>
    <definedName name="______________________agg40" hidden="1">[10]MatCol!$U$54</definedName>
    <definedName name="______________________FRT10">'[11]FRT 1'!$F$417</definedName>
    <definedName name="______________________FRT12" hidden="1">[12]FRT!$K$333</definedName>
    <definedName name="______________________FRT16" hidden="1">#REF!</definedName>
    <definedName name="______________________FRT18" hidden="1">[10]FRT!$K$333</definedName>
    <definedName name="______________________FRT2">#REF!</definedName>
    <definedName name="______________________FRT20" hidden="1">[10]FRT!$K$87</definedName>
    <definedName name="______________________FRT3" hidden="1">[10]FRT!$K$251</definedName>
    <definedName name="______________________FRT5">#REF!</definedName>
    <definedName name="______________________mh60" hidden="1">[10]MatCol!$U$39</definedName>
    <definedName name="______________________nHH1" hidden="1">#REF!</definedName>
    <definedName name="______________________RCT10" hidden="1">[10]RCT!$K$474</definedName>
    <definedName name="______________________RCT50" hidden="1">[10]RCT!$K$98</definedName>
    <definedName name="______________________RCT75" hidden="1">[10]RCT!$K$192</definedName>
    <definedName name="______________________RSD1">'[8]Data-Table'!$D$26</definedName>
    <definedName name="______________________RSD2">'[8]Data-Table'!$D$27</definedName>
    <definedName name="_____________________agg10" hidden="1">[10]MatCol!$U$56</definedName>
    <definedName name="_____________________agg20" hidden="1">[10]MatCol!$U$55</definedName>
    <definedName name="_____________________agg40" hidden="1">[10]MatCol!$U$54</definedName>
    <definedName name="_____________________cgi26">'[13]update Rate'!$E$94</definedName>
    <definedName name="_____________________FRT10">'[11]FRT 1'!$F$417</definedName>
    <definedName name="_____________________FRT12" hidden="1">[10]FRT!$K$333</definedName>
    <definedName name="_____________________FRT16" hidden="1">#REF!</definedName>
    <definedName name="_____________________FRT18" hidden="1">[10]FRT!$K$333</definedName>
    <definedName name="_____________________FRT2">#REF!</definedName>
    <definedName name="_____________________FRT20" hidden="1">[10]FRT!$K$87</definedName>
    <definedName name="_____________________FRT3" hidden="1">[10]FRT!$K$251</definedName>
    <definedName name="_____________________FRT5">#REF!</definedName>
    <definedName name="_____________________FRT8" hidden="1">[12]FRT!$K$169</definedName>
    <definedName name="_____________________mh60" hidden="1">[10]MatCol!$U$39</definedName>
    <definedName name="_____________________nHH1" hidden="1">#REF!</definedName>
    <definedName name="_____________________RCT10" hidden="1">[10]RCT!$K$474</definedName>
    <definedName name="_____________________RCT50" hidden="1">[10]RCT!$K$98</definedName>
    <definedName name="_____________________RCT75" hidden="1">[10]RCT!$K$192</definedName>
    <definedName name="_____________________RSD1">'[8]Data-Table'!$D$26</definedName>
    <definedName name="_____________________RSD2">'[8]Data-Table'!$D$27</definedName>
    <definedName name="____________________agg10" hidden="1">[10]MatCol!$U$56</definedName>
    <definedName name="____________________agg20" hidden="1">[10]MatCol!$U$55</definedName>
    <definedName name="____________________agg40" hidden="1">[10]MatCol!$U$54</definedName>
    <definedName name="____________________cgi26" hidden="1">'[13]update Rate'!$E$94</definedName>
    <definedName name="____________________FRT10">'[11]FRT 1'!$F$417</definedName>
    <definedName name="____________________FRT12" hidden="1">[10]FRT!$K$333</definedName>
    <definedName name="____________________FRT16" hidden="1">[10]FRT!$K$87</definedName>
    <definedName name="____________________FRT18" hidden="1">[10]FRT!$K$333</definedName>
    <definedName name="____________________FRT2">#REF!</definedName>
    <definedName name="____________________FRT20" hidden="1">[10]FRT!$K$87</definedName>
    <definedName name="____________________FRT3" hidden="1">[10]FRT!$K$251</definedName>
    <definedName name="____________________FRT5">#REF!</definedName>
    <definedName name="____________________FRT8" hidden="1">[10]FRT!$K$169</definedName>
    <definedName name="____________________mh60" hidden="1">[10]MatCol!$U$39</definedName>
    <definedName name="____________________nHH1">#REF!</definedName>
    <definedName name="____________________RCT10" hidden="1">[10]RCT!$K$474</definedName>
    <definedName name="____________________RCT50" hidden="1">[10]RCT!$K$98</definedName>
    <definedName name="____________________RCT75" hidden="1">[10]RCT!$K$192</definedName>
    <definedName name="____________________RSD1">'[8]Data-Table'!$D$26</definedName>
    <definedName name="____________________RSD2">'[8]Data-Table'!$D$27</definedName>
    <definedName name="___________________agg10" hidden="1">[10]MatCol!$U$56</definedName>
    <definedName name="___________________agg20" hidden="1">[10]MatCol!$U$55</definedName>
    <definedName name="___________________agg40" hidden="1">[10]MatCol!$U$54</definedName>
    <definedName name="___________________cgi26" hidden="1">'[13]update Rate'!$E$94</definedName>
    <definedName name="___________________FRT10">'[11]FRT 1'!$F$417</definedName>
    <definedName name="___________________FRT12" hidden="1">[10]FRT!$K$333</definedName>
    <definedName name="___________________FRT16" hidden="1">[10]FRT!$K$87</definedName>
    <definedName name="___________________FRT18" hidden="1">[9]FRT!$K$333</definedName>
    <definedName name="___________________FRT2">#REF!</definedName>
    <definedName name="___________________FRT20" hidden="1">[10]FRT!$K$87</definedName>
    <definedName name="___________________FRT3" hidden="1">[10]FRT!$K$251</definedName>
    <definedName name="___________________FRT5">#REF!</definedName>
    <definedName name="___________________FRT6" hidden="1">[9]FRT!$K$169</definedName>
    <definedName name="___________________FRT8" hidden="1">[10]FRT!$K$169</definedName>
    <definedName name="___________________mh60" hidden="1">[10]MatCol!$U$39</definedName>
    <definedName name="___________________nHH1">#REF!</definedName>
    <definedName name="___________________nHH2" hidden="1">'[14]Dmand 2'!$C$38</definedName>
    <definedName name="___________________RCT10" hidden="1">[10]RCT!$K$286</definedName>
    <definedName name="___________________RCT50" hidden="1">[10]RCT!$K$98</definedName>
    <definedName name="___________________RCT75" hidden="1">[10]RCT!$K$192</definedName>
    <definedName name="___________________RSD1">'[8]Data-Table'!$D$26</definedName>
    <definedName name="___________________RSD2">'[8]Data-Table'!$D$27</definedName>
    <definedName name="__________________agg10" hidden="1">[10]MatCol!$U$56</definedName>
    <definedName name="__________________agg20" hidden="1">[10]MatCol!$U$55</definedName>
    <definedName name="__________________agg40" hidden="1">[10]MatCol!$U$54</definedName>
    <definedName name="__________________cgi24">'[15]update Rate'!$E$92</definedName>
    <definedName name="__________________cgi26" hidden="1">'[13]update Rate'!$E$94</definedName>
    <definedName name="__________________FRT1">'[11]FRT 1'!$F$7</definedName>
    <definedName name="__________________FRT10" hidden="1">[10]FRT!$K$497</definedName>
    <definedName name="__________________FRT12" hidden="1">[10]FRT!$K$415</definedName>
    <definedName name="__________________FRT16" hidden="1">[10]FRT!$K$87</definedName>
    <definedName name="__________________FRT18" hidden="1">[10]FRT!$K$579</definedName>
    <definedName name="__________________FRT2" hidden="1">[10]FRT!$K$87</definedName>
    <definedName name="__________________FRT20" hidden="1">[10]FRT!$K$661</definedName>
    <definedName name="__________________FRT3" hidden="1">[10]FRT!$K$169</definedName>
    <definedName name="__________________FRT5" hidden="1">[10]FRT!$K$251</definedName>
    <definedName name="__________________FRT6" hidden="1">'[11]FRT 1'!$F$253</definedName>
    <definedName name="__________________FRT7">'[11]FRT 1'!$F$335</definedName>
    <definedName name="__________________FRT8" hidden="1">[10]FRT!$K$333</definedName>
    <definedName name="__________________GIP1">#REF!</definedName>
    <definedName name="__________________mh60" hidden="1">[10]MatCol!$U$39</definedName>
    <definedName name="__________________nHH1">#REF!</definedName>
    <definedName name="__________________nHH2" hidden="1">'[14]Dmand 2'!$C$38</definedName>
    <definedName name="__________________PWt1">#REF!</definedName>
    <definedName name="__________________RCT10" hidden="1">[10]RCT!$K$286</definedName>
    <definedName name="__________________RCT50" hidden="1">[10]RCT!$K$98</definedName>
    <definedName name="__________________RCT75" hidden="1">[10]RCT!$K$192</definedName>
    <definedName name="__________________rPL1">#REF!</definedName>
    <definedName name="__________________RSD1">'[8]Data-Table'!$D$26</definedName>
    <definedName name="__________________RSD2">'[8]Data-Table'!$D$27</definedName>
    <definedName name="__________________UCP1">#REF!</definedName>
    <definedName name="_________________agg10" localSheetId="0">[16]Sheet1!$D$23</definedName>
    <definedName name="_________________agg10" hidden="1">[10]MatCol!$U$56</definedName>
    <definedName name="_________________agg20" hidden="1">[10]MatCol!$U$55</definedName>
    <definedName name="_________________agg40" localSheetId="0">[16]Sheet1!$D$25</definedName>
    <definedName name="_________________agg40" hidden="1">[10]MatCol!$U$54</definedName>
    <definedName name="_________________cgi24">'[17]update Rate'!$E$91</definedName>
    <definedName name="_________________cgi26" localSheetId="0">'[15]update Rate'!$E$94</definedName>
    <definedName name="_________________cgi26">'[13]update Rate'!$E$94</definedName>
    <definedName name="_________________FRT1" hidden="1">'[11]FRT 1'!$F$7</definedName>
    <definedName name="_________________FRT10" hidden="1">[10]FRT!$K$497</definedName>
    <definedName name="_________________FRT12" hidden="1">[10]FRT!$K$415</definedName>
    <definedName name="_________________FRT16" hidden="1">[10]FRT!$K$87</definedName>
    <definedName name="_________________FRT18" hidden="1">[10]FRT!$K$579</definedName>
    <definedName name="_________________FRT2" hidden="1">[10]FRT!$K$87</definedName>
    <definedName name="_________________FRT20" hidden="1">[10]FRT!$K$661</definedName>
    <definedName name="_________________FRT3" hidden="1">[10]FRT!$K$169</definedName>
    <definedName name="_________________FRT5" hidden="1">[10]FRT!$K$251</definedName>
    <definedName name="_________________FRT6" hidden="1">'[11]FRT 1'!$F$253</definedName>
    <definedName name="_________________FRT7" hidden="1">'[11]FRT 1'!$F$335</definedName>
    <definedName name="_________________FRT8" hidden="1">[10]FRT!$K$333</definedName>
    <definedName name="_________________GIP1" hidden="1">#REF!</definedName>
    <definedName name="_________________gls4">[16]Sheet1!$D$44</definedName>
    <definedName name="_________________J18000">#REF!</definedName>
    <definedName name="_________________mh60" hidden="1">[10]MatCol!$U$39</definedName>
    <definedName name="_________________nHH1">#REF!</definedName>
    <definedName name="_________________nHH2" hidden="1">'[14]Dmand 2'!$C$38</definedName>
    <definedName name="_________________PWt1" hidden="1">#REF!</definedName>
    <definedName name="_________________RCT10" hidden="1">[10]RCT!$K$286</definedName>
    <definedName name="_________________RCT50" hidden="1">[10]RCT!$K$98</definedName>
    <definedName name="_________________RCT75" hidden="1">[10]RCT!$K$192</definedName>
    <definedName name="_________________rPL1" hidden="1">#REF!</definedName>
    <definedName name="_________________RSD1">'[8]Data-Table'!$D$26</definedName>
    <definedName name="_________________RSD2">'[8]Data-Table'!$D$27</definedName>
    <definedName name="_________________tb150">[16]Sheet1!$D$37</definedName>
    <definedName name="_________________tb300">[16]Sheet1!$D$36</definedName>
    <definedName name="_________________UCP1" hidden="1">#REF!</definedName>
    <definedName name="________________agg10" localSheetId="0">[17]Sheet1!$D$23</definedName>
    <definedName name="________________agg10" hidden="1">[10]MatCol!$U$56</definedName>
    <definedName name="________________agg20" hidden="1">[10]MatCol!$U$55</definedName>
    <definedName name="________________agg40" localSheetId="0">[17]Sheet1!$D$25</definedName>
    <definedName name="________________agg40" hidden="1">[10]MatCol!$U$54</definedName>
    <definedName name="________________cgi24">'[17]update Rate'!$E$91</definedName>
    <definedName name="________________cgi26" localSheetId="0">'[17]update Rate'!$E$92</definedName>
    <definedName name="________________cgi26">'[13]update Rate'!$E$94</definedName>
    <definedName name="________________FRT1" hidden="1">'[11]FRT 1'!$F$7</definedName>
    <definedName name="________________FRT10" hidden="1">[10]FRT!$K$497</definedName>
    <definedName name="________________FRT12" hidden="1">[10]FRT!$K$415</definedName>
    <definedName name="________________FRT16" hidden="1">[10]FRT!$K$87</definedName>
    <definedName name="________________FRT18" hidden="1">[10]FRT!$K$579</definedName>
    <definedName name="________________FRT2" hidden="1">[10]FRT!$K$87</definedName>
    <definedName name="________________FRT20" hidden="1">[10]FRT!$K$661</definedName>
    <definedName name="________________FRT3" hidden="1">[10]FRT!$K$169</definedName>
    <definedName name="________________FRT5" hidden="1">[10]FRT!$K$251</definedName>
    <definedName name="________________FRT6" hidden="1">'[11]FRT 1'!$F$253</definedName>
    <definedName name="________________FRT7" hidden="1">'[11]FRT 1'!$F$335</definedName>
    <definedName name="________________FRT8" hidden="1">[10]FRT!$K$333</definedName>
    <definedName name="________________GIP1" hidden="1">#REF!</definedName>
    <definedName name="________________gls4">[17]Sheet1!$D$44</definedName>
    <definedName name="________________J18000">#REF!</definedName>
    <definedName name="________________mh60" hidden="1">[10]MatCol!$U$39</definedName>
    <definedName name="________________nHH1">#REF!</definedName>
    <definedName name="________________nHH2" hidden="1">'[14]Dmand 2'!$C$38</definedName>
    <definedName name="________________PWt1" hidden="1">#REF!</definedName>
    <definedName name="________________RCT10" hidden="1">[10]RCT!$K$286</definedName>
    <definedName name="________________RCT50" hidden="1">[10]RCT!$K$98</definedName>
    <definedName name="________________RCT75" hidden="1">[10]RCT!$K$192</definedName>
    <definedName name="________________rPL1" hidden="1">#REF!</definedName>
    <definedName name="________________RSD1">'[8]Data-Table'!$D$26</definedName>
    <definedName name="________________RSD2">'[8]Data-Table'!$D$27</definedName>
    <definedName name="________________tb150">[17]Sheet1!$D$37</definedName>
    <definedName name="________________tb300">[17]Sheet1!$D$36</definedName>
    <definedName name="________________UCP1" hidden="1">#REF!</definedName>
    <definedName name="_______________agg10" localSheetId="0">[17]Sheet1!$D$23</definedName>
    <definedName name="_______________agg10" hidden="1">[10]MatCol!$U$56</definedName>
    <definedName name="_______________agg20" hidden="1">[10]MatCol!$U$55</definedName>
    <definedName name="_______________agg40" localSheetId="0">[17]Sheet1!$D$25</definedName>
    <definedName name="_______________agg40" hidden="1">[10]MatCol!$U$54</definedName>
    <definedName name="_______________cgi24">'[17]update Rate'!$E$91</definedName>
    <definedName name="_______________cgi26" localSheetId="0">'[17]update Rate'!$E$92</definedName>
    <definedName name="_______________cgi26">'[13]update Rate'!$E$94</definedName>
    <definedName name="_______________FRT1" hidden="1">'[11]FRT 1'!$F$7</definedName>
    <definedName name="_______________FRT10" hidden="1">[10]FRT!$K$497</definedName>
    <definedName name="_______________FRT12" hidden="1">[10]FRT!$K$415</definedName>
    <definedName name="_______________FRT16" hidden="1">[10]FRT!$K$87</definedName>
    <definedName name="_______________FRT18" hidden="1">[10]FRT!$K$579</definedName>
    <definedName name="_______________FRT2" hidden="1">[10]FRT!$K$87</definedName>
    <definedName name="_______________FRT20" hidden="1">[10]FRT!$K$661</definedName>
    <definedName name="_______________FRT3" hidden="1">[10]FRT!$K$169</definedName>
    <definedName name="_______________FRT5" hidden="1">[10]FRT!$K$251</definedName>
    <definedName name="_______________FRT6" hidden="1">[10]FRT!$K$169</definedName>
    <definedName name="_______________FRT7" hidden="1">'[11]FRT 1'!$F$335</definedName>
    <definedName name="_______________FRT8" hidden="1">[10]FRT!$K$333</definedName>
    <definedName name="_______________GIP1" hidden="1">#REF!</definedName>
    <definedName name="_______________gls4">[17]Sheet1!$D$44</definedName>
    <definedName name="_______________J18000">#REF!</definedName>
    <definedName name="_______________mh60" hidden="1">[10]MatCol!$U$39</definedName>
    <definedName name="_______________nHH1" hidden="1">#REF!</definedName>
    <definedName name="_______________nHH2" hidden="1">'[18]Dmand 2'!$C$30</definedName>
    <definedName name="_______________nHH3" hidden="1">'[18]Dmand 3'!$C$19</definedName>
    <definedName name="_______________nHH4" hidden="1">'[18]Dmand 4'!$C$20</definedName>
    <definedName name="_______________nHH5" hidden="1">'[18]Dmand 5'!$C$25</definedName>
    <definedName name="_______________nHH6" hidden="1">'[18]Dmand 6'!$C$17</definedName>
    <definedName name="_______________nHH7" hidden="1">'[18]Dmand 7'!$C$37</definedName>
    <definedName name="_______________nHH8" hidden="1">'[18]Dmand 8'!$C$17</definedName>
    <definedName name="_______________PWt1" hidden="1">#REF!</definedName>
    <definedName name="_______________RCT10" hidden="1">[10]RCT!$K$286</definedName>
    <definedName name="_______________RCT50" hidden="1">[10]RCT!$K$98</definedName>
    <definedName name="_______________RCT75" hidden="1">[10]RCT!$K$192</definedName>
    <definedName name="_______________rPL1" hidden="1">#REF!</definedName>
    <definedName name="_______________RSD1">'[8]Data-Table'!$D$26</definedName>
    <definedName name="_______________RSD2">'[8]Data-Table'!$D$27</definedName>
    <definedName name="_______________tb150">[17]Sheet1!$D$37</definedName>
    <definedName name="_______________tb300">[17]Sheet1!$D$36</definedName>
    <definedName name="_______________UCP1" hidden="1">#REF!</definedName>
    <definedName name="______________agg10" localSheetId="0">[17]Sheet1!$D$23</definedName>
    <definedName name="______________agg10" hidden="1">[10]MatCol!$U$56</definedName>
    <definedName name="______________agg20" hidden="1">[10]MatCol!$U$55</definedName>
    <definedName name="______________agg40" localSheetId="0">[17]Sheet1!$D$25</definedName>
    <definedName name="______________agg40" hidden="1">[10]MatCol!$U$54</definedName>
    <definedName name="______________cgi24">'[17]update Rate'!$E$91</definedName>
    <definedName name="______________cgi26" localSheetId="0">'[17]update Rate'!$E$92</definedName>
    <definedName name="______________cgi26">'[13]update Rate'!$E$94</definedName>
    <definedName name="______________DPC124">#REF!</definedName>
    <definedName name="______________DPC136">#REF!</definedName>
    <definedName name="______________FRT1">'[11]FRT 1'!$F$7</definedName>
    <definedName name="______________FRT10" hidden="1">[10]FRT!$K$497</definedName>
    <definedName name="______________FRT12" hidden="1">[10]FRT!$K$415</definedName>
    <definedName name="______________FRT16" hidden="1">[10]FRT!$K$87</definedName>
    <definedName name="______________FRT18" hidden="1">[10]FRT!$K$579</definedName>
    <definedName name="______________FRT2" hidden="1">[10]FRT!$K$87</definedName>
    <definedName name="______________FRT20" hidden="1">[10]FRT!$K$661</definedName>
    <definedName name="______________FRT3" hidden="1">[10]FRT!$K$169</definedName>
    <definedName name="______________FRT5" hidden="1">[10]FRT!$K$251</definedName>
    <definedName name="______________FRT6" hidden="1">[10]FRT!$K$169</definedName>
    <definedName name="______________FRT7">'[11]FRT 1'!$F$335</definedName>
    <definedName name="______________FRT8" hidden="1">[10]FRT!$K$333</definedName>
    <definedName name="______________GIP1">#REF!</definedName>
    <definedName name="______________gls4">[17]Sheet1!$D$44</definedName>
    <definedName name="______________J18000">#REF!</definedName>
    <definedName name="______________mh60" hidden="1">[10]MatCol!$U$39</definedName>
    <definedName name="______________nHH1" hidden="1">#REF!</definedName>
    <definedName name="______________nHH2" hidden="1">'[18]Dmand 2'!$C$30</definedName>
    <definedName name="______________nHH3" hidden="1">'[18]Dmand 3'!$C$19</definedName>
    <definedName name="______________nHH4" hidden="1">'[18]Dmand 4'!$C$20</definedName>
    <definedName name="______________nHH5" hidden="1">'[18]Dmand 5'!$C$25</definedName>
    <definedName name="______________nHH6" hidden="1">'[18]Dmand 6'!$C$17</definedName>
    <definedName name="______________nHH7" hidden="1">'[18]Dmand 7'!$C$37</definedName>
    <definedName name="______________nHH8" hidden="1">'[18]Dmand 8'!$C$17</definedName>
    <definedName name="______________PWt1">#REF!</definedName>
    <definedName name="______________RCT10" hidden="1">[10]RCT!$K$286</definedName>
    <definedName name="______________RCT50" hidden="1">[10]RCT!$K$98</definedName>
    <definedName name="______________RCT75" hidden="1">[10]RCT!$K$192</definedName>
    <definedName name="______________rPL1">#REF!</definedName>
    <definedName name="______________RSD1">'[8]Data-Table'!$D$26</definedName>
    <definedName name="______________RSD2">'[8]Data-Table'!$D$27</definedName>
    <definedName name="______________tb150">[17]Sheet1!$D$37</definedName>
    <definedName name="______________tb300">[17]Sheet1!$D$36</definedName>
    <definedName name="______________UCP1">#REF!</definedName>
    <definedName name="_____________agg10" localSheetId="0">[17]Sheet1!$D$23</definedName>
    <definedName name="_____________agg10" hidden="1">[10]MatCol!$U$56</definedName>
    <definedName name="_____________agg20" hidden="1">[10]MatCol!$U$55</definedName>
    <definedName name="_____________agg40" localSheetId="0">[17]Sheet1!$D$25</definedName>
    <definedName name="_____________agg40" hidden="1">[10]MatCol!$U$54</definedName>
    <definedName name="_____________cgi24">'[17]update Rate'!$E$91</definedName>
    <definedName name="_____________cgi26" localSheetId="0">'[17]update Rate'!$E$92</definedName>
    <definedName name="_____________cgi26">'[13]update Rate'!$E$94</definedName>
    <definedName name="_____________DPC124">#REF!</definedName>
    <definedName name="_____________DPC136">#REF!</definedName>
    <definedName name="_____________DPC148">#REF!</definedName>
    <definedName name="_____________FRT1">'[11]FRT 1'!$F$7</definedName>
    <definedName name="_____________FRT10" hidden="1">[10]FRT!$K$497</definedName>
    <definedName name="_____________FRT12" hidden="1">[10]FRT!$K$415</definedName>
    <definedName name="_____________FRT16" hidden="1">#REF!</definedName>
    <definedName name="_____________FRT18" hidden="1">[10]FRT!$K$579</definedName>
    <definedName name="_____________FRT2" hidden="1">[10]FRT!$K$87</definedName>
    <definedName name="_____________FRT20" hidden="1">[10]FRT!$K$661</definedName>
    <definedName name="_____________FRT3" hidden="1">[10]FRT!$K$169</definedName>
    <definedName name="_____________FRT5" hidden="1">[10]FRT!$K$251</definedName>
    <definedName name="_____________FRT6" hidden="1">[10]FRT!$K$169</definedName>
    <definedName name="_____________FRT7">'[11]FRT 1'!$F$335</definedName>
    <definedName name="_____________FRT8" hidden="1">[10]FRT!$K$333</definedName>
    <definedName name="_____________GIP1">#REF!</definedName>
    <definedName name="_____________gls4">[17]Sheet1!$D$44</definedName>
    <definedName name="_____________J18000">#REF!</definedName>
    <definedName name="_____________LN20">#REF!</definedName>
    <definedName name="_____________LN21">#REF!</definedName>
    <definedName name="_____________LN3">#REF!</definedName>
    <definedName name="_____________LN31">#REF!</definedName>
    <definedName name="_____________LN32">#REF!</definedName>
    <definedName name="_____________LN33">#REF!</definedName>
    <definedName name="_____________LN34">#REF!</definedName>
    <definedName name="_____________LN35">#REF!</definedName>
    <definedName name="_____________LN36">#REF!</definedName>
    <definedName name="_____________LN37">#REF!</definedName>
    <definedName name="_____________LN38">#REF!</definedName>
    <definedName name="_____________LN39">#REF!</definedName>
    <definedName name="_____________LN4">#REF!</definedName>
    <definedName name="_____________LN40">#REF!</definedName>
    <definedName name="_____________LN41">#REF!</definedName>
    <definedName name="_____________LN42">#REF!</definedName>
    <definedName name="_____________LN43">#REF!</definedName>
    <definedName name="_____________LN44">#REF!</definedName>
    <definedName name="_____________LN45">#REF!</definedName>
    <definedName name="_____________LN46">#REF!</definedName>
    <definedName name="_____________LN47">#REF!</definedName>
    <definedName name="_____________LN48">#REF!</definedName>
    <definedName name="_____________LN49">#REF!</definedName>
    <definedName name="_____________LN5">#REF!</definedName>
    <definedName name="_____________LN50">#REF!</definedName>
    <definedName name="_____________LN6">#REF!</definedName>
    <definedName name="_____________LN7">#REF!</definedName>
    <definedName name="_____________LN8">#REF!</definedName>
    <definedName name="_____________mh60" hidden="1">[10]MatCol!$U$39</definedName>
    <definedName name="_____________nHH1" hidden="1">#REF!</definedName>
    <definedName name="_____________nHH2" hidden="1">'[18]Dmand 2'!$C$30</definedName>
    <definedName name="_____________nHH3" hidden="1">'[18]Dmand 3'!$C$19</definedName>
    <definedName name="_____________nHH4" hidden="1">'[18]Dmand 4'!$C$20</definedName>
    <definedName name="_____________nHH5" hidden="1">'[18]Dmand 5'!$C$25</definedName>
    <definedName name="_____________nHH6" hidden="1">'[18]Dmand 6'!$C$17</definedName>
    <definedName name="_____________nHH7" hidden="1">'[18]Dmand 7'!$C$37</definedName>
    <definedName name="_____________nHH8" hidden="1">'[18]Dmand 8'!$C$17</definedName>
    <definedName name="_____________PWt1">#REF!</definedName>
    <definedName name="_____________RCT10" hidden="1">[10]RCT!$K$286</definedName>
    <definedName name="_____________RCT50" hidden="1">[10]RCT!$K$98</definedName>
    <definedName name="_____________RCT75" hidden="1">[10]RCT!$K$192</definedName>
    <definedName name="_____________rPL1">#REF!</definedName>
    <definedName name="_____________RSD1">'[8]Data-Table'!$D$26</definedName>
    <definedName name="_____________RSD2">'[8]Data-Table'!$D$27</definedName>
    <definedName name="_____________tb150">[17]Sheet1!$D$37</definedName>
    <definedName name="_____________tb300">[17]Sheet1!$D$36</definedName>
    <definedName name="_____________UCP1">#REF!</definedName>
    <definedName name="____________agg10" localSheetId="0">[17]Sheet1!$D$23</definedName>
    <definedName name="____________agg10" hidden="1">[10]MatCol!$U$56</definedName>
    <definedName name="____________agg20" hidden="1">[10]MatCol!$U$55</definedName>
    <definedName name="____________agg40" localSheetId="0">[17]Sheet1!$D$25</definedName>
    <definedName name="____________agg40" hidden="1">[10]MatCol!$U$54</definedName>
    <definedName name="____________cgi24" localSheetId="0">'[17]update Rate'!$E$91</definedName>
    <definedName name="____________cgi24">'[13]update Rate'!$E$92</definedName>
    <definedName name="____________cgi26" localSheetId="0">'[17]update Rate'!$E$92</definedName>
    <definedName name="____________cgi26">'[13]update Rate'!$E$94</definedName>
    <definedName name="____________DPC124">#REF!</definedName>
    <definedName name="____________DPC136">#REF!</definedName>
    <definedName name="____________DPC148">#REF!</definedName>
    <definedName name="____________FRT1">'[11]FRT 1'!$F$7</definedName>
    <definedName name="____________FRT10" hidden="1">[10]FRT!$K$497</definedName>
    <definedName name="____________FRT12" hidden="1">[10]FRT!$K$415</definedName>
    <definedName name="____________FRT16" hidden="1">[10]FRT!$K$87</definedName>
    <definedName name="____________FRT18" hidden="1">[10]FRT!$K$579</definedName>
    <definedName name="____________FRT2" hidden="1">[10]FRT!$K$87</definedName>
    <definedName name="____________FRT20" hidden="1">[10]FRT!$K$661</definedName>
    <definedName name="____________FRT3" hidden="1">[10]FRT!$K$169</definedName>
    <definedName name="____________FRT5" hidden="1">[10]FRT!$K$251</definedName>
    <definedName name="____________FRT6" hidden="1">[10]FRT!$K$169</definedName>
    <definedName name="____________FRT7">'[11]FRT 1'!$F$335</definedName>
    <definedName name="____________FRT8" hidden="1">[10]FRT!$K$333</definedName>
    <definedName name="____________GIP1">#REF!</definedName>
    <definedName name="____________gls4">[17]Sheet1!$D$44</definedName>
    <definedName name="____________J18000">#REF!</definedName>
    <definedName name="____________LN20" hidden="1">#REF!</definedName>
    <definedName name="____________LN21" hidden="1">#REF!</definedName>
    <definedName name="____________LN3" hidden="1">#REF!</definedName>
    <definedName name="____________LN31" hidden="1">#REF!</definedName>
    <definedName name="____________LN32" hidden="1">#REF!</definedName>
    <definedName name="____________LN33" hidden="1">#REF!</definedName>
    <definedName name="____________LN34" hidden="1">#REF!</definedName>
    <definedName name="____________LN35" hidden="1">#REF!</definedName>
    <definedName name="____________LN36" hidden="1">#REF!</definedName>
    <definedName name="____________LN37" hidden="1">#REF!</definedName>
    <definedName name="____________LN38" hidden="1">#REF!</definedName>
    <definedName name="____________LN39" hidden="1">#REF!</definedName>
    <definedName name="____________LN4" hidden="1">#REF!</definedName>
    <definedName name="____________LN40" hidden="1">#REF!</definedName>
    <definedName name="____________LN41" hidden="1">#REF!</definedName>
    <definedName name="____________LN42" hidden="1">#REF!</definedName>
    <definedName name="____________LN43" hidden="1">#REF!</definedName>
    <definedName name="____________LN44" hidden="1">#REF!</definedName>
    <definedName name="____________LN45" hidden="1">#REF!</definedName>
    <definedName name="____________LN46" hidden="1">#REF!</definedName>
    <definedName name="____________LN47" hidden="1">#REF!</definedName>
    <definedName name="____________LN48" hidden="1">#REF!</definedName>
    <definedName name="____________LN49" hidden="1">#REF!</definedName>
    <definedName name="____________LN5" hidden="1">#REF!</definedName>
    <definedName name="____________LN50" hidden="1">#REF!</definedName>
    <definedName name="____________LN6" hidden="1">#REF!</definedName>
    <definedName name="____________LN7" hidden="1">#REF!</definedName>
    <definedName name="____________LN8" hidden="1">#REF!</definedName>
    <definedName name="____________mh60" hidden="1">[10]MatCol!$U$39</definedName>
    <definedName name="____________nHH1" hidden="1">#REF!</definedName>
    <definedName name="____________nHH2" hidden="1">'[19]Dmand 2'!$C$38</definedName>
    <definedName name="____________nHH3" hidden="1">'[18]Dmand 3'!$C$19</definedName>
    <definedName name="____________nHH4" hidden="1">'[18]Dmand 4'!$C$20</definedName>
    <definedName name="____________nHH5" hidden="1">'[18]Dmand 5'!$C$25</definedName>
    <definedName name="____________nHH6" hidden="1">'[18]Dmand 6'!$C$17</definedName>
    <definedName name="____________nHH7" hidden="1">'[18]Dmand 7'!$C$37</definedName>
    <definedName name="____________nHH8" hidden="1">'[18]Dmand 8'!$C$17</definedName>
    <definedName name="____________PWt1">#REF!</definedName>
    <definedName name="____________RCT10" hidden="1">[10]RCT!$K$286</definedName>
    <definedName name="____________RCT50" hidden="1">[10]RCT!$K$98</definedName>
    <definedName name="____________RCT75" hidden="1">[10]RCT!$K$192</definedName>
    <definedName name="____________rPL1">#REF!</definedName>
    <definedName name="____________RSD1" hidden="1">'[8]Data-Table'!$D$26</definedName>
    <definedName name="____________RSD2" hidden="1">'[8]Data-Table'!$D$27</definedName>
    <definedName name="____________tb150">[17]Sheet1!$D$37</definedName>
    <definedName name="____________tb300">[17]Sheet1!$D$36</definedName>
    <definedName name="____________UCP1">#REF!</definedName>
    <definedName name="___________agg10" localSheetId="0">[17]Sheet1!$D$23</definedName>
    <definedName name="___________agg10">[20]MatCol!$K$157</definedName>
    <definedName name="___________agg20">[20]MatCol!$K$151</definedName>
    <definedName name="___________agg40" localSheetId="0">[17]Sheet1!$D$25</definedName>
    <definedName name="___________agg40">[20]MatCol!$K$145</definedName>
    <definedName name="___________cgi24" localSheetId="0">'[17]update Rate'!$E$91</definedName>
    <definedName name="___________cgi24" hidden="1">'[13]update Rate'!$E$92</definedName>
    <definedName name="___________cgi26" localSheetId="0">'[17]update Rate'!$E$92</definedName>
    <definedName name="___________cgi26">'[13]update Rate'!$E$94</definedName>
    <definedName name="___________DPC124" hidden="1">#REF!</definedName>
    <definedName name="___________DPC136" hidden="1">#REF!</definedName>
    <definedName name="___________DPC148" hidden="1">#REF!</definedName>
    <definedName name="___________FRT1">'[11]FRT 1'!$F$7</definedName>
    <definedName name="___________FRT10" hidden="1">[10]FRT!$K$497</definedName>
    <definedName name="___________FRT12" hidden="1">[10]FRT!$K$415</definedName>
    <definedName name="___________FRT16" hidden="1">[10]FRT!$K$87</definedName>
    <definedName name="___________FRT18" hidden="1">[10]FRT!$K$579</definedName>
    <definedName name="___________FRT2" hidden="1">[10]FRT!$K$87</definedName>
    <definedName name="___________FRT20">[20]FRT!$K$87</definedName>
    <definedName name="___________FRT3" hidden="1">[10]FRT!$K$169</definedName>
    <definedName name="___________FRT5" hidden="1">[10]FRT!$K$251</definedName>
    <definedName name="___________FRT6" hidden="1">[10]FRT!$K$169</definedName>
    <definedName name="___________FRT7">'[11]FRT 1'!$F$335</definedName>
    <definedName name="___________FRT8" hidden="1">[10]FRT!$K$333</definedName>
    <definedName name="___________GIP1">#REF!</definedName>
    <definedName name="___________gls4">[17]Sheet1!$D$44</definedName>
    <definedName name="___________J18000">#REF!</definedName>
    <definedName name="___________LN1">'[1]Water Demand'!#REF!</definedName>
    <definedName name="___________LN10">'[1]Water Demand'!#REF!</definedName>
    <definedName name="___________LN11">'[1]Water Demand'!#REF!</definedName>
    <definedName name="___________LN12">'[1]Water Demand'!#REF!</definedName>
    <definedName name="___________LN13">'[1]Water Demand'!#REF!</definedName>
    <definedName name="___________LN14">'[1]Water Demand'!#REF!</definedName>
    <definedName name="___________LN15">'[1]Water Demand'!#REF!</definedName>
    <definedName name="___________LN16">'[1]Water Demand'!#REF!</definedName>
    <definedName name="___________LN17">'[1]Water Demand'!#REF!</definedName>
    <definedName name="___________LN18">'[1]Water Demand'!#REF!</definedName>
    <definedName name="___________LN19">'[1]Water Demand'!#REF!</definedName>
    <definedName name="___________LN2">'[1]Water Demand'!#REF!</definedName>
    <definedName name="___________LN20" hidden="1">#REF!</definedName>
    <definedName name="___________LN21" hidden="1">#REF!</definedName>
    <definedName name="___________LN22">'[1]Water Demand'!#REF!</definedName>
    <definedName name="___________LN23">'[1]Water Demand'!#REF!</definedName>
    <definedName name="___________LN24">'[1]Water Demand'!#REF!</definedName>
    <definedName name="___________LN25">'[1]Water Demand'!#REF!</definedName>
    <definedName name="___________LN26">'[1]Water Demand'!#REF!</definedName>
    <definedName name="___________LN27">'[1]Water Demand'!#REF!</definedName>
    <definedName name="___________LN28">'[1]Water Demand'!#REF!</definedName>
    <definedName name="___________LN29">'[1]Water Demand'!#REF!</definedName>
    <definedName name="___________LN3" hidden="1">#REF!</definedName>
    <definedName name="___________LN30">'[1]Water Demand'!#REF!</definedName>
    <definedName name="___________LN31" hidden="1">#REF!</definedName>
    <definedName name="___________LN32" hidden="1">#REF!</definedName>
    <definedName name="___________LN33" hidden="1">#REF!</definedName>
    <definedName name="___________LN34" hidden="1">#REF!</definedName>
    <definedName name="___________LN35" hidden="1">#REF!</definedName>
    <definedName name="___________LN36" hidden="1">#REF!</definedName>
    <definedName name="___________LN37" hidden="1">#REF!</definedName>
    <definedName name="___________LN38" hidden="1">#REF!</definedName>
    <definedName name="___________LN39" hidden="1">#REF!</definedName>
    <definedName name="___________LN4" hidden="1">#REF!</definedName>
    <definedName name="___________LN40" hidden="1">#REF!</definedName>
    <definedName name="___________LN41" hidden="1">#REF!</definedName>
    <definedName name="___________LN42" hidden="1">#REF!</definedName>
    <definedName name="___________LN43" hidden="1">#REF!</definedName>
    <definedName name="___________LN44" hidden="1">#REF!</definedName>
    <definedName name="___________LN45" hidden="1">#REF!</definedName>
    <definedName name="___________LN46" hidden="1">#REF!</definedName>
    <definedName name="___________LN47" hidden="1">#REF!</definedName>
    <definedName name="___________LN48" hidden="1">#REF!</definedName>
    <definedName name="___________LN49" hidden="1">#REF!</definedName>
    <definedName name="___________LN5" hidden="1">#REF!</definedName>
    <definedName name="___________LN50" hidden="1">#REF!</definedName>
    <definedName name="___________LN6" hidden="1">#REF!</definedName>
    <definedName name="___________LN7" hidden="1">#REF!</definedName>
    <definedName name="___________LN8" hidden="1">#REF!</definedName>
    <definedName name="___________LN9">'[1]Water Demand'!#REF!</definedName>
    <definedName name="___________mh60">[20]MatCol!$K$102</definedName>
    <definedName name="___________nHH1" hidden="1">#REF!</definedName>
    <definedName name="___________nHH2" hidden="1">'[19]Dmand 2'!$C$38</definedName>
    <definedName name="___________nHH3" hidden="1">'[18]Dmand 3'!$C$19</definedName>
    <definedName name="___________nHH4" hidden="1">'[18]Dmand 4'!$C$20</definedName>
    <definedName name="___________nHH5" hidden="1">'[18]Dmand 5'!$C$25</definedName>
    <definedName name="___________nHH6" hidden="1">'[18]Dmand 6'!$C$17</definedName>
    <definedName name="___________nHH7" hidden="1">'[18]Dmand 7'!$C$37</definedName>
    <definedName name="___________nHH8" hidden="1">'[18]Dmand 8'!$C$17</definedName>
    <definedName name="___________PWt1">#REF!</definedName>
    <definedName name="___________RCT10" hidden="1">[10]RCT!$K$286</definedName>
    <definedName name="___________RCT50" hidden="1">[10]RCT!$K$98</definedName>
    <definedName name="___________RCT75" hidden="1">[10]RCT!$K$192</definedName>
    <definedName name="___________rPL1">#REF!</definedName>
    <definedName name="___________RSD1" hidden="1">'[8]Data-Table'!$D$26</definedName>
    <definedName name="___________RSD2" hidden="1">'[8]Data-Table'!$D$27</definedName>
    <definedName name="___________tb150">[17]Sheet1!$D$37</definedName>
    <definedName name="___________tb300">[17]Sheet1!$D$36</definedName>
    <definedName name="___________UCP1">#REF!</definedName>
    <definedName name="__________agg10" localSheetId="0">[17]Sheet1!$D$23</definedName>
    <definedName name="__________agg10" hidden="1">[10]MatCol!$U$56</definedName>
    <definedName name="__________agg20" hidden="1">[10]MatCol!$U$55</definedName>
    <definedName name="__________agg40" localSheetId="0">[17]Sheet1!$D$25</definedName>
    <definedName name="__________agg40" hidden="1">[10]MatCol!$U$54</definedName>
    <definedName name="__________cgi24" localSheetId="0">'[17]update Rate'!$E$91</definedName>
    <definedName name="__________cgi24" hidden="1">'[13]update Rate'!$E$92</definedName>
    <definedName name="__________cgi26" localSheetId="0">'[17]update Rate'!$E$92</definedName>
    <definedName name="__________cgi26">'[13]update Rate'!$E$94</definedName>
    <definedName name="__________DPC124" hidden="1">#REF!</definedName>
    <definedName name="__________DPC136" hidden="1">#REF!</definedName>
    <definedName name="__________DPC148" hidden="1">#REF!</definedName>
    <definedName name="__________FRT1">'[11]FRT 1'!$F$7</definedName>
    <definedName name="__________FRT10" hidden="1">[10]FRT!$K$497</definedName>
    <definedName name="__________FRT12" hidden="1">[10]FRT!$K$415</definedName>
    <definedName name="__________FRT14" hidden="1">[10]FRT!$K$87</definedName>
    <definedName name="__________FRT16" hidden="1">[10]FRT!$K$87</definedName>
    <definedName name="__________FRT18" hidden="1">[10]FRT!$K$579</definedName>
    <definedName name="__________FRT2" hidden="1">[10]FRT!$K$87</definedName>
    <definedName name="__________FRT20" hidden="1">[10]FRT!$K$661</definedName>
    <definedName name="__________FRT3" hidden="1">[10]FRT!$K$169</definedName>
    <definedName name="__________FRT5" hidden="1">[10]FRT!$K$251</definedName>
    <definedName name="__________FRT6" hidden="1">[10]FRT!$K$169</definedName>
    <definedName name="__________FRT7">'[11]FRT 1'!$F$335</definedName>
    <definedName name="__________FRT8" hidden="1">[10]FRT!$K$333</definedName>
    <definedName name="__________GIP1">#REF!</definedName>
    <definedName name="__________gls4">[17]Sheet1!$D$44</definedName>
    <definedName name="__________J18000">#REF!</definedName>
    <definedName name="__________LN1">'[1]Water Demand'!#REF!</definedName>
    <definedName name="__________LN10">'[1]Water Demand'!#REF!</definedName>
    <definedName name="__________LN11">'[1]Water Demand'!#REF!</definedName>
    <definedName name="__________LN12">'[1]Water Demand'!#REF!</definedName>
    <definedName name="__________LN13">'[1]Water Demand'!#REF!</definedName>
    <definedName name="__________LN14">'[1]Water Demand'!#REF!</definedName>
    <definedName name="__________LN15">'[1]Water Demand'!#REF!</definedName>
    <definedName name="__________LN16">'[1]Water Demand'!#REF!</definedName>
    <definedName name="__________LN17">'[1]Water Demand'!#REF!</definedName>
    <definedName name="__________LN18">'[1]Water Demand'!#REF!</definedName>
    <definedName name="__________LN19">'[1]Water Demand'!#REF!</definedName>
    <definedName name="__________LN2">'[1]Water Demand'!#REF!</definedName>
    <definedName name="__________LN20" hidden="1">#REF!</definedName>
    <definedName name="__________LN21" hidden="1">#REF!</definedName>
    <definedName name="__________LN22">'[1]Water Demand'!#REF!</definedName>
    <definedName name="__________LN23">'[1]Water Demand'!#REF!</definedName>
    <definedName name="__________LN24">'[1]Water Demand'!#REF!</definedName>
    <definedName name="__________LN25">'[1]Water Demand'!#REF!</definedName>
    <definedName name="__________LN26">'[1]Water Demand'!#REF!</definedName>
    <definedName name="__________LN27">'[1]Water Demand'!#REF!</definedName>
    <definedName name="__________LN28">'[1]Water Demand'!#REF!</definedName>
    <definedName name="__________LN29">'[1]Water Demand'!#REF!</definedName>
    <definedName name="__________LN3" hidden="1">#REF!</definedName>
    <definedName name="__________LN30">'[1]Water Demand'!#REF!</definedName>
    <definedName name="__________LN31" hidden="1">#REF!</definedName>
    <definedName name="__________LN32" hidden="1">#REF!</definedName>
    <definedName name="__________LN33" hidden="1">#REF!</definedName>
    <definedName name="__________LN34" hidden="1">#REF!</definedName>
    <definedName name="__________LN35" hidden="1">#REF!</definedName>
    <definedName name="__________LN36" hidden="1">#REF!</definedName>
    <definedName name="__________LN37" hidden="1">#REF!</definedName>
    <definedName name="__________LN38" hidden="1">#REF!</definedName>
    <definedName name="__________LN39" hidden="1">#REF!</definedName>
    <definedName name="__________LN4" hidden="1">#REF!</definedName>
    <definedName name="__________LN40" hidden="1">#REF!</definedName>
    <definedName name="__________LN41" hidden="1">#REF!</definedName>
    <definedName name="__________LN42" hidden="1">#REF!</definedName>
    <definedName name="__________LN43" hidden="1">#REF!</definedName>
    <definedName name="__________LN44" hidden="1">#REF!</definedName>
    <definedName name="__________LN45" hidden="1">#REF!</definedName>
    <definedName name="__________LN46" hidden="1">#REF!</definedName>
    <definedName name="__________LN47" hidden="1">#REF!</definedName>
    <definedName name="__________LN48" hidden="1">#REF!</definedName>
    <definedName name="__________LN49" hidden="1">#REF!</definedName>
    <definedName name="__________LN5" hidden="1">#REF!</definedName>
    <definedName name="__________LN50" hidden="1">#REF!</definedName>
    <definedName name="__________LN6" hidden="1">#REF!</definedName>
    <definedName name="__________LN7" hidden="1">#REF!</definedName>
    <definedName name="__________LN8" hidden="1">#REF!</definedName>
    <definedName name="__________LN9">'[1]Water Demand'!#REF!</definedName>
    <definedName name="__________mh60" hidden="1">[10]MatCol!$U$39</definedName>
    <definedName name="__________nHH1" hidden="1">'[21]Dmand 1'!$C$39</definedName>
    <definedName name="__________nHH2" hidden="1">'[21]Dmand 2'!$C$60</definedName>
    <definedName name="__________nHH3" hidden="1">'[21]Dmand 3'!$C$65</definedName>
    <definedName name="__________nHH4" hidden="1">'[18]Dmand 4'!$C$20</definedName>
    <definedName name="__________nHH5" hidden="1">'[18]Dmand 5'!$C$25</definedName>
    <definedName name="__________nHH6" hidden="1">'[18]Dmand 6'!$C$17</definedName>
    <definedName name="__________nHH7" hidden="1">'[18]Dmand 7'!$C$37</definedName>
    <definedName name="__________nHH8" hidden="1">'[18]Dmand 8'!$C$17</definedName>
    <definedName name="__________PWt1">#REF!</definedName>
    <definedName name="__________RCT10" hidden="1">[10]RCT!$K$286</definedName>
    <definedName name="__________RCT100" hidden="1">[9]RCT!$K$380</definedName>
    <definedName name="__________RCT50" hidden="1">[10]RCT!$K$98</definedName>
    <definedName name="__________RCT75">[22]RCT!$K$97</definedName>
    <definedName name="__________rDC1" hidden="1">[21]PipeDesign!$W$11:$W$64</definedName>
    <definedName name="__________rDC2" hidden="1">[21]PipeDesign!$W$67:$W$160</definedName>
    <definedName name="__________rDC3" hidden="1">[21]PipeDesign!$W$163:$W$268</definedName>
    <definedName name="__________rDC4" hidden="1">[21]PipeDesign!$W$271:$W$279</definedName>
    <definedName name="__________rPL1">#REF!</definedName>
    <definedName name="__________RSD1" hidden="1">'[8]Data-Table'!$D$26</definedName>
    <definedName name="__________RSD2" hidden="1">'[8]Data-Table'!$D$27</definedName>
    <definedName name="__________tb150">[17]Sheet1!$D$37</definedName>
    <definedName name="__________tb300">[17]Sheet1!$D$36</definedName>
    <definedName name="__________UCP1">#REF!</definedName>
    <definedName name="_________agg10" localSheetId="0">[17]Sheet1!$D$23</definedName>
    <definedName name="_________agg10">[20]MatCol!$K$157</definedName>
    <definedName name="_________agg20">[20]MatCol!$K$151</definedName>
    <definedName name="_________agg40" localSheetId="0">[17]Sheet1!$D$25</definedName>
    <definedName name="_________agg40">[20]MatCol!$K$145</definedName>
    <definedName name="_________cgi24" localSheetId="0">'[17]update Rate'!$E$91</definedName>
    <definedName name="_________cgi24" hidden="1">'[13]update Rate'!$E$92</definedName>
    <definedName name="_________cgi26" localSheetId="0">'[17]update Rate'!$E$92</definedName>
    <definedName name="_________cgi26">[20]MatCol!$K$65</definedName>
    <definedName name="_________DPC124" hidden="1">#REF!</definedName>
    <definedName name="_________DPC136" hidden="1">#REF!</definedName>
    <definedName name="_________DPC148" hidden="1">#REF!</definedName>
    <definedName name="_________FRT1">'[11]FRT 1'!$F$7</definedName>
    <definedName name="_________FRT10">'[11]FRT 1'!$F$417</definedName>
    <definedName name="_________FRT12">[20]FRT!#REF!</definedName>
    <definedName name="_________FRT14" hidden="1">[10]FRT!$K$87</definedName>
    <definedName name="_________FRT16" hidden="1">[10]FRT!$K$87</definedName>
    <definedName name="_________FRT18" hidden="1">[10]FRT!$K$87</definedName>
    <definedName name="_________FRT2" hidden="1">[10]FRT!$K$87</definedName>
    <definedName name="_________FRT20">[20]FRT!$K$87</definedName>
    <definedName name="_________FRT3" hidden="1">[10]FRT!$K$169</definedName>
    <definedName name="_________FRT5">[20]FRT!#REF!</definedName>
    <definedName name="_________FRT6">'[11]FRT 1'!$F$253</definedName>
    <definedName name="_________FRT7">'[11]FRT 1'!$F$335</definedName>
    <definedName name="_________FRT8" hidden="1">[10]FRT!$K$333</definedName>
    <definedName name="_________FRT9">#REF!</definedName>
    <definedName name="_________GIP1">[23]PipeList!#REF!</definedName>
    <definedName name="_________gls4">[17]Sheet1!$D$44</definedName>
    <definedName name="_________HDP1">#REF!</definedName>
    <definedName name="_________HDP2">#REF!</definedName>
    <definedName name="_________isa406">[24]MatCol!$K$55</definedName>
    <definedName name="_________J18000">#REF!</definedName>
    <definedName name="_________LN1">'[1]Water Demand'!#REF!</definedName>
    <definedName name="_________LN10">'[1]Water Demand'!#REF!</definedName>
    <definedName name="_________LN11">'[1]Water Demand'!#REF!</definedName>
    <definedName name="_________LN12">'[1]Water Demand'!#REF!</definedName>
    <definedName name="_________LN13">'[1]Water Demand'!#REF!</definedName>
    <definedName name="_________LN14">'[1]Water Demand'!#REF!</definedName>
    <definedName name="_________LN15">'[1]Water Demand'!#REF!</definedName>
    <definedName name="_________LN16">'[1]Water Demand'!#REF!</definedName>
    <definedName name="_________LN17">'[1]Water Demand'!#REF!</definedName>
    <definedName name="_________LN18">'[1]Water Demand'!#REF!</definedName>
    <definedName name="_________LN19">'[1]Water Demand'!#REF!</definedName>
    <definedName name="_________LN2">'[1]Water Demand'!#REF!</definedName>
    <definedName name="_________LN20">#REF!</definedName>
    <definedName name="_________LN21">#REF!</definedName>
    <definedName name="_________LN22">'[1]Water Demand'!#REF!</definedName>
    <definedName name="_________LN23">'[1]Water Demand'!#REF!</definedName>
    <definedName name="_________LN24">'[1]Water Demand'!#REF!</definedName>
    <definedName name="_________LN25">'[1]Water Demand'!#REF!</definedName>
    <definedName name="_________LN26">'[1]Water Demand'!#REF!</definedName>
    <definedName name="_________LN27">'[1]Water Demand'!#REF!</definedName>
    <definedName name="_________LN28">'[1]Water Demand'!#REF!</definedName>
    <definedName name="_________LN29">'[1]Water Demand'!#REF!</definedName>
    <definedName name="_________LN3">#REF!</definedName>
    <definedName name="_________LN30">'[1]Water Demand'!#REF!</definedName>
    <definedName name="_________LN31">#REF!</definedName>
    <definedName name="_________LN32">#REF!</definedName>
    <definedName name="_________LN33">#REF!</definedName>
    <definedName name="_________LN34">#REF!</definedName>
    <definedName name="_________LN35">#REF!</definedName>
    <definedName name="_________LN36">#REF!</definedName>
    <definedName name="_________LN37">#REF!</definedName>
    <definedName name="_________LN38">#REF!</definedName>
    <definedName name="_________LN39">#REF!</definedName>
    <definedName name="_________LN4">#REF!</definedName>
    <definedName name="_________LN40">#REF!</definedName>
    <definedName name="_________LN41">#REF!</definedName>
    <definedName name="_________LN42">#REF!</definedName>
    <definedName name="_________LN43">#REF!</definedName>
    <definedName name="_________LN44">#REF!</definedName>
    <definedName name="_________LN45">#REF!</definedName>
    <definedName name="_________LN46">#REF!</definedName>
    <definedName name="_________LN47">#REF!</definedName>
    <definedName name="_________LN48">#REF!</definedName>
    <definedName name="_________LN49">#REF!</definedName>
    <definedName name="_________LN5">#REF!</definedName>
    <definedName name="_________LN50">#REF!</definedName>
    <definedName name="_________LN6">#REF!</definedName>
    <definedName name="_________LN7">#REF!</definedName>
    <definedName name="_________LN8">#REF!</definedName>
    <definedName name="_________LN9">'[1]Water Demand'!#REF!</definedName>
    <definedName name="_________mh60">[20]MatCol!$K$102</definedName>
    <definedName name="_________nHH1" hidden="1">'[21]Dmand 1'!$C$39</definedName>
    <definedName name="_________nHH2" hidden="1">'[21]Dmand 2'!$C$60</definedName>
    <definedName name="_________nHH3" hidden="1">'[21]Dmand 3'!$C$65</definedName>
    <definedName name="_________nHH4" hidden="1">'[18]Dmand 4'!$C$20</definedName>
    <definedName name="_________nHH5" hidden="1">'[18]Dmand 5'!$C$25</definedName>
    <definedName name="_________nHH6" hidden="1">'[18]Dmand 6'!$C$17</definedName>
    <definedName name="_________nHH7" hidden="1">'[18]Dmand 7'!$C$37</definedName>
    <definedName name="_________nHH8" hidden="1">'[18]Dmand 8'!$C$17</definedName>
    <definedName name="_________PWt1" hidden="1">[25]PipeList!$G$118</definedName>
    <definedName name="_________PWt10" hidden="1">[25]PipeList!$Y$118</definedName>
    <definedName name="_________PWt11" hidden="1">[25]PipeList!$AA$118</definedName>
    <definedName name="_________PWt12" hidden="1">[25]PipeList!$AC$118</definedName>
    <definedName name="_________PWt13" hidden="1">[25]PipeList!$AE$118</definedName>
    <definedName name="_________PWt14" hidden="1">[25]PipeList!$AG$118</definedName>
    <definedName name="_________PWt15" hidden="1">[25]PipeList!$AI$118</definedName>
    <definedName name="_________PWt16" hidden="1">[25]PipeList!$AK$118</definedName>
    <definedName name="_________PWt17" hidden="1">[25]PipeList!$AM$118</definedName>
    <definedName name="_________PWt18" hidden="1">[25]PipeList!$AO$118</definedName>
    <definedName name="_________PWt19" hidden="1">[25]PipeList!$AQ$118</definedName>
    <definedName name="_________PWt2" hidden="1">[25]PipeList!$I$118</definedName>
    <definedName name="_________PWt20" hidden="1">[25]PipeList!$AS$118</definedName>
    <definedName name="_________PWt21" hidden="1">[25]PipeList!$AU$118</definedName>
    <definedName name="_________PWt22" hidden="1">[25]PipeList!$AW$118</definedName>
    <definedName name="_________PWt23" hidden="1">[25]PipeList!$AY$118</definedName>
    <definedName name="_________PWt24" hidden="1">[25]PipeList!$BA$118</definedName>
    <definedName name="_________PWt25" hidden="1">[25]PipeList!$BC$118</definedName>
    <definedName name="_________PWt26" hidden="1">[25]PipeList!$BE$118</definedName>
    <definedName name="_________PWt27" hidden="1">[25]PipeList!$BG$118</definedName>
    <definedName name="_________PWt3" hidden="1">[25]PipeList!$K$118</definedName>
    <definedName name="_________PWt4" hidden="1">[25]PipeList!$M$118</definedName>
    <definedName name="_________PWt5" hidden="1">[25]PipeList!$O$118</definedName>
    <definedName name="_________PWt6" hidden="1">[25]PipeList!$Q$118</definedName>
    <definedName name="_________PWt7" hidden="1">[25]PipeList!$S$118</definedName>
    <definedName name="_________PWt8" hidden="1">[25]PipeList!$U$118</definedName>
    <definedName name="_________PWt9" hidden="1">[25]PipeList!$W$118</definedName>
    <definedName name="_________RCT10" hidden="1">[10]RCT!#REF!</definedName>
    <definedName name="_________RCT100" hidden="1">[10]RCT!$K$380</definedName>
    <definedName name="_________RCT200">[10]RCT!$K$98</definedName>
    <definedName name="_________RCT25">[26]RCT!$K$99</definedName>
    <definedName name="_________RCT50" hidden="1">[10]RCT!#REF!</definedName>
    <definedName name="_________RCT75">[22]RCT!$K$97</definedName>
    <definedName name="_________rDC1" hidden="1">[21]PipeDesign!$W$11:$W$64</definedName>
    <definedName name="_________rDC2" hidden="1">[21]PipeDesign!$W$67:$W$160</definedName>
    <definedName name="_________rDC3" hidden="1">[21]PipeDesign!$W$163:$W$268</definedName>
    <definedName name="_________rDC4" hidden="1">[21]PipeDesign!$W$271:$W$279</definedName>
    <definedName name="_________rPD1" hidden="1">#REF!</definedName>
    <definedName name="_________rPL1">#REF!</definedName>
    <definedName name="_________RSD1">'[8]Data-Table'!$D$26</definedName>
    <definedName name="_________RSD2">'[8]Data-Table'!$D$27</definedName>
    <definedName name="_________tb150">[17]Sheet1!$D$37</definedName>
    <definedName name="_________tb300">[17]Sheet1!$D$36</definedName>
    <definedName name="_________UCP1">[23]PipeList!#REF!</definedName>
    <definedName name="________agg10" localSheetId="0">[17]Sheet1!$D$23</definedName>
    <definedName name="________agg10" hidden="1">[10]MatCol!$U$56</definedName>
    <definedName name="________agg20" hidden="1">[10]MatCol!$U$55</definedName>
    <definedName name="________agg40" localSheetId="0">[17]Sheet1!$D$25</definedName>
    <definedName name="________agg40" hidden="1">[10]MatCol!$U$54</definedName>
    <definedName name="________cgi24" localSheetId="0">'[17]update Rate'!$E$91</definedName>
    <definedName name="________cgi24">'[13]update Rate'!$E$92</definedName>
    <definedName name="________cgi26" localSheetId="0">'[17]update Rate'!$E$92</definedName>
    <definedName name="________cgi26">[20]MatCol!$K$65</definedName>
    <definedName name="________DPC124">#REF!</definedName>
    <definedName name="________DPC136">#REF!</definedName>
    <definedName name="________DPC148">#REF!</definedName>
    <definedName name="________FRT1">'[11]FRT 1'!$F$7</definedName>
    <definedName name="________FRT10">'[11]FRT 1'!$F$417</definedName>
    <definedName name="________FRT12">[20]FRT!#REF!</definedName>
    <definedName name="________FRT14" hidden="1">[10]FRT!$K$87</definedName>
    <definedName name="________FRT16" hidden="1">[10]FRT!$K$87</definedName>
    <definedName name="________FRT18" hidden="1">[10]FRT!$K$87</definedName>
    <definedName name="________FRT2">#REF!</definedName>
    <definedName name="________FRT20" hidden="1">[10]FRT!$K$87</definedName>
    <definedName name="________FRT3" hidden="1">[10]FRT!$K$251</definedName>
    <definedName name="________FRT5">[20]FRT!#REF!</definedName>
    <definedName name="________FRT6">'[11]FRT 1'!$F$253</definedName>
    <definedName name="________FRT7">'[11]FRT 1'!$F$335</definedName>
    <definedName name="________FRT8" hidden="1">[10]FRT!$K$169</definedName>
    <definedName name="________FRT9" hidden="1">#REF!</definedName>
    <definedName name="________GIP1">[23]PipeList!#REF!</definedName>
    <definedName name="________gls4">[17]Sheet1!$D$44</definedName>
    <definedName name="________HDP1" hidden="1">#REF!</definedName>
    <definedName name="________HDP2" hidden="1">#REF!</definedName>
    <definedName name="________isa406" hidden="1">[10]MatCol!$K$55</definedName>
    <definedName name="________J18000">#REF!</definedName>
    <definedName name="________LN1">'[1]Water Demand'!#REF!</definedName>
    <definedName name="________LN10">'[1]Water Demand'!#REF!</definedName>
    <definedName name="________LN11">'[1]Water Demand'!#REF!</definedName>
    <definedName name="________LN12">'[1]Water Demand'!#REF!</definedName>
    <definedName name="________LN13">'[1]Water Demand'!#REF!</definedName>
    <definedName name="________LN14">'[1]Water Demand'!#REF!</definedName>
    <definedName name="________LN15">'[1]Water Demand'!#REF!</definedName>
    <definedName name="________LN16">'[1]Water Demand'!#REF!</definedName>
    <definedName name="________LN17">'[1]Water Demand'!#REF!</definedName>
    <definedName name="________LN18">'[1]Water Demand'!#REF!</definedName>
    <definedName name="________LN19">'[1]Water Demand'!#REF!</definedName>
    <definedName name="________LN2">'[1]Water Demand'!#REF!</definedName>
    <definedName name="________LN20">#REF!</definedName>
    <definedName name="________LN21">#REF!</definedName>
    <definedName name="________LN22">'[1]Water Demand'!#REF!</definedName>
    <definedName name="________LN23">'[1]Water Demand'!#REF!</definedName>
    <definedName name="________LN24">'[1]Water Demand'!#REF!</definedName>
    <definedName name="________LN25">'[1]Water Demand'!#REF!</definedName>
    <definedName name="________LN26">'[1]Water Demand'!#REF!</definedName>
    <definedName name="________LN27">'[1]Water Demand'!#REF!</definedName>
    <definedName name="________LN28">'[1]Water Demand'!#REF!</definedName>
    <definedName name="________LN29">'[1]Water Demand'!#REF!</definedName>
    <definedName name="________LN3">#REF!</definedName>
    <definedName name="________LN30">'[1]Water Demand'!#REF!</definedName>
    <definedName name="________LN31">#REF!</definedName>
    <definedName name="________LN32">#REF!</definedName>
    <definedName name="________LN33">#REF!</definedName>
    <definedName name="________LN34">#REF!</definedName>
    <definedName name="________LN35">#REF!</definedName>
    <definedName name="________LN36">#REF!</definedName>
    <definedName name="________LN37">#REF!</definedName>
    <definedName name="________LN38">#REF!</definedName>
    <definedName name="________LN39">#REF!</definedName>
    <definedName name="________LN4">#REF!</definedName>
    <definedName name="________LN40">#REF!</definedName>
    <definedName name="________LN41">#REF!</definedName>
    <definedName name="________LN42">#REF!</definedName>
    <definedName name="________LN43">#REF!</definedName>
    <definedName name="________LN44">#REF!</definedName>
    <definedName name="________LN45">#REF!</definedName>
    <definedName name="________LN46">#REF!</definedName>
    <definedName name="________LN47">#REF!</definedName>
    <definedName name="________LN48">#REF!</definedName>
    <definedName name="________LN49">#REF!</definedName>
    <definedName name="________LN5">#REF!</definedName>
    <definedName name="________LN50">#REF!</definedName>
    <definedName name="________LN6">#REF!</definedName>
    <definedName name="________LN7">#REF!</definedName>
    <definedName name="________LN8">#REF!</definedName>
    <definedName name="________LN9">'[1]Water Demand'!#REF!</definedName>
    <definedName name="________mh60" hidden="1">[10]MatCol!$U$39</definedName>
    <definedName name="________nHH1" hidden="1">'[21]Dmand 1'!$C$39</definedName>
    <definedName name="________nHH2" hidden="1">'[21]Dmand 2'!$C$60</definedName>
    <definedName name="________nHH3" hidden="1">'[21]Dmand 3'!$C$65</definedName>
    <definedName name="________nHH4" hidden="1">'[18]Dmand 4'!$C$20</definedName>
    <definedName name="________nHH5" hidden="1">'[18]Dmand 5'!$C$25</definedName>
    <definedName name="________nHH6" hidden="1">'[18]Dmand 6'!$C$17</definedName>
    <definedName name="________nHH7" hidden="1">'[18]Dmand 7'!$C$37</definedName>
    <definedName name="________nHH8" hidden="1">'[18]Dmand 8'!$C$17</definedName>
    <definedName name="________PWt1" hidden="1">[25]PipeList!$G$118</definedName>
    <definedName name="________PWt10" hidden="1">[25]PipeList!$Y$118</definedName>
    <definedName name="________PWt11" hidden="1">[25]PipeList!$AA$118</definedName>
    <definedName name="________PWt12" hidden="1">[25]PipeList!$AC$118</definedName>
    <definedName name="________PWt13" hidden="1">[25]PipeList!$AE$118</definedName>
    <definedName name="________PWt14" hidden="1">[25]PipeList!$AG$118</definedName>
    <definedName name="________PWt15" hidden="1">[25]PipeList!$AI$118</definedName>
    <definedName name="________PWt16" hidden="1">[25]PipeList!$AK$118</definedName>
    <definedName name="________PWt17" hidden="1">[25]PipeList!$AM$118</definedName>
    <definedName name="________PWt18" hidden="1">[25]PipeList!$AO$118</definedName>
    <definedName name="________PWt19" hidden="1">[25]PipeList!$AQ$118</definedName>
    <definedName name="________PWt2" hidden="1">[25]PipeList!$I$118</definedName>
    <definedName name="________PWt20" hidden="1">[25]PipeList!$AS$118</definedName>
    <definedName name="________PWt21" hidden="1">[25]PipeList!$AU$118</definedName>
    <definedName name="________PWt22" hidden="1">[25]PipeList!$AW$118</definedName>
    <definedName name="________PWt23" hidden="1">[25]PipeList!$AY$118</definedName>
    <definedName name="________PWt24" hidden="1">[25]PipeList!$BA$118</definedName>
    <definedName name="________PWt25" hidden="1">[25]PipeList!$BC$118</definedName>
    <definedName name="________PWt26" hidden="1">[25]PipeList!$BE$118</definedName>
    <definedName name="________PWt27" hidden="1">[25]PipeList!$BG$118</definedName>
    <definedName name="________PWt3" hidden="1">[25]PipeList!$K$118</definedName>
    <definedName name="________PWt4" hidden="1">[25]PipeList!$M$118</definedName>
    <definedName name="________PWt5" hidden="1">[25]PipeList!$O$118</definedName>
    <definedName name="________PWt6" hidden="1">[25]PipeList!$Q$118</definedName>
    <definedName name="________PWt7" hidden="1">[25]PipeList!$S$118</definedName>
    <definedName name="________PWt8" hidden="1">[25]PipeList!$U$118</definedName>
    <definedName name="________PWt9" hidden="1">[25]PipeList!$W$118</definedName>
    <definedName name="________RCT10" hidden="1">[10]RCT!#REF!</definedName>
    <definedName name="________RCT100" hidden="1">[10]RCT!$K$380</definedName>
    <definedName name="________RCT200">[10]RCT!$K$98</definedName>
    <definedName name="________RCT25">[26]RCT!$K$99</definedName>
    <definedName name="________RCT50" hidden="1">[10]RCT!#REF!</definedName>
    <definedName name="________RCT75" hidden="1">[10]RCT!$K$192</definedName>
    <definedName name="________rDC1" hidden="1">[21]PipeDesign!$W$11:$W$64</definedName>
    <definedName name="________rDC2" hidden="1">[21]PipeDesign!$W$67:$W$160</definedName>
    <definedName name="________rDC3" hidden="1">[21]PipeDesign!$W$163:$W$268</definedName>
    <definedName name="________rDC4" hidden="1">[21]PipeDesign!$W$271:$W$279</definedName>
    <definedName name="________rPD1" hidden="1">#REF!</definedName>
    <definedName name="________rPL1">#REF!</definedName>
    <definedName name="________RSD1">'[8]Data-Table'!$D$26</definedName>
    <definedName name="________RSD2">'[8]Data-Table'!$D$27</definedName>
    <definedName name="________tb150">[17]Sheet1!$D$37</definedName>
    <definedName name="________tb300">[17]Sheet1!$D$36</definedName>
    <definedName name="________UCP1">[23]PipeList!#REF!</definedName>
    <definedName name="________WN11">'[27]Pop Density'!$H$14</definedName>
    <definedName name="________WN13">'[27]Pop Density'!$H$16</definedName>
    <definedName name="________WN15">'[27]Pop Density'!$H$18</definedName>
    <definedName name="________WN16">'[27]Pop Density'!$H$19</definedName>
    <definedName name="________WN17">'[27]Pop Density'!$H$20</definedName>
    <definedName name="________WN18">'[27]Pop Density'!$H$21</definedName>
    <definedName name="________WN19">#N/A</definedName>
    <definedName name="________WN20">'[28]Pop Density'!$H$23</definedName>
    <definedName name="________WN21">'[28]Pop Density'!$H$24</definedName>
    <definedName name="________WN22">'[28]Pop Density'!$H$25</definedName>
    <definedName name="________WN5">'[27]Pop Density'!$H$8</definedName>
    <definedName name="________WN6">'[27]Pop Density'!$H$9</definedName>
    <definedName name="________WN7">'[27]Pop Density'!$H$10</definedName>
    <definedName name="_______agg10" localSheetId="0">[17]Sheet1!$D$23</definedName>
    <definedName name="_______agg10">[20]MatCol!$K$157</definedName>
    <definedName name="_______agg20">[20]MatCol!$K$151</definedName>
    <definedName name="_______agg40" localSheetId="0">[17]Sheet1!$D$25</definedName>
    <definedName name="_______agg40">[20]MatCol!$K$145</definedName>
    <definedName name="_______cgi24" localSheetId="0">'[17]update Rate'!$E$91</definedName>
    <definedName name="_______cgi24">'[13]update Rate'!$E$92</definedName>
    <definedName name="_______cgi26" localSheetId="0">'[17]update Rate'!$E$92</definedName>
    <definedName name="_______cgi26">[20]MatCol!$K$65</definedName>
    <definedName name="_______DPC124">#REF!</definedName>
    <definedName name="_______DPC136">#REF!</definedName>
    <definedName name="_______DPC148">#REF!</definedName>
    <definedName name="_______FRT1">'[11]FRT 1'!$F$7</definedName>
    <definedName name="_______FRT10">'[11]FRT 1'!$F$417</definedName>
    <definedName name="_______FRT12">[20]FRT!#REF!</definedName>
    <definedName name="_______FRT14" hidden="1">[10]FRT!$K$87</definedName>
    <definedName name="_______FRT16" hidden="1">[10]FRT!$K$87</definedName>
    <definedName name="_______FRT18" hidden="1">[10]FRT!$K$87</definedName>
    <definedName name="_______FRT2" hidden="1">[10]FRT!$K$87</definedName>
    <definedName name="_______FRT20">[20]FRT!$K$87</definedName>
    <definedName name="_______FRT3" hidden="1">[10]FRT!$K$169</definedName>
    <definedName name="_______FRT5">[20]FRT!#REF!</definedName>
    <definedName name="_______FRT6">'[11]FRT 1'!$F$253</definedName>
    <definedName name="_______FRT7">'[11]FRT 1'!$F$335</definedName>
    <definedName name="_______FRT8" hidden="1">[10]FRT!$K$333</definedName>
    <definedName name="_______FRT9" hidden="1">#REF!</definedName>
    <definedName name="_______GIP1">[23]PipeList!#REF!</definedName>
    <definedName name="_______gls4">[17]Sheet1!$D$44</definedName>
    <definedName name="_______HDP1" hidden="1">#REF!</definedName>
    <definedName name="_______HDP2" hidden="1">#REF!</definedName>
    <definedName name="_______isa406" hidden="1">[10]MatCol!$K$55</definedName>
    <definedName name="_______J18000">#REF!</definedName>
    <definedName name="_______LN1">'[1]Water Demand'!#REF!</definedName>
    <definedName name="_______LN10">'[1]Water Demand'!#REF!</definedName>
    <definedName name="_______LN11">'[1]Water Demand'!#REF!</definedName>
    <definedName name="_______LN12">'[1]Water Demand'!#REF!</definedName>
    <definedName name="_______LN13">'[1]Water Demand'!#REF!</definedName>
    <definedName name="_______LN14">'[1]Water Demand'!#REF!</definedName>
    <definedName name="_______LN15">'[1]Water Demand'!#REF!</definedName>
    <definedName name="_______LN16">'[1]Water Demand'!#REF!</definedName>
    <definedName name="_______LN17">'[1]Water Demand'!#REF!</definedName>
    <definedName name="_______LN18">'[1]Water Demand'!#REF!</definedName>
    <definedName name="_______LN19">'[1]Water Demand'!#REF!</definedName>
    <definedName name="_______LN2">'[1]Water Demand'!#REF!</definedName>
    <definedName name="_______LN20">#REF!</definedName>
    <definedName name="_______LN21">#REF!</definedName>
    <definedName name="_______LN22">'[1]Water Demand'!#REF!</definedName>
    <definedName name="_______LN23">'[1]Water Demand'!#REF!</definedName>
    <definedName name="_______LN24">'[1]Water Demand'!#REF!</definedName>
    <definedName name="_______LN25">'[1]Water Demand'!#REF!</definedName>
    <definedName name="_______LN26">'[1]Water Demand'!#REF!</definedName>
    <definedName name="_______LN27">'[1]Water Demand'!#REF!</definedName>
    <definedName name="_______LN28">'[1]Water Demand'!#REF!</definedName>
    <definedName name="_______LN29">'[1]Water Demand'!#REF!</definedName>
    <definedName name="_______LN3">#REF!</definedName>
    <definedName name="_______LN30">'[1]Water Demand'!#REF!</definedName>
    <definedName name="_______LN31">#REF!</definedName>
    <definedName name="_______LN32">#REF!</definedName>
    <definedName name="_______LN33">#REF!</definedName>
    <definedName name="_______LN34">#REF!</definedName>
    <definedName name="_______LN35">#REF!</definedName>
    <definedName name="_______LN36">#REF!</definedName>
    <definedName name="_______LN37">#REF!</definedName>
    <definedName name="_______LN38">#REF!</definedName>
    <definedName name="_______LN39">#REF!</definedName>
    <definedName name="_______LN4">#REF!</definedName>
    <definedName name="_______LN40">#REF!</definedName>
    <definedName name="_______LN41">#REF!</definedName>
    <definedName name="_______LN42">#REF!</definedName>
    <definedName name="_______LN43">#REF!</definedName>
    <definedName name="_______LN44">#REF!</definedName>
    <definedName name="_______LN45">#REF!</definedName>
    <definedName name="_______LN46">#REF!</definedName>
    <definedName name="_______LN47">#REF!</definedName>
    <definedName name="_______LN48">#REF!</definedName>
    <definedName name="_______LN49">#REF!</definedName>
    <definedName name="_______LN5">#REF!</definedName>
    <definedName name="_______LN50">#REF!</definedName>
    <definedName name="_______LN6">#REF!</definedName>
    <definedName name="_______LN7">#REF!</definedName>
    <definedName name="_______LN8">#REF!</definedName>
    <definedName name="_______LN9">'[1]Water Demand'!#REF!</definedName>
    <definedName name="_______mh60">[20]MatCol!$K$102</definedName>
    <definedName name="_______nHH1" hidden="1">'[21]Dmand 1'!$C$39</definedName>
    <definedName name="_______nHH2" hidden="1">'[21]Dmand 2'!$C$60</definedName>
    <definedName name="_______nHH3" hidden="1">'[21]Dmand 3'!$C$65</definedName>
    <definedName name="_______nHH4" hidden="1">'[18]Dmand 4'!$C$20</definedName>
    <definedName name="_______nHH5" hidden="1">'[18]Dmand 5'!$C$25</definedName>
    <definedName name="_______nHH6" hidden="1">'[18]Dmand 6'!$C$17</definedName>
    <definedName name="_______nHH7" hidden="1">'[18]Dmand 7'!$C$37</definedName>
    <definedName name="_______nHH8" hidden="1">'[18]Dmand 8'!$C$17</definedName>
    <definedName name="_______PWt1" hidden="1">[25]PipeList!$G$118</definedName>
    <definedName name="_______PWt10" hidden="1">[25]PipeList!$Y$118</definedName>
    <definedName name="_______PWt11" hidden="1">[25]PipeList!$AA$118</definedName>
    <definedName name="_______PWt12" hidden="1">[25]PipeList!$AC$118</definedName>
    <definedName name="_______PWt13" hidden="1">[25]PipeList!$AE$118</definedName>
    <definedName name="_______PWt14" hidden="1">[25]PipeList!$AG$118</definedName>
    <definedName name="_______PWt15" hidden="1">[25]PipeList!$AI$118</definedName>
    <definedName name="_______PWt16" hidden="1">[25]PipeList!$AK$118</definedName>
    <definedName name="_______PWt17" hidden="1">[25]PipeList!$AM$118</definedName>
    <definedName name="_______PWt18" hidden="1">[25]PipeList!$AO$118</definedName>
    <definedName name="_______PWt19" hidden="1">[25]PipeList!$AQ$118</definedName>
    <definedName name="_______PWt2" hidden="1">[25]PipeList!$I$118</definedName>
    <definedName name="_______PWt20" hidden="1">[25]PipeList!$AS$118</definedName>
    <definedName name="_______PWt21" hidden="1">[25]PipeList!$AU$118</definedName>
    <definedName name="_______PWt22" hidden="1">[25]PipeList!$AW$118</definedName>
    <definedName name="_______PWt23" hidden="1">[25]PipeList!$AY$118</definedName>
    <definedName name="_______PWt24" hidden="1">[25]PipeList!$BA$118</definedName>
    <definedName name="_______PWt25" hidden="1">[25]PipeList!$BC$118</definedName>
    <definedName name="_______PWt26" hidden="1">[25]PipeList!$BE$118</definedName>
    <definedName name="_______PWt27" hidden="1">[25]PipeList!$BG$118</definedName>
    <definedName name="_______PWt3" hidden="1">[25]PipeList!$K$118</definedName>
    <definedName name="_______PWt4" hidden="1">[25]PipeList!$M$118</definedName>
    <definedName name="_______PWt5" hidden="1">[25]PipeList!$O$118</definedName>
    <definedName name="_______PWt6" hidden="1">[25]PipeList!$Q$118</definedName>
    <definedName name="_______PWt7" hidden="1">[25]PipeList!$S$118</definedName>
    <definedName name="_______PWt8" hidden="1">[25]PipeList!$U$118</definedName>
    <definedName name="_______PWt9" hidden="1">[25]PipeList!$W$118</definedName>
    <definedName name="_______RCT10" hidden="1">[10]RCT!#REF!</definedName>
    <definedName name="_______RCT100" hidden="1">[10]RCT!$K$380</definedName>
    <definedName name="_______RCT200">[10]RCT!$K$98</definedName>
    <definedName name="_______RCT25">[26]RCT!$K$99</definedName>
    <definedName name="_______RCT50" hidden="1">[10]RCT!#REF!</definedName>
    <definedName name="_______RCT75">[22]RCT!$K$97</definedName>
    <definedName name="_______rDC1" hidden="1">[21]PipeDesign!$W$11:$W$64</definedName>
    <definedName name="_______rDC2" hidden="1">[21]PipeDesign!$W$67:$W$160</definedName>
    <definedName name="_______rDC3" hidden="1">[21]PipeDesign!$W$163:$W$268</definedName>
    <definedName name="_______rDC4" hidden="1">[21]PipeDesign!$W$271:$W$279</definedName>
    <definedName name="_______rPD1" hidden="1">#REF!</definedName>
    <definedName name="_______rPL1">#REF!</definedName>
    <definedName name="_______RSD1">'[8]Data-Table'!$D$26</definedName>
    <definedName name="_______RSD2">'[8]Data-Table'!$D$27</definedName>
    <definedName name="_______tb150">[17]Sheet1!$D$37</definedName>
    <definedName name="_______tb300">[17]Sheet1!$D$36</definedName>
    <definedName name="_______UCP1">[23]PipeList!#REF!</definedName>
    <definedName name="_______WN11">'[27]Pop Density'!$H$14</definedName>
    <definedName name="_______WN13">'[27]Pop Density'!$H$16</definedName>
    <definedName name="_______WN15">'[27]Pop Density'!$H$18</definedName>
    <definedName name="_______WN16">'[27]Pop Density'!$H$19</definedName>
    <definedName name="_______WN17">'[27]Pop Density'!$H$20</definedName>
    <definedName name="_______WN18">'[27]Pop Density'!$H$21</definedName>
    <definedName name="_______WN19">#N/A</definedName>
    <definedName name="_______WN20">'[28]Pop Density'!$H$23</definedName>
    <definedName name="_______WN21">'[28]Pop Density'!$H$24</definedName>
    <definedName name="_______WN22">'[28]Pop Density'!$H$25</definedName>
    <definedName name="_______WN3">'[28]Pop Density'!$H$6</definedName>
    <definedName name="_______WN4">'[28]Pop Density'!$H$7</definedName>
    <definedName name="_______WN5">'[27]Pop Density'!$H$8</definedName>
    <definedName name="_______WN6">'[27]Pop Density'!$H$9</definedName>
    <definedName name="_______WN7">'[27]Pop Density'!$H$10</definedName>
    <definedName name="______agg10" localSheetId="0">[17]Sheet1!$D$23</definedName>
    <definedName name="______agg10">[20]MatCol!$K$157</definedName>
    <definedName name="______agg20">[20]MatCol!$K$151</definedName>
    <definedName name="______agg40" localSheetId="0">[17]Sheet1!$D$25</definedName>
    <definedName name="______agg40">[20]MatCol!$K$145</definedName>
    <definedName name="______cgi24" localSheetId="0">'[17]update Rate'!$E$91</definedName>
    <definedName name="______cgi24">'[13]update Rate'!$E$92</definedName>
    <definedName name="______cgi26" localSheetId="0">'[17]update Rate'!$E$92</definedName>
    <definedName name="______cgi26">[20]MatCol!$K$65</definedName>
    <definedName name="______DPC124">#REF!</definedName>
    <definedName name="______DPC136">#REF!</definedName>
    <definedName name="______DPC148">#REF!</definedName>
    <definedName name="______fab111">#REF!</definedName>
    <definedName name="______fab211">#REF!</definedName>
    <definedName name="______fab311">#REF!</definedName>
    <definedName name="______FRT1">'[11]FRT 1'!$F$7</definedName>
    <definedName name="______FRT10">'[11]FRT 1'!$F$417</definedName>
    <definedName name="______FRT12">[20]FRT!#REF!</definedName>
    <definedName name="______FRT14" hidden="1">[10]FRT!$K$87</definedName>
    <definedName name="______FRT16" hidden="1">[10]FRT!$K$87</definedName>
    <definedName name="______FRT18" hidden="1">[10]FRT!$K$87</definedName>
    <definedName name="______FRT2" hidden="1">[10]FRT!$K$87</definedName>
    <definedName name="______FRT20">[20]FRT!$K$87</definedName>
    <definedName name="______FRT3" hidden="1">[10]FRT!$K$169</definedName>
    <definedName name="______FRT5">[20]FRT!#REF!</definedName>
    <definedName name="______FRT6">'[11]FRT 1'!$F$253</definedName>
    <definedName name="______FRT7">'[11]FRT 1'!$F$335</definedName>
    <definedName name="______FRT8" hidden="1">[10]FRT!$K$333</definedName>
    <definedName name="______FRT9" hidden="1">#REF!</definedName>
    <definedName name="______GIP1">[23]PipeList!#REF!</definedName>
    <definedName name="______gls4">[17]Sheet1!$D$44</definedName>
    <definedName name="______HDP1" hidden="1">#REF!</definedName>
    <definedName name="______HDP2" hidden="1">#REF!</definedName>
    <definedName name="______isa406" hidden="1">[10]MatCol!$K$55</definedName>
    <definedName name="______J18000">#REF!</definedName>
    <definedName name="______LN1">'[1]Water Demand'!#REF!</definedName>
    <definedName name="______LN10">'[1]Water Demand'!#REF!</definedName>
    <definedName name="______LN11">'[1]Water Demand'!#REF!</definedName>
    <definedName name="______LN12">'[1]Water Demand'!#REF!</definedName>
    <definedName name="______LN13">'[1]Water Demand'!#REF!</definedName>
    <definedName name="______LN14">'[1]Water Demand'!#REF!</definedName>
    <definedName name="______LN15">'[1]Water Demand'!#REF!</definedName>
    <definedName name="______LN16">'[1]Water Demand'!#REF!</definedName>
    <definedName name="______LN17">'[1]Water Demand'!#REF!</definedName>
    <definedName name="______LN18">'[1]Water Demand'!#REF!</definedName>
    <definedName name="______LN19">'[1]Water Demand'!#REF!</definedName>
    <definedName name="______LN2">'[1]Water Demand'!#REF!</definedName>
    <definedName name="______LN20">#REF!</definedName>
    <definedName name="______LN21">#REF!</definedName>
    <definedName name="______LN22">'[1]Water Demand'!#REF!</definedName>
    <definedName name="______LN23">'[1]Water Demand'!#REF!</definedName>
    <definedName name="______LN24">'[1]Water Demand'!#REF!</definedName>
    <definedName name="______LN25">'[1]Water Demand'!#REF!</definedName>
    <definedName name="______LN26">'[1]Water Demand'!#REF!</definedName>
    <definedName name="______LN27">'[1]Water Demand'!#REF!</definedName>
    <definedName name="______LN28">'[1]Water Demand'!#REF!</definedName>
    <definedName name="______LN29">'[1]Water Demand'!#REF!</definedName>
    <definedName name="______LN3">#REF!</definedName>
    <definedName name="______LN30">'[1]Water Demand'!#REF!</definedName>
    <definedName name="______LN31">#REF!</definedName>
    <definedName name="______LN32">#REF!</definedName>
    <definedName name="______LN33">#REF!</definedName>
    <definedName name="______LN34">#REF!</definedName>
    <definedName name="______LN35">#REF!</definedName>
    <definedName name="______LN36">#REF!</definedName>
    <definedName name="______LN37">#REF!</definedName>
    <definedName name="______LN38">#REF!</definedName>
    <definedName name="______LN39">#REF!</definedName>
    <definedName name="______LN4">#REF!</definedName>
    <definedName name="______LN40">#REF!</definedName>
    <definedName name="______LN41">#REF!</definedName>
    <definedName name="______LN42">#REF!</definedName>
    <definedName name="______LN43">#REF!</definedName>
    <definedName name="______LN44">#REF!</definedName>
    <definedName name="______LN45">#REF!</definedName>
    <definedName name="______LN46">#REF!</definedName>
    <definedName name="______LN47">#REF!</definedName>
    <definedName name="______LN48">#REF!</definedName>
    <definedName name="______LN49">#REF!</definedName>
    <definedName name="______LN5">#REF!</definedName>
    <definedName name="______LN50">#REF!</definedName>
    <definedName name="______LN6">#REF!</definedName>
    <definedName name="______LN7">#REF!</definedName>
    <definedName name="______LN8">#REF!</definedName>
    <definedName name="______LN9">'[1]Water Demand'!#REF!</definedName>
    <definedName name="______mh60">[20]MatCol!$K$102</definedName>
    <definedName name="______nHH1" hidden="1">'[21]Dmand 1'!$C$39</definedName>
    <definedName name="______nHH2" hidden="1">'[21]Dmand 2'!$C$60</definedName>
    <definedName name="______nHH3" hidden="1">'[21]Dmand 3'!$C$65</definedName>
    <definedName name="______nHH4" hidden="1">'[18]Dmand 4'!$C$20</definedName>
    <definedName name="______nHH5" hidden="1">'[18]Dmand 5'!$C$25</definedName>
    <definedName name="______nHH6" hidden="1">'[18]Dmand 6'!$C$17</definedName>
    <definedName name="______nHH7" hidden="1">'[18]Dmand 7'!$C$37</definedName>
    <definedName name="______nHH8" hidden="1">'[18]Dmand 8'!$C$17</definedName>
    <definedName name="______PWt1" hidden="1">[25]PipeList!$G$118</definedName>
    <definedName name="______PWt10" hidden="1">[25]PipeList!$Y$118</definedName>
    <definedName name="______PWt11" hidden="1">[25]PipeList!$AA$118</definedName>
    <definedName name="______PWt12" hidden="1">[25]PipeList!$AC$118</definedName>
    <definedName name="______PWt13" hidden="1">[25]PipeList!$AE$118</definedName>
    <definedName name="______PWt14" hidden="1">[25]PipeList!$AG$118</definedName>
    <definedName name="______PWt15" hidden="1">[25]PipeList!$AI$118</definedName>
    <definedName name="______PWt16" hidden="1">[25]PipeList!$AK$118</definedName>
    <definedName name="______PWt17" hidden="1">[25]PipeList!$AM$118</definedName>
    <definedName name="______PWt18" hidden="1">[25]PipeList!$AO$118</definedName>
    <definedName name="______PWt19" hidden="1">[25]PipeList!$AQ$118</definedName>
    <definedName name="______PWt2" hidden="1">[25]PipeList!$I$118</definedName>
    <definedName name="______PWt20" hidden="1">[25]PipeList!$AS$118</definedName>
    <definedName name="______PWt21" hidden="1">[25]PipeList!$AU$118</definedName>
    <definedName name="______PWt22" hidden="1">[25]PipeList!$AW$118</definedName>
    <definedName name="______PWt23" hidden="1">[25]PipeList!$AY$118</definedName>
    <definedName name="______PWt24" hidden="1">[25]PipeList!$BA$118</definedName>
    <definedName name="______PWt25" hidden="1">[25]PipeList!$BC$118</definedName>
    <definedName name="______PWt26" hidden="1">[25]PipeList!$BE$118</definedName>
    <definedName name="______PWt27" hidden="1">[25]PipeList!$BG$118</definedName>
    <definedName name="______PWt3" hidden="1">[25]PipeList!$K$118</definedName>
    <definedName name="______PWt4" hidden="1">[25]PipeList!$M$118</definedName>
    <definedName name="______PWt5" hidden="1">[25]PipeList!$O$118</definedName>
    <definedName name="______PWt6" hidden="1">[25]PipeList!$Q$118</definedName>
    <definedName name="______PWt7" hidden="1">[25]PipeList!$S$118</definedName>
    <definedName name="______PWt8" hidden="1">[25]PipeList!$U$118</definedName>
    <definedName name="______PWt9" hidden="1">[25]PipeList!$W$118</definedName>
    <definedName name="______RCT10" hidden="1">[10]RCT!#REF!</definedName>
    <definedName name="______RCT100" hidden="1">[10]RCT!$K$380</definedName>
    <definedName name="______RCT200">[10]RCT!$K$98</definedName>
    <definedName name="______RCT25">[26]RCT!$K$99</definedName>
    <definedName name="______RCT50" hidden="1">[10]RCT!#REF!</definedName>
    <definedName name="______RCT75">[22]RCT!$K$97</definedName>
    <definedName name="______rDC1" hidden="1">[21]PipeDesign!$W$11:$W$64</definedName>
    <definedName name="______rDC2" hidden="1">[21]PipeDesign!$W$67:$W$160</definedName>
    <definedName name="______rDC3" hidden="1">[21]PipeDesign!$W$163:$W$268</definedName>
    <definedName name="______rDC4" hidden="1">[21]PipeDesign!$W$271:$W$279</definedName>
    <definedName name="______rPD1" hidden="1">#REF!</definedName>
    <definedName name="______rPL1">#REF!</definedName>
    <definedName name="______RSD1">'[8]Data-Table'!$D$26</definedName>
    <definedName name="______RSD2">'[8]Data-Table'!$D$27</definedName>
    <definedName name="______tb150">[17]Sheet1!$D$37</definedName>
    <definedName name="______tb300">[17]Sheet1!$D$36</definedName>
    <definedName name="______UCP1">[23]PipeList!#REF!</definedName>
    <definedName name="______WN11">'[27]Pop Density'!$H$14</definedName>
    <definedName name="______WN13">'[27]Pop Density'!$H$16</definedName>
    <definedName name="______WN15">'[27]Pop Density'!$H$18</definedName>
    <definedName name="______WN16">'[27]Pop Density'!$H$19</definedName>
    <definedName name="______WN17">'[27]Pop Density'!$H$20</definedName>
    <definedName name="______WN18">'[27]Pop Density'!$H$21</definedName>
    <definedName name="______WN19">#N/A</definedName>
    <definedName name="______WN20">'[28]Pop Density'!$H$23</definedName>
    <definedName name="______WN21">'[28]Pop Density'!$H$24</definedName>
    <definedName name="______WN22">'[28]Pop Density'!$H$25</definedName>
    <definedName name="______WN3">'[28]Pop Density'!$H$6</definedName>
    <definedName name="______WN4">'[28]Pop Density'!$H$7</definedName>
    <definedName name="______WN5">'[27]Pop Density'!$H$8</definedName>
    <definedName name="______WN6">'[27]Pop Density'!$H$9</definedName>
    <definedName name="______WN7">'[27]Pop Density'!$H$10</definedName>
    <definedName name="_____agg10" localSheetId="0">[17]Sheet1!$D$23</definedName>
    <definedName name="_____agg10">[20]MatCol!$K$157</definedName>
    <definedName name="_____agg20">[20]MatCol!$K$151</definedName>
    <definedName name="_____agg40" localSheetId="0">[17]Sheet1!$D$25</definedName>
    <definedName name="_____agg40">[20]MatCol!$K$145</definedName>
    <definedName name="_____agg75">#REF!</definedName>
    <definedName name="_____BOQ1">[29]Rates!$G$42</definedName>
    <definedName name="_____cfs8">#REF!</definedName>
    <definedName name="_____cgi24" localSheetId="0">'[17]update Rate'!$E$91</definedName>
    <definedName name="_____cgi24">'[13]update Rate'!$E$92</definedName>
    <definedName name="_____cgi26" localSheetId="0">'[17]update Rate'!$E$92</definedName>
    <definedName name="_____cgi26">[20]MatCol!$K$65</definedName>
    <definedName name="_____DPC124">#REF!</definedName>
    <definedName name="_____DPC136">#REF!</definedName>
    <definedName name="_____DPC148">#REF!</definedName>
    <definedName name="_____dsp13">#REF!</definedName>
    <definedName name="_____fgm100">#REF!</definedName>
    <definedName name="_____FRT1">'[11]FRT 1'!$F$7</definedName>
    <definedName name="_____FRT10">'[11]FRT 1'!$F$417</definedName>
    <definedName name="_____FRT12">[20]FRT!#REF!</definedName>
    <definedName name="_____FRT14" hidden="1">[10]FRT!$K$87</definedName>
    <definedName name="_____FRT16">#REF!</definedName>
    <definedName name="_____FRT18" hidden="1">[10]FRT!$K$87</definedName>
    <definedName name="_____FRT2" hidden="1">[10]FRT!$K$87</definedName>
    <definedName name="_____FRT20">[20]FRT!$K$87</definedName>
    <definedName name="_____FRT3" hidden="1">[10]FRT!$K$169</definedName>
    <definedName name="_____FRT5">[20]FRT!#REF!</definedName>
    <definedName name="_____FRT6">'[11]FRT 1'!$F$253</definedName>
    <definedName name="_____FRT7">'[11]FRT 1'!$F$335</definedName>
    <definedName name="_____FRT8" hidden="1">[10]FRT!$K$333</definedName>
    <definedName name="_____FRT9">#REF!</definedName>
    <definedName name="_____fsp14">#REF!</definedName>
    <definedName name="_____fsp375">#REF!</definedName>
    <definedName name="_____fsw10">#REF!</definedName>
    <definedName name="_____GIP1">[23]PipeList!#REF!</definedName>
    <definedName name="_____gls4">[17]Sheet1!$D$44</definedName>
    <definedName name="_____HDP1">#REF!</definedName>
    <definedName name="_____HDP2">#REF!</definedName>
    <definedName name="_____isa406">[10]MatCol!$K$55</definedName>
    <definedName name="_____J18000">#REF!</definedName>
    <definedName name="_____LN1">'[1]Water Demand'!#REF!</definedName>
    <definedName name="_____LN10">'[1]Water Demand'!#REF!</definedName>
    <definedName name="_____LN11">'[1]Water Demand'!#REF!</definedName>
    <definedName name="_____LN12">'[1]Water Demand'!#REF!</definedName>
    <definedName name="_____LN13">'[1]Water Demand'!#REF!</definedName>
    <definedName name="_____LN14">'[1]Water Demand'!#REF!</definedName>
    <definedName name="_____LN15">'[1]Water Demand'!#REF!</definedName>
    <definedName name="_____LN16">'[1]Water Demand'!#REF!</definedName>
    <definedName name="_____LN17">'[1]Water Demand'!#REF!</definedName>
    <definedName name="_____LN18">'[1]Water Demand'!#REF!</definedName>
    <definedName name="_____LN19">'[1]Water Demand'!#REF!</definedName>
    <definedName name="_____LN2">'[1]Water Demand'!#REF!</definedName>
    <definedName name="_____LN20">#REF!</definedName>
    <definedName name="_____LN21">#REF!</definedName>
    <definedName name="_____LN22">'[1]Water Demand'!#REF!</definedName>
    <definedName name="_____LN23">'[1]Water Demand'!#REF!</definedName>
    <definedName name="_____LN24">'[1]Water Demand'!#REF!</definedName>
    <definedName name="_____LN25">'[1]Water Demand'!#REF!</definedName>
    <definedName name="_____LN26">'[1]Water Demand'!#REF!</definedName>
    <definedName name="_____LN27">'[1]Water Demand'!#REF!</definedName>
    <definedName name="_____LN28">'[1]Water Demand'!#REF!</definedName>
    <definedName name="_____LN29">'[1]Water Demand'!#REF!</definedName>
    <definedName name="_____LN3">#REF!</definedName>
    <definedName name="_____LN30">'[1]Water Demand'!#REF!</definedName>
    <definedName name="_____LN31">#REF!</definedName>
    <definedName name="_____LN32">#REF!</definedName>
    <definedName name="_____LN33">#REF!</definedName>
    <definedName name="_____LN34">#REF!</definedName>
    <definedName name="_____LN35">#REF!</definedName>
    <definedName name="_____LN36">#REF!</definedName>
    <definedName name="_____LN37">#REF!</definedName>
    <definedName name="_____LN38">#REF!</definedName>
    <definedName name="_____LN39">#REF!</definedName>
    <definedName name="_____LN4">#REF!</definedName>
    <definedName name="_____LN40">#REF!</definedName>
    <definedName name="_____LN41">#REF!</definedName>
    <definedName name="_____LN42">#REF!</definedName>
    <definedName name="_____LN43">#REF!</definedName>
    <definedName name="_____LN44">#REF!</definedName>
    <definedName name="_____LN45">#REF!</definedName>
    <definedName name="_____LN46">#REF!</definedName>
    <definedName name="_____LN47">#REF!</definedName>
    <definedName name="_____LN48">#REF!</definedName>
    <definedName name="_____LN49">#REF!</definedName>
    <definedName name="_____LN5">#REF!</definedName>
    <definedName name="_____LN50">#REF!</definedName>
    <definedName name="_____LN6">#REF!</definedName>
    <definedName name="_____LN7">#REF!</definedName>
    <definedName name="_____LN8">#REF!</definedName>
    <definedName name="_____LN9">'[1]Water Demand'!#REF!</definedName>
    <definedName name="_____loc250">#REF!</definedName>
    <definedName name="_____loc300">#REF!</definedName>
    <definedName name="_____mb14">#REF!</definedName>
    <definedName name="_____mbs14">#REF!</definedName>
    <definedName name="_____mbs16">#REF!</definedName>
    <definedName name="_____MC3" hidden="1">#REF!</definedName>
    <definedName name="_____mds16">#REF!</definedName>
    <definedName name="_____mh60">[20]MatCol!$K$102</definedName>
    <definedName name="_____nHH1" hidden="1">'[21]Dmand 1'!$C$39</definedName>
    <definedName name="_____nHH2" hidden="1">'[21]Dmand 2'!$C$60</definedName>
    <definedName name="_____nHH3" hidden="1">'[21]Dmand 3'!$C$65</definedName>
    <definedName name="_____nHH5" hidden="1">'[18]Dmand 5'!$C$25</definedName>
    <definedName name="_____nHH6" hidden="1">'[18]Dmand 6'!$C$17</definedName>
    <definedName name="_____nHH7" hidden="1">'[18]Dmand 7'!$C$37</definedName>
    <definedName name="_____nHH8" hidden="1">'[18]Dmand 8'!$C$17</definedName>
    <definedName name="_____pcc10">#REF!</definedName>
    <definedName name="_____pcc15">#REF!</definedName>
    <definedName name="_____ply19">#REF!</definedName>
    <definedName name="_____PWt1" hidden="1">[25]PipeList!$G$118</definedName>
    <definedName name="_____PWt10" hidden="1">[25]PipeList!$Y$118</definedName>
    <definedName name="_____PWt11" hidden="1">[25]PipeList!$AA$118</definedName>
    <definedName name="_____PWt12" hidden="1">[25]PipeList!$AC$118</definedName>
    <definedName name="_____PWt13" hidden="1">[25]PipeList!$AE$118</definedName>
    <definedName name="_____PWt14" hidden="1">[25]PipeList!$AG$118</definedName>
    <definedName name="_____PWt15" hidden="1">[25]PipeList!$AI$118</definedName>
    <definedName name="_____PWt16" hidden="1">[25]PipeList!$AK$118</definedName>
    <definedName name="_____PWt17" hidden="1">[25]PipeList!$AM$118</definedName>
    <definedName name="_____PWt18" hidden="1">[25]PipeList!$AO$118</definedName>
    <definedName name="_____PWt19" hidden="1">[25]PipeList!$AQ$118</definedName>
    <definedName name="_____PWt2" hidden="1">[25]PipeList!$I$118</definedName>
    <definedName name="_____PWt20" hidden="1">[25]PipeList!$AS$118</definedName>
    <definedName name="_____PWt21" hidden="1">[25]PipeList!$AU$118</definedName>
    <definedName name="_____PWt22" hidden="1">[25]PipeList!$AW$118</definedName>
    <definedName name="_____PWt23" hidden="1">[25]PipeList!$AY$118</definedName>
    <definedName name="_____PWt24" hidden="1">[25]PipeList!$BA$118</definedName>
    <definedName name="_____PWt25" hidden="1">[25]PipeList!$BC$118</definedName>
    <definedName name="_____PWt26" hidden="1">[25]PipeList!$BE$118</definedName>
    <definedName name="_____PWt27" hidden="1">[25]PipeList!$BG$118</definedName>
    <definedName name="_____PWt3" hidden="1">[25]PipeList!$K$118</definedName>
    <definedName name="_____PWt4" hidden="1">[25]PipeList!$M$118</definedName>
    <definedName name="_____PWt5" hidden="1">[25]PipeList!$O$118</definedName>
    <definedName name="_____PWt6" hidden="1">[25]PipeList!$Q$118</definedName>
    <definedName name="_____PWt7" hidden="1">[25]PipeList!$S$118</definedName>
    <definedName name="_____PWt8" hidden="1">[25]PipeList!$U$118</definedName>
    <definedName name="_____PWt9" hidden="1">[25]PipeList!$W$118</definedName>
    <definedName name="_____RCT10" hidden="1">[10]RCT!#REF!</definedName>
    <definedName name="_____RCT100" hidden="1">[10]RCT!$K$380</definedName>
    <definedName name="_____RCT200">[10]RCT!$K$98</definedName>
    <definedName name="_____RCT25">[26]RCT!$K$99</definedName>
    <definedName name="_____RCT50" hidden="1">[10]RCT!#REF!</definedName>
    <definedName name="_____RCT75">[22]RCT!$K$97</definedName>
    <definedName name="_____rDC1" hidden="1">#REF!</definedName>
    <definedName name="_____rPD1" hidden="1">#REF!</definedName>
    <definedName name="_____rPL1">#REF!</definedName>
    <definedName name="_____RSD1">'[8]Data-Table'!$D$26</definedName>
    <definedName name="_____RSD2">'[8]Data-Table'!$D$27</definedName>
    <definedName name="_____rTT2" hidden="1">#REF!</definedName>
    <definedName name="_____sfg15">#REF!</definedName>
    <definedName name="_____tb150">[17]Sheet1!$D$37</definedName>
    <definedName name="_____tb300">[17]Sheet1!$D$36</definedName>
    <definedName name="_____tjd140">#REF!</definedName>
    <definedName name="_____tjd220">#REF!</definedName>
    <definedName name="_____tjd240">#REF!</definedName>
    <definedName name="_____twh10">#REF!</definedName>
    <definedName name="_____UCP1">[23]PipeList!#REF!</definedName>
    <definedName name="_____WN13">'[30]Pop Density'!$H$16</definedName>
    <definedName name="_____WN14">'[30]Pop Density'!$H$17</definedName>
    <definedName name="_____WN18">'[28]Pop Density'!$H$21</definedName>
    <definedName name="_____WN19">#N/A</definedName>
    <definedName name="_____WN20">'[28]Pop Density'!$H$23</definedName>
    <definedName name="_____WN21">'[28]Pop Density'!$H$24</definedName>
    <definedName name="_____WN22">'[28]Pop Density'!$H$25</definedName>
    <definedName name="_____WN3">'[30]Pop Density'!$H$6</definedName>
    <definedName name="_____WN4">'[30]Pop Density'!$H$7</definedName>
    <definedName name="_____WN8">'[30]Pop Density'!$H$11</definedName>
    <definedName name="____agg10" localSheetId="0">[17]Sheet1!$D$23</definedName>
    <definedName name="____agg10">[20]MatCol!$K$157</definedName>
    <definedName name="____agg20">[20]MatCol!$K$151</definedName>
    <definedName name="____agg40" localSheetId="0">[17]Sheet1!$D$25</definedName>
    <definedName name="____agg40">[20]MatCol!$K$145</definedName>
    <definedName name="____agg5">#REF!</definedName>
    <definedName name="____agg6">#REF!</definedName>
    <definedName name="____bar10">#REF!</definedName>
    <definedName name="____bar12">#REF!</definedName>
    <definedName name="____bar16">#REF!</definedName>
    <definedName name="____bar20">#REF!</definedName>
    <definedName name="____bar25">#REF!</definedName>
    <definedName name="____bar32">#REF!</definedName>
    <definedName name="____bar6">#REF!</definedName>
    <definedName name="____bar7">#REF!</definedName>
    <definedName name="____bar8">#REF!</definedName>
    <definedName name="____BOQ1">[29]Rates!$G$42</definedName>
    <definedName name="____cgi24" localSheetId="0">'[17]update Rate'!$E$91</definedName>
    <definedName name="____cgi24">'[13]update Rate'!$E$92</definedName>
    <definedName name="____cgi26" localSheetId="0">'[17]update Rate'!$E$92</definedName>
    <definedName name="____cgi26">'[13]update Rate'!$E$94</definedName>
    <definedName name="____cpt3">#REF!</definedName>
    <definedName name="____DPC124">#REF!</definedName>
    <definedName name="____DPC136">#REF!</definedName>
    <definedName name="____DPC148">#REF!</definedName>
    <definedName name="____fab111">#REF!</definedName>
    <definedName name="____fab211">#REF!</definedName>
    <definedName name="____fab311">#REF!</definedName>
    <definedName name="____FRT1">'[11]FRT 1'!$F$7</definedName>
    <definedName name="____FRT10">'[11]FRT 1'!$F$417</definedName>
    <definedName name="____FRT12">[20]FRT!#REF!</definedName>
    <definedName name="____FRT14" hidden="1">[10]FRT!$K$87</definedName>
    <definedName name="____FRT16">#REF!</definedName>
    <definedName name="____FRT18" hidden="1">[10]FRT!$K$87</definedName>
    <definedName name="____FRT2" hidden="1">[10]FRT!$K$87</definedName>
    <definedName name="____FRT20">[20]FRT!$K$87</definedName>
    <definedName name="____FRT3" hidden="1">[10]FRT!$K$169</definedName>
    <definedName name="____FRT4" hidden="1">[12]FRT!$K$87</definedName>
    <definedName name="____FRT5">[20]FRT!#REF!</definedName>
    <definedName name="____FRT6">'[11]FRT 1'!$F$253</definedName>
    <definedName name="____FRT7">'[11]FRT 1'!$F$335</definedName>
    <definedName name="____FRT8" hidden="1">[10]FRT!$K$333</definedName>
    <definedName name="____FRT9">#REF!</definedName>
    <definedName name="____GIP1">[23]PipeList!#REF!</definedName>
    <definedName name="____gis26">#REF!</definedName>
    <definedName name="____gis28">#REF!</definedName>
    <definedName name="____gls4" localSheetId="0">[17]Sheet1!$D$44</definedName>
    <definedName name="____gls4">#REF!</definedName>
    <definedName name="____HDP1">#REF!</definedName>
    <definedName name="____HDP2">#REF!</definedName>
    <definedName name="____isa406">[10]MatCol!$K$55</definedName>
    <definedName name="____J18000">#REF!</definedName>
    <definedName name="____LN1">'[1]Water Demand'!#REF!</definedName>
    <definedName name="____LN10">'[1]Water Demand'!#REF!</definedName>
    <definedName name="____LN11">'[1]Water Demand'!#REF!</definedName>
    <definedName name="____LN12">'[1]Water Demand'!#REF!</definedName>
    <definedName name="____LN13">'[1]Water Demand'!#REF!</definedName>
    <definedName name="____LN14">'[1]Water Demand'!#REF!</definedName>
    <definedName name="____LN15">'[1]Water Demand'!#REF!</definedName>
    <definedName name="____LN16">'[1]Water Demand'!#REF!</definedName>
    <definedName name="____LN17">'[1]Water Demand'!#REF!</definedName>
    <definedName name="____LN18">'[1]Water Demand'!#REF!</definedName>
    <definedName name="____LN19">'[1]Water Demand'!#REF!</definedName>
    <definedName name="____LN2">'[1]Water Demand'!#REF!</definedName>
    <definedName name="____LN20">#REF!</definedName>
    <definedName name="____LN21">#REF!</definedName>
    <definedName name="____LN22">'[1]Water Demand'!#REF!</definedName>
    <definedName name="____LN23">'[1]Water Demand'!#REF!</definedName>
    <definedName name="____LN24">'[1]Water Demand'!#REF!</definedName>
    <definedName name="____LN25">'[1]Water Demand'!#REF!</definedName>
    <definedName name="____LN26">'[1]Water Demand'!#REF!</definedName>
    <definedName name="____LN27">'[1]Water Demand'!#REF!</definedName>
    <definedName name="____LN28">'[1]Water Demand'!#REF!</definedName>
    <definedName name="____LN29">'[1]Water Demand'!#REF!</definedName>
    <definedName name="____LN3">#REF!</definedName>
    <definedName name="____LN30">'[1]Water Demand'!#REF!</definedName>
    <definedName name="____LN31">#REF!</definedName>
    <definedName name="____LN32">#REF!</definedName>
    <definedName name="____LN33">#REF!</definedName>
    <definedName name="____LN34">#REF!</definedName>
    <definedName name="____LN35">#REF!</definedName>
    <definedName name="____LN36">#REF!</definedName>
    <definedName name="____LN37">#REF!</definedName>
    <definedName name="____LN38">#REF!</definedName>
    <definedName name="____LN39">#REF!</definedName>
    <definedName name="____LN4">#REF!</definedName>
    <definedName name="____LN40">#REF!</definedName>
    <definedName name="____LN41">#REF!</definedName>
    <definedName name="____LN42">#REF!</definedName>
    <definedName name="____LN43">#REF!</definedName>
    <definedName name="____LN44">#REF!</definedName>
    <definedName name="____LN45">#REF!</definedName>
    <definedName name="____LN46">#REF!</definedName>
    <definedName name="____LN47">#REF!</definedName>
    <definedName name="____LN48">#REF!</definedName>
    <definedName name="____LN49">#REF!</definedName>
    <definedName name="____LN5">#REF!</definedName>
    <definedName name="____LN50">#REF!</definedName>
    <definedName name="____LN6">#REF!</definedName>
    <definedName name="____LN7">#REF!</definedName>
    <definedName name="____LN8">#REF!</definedName>
    <definedName name="____LN9">'[1]Water Demand'!#REF!</definedName>
    <definedName name="____mb16">#REF!</definedName>
    <definedName name="____mh60">[20]MatCol!$K$102</definedName>
    <definedName name="____nHH1" hidden="1">'[21]Dmand 1'!$C$39</definedName>
    <definedName name="____nHH2" hidden="1">'[21]Dmand 2'!$C$60</definedName>
    <definedName name="____nHH3" hidden="1">'[21]Dmand 3'!$C$65</definedName>
    <definedName name="____nHH4" hidden="1">'[18]Dmand 4'!$C$20</definedName>
    <definedName name="____nHH6" hidden="1">'[18]Dmand 6'!$C$17</definedName>
    <definedName name="____nHH7" hidden="1">'[18]Dmand 7'!$C$37</definedName>
    <definedName name="____nHH8" hidden="1">'[18]Dmand 8'!$C$17</definedName>
    <definedName name="____pcc10">#REF!</definedName>
    <definedName name="____pcc15">#REF!</definedName>
    <definedName name="____ply3">#REF!</definedName>
    <definedName name="____ply4">#REF!</definedName>
    <definedName name="____ply6">#REF!</definedName>
    <definedName name="____PWt1" hidden="1">[25]PipeList!$G$118</definedName>
    <definedName name="____PWt10" hidden="1">[25]PipeList!$Y$118</definedName>
    <definedName name="____PWt11" hidden="1">[25]PipeList!$AA$118</definedName>
    <definedName name="____PWt12" hidden="1">[25]PipeList!$AC$118</definedName>
    <definedName name="____PWt13" hidden="1">[25]PipeList!$AE$118</definedName>
    <definedName name="____PWt14" hidden="1">[25]PipeList!$AG$118</definedName>
    <definedName name="____PWt15" hidden="1">[25]PipeList!$AI$118</definedName>
    <definedName name="____PWt16" hidden="1">[25]PipeList!$AK$118</definedName>
    <definedName name="____PWt17" hidden="1">[25]PipeList!$AM$118</definedName>
    <definedName name="____PWt18" hidden="1">[25]PipeList!$AO$118</definedName>
    <definedName name="____PWt19" hidden="1">[25]PipeList!$AQ$118</definedName>
    <definedName name="____PWt2" hidden="1">[25]PipeList!$I$118</definedName>
    <definedName name="____PWt20" hidden="1">[25]PipeList!$AS$118</definedName>
    <definedName name="____PWt21" hidden="1">[25]PipeList!$AU$118</definedName>
    <definedName name="____PWt22" hidden="1">[25]PipeList!$AW$118</definedName>
    <definedName name="____PWt23" hidden="1">[25]PipeList!$AY$118</definedName>
    <definedName name="____PWt24" hidden="1">[25]PipeList!$BA$118</definedName>
    <definedName name="____PWt25" hidden="1">[25]PipeList!$BC$118</definedName>
    <definedName name="____PWt26" hidden="1">[25]PipeList!$BE$118</definedName>
    <definedName name="____PWt27" hidden="1">[25]PipeList!$BG$118</definedName>
    <definedName name="____PWt3" hidden="1">[25]PipeList!$K$118</definedName>
    <definedName name="____PWt4" hidden="1">[25]PipeList!$M$118</definedName>
    <definedName name="____PWt5" hidden="1">[25]PipeList!$O$118</definedName>
    <definedName name="____PWt6" hidden="1">[25]PipeList!$Q$118</definedName>
    <definedName name="____PWt7" hidden="1">[25]PipeList!$S$118</definedName>
    <definedName name="____PWt8" hidden="1">[25]PipeList!$U$118</definedName>
    <definedName name="____PWt9" hidden="1">[25]PipeList!$W$118</definedName>
    <definedName name="____RCT10" hidden="1">[10]RCT!#REF!</definedName>
    <definedName name="____RCT100" hidden="1">[10]RCT!$K$380</definedName>
    <definedName name="____RCT200">[10]RCT!$K$98</definedName>
    <definedName name="____RCT25">[26]RCT!$K$99</definedName>
    <definedName name="____RCT50" hidden="1">[10]RCT!#REF!</definedName>
    <definedName name="____RCT75">[22]RCT!$K$97</definedName>
    <definedName name="____rDC1" hidden="1">[21]PipeDesign!$W$11:$W$64</definedName>
    <definedName name="____rDC2" hidden="1">[21]PipeDesign!$W$67:$W$160</definedName>
    <definedName name="____rDC3" hidden="1">[21]PipeDesign!$W$163:$W$268</definedName>
    <definedName name="____rDC4" hidden="1">[21]PipeDesign!$W$271:$W$279</definedName>
    <definedName name="____rPD1" hidden="1">#REF!</definedName>
    <definedName name="____rPL1">#REF!</definedName>
    <definedName name="____RSD1">'[8]Data-Table'!$D$26</definedName>
    <definedName name="____RSD2">'[8]Data-Table'!$D$27</definedName>
    <definedName name="____rTT2" hidden="1">#REF!</definedName>
    <definedName name="____RVT2" hidden="1">#REF!</definedName>
    <definedName name="____scr40">#REF!</definedName>
    <definedName name="____scr50">#REF!</definedName>
    <definedName name="____scr60">#REF!</definedName>
    <definedName name="____tb100">#REF!</definedName>
    <definedName name="____tb150" localSheetId="0">[17]Sheet1!$D$37</definedName>
    <definedName name="____tb150">#REF!</definedName>
    <definedName name="____tb300" localSheetId="0">[17]Sheet1!$D$36</definedName>
    <definedName name="____tb300">#REF!</definedName>
    <definedName name="____UCP1">[23]PipeList!#REF!</definedName>
    <definedName name="____WN18">'[28]Pop Density'!$H$21</definedName>
    <definedName name="____WN19">#N/A</definedName>
    <definedName name="____WN20">'[28]Pop Density'!$H$23</definedName>
    <definedName name="____WN21">'[28]Pop Density'!$H$24</definedName>
    <definedName name="____WN22">'[28]Pop Density'!$H$25</definedName>
    <definedName name="____WN3">'[28]Pop Density'!$H$6</definedName>
    <definedName name="____WN4">'[28]Pop Density'!$H$7</definedName>
    <definedName name="___agg10" localSheetId="0">[17]Sheet1!$D$23</definedName>
    <definedName name="___agg10">[20]MatCol!$K$157</definedName>
    <definedName name="___agg20">[20]MatCol!$K$151</definedName>
    <definedName name="___agg40" localSheetId="0">[17]Sheet1!$D$25</definedName>
    <definedName name="___agg40">[20]MatCol!$K$145</definedName>
    <definedName name="___BOQ1">[29]Rates!$G$42</definedName>
    <definedName name="___cgi24" localSheetId="0">'[17]update Rate'!$E$91</definedName>
    <definedName name="___cgi24">'[13]update Rate'!$E$92</definedName>
    <definedName name="___cgi26" localSheetId="0">'[17]update Rate'!$E$92</definedName>
    <definedName name="___cgi26">'[13]update Rate'!$E$94</definedName>
    <definedName name="___DPC124">#REF!</definedName>
    <definedName name="___DPC136">#REF!</definedName>
    <definedName name="___DPC148">#REF!</definedName>
    <definedName name="___fab111" localSheetId="0">'[31]Rate analysis'!#REF!</definedName>
    <definedName name="___fab111">#REF!</definedName>
    <definedName name="___fab211" localSheetId="0">'[31]Rate analysis'!#REF!</definedName>
    <definedName name="___fab211">#REF!</definedName>
    <definedName name="___fab311">#REF!</definedName>
    <definedName name="___FRT1">'[11]FRT 1'!$F$7</definedName>
    <definedName name="___FRT10">'[11]FRT 1'!$F$417</definedName>
    <definedName name="___FRT12">[20]FRT!#REF!</definedName>
    <definedName name="___FRT14" hidden="1">[10]FRT!$K$87</definedName>
    <definedName name="___FRT16">#REF!</definedName>
    <definedName name="___FRT18" hidden="1">[10]FRT!$K$87</definedName>
    <definedName name="___FRT2" hidden="1">[10]FRT!$K$87</definedName>
    <definedName name="___FRT20">[20]FRT!$K$87</definedName>
    <definedName name="___FRT3" hidden="1">[10]FRT!$K$169</definedName>
    <definedName name="___FRT4" hidden="1">[10]FRT!$K$87</definedName>
    <definedName name="___FRT5">[20]FRT!#REF!</definedName>
    <definedName name="___FRT6">'[11]FRT 1'!$F$253</definedName>
    <definedName name="___FRT7">'[11]FRT 1'!$F$335</definedName>
    <definedName name="___FRT8" hidden="1">[10]FRT!$K$333</definedName>
    <definedName name="___FRT9">#REF!</definedName>
    <definedName name="___GIP1">[23]PipeList!#REF!</definedName>
    <definedName name="___gls4">[17]Sheet1!$D$44</definedName>
    <definedName name="___HDP1">#REF!</definedName>
    <definedName name="___HDP2">#REF!</definedName>
    <definedName name="___isa406">[10]MatCol!$K$55</definedName>
    <definedName name="___J18000">#REF!</definedName>
    <definedName name="___LN1">'[1]Water Demand'!#REF!</definedName>
    <definedName name="___LN10">'[1]Water Demand'!#REF!</definedName>
    <definedName name="___LN11">'[1]Water Demand'!#REF!</definedName>
    <definedName name="___LN12">'[1]Water Demand'!#REF!</definedName>
    <definedName name="___LN13">'[1]Water Demand'!#REF!</definedName>
    <definedName name="___LN14">'[1]Water Demand'!#REF!</definedName>
    <definedName name="___LN15">'[1]Water Demand'!#REF!</definedName>
    <definedName name="___LN16">'[1]Water Demand'!#REF!</definedName>
    <definedName name="___LN17">'[1]Water Demand'!#REF!</definedName>
    <definedName name="___LN18">'[1]Water Demand'!#REF!</definedName>
    <definedName name="___LN19">'[1]Water Demand'!#REF!</definedName>
    <definedName name="___LN2">'[1]Water Demand'!#REF!</definedName>
    <definedName name="___LN20">#REF!</definedName>
    <definedName name="___LN21">#REF!</definedName>
    <definedName name="___LN22">'[1]Water Demand'!#REF!</definedName>
    <definedName name="___LN23">'[1]Water Demand'!#REF!</definedName>
    <definedName name="___LN24">'[1]Water Demand'!#REF!</definedName>
    <definedName name="___LN25">'[1]Water Demand'!#REF!</definedName>
    <definedName name="___LN26">'[1]Water Demand'!#REF!</definedName>
    <definedName name="___LN27">'[1]Water Demand'!#REF!</definedName>
    <definedName name="___LN28">'[1]Water Demand'!#REF!</definedName>
    <definedName name="___LN29">'[1]Water Demand'!#REF!</definedName>
    <definedName name="___LN3">#REF!</definedName>
    <definedName name="___LN30">'[1]Water Demand'!#REF!</definedName>
    <definedName name="___LN31">#REF!</definedName>
    <definedName name="___LN32">#REF!</definedName>
    <definedName name="___LN33">#REF!</definedName>
    <definedName name="___LN34">#REF!</definedName>
    <definedName name="___LN35">#REF!</definedName>
    <definedName name="___LN36">#REF!</definedName>
    <definedName name="___LN37">#REF!</definedName>
    <definedName name="___LN38">#REF!</definedName>
    <definedName name="___LN39">#REF!</definedName>
    <definedName name="___LN4">#REF!</definedName>
    <definedName name="___LN40">#REF!</definedName>
    <definedName name="___LN41">#REF!</definedName>
    <definedName name="___LN42">#REF!</definedName>
    <definedName name="___LN43">#REF!</definedName>
    <definedName name="___LN44">#REF!</definedName>
    <definedName name="___LN45">#REF!</definedName>
    <definedName name="___LN46">#REF!</definedName>
    <definedName name="___LN47">#REF!</definedName>
    <definedName name="___LN48">#REF!</definedName>
    <definedName name="___LN49">#REF!</definedName>
    <definedName name="___LN5">#REF!</definedName>
    <definedName name="___LN50">#REF!</definedName>
    <definedName name="___LN6">#REF!</definedName>
    <definedName name="___LN7">#REF!</definedName>
    <definedName name="___LN8">#REF!</definedName>
    <definedName name="___LN9">'[1]Water Demand'!#REF!</definedName>
    <definedName name="___MC3" hidden="1">#REF!</definedName>
    <definedName name="___mh60">[20]MatCol!$K$102</definedName>
    <definedName name="___nHH1" hidden="1">'[32]Dmand 1'!$C$106</definedName>
    <definedName name="___nHH2" hidden="1">'[21]Dmand 2'!$C$60</definedName>
    <definedName name="___nHH3" hidden="1">'[21]Dmand 3'!$C$65</definedName>
    <definedName name="___nHH4" hidden="1">'[18]Dmand 4'!$C$20</definedName>
    <definedName name="___nHH5" hidden="1">'[18]Dmand 5'!$C$25</definedName>
    <definedName name="___nHH7" hidden="1">'[18]Dmand 7'!$C$37</definedName>
    <definedName name="___nHH8" hidden="1">'[18]Dmand 8'!$C$17</definedName>
    <definedName name="___pcc10">#REF!</definedName>
    <definedName name="___pcc15">#REF!</definedName>
    <definedName name="___PWt1" hidden="1">[25]PipeList!$G$118</definedName>
    <definedName name="___PWt10" hidden="1">[25]PipeList!$Y$118</definedName>
    <definedName name="___PWt11" hidden="1">[25]PipeList!$AA$118</definedName>
    <definedName name="___PWt12" hidden="1">[25]PipeList!$AC$118</definedName>
    <definedName name="___PWt13" hidden="1">[25]PipeList!$AE$118</definedName>
    <definedName name="___PWt14" hidden="1">[25]PipeList!$AG$118</definedName>
    <definedName name="___PWt15" hidden="1">[25]PipeList!$AI$118</definedName>
    <definedName name="___PWt16" hidden="1">[25]PipeList!$AK$118</definedName>
    <definedName name="___PWt17" hidden="1">[25]PipeList!$AM$118</definedName>
    <definedName name="___PWt18" hidden="1">[25]PipeList!$AO$118</definedName>
    <definedName name="___PWt19" hidden="1">[25]PipeList!$AQ$118</definedName>
    <definedName name="___PWt2" hidden="1">[25]PipeList!$I$118</definedName>
    <definedName name="___PWt20" hidden="1">[25]PipeList!$AS$118</definedName>
    <definedName name="___PWt21" hidden="1">[25]PipeList!$AU$118</definedName>
    <definedName name="___PWt22" hidden="1">[25]PipeList!$AW$118</definedName>
    <definedName name="___PWt23" hidden="1">[25]PipeList!$AY$118</definedName>
    <definedName name="___PWt24" hidden="1">[25]PipeList!$BA$118</definedName>
    <definedName name="___PWt25" hidden="1">[25]PipeList!$BC$118</definedName>
    <definedName name="___PWt26" hidden="1">[25]PipeList!$BE$118</definedName>
    <definedName name="___PWt27" hidden="1">[25]PipeList!$BG$118</definedName>
    <definedName name="___PWt3" hidden="1">[25]PipeList!$K$118</definedName>
    <definedName name="___PWt4" hidden="1">[25]PipeList!$M$118</definedName>
    <definedName name="___PWt5" hidden="1">[25]PipeList!$O$118</definedName>
    <definedName name="___PWt6" hidden="1">[25]PipeList!$Q$118</definedName>
    <definedName name="___PWt7" hidden="1">[25]PipeList!$S$118</definedName>
    <definedName name="___PWt8" hidden="1">[25]PipeList!$U$118</definedName>
    <definedName name="___PWt9" hidden="1">[25]PipeList!$W$118</definedName>
    <definedName name="___RCT10" hidden="1">[10]RCT!#REF!</definedName>
    <definedName name="___RCT100" hidden="1">[10]RCT!$K$380</definedName>
    <definedName name="___RCT200">[10]RCT!$K$98</definedName>
    <definedName name="___RCT25">[26]RCT!$K$99</definedName>
    <definedName name="___RCT50" hidden="1">[10]RCT!#REF!</definedName>
    <definedName name="___RCT75">[22]RCT!$K$97</definedName>
    <definedName name="___rDC1" hidden="1">[21]PipeDesign!$W$11:$W$64</definedName>
    <definedName name="___rDC2" hidden="1">[21]PipeDesign!$W$67:$W$160</definedName>
    <definedName name="___rDC3" hidden="1">[21]PipeDesign!$W$163:$W$268</definedName>
    <definedName name="___rDC4" hidden="1">[21]PipeDesign!$W$271:$W$279</definedName>
    <definedName name="___rPD1" hidden="1">#REF!</definedName>
    <definedName name="___rPL1">#REF!</definedName>
    <definedName name="___RSD1">'[8]Data-Table'!$D$26</definedName>
    <definedName name="___RSD2">'[8]Data-Table'!$D$27</definedName>
    <definedName name="___rTT2" hidden="1">#REF!</definedName>
    <definedName name="___RVT2" hidden="1">#REF!</definedName>
    <definedName name="___tb150">[17]Sheet1!$D$37</definedName>
    <definedName name="___tb300">[17]Sheet1!$D$36</definedName>
    <definedName name="___UCP1">[23]PipeList!#REF!</definedName>
    <definedName name="___WN10">'[33]Pop Density'!$H$13</definedName>
    <definedName name="___WN11">'[33]Pop Density'!$H$14</definedName>
    <definedName name="___WN12">'[33]Pop Density'!$H$15</definedName>
    <definedName name="___WN13">'[33]Pop Density'!$H$16</definedName>
    <definedName name="___WN14">'[33]Pop Density'!$H$17</definedName>
    <definedName name="___WN15">'[33]Pop Density'!$H$18</definedName>
    <definedName name="___WN16">'[33]Pop Density'!$H$19</definedName>
    <definedName name="___WN17">'[33]Pop Density'!$H$20</definedName>
    <definedName name="___WN18">'[33]Pop Density'!$H$21</definedName>
    <definedName name="___WN19">#N/A</definedName>
    <definedName name="___WN2">'[33]Pop Density'!$H$5</definedName>
    <definedName name="___WN20">'[33]Pop Density'!$H$23</definedName>
    <definedName name="___WN21">'[33]Pop Density'!$H$24</definedName>
    <definedName name="___WN22">'[33]Pop Density'!$H$25</definedName>
    <definedName name="___WN3">'[33]Pop Density'!$H$6</definedName>
    <definedName name="___WN4">'[33]Pop Density'!$H$7</definedName>
    <definedName name="___WN5">'[33]Pop Density'!$H$8</definedName>
    <definedName name="___WN6">'[33]Pop Density'!$H$9</definedName>
    <definedName name="___WN7">'[33]Pop Density'!$H$10</definedName>
    <definedName name="___WN8">'[33]Pop Density'!$H$11</definedName>
    <definedName name="___WN9">'[33]Pop Density'!$H$12</definedName>
    <definedName name="__123Graph_A" hidden="1">'[34]Estimate Summary'!#REF!</definedName>
    <definedName name="__123Graph_B" hidden="1">'[34]Estimate Summary'!#REF!</definedName>
    <definedName name="__123Graph_C" hidden="1">'[34]Estimate Summary'!#REF!</definedName>
    <definedName name="__123Graph_D" hidden="1">'[34]Estimate Summary'!#REF!</definedName>
    <definedName name="__123Graph_E" hidden="1">'[34]Estimate Summary'!#REF!</definedName>
    <definedName name="__123Graph_X" hidden="1">'[34]Estimate Summary'!#REF!</definedName>
    <definedName name="__agg10" localSheetId="0">[17]Sheet1!$D$23</definedName>
    <definedName name="__agg10">[20]MatCol!$K$157</definedName>
    <definedName name="__agg20">[20]MatCol!$K$151</definedName>
    <definedName name="__agg40" localSheetId="0">[17]Sheet1!$D$25</definedName>
    <definedName name="__agg40">[20]MatCol!$K$145</definedName>
    <definedName name="__BOQ1">[29]Rates!$G$42</definedName>
    <definedName name="__cgi24" localSheetId="0">'[35]update Rate'!$E$91</definedName>
    <definedName name="__cgi24">'[13]update Rate'!$E$92</definedName>
    <definedName name="__cgi26" localSheetId="0">'[17]update Rate'!$E$92</definedName>
    <definedName name="__cgi26">'[13]update Rate'!$E$94</definedName>
    <definedName name="__DPC124">#REF!</definedName>
    <definedName name="__DPC136">#REF!</definedName>
    <definedName name="__DPC148">#REF!</definedName>
    <definedName name="__fab111" localSheetId="0">#REF!</definedName>
    <definedName name="__fab111">#REF!</definedName>
    <definedName name="__fab211" localSheetId="0">#REF!</definedName>
    <definedName name="__fab211">#REF!</definedName>
    <definedName name="__fab311" localSheetId="0">#REF!</definedName>
    <definedName name="__fab311">#REF!</definedName>
    <definedName name="__FRT1">'[11]FRT 1'!$F$7</definedName>
    <definedName name="__FRT10">'[11]FRT 1'!$F$417</definedName>
    <definedName name="__FRT12">[20]FRT!#REF!</definedName>
    <definedName name="__FRT14" hidden="1">[10]FRT!$K$87</definedName>
    <definedName name="__FRT16">#REF!</definedName>
    <definedName name="__FRT18" hidden="1">[10]FRT!$K$87</definedName>
    <definedName name="__FRT2" hidden="1">[10]FRT!$K$87</definedName>
    <definedName name="__FRT20">[20]FRT!$K$87</definedName>
    <definedName name="__FRT3" hidden="1">[10]FRT!$K$169</definedName>
    <definedName name="__FRT4" hidden="1">[10]FRT!$K$87</definedName>
    <definedName name="__FRT5">[20]FRT!#REF!</definedName>
    <definedName name="__FRT6">'[11]FRT 1'!$F$253</definedName>
    <definedName name="__FRT7">'[11]FRT 1'!$F$335</definedName>
    <definedName name="__FRT8" hidden="1">[10]FRT!$K$333</definedName>
    <definedName name="__FRT9">#REF!</definedName>
    <definedName name="__GIP1">[23]PipeList!#REF!</definedName>
    <definedName name="__gls4">[17]Sheet1!$D$44</definedName>
    <definedName name="__HDP1">#REF!</definedName>
    <definedName name="__HDP2">#REF!</definedName>
    <definedName name="__isa406">[10]MatCol!$K$55</definedName>
    <definedName name="__J18000">#REF!</definedName>
    <definedName name="__LN1" localSheetId="0">'[1]Water Demand'!#REF!</definedName>
    <definedName name="__LN1">'[1]Water Demand'!#REF!</definedName>
    <definedName name="__LN10" localSheetId="0">'[1]Water Demand'!#REF!</definedName>
    <definedName name="__LN10">'[1]Water Demand'!#REF!</definedName>
    <definedName name="__LN11" localSheetId="0">'[1]Water Demand'!#REF!</definedName>
    <definedName name="__LN11">'[1]Water Demand'!#REF!</definedName>
    <definedName name="__LN12" localSheetId="0">'[1]Water Demand'!#REF!</definedName>
    <definedName name="__LN12">'[1]Water Demand'!#REF!</definedName>
    <definedName name="__LN13" localSheetId="0">'[1]Water Demand'!#REF!</definedName>
    <definedName name="__LN13">'[1]Water Demand'!#REF!</definedName>
    <definedName name="__LN14" localSheetId="0">'[1]Water Demand'!#REF!</definedName>
    <definedName name="__LN14">'[1]Water Demand'!#REF!</definedName>
    <definedName name="__LN15" localSheetId="0">'[1]Water Demand'!#REF!</definedName>
    <definedName name="__LN15">'[1]Water Demand'!#REF!</definedName>
    <definedName name="__LN16" localSheetId="0">'[1]Water Demand'!#REF!</definedName>
    <definedName name="__LN16">'[1]Water Demand'!#REF!</definedName>
    <definedName name="__LN17" localSheetId="0">'[1]Water Demand'!#REF!</definedName>
    <definedName name="__LN17">'[1]Water Demand'!#REF!</definedName>
    <definedName name="__LN18" localSheetId="0">'[1]Water Demand'!#REF!</definedName>
    <definedName name="__LN18">'[1]Water Demand'!#REF!</definedName>
    <definedName name="__LN19" localSheetId="0">'[1]Water Demand'!#REF!</definedName>
    <definedName name="__LN19">'[1]Water Demand'!#REF!</definedName>
    <definedName name="__LN2" localSheetId="0">'[1]Water Demand'!#REF!</definedName>
    <definedName name="__LN2">'[1]Water Demand'!#REF!</definedName>
    <definedName name="__LN20" localSheetId="0">#REF!</definedName>
    <definedName name="__LN20">#REF!</definedName>
    <definedName name="__LN21" localSheetId="0">#REF!</definedName>
    <definedName name="__LN21">#REF!</definedName>
    <definedName name="__LN22" localSheetId="0">'[1]Water Demand'!#REF!</definedName>
    <definedName name="__LN22">'[1]Water Demand'!#REF!</definedName>
    <definedName name="__LN23" localSheetId="0">'[1]Water Demand'!#REF!</definedName>
    <definedName name="__LN23">'[1]Water Demand'!#REF!</definedName>
    <definedName name="__LN24" localSheetId="0">'[1]Water Demand'!#REF!</definedName>
    <definedName name="__LN24">'[1]Water Demand'!#REF!</definedName>
    <definedName name="__LN25" localSheetId="0">'[1]Water Demand'!#REF!</definedName>
    <definedName name="__LN25">'[1]Water Demand'!#REF!</definedName>
    <definedName name="__LN26" localSheetId="0">'[1]Water Demand'!#REF!</definedName>
    <definedName name="__LN26">'[1]Water Demand'!#REF!</definedName>
    <definedName name="__LN27" localSheetId="0">'[1]Water Demand'!#REF!</definedName>
    <definedName name="__LN27">'[1]Water Demand'!#REF!</definedName>
    <definedName name="__LN28" localSheetId="0">'[1]Water Demand'!#REF!</definedName>
    <definedName name="__LN28">'[1]Water Demand'!#REF!</definedName>
    <definedName name="__LN29" localSheetId="0">'[1]Water Demand'!#REF!</definedName>
    <definedName name="__LN29">'[1]Water Demand'!#REF!</definedName>
    <definedName name="__LN3" localSheetId="0">#REF!</definedName>
    <definedName name="__LN3">#REF!</definedName>
    <definedName name="__LN30" localSheetId="0">'[1]Water Demand'!#REF!</definedName>
    <definedName name="__LN30">'[1]Water Demand'!#REF!</definedName>
    <definedName name="__LN31" localSheetId="0">#REF!</definedName>
    <definedName name="__LN31">#REF!</definedName>
    <definedName name="__LN32" localSheetId="0">#REF!</definedName>
    <definedName name="__LN32">#REF!</definedName>
    <definedName name="__LN33" localSheetId="0">#REF!</definedName>
    <definedName name="__LN33">#REF!</definedName>
    <definedName name="__LN34" localSheetId="0">#REF!</definedName>
    <definedName name="__LN34">#REF!</definedName>
    <definedName name="__LN35" localSheetId="0">#REF!</definedName>
    <definedName name="__LN35">#REF!</definedName>
    <definedName name="__LN36" localSheetId="0">#REF!</definedName>
    <definedName name="__LN36">#REF!</definedName>
    <definedName name="__LN37" localSheetId="0">#REF!</definedName>
    <definedName name="__LN37">#REF!</definedName>
    <definedName name="__LN38" localSheetId="0">#REF!</definedName>
    <definedName name="__LN38">#REF!</definedName>
    <definedName name="__LN39" localSheetId="0">#REF!</definedName>
    <definedName name="__LN39">#REF!</definedName>
    <definedName name="__LN4" localSheetId="0">#REF!</definedName>
    <definedName name="__LN4">#REF!</definedName>
    <definedName name="__LN40" localSheetId="0">#REF!</definedName>
    <definedName name="__LN40">#REF!</definedName>
    <definedName name="__LN41" localSheetId="0">#REF!</definedName>
    <definedName name="__LN41">#REF!</definedName>
    <definedName name="__LN42" localSheetId="0">#REF!</definedName>
    <definedName name="__LN42">#REF!</definedName>
    <definedName name="__LN43" localSheetId="0">#REF!</definedName>
    <definedName name="__LN43">#REF!</definedName>
    <definedName name="__LN44" localSheetId="0">#REF!</definedName>
    <definedName name="__LN44">#REF!</definedName>
    <definedName name="__LN45" localSheetId="0">#REF!</definedName>
    <definedName name="__LN45">#REF!</definedName>
    <definedName name="__LN46" localSheetId="0">#REF!</definedName>
    <definedName name="__LN46">#REF!</definedName>
    <definedName name="__LN47" localSheetId="0">#REF!</definedName>
    <definedName name="__LN47">#REF!</definedName>
    <definedName name="__LN48" localSheetId="0">#REF!</definedName>
    <definedName name="__LN48">#REF!</definedName>
    <definedName name="__LN49" localSheetId="0">#REF!</definedName>
    <definedName name="__LN49">#REF!</definedName>
    <definedName name="__LN5" localSheetId="0">#REF!</definedName>
    <definedName name="__LN5">#REF!</definedName>
    <definedName name="__LN50" localSheetId="0">#REF!</definedName>
    <definedName name="__LN50">#REF!</definedName>
    <definedName name="__LN6" localSheetId="0">#REF!</definedName>
    <definedName name="__LN6">#REF!</definedName>
    <definedName name="__LN7" localSheetId="0">#REF!</definedName>
    <definedName name="__LN7">#REF!</definedName>
    <definedName name="__LN8" localSheetId="0">#REF!</definedName>
    <definedName name="__LN8">#REF!</definedName>
    <definedName name="__LN9" localSheetId="0">'[1]Water Demand'!#REF!</definedName>
    <definedName name="__LN9">'[1]Water Demand'!#REF!</definedName>
    <definedName name="__MC3" hidden="1">#REF!</definedName>
    <definedName name="__mh60">[20]MatCol!$K$102</definedName>
    <definedName name="__nHH1" hidden="1">'[21]Dmand 1'!$C$39</definedName>
    <definedName name="__nHH2" hidden="1">'[25]Dmand 2'!$C$25</definedName>
    <definedName name="__nHH3" hidden="1">'[21]Dmand 3'!$C$65</definedName>
    <definedName name="__nHH4" hidden="1">'[18]Dmand 4'!$C$20</definedName>
    <definedName name="__nHH5" hidden="1">'[18]Dmand 5'!$C$25</definedName>
    <definedName name="__nHH6" hidden="1">'[18]Dmand 6'!$C$17</definedName>
    <definedName name="__nHH8" hidden="1">'[18]Dmand 8'!$C$17</definedName>
    <definedName name="__pcc10">#REF!</definedName>
    <definedName name="__pcc15">#REF!</definedName>
    <definedName name="__PWt1" hidden="1">[25]PipeList!$G$118</definedName>
    <definedName name="__PWt10" hidden="1">[25]PipeList!$Y$118</definedName>
    <definedName name="__PWt11" hidden="1">[25]PipeList!$AA$118</definedName>
    <definedName name="__PWt12" hidden="1">[25]PipeList!$AC$118</definedName>
    <definedName name="__PWt13" hidden="1">[25]PipeList!$AE$118</definedName>
    <definedName name="__PWt14" hidden="1">[25]PipeList!$AG$118</definedName>
    <definedName name="__PWt15" hidden="1">[25]PipeList!$AI$118</definedName>
    <definedName name="__PWt16" hidden="1">[25]PipeList!$AK$118</definedName>
    <definedName name="__PWt17" hidden="1">[25]PipeList!$AM$118</definedName>
    <definedName name="__PWt18" hidden="1">[25]PipeList!$AO$118</definedName>
    <definedName name="__PWt19" hidden="1">[25]PipeList!$AQ$118</definedName>
    <definedName name="__PWt2" hidden="1">[25]PipeList!$I$118</definedName>
    <definedName name="__PWt20" hidden="1">[25]PipeList!$AS$118</definedName>
    <definedName name="__PWt21" hidden="1">[25]PipeList!$AU$118</definedName>
    <definedName name="__PWt22" hidden="1">[25]PipeList!$AW$118</definedName>
    <definedName name="__PWt23" hidden="1">[25]PipeList!$AY$118</definedName>
    <definedName name="__PWt24" hidden="1">[25]PipeList!$BA$118</definedName>
    <definedName name="__PWt25" hidden="1">[25]PipeList!$BC$118</definedName>
    <definedName name="__PWt26" hidden="1">[25]PipeList!$BE$118</definedName>
    <definedName name="__PWt27" hidden="1">[25]PipeList!$BG$118</definedName>
    <definedName name="__PWt3" hidden="1">[25]PipeList!$K$118</definedName>
    <definedName name="__PWt4" hidden="1">[25]PipeList!$M$118</definedName>
    <definedName name="__PWt5" hidden="1">[25]PipeList!$O$118</definedName>
    <definedName name="__PWt6" hidden="1">[25]PipeList!$Q$118</definedName>
    <definedName name="__PWt7" hidden="1">[25]PipeList!$S$118</definedName>
    <definedName name="__PWt8" hidden="1">[25]PipeList!$U$118</definedName>
    <definedName name="__PWt9" hidden="1">[25]PipeList!$W$118</definedName>
    <definedName name="__RCT10" hidden="1">[10]RCT!#REF!</definedName>
    <definedName name="__RCT100" hidden="1">[10]RCT!$K$380</definedName>
    <definedName name="__RCT200">[10]RCT!$K$98</definedName>
    <definedName name="__RCT25">[26]RCT!$K$99</definedName>
    <definedName name="__RCT50" hidden="1">[10]RCT!#REF!</definedName>
    <definedName name="__RCT75">[22]RCT!$K$97</definedName>
    <definedName name="__rDC1" hidden="1">[21]PipeDesign!$W$11:$W$64</definedName>
    <definedName name="__rDC2" hidden="1">[21]PipeDesign!$W$67:$W$160</definedName>
    <definedName name="__rDC3" hidden="1">[21]PipeDesign!$W$163:$W$268</definedName>
    <definedName name="__rDC4" hidden="1">[21]PipeDesign!$W$271:$W$279</definedName>
    <definedName name="__Re8">[17]DR!$D$35</definedName>
    <definedName name="__rPD1" hidden="1">#REF!</definedName>
    <definedName name="__rPL1">#REF!</definedName>
    <definedName name="__RSD1">'[8]Data-Table'!$D$26</definedName>
    <definedName name="__RSD2">'[8]Data-Table'!$D$27</definedName>
    <definedName name="__rTT2" hidden="1">#REF!</definedName>
    <definedName name="__RVT2" hidden="1">#REF!</definedName>
    <definedName name="__tb150">[17]Sheet1!$D$37</definedName>
    <definedName name="__tb300">[17]Sheet1!$D$36</definedName>
    <definedName name="__UCP1">[23]PipeList!#REF!</definedName>
    <definedName name="__WN11">'[27]Pop Density'!$H$14</definedName>
    <definedName name="__WN13">'[27]Pop Density'!$H$16</definedName>
    <definedName name="__WN15">'[27]Pop Density'!$H$18</definedName>
    <definedName name="__WN16">'[27]Pop Density'!$H$19</definedName>
    <definedName name="__WN17">'[27]Pop Density'!$H$20</definedName>
    <definedName name="__WN18">'[27]Pop Density'!$H$21</definedName>
    <definedName name="__WN19">#N/A</definedName>
    <definedName name="__WN20">'[28]Pop Density'!$H$23</definedName>
    <definedName name="__WN21">'[28]Pop Density'!$H$24</definedName>
    <definedName name="__WN22">'[28]Pop Density'!$H$25</definedName>
    <definedName name="__WN3">'[28]Pop Density'!$H$6</definedName>
    <definedName name="__WN4">'[28]Pop Density'!$H$7</definedName>
    <definedName name="__WN5">'[27]Pop Density'!$H$8</definedName>
    <definedName name="__WN6">'[27]Pop Density'!$H$9</definedName>
    <definedName name="__WN7">'[27]Pop Density'!$H$10</definedName>
    <definedName name="_1">#N/A</definedName>
    <definedName name="_1_.0Print_Titles">#REF!,#REF!</definedName>
    <definedName name="_1_hppump">#REF!</definedName>
    <definedName name="_10_ft">#REF!</definedName>
    <definedName name="_100_cip">#REF!</definedName>
    <definedName name="_100_pvcp">#REF!</definedName>
    <definedName name="_100cip">#REF!</definedName>
    <definedName name="_100cipb">#REF!</definedName>
    <definedName name="_10cuarm">#REF!</definedName>
    <definedName name="_10kg">#REF!</definedName>
    <definedName name="_10SWG">#REF!</definedName>
    <definedName name="_110_ft">#REF!</definedName>
    <definedName name="_110_hdpe">#REF!</definedName>
    <definedName name="_110_mft">#REF!</definedName>
    <definedName name="_110_pvc_45_b">#REF!</definedName>
    <definedName name="_110_pvcb">#REF!</definedName>
    <definedName name="_110_pvcco">#REF!</definedName>
    <definedName name="_110_pvcdg">#REF!</definedName>
    <definedName name="_110_pvcdt">#REF!</definedName>
    <definedName name="_110_pvcrws">#REF!</definedName>
    <definedName name="_110_pvcy">#REF!</definedName>
    <definedName name="_11SWG">#REF!</definedName>
    <definedName name="_12CRITE_IA11" localSheetId="0">#REF!</definedName>
    <definedName name="_12CRITE_IA11">#REF!</definedName>
    <definedName name="_12SWG">#REF!</definedName>
    <definedName name="_13SWG">#REF!</definedName>
    <definedName name="_14_.0Print_Titles">'[1]od-id'!$A$2:$IV$2,'[1]od-id'!#REF!</definedName>
    <definedName name="_15_av">#REF!</definedName>
    <definedName name="_15_bibcoc">#REF!</definedName>
    <definedName name="_15_mgip">#REF!</definedName>
    <definedName name="_15_pc">#REF!</definedName>
    <definedName name="_15_pcn">#REF!</definedName>
    <definedName name="_150_MM_KNOT_BO">#N/A</definedName>
    <definedName name="_150MM_KNOT_GAS">#N/A</definedName>
    <definedName name="_17CRITE_IA11">#REF!</definedName>
    <definedName name="_19_CRITE_IA11">#REF!</definedName>
    <definedName name="_1kg">#REF!</definedName>
    <definedName name="_1tnrcr">#REF!</definedName>
    <definedName name="_2_.0Print_Titles">'[1]od-id'!$A$2:$IV$2,'[1]od-id'!#REF!</definedName>
    <definedName name="_20_cpc">#REF!</definedName>
    <definedName name="_20_ggv">#REF!</definedName>
    <definedName name="_20_mgip">#REF!</definedName>
    <definedName name="_2001_ptnk">#REF!</definedName>
    <definedName name="_22_.0Print_Titles">'[1]od-id'!$A$2:$IV$2,'[1]od-id'!#REF!</definedName>
    <definedName name="_24_GUAGE_G.I._">#N/A</definedName>
    <definedName name="_25_ggv">#REF!</definedName>
    <definedName name="_25_mgip">#REF!</definedName>
    <definedName name="_2CRITE_IA11">#REF!</definedName>
    <definedName name="_2kg">#REF!</definedName>
    <definedName name="_3_.0Print_Titles">'[1]od-id'!$A$2:$IV$2,'[1]od-id'!#REF!</definedName>
    <definedName name="_32_bt">#REF!</definedName>
    <definedName name="_32_gcv">#REF!</definedName>
    <definedName name="_32_mgip">#REF!</definedName>
    <definedName name="_32_wco">#REF!</definedName>
    <definedName name="_35ht3">#REF!</definedName>
    <definedName name="_3mmMS" localSheetId="0">[16]Sheet1!$D$70</definedName>
    <definedName name="_3mmMS">#REF!</definedName>
    <definedName name="_4__.0Print_Titles">'[1]od-id'!$A$2:$IV$2,'[1]od-id'!#REF!</definedName>
    <definedName name="_40_cpb">#REF!</definedName>
    <definedName name="_40_ggv">#REF!</definedName>
    <definedName name="_40_mgip">#REF!</definedName>
    <definedName name="_42__.0Print_Titles">'[1]od-id'!$A$2:$IV$2,'[1]od-id'!#REF!</definedName>
    <definedName name="_43_CRITE_IA11">#REF!</definedName>
    <definedName name="_44CRITE_IA11">#REF!</definedName>
    <definedName name="_4CRITE_IA11">#REF!</definedName>
    <definedName name="_5_CRITE_IA11">#REF!</definedName>
    <definedName name="_5_lomrr">#REF!</definedName>
    <definedName name="_50cip">#REF!</definedName>
    <definedName name="_50cipb">#REF!</definedName>
    <definedName name="_5Kg">#REF!</definedName>
    <definedName name="_6_.0Print_Titles">'[1]od-id'!$A$2:$IV$2,'[1]od-id'!#REF!</definedName>
    <definedName name="_6CRITE_IA11">#REF!</definedName>
    <definedName name="_6cuarm">#REF!</definedName>
    <definedName name="_6Salvage">#REF!</definedName>
    <definedName name="_7_._Print_Titles" localSheetId="0">'[1]od-id'!$A$2:$IV$2,'[1]od-id'!#REF!</definedName>
    <definedName name="_7_._Print_Titles">'[1]od-id'!$A$2:$IV$2,'[1]od-id'!#REF!</definedName>
    <definedName name="_7_SALVAGE">#REF!</definedName>
    <definedName name="_75_hdpe">#REF!</definedName>
    <definedName name="_75_pvc_45_b">#REF!</definedName>
    <definedName name="_75_pvcb">#REF!</definedName>
    <definedName name="_75_pvcc">#REF!</definedName>
    <definedName name="_75_pvcco">#REF!</definedName>
    <definedName name="_75_pvcdb">#REF!</definedName>
    <definedName name="_75_pvcdt">#REF!</definedName>
    <definedName name="_75_pvcdy">#REF!</definedName>
    <definedName name="_75_pvcp">#REF!</definedName>
    <definedName name="_75_pvcy">#REF!</definedName>
    <definedName name="_75_pvcyc">#REF!</definedName>
    <definedName name="_75cip">#REF!</definedName>
    <definedName name="_75cipb">#REF!</definedName>
    <definedName name="_7Salvage">#REF!</definedName>
    <definedName name="_8_MM_DIA_NUT_B">#N/A</definedName>
    <definedName name="_9SWG">#REF!</definedName>
    <definedName name="_abs45">#REF!</definedName>
    <definedName name="_abs60">#REF!</definedName>
    <definedName name="_abs90">#REF!</definedName>
    <definedName name="_agg10" localSheetId="0">[36]Sheet1!$D$23</definedName>
    <definedName name="_agg10" hidden="1">[37]MatCol!$K$106</definedName>
    <definedName name="_agg20" hidden="1">[37]MatCol!$K$100</definedName>
    <definedName name="_agg40" localSheetId="0">[36]Sheet1!$D$25</definedName>
    <definedName name="_agg40" hidden="1">[37]MatCol!$K$94</definedName>
    <definedName name="_asdfgh" hidden="1">#REF!</definedName>
    <definedName name="_BOQ1">[29]Rates!$G$42</definedName>
    <definedName name="_C" localSheetId="0">#REF!</definedName>
    <definedName name="_c">#REF!</definedName>
    <definedName name="_cgi24" localSheetId="0">'[17]update Rate'!$E$92</definedName>
    <definedName name="_cgi24">'[13]update Rate'!$E$92</definedName>
    <definedName name="_cgi26" localSheetId="0">'[35]update Rate'!$E$92</definedName>
    <definedName name="_cgi26" hidden="1">[37]DRates!$K$34</definedName>
    <definedName name="_dia1">#REF!</definedName>
    <definedName name="_Dist_Bin" hidden="1">#REF!</definedName>
    <definedName name="_Dist_Values" hidden="1">#REF!</definedName>
    <definedName name="_DPC124" localSheetId="0">#REF!</definedName>
    <definedName name="_DPC124">#REF!</definedName>
    <definedName name="_DPC136" localSheetId="0">#REF!</definedName>
    <definedName name="_DPC136">#REF!</definedName>
    <definedName name="_DPC148" localSheetId="0">#REF!</definedName>
    <definedName name="_DPC148">#REF!</definedName>
    <definedName name="_est45">#REF!</definedName>
    <definedName name="_est60">#REF!</definedName>
    <definedName name="_est90">#REF!</definedName>
    <definedName name="_fab111" localSheetId="0">#REF!</definedName>
    <definedName name="_fab111">#REF!</definedName>
    <definedName name="_fab211" localSheetId="0">#REF!</definedName>
    <definedName name="_fab211">#REF!</definedName>
    <definedName name="_fab311" localSheetId="0">#REF!</definedName>
    <definedName name="_fab311">#REF!</definedName>
    <definedName name="_Fill" localSheetId="0" hidden="1">#REF!</definedName>
    <definedName name="_Fill" hidden="1">#REF!</definedName>
    <definedName name="_FRT1">'[11]FRT 1'!$F$7</definedName>
    <definedName name="_FRT10">'[11]FRT 1'!$F$417</definedName>
    <definedName name="_FRT12">[20]FRT!#REF!</definedName>
    <definedName name="_FRT14" hidden="1">[24]FRT!$K$87</definedName>
    <definedName name="_FRT16">#REF!</definedName>
    <definedName name="_FRT18" hidden="1">[10]FRT!$K$87</definedName>
    <definedName name="_FRT2" hidden="1">[10]FRT!$K$87</definedName>
    <definedName name="_FRT20">[20]FRT!$K$87</definedName>
    <definedName name="_FRT3" hidden="1">[10]FRT!$K$169</definedName>
    <definedName name="_FRT4" hidden="1">[10]FRT!$K$87</definedName>
    <definedName name="_FRT5">[20]FRT!#REF!</definedName>
    <definedName name="_FRT6">'[11]FRT 1'!$F$253</definedName>
    <definedName name="_FRT7">'[11]FRT 1'!$F$335</definedName>
    <definedName name="_FRT8" hidden="1">[10]FRT!$K$333</definedName>
    <definedName name="_FRT9">#REF!</definedName>
    <definedName name="_GIP1">[23]PipeList!#REF!</definedName>
    <definedName name="_gls4">[36]Sheet1!$D$44</definedName>
    <definedName name="_h" localSheetId="0">#REF!</definedName>
    <definedName name="_h">#REF!</definedName>
    <definedName name="_HDP1">#REF!</definedName>
    <definedName name="_HDP2">#REF!</definedName>
    <definedName name="_isa406">[10]MatCol!$K$55</definedName>
    <definedName name="_J18000">#REF!</definedName>
    <definedName name="_Key1" hidden="1">#REF!</definedName>
    <definedName name="_Key2" localSheetId="0" hidden="1">#REF!</definedName>
    <definedName name="_Key2" hidden="1">#REF!</definedName>
    <definedName name="_LN1" localSheetId="0">'[1]Water Demand'!#REF!</definedName>
    <definedName name="_LN1">'[1]Water Demand'!#REF!</definedName>
    <definedName name="_LN10" localSheetId="0">'[1]Water Demand'!#REF!</definedName>
    <definedName name="_LN10">'[1]Water Demand'!#REF!</definedName>
    <definedName name="_LN11" localSheetId="0">'[1]Water Demand'!#REF!</definedName>
    <definedName name="_LN11">'[1]Water Demand'!#REF!</definedName>
    <definedName name="_LN12" localSheetId="0">'[1]Water Demand'!#REF!</definedName>
    <definedName name="_LN12">'[1]Water Demand'!#REF!</definedName>
    <definedName name="_LN13" localSheetId="0">'[1]Water Demand'!#REF!</definedName>
    <definedName name="_LN13">'[1]Water Demand'!#REF!</definedName>
    <definedName name="_LN14" localSheetId="0">'[1]Water Demand'!#REF!</definedName>
    <definedName name="_LN14">'[1]Water Demand'!#REF!</definedName>
    <definedName name="_LN15" localSheetId="0">'[1]Water Demand'!#REF!</definedName>
    <definedName name="_LN15">'[1]Water Demand'!#REF!</definedName>
    <definedName name="_LN16" localSheetId="0">'[1]Water Demand'!#REF!</definedName>
    <definedName name="_LN16">'[1]Water Demand'!#REF!</definedName>
    <definedName name="_LN17" localSheetId="0">'[1]Water Demand'!#REF!</definedName>
    <definedName name="_LN17">'[1]Water Demand'!#REF!</definedName>
    <definedName name="_LN18" localSheetId="0">'[1]Water Demand'!#REF!</definedName>
    <definedName name="_LN18">'[1]Water Demand'!#REF!</definedName>
    <definedName name="_LN19" localSheetId="0">'[1]Water Demand'!#REF!</definedName>
    <definedName name="_LN19">'[1]Water Demand'!#REF!</definedName>
    <definedName name="_LN2" localSheetId="0">'[1]Water Demand'!#REF!</definedName>
    <definedName name="_LN2">'[1]Water Demand'!#REF!</definedName>
    <definedName name="_LN20" localSheetId="0">#REF!</definedName>
    <definedName name="_LN20">#REF!</definedName>
    <definedName name="_LN21" localSheetId="0">#REF!</definedName>
    <definedName name="_LN21">#REF!</definedName>
    <definedName name="_LN22" localSheetId="0">'[1]Water Demand'!#REF!</definedName>
    <definedName name="_LN22">'[1]Water Demand'!#REF!</definedName>
    <definedName name="_LN23" localSheetId="0">'[1]Water Demand'!#REF!</definedName>
    <definedName name="_LN23">'[1]Water Demand'!#REF!</definedName>
    <definedName name="_LN24" localSheetId="0">'[1]Water Demand'!#REF!</definedName>
    <definedName name="_LN24">'[1]Water Demand'!#REF!</definedName>
    <definedName name="_LN25" localSheetId="0">'[1]Water Demand'!#REF!</definedName>
    <definedName name="_LN25">'[1]Water Demand'!#REF!</definedName>
    <definedName name="_LN26" localSheetId="0">'[1]Water Demand'!#REF!</definedName>
    <definedName name="_LN26">'[1]Water Demand'!#REF!</definedName>
    <definedName name="_LN27" localSheetId="0">'[1]Water Demand'!#REF!</definedName>
    <definedName name="_LN27">'[1]Water Demand'!#REF!</definedName>
    <definedName name="_LN28" localSheetId="0">'[1]Water Demand'!#REF!</definedName>
    <definedName name="_LN28">'[1]Water Demand'!#REF!</definedName>
    <definedName name="_LN29" localSheetId="0">'[1]Water Demand'!#REF!</definedName>
    <definedName name="_LN29">'[1]Water Demand'!#REF!</definedName>
    <definedName name="_LN3" localSheetId="0">#REF!</definedName>
    <definedName name="_LN3">#REF!</definedName>
    <definedName name="_LN30" localSheetId="0">'[1]Water Demand'!#REF!</definedName>
    <definedName name="_LN30">'[1]Water Demand'!#REF!</definedName>
    <definedName name="_LN31" localSheetId="0">#REF!</definedName>
    <definedName name="_LN31">#REF!</definedName>
    <definedName name="_LN32" localSheetId="0">#REF!</definedName>
    <definedName name="_LN32">#REF!</definedName>
    <definedName name="_LN33" localSheetId="0">#REF!</definedName>
    <definedName name="_LN33">#REF!</definedName>
    <definedName name="_LN34" localSheetId="0">#REF!</definedName>
    <definedName name="_LN34">#REF!</definedName>
    <definedName name="_LN35" localSheetId="0">#REF!</definedName>
    <definedName name="_LN35">#REF!</definedName>
    <definedName name="_LN36" localSheetId="0">#REF!</definedName>
    <definedName name="_LN36">#REF!</definedName>
    <definedName name="_LN37" localSheetId="0">#REF!</definedName>
    <definedName name="_LN37">#REF!</definedName>
    <definedName name="_LN38" localSheetId="0">#REF!</definedName>
    <definedName name="_LN38">#REF!</definedName>
    <definedName name="_LN39" localSheetId="0">#REF!</definedName>
    <definedName name="_LN39">#REF!</definedName>
    <definedName name="_LN4" localSheetId="0">#REF!</definedName>
    <definedName name="_LN4">#REF!</definedName>
    <definedName name="_LN40" localSheetId="0">#REF!</definedName>
    <definedName name="_LN40">#REF!</definedName>
    <definedName name="_LN41" localSheetId="0">#REF!</definedName>
    <definedName name="_LN41">#REF!</definedName>
    <definedName name="_LN42" localSheetId="0">#REF!</definedName>
    <definedName name="_LN42">#REF!</definedName>
    <definedName name="_LN43" localSheetId="0">#REF!</definedName>
    <definedName name="_LN43">#REF!</definedName>
    <definedName name="_LN44" localSheetId="0">#REF!</definedName>
    <definedName name="_LN44">#REF!</definedName>
    <definedName name="_LN45" localSheetId="0">#REF!</definedName>
    <definedName name="_LN45">#REF!</definedName>
    <definedName name="_LN46" localSheetId="0">#REF!</definedName>
    <definedName name="_LN46">#REF!</definedName>
    <definedName name="_LN47" localSheetId="0">#REF!</definedName>
    <definedName name="_LN47">#REF!</definedName>
    <definedName name="_LN48" localSheetId="0">#REF!</definedName>
    <definedName name="_LN48">#REF!</definedName>
    <definedName name="_LN49" localSheetId="0">#REF!</definedName>
    <definedName name="_LN49">#REF!</definedName>
    <definedName name="_LN5" localSheetId="0">#REF!</definedName>
    <definedName name="_LN5">#REF!</definedName>
    <definedName name="_LN50" localSheetId="0">#REF!</definedName>
    <definedName name="_LN50">#REF!</definedName>
    <definedName name="_LN6" localSheetId="0">#REF!</definedName>
    <definedName name="_LN6">#REF!</definedName>
    <definedName name="_LN7" localSheetId="0">#REF!</definedName>
    <definedName name="_LN7">#REF!</definedName>
    <definedName name="_LN8" localSheetId="0">#REF!</definedName>
    <definedName name="_LN8">#REF!</definedName>
    <definedName name="_LN9" localSheetId="0">'[1]Water Demand'!#REF!</definedName>
    <definedName name="_LN9">'[1]Water Demand'!#REF!</definedName>
    <definedName name="_MC3" hidden="1">#REF!</definedName>
    <definedName name="_mh60" hidden="1">[37]DRates!$K$41</definedName>
    <definedName name="_nHH1" hidden="1">'[21]Dmand 1'!$C$39</definedName>
    <definedName name="_nHH2" hidden="1">'[21]Dmand 2'!$C$60</definedName>
    <definedName name="_nHH3" hidden="1">'[18]Dmand 3'!$C$19</definedName>
    <definedName name="_nHH4" hidden="1">'[18]Dmand 4'!$C$20</definedName>
    <definedName name="_nHH5" hidden="1">'[18]Dmand 5'!$C$25</definedName>
    <definedName name="_nHH6" hidden="1">'[18]Dmand 6'!$C$17</definedName>
    <definedName name="_nHH7" hidden="1">'[18]Dmand 7'!$C$37</definedName>
    <definedName name="_Order1" hidden="1">0</definedName>
    <definedName name="_Order2" hidden="1">0</definedName>
    <definedName name="_pcc10">#REF!</definedName>
    <definedName name="_pcc15">#REF!</definedName>
    <definedName name="_PWt1" hidden="1">[25]PipeList!$G$118</definedName>
    <definedName name="_PWt10" hidden="1">[25]PipeList!$Y$118</definedName>
    <definedName name="_PWt11" hidden="1">[25]PipeList!$AA$118</definedName>
    <definedName name="_PWt12" hidden="1">[25]PipeList!$AC$118</definedName>
    <definedName name="_PWt13" hidden="1">[25]PipeList!$AE$118</definedName>
    <definedName name="_PWt14" hidden="1">[25]PipeList!$AG$118</definedName>
    <definedName name="_PWt15" hidden="1">[25]PipeList!$AI$118</definedName>
    <definedName name="_PWt16" hidden="1">[25]PipeList!$AK$118</definedName>
    <definedName name="_PWt17" hidden="1">[25]PipeList!$AM$118</definedName>
    <definedName name="_PWt18" hidden="1">[25]PipeList!$AO$118</definedName>
    <definedName name="_PWt19" hidden="1">[25]PipeList!$AQ$118</definedName>
    <definedName name="_PWt2" hidden="1">[25]PipeList!$I$118</definedName>
    <definedName name="_PWt20" hidden="1">[25]PipeList!$AS$118</definedName>
    <definedName name="_PWt21" hidden="1">[25]PipeList!$AU$118</definedName>
    <definedName name="_PWt22" hidden="1">[25]PipeList!$AW$118</definedName>
    <definedName name="_PWt23" hidden="1">[25]PipeList!$AY$118</definedName>
    <definedName name="_PWt24" hidden="1">[25]PipeList!$BA$118</definedName>
    <definedName name="_PWt25" hidden="1">[25]PipeList!$BC$118</definedName>
    <definedName name="_PWt26" hidden="1">[25]PipeList!$BE$118</definedName>
    <definedName name="_PWt27" hidden="1">[25]PipeList!$BG$118</definedName>
    <definedName name="_PWt3" hidden="1">[25]PipeList!$K$118</definedName>
    <definedName name="_PWt4" hidden="1">[25]PipeList!$M$118</definedName>
    <definedName name="_PWt5" hidden="1">[25]PipeList!$O$118</definedName>
    <definedName name="_PWt6" hidden="1">[25]PipeList!$Q$118</definedName>
    <definedName name="_PWt7" hidden="1">[25]PipeList!$S$118</definedName>
    <definedName name="_PWt8" hidden="1">[25]PipeList!$U$118</definedName>
    <definedName name="_PWt9" hidden="1">[25]PipeList!$W$118</definedName>
    <definedName name="_RCT10" hidden="1">[10]RCT!#REF!</definedName>
    <definedName name="_RCT100" hidden="1">[10]RCT!$K$380</definedName>
    <definedName name="_RCT200">[10]RCT!$K$98</definedName>
    <definedName name="_RCT25">[26]RCT!$K$99</definedName>
    <definedName name="_RCT50" hidden="1">[10]RCT!#REF!</definedName>
    <definedName name="_RCT75">[22]RCT!$K$97</definedName>
    <definedName name="_rDC1" hidden="1">[21]PipeDesign!$W$11:$W$64</definedName>
    <definedName name="_rDC2" hidden="1">[21]PipeDesign!$W$67:$W$160</definedName>
    <definedName name="_rDC3" hidden="1">[21]PipeDesign!$W$163:$W$268</definedName>
    <definedName name="_rDC4" hidden="1">[21]PipeDesign!$W$271:$W$279</definedName>
    <definedName name="_Re8">[17]DR!$D$35</definedName>
    <definedName name="_Regression_Out" hidden="1">#REF!</definedName>
    <definedName name="_Regression_X" hidden="1">#REF!</definedName>
    <definedName name="_Regression_Y" hidden="1">#REF!</definedName>
    <definedName name="_rPD1" hidden="1">#REF!</definedName>
    <definedName name="_rPD2" hidden="1">'[38]DesignPumping Main'!#REF!</definedName>
    <definedName name="_rPD3" hidden="1">'[38]DesignPumping Main'!#REF!</definedName>
    <definedName name="_rPD4" hidden="1">'[38]DesignPumping Main'!#REF!</definedName>
    <definedName name="_rPL1">#REF!</definedName>
    <definedName name="_RSD1">'[39]Data-Table'!$D$26</definedName>
    <definedName name="_RSD2">'[39]Data-Table'!$D$27</definedName>
    <definedName name="_rTT2" hidden="1">#REF!</definedName>
    <definedName name="_RVT2" hidden="1">#REF!</definedName>
    <definedName name="_Sort" localSheetId="0" hidden="1">#REF!</definedName>
    <definedName name="_Sort" hidden="1">#REF!</definedName>
    <definedName name="_tb150">[36]Sheet1!$D$37</definedName>
    <definedName name="_tb300">[36]Sheet1!$D$36</definedName>
    <definedName name="_UCP1">[23]PipeList!#REF!</definedName>
    <definedName name="A" localSheetId="0">#REF!</definedName>
    <definedName name="A">#REF!</definedName>
    <definedName name="A_1">'[40]Slab span-thickness table'!$A$14:$D$19</definedName>
    <definedName name="a_15_1" localSheetId="0">#REF!</definedName>
    <definedName name="a_15_1">#REF!</definedName>
    <definedName name="a_15_2" localSheetId="0">#REF!</definedName>
    <definedName name="a_15_2">#REF!</definedName>
    <definedName name="a_15_3" localSheetId="0">#REF!</definedName>
    <definedName name="a_15_3">#REF!</definedName>
    <definedName name="a_15_4" localSheetId="0">#REF!</definedName>
    <definedName name="a_15_4">#REF!</definedName>
    <definedName name="a_15_5" localSheetId="0">#REF!</definedName>
    <definedName name="a_15_5">#REF!</definedName>
    <definedName name="A_2">'[40]Slab span-thickness table'!$E$14:$H$19</definedName>
    <definedName name="A_3">'[40]Slab span-thickness table'!$I$14:$L$19</definedName>
    <definedName name="a_sani">#REF!</definedName>
    <definedName name="a10_1" localSheetId="0">#REF!</definedName>
    <definedName name="a10_1">#REF!</definedName>
    <definedName name="a10_2" localSheetId="0">#REF!</definedName>
    <definedName name="a10_2">#REF!</definedName>
    <definedName name="a10_3" localSheetId="0">#REF!</definedName>
    <definedName name="a10_3">#REF!</definedName>
    <definedName name="a10_4" localSheetId="0">#REF!</definedName>
    <definedName name="a10_4">#REF!</definedName>
    <definedName name="a10_5" localSheetId="0">#REF!</definedName>
    <definedName name="a10_5">#REF!</definedName>
    <definedName name="a11_1" localSheetId="0">#REF!</definedName>
    <definedName name="a11_1">#REF!</definedName>
    <definedName name="a11_2" localSheetId="0">#REF!</definedName>
    <definedName name="a11_2">#REF!</definedName>
    <definedName name="a11_3" localSheetId="0">#REF!</definedName>
    <definedName name="a11_3">#REF!</definedName>
    <definedName name="a11_4" localSheetId="0">#REF!</definedName>
    <definedName name="a11_4">#REF!</definedName>
    <definedName name="a11_5" localSheetId="0">#REF!</definedName>
    <definedName name="a11_5">#REF!</definedName>
    <definedName name="a12_1" localSheetId="0">#REF!</definedName>
    <definedName name="a12_1">#REF!</definedName>
    <definedName name="a12_2" localSheetId="0">#REF!</definedName>
    <definedName name="a12_2">#REF!</definedName>
    <definedName name="a12_3" localSheetId="0">#REF!</definedName>
    <definedName name="a12_3">#REF!</definedName>
    <definedName name="a12_4" localSheetId="0">#REF!</definedName>
    <definedName name="a12_4">#REF!</definedName>
    <definedName name="a12_5" localSheetId="0">#REF!</definedName>
    <definedName name="a12_5">#REF!</definedName>
    <definedName name="a12_6" localSheetId="0">#REF!</definedName>
    <definedName name="a12_6">#REF!</definedName>
    <definedName name="a12_7" localSheetId="0">#REF!</definedName>
    <definedName name="a12_7">#REF!</definedName>
    <definedName name="a12_8" localSheetId="0">#REF!</definedName>
    <definedName name="a12_8">#REF!</definedName>
    <definedName name="a12_9" localSheetId="0">#REF!</definedName>
    <definedName name="a12_9">#REF!</definedName>
    <definedName name="a13_1" localSheetId="0">#REF!</definedName>
    <definedName name="a13_1">#REF!</definedName>
    <definedName name="a13_2" localSheetId="0">#REF!</definedName>
    <definedName name="a13_2">#REF!</definedName>
    <definedName name="a14_" localSheetId="0">#REF!</definedName>
    <definedName name="a14_">#REF!</definedName>
    <definedName name="a15_" localSheetId="0">#REF!</definedName>
    <definedName name="a15_">#REF!</definedName>
    <definedName name="A3000A">[41]Hydrology!$G$9</definedName>
    <definedName name="a6_1_1" localSheetId="0">#REF!</definedName>
    <definedName name="a6_1_1">#REF!</definedName>
    <definedName name="a6_1_2" localSheetId="0">#REF!</definedName>
    <definedName name="a6_1_2">#REF!</definedName>
    <definedName name="a6_1_3" localSheetId="0">#REF!</definedName>
    <definedName name="a6_1_3">#REF!</definedName>
    <definedName name="a6_2_1" localSheetId="0">#REF!</definedName>
    <definedName name="a6_2_1">#REF!</definedName>
    <definedName name="a6_2_2" localSheetId="0">#REF!</definedName>
    <definedName name="a6_2_2">#REF!</definedName>
    <definedName name="a6_2_3" localSheetId="0">#REF!</definedName>
    <definedName name="a6_2_3">#REF!</definedName>
    <definedName name="a6_3_1" localSheetId="0">#REF!</definedName>
    <definedName name="a6_3_1">#REF!</definedName>
    <definedName name="a6_3_2" localSheetId="0">#REF!</definedName>
    <definedName name="a6_3_2">#REF!</definedName>
    <definedName name="a6_3_3" localSheetId="0">#REF!</definedName>
    <definedName name="a6_3_3">#REF!</definedName>
    <definedName name="a6_4_1" localSheetId="0">#REF!</definedName>
    <definedName name="a6_4_1">#REF!</definedName>
    <definedName name="a6_4_10" localSheetId="0">#REF!</definedName>
    <definedName name="a6_4_10">#REF!</definedName>
    <definedName name="a6_4_11" localSheetId="0">#REF!</definedName>
    <definedName name="a6_4_11">#REF!</definedName>
    <definedName name="a6_4_12" localSheetId="0">#REF!</definedName>
    <definedName name="a6_4_12">#REF!</definedName>
    <definedName name="a6_4_2" localSheetId="0">#REF!</definedName>
    <definedName name="a6_4_2">#REF!</definedName>
    <definedName name="a6_4_3" localSheetId="0">#REF!</definedName>
    <definedName name="a6_4_3">#REF!</definedName>
    <definedName name="a6_4_4" localSheetId="0">#REF!</definedName>
    <definedName name="a6_4_4">#REF!</definedName>
    <definedName name="a6_4_5" localSheetId="0">#REF!</definedName>
    <definedName name="a6_4_5">#REF!</definedName>
    <definedName name="a6_4_6" localSheetId="0">#REF!</definedName>
    <definedName name="a6_4_6">#REF!</definedName>
    <definedName name="a6_4_7" localSheetId="0">#REF!</definedName>
    <definedName name="a6_4_7">#REF!</definedName>
    <definedName name="a6_4_8" localSheetId="0">#REF!</definedName>
    <definedName name="a6_4_8">#REF!</definedName>
    <definedName name="a6_4_9" localSheetId="0">#REF!</definedName>
    <definedName name="a6_4_9">#REF!</definedName>
    <definedName name="a6_rock" localSheetId="0">#REF!</definedName>
    <definedName name="a6_rock">#REF!</definedName>
    <definedName name="a7_1" localSheetId="0">#REF!</definedName>
    <definedName name="a7_1">#REF!</definedName>
    <definedName name="a7_2" localSheetId="0">#REF!</definedName>
    <definedName name="a7_2">#REF!</definedName>
    <definedName name="a7_3" localSheetId="0">#REF!</definedName>
    <definedName name="a7_3">#REF!</definedName>
    <definedName name="a8_1" localSheetId="0">#REF!</definedName>
    <definedName name="a8_1">#REF!</definedName>
    <definedName name="a8_2" localSheetId="0">#REF!</definedName>
    <definedName name="a8_2">#REF!</definedName>
    <definedName name="a8_3" localSheetId="0">#REF!</definedName>
    <definedName name="a8_3">#REF!</definedName>
    <definedName name="a9_1" localSheetId="0">#REF!</definedName>
    <definedName name="a9_1">#REF!</definedName>
    <definedName name="a9_2" localSheetId="0">#REF!</definedName>
    <definedName name="a9_2">#REF!</definedName>
    <definedName name="a9_3" localSheetId="0">#REF!</definedName>
    <definedName name="a9_3">#REF!</definedName>
    <definedName name="a9_4" localSheetId="0">#REF!</definedName>
    <definedName name="a9_4">#REF!</definedName>
    <definedName name="a9_5" localSheetId="0">#REF!</definedName>
    <definedName name="a9_5">#REF!</definedName>
    <definedName name="aaa" hidden="1">#REF!</definedName>
    <definedName name="aaaaaa">[42]Rate!#REF!</definedName>
    <definedName name="aaaaaaaaaaaaaaaa">#REF!</definedName>
    <definedName name="ab">'[43]Basic Rate'!#REF!</definedName>
    <definedName name="abc">[44]Rates!$D$5</definedName>
    <definedName name="abs">#REF!</definedName>
    <definedName name="absdrain">#REF!</definedName>
    <definedName name="absearth">#REF!</definedName>
    <definedName name="absretain">#REF!</definedName>
    <definedName name="Acell">#REF!</definedName>
    <definedName name="AE10_">#REF!</definedName>
    <definedName name="AE20_">#REF!</definedName>
    <definedName name="AE40_">#REF!</definedName>
    <definedName name="AE5_">#REF!</definedName>
    <definedName name="AE6_">#REF!</definedName>
    <definedName name="AE75_">#REF!</definedName>
    <definedName name="ag_10_20">[45]Rates!$G$25</definedName>
    <definedName name="ag_20_40">[45]Rates!$G$24</definedName>
    <definedName name="ag_5_10">[45]Rates!$G$26</definedName>
    <definedName name="agg">'[17] 24 kaski D.Rate'!$G$30</definedName>
    <definedName name="Agg_10" localSheetId="0">'[46]Material cost'!$J$73</definedName>
    <definedName name="agg_10">#REF!</definedName>
    <definedName name="Agg_10_cum_M">[47]Transport_Cost_F!$D$40</definedName>
    <definedName name="Agg_10mm" localSheetId="0">'[48]Rate analysis'!#REF!</definedName>
    <definedName name="Agg_10mm">'[49]Rate analysis'!#REF!</definedName>
    <definedName name="agg_20" localSheetId="0">'[46]Material cost'!$J$72</definedName>
    <definedName name="agg_20">#REF!</definedName>
    <definedName name="AGG_20_cum_M">[50]Transport_Cost_F!$D$43</definedName>
    <definedName name="agg_2040_c">#REF!</definedName>
    <definedName name="Agg_20mm" localSheetId="0">'[48]Rate analysis'!#REF!</definedName>
    <definedName name="Agg_20mm">'[49]Rate analysis'!#REF!</definedName>
    <definedName name="agg_40" localSheetId="0">'[46]Material cost'!$J$71</definedName>
    <definedName name="agg_40">#REF!</definedName>
    <definedName name="AGG_40_cum_M">[50]Transport_Cost_F!$D$44</definedName>
    <definedName name="Agg_40mm" localSheetId="0">'[48]Rate analysis'!#REF!</definedName>
    <definedName name="Agg_40mm">'[49]Rate analysis'!#REF!</definedName>
    <definedName name="agg_70">#REF!</definedName>
    <definedName name="Agg_Premix">#REF!</definedName>
    <definedName name="agg10to20">'[51]dist rate material'!$D$18</definedName>
    <definedName name="agg20to40">'[51]dist rate material'!$D$17</definedName>
    <definedName name="agg6to10">'[51]dist rate material'!$D$19</definedName>
    <definedName name="aggotta">#REF!</definedName>
    <definedName name="aggotta1">'[17] 24 kaski D.Rate'!$G$31</definedName>
    <definedName name="aggregate" localSheetId="0">[31]rate!$D$83</definedName>
    <definedName name="aggregate">[52]Rate!#REF!</definedName>
    <definedName name="aggregate10_20" localSheetId="0">'[53]mat. rate'!$H$71</definedName>
    <definedName name="aggregate10_20">'[54]material rate'!$H$82</definedName>
    <definedName name="aggregate10down" localSheetId="0">'[53]mat. rate'!$H$72</definedName>
    <definedName name="aggregate10down">'[54]material rate'!$H$83</definedName>
    <definedName name="aggregate20_40">'[53]mat. rate'!$H$70</definedName>
    <definedName name="aggregate40_70">#REF!</definedName>
    <definedName name="aggregate70_100">#REF!</definedName>
    <definedName name="aggspreader">[31]rate!$M$38</definedName>
    <definedName name="air">'[17] 24 kaski D.Rate'!$G$70</definedName>
    <definedName name="air_compressor">[45]Rates!$D$62</definedName>
    <definedName name="aircompresser">'[51]district rate equp'!$D$19</definedName>
    <definedName name="aircompressor">[31]rate!$M$36</definedName>
    <definedName name="Airlift" hidden="1">[10]MatCol!$T$85</definedName>
    <definedName name="alarm">#REF!</definedName>
    <definedName name="ana">#REF!</definedName>
    <definedName name="Angle_50_50_m_M">[47]Transport_Cost_F!$D$56</definedName>
    <definedName name="anscount">1</definedName>
    <definedName name="Anti_stripping_agent">[50]Transport_Cost_F!$D$74</definedName>
    <definedName name="asc">[55]INPUT!$D$2</definedName>
    <definedName name="asd" hidden="1">#REF!</definedName>
    <definedName name="Asphalt_Mix">'[56]Equipment Rates'!$D$36</definedName>
    <definedName name="Asphalt_mixer">[45]Rates!$D$64</definedName>
    <definedName name="Asphalt_paver" localSheetId="0">[45]Rates!$D$63</definedName>
    <definedName name="Asphalt_Paver">'[56]Equipment Rates'!$D$37</definedName>
    <definedName name="Asphalt_plant">#REF!</definedName>
    <definedName name="asphaltmixer">#REF!</definedName>
    <definedName name="asphaltpaver" localSheetId="0">'[53]mat. rate'!$F$119</definedName>
    <definedName name="asphaltpaver">'[51]district rate equp'!$D$22</definedName>
    <definedName name="asphaltplant" localSheetId="0">'[53]mat. rate'!$F$117</definedName>
    <definedName name="asphaltplant">'[51]district rate equp'!$D$20</definedName>
    <definedName name="ASTER">#N/A</definedName>
    <definedName name="av">#REF!</definedName>
    <definedName name="AV_15" localSheetId="0">#REF!</definedName>
    <definedName name="AV_15">#REF!</definedName>
    <definedName name="AV_2" localSheetId="0">#REF!</definedName>
    <definedName name="AV_2">#REF!</definedName>
    <definedName name="AV_20" localSheetId="0">#REF!</definedName>
    <definedName name="AV_20">#REF!</definedName>
    <definedName name="AVC" localSheetId="0">#REF!</definedName>
    <definedName name="AVC">#REF!</definedName>
    <definedName name="awood" localSheetId="0">'[15]update Rate'!$E$53</definedName>
    <definedName name="awood">'[13]update Rate'!$E$53</definedName>
    <definedName name="b" localSheetId="0">#REF!</definedName>
    <definedName name="b">#REF!</definedName>
    <definedName name="B.Distributer">'[47]Equipment Rates'!$D$26</definedName>
    <definedName name="B_B">'[40]Slab span-thickness table'!$A$37:$M$42</definedName>
    <definedName name="b_stone">#REF!</definedName>
    <definedName name="b_wire">#REF!</definedName>
    <definedName name="b1_" localSheetId="0">#REF!</definedName>
    <definedName name="b1_">#REF!</definedName>
    <definedName name="b2_" localSheetId="0">#REF!</definedName>
    <definedName name="b2_">#REF!</definedName>
    <definedName name="b3_1_1" localSheetId="0">#REF!</definedName>
    <definedName name="b3_1_1">#REF!</definedName>
    <definedName name="b3_1_2" localSheetId="0">#REF!</definedName>
    <definedName name="b3_1_2">#REF!</definedName>
    <definedName name="b3_1_3" localSheetId="0">#REF!</definedName>
    <definedName name="b3_1_3">#REF!</definedName>
    <definedName name="b3_2_1" localSheetId="0">#REF!</definedName>
    <definedName name="b3_2_1">#REF!</definedName>
    <definedName name="b3_2_2" localSheetId="0">#REF!</definedName>
    <definedName name="b3_2_2">#REF!</definedName>
    <definedName name="b3_2_3" localSheetId="0">#REF!</definedName>
    <definedName name="b3_2_3">#REF!</definedName>
    <definedName name="b3_3_1" localSheetId="0">#REF!</definedName>
    <definedName name="b3_3_1">#REF!</definedName>
    <definedName name="b3_3_2" localSheetId="0">#REF!</definedName>
    <definedName name="b3_3_2">#REF!</definedName>
    <definedName name="b3_3_3" localSheetId="0">#REF!</definedName>
    <definedName name="b3_3_3">#REF!</definedName>
    <definedName name="b4_1_1" localSheetId="0">#REF!</definedName>
    <definedName name="b4_1_1">#REF!</definedName>
    <definedName name="b4_1_2" localSheetId="0">#REF!</definedName>
    <definedName name="b4_1_2">#REF!</definedName>
    <definedName name="b4_1_3" localSheetId="0">#REF!</definedName>
    <definedName name="b4_1_3">#REF!</definedName>
    <definedName name="b4_2_1" localSheetId="0">#REF!</definedName>
    <definedName name="b4_2_1">#REF!</definedName>
    <definedName name="b4_2_2" localSheetId="0">#REF!</definedName>
    <definedName name="b4_2_2">#REF!</definedName>
    <definedName name="b4_2_3" localSheetId="0">#REF!</definedName>
    <definedName name="b4_2_3">#REF!</definedName>
    <definedName name="b4_3_1" localSheetId="0">#REF!</definedName>
    <definedName name="b4_3_1">#REF!</definedName>
    <definedName name="b4_3_2" localSheetId="0">#REF!</definedName>
    <definedName name="b4_3_2">#REF!</definedName>
    <definedName name="b4_3_3" localSheetId="0">#REF!</definedName>
    <definedName name="b4_3_3">#REF!</definedName>
    <definedName name="Baba">#REF!</definedName>
    <definedName name="balcoc">#REF!</definedName>
    <definedName name="bamb" hidden="1">[37]DRates!$K$47</definedName>
    <definedName name="Bambo">#REF!</definedName>
    <definedName name="Bamboo" localSheetId="0">'[48]Rate analysis'!#REF!</definedName>
    <definedName name="bamboo" hidden="1">[10]MatCol!$U$60</definedName>
    <definedName name="bar_dia_weight" localSheetId="0">#REF!</definedName>
    <definedName name="bar_dia_weight">#REF!</definedName>
    <definedName name="barb" hidden="1">[37]DRates!$K$36</definedName>
    <definedName name="Barbed" hidden="1">[10]MatCol!$U$34</definedName>
    <definedName name="Barl" hidden="1">[37]DRates!$K$28</definedName>
    <definedName name="Bars" hidden="1">[37]DRates!$K$27</definedName>
    <definedName name="barwire">#REF!</definedName>
    <definedName name="base">'[51]dist rate material'!$D$11</definedName>
    <definedName name="baseagg" localSheetId="0">'[43]Basic Rate'!#REF!</definedName>
    <definedName name="baseagg">[52]Rate!#REF!</definedName>
    <definedName name="batton">#REF!</definedName>
    <definedName name="BBD">'[8]Data-Table'!$D$15</definedName>
    <definedName name="BBW">'[8]Data-Table'!$D$14</definedName>
    <definedName name="bcrd">#REF!</definedName>
    <definedName name="bcssd10">#REF!</definedName>
    <definedName name="BDC" localSheetId="0">#REF!</definedName>
    <definedName name="BDC">#REF!</definedName>
    <definedName name="BDist">'[57]M-RATE'!$J$157</definedName>
    <definedName name="bdistributor">'[43]Basic Rate'!#REF!</definedName>
    <definedName name="bdstone">#REF!</definedName>
    <definedName name="bearing">#REF!</definedName>
    <definedName name="bearingpad">'[53]mat. rate'!$H$64</definedName>
    <definedName name="BedCros" hidden="1">[25]FitData!$BC$11</definedName>
    <definedName name="BEG">#N/A</definedName>
    <definedName name="beso">#REF!</definedName>
    <definedName name="BF" localSheetId="0">#REF!</definedName>
    <definedName name="BF">#REF!</definedName>
    <definedName name="BF_100" localSheetId="0">#REF!</definedName>
    <definedName name="BF_100">#REF!</definedName>
    <definedName name="BF_125" localSheetId="0">#REF!</definedName>
    <definedName name="BF_125">#REF!</definedName>
    <definedName name="BF_80" localSheetId="0">#REF!</definedName>
    <definedName name="BF_80">#REF!</definedName>
    <definedName name="BH">'[58]Pump-Cost'!$J$1</definedName>
    <definedName name="bi_wire" localSheetId="0">'[46]Material cost'!$J$79</definedName>
    <definedName name="bi_wire">#REF!</definedName>
    <definedName name="Bibtap" localSheetId="0">#REF!</definedName>
    <definedName name="Bibtap">#REF!</definedName>
    <definedName name="bind" hidden="1">[37]DRates!$K$29</definedName>
    <definedName name="binding" localSheetId="0">[59]Rates!$G$18</definedName>
    <definedName name="binding">[60]Rates!$H$17</definedName>
    <definedName name="Binding_wire" localSheetId="0">'[48]Rate analysis'!#REF!</definedName>
    <definedName name="Binding_wire">'[49]Rate analysis'!#REF!</definedName>
    <definedName name="Binding_wire_re_KG_M">[47]Transport_Cost_F!$D$19</definedName>
    <definedName name="bindingwire" localSheetId="0">'[43]Basic Rate'!$N$22</definedName>
    <definedName name="bindingwire">'[51]dist rate material'!$D$22</definedName>
    <definedName name="BindingWire_KG_M">[50]Transport_Cost_F!$D$17</definedName>
    <definedName name="bindingwireblack" localSheetId="0">[31]rate!$H$50</definedName>
    <definedName name="bindingwireblack">[52]Rate!#REF!</definedName>
    <definedName name="bindingwirewhite" localSheetId="0">'[43]Basic Rate'!#REF!</definedName>
    <definedName name="bindingwirewhite">[52]Rate!#REF!</definedName>
    <definedName name="BIRTHDAY">[61]Survey!#REF!</definedName>
    <definedName name="bitu">[20]MatCol!$K$75</definedName>
    <definedName name="bitumen" localSheetId="0">[31]rate!$H$35</definedName>
    <definedName name="bitumen">[60]Rates!#REF!</definedName>
    <definedName name="bitumen_30_70">[45]Rates!$G$60</definedName>
    <definedName name="bitumen_80_100">[45]Rates!$G$59</definedName>
    <definedName name="Bitumen_Lt_M">[47]Transport_Cost_F!$D$32</definedName>
    <definedName name="BITUMEN_WASHER">#N/A</definedName>
    <definedName name="bitumen1">'[17] 24 kaski D.Rate'!$G$37</definedName>
    <definedName name="bitumen80">'[51]dist rate material'!$D$30</definedName>
    <definedName name="bitumend">'[17] 24 kaski D.Rate'!$G$69</definedName>
    <definedName name="bitumendist">#REF!</definedName>
    <definedName name="bk">#REF!</definedName>
    <definedName name="bl_stone">#REF!</definedName>
    <definedName name="BlackPIpe_2inch_M_M">[47]Transport_Cost_F!$D$55</definedName>
    <definedName name="BlackPIPe_4inch_M_M">[47]Transport_Cost_F!$D$54</definedName>
    <definedName name="Blaster_L">'[47]Labour Rates_HO'!$E$13</definedName>
    <definedName name="blastingmachine" localSheetId="0">[31]rate!$M$42</definedName>
    <definedName name="blastingmachine">[52]Rate!#REF!</definedName>
    <definedName name="blastmachine" localSheetId="0">'[43]Basic Rate'!#REF!</definedName>
    <definedName name="blastmachine">[52]Rate!#REF!</definedName>
    <definedName name="bloc" hidden="1">[37]MatCol!$K$83</definedName>
    <definedName name="blockstone">#REF!</definedName>
    <definedName name="Blockstone_cum_M">[47]Transport_Cost_F!$D$34</definedName>
    <definedName name="blstobe">#REF!</definedName>
    <definedName name="blstone">#REF!</definedName>
    <definedName name="bmarble" localSheetId="0">'[15]update Rate'!#REF!</definedName>
    <definedName name="bmarble">'[13]update Rate'!#REF!</definedName>
    <definedName name="bndwire">#REF!</definedName>
    <definedName name="bnstone">#REF!</definedName>
    <definedName name="BOBDSTON">#REF!</definedName>
    <definedName name="boiler" localSheetId="0">[31]rate!$M$34</definedName>
    <definedName name="boiler">'[51]district rate equp'!$D$17</definedName>
    <definedName name="Boiler_E">'[47]Equipment Rates'!$D$29</definedName>
    <definedName name="bolts">#REF!</definedName>
    <definedName name="bond" hidden="1">[37]MatCol!$K$88</definedName>
    <definedName name="bondston">#REF!</definedName>
    <definedName name="bondstone">#REF!</definedName>
    <definedName name="Bondstone_cum_M">[47]Transport_Cost_F!$D$35</definedName>
    <definedName name="Boulder" localSheetId="0">'[48]Rate analysis'!#REF!</definedName>
    <definedName name="Boulder">'[49]Rate analysis'!#REF!</definedName>
    <definedName name="box_0.5">[17]DR!#REF!</definedName>
    <definedName name="box_1.5">[17]DR!$D$46</definedName>
    <definedName name="box_2">[17]DR!$D$47</definedName>
    <definedName name="box_3">[17]DR!#REF!</definedName>
    <definedName name="BPC" localSheetId="0">#REF!</definedName>
    <definedName name="BPC">#REF!</definedName>
    <definedName name="BPI" localSheetId="0">[62]Ta301!$I$7</definedName>
    <definedName name="BPI">[63]Ta301!$I$7</definedName>
    <definedName name="BPT" hidden="1">[25]FitData!$AQ$11</definedName>
    <definedName name="BPV">#REF!</definedName>
    <definedName name="br">#REF!</definedName>
    <definedName name="brass">#REF!,#REF!,#REF!,#REF!,#REF!</definedName>
    <definedName name="BRD">'[8]Data-Table'!$D$19</definedName>
    <definedName name="brick" localSheetId="0">'[53]mat. rate'!$H$15</definedName>
    <definedName name="BRICK">'[57]M-RATE'!$J$59</definedName>
    <definedName name="Broken_stone" localSheetId="0">'[48]Rate analysis'!#REF!</definedName>
    <definedName name="Broken_stone">'[49]Rate analysis'!#REF!</definedName>
    <definedName name="BRW">'[8]Data-Table'!$D$18</definedName>
    <definedName name="BS_40" localSheetId="0">'[48]Rate analysis'!#REF!</definedName>
    <definedName name="BS_40">'[49]Rate analysis'!#REF!</definedName>
    <definedName name="BT" localSheetId="0">#REF!</definedName>
    <definedName name="BT">#REF!</definedName>
    <definedName name="BU_1" localSheetId="0">#REF!</definedName>
    <definedName name="BU_1">#REF!</definedName>
    <definedName name="BU_100" localSheetId="0">#REF!</definedName>
    <definedName name="BU_100">#REF!</definedName>
    <definedName name="BU_125" localSheetId="0">#REF!</definedName>
    <definedName name="BU_125">#REF!</definedName>
    <definedName name="BU_15" localSheetId="0">#REF!</definedName>
    <definedName name="BU_15">#REF!</definedName>
    <definedName name="BU_150" localSheetId="0">#REF!</definedName>
    <definedName name="BU_150">#REF!</definedName>
    <definedName name="BU_2" localSheetId="0">#REF!</definedName>
    <definedName name="BU_2">#REF!</definedName>
    <definedName name="BU_20" localSheetId="0">#REF!</definedName>
    <definedName name="BU_20">#REF!</definedName>
    <definedName name="BU_200" localSheetId="0">#REF!</definedName>
    <definedName name="BU_200">#REF!</definedName>
    <definedName name="BU_25" localSheetId="0">#REF!</definedName>
    <definedName name="BU_25">#REF!</definedName>
    <definedName name="BU_3" localSheetId="0">#REF!</definedName>
    <definedName name="BU_3">#REF!</definedName>
    <definedName name="BU_300" localSheetId="0">#REF!</definedName>
    <definedName name="BU_300">#REF!</definedName>
    <definedName name="BU_32" localSheetId="0">#REF!</definedName>
    <definedName name="BU_32">#REF!</definedName>
    <definedName name="BU_4" localSheetId="0">#REF!</definedName>
    <definedName name="BU_4">#REF!</definedName>
    <definedName name="BU_40" localSheetId="0">#REF!</definedName>
    <definedName name="BU_40">#REF!</definedName>
    <definedName name="BU_5" localSheetId="0">#REF!</definedName>
    <definedName name="BU_5">#REF!</definedName>
    <definedName name="BU_50" localSheetId="0">#REF!</definedName>
    <definedName name="BU_50">#REF!</definedName>
    <definedName name="BU_6" localSheetId="0">#REF!</definedName>
    <definedName name="BU_6">#REF!</definedName>
    <definedName name="BU_65" localSheetId="0">#REF!</definedName>
    <definedName name="BU_65">#REF!</definedName>
    <definedName name="BU_80" localSheetId="0">#REF!</definedName>
    <definedName name="BU_80">#REF!</definedName>
    <definedName name="bulfix">#REF!</definedName>
    <definedName name="Bulldozer_E">'[47]Equipment Rates'!$D$21</definedName>
    <definedName name="BW" localSheetId="0">#REF!</definedName>
    <definedName name="BW">#REF!</definedName>
    <definedName name="BWA">#REF!</definedName>
    <definedName name="BWB">#REF!</definedName>
    <definedName name="bwire">'[17] 24 kaski D.Rate'!$G$20</definedName>
    <definedName name="bwireblack" localSheetId="0">'[43]Basic Rate'!#REF!</definedName>
    <definedName name="bwireblack">[52]Rate!#REF!</definedName>
    <definedName name="C.G.I.">#N/A</definedName>
    <definedName name="C_">#N/A</definedName>
    <definedName name="c_sani">#REF!</definedName>
    <definedName name="Ca_14" localSheetId="0">#REF!</definedName>
    <definedName name="Ca_14">#REF!</definedName>
    <definedName name="CabCros" hidden="1">[25]FitData!$AY$11</definedName>
    <definedName name="Cable" localSheetId="0">#REF!</definedName>
    <definedName name="Cable">#REF!</definedName>
    <definedName name="Cable_design_2">#REF!</definedName>
    <definedName name="cable_design_4_1">#REF!</definedName>
    <definedName name="cable_design_4_2">#REF!</definedName>
    <definedName name="cable_design_5_1">#REF!</definedName>
    <definedName name="cable_design_5_2">#REF!</definedName>
    <definedName name="cable_dia">#REF!</definedName>
    <definedName name="cable_dia_num">#REF!</definedName>
    <definedName name="carbstone">#REF!</definedName>
    <definedName name="CC" localSheetId="0">#REF!</definedName>
    <definedName name="CC">#REF!</definedName>
    <definedName name="CCrrm" hidden="1">[25]FitData!$W$11</definedName>
    <definedName name="Ce">[17]DR!$D$33</definedName>
    <definedName name="cem">#REF!</definedName>
    <definedName name="cem_w">[64]Data!#REF!</definedName>
    <definedName name="cement" localSheetId="0">[31]rate!$D$32</definedName>
    <definedName name="cement">[60]Rates!$H$12</definedName>
    <definedName name="Cement_MT_M">[47]Transport_Cost_F!$D$12</definedName>
    <definedName name="CEMENT_PAINT">#N/A</definedName>
    <definedName name="cement1">'[17] 24 kaski D.Rate'!$G$16</definedName>
    <definedName name="cfvfm10">#REF!</definedName>
    <definedName name="cfvfm15">#REF!</definedName>
    <definedName name="cgcm14">#REF!</definedName>
    <definedName name="CGD">'[8]Data-Table'!$D$17</definedName>
    <definedName name="cgis_col">#REF!</definedName>
    <definedName name="cgis24">#REF!</definedName>
    <definedName name="CGIS26" hidden="1">[10]MatCol!$U$37</definedName>
    <definedName name="cgis28">#REF!</definedName>
    <definedName name="CGW">'[8]Data-Table'!$D$16</definedName>
    <definedName name="CH">'[8]Data-Table'!$D$8</definedName>
    <definedName name="chart">[42]Rate!#REF!</definedName>
    <definedName name="CheapsSpeader_E">'[50]Equipment Rates'!$D$32</definedName>
    <definedName name="chemical_manures">#REF!</definedName>
    <definedName name="cheskini100" localSheetId="0">'[15]update Rate'!$E$64</definedName>
    <definedName name="cheskini100">'[13]update Rate'!$E$64</definedName>
    <definedName name="cheskini150" localSheetId="0">'[15]update Rate'!$E$65</definedName>
    <definedName name="cheskini150">'[13]update Rate'!$E$65</definedName>
    <definedName name="cheskini300" localSheetId="0">'[15]update Rate'!$E$66</definedName>
    <definedName name="cheskini300">'[13]update Rate'!$E$66</definedName>
    <definedName name="chic">[65]MatCol!$K$45</definedName>
    <definedName name="CHICKEN" localSheetId="0">#REF!</definedName>
    <definedName name="CHICKEN">#REF!</definedName>
    <definedName name="Chief" hidden="1">[66]Data!#REF!</definedName>
    <definedName name="chip">'[17] 24 kaski D.Rate'!$G$32</definedName>
    <definedName name="chips" localSheetId="0">[31]rate!$D$84</definedName>
    <definedName name="chips">[52]Rate!#REF!</definedName>
    <definedName name="chips_spreader">[45]Rates!$D$68</definedName>
    <definedName name="chips10mm" localSheetId="0">'[43]Basic Rate'!#REF!</definedName>
    <definedName name="chips10mm">[52]Rate!#REF!</definedName>
    <definedName name="chips20mm" localSheetId="0">'[43]Basic Rate'!#REF!</definedName>
    <definedName name="chips20mm">[52]Rate!#REF!</definedName>
    <definedName name="chipspreader">[31]rate!$M$47</definedName>
    <definedName name="chopnt">#REF!</definedName>
    <definedName name="chpols" localSheetId="0">[16]Sheet1!$D$58</definedName>
    <definedName name="chpols">#REF!</definedName>
    <definedName name="Chuna" localSheetId="0">#REF!</definedName>
    <definedName name="Chuna">#REF!</definedName>
    <definedName name="CIN" hidden="1">[37]RtAn!$B$1</definedName>
    <definedName name="clamp" localSheetId="0">'[43]Basic Rate'!#REF!</definedName>
    <definedName name="clamp">#REF!</definedName>
    <definedName name="clamps">[45]Rates!$G$46</definedName>
    <definedName name="cmsp13">#REF!</definedName>
    <definedName name="cmsp14">#REF!</definedName>
    <definedName name="Cnmxt">#REF!</definedName>
    <definedName name="coarseagg" localSheetId="0">[31]rate!$D$81</definedName>
    <definedName name="coarseagg">[52]Rate!#REF!</definedName>
    <definedName name="Code" localSheetId="0">#REF!</definedName>
    <definedName name="Code">#REF!</definedName>
    <definedName name="col_chb" localSheetId="0">#REF!</definedName>
    <definedName name="col_chb">#REF!</definedName>
    <definedName name="col_inst" hidden="1">#REF!</definedName>
    <definedName name="comparative">[42]Rate!#REF!</definedName>
    <definedName name="Compost_M">[47]Transport_Cost_F!$D$64</definedName>
    <definedName name="Compressor_E">'[56]Equipment Rates'!$D$34</definedName>
    <definedName name="ComputerOPer_L">'[56]Labour Rates_BB'!$E$23</definedName>
    <definedName name="concrete">'[43]Basic Rate'!#REF!</definedName>
    <definedName name="ConcreteBlock_M">[47]Transport_Cost_F!#REF!</definedName>
    <definedName name="ConcreteMixer_E">'[47]Equipment Rates'!$D$13</definedName>
    <definedName name="ConRate">[67]RevisedBOQ!$A$11:$L$202</definedName>
    <definedName name="contract_no" localSheetId="0">[17]INPUT!$D$2</definedName>
    <definedName name="contract_no">[68]INPUT!$D$2</definedName>
    <definedName name="cost">#REF!</definedName>
    <definedName name="CP" localSheetId="0">#REF!</definedName>
    <definedName name="CP">#REF!</definedName>
    <definedName name="CpLst" hidden="1">[2]Features!$B$18:$B$83</definedName>
    <definedName name="cps">#REF!</definedName>
    <definedName name="crane">[60]Rates!$D$58</definedName>
    <definedName name="crane20t">'[43]Basic Rate'!#REF!</definedName>
    <definedName name="_xlnm.Criteria">#REF!</definedName>
    <definedName name="CRITERIA1" localSheetId="0">#REF!</definedName>
    <definedName name="CRITERIA1">#REF!</definedName>
    <definedName name="CRITERIA10" localSheetId="0">#REF!</definedName>
    <definedName name="CRITERIA10">#REF!</definedName>
    <definedName name="CRITERIA11" localSheetId="0">#REF!</definedName>
    <definedName name="CRITERIA11">#REF!</definedName>
    <definedName name="CRITERIA12" localSheetId="0">#REF!</definedName>
    <definedName name="CRITERIA12">#REF!</definedName>
    <definedName name="CRITERIA13" localSheetId="0">#REF!</definedName>
    <definedName name="CRITERIA13">#REF!</definedName>
    <definedName name="CRITERIA14" localSheetId="0">#REF!</definedName>
    <definedName name="CRITERIA14">#REF!</definedName>
    <definedName name="CRITERIA15" localSheetId="0">#REF!</definedName>
    <definedName name="CRITERIA15">#REF!</definedName>
    <definedName name="CRITERIA16" localSheetId="0">#REF!</definedName>
    <definedName name="CRITERIA16">#REF!</definedName>
    <definedName name="CRITERIA17" localSheetId="0">#REF!</definedName>
    <definedName name="CRITERIA17">#REF!</definedName>
    <definedName name="CRITERIA18" localSheetId="0">#REF!</definedName>
    <definedName name="CRITERIA18">#REF!</definedName>
    <definedName name="CRITERIA19" localSheetId="0">#REF!</definedName>
    <definedName name="CRITERIA19">#REF!</definedName>
    <definedName name="CRITERIA2" localSheetId="0">#REF!</definedName>
    <definedName name="CRITERIA2">#REF!</definedName>
    <definedName name="CRITERIA20" localSheetId="0">#REF!</definedName>
    <definedName name="CRITERIA20">#REF!</definedName>
    <definedName name="CRITERIA3" localSheetId="0">#REF!</definedName>
    <definedName name="CRITERIA3">#REF!</definedName>
    <definedName name="CRITERIA5" localSheetId="0">#REF!</definedName>
    <definedName name="CRITERIA5">#REF!</definedName>
    <definedName name="CRITERIA6" localSheetId="0">#REF!</definedName>
    <definedName name="CRITERIA6">#REF!</definedName>
    <definedName name="CRITERIA7" localSheetId="0">#REF!</definedName>
    <definedName name="CRITERIA7">#REF!</definedName>
    <definedName name="CRITERIA8" localSheetId="0">#REF!</definedName>
    <definedName name="CRITERIA8">#REF!</definedName>
    <definedName name="CRITERIA9" localSheetId="0">#REF!</definedName>
    <definedName name="CRITERIA9">#REF!</definedName>
    <definedName name="crntg" localSheetId="0">[16]Sheet1!$D$27</definedName>
    <definedName name="crntg">#REF!</definedName>
    <definedName name="cro_ty_1">#REF!</definedName>
    <definedName name="cro_ty_2">#REF!</definedName>
    <definedName name="crossing">#REF!</definedName>
    <definedName name="crossing_num">#REF!</definedName>
    <definedName name="crtg" localSheetId="0">[16]Sheet1!$D$26</definedName>
    <definedName name="crtg">#REF!</definedName>
    <definedName name="cruched_stone_40">'[46]Material cost'!#REF!</definedName>
    <definedName name="cruched_stone_70">'[46]Material cost'!#REF!</definedName>
    <definedName name="Crusedstone_CUm_M">[47]Transport_Cost_F!$D$44</definedName>
    <definedName name="crushagginter">'[43]Basic Rate'!#REF!</definedName>
    <definedName name="crushagglarge">'[43]Basic Rate'!#REF!</definedName>
    <definedName name="crushaggmedium" localSheetId="0">'[69]material rate'!$P$37</definedName>
    <definedName name="crushaggmedium">'[70]material rate'!$P$37</definedName>
    <definedName name="crushaggsmall">'[43]Basic Rate'!#REF!</definedName>
    <definedName name="CrusherPlant_E">'[56]Equipment Rates'!$D$29</definedName>
    <definedName name="csdb20">#REF!</definedName>
    <definedName name="csdb25">#REF!</definedName>
    <definedName name="csdsbm20">#REF!</definedName>
    <definedName name="csdsm15">#REF!</definedName>
    <definedName name="ct" localSheetId="0">[16]Sheet1!$D$15</definedName>
    <definedName name="ct">#REF!</definedName>
    <definedName name="ctpt" localSheetId="0">[16]Sheet1!$D$54</definedName>
    <definedName name="ctpt">#REF!</definedName>
    <definedName name="cudg">#REF!</definedName>
    <definedName name="cuft">#REF!</definedName>
    <definedName name="CV" localSheetId="0">#REF!</definedName>
    <definedName name="CV">#REF!</definedName>
    <definedName name="CV_1" localSheetId="0">#REF!</definedName>
    <definedName name="CV_1">#REF!</definedName>
    <definedName name="CWmesh" hidden="1">[37]DRates!$K$31</definedName>
    <definedName name="D">'[8]Data-Table'!$D$5</definedName>
    <definedName name="D_C" hidden="1">#REF!</definedName>
    <definedName name="D2O" hidden="1">[21]Criteria!$D$20</definedName>
    <definedName name="DAR" localSheetId="0">#REF!</definedName>
    <definedName name="DAR">#REF!</definedName>
    <definedName name="_xlnm.Database" localSheetId="0">#REF!</definedName>
    <definedName name="_xlnm.Database">#REF!</definedName>
    <definedName name="Day">[41]Hydrology!$H$7</definedName>
    <definedName name="Dayworks">[71]Dayworks!$B$9:$G$40</definedName>
    <definedName name="db">#REF!</definedName>
    <definedName name="db_3">#REF!</definedName>
    <definedName name="db_4">#REF!</definedName>
    <definedName name="db_5">#REF!</definedName>
    <definedName name="db_6">#REF!</definedName>
    <definedName name="DBBMS" localSheetId="0">#REF!</definedName>
    <definedName name="DBBMS">#REF!</definedName>
    <definedName name="dbgdsc">#REF!</definedName>
    <definedName name="DBHR" localSheetId="0">#REF!</definedName>
    <definedName name="DBHR">#REF!</definedName>
    <definedName name="DBHS" localSheetId="0">#REF!</definedName>
    <definedName name="DBHS">#REF!</definedName>
    <definedName name="DBM_14" localSheetId="0">#REF!</definedName>
    <definedName name="DBM_14">#REF!</definedName>
    <definedName name="DBM_16" localSheetId="0">#REF!</definedName>
    <definedName name="DBM_16">#REF!</definedName>
    <definedName name="DBP" localSheetId="0">#REF!</definedName>
    <definedName name="DBP">#REF!</definedName>
    <definedName name="DBP_100" localSheetId="0">#REF!</definedName>
    <definedName name="DBP_100">#REF!</definedName>
    <definedName name="DBP_125" localSheetId="0">#REF!</definedName>
    <definedName name="DBP_125">#REF!</definedName>
    <definedName name="DBP_150" localSheetId="0">#REF!</definedName>
    <definedName name="DBP_150">#REF!</definedName>
    <definedName name="DBP_200" localSheetId="0">#REF!</definedName>
    <definedName name="DBP_200">#REF!</definedName>
    <definedName name="DBP_250" localSheetId="0">#REF!</definedName>
    <definedName name="DBP_250">#REF!</definedName>
    <definedName name="DBP_300" localSheetId="0">#REF!</definedName>
    <definedName name="DBP_300">#REF!</definedName>
    <definedName name="DBP_350" localSheetId="0">#REF!</definedName>
    <definedName name="DBP_350">#REF!</definedName>
    <definedName name="DBP_400" localSheetId="0">#REF!</definedName>
    <definedName name="DBP_400">#REF!</definedName>
    <definedName name="DBP_450" localSheetId="0">#REF!</definedName>
    <definedName name="DBP_450">#REF!</definedName>
    <definedName name="DBP_50" localSheetId="0">#REF!</definedName>
    <definedName name="DBP_50">#REF!</definedName>
    <definedName name="DBP_500" localSheetId="0">#REF!</definedName>
    <definedName name="DBP_500">#REF!</definedName>
    <definedName name="DBP_600" localSheetId="0">#REF!</definedName>
    <definedName name="DBP_600">#REF!</definedName>
    <definedName name="DBP_80" localSheetId="0">#REF!</definedName>
    <definedName name="DBP_80">#REF!</definedName>
    <definedName name="DBS" localSheetId="0">#REF!</definedName>
    <definedName name="DBS">#REF!</definedName>
    <definedName name="DBSS" localSheetId="0">#REF!</definedName>
    <definedName name="DBSS">#REF!</definedName>
    <definedName name="DBstone">#REF!</definedName>
    <definedName name="DBV_100" localSheetId="0">#REF!</definedName>
    <definedName name="DBV_100">#REF!</definedName>
    <definedName name="DBV_150" localSheetId="0">#REF!</definedName>
    <definedName name="DBV_150">#REF!</definedName>
    <definedName name="DBV_200" localSheetId="0">#REF!</definedName>
    <definedName name="DBV_200">#REF!</definedName>
    <definedName name="DBV_250" localSheetId="0">#REF!</definedName>
    <definedName name="DBV_250">#REF!</definedName>
    <definedName name="DBV_300" localSheetId="0">#REF!</definedName>
    <definedName name="DBV_300">#REF!</definedName>
    <definedName name="DBV_350" localSheetId="0">#REF!</definedName>
    <definedName name="DBV_350">#REF!</definedName>
    <definedName name="DBV_50" localSheetId="0">#REF!</definedName>
    <definedName name="DBV_50">#REF!</definedName>
    <definedName name="DBV_80" localSheetId="0">#REF!</definedName>
    <definedName name="DBV_80">#REF!</definedName>
    <definedName name="DBW" localSheetId="0">#REF!</definedName>
    <definedName name="DBW">#REF!</definedName>
    <definedName name="DC">'[8]Data-Table'!$D$10</definedName>
    <definedName name="DC_150" localSheetId="0">#REF!</definedName>
    <definedName name="DC_150">#REF!</definedName>
    <definedName name="DC_22" localSheetId="0">#REF!</definedName>
    <definedName name="DC_22">#REF!</definedName>
    <definedName name="DC_24" localSheetId="0">#REF!</definedName>
    <definedName name="DC_24">#REF!</definedName>
    <definedName name="DC_300" localSheetId="0">#REF!</definedName>
    <definedName name="DC_300">#REF!</definedName>
    <definedName name="DC125_12" localSheetId="0">#REF!</definedName>
    <definedName name="DC125_12">#REF!</definedName>
    <definedName name="DC125_13" localSheetId="0">#REF!</definedName>
    <definedName name="DC125_13">#REF!</definedName>
    <definedName name="DC125_14" localSheetId="0">#REF!</definedName>
    <definedName name="DC125_14">#REF!</definedName>
    <definedName name="DC20_13" localSheetId="0">#REF!</definedName>
    <definedName name="DC20_13">#REF!</definedName>
    <definedName name="DC20_14" localSheetId="0">#REF!</definedName>
    <definedName name="DC20_14">#REF!</definedName>
    <definedName name="DC20_16" localSheetId="0">#REF!</definedName>
    <definedName name="DC20_16">#REF!</definedName>
    <definedName name="DCB_150" localSheetId="0">#REF!</definedName>
    <definedName name="DCB_150">#REF!</definedName>
    <definedName name="DCM_13" localSheetId="0">#REF!</definedName>
    <definedName name="DCM_13">#REF!</definedName>
    <definedName name="DCM_14" localSheetId="0">#REF!</definedName>
    <definedName name="DCM_14">#REF!</definedName>
    <definedName name="DCM_16" localSheetId="0">#REF!</definedName>
    <definedName name="DCM_16">#REF!</definedName>
    <definedName name="DCMud" localSheetId="0">#REF!</definedName>
    <definedName name="DCMud">#REF!</definedName>
    <definedName name="DCP" localSheetId="0">#REF!</definedName>
    <definedName name="DCP">#REF!</definedName>
    <definedName name="DCP_11" localSheetId="0">#REF!</definedName>
    <definedName name="DCP_11">#REF!</definedName>
    <definedName name="DCP_13" localSheetId="0">#REF!</definedName>
    <definedName name="DCP_13">#REF!</definedName>
    <definedName name="DCPC112" localSheetId="0">#REF!</definedName>
    <definedName name="DCPC112">#REF!</definedName>
    <definedName name="DCPC124" localSheetId="0">#REF!</definedName>
    <definedName name="DCPC124">#REF!</definedName>
    <definedName name="DCPC1D3" localSheetId="0">#REF!</definedName>
    <definedName name="DCPC1D3">#REF!</definedName>
    <definedName name="DCrrm" hidden="1">[25]FitData!$BG$11</definedName>
    <definedName name="DCT_100X80" localSheetId="0">#REF!</definedName>
    <definedName name="DCT_100X80">#REF!</definedName>
    <definedName name="DCT_125X100" localSheetId="0">#REF!</definedName>
    <definedName name="DCT_125X100">#REF!</definedName>
    <definedName name="DCT_125X80" localSheetId="0">#REF!</definedName>
    <definedName name="DCT_125X80">#REF!</definedName>
    <definedName name="DCT_150X100" localSheetId="0">#REF!</definedName>
    <definedName name="DCT_150X100">#REF!</definedName>
    <definedName name="DCT_150X80" localSheetId="0">#REF!</definedName>
    <definedName name="DCT_150X80">#REF!</definedName>
    <definedName name="DCT_200X100" localSheetId="0">#REF!</definedName>
    <definedName name="DCT_200X100">#REF!</definedName>
    <definedName name="DCT_200X150" localSheetId="0">#REF!</definedName>
    <definedName name="DCT_200X150">#REF!</definedName>
    <definedName name="DCT_250X100" localSheetId="0">#REF!</definedName>
    <definedName name="DCT_250X100">#REF!</definedName>
    <definedName name="DCT_250X150" localSheetId="0">#REF!</definedName>
    <definedName name="DCT_250X150">#REF!</definedName>
    <definedName name="DCT_250X200" localSheetId="0">#REF!</definedName>
    <definedName name="DCT_250X200">#REF!</definedName>
    <definedName name="DCT_300X150" localSheetId="0">#REF!</definedName>
    <definedName name="DCT_300X150">#REF!</definedName>
    <definedName name="DCT_300X200" localSheetId="0">#REF!</definedName>
    <definedName name="DCT_300X200">#REF!</definedName>
    <definedName name="DCT_300X250" localSheetId="0">#REF!</definedName>
    <definedName name="DCT_300X250">#REF!</definedName>
    <definedName name="DCT_350X250" localSheetId="0">#REF!</definedName>
    <definedName name="DCT_350X250">#REF!</definedName>
    <definedName name="DCT_350X300" localSheetId="0">#REF!</definedName>
    <definedName name="DCT_350X300">#REF!</definedName>
    <definedName name="DCT_400X250." localSheetId="0">#REF!</definedName>
    <definedName name="DCT_400X250.">#REF!</definedName>
    <definedName name="DCT_400X300" localSheetId="0">#REF!</definedName>
    <definedName name="DCT_400X300">#REF!</definedName>
    <definedName name="DCT_400X350" localSheetId="0">#REF!</definedName>
    <definedName name="DCT_400X350">#REF!</definedName>
    <definedName name="dd" localSheetId="0">#REF!</definedName>
    <definedName name="dd">[63]Ta304!$F$6</definedName>
    <definedName name="DD_30" localSheetId="0">#REF!</definedName>
    <definedName name="DD_30">#REF!</definedName>
    <definedName name="DDB_100" localSheetId="0">#REF!</definedName>
    <definedName name="DDB_100">#REF!</definedName>
    <definedName name="DDB_200" localSheetId="0">#REF!</definedName>
    <definedName name="DDB_200">#REF!</definedName>
    <definedName name="DDB_80" localSheetId="0">#REF!</definedName>
    <definedName name="DDB_80">#REF!</definedName>
    <definedName name="DDF_100X80" localSheetId="0">#REF!</definedName>
    <definedName name="DDF_100X80">#REF!</definedName>
    <definedName name="DDF_150X100" localSheetId="0">#REF!</definedName>
    <definedName name="DDF_150X100">#REF!</definedName>
    <definedName name="DDF_150X125" localSheetId="0">#REF!</definedName>
    <definedName name="DDF_150X125">#REF!</definedName>
    <definedName name="DDF_150X150" localSheetId="0">#REF!</definedName>
    <definedName name="DDF_150X150">#REF!</definedName>
    <definedName name="DDF_150X80" localSheetId="0">#REF!</definedName>
    <definedName name="DDF_150X80">#REF!</definedName>
    <definedName name="DDF_200X100" localSheetId="0">#REF!</definedName>
    <definedName name="DDF_200X100">#REF!</definedName>
    <definedName name="DDF_200X150" localSheetId="0">#REF!</definedName>
    <definedName name="DDF_200X150">#REF!</definedName>
    <definedName name="DDF_200X80" localSheetId="0">#REF!</definedName>
    <definedName name="DDF_200X80">#REF!</definedName>
    <definedName name="DDF_250X100" localSheetId="0">#REF!</definedName>
    <definedName name="DDF_250X100">#REF!</definedName>
    <definedName name="DDF_250X150" localSheetId="0">#REF!</definedName>
    <definedName name="DDF_250X150">#REF!</definedName>
    <definedName name="DDF_250X200" localSheetId="0">#REF!</definedName>
    <definedName name="DDF_250X200">#REF!</definedName>
    <definedName name="DDF_250X80" localSheetId="0">#REF!</definedName>
    <definedName name="DDF_250X80">#REF!</definedName>
    <definedName name="DDF_300X150" localSheetId="0">#REF!</definedName>
    <definedName name="DDF_300X150">#REF!</definedName>
    <definedName name="DDF_300X200" localSheetId="0">#REF!</definedName>
    <definedName name="DDF_300X200">#REF!</definedName>
    <definedName name="DDF_300X250" localSheetId="0">#REF!</definedName>
    <definedName name="DDF_300X250">#REF!</definedName>
    <definedName name="DDF_350X200" localSheetId="0">#REF!</definedName>
    <definedName name="DDF_350X200">#REF!</definedName>
    <definedName name="DDF_350X250" localSheetId="0">#REF!</definedName>
    <definedName name="DDF_350X250">#REF!</definedName>
    <definedName name="DDF_350X300" localSheetId="0">#REF!</definedName>
    <definedName name="DDF_350X300">#REF!</definedName>
    <definedName name="DDF_400X150" localSheetId="0">#REF!</definedName>
    <definedName name="DDF_400X150">#REF!</definedName>
    <definedName name="DDF_400X200" localSheetId="0">#REF!</definedName>
    <definedName name="DDF_400X200">#REF!</definedName>
    <definedName name="DDF_400X250" localSheetId="0">#REF!</definedName>
    <definedName name="DDF_400X250">#REF!</definedName>
    <definedName name="DDF_400X300" localSheetId="0">#REF!</definedName>
    <definedName name="DDF_400X300">#REF!</definedName>
    <definedName name="DDF_400X350" localSheetId="0">#REF!</definedName>
    <definedName name="DDF_400X350">#REF!</definedName>
    <definedName name="DDF_80X50" localSheetId="0">#REF!</definedName>
    <definedName name="DDF_80X50">#REF!</definedName>
    <definedName name="DDF1_100" localSheetId="0">#REF!</definedName>
    <definedName name="DDF1_100">#REF!</definedName>
    <definedName name="DDF1_125" localSheetId="0">#REF!</definedName>
    <definedName name="DDF1_125">#REF!</definedName>
    <definedName name="DDF1_150" localSheetId="0">#REF!</definedName>
    <definedName name="DDF1_150">#REF!</definedName>
    <definedName name="DDF1_200" localSheetId="0">#REF!</definedName>
    <definedName name="DDF1_200">#REF!</definedName>
    <definedName name="DDF1_250" localSheetId="0">'[72]DI fittings'!$N$15</definedName>
    <definedName name="DDF1_250">#REF!</definedName>
    <definedName name="DDF1_300" localSheetId="0">#REF!</definedName>
    <definedName name="DDF1_300">'[73]DI fittings'!$N$16</definedName>
    <definedName name="DDF1_350" localSheetId="0">#REF!</definedName>
    <definedName name="DDF1_350">'[73]DI fittings'!$N$17</definedName>
    <definedName name="DDF1_400" localSheetId="0">#REF!</definedName>
    <definedName name="DDF1_400">#REF!</definedName>
    <definedName name="DDF1_80" localSheetId="0">'[72]DI fittings'!$N$10</definedName>
    <definedName name="DDF1_80">'[73]DI fittings'!$N$10</definedName>
    <definedName name="DDF2_100" localSheetId="0">#REF!</definedName>
    <definedName name="DDF2_100">#REF!</definedName>
    <definedName name="DDF2_125" localSheetId="0">#REF!</definedName>
    <definedName name="DDF2_125">#REF!</definedName>
    <definedName name="DDF2_150" localSheetId="0">#REF!</definedName>
    <definedName name="DDF2_150">#REF!</definedName>
    <definedName name="DDF2_200" localSheetId="0">#REF!</definedName>
    <definedName name="DDF2_200">#REF!</definedName>
    <definedName name="DDF2_250" localSheetId="0">#REF!</definedName>
    <definedName name="DDF2_250">#REF!</definedName>
    <definedName name="DDF2_300" localSheetId="0">#REF!</definedName>
    <definedName name="DDF2_300">'[73]DI fittings'!$N$35</definedName>
    <definedName name="DDF2_350" localSheetId="0">#REF!</definedName>
    <definedName name="DDF2_350">'[73]DI fittings'!$N$36</definedName>
    <definedName name="DDF2_400" localSheetId="0">#REF!</definedName>
    <definedName name="DDF2_400">#REF!</definedName>
    <definedName name="DDF2_80" localSheetId="0">#REF!</definedName>
    <definedName name="DDF2_80">#REF!</definedName>
    <definedName name="DDF3_100" localSheetId="0">#REF!</definedName>
    <definedName name="DDF3_100">#REF!</definedName>
    <definedName name="DDF3_125" localSheetId="0">#REF!</definedName>
    <definedName name="DDF3_125">#REF!</definedName>
    <definedName name="DDF3_150" localSheetId="0">#REF!</definedName>
    <definedName name="DDF3_150">#REF!</definedName>
    <definedName name="DDF3_200" localSheetId="0">'[72]DI fittings'!$N$51</definedName>
    <definedName name="DDF3_200">#REF!</definedName>
    <definedName name="DDF3_250" localSheetId="0">'[72]DI fittings'!$N$52</definedName>
    <definedName name="DDF3_250">#REF!</definedName>
    <definedName name="DDF3_300" localSheetId="0">#REF!</definedName>
    <definedName name="DDF3_300">#REF!</definedName>
    <definedName name="DDF3_350" localSheetId="0">#REF!</definedName>
    <definedName name="DDF3_350">'[73]DI fittings'!$N$54</definedName>
    <definedName name="DDF3_400" localSheetId="0">#REF!</definedName>
    <definedName name="DDF3_400">#REF!</definedName>
    <definedName name="DDF3_80" localSheetId="0">'[72]DI fittings'!$N$47</definedName>
    <definedName name="DDF3_80">'[73]DI fittings'!$N$47</definedName>
    <definedName name="DDT_100X80" localSheetId="0">#REF!</definedName>
    <definedName name="DDT_100X80">#REF!</definedName>
    <definedName name="DDT_125X100" localSheetId="0">#REF!</definedName>
    <definedName name="DDT_125X100">#REF!</definedName>
    <definedName name="DDT_125X80" localSheetId="0">#REF!</definedName>
    <definedName name="DDT_125X80">#REF!</definedName>
    <definedName name="DDT_150X100" localSheetId="0">#REF!</definedName>
    <definedName name="DDT_150X100">#REF!</definedName>
    <definedName name="DDT_150X80" localSheetId="0">#REF!</definedName>
    <definedName name="DDT_150X80">#REF!</definedName>
    <definedName name="DDT_200X100" localSheetId="0">#REF!</definedName>
    <definedName name="DDT_200X100">#REF!</definedName>
    <definedName name="DDT_200X150" localSheetId="0">#REF!</definedName>
    <definedName name="DDT_200X150">#REF!</definedName>
    <definedName name="DDT_250X100" localSheetId="0">#REF!</definedName>
    <definedName name="DDT_250X100">#REF!</definedName>
    <definedName name="DDT_250X150" localSheetId="0">#REF!</definedName>
    <definedName name="DDT_250X150">#REF!</definedName>
    <definedName name="DDT_250X200" localSheetId="0">#REF!</definedName>
    <definedName name="DDT_250X200">#REF!</definedName>
    <definedName name="DDT_300" localSheetId="0">#REF!</definedName>
    <definedName name="DDT_300">#REF!</definedName>
    <definedName name="DDT_300X150" localSheetId="0">#REF!</definedName>
    <definedName name="DDT_300X150">#REF!</definedName>
    <definedName name="DDT_300X200" localSheetId="0">#REF!</definedName>
    <definedName name="DDT_300X200">#REF!</definedName>
    <definedName name="DDT_300X250" localSheetId="0">#REF!</definedName>
    <definedName name="DDT_300X250">#REF!</definedName>
    <definedName name="DDT_350" localSheetId="0">#REF!</definedName>
    <definedName name="DDT_350">#REF!</definedName>
    <definedName name="DDT_350X200" localSheetId="0">#REF!</definedName>
    <definedName name="DDT_350X200">#REF!</definedName>
    <definedName name="DDT_350X250" localSheetId="0">#REF!</definedName>
    <definedName name="DDT_350X250">#REF!</definedName>
    <definedName name="DDT_350X300" localSheetId="0">#REF!</definedName>
    <definedName name="DDT_350X300">#REF!</definedName>
    <definedName name="DDT_400" localSheetId="0">#REF!</definedName>
    <definedName name="DDT_400">#REF!</definedName>
    <definedName name="DDT_400X250" localSheetId="0">#REF!</definedName>
    <definedName name="DDT_400X250">#REF!</definedName>
    <definedName name="DDT_400X300" localSheetId="0">#REF!</definedName>
    <definedName name="DDT_400X300">#REF!</definedName>
    <definedName name="DDT_400X350" localSheetId="0">#REF!</definedName>
    <definedName name="DDT_400X350">#REF!</definedName>
    <definedName name="DDW" localSheetId="0">#REF!</definedName>
    <definedName name="DDW">#REF!</definedName>
    <definedName name="DEAR" localSheetId="0">#REF!</definedName>
    <definedName name="DEAR">#REF!</definedName>
    <definedName name="DEBMSD" localSheetId="0">#REF!</definedName>
    <definedName name="DEBMSD">#REF!</definedName>
    <definedName name="DEBMSG" localSheetId="0">#REF!</definedName>
    <definedName name="DEBMSG">#REF!</definedName>
    <definedName name="DEC_100" localSheetId="0">#REF!</definedName>
    <definedName name="DEC_100">#REF!</definedName>
    <definedName name="DEC_125" localSheetId="0">#REF!</definedName>
    <definedName name="DEC_125">#REF!</definedName>
    <definedName name="DEC_150" localSheetId="0">#REF!</definedName>
    <definedName name="DEC_150">#REF!</definedName>
    <definedName name="DEC_200" localSheetId="0">#REF!</definedName>
    <definedName name="DEC_200">#REF!</definedName>
    <definedName name="DEC_250" localSheetId="0">#REF!</definedName>
    <definedName name="DEC_250">#REF!</definedName>
    <definedName name="DEC_300" localSheetId="0">#REF!</definedName>
    <definedName name="DEC_300">#REF!</definedName>
    <definedName name="DEC_350" localSheetId="0">#REF!</definedName>
    <definedName name="DEC_350">#REF!</definedName>
    <definedName name="DEC_400" localSheetId="0">#REF!</definedName>
    <definedName name="DEC_400">#REF!</definedName>
    <definedName name="DEC_50" localSheetId="0">#REF!</definedName>
    <definedName name="DEC_50">#REF!</definedName>
    <definedName name="DEC_600" localSheetId="0">#REF!</definedName>
    <definedName name="DEC_600">#REF!</definedName>
    <definedName name="DEC_80" localSheetId="0">#REF!</definedName>
    <definedName name="DEC_80">#REF!</definedName>
    <definedName name="DEHR" localSheetId="0">#REF!</definedName>
    <definedName name="DEHR">#REF!</definedName>
    <definedName name="DEHS" localSheetId="0">#REF!</definedName>
    <definedName name="DEHS">#REF!</definedName>
    <definedName name="DEP" localSheetId="0">#REF!</definedName>
    <definedName name="DEP">#REF!</definedName>
    <definedName name="Design_Data" hidden="1">'[74]Data Input'!$A$17:$G$57</definedName>
    <definedName name="DESS" localSheetId="0">#REF!</definedName>
    <definedName name="DESS">#REF!</definedName>
    <definedName name="dest">#REF!</definedName>
    <definedName name="DESTM">#N/A</definedName>
    <definedName name="Detonator_M">[47]Transport_Cost_F!$D$62</definedName>
    <definedName name="Dew" localSheetId="0">#REF!</definedName>
    <definedName name="Dew">#REF!</definedName>
    <definedName name="df">#REF!</definedName>
    <definedName name="DF_110" localSheetId="0">#REF!</definedName>
    <definedName name="DF_110">#REF!</definedName>
    <definedName name="DF_63" localSheetId="0">#REF!</definedName>
    <definedName name="DF_63">#REF!</definedName>
    <definedName name="DF_90" localSheetId="0">#REF!</definedName>
    <definedName name="DF_90">#REF!</definedName>
    <definedName name="DFG" localSheetId="0">#REF!</definedName>
    <definedName name="DFG">#REF!</definedName>
    <definedName name="DFMBS" localSheetId="0">#REF!</definedName>
    <definedName name="DFMBS">#REF!</definedName>
    <definedName name="DFP_100" localSheetId="0">#REF!</definedName>
    <definedName name="DFP_100">#REF!</definedName>
    <definedName name="DFP_150" localSheetId="0">#REF!</definedName>
    <definedName name="DFP_150">#REF!</definedName>
    <definedName name="DFP_200" localSheetId="0">#REF!</definedName>
    <definedName name="DFP_200">#REF!</definedName>
    <definedName name="DFP_250" localSheetId="0">#REF!</definedName>
    <definedName name="DFP_250">#REF!</definedName>
    <definedName name="DFP_300" localSheetId="0">#REF!</definedName>
    <definedName name="DFP_300">#REF!</definedName>
    <definedName name="DFP_400" localSheetId="0">#REF!</definedName>
    <definedName name="DFP_400">#REF!</definedName>
    <definedName name="DFP_80" localSheetId="0">#REF!</definedName>
    <definedName name="DFP_80">#REF!</definedName>
    <definedName name="DFS_100" localSheetId="0">#REF!</definedName>
    <definedName name="DFS_100">#REF!</definedName>
    <definedName name="DFS_150" localSheetId="0">#REF!</definedName>
    <definedName name="DFS_150">#REF!</definedName>
    <definedName name="DFS_200" localSheetId="0">#REF!</definedName>
    <definedName name="DFS_200">#REF!</definedName>
    <definedName name="DFS_250" localSheetId="0">#REF!</definedName>
    <definedName name="DFS_250">#REF!</definedName>
    <definedName name="DFS_300" localSheetId="0">#REF!</definedName>
    <definedName name="DFS_300">#REF!</definedName>
    <definedName name="DFS_350" localSheetId="0">#REF!</definedName>
    <definedName name="DFS_350">#REF!</definedName>
    <definedName name="DFS_400" localSheetId="0">#REF!</definedName>
    <definedName name="DFS_400">#REF!</definedName>
    <definedName name="DFS_50" localSheetId="0">#REF!</definedName>
    <definedName name="DFS_50">#REF!</definedName>
    <definedName name="DFS_80" localSheetId="0">#REF!</definedName>
    <definedName name="DFS_80">#REF!</definedName>
    <definedName name="DFSF" localSheetId="0">#REF!</definedName>
    <definedName name="DFSF">#REF!</definedName>
    <definedName name="DFW" localSheetId="0">#REF!</definedName>
    <definedName name="DFW">#REF!</definedName>
    <definedName name="DGC_100" localSheetId="0">#REF!</definedName>
    <definedName name="DGC_100">#REF!</definedName>
    <definedName name="DGC_15" localSheetId="0">#REF!</definedName>
    <definedName name="DGC_15">#REF!</definedName>
    <definedName name="DGC_20" localSheetId="0">#REF!</definedName>
    <definedName name="DGC_20">#REF!</definedName>
    <definedName name="DGC_25" localSheetId="0">#REF!</definedName>
    <definedName name="DGC_25">#REF!</definedName>
    <definedName name="DGC_32" localSheetId="0">#REF!</definedName>
    <definedName name="DGC_32">#REF!</definedName>
    <definedName name="DGC_40" localSheetId="0">#REF!</definedName>
    <definedName name="DGC_40">#REF!</definedName>
    <definedName name="DGC_50" localSheetId="0">#REF!</definedName>
    <definedName name="DGC_50">#REF!</definedName>
    <definedName name="DGC_65" localSheetId="0">#REF!</definedName>
    <definedName name="DGC_65">#REF!</definedName>
    <definedName name="DGC_80" localSheetId="0">'[72]GI fittings'!$M$18</definedName>
    <definedName name="DGC_80">'[73]GI fittings'!$M$18</definedName>
    <definedName name="DGCB_100" localSheetId="0">#REF!</definedName>
    <definedName name="DGCB_100">#REF!</definedName>
    <definedName name="DGCB_15" localSheetId="0">#REF!</definedName>
    <definedName name="DGCB_15">#REF!</definedName>
    <definedName name="DGCB_20" localSheetId="0">#REF!</definedName>
    <definedName name="DGCB_20">#REF!</definedName>
    <definedName name="DGCB_25" localSheetId="0">#REF!</definedName>
    <definedName name="DGCB_25">#REF!</definedName>
    <definedName name="DGCB_32" localSheetId="0">#REF!</definedName>
    <definedName name="DGCB_32">#REF!</definedName>
    <definedName name="DGCB_40" localSheetId="0">#REF!</definedName>
    <definedName name="DGCB_40">#REF!</definedName>
    <definedName name="DGCB_50" localSheetId="0">#REF!</definedName>
    <definedName name="DGCB_50">#REF!</definedName>
    <definedName name="DGCB_65" localSheetId="0">#REF!</definedName>
    <definedName name="DGCB_65">#REF!</definedName>
    <definedName name="DGCB_80" localSheetId="0">'[72]GI fittings'!$M$36</definedName>
    <definedName name="DGCB_80">'[73]GI fittings'!$M$36</definedName>
    <definedName name="DGCW" localSheetId="0">#REF!</definedName>
    <definedName name="DGCW">#REF!</definedName>
    <definedName name="DGR" localSheetId="0">#REF!</definedName>
    <definedName name="DGR">#REF!</definedName>
    <definedName name="DGS" localSheetId="0">#REF!</definedName>
    <definedName name="DGS">#REF!</definedName>
    <definedName name="DGT" localSheetId="0">#REF!</definedName>
    <definedName name="DGT">#REF!</definedName>
    <definedName name="DGWF" localSheetId="0">#REF!</definedName>
    <definedName name="DGWF">#REF!</definedName>
    <definedName name="Di">#N/A</definedName>
    <definedName name="dia">#REF!</definedName>
    <definedName name="Diagowar" localSheetId="0">'[15]update Rate'!$E$173</definedName>
    <definedName name="Diagowar">'[13]update Rate'!$E$173</definedName>
    <definedName name="DIB1125_100" localSheetId="0">#REF!</definedName>
    <definedName name="DIB1125_100">#REF!</definedName>
    <definedName name="DIB1125_125" localSheetId="0">#REF!</definedName>
    <definedName name="DIB1125_125">#REF!</definedName>
    <definedName name="DIB1125_150" localSheetId="0">#REF!</definedName>
    <definedName name="DIB1125_150">#REF!</definedName>
    <definedName name="DIB1125_200" localSheetId="0">#REF!</definedName>
    <definedName name="DIB1125_200">#REF!</definedName>
    <definedName name="DIB1125_250" localSheetId="0">#REF!</definedName>
    <definedName name="DIB1125_250">#REF!</definedName>
    <definedName name="DIB1125_300" localSheetId="0">#REF!</definedName>
    <definedName name="DIB1125_300">#REF!</definedName>
    <definedName name="DIB1125_350" localSheetId="0">#REF!</definedName>
    <definedName name="DIB1125_350">#REF!</definedName>
    <definedName name="DIB1125_400" localSheetId="0">#REF!</definedName>
    <definedName name="DIB1125_400">#REF!</definedName>
    <definedName name="DIB1125_450" localSheetId="0">#REF!</definedName>
    <definedName name="DIB1125_450">#REF!</definedName>
    <definedName name="DIB1125_500" localSheetId="0">#REF!</definedName>
    <definedName name="DIB1125_500">#REF!</definedName>
    <definedName name="DIB1125_600" localSheetId="0">#REF!</definedName>
    <definedName name="DIB1125_600">#REF!</definedName>
    <definedName name="DIB1125_80" localSheetId="0">#REF!</definedName>
    <definedName name="DIB1125_80">#REF!</definedName>
    <definedName name="DIB2260_100" localSheetId="0">#REF!</definedName>
    <definedName name="DIB2260_100">#REF!</definedName>
    <definedName name="DIB2260_125" localSheetId="0">#REF!</definedName>
    <definedName name="DIB2260_125">#REF!</definedName>
    <definedName name="DIB2260_150" localSheetId="0">#REF!</definedName>
    <definedName name="DIB2260_150">#REF!</definedName>
    <definedName name="DIB2260_200" localSheetId="0">#REF!</definedName>
    <definedName name="DIB2260_200">#REF!</definedName>
    <definedName name="DIB2260_250" localSheetId="0">#REF!</definedName>
    <definedName name="DIB2260_250">#REF!</definedName>
    <definedName name="DIB2260_300" localSheetId="0">#REF!</definedName>
    <definedName name="DIB2260_300">#REF!</definedName>
    <definedName name="DIB2260_350" localSheetId="0">#REF!</definedName>
    <definedName name="DIB2260_350">#REF!</definedName>
    <definedName name="DIB2260_400" localSheetId="0">#REF!</definedName>
    <definedName name="DIB2260_400">#REF!</definedName>
    <definedName name="DIB2260_450" localSheetId="0">#REF!</definedName>
    <definedName name="DIB2260_450">#REF!</definedName>
    <definedName name="DIB2260_500" localSheetId="0">#REF!</definedName>
    <definedName name="DIB2260_500">#REF!</definedName>
    <definedName name="DIB2260_600" localSheetId="0">#REF!</definedName>
    <definedName name="DIB2260_600">#REF!</definedName>
    <definedName name="DIB2260_80" localSheetId="0">#REF!</definedName>
    <definedName name="DIB2260_80">#REF!</definedName>
    <definedName name="DIB45_100" localSheetId="0">#REF!</definedName>
    <definedName name="DIB45_100">#REF!</definedName>
    <definedName name="DIB45_125" localSheetId="0">#REF!</definedName>
    <definedName name="DIB45_125">#REF!</definedName>
    <definedName name="DIB45_150" localSheetId="0">#REF!</definedName>
    <definedName name="DIB45_150">#REF!</definedName>
    <definedName name="DIB45_200" localSheetId="0">#REF!</definedName>
    <definedName name="DIB45_200">#REF!</definedName>
    <definedName name="DIB45_250" localSheetId="0">#REF!</definedName>
    <definedName name="DIB45_250">#REF!</definedName>
    <definedName name="DIB45_300" localSheetId="0">#REF!</definedName>
    <definedName name="DIB45_300">#REF!</definedName>
    <definedName name="DIB45_350" localSheetId="0">#REF!</definedName>
    <definedName name="DIB45_350">#REF!</definedName>
    <definedName name="DIB45_400" localSheetId="0">#REF!</definedName>
    <definedName name="DIB45_400">#REF!</definedName>
    <definedName name="DIB45_450" localSheetId="0">#REF!</definedName>
    <definedName name="DIB45_450">#REF!</definedName>
    <definedName name="DIB45_500" localSheetId="0">#REF!</definedName>
    <definedName name="DIB45_500">#REF!</definedName>
    <definedName name="DIB45_600" localSheetId="0">#REF!</definedName>
    <definedName name="DIB45_600">#REF!</definedName>
    <definedName name="DIB45_80" localSheetId="0">#REF!</definedName>
    <definedName name="DIB45_80">#REF!</definedName>
    <definedName name="DIB90_100" localSheetId="0">#REF!</definedName>
    <definedName name="DIB90_100">#REF!</definedName>
    <definedName name="DIB90_125" localSheetId="0">#REF!</definedName>
    <definedName name="DIB90_125">#REF!</definedName>
    <definedName name="DIB90_150" localSheetId="0">#REF!</definedName>
    <definedName name="DIB90_150">#REF!</definedName>
    <definedName name="DIB90_200" localSheetId="0">#REF!</definedName>
    <definedName name="DIB90_200">#REF!</definedName>
    <definedName name="DIB90_250" localSheetId="0">#REF!</definedName>
    <definedName name="DIB90_250">#REF!</definedName>
    <definedName name="DIB90_300" localSheetId="0">#REF!</definedName>
    <definedName name="DIB90_300">#REF!</definedName>
    <definedName name="DIB90_350" localSheetId="0">#REF!</definedName>
    <definedName name="DIB90_350">#REF!</definedName>
    <definedName name="DIB90_400" localSheetId="0">#REF!</definedName>
    <definedName name="DIB90_400">#REF!</definedName>
    <definedName name="DIB90_450" localSheetId="0">#REF!</definedName>
    <definedName name="DIB90_450">#REF!</definedName>
    <definedName name="DIB90_500" localSheetId="0">#REF!</definedName>
    <definedName name="DIB90_500">#REF!</definedName>
    <definedName name="DIB90_600" localSheetId="0">#REF!</definedName>
    <definedName name="DIB90_600">#REF!</definedName>
    <definedName name="DIB90_80" localSheetId="0">#REF!</definedName>
    <definedName name="DIB90_80">#REF!</definedName>
    <definedName name="DIBM_100" localSheetId="0">#REF!</definedName>
    <definedName name="DIBM_100">#REF!</definedName>
    <definedName name="DIBM_125" localSheetId="0">#REF!</definedName>
    <definedName name="DIBM_125">#REF!</definedName>
    <definedName name="DIBM_150" localSheetId="0">#REF!</definedName>
    <definedName name="DIBM_150">#REF!</definedName>
    <definedName name="DIBM_200" localSheetId="0">#REF!</definedName>
    <definedName name="DIBM_200">#REF!</definedName>
    <definedName name="DIBM_250" localSheetId="0">#REF!</definedName>
    <definedName name="DIBM_250">#REF!</definedName>
    <definedName name="DIBM_300" localSheetId="0">#REF!</definedName>
    <definedName name="DIBM_300">#REF!</definedName>
    <definedName name="DIBM_350" localSheetId="0">#REF!</definedName>
    <definedName name="DIBM_350">#REF!</definedName>
    <definedName name="DIBM_400" localSheetId="0">#REF!</definedName>
    <definedName name="DIBM_400">#REF!</definedName>
    <definedName name="DIBM_450" localSheetId="0">#REF!</definedName>
    <definedName name="DIBM_450">#REF!</definedName>
    <definedName name="DIBM_500" localSheetId="0">#REF!</definedName>
    <definedName name="DIBM_500">#REF!</definedName>
    <definedName name="DIBM_600" localSheetId="0">#REF!</definedName>
    <definedName name="DIBM_600">#REF!</definedName>
    <definedName name="DIBM_700" localSheetId="0">#REF!</definedName>
    <definedName name="DIBM_700">#REF!</definedName>
    <definedName name="DIC_100" localSheetId="0">#REF!</definedName>
    <definedName name="DIC_100">#REF!</definedName>
    <definedName name="DIC_125" localSheetId="0">#REF!</definedName>
    <definedName name="DIC_125">#REF!</definedName>
    <definedName name="DIC_150" localSheetId="0">#REF!</definedName>
    <definedName name="DIC_150">#REF!</definedName>
    <definedName name="DIC_200" localSheetId="0">#REF!</definedName>
    <definedName name="DIC_200">#REF!</definedName>
    <definedName name="DIC_250" localSheetId="0">#REF!</definedName>
    <definedName name="DIC_250">#REF!</definedName>
    <definedName name="DIC_300" localSheetId="0">#REF!</definedName>
    <definedName name="DIC_300">#REF!</definedName>
    <definedName name="DIC_350" localSheetId="0">#REF!</definedName>
    <definedName name="DIC_350">#REF!</definedName>
    <definedName name="DIC_400" localSheetId="0">#REF!</definedName>
    <definedName name="DIC_400">#REF!</definedName>
    <definedName name="DIC_450" localSheetId="0">#REF!</definedName>
    <definedName name="DIC_450">#REF!</definedName>
    <definedName name="DIC_500" localSheetId="0">#REF!</definedName>
    <definedName name="DIC_500">#REF!</definedName>
    <definedName name="DIC_80" localSheetId="0">#REF!</definedName>
    <definedName name="DIC_80">#REF!</definedName>
    <definedName name="DID1126_100" localSheetId="0">#REF!</definedName>
    <definedName name="DID1126_100">#REF!</definedName>
    <definedName name="DID1126_125" localSheetId="0">#REF!</definedName>
    <definedName name="DID1126_125">#REF!</definedName>
    <definedName name="DID1126_150" localSheetId="0">#REF!</definedName>
    <definedName name="DID1126_150">#REF!</definedName>
    <definedName name="DID1126_200" localSheetId="0">#REF!</definedName>
    <definedName name="DID1126_200">#REF!</definedName>
    <definedName name="DID1126_250" localSheetId="0">#REF!</definedName>
    <definedName name="DID1126_250">#REF!</definedName>
    <definedName name="DID1126_300" localSheetId="0">#REF!</definedName>
    <definedName name="DID1126_300">#REF!</definedName>
    <definedName name="DID1126_350" localSheetId="0">#REF!</definedName>
    <definedName name="DID1126_350">#REF!</definedName>
    <definedName name="DID1126_400" localSheetId="0">#REF!</definedName>
    <definedName name="DID1126_400">#REF!</definedName>
    <definedName name="DID1126_450" localSheetId="0">#REF!</definedName>
    <definedName name="DID1126_450">#REF!</definedName>
    <definedName name="DID1126_500" localSheetId="0">#REF!</definedName>
    <definedName name="DID1126_500">#REF!</definedName>
    <definedName name="DID1126_600" localSheetId="0">#REF!</definedName>
    <definedName name="DID1126_600">#REF!</definedName>
    <definedName name="DID1126_80" localSheetId="0">#REF!</definedName>
    <definedName name="DID1126_80">#REF!</definedName>
    <definedName name="DID2260_100" localSheetId="0">#REF!</definedName>
    <definedName name="DID2260_100">#REF!</definedName>
    <definedName name="DID2260_125" localSheetId="0">#REF!</definedName>
    <definedName name="DID2260_125">#REF!</definedName>
    <definedName name="DID2260_150" localSheetId="0">#REF!</definedName>
    <definedName name="DID2260_150">#REF!</definedName>
    <definedName name="DID2260_200" localSheetId="0">#REF!</definedName>
    <definedName name="DID2260_200">#REF!</definedName>
    <definedName name="DID2260_250" localSheetId="0">#REF!</definedName>
    <definedName name="DID2260_250">#REF!</definedName>
    <definedName name="DID2260_300" localSheetId="0">#REF!</definedName>
    <definedName name="DID2260_300">#REF!</definedName>
    <definedName name="DID2260_350" localSheetId="0">#REF!</definedName>
    <definedName name="DID2260_350">#REF!</definedName>
    <definedName name="DID2260_400" localSheetId="0">#REF!</definedName>
    <definedName name="DID2260_400">#REF!</definedName>
    <definedName name="DID2260_450" localSheetId="0">#REF!</definedName>
    <definedName name="DID2260_450">#REF!</definedName>
    <definedName name="DID2260_500" localSheetId="0">#REF!</definedName>
    <definedName name="DID2260_500">#REF!</definedName>
    <definedName name="DID2260_600" localSheetId="0">#REF!</definedName>
    <definedName name="DID2260_600">#REF!</definedName>
    <definedName name="DID2260_80" localSheetId="0">#REF!</definedName>
    <definedName name="DID2260_80">#REF!</definedName>
    <definedName name="DID45_100" localSheetId="0">#REF!</definedName>
    <definedName name="DID45_100">#REF!</definedName>
    <definedName name="DID45_125" localSheetId="0">#REF!</definedName>
    <definedName name="DID45_125">#REF!</definedName>
    <definedName name="DID45_150" localSheetId="0">#REF!</definedName>
    <definedName name="DID45_150">#REF!</definedName>
    <definedName name="DID45_200" localSheetId="0">#REF!</definedName>
    <definedName name="DID45_200">#REF!</definedName>
    <definedName name="DID45_250" localSheetId="0">#REF!</definedName>
    <definedName name="DID45_250">#REF!</definedName>
    <definedName name="DID45_300" localSheetId="0">#REF!</definedName>
    <definedName name="DID45_300">#REF!</definedName>
    <definedName name="DID45_350" localSheetId="0">#REF!</definedName>
    <definedName name="DID45_350">#REF!</definedName>
    <definedName name="DID45_400" localSheetId="0">#REF!</definedName>
    <definedName name="DID45_400">#REF!</definedName>
    <definedName name="DID45_450" localSheetId="0">#REF!</definedName>
    <definedName name="DID45_450">#REF!</definedName>
    <definedName name="DID45_500" localSheetId="0">#REF!</definedName>
    <definedName name="DID45_500">#REF!</definedName>
    <definedName name="DID45_600" localSheetId="0">#REF!</definedName>
    <definedName name="DID45_600">#REF!</definedName>
    <definedName name="DID45_80" localSheetId="0">#REF!</definedName>
    <definedName name="DID45_80">#REF!</definedName>
    <definedName name="DID90_100" localSheetId="0">#REF!</definedName>
    <definedName name="DID90_100">#REF!</definedName>
    <definedName name="DID90_125" localSheetId="0">#REF!</definedName>
    <definedName name="DID90_125">#REF!</definedName>
    <definedName name="DID90_150" localSheetId="0">#REF!</definedName>
    <definedName name="DID90_150">#REF!</definedName>
    <definedName name="DID90_200" localSheetId="0">#REF!</definedName>
    <definedName name="DID90_200">#REF!</definedName>
    <definedName name="DID90_250" localSheetId="0">#REF!</definedName>
    <definedName name="DID90_250">#REF!</definedName>
    <definedName name="DID90_300" localSheetId="0">#REF!</definedName>
    <definedName name="DID90_300">#REF!</definedName>
    <definedName name="DID90_350" localSheetId="0">#REF!</definedName>
    <definedName name="DID90_350">#REF!</definedName>
    <definedName name="DID90_400" localSheetId="0">#REF!</definedName>
    <definedName name="DID90_400">#REF!</definedName>
    <definedName name="DID90_450" localSheetId="0">#REF!</definedName>
    <definedName name="DID90_450">#REF!</definedName>
    <definedName name="DID90_500" localSheetId="0">#REF!</definedName>
    <definedName name="DID90_500">#REF!</definedName>
    <definedName name="DID90_600" localSheetId="0">#REF!</definedName>
    <definedName name="DID90_600">#REF!</definedName>
    <definedName name="DID90_80" localSheetId="0">#REF!</definedName>
    <definedName name="DID90_80">#REF!</definedName>
    <definedName name="DIDA_100" localSheetId="0">#REF!</definedName>
    <definedName name="DIDA_100">#REF!</definedName>
    <definedName name="DIDA_50" localSheetId="0">#REF!</definedName>
    <definedName name="DIDA_50">#REF!</definedName>
    <definedName name="DIDA_80" localSheetId="0">#REF!</definedName>
    <definedName name="DIDA_80">#REF!</definedName>
    <definedName name="Die">[17]DR!$D$53</definedName>
    <definedName name="Dies">[75]rate!$M$17</definedName>
    <definedName name="diesel" localSheetId="0">[31]rate!$M$15</definedName>
    <definedName name="diesel">'[51]dist rate material'!$D$12</definedName>
    <definedName name="Diesel_LT_M">[47]Transport_Cost_F!$D$30</definedName>
    <definedName name="diesel1">'[17] 24 kaski D.Rate'!$G$17</definedName>
    <definedName name="DIF1126_100" localSheetId="0">#REF!</definedName>
    <definedName name="DIF1126_100">#REF!</definedName>
    <definedName name="DIF1126_125" localSheetId="0">#REF!</definedName>
    <definedName name="DIF1126_125">#REF!</definedName>
    <definedName name="DIF1126_150" localSheetId="0">#REF!</definedName>
    <definedName name="DIF1126_150">#REF!</definedName>
    <definedName name="DIF1126_200" localSheetId="0">#REF!</definedName>
    <definedName name="DIF1126_200">#REF!</definedName>
    <definedName name="DIF1126_250" localSheetId="0">#REF!</definedName>
    <definedName name="DIF1126_250">#REF!</definedName>
    <definedName name="DIF1126_300" localSheetId="0">#REF!</definedName>
    <definedName name="DIF1126_300">#REF!</definedName>
    <definedName name="DIF1126_350" localSheetId="0">#REF!</definedName>
    <definedName name="DIF1126_350">#REF!</definedName>
    <definedName name="DIF1126_450" localSheetId="0">#REF!</definedName>
    <definedName name="DIF1126_450">#REF!</definedName>
    <definedName name="DIF1126_500" localSheetId="0">#REF!</definedName>
    <definedName name="DIF1126_500">#REF!</definedName>
    <definedName name="DIF1126_600" localSheetId="0">#REF!</definedName>
    <definedName name="DIF1126_600">#REF!</definedName>
    <definedName name="DIF1126_80" localSheetId="0">#REF!</definedName>
    <definedName name="DIF1126_80">#REF!</definedName>
    <definedName name="DIF2260_100" localSheetId="0">#REF!</definedName>
    <definedName name="DIF2260_100">#REF!</definedName>
    <definedName name="DIF2260_125" localSheetId="0">#REF!</definedName>
    <definedName name="DIF2260_125">#REF!</definedName>
    <definedName name="DIF2260_150" localSheetId="0">#REF!</definedName>
    <definedName name="DIF2260_150">#REF!</definedName>
    <definedName name="DIF2260_200" localSheetId="0">#REF!</definedName>
    <definedName name="DIF2260_200">#REF!</definedName>
    <definedName name="DIF2260_250" localSheetId="0">#REF!</definedName>
    <definedName name="DIF2260_250">#REF!</definedName>
    <definedName name="DIF2260_300" localSheetId="0">#REF!</definedName>
    <definedName name="DIF2260_300">#REF!</definedName>
    <definedName name="DIF2260_350" localSheetId="0">#REF!</definedName>
    <definedName name="DIF2260_350">#REF!</definedName>
    <definedName name="DIF2260_400" localSheetId="0">#REF!</definedName>
    <definedName name="DIF2260_400">#REF!</definedName>
    <definedName name="DIF2260_450" localSheetId="0">#REF!</definedName>
    <definedName name="DIF2260_450">#REF!</definedName>
    <definedName name="DIF2260_500" localSheetId="0">#REF!</definedName>
    <definedName name="DIF2260_500">#REF!</definedName>
    <definedName name="DIF2260_600" localSheetId="0">#REF!</definedName>
    <definedName name="DIF2260_600">#REF!</definedName>
    <definedName name="DIF2260_80" localSheetId="0">#REF!</definedName>
    <definedName name="DIF2260_80">#REF!</definedName>
    <definedName name="DIF45_100" localSheetId="0">#REF!</definedName>
    <definedName name="DIF45_100">#REF!</definedName>
    <definedName name="DIF45_125" localSheetId="0">#REF!</definedName>
    <definedName name="DIF45_125">#REF!</definedName>
    <definedName name="DIF45_150" localSheetId="0">#REF!</definedName>
    <definedName name="DIF45_150">#REF!</definedName>
    <definedName name="DIF45_200" localSheetId="0">#REF!</definedName>
    <definedName name="DIF45_200">#REF!</definedName>
    <definedName name="DIF45_250" localSheetId="0">#REF!</definedName>
    <definedName name="DIF45_250">#REF!</definedName>
    <definedName name="DIF45_300" localSheetId="0">#REF!</definedName>
    <definedName name="DIF45_300">#REF!</definedName>
    <definedName name="DIF45_350" localSheetId="0">#REF!</definedName>
    <definedName name="DIF45_350">#REF!</definedName>
    <definedName name="DIF45_400" localSheetId="0">#REF!</definedName>
    <definedName name="DIF45_400">#REF!</definedName>
    <definedName name="DIF45_450" localSheetId="0">#REF!</definedName>
    <definedName name="DIF45_450">#REF!</definedName>
    <definedName name="DIF45_500" localSheetId="0">#REF!</definedName>
    <definedName name="DIF45_500">#REF!</definedName>
    <definedName name="DIF45_600" localSheetId="0">#REF!</definedName>
    <definedName name="DIF45_600">#REF!</definedName>
    <definedName name="DIF45_80" localSheetId="0">#REF!</definedName>
    <definedName name="DIF45_80">#REF!</definedName>
    <definedName name="DIF90_100" localSheetId="0">#REF!</definedName>
    <definedName name="DIF90_100">#REF!</definedName>
    <definedName name="DIF90_125" localSheetId="0">#REF!</definedName>
    <definedName name="DIF90_125">#REF!</definedName>
    <definedName name="DIF90_150" localSheetId="0">#REF!</definedName>
    <definedName name="DIF90_150">#REF!</definedName>
    <definedName name="DIF90_200" localSheetId="0">#REF!</definedName>
    <definedName name="DIF90_200">#REF!</definedName>
    <definedName name="DIF90_250" localSheetId="0">#REF!</definedName>
    <definedName name="DIF90_250">#REF!</definedName>
    <definedName name="DIF90_300" localSheetId="0">#REF!</definedName>
    <definedName name="DIF90_300">#REF!</definedName>
    <definedName name="DIF90_350" localSheetId="0">#REF!</definedName>
    <definedName name="DIF90_350">#REF!</definedName>
    <definedName name="DIF90_400" localSheetId="0">#REF!</definedName>
    <definedName name="DIF90_400">#REF!</definedName>
    <definedName name="DIF90_450" localSheetId="0">#REF!</definedName>
    <definedName name="DIF90_450">#REF!</definedName>
    <definedName name="DIF90_500" localSheetId="0">#REF!</definedName>
    <definedName name="DIF90_500">#REF!</definedName>
    <definedName name="DIF90_600" localSheetId="0">#REF!</definedName>
    <definedName name="DIF90_600">#REF!</definedName>
    <definedName name="DIF90_80" localSheetId="0">#REF!</definedName>
    <definedName name="DIF90_80">#REF!</definedName>
    <definedName name="DIG_100" localSheetId="0">#REF!</definedName>
    <definedName name="DIG_100">#REF!</definedName>
    <definedName name="DIG_125" localSheetId="0">#REF!</definedName>
    <definedName name="DIG_125">#REF!</definedName>
    <definedName name="DIG_150" localSheetId="0">#REF!</definedName>
    <definedName name="DIG_150">#REF!</definedName>
    <definedName name="DIG_200" localSheetId="0">#REF!</definedName>
    <definedName name="DIG_200">#REF!</definedName>
    <definedName name="DIG_250" localSheetId="0">#REF!</definedName>
    <definedName name="DIG_250">#REF!</definedName>
    <definedName name="DIG_300" localSheetId="0">#REF!</definedName>
    <definedName name="DIG_300">#REF!</definedName>
    <definedName name="DIG_350" localSheetId="0">#REF!</definedName>
    <definedName name="DIG_350">#REF!</definedName>
    <definedName name="DIG_400" localSheetId="0">#REF!</definedName>
    <definedName name="DIG_400">#REF!</definedName>
    <definedName name="DIG_450" localSheetId="0">#REF!</definedName>
    <definedName name="DIG_450">#REF!</definedName>
    <definedName name="DIG_500" localSheetId="0">#REF!</definedName>
    <definedName name="DIG_500">#REF!</definedName>
    <definedName name="DIG_600" localSheetId="0">#REF!</definedName>
    <definedName name="DIG_600">#REF!</definedName>
    <definedName name="DIG_80" localSheetId="0">#REF!</definedName>
    <definedName name="DIG_80">#REF!</definedName>
    <definedName name="DIM_100" localSheetId="0">#REF!</definedName>
    <definedName name="DIM_100">#REF!</definedName>
    <definedName name="DIM_125" localSheetId="0">#REF!</definedName>
    <definedName name="DIM_125">#REF!</definedName>
    <definedName name="DIM_150" localSheetId="0">#REF!</definedName>
    <definedName name="DIM_150">#REF!</definedName>
    <definedName name="DIM_200" localSheetId="0">#REF!</definedName>
    <definedName name="DIM_200">#REF!</definedName>
    <definedName name="DIM_250" localSheetId="0">#REF!</definedName>
    <definedName name="DIM_250">#REF!</definedName>
    <definedName name="DIM_300" localSheetId="0">#REF!</definedName>
    <definedName name="DIM_300">#REF!</definedName>
    <definedName name="DIM_350" localSheetId="0">#REF!</definedName>
    <definedName name="DIM_350">#REF!</definedName>
    <definedName name="DIM_400" localSheetId="0">#REF!</definedName>
    <definedName name="DIM_400">#REF!</definedName>
    <definedName name="DIM_450" localSheetId="0">#REF!</definedName>
    <definedName name="DIM_450">#REF!</definedName>
    <definedName name="DIM_500" localSheetId="0">#REF!</definedName>
    <definedName name="DIM_500">#REF!</definedName>
    <definedName name="DIM_600" localSheetId="0">#REF!</definedName>
    <definedName name="DIM_600">#REF!</definedName>
    <definedName name="DIM_80" localSheetId="0">#REF!</definedName>
    <definedName name="DIM_80">#REF!</definedName>
    <definedName name="DimFRT" hidden="1">[37]Sheets!$L$63:$O$77</definedName>
    <definedName name="DimRCC" hidden="1">[10]Sheets!$G$74:$H$75</definedName>
    <definedName name="Din" localSheetId="0" hidden="1">VLOOKUP([21]PipeDesign!$W1,rPFdata,4,FALSE)</definedName>
    <definedName name="Din" hidden="1">VLOOKUP([21]PipeDesign!$W1,rPFdata,4,FALSE)</definedName>
    <definedName name="dis_chb" localSheetId="0">#REF!</definedName>
    <definedName name="dis_chb">#REF!</definedName>
    <definedName name="DIS1125_100" localSheetId="0">#REF!</definedName>
    <definedName name="DIS1125_100">#REF!</definedName>
    <definedName name="DIS1125_125" localSheetId="0">#REF!</definedName>
    <definedName name="DIS1125_125">#REF!</definedName>
    <definedName name="DIS1125_150" localSheetId="0">#REF!</definedName>
    <definedName name="DIS1125_150">#REF!</definedName>
    <definedName name="DIS1125_200" localSheetId="0">#REF!</definedName>
    <definedName name="DIS1125_200">#REF!</definedName>
    <definedName name="DIS1125_250" localSheetId="0">#REF!</definedName>
    <definedName name="DIS1125_250">#REF!</definedName>
    <definedName name="DIS1125_300" localSheetId="0">#REF!</definedName>
    <definedName name="DIS1125_300">#REF!</definedName>
    <definedName name="DIS1125_350" localSheetId="0">#REF!</definedName>
    <definedName name="DIS1125_350">#REF!</definedName>
    <definedName name="DIS1125_400" localSheetId="0">#REF!</definedName>
    <definedName name="DIS1125_400">#REF!</definedName>
    <definedName name="DIS1125_450" localSheetId="0">#REF!</definedName>
    <definedName name="DIS1125_450">#REF!</definedName>
    <definedName name="DIS1125_500" localSheetId="0">#REF!</definedName>
    <definedName name="DIS1125_500">#REF!</definedName>
    <definedName name="DIS1125_600" localSheetId="0">#REF!</definedName>
    <definedName name="DIS1125_600">#REF!</definedName>
    <definedName name="DIS1125_80" localSheetId="0">#REF!</definedName>
    <definedName name="DIS1125_80">#REF!</definedName>
    <definedName name="DIS2260_100" localSheetId="0">#REF!</definedName>
    <definedName name="DIS2260_100">#REF!</definedName>
    <definedName name="DIS2260_125" localSheetId="0">#REF!</definedName>
    <definedName name="DIS2260_125">#REF!</definedName>
    <definedName name="DIS2260_150" localSheetId="0">#REF!</definedName>
    <definedName name="DIS2260_150">#REF!</definedName>
    <definedName name="DIS2260_200" localSheetId="0">#REF!</definedName>
    <definedName name="DIS2260_200">#REF!</definedName>
    <definedName name="DIS2260_250" localSheetId="0">#REF!</definedName>
    <definedName name="DIS2260_250">#REF!</definedName>
    <definedName name="DIS2260_300" localSheetId="0">#REF!</definedName>
    <definedName name="DIS2260_300">#REF!</definedName>
    <definedName name="DIS2260_350" localSheetId="0">#REF!</definedName>
    <definedName name="DIS2260_350">#REF!</definedName>
    <definedName name="DIS2260_400" localSheetId="0">#REF!</definedName>
    <definedName name="DIS2260_400">#REF!</definedName>
    <definedName name="DIS2260_450" localSheetId="0">#REF!</definedName>
    <definedName name="DIS2260_450">#REF!</definedName>
    <definedName name="DIS2260_500" localSheetId="0">#REF!</definedName>
    <definedName name="DIS2260_500">#REF!</definedName>
    <definedName name="DIS2260_600" localSheetId="0">#REF!</definedName>
    <definedName name="DIS2260_600">#REF!</definedName>
    <definedName name="DIS2260_80" localSheetId="0">#REF!</definedName>
    <definedName name="DIS2260_80">#REF!</definedName>
    <definedName name="DIS45_100" localSheetId="0">#REF!</definedName>
    <definedName name="DIS45_100">#REF!</definedName>
    <definedName name="DIS45_125" localSheetId="0">#REF!</definedName>
    <definedName name="DIS45_125">#REF!</definedName>
    <definedName name="DIS45_150" localSheetId="0">#REF!</definedName>
    <definedName name="DIS45_150">#REF!</definedName>
    <definedName name="DIS45_200" localSheetId="0">#REF!</definedName>
    <definedName name="DIS45_200">#REF!</definedName>
    <definedName name="DIS45_250" localSheetId="0">#REF!</definedName>
    <definedName name="DIS45_250">#REF!</definedName>
    <definedName name="DIS45_300" localSheetId="0">#REF!</definedName>
    <definedName name="DIS45_300">#REF!</definedName>
    <definedName name="DIS45_350" localSheetId="0">#REF!</definedName>
    <definedName name="DIS45_350">#REF!</definedName>
    <definedName name="DIS45_400" localSheetId="0">#REF!</definedName>
    <definedName name="DIS45_400">#REF!</definedName>
    <definedName name="DIS45_450" localSheetId="0">#REF!</definedName>
    <definedName name="DIS45_450">#REF!</definedName>
    <definedName name="DIS45_500" localSheetId="0">#REF!</definedName>
    <definedName name="DIS45_500">#REF!</definedName>
    <definedName name="DIS45_600" localSheetId="0">#REF!</definedName>
    <definedName name="DIS45_600">#REF!</definedName>
    <definedName name="DIS45_80" localSheetId="0">#REF!</definedName>
    <definedName name="DIS45_80">#REF!</definedName>
    <definedName name="DIS90_100" localSheetId="0">#REF!</definedName>
    <definedName name="DIS90_100">#REF!</definedName>
    <definedName name="DIS90_125" localSheetId="0">#REF!</definedName>
    <definedName name="DIS90_125">#REF!</definedName>
    <definedName name="DIS90_150" localSheetId="0">#REF!</definedName>
    <definedName name="DIS90_150">#REF!</definedName>
    <definedName name="DIS90_200" localSheetId="0">#REF!</definedName>
    <definedName name="DIS90_200">#REF!</definedName>
    <definedName name="DIS90_250" localSheetId="0">#REF!</definedName>
    <definedName name="DIS90_250">#REF!</definedName>
    <definedName name="DIS90_300" localSheetId="0">#REF!</definedName>
    <definedName name="DIS90_300">#REF!</definedName>
    <definedName name="DIS90_350" localSheetId="0">#REF!</definedName>
    <definedName name="DIS90_350">#REF!</definedName>
    <definedName name="DIS90_400" localSheetId="0">#REF!</definedName>
    <definedName name="DIS90_400">#REF!</definedName>
    <definedName name="DIS90_450" localSheetId="0">#REF!</definedName>
    <definedName name="DIS90_450">#REF!</definedName>
    <definedName name="DIS90_500" localSheetId="0">#REF!</definedName>
    <definedName name="DIS90_500">#REF!</definedName>
    <definedName name="DIS90_600" localSheetId="0">#REF!</definedName>
    <definedName name="DIS90_600">#REF!</definedName>
    <definedName name="DIS90_80" localSheetId="0">#REF!</definedName>
    <definedName name="DIS90_80">#REF!</definedName>
    <definedName name="DISA_150" localSheetId="0">#REF!</definedName>
    <definedName name="DISA_150">#REF!</definedName>
    <definedName name="DISA_250" localSheetId="0">#REF!</definedName>
    <definedName name="DISA_250">#REF!</definedName>
    <definedName name="Dist_Data">'[76]Other Data'!$A$4:$C$78</definedName>
    <definedName name="Dist1" localSheetId="0">[62]Ta304!$I$6</definedName>
    <definedName name="Dist1">[63]Ta304!$I$6</definedName>
    <definedName name="DISTANCE">#REF!</definedName>
    <definedName name="distqr">#REF!</definedName>
    <definedName name="distrdhd">#REF!</definedName>
    <definedName name="distributor" localSheetId="0">[31]rate!$M$46</definedName>
    <definedName name="distributor">#REF!</definedName>
    <definedName name="District" hidden="1">[77]Data!$D$5</definedName>
    <definedName name="District1" localSheetId="0">#REF!</definedName>
    <definedName name="District1">#REF!</definedName>
    <definedName name="DLcost1" hidden="1">[21]PipeLineWork!$O$77</definedName>
    <definedName name="DLCost10" hidden="1">[25]PipeLineWork!$O$667</definedName>
    <definedName name="DLCost11" hidden="1">[25]PipeLineWork!$O$733</definedName>
    <definedName name="DLCost12" hidden="1">[25]PipeLineWork!$O$799</definedName>
    <definedName name="DLCost13" hidden="1">[25]PipeLineWork!$O$865</definedName>
    <definedName name="DLCost14" hidden="1">[25]PipeLineWork!$O$931</definedName>
    <definedName name="DLCost15" hidden="1">[25]PipeLineWork!$O$997</definedName>
    <definedName name="DLCost16" hidden="1">[25]PipeLineWork!$O$1063</definedName>
    <definedName name="DLCost17" hidden="1">[25]PipeLineWork!$O$1129</definedName>
    <definedName name="DLCost18" hidden="1">[25]PipeLineWork!$O$1195</definedName>
    <definedName name="DLCost19" hidden="1">[25]PipeLineWork!$O$1261</definedName>
    <definedName name="DLCost2" hidden="1">[21]PipeLineWork!$O$147</definedName>
    <definedName name="DLCost20" hidden="1">[25]PipeLineWork!$O$1327</definedName>
    <definedName name="DLCost21" hidden="1">[25]PipeLineWork!$O$1393</definedName>
    <definedName name="DLCost22" hidden="1">[25]PipeLineWork!$O$1459</definedName>
    <definedName name="DLCost23" hidden="1">[25]PipeLineWork!$O$1525</definedName>
    <definedName name="DLCost24" hidden="1">[25]PipeLineWork!$O$1591</definedName>
    <definedName name="DLCost25" hidden="1">[25]PipeLineWork!$O$1657</definedName>
    <definedName name="DLCost26" hidden="1">[25]PipeLineWork!$O$1723</definedName>
    <definedName name="DLCost27" hidden="1">[25]PipeLineWork!$O$1789</definedName>
    <definedName name="DLCost3" hidden="1">[21]PipeLineWork!$O$217</definedName>
    <definedName name="DLCost4" hidden="1">[25]PipeLineWork!$O$271</definedName>
    <definedName name="DLCost5" hidden="1">[25]PipeLineWork!$O$337</definedName>
    <definedName name="DLCost6" hidden="1">[25]PipeLineWork!$O$403</definedName>
    <definedName name="DLCost7" hidden="1">[25]PipeLineWork!$O$469</definedName>
    <definedName name="DLCost8" hidden="1">[25]PipeLineWork!$O$535</definedName>
    <definedName name="DLCost9" hidden="1">[25]PipeLineWork!$O$601</definedName>
    <definedName name="DLJ_100" localSheetId="0">#REF!</definedName>
    <definedName name="DLJ_100">#REF!</definedName>
    <definedName name="DLJ_125" localSheetId="0">#REF!</definedName>
    <definedName name="DLJ_125">#REF!</definedName>
    <definedName name="DLJ_150" localSheetId="0">#REF!</definedName>
    <definedName name="DLJ_150">#REF!</definedName>
    <definedName name="DLJ_200" localSheetId="0">#REF!</definedName>
    <definedName name="DLJ_200">#REF!</definedName>
    <definedName name="DLJ_250" localSheetId="0">#REF!</definedName>
    <definedName name="DLJ_250">#REF!</definedName>
    <definedName name="DLJ_300" localSheetId="0">#REF!</definedName>
    <definedName name="DLJ_300">#REF!</definedName>
    <definedName name="DLJ_350" localSheetId="0">#REF!</definedName>
    <definedName name="DLJ_350">#REF!</definedName>
    <definedName name="DLJ_400" localSheetId="0">#REF!</definedName>
    <definedName name="DLJ_400">#REF!</definedName>
    <definedName name="DLJ_80" localSheetId="0">#REF!</definedName>
    <definedName name="DLJ_80">#REF!</definedName>
    <definedName name="DM_211" localSheetId="0">#REF!</definedName>
    <definedName name="DM_211">#REF!</definedName>
    <definedName name="DM_21H" localSheetId="0">#REF!</definedName>
    <definedName name="DM_21H">#REF!</definedName>
    <definedName name="DM_311" localSheetId="0">#REF!</definedName>
    <definedName name="DM_311">#REF!</definedName>
    <definedName name="DM_31H" localSheetId="0">#REF!</definedName>
    <definedName name="DM_31H">#REF!</definedName>
    <definedName name="DM_3HH" localSheetId="0">#REF!</definedName>
    <definedName name="DM_3HH">#REF!</definedName>
    <definedName name="DM_DIFITF100_MATERIAL" localSheetId="0">#REF!</definedName>
    <definedName name="DM_DIFITF100_MATERIAL">#REF!</definedName>
    <definedName name="DM_DIFITF100_SKILLED" localSheetId="0">#REF!</definedName>
    <definedName name="DM_DIFITF100_SKILLED">#REF!</definedName>
    <definedName name="DM_DIFITF100_UNSKILLED" localSheetId="0">#REF!</definedName>
    <definedName name="DM_DIFITF100_UNSKILLED">#REF!</definedName>
    <definedName name="DM_DIFITF125_MATERIAL" localSheetId="0">#REF!</definedName>
    <definedName name="DM_DIFITF125_MATERIAL">#REF!</definedName>
    <definedName name="DM_DIFITF125_SKILLED" localSheetId="0">#REF!</definedName>
    <definedName name="DM_DIFITF125_SKILLED">#REF!</definedName>
    <definedName name="DM_DIFITF125_UNSKILLED" localSheetId="0">#REF!</definedName>
    <definedName name="DM_DIFITF125_UNSKILLED">#REF!</definedName>
    <definedName name="DM_DIFITF150_MATERIAL" localSheetId="0">#REF!</definedName>
    <definedName name="DM_DIFITF150_MATERIAL">#REF!</definedName>
    <definedName name="DM_DIFITF150_SKILLED" localSheetId="0">#REF!</definedName>
    <definedName name="DM_DIFITF150_SKILLED">#REF!</definedName>
    <definedName name="DM_DIFITF150_UNSKILLED" localSheetId="0">#REF!</definedName>
    <definedName name="DM_DIFITF150_UNSKILLED">#REF!</definedName>
    <definedName name="DM_DIFITF200_MATERIAL" localSheetId="0">#REF!</definedName>
    <definedName name="DM_DIFITF200_MATERIAL">#REF!</definedName>
    <definedName name="DM_DIFITF200_SKILLED" localSheetId="0">#REF!</definedName>
    <definedName name="DM_DIFITF200_SKILLED">#REF!</definedName>
    <definedName name="DM_DIFITF200_UNSKILLED" localSheetId="0">#REF!</definedName>
    <definedName name="DM_DIFITF200_UNSKILLED">#REF!</definedName>
    <definedName name="DM_DIFITF250_MATERIAL" localSheetId="0">#REF!</definedName>
    <definedName name="DM_DIFITF250_MATERIAL">#REF!</definedName>
    <definedName name="DM_DIFITF250_SKILLED" localSheetId="0">#REF!</definedName>
    <definedName name="DM_DIFITF250_SKILLED">#REF!</definedName>
    <definedName name="DM_DIFITF250_UNSKILLED" localSheetId="0">#REF!</definedName>
    <definedName name="DM_DIFITF250_UNSKILLED">#REF!</definedName>
    <definedName name="DM_DIFITF300_MATERIAL" localSheetId="0">#REF!</definedName>
    <definedName name="DM_DIFITF300_MATERIAL">#REF!</definedName>
    <definedName name="DM_DIFITF300_SKILLED" localSheetId="0">#REF!</definedName>
    <definedName name="DM_DIFITF300_SKILLED">#REF!</definedName>
    <definedName name="DM_DIFITF300_UNSKILLED" localSheetId="0">#REF!</definedName>
    <definedName name="DM_DIFITF300_UNSKILLED">#REF!</definedName>
    <definedName name="DM_DIFITF350_MATERIAL" localSheetId="0">#REF!</definedName>
    <definedName name="DM_DIFITF350_MATERIAL">#REF!</definedName>
    <definedName name="DM_DIFITF350_SKILLED" localSheetId="0">#REF!</definedName>
    <definedName name="DM_DIFITF350_SKILLED">#REF!</definedName>
    <definedName name="DM_DIFITF350_UNSKILLED" localSheetId="0">#REF!</definedName>
    <definedName name="DM_DIFITF350_UNSKILLED">#REF!</definedName>
    <definedName name="DM_DIFITF400_MATERIAL" localSheetId="0">#REF!</definedName>
    <definedName name="DM_DIFITF400_MATERIAL">#REF!</definedName>
    <definedName name="DM_DIFITF400_SKILLED" localSheetId="0">#REF!</definedName>
    <definedName name="DM_DIFITF400_SKILLED">#REF!</definedName>
    <definedName name="DM_DIFITF400_UNSKILLED" localSheetId="0">#REF!</definedName>
    <definedName name="DM_DIFITF400_UNSKILLED">#REF!</definedName>
    <definedName name="DM_DIFITF80_MATERIAL" localSheetId="0">#REF!</definedName>
    <definedName name="DM_DIFITF80_MATERIAL">#REF!</definedName>
    <definedName name="DM_DIFITF80_SKILLED" localSheetId="0">#REF!</definedName>
    <definedName name="DM_DIFITF80_SKILLED">#REF!</definedName>
    <definedName name="DM_DIFITF80_UNSKILLED" localSheetId="0">#REF!</definedName>
    <definedName name="DM_DIFITF80_UNSKILLED">#REF!</definedName>
    <definedName name="DM_DIFITS100_MATERIAL" localSheetId="0">#REF!</definedName>
    <definedName name="DM_DIFITS100_MATERIAL">#REF!</definedName>
    <definedName name="DM_DIFITS100_SKILLED" localSheetId="0">#REF!</definedName>
    <definedName name="DM_DIFITS100_SKILLED">#REF!</definedName>
    <definedName name="DM_DIFITS100_UNSKILLED" localSheetId="0">#REF!</definedName>
    <definedName name="DM_DIFITS100_UNSKILLED">#REF!</definedName>
    <definedName name="DM_DIFITS125_MATERIAL" localSheetId="0">#REF!</definedName>
    <definedName name="DM_DIFITS125_MATERIAL">#REF!</definedName>
    <definedName name="DM_DIFITS125_SKILLED" localSheetId="0">#REF!</definedName>
    <definedName name="DM_DIFITS125_SKILLED">#REF!</definedName>
    <definedName name="DM_DIFITS150_MATERIAL" localSheetId="0">#REF!</definedName>
    <definedName name="DM_DIFITS150_MATERIAL">#REF!</definedName>
    <definedName name="DM_DIFITS150_SKILLED" localSheetId="0">#REF!</definedName>
    <definedName name="DM_DIFITS150_SKILLED">#REF!</definedName>
    <definedName name="DM_DIFITS150_UNSKILLED" localSheetId="0">#REF!</definedName>
    <definedName name="DM_DIFITS150_UNSKILLED">#REF!</definedName>
    <definedName name="DM_DIFITS200_MATERIAL" localSheetId="0">#REF!</definedName>
    <definedName name="DM_DIFITS200_MATERIAL">#REF!</definedName>
    <definedName name="DM_DIFITS200_SKILLED" localSheetId="0">#REF!</definedName>
    <definedName name="DM_DIFITS200_SKILLED">#REF!</definedName>
    <definedName name="DM_DIFITS200_UNSKILLED" localSheetId="0">#REF!</definedName>
    <definedName name="DM_DIFITS200_UNSKILLED">#REF!</definedName>
    <definedName name="DM_DIFITS250_MATERIAL" localSheetId="0">#REF!</definedName>
    <definedName name="DM_DIFITS250_MATERIAL">#REF!</definedName>
    <definedName name="DM_DIFITS250_SKILLED" localSheetId="0">#REF!</definedName>
    <definedName name="DM_DIFITS250_SKILLED">#REF!</definedName>
    <definedName name="DM_DIFITS250_UNSKILLED" localSheetId="0">#REF!</definedName>
    <definedName name="DM_DIFITS250_UNSKILLED">#REF!</definedName>
    <definedName name="DM_DIFITS300_MATERIAL" localSheetId="0">#REF!</definedName>
    <definedName name="DM_DIFITS300_MATERIAL">#REF!</definedName>
    <definedName name="DM_DIFITS300_SKILLED" localSheetId="0">#REF!</definedName>
    <definedName name="DM_DIFITS300_SKILLED">#REF!</definedName>
    <definedName name="DM_DIFITS300_UNSKILLED" localSheetId="0">#REF!</definedName>
    <definedName name="DM_DIFITS300_UNSKILLED">#REF!</definedName>
    <definedName name="DM_DIFITS350_MATERIAL" localSheetId="0">#REF!</definedName>
    <definedName name="DM_DIFITS350_MATERIAL">#REF!</definedName>
    <definedName name="DM_DIFITS350_SKILLED" localSheetId="0">#REF!</definedName>
    <definedName name="DM_DIFITS350_SKILLED">#REF!</definedName>
    <definedName name="DM_DIFITS350_UNSKILLED" localSheetId="0">#REF!</definedName>
    <definedName name="DM_DIFITS350_UNSKILLED">#REF!</definedName>
    <definedName name="DM_DIFITS400_MATERIAL" localSheetId="0">#REF!</definedName>
    <definedName name="DM_DIFITS400_MATERIAL">#REF!</definedName>
    <definedName name="DM_DIFITS400_SKILLED" localSheetId="0">#REF!</definedName>
    <definedName name="DM_DIFITS400_SKILLED">#REF!</definedName>
    <definedName name="DM_DIFITS400_UNSKILLED" localSheetId="0">#REF!</definedName>
    <definedName name="DM_DIFITS400_UNSKILLED">#REF!</definedName>
    <definedName name="DM_DIFITS80_MATERIAL" localSheetId="0">#REF!</definedName>
    <definedName name="DM_DIFITS80_MATERIAL">#REF!</definedName>
    <definedName name="DM_DIFITS80_SKILLED" localSheetId="0">#REF!</definedName>
    <definedName name="DM_DIFITS80_SKILLED">#REF!</definedName>
    <definedName name="DM_DIFITS80_UNSKILLED" localSheetId="0">#REF!</definedName>
    <definedName name="DM_DIFITS80_UNSKILLED">#REF!</definedName>
    <definedName name="DM_DIFITVALVE100_MATERIAL" localSheetId="0">#REF!</definedName>
    <definedName name="DM_DIFITVALVE100_MATERIAL">#REF!</definedName>
    <definedName name="DM_DIFITVALVE100_SKILLED" localSheetId="0">#REF!</definedName>
    <definedName name="DM_DIFITVALVE100_SKILLED">#REF!</definedName>
    <definedName name="DM_DIFITVALVE100_UNSKILLED" localSheetId="0">#REF!</definedName>
    <definedName name="DM_DIFITVALVE100_UNSKILLED">#REF!</definedName>
    <definedName name="DM_DIFITVALVE125_MATERIAL" localSheetId="0">#REF!</definedName>
    <definedName name="DM_DIFITVALVE125_MATERIAL">#REF!</definedName>
    <definedName name="DM_DIFITVALVE125_SKILLED" localSheetId="0">#REF!</definedName>
    <definedName name="DM_DIFITVALVE125_SKILLED">#REF!</definedName>
    <definedName name="DM_DIFITVALVE125_UNSKILLED" localSheetId="0">#REF!</definedName>
    <definedName name="DM_DIFITVALVE125_UNSKILLED">#REF!</definedName>
    <definedName name="DM_DIFITVALVE150_MATERIAL" localSheetId="0">#REF!</definedName>
    <definedName name="DM_DIFITVALVE150_MATERIAL">#REF!</definedName>
    <definedName name="DM_DIFITVALVE150_SKILLED" localSheetId="0">#REF!</definedName>
    <definedName name="DM_DIFITVALVE150_SKILLED">#REF!</definedName>
    <definedName name="DM_DIFITVALVE150_UNSKILLED" localSheetId="0">#REF!</definedName>
    <definedName name="DM_DIFITVALVE150_UNSKILLED">#REF!</definedName>
    <definedName name="DM_DIFITVALVE200_MATERIAL" localSheetId="0">#REF!</definedName>
    <definedName name="DM_DIFITVALVE200_MATERIAL">#REF!</definedName>
    <definedName name="DM_DIFITVALVE200_SKILLED" localSheetId="0">#REF!</definedName>
    <definedName name="DM_DIFITVALVE200_SKILLED">#REF!</definedName>
    <definedName name="DM_DIFITVALVE200_UNSKILLED" localSheetId="0">#REF!</definedName>
    <definedName name="DM_DIFITVALVE200_UNSKILLED">#REF!</definedName>
    <definedName name="DM_DIFITVALVE250_MATERIAL" localSheetId="0">#REF!</definedName>
    <definedName name="DM_DIFITVALVE250_MATERIAL">#REF!</definedName>
    <definedName name="DM_DIFITVALVE250_SKILLED" localSheetId="0">#REF!</definedName>
    <definedName name="DM_DIFITVALVE250_SKILLED">#REF!</definedName>
    <definedName name="DM_DIFITVALVE250_UNSKILLED" localSheetId="0">#REF!</definedName>
    <definedName name="DM_DIFITVALVE250_UNSKILLED">#REF!</definedName>
    <definedName name="DM_DIFITVALVE300_MATERIAL" localSheetId="0">#REF!</definedName>
    <definedName name="DM_DIFITVALVE300_MATERIAL">#REF!</definedName>
    <definedName name="DM_DIFITVALVE300_SKILLED" localSheetId="0">#REF!</definedName>
    <definedName name="DM_DIFITVALVE300_SKILLED">#REF!</definedName>
    <definedName name="DM_DIFITVALVE300_UNSKILLED" localSheetId="0">#REF!</definedName>
    <definedName name="DM_DIFITVALVE300_UNSKILLED">#REF!</definedName>
    <definedName name="DM_DIFITVALVE350_MATERIAL" localSheetId="0">#REF!</definedName>
    <definedName name="DM_DIFITVALVE350_MATERIAL">#REF!</definedName>
    <definedName name="DM_DIFITVALVE350_SKILLED" localSheetId="0">#REF!</definedName>
    <definedName name="DM_DIFITVALVE350_SKILLED">#REF!</definedName>
    <definedName name="DM_DIFITVALVE350_UNSKILLED" localSheetId="0">#REF!</definedName>
    <definedName name="DM_DIFITVALVE350_UNSKILLED">#REF!</definedName>
    <definedName name="DM_DIFITVALVE400_MATERIAL" localSheetId="0">#REF!</definedName>
    <definedName name="DM_DIFITVALVE400_MATERIAL">#REF!</definedName>
    <definedName name="DM_DIFITVALVE400_SKILLED" localSheetId="0">#REF!</definedName>
    <definedName name="DM_DIFITVALVE400_SKILLED">#REF!</definedName>
    <definedName name="DM_DIFITVALVE400_UNSKILLED" localSheetId="0">#REF!</definedName>
    <definedName name="DM_DIFITVALVE400_UNSKILLED">#REF!</definedName>
    <definedName name="DM_DIFITVALVE80_MATERIAL" localSheetId="0">#REF!</definedName>
    <definedName name="DM_DIFITVALVE80_MATERIAL">#REF!</definedName>
    <definedName name="DM_DIFITVALVE80_SKILLED" localSheetId="0">#REF!</definedName>
    <definedName name="DM_DIFITVALVE80_SKILLED">#REF!</definedName>
    <definedName name="DM_DIFITVALVE80_UNSKILLED" localSheetId="0">#REF!</definedName>
    <definedName name="DM_DIFITVALVE80_UNSKILLED">#REF!</definedName>
    <definedName name="DM_DIPL100_MATERIAL" localSheetId="0">#REF!</definedName>
    <definedName name="DM_DIPL100_MATERIAL">#REF!</definedName>
    <definedName name="DM_DIPL100_SKILLED" localSheetId="0">#REF!</definedName>
    <definedName name="DM_DIPL100_SKILLED">#REF!</definedName>
    <definedName name="DM_DIPL100_UNSKILLED" localSheetId="0">#REF!</definedName>
    <definedName name="DM_DIPL100_UNSKILLED">#REF!</definedName>
    <definedName name="DM_DIPL125_MATERIAL" localSheetId="0">#REF!</definedName>
    <definedName name="DM_DIPL125_MATERIAL">#REF!</definedName>
    <definedName name="DM_DIPL125_SKILLED" localSheetId="0">#REF!</definedName>
    <definedName name="DM_DIPL125_SKILLED">#REF!</definedName>
    <definedName name="DM_DIPL125_UNSKILLED" localSheetId="0">#REF!</definedName>
    <definedName name="DM_DIPL125_UNSKILLED">#REF!</definedName>
    <definedName name="DM_DIPL150_MATERIAL" localSheetId="0">#REF!</definedName>
    <definedName name="DM_DIPL150_MATERIAL">#REF!</definedName>
    <definedName name="DM_DIPL150_SKILLED" localSheetId="0">#REF!</definedName>
    <definedName name="DM_DIPL150_SKILLED">#REF!</definedName>
    <definedName name="DM_DIPL150_UNSKILLED" localSheetId="0">#REF!</definedName>
    <definedName name="DM_DIPL150_UNSKILLED">#REF!</definedName>
    <definedName name="DM_DIPL200_MATERIAL" localSheetId="0">#REF!</definedName>
    <definedName name="DM_DIPL200_MATERIAL">#REF!</definedName>
    <definedName name="DM_DIPL200_SKILLED" localSheetId="0">#REF!</definedName>
    <definedName name="DM_DIPL200_SKILLED">#REF!</definedName>
    <definedName name="DM_DIPL200_UNSKILLED" localSheetId="0">#REF!</definedName>
    <definedName name="DM_DIPL200_UNSKILLED">#REF!</definedName>
    <definedName name="DM_DIPL250_MATERIAL" localSheetId="0">#REF!</definedName>
    <definedName name="DM_DIPL250_MATERIAL">#REF!</definedName>
    <definedName name="DM_DIPL250_SKILLED" localSheetId="0">#REF!</definedName>
    <definedName name="DM_DIPL250_SKILLED">#REF!</definedName>
    <definedName name="DM_DIPL250_UNSKILLED" localSheetId="0">#REF!</definedName>
    <definedName name="DM_DIPL250_UNSKILLED">#REF!</definedName>
    <definedName name="DM_DIPL300_MATERIAL" localSheetId="0">#REF!</definedName>
    <definedName name="DM_DIPL300_MATERIAL">#REF!</definedName>
    <definedName name="DM_DIPL300_SKILLED" localSheetId="0">#REF!</definedName>
    <definedName name="DM_DIPL300_SKILLED">#REF!</definedName>
    <definedName name="DM_DIPL300_UNSKILLED" localSheetId="0">#REF!</definedName>
    <definedName name="DM_DIPL300_UNSKILLED">#REF!</definedName>
    <definedName name="DM_DIPL350_MATERIAL" localSheetId="0">#REF!</definedName>
    <definedName name="DM_DIPL350_MATERIAL">#REF!</definedName>
    <definedName name="DM_DIPL350_SKILLED" localSheetId="0">#REF!</definedName>
    <definedName name="DM_DIPL350_SKILLED">#REF!</definedName>
    <definedName name="DM_DIPL350_UNSKILLED" localSheetId="0">#REF!</definedName>
    <definedName name="DM_DIPL350_UNSKILLED">#REF!</definedName>
    <definedName name="DM_DIPL400_MATERIAL" localSheetId="0">#REF!</definedName>
    <definedName name="DM_DIPL400_MATERIAL">#REF!</definedName>
    <definedName name="DM_DIPL400_SKILLED" localSheetId="0">#REF!</definedName>
    <definedName name="DM_DIPL400_SKILLED">#REF!</definedName>
    <definedName name="DM_DIPL400_UNSKILLED" localSheetId="0">#REF!</definedName>
    <definedName name="DM_DIPL400_UNSKILLED">#REF!</definedName>
    <definedName name="DM_DIPL80_MATERIAL" localSheetId="0">#REF!</definedName>
    <definedName name="DM_DIPL80_MATERIAL">#REF!</definedName>
    <definedName name="DM_DIPL80_SKILLED" localSheetId="0">#REF!</definedName>
    <definedName name="DM_DIPL80_SKILLED">#REF!</definedName>
    <definedName name="DM_DIPL80_UNSKILLED" localSheetId="0">#REF!</definedName>
    <definedName name="DM_DIPL80_UNSKILLED">#REF!</definedName>
    <definedName name="DMG" localSheetId="0">#REF!</definedName>
    <definedName name="DMG">#REF!</definedName>
    <definedName name="DMJ" localSheetId="0">#REF!</definedName>
    <definedName name="DMJ">#REF!</definedName>
    <definedName name="DMT" localSheetId="0">#REF!</definedName>
    <definedName name="DMT">#REF!</definedName>
    <definedName name="dmw">#REF!</definedName>
    <definedName name="DnDem1" hidden="1">'[21]Dmand 1'!$K$39</definedName>
    <definedName name="DnDem2" hidden="1">'[21]Dmand 2'!$K$60</definedName>
    <definedName name="DnDem3" hidden="1">'[18]Dmand 3'!$K$19</definedName>
    <definedName name="DnDem4" hidden="1">'[18]Dmand 4'!$K$20</definedName>
    <definedName name="DnDem5" hidden="1">'[18]Dmand 5'!$K$25</definedName>
    <definedName name="DnDem6" hidden="1">'[18]Dmand 6'!$K$17</definedName>
    <definedName name="DnDem7" hidden="1">'[18]Dmand 7'!$K$37</definedName>
    <definedName name="DNGT" localSheetId="0">#REF!</definedName>
    <definedName name="DNGT">#REF!</definedName>
    <definedName name="DnPop1" hidden="1">'[21]Dmand 1'!$E$39</definedName>
    <definedName name="DnPop2" hidden="1">'[21]Dmand 2'!$E$60</definedName>
    <definedName name="DnPop3" hidden="1">'[18]Dmand 3'!$E$19</definedName>
    <definedName name="DnPop4" hidden="1">'[18]Dmand 4'!$E$20</definedName>
    <definedName name="DnPop5" hidden="1">'[18]Dmand 5'!$E$25</definedName>
    <definedName name="DnPop6" hidden="1">'[18]Dmand 6'!$E$17</definedName>
    <definedName name="DnPop7" hidden="1">'[18]Dmand 7'!$E$37</definedName>
    <definedName name="dolt">#REF!</definedName>
    <definedName name="Dozer">#REF!</definedName>
    <definedName name="DP_110" localSheetId="0">#REF!</definedName>
    <definedName name="DP_110">#REF!</definedName>
    <definedName name="DP_150" localSheetId="0">#REF!</definedName>
    <definedName name="DP_150">#REF!</definedName>
    <definedName name="DP_200" localSheetId="0">#REF!</definedName>
    <definedName name="DP_200">#REF!</definedName>
    <definedName name="DP_250" localSheetId="0">#REF!</definedName>
    <definedName name="DP_250">#REF!</definedName>
    <definedName name="DP_300" localSheetId="0">#REF!</definedName>
    <definedName name="DP_300">#REF!</definedName>
    <definedName name="DP_400" localSheetId="0">#REF!</definedName>
    <definedName name="DP_400">#REF!</definedName>
    <definedName name="DP_50" localSheetId="0">#REF!</definedName>
    <definedName name="DP_50">#REF!</definedName>
    <definedName name="DP_500" localSheetId="0">#REF!</definedName>
    <definedName name="DP_500">#REF!</definedName>
    <definedName name="DP_63" localSheetId="0">#REF!</definedName>
    <definedName name="DP_63">#REF!</definedName>
    <definedName name="DP_75" localSheetId="0">#REF!</definedName>
    <definedName name="DP_75">#REF!</definedName>
    <definedName name="DP_90" localSheetId="0">#REF!</definedName>
    <definedName name="DP_90">#REF!</definedName>
    <definedName name="DPC" localSheetId="0">#REF!</definedName>
    <definedName name="DPC">#REF!</definedName>
    <definedName name="DPC1D3" localSheetId="0">#REF!</definedName>
    <definedName name="DPC1D3">#REF!</definedName>
    <definedName name="DPGR" hidden="1">[21]CheckList!$E$6</definedName>
    <definedName name="DPI" localSheetId="0">[62]Ta301!$K$7</definedName>
    <definedName name="DPI">[63]Ta301!$K$7</definedName>
    <definedName name="DPS" localSheetId="0">#REF!</definedName>
    <definedName name="DPS">#REF!</definedName>
    <definedName name="DPST" localSheetId="0">#REF!</definedName>
    <definedName name="DPST">#REF!</definedName>
    <definedName name="DR" localSheetId="0">#REF!</definedName>
    <definedName name="DR">#REF!</definedName>
    <definedName name="drain_1">[17]Rates!#REF!</definedName>
    <definedName name="driller" localSheetId="0">'[43]Basic Rate'!#REF!</definedName>
    <definedName name="driller">[52]Rate!#REF!</definedName>
    <definedName name="drilling">#REF!</definedName>
    <definedName name="DRILLING_M_C">#REF!</definedName>
    <definedName name="driver">#REF!</definedName>
    <definedName name="DrllM_C">#REF!</definedName>
    <definedName name="drlmc">#REF!</definedName>
    <definedName name="DRR_100X80" localSheetId="0">#REF!</definedName>
    <definedName name="DRR_100X80">#REF!</definedName>
    <definedName name="DRR_125X100" localSheetId="0">#REF!</definedName>
    <definedName name="DRR_125X100">#REF!</definedName>
    <definedName name="DRR_125X80" localSheetId="0">#REF!</definedName>
    <definedName name="DRR_125X80">#REF!</definedName>
    <definedName name="DRR_150X100" localSheetId="0">#REF!</definedName>
    <definedName name="DRR_150X100">#REF!</definedName>
    <definedName name="DRR_150X80" localSheetId="0">#REF!</definedName>
    <definedName name="DRR_150X80">#REF!</definedName>
    <definedName name="DRR_200X100" localSheetId="0">#REF!</definedName>
    <definedName name="DRR_200X100">#REF!</definedName>
    <definedName name="DRR_200X150" localSheetId="0">#REF!</definedName>
    <definedName name="DRR_200X150">#REF!</definedName>
    <definedName name="DRR_250X100" localSheetId="0">#REF!</definedName>
    <definedName name="DRR_250X100">#REF!</definedName>
    <definedName name="DRR_250X150" localSheetId="0">#REF!</definedName>
    <definedName name="DRR_250X150">#REF!</definedName>
    <definedName name="DRR_250X200" localSheetId="0">#REF!</definedName>
    <definedName name="DRR_250X200">#REF!</definedName>
    <definedName name="DRR_300X150" localSheetId="0">#REF!</definedName>
    <definedName name="DRR_300X150">#REF!</definedName>
    <definedName name="DRR_300X200" localSheetId="0">#REF!</definedName>
    <definedName name="DRR_300X200">#REF!</definedName>
    <definedName name="DRR_300X250" localSheetId="0">#REF!</definedName>
    <definedName name="DRR_300X250">#REF!</definedName>
    <definedName name="DRR_350X250" localSheetId="0">#REF!</definedName>
    <definedName name="DRR_350X250">#REF!</definedName>
    <definedName name="DRR_350X300" localSheetId="0">#REF!</definedName>
    <definedName name="DRR_350X300">#REF!</definedName>
    <definedName name="DRR_400X250" localSheetId="0">#REF!</definedName>
    <definedName name="DRR_400X250">#REF!</definedName>
    <definedName name="DRR_400X300" localSheetId="0">#REF!</definedName>
    <definedName name="DRR_400X300">#REF!</definedName>
    <definedName name="DRR_400X350" localSheetId="0">#REF!</definedName>
    <definedName name="DRR_400X350">#REF!</definedName>
    <definedName name="DRS" localSheetId="0">#REF!</definedName>
    <definedName name="DRS">#REF!</definedName>
    <definedName name="DRW" localSheetId="0">#REF!</definedName>
    <definedName name="DRW">#REF!</definedName>
    <definedName name="DSC" localSheetId="0">#REF!</definedName>
    <definedName name="DSC">#REF!</definedName>
    <definedName name="DSC_100X100" localSheetId="0">#REF!</definedName>
    <definedName name="DSC_100X100">#REF!</definedName>
    <definedName name="DSC_100X50" localSheetId="0">#REF!</definedName>
    <definedName name="DSC_100X50">#REF!</definedName>
    <definedName name="DSC_100X80" localSheetId="0">#REF!</definedName>
    <definedName name="DSC_100X80">#REF!</definedName>
    <definedName name="DSC_150X100" localSheetId="0">#REF!</definedName>
    <definedName name="DSC_150X100">#REF!</definedName>
    <definedName name="DSC_150X150" localSheetId="0">#REF!</definedName>
    <definedName name="DSC_150X150">#REF!</definedName>
    <definedName name="DSC_150X50" localSheetId="0">#REF!</definedName>
    <definedName name="DSC_150X50">#REF!</definedName>
    <definedName name="DSC_150X80" localSheetId="0">#REF!</definedName>
    <definedName name="DSC_150X80">#REF!</definedName>
    <definedName name="DSC_200X100" localSheetId="0">#REF!</definedName>
    <definedName name="DSC_200X100">#REF!</definedName>
    <definedName name="DSC_200X150" localSheetId="0">#REF!</definedName>
    <definedName name="DSC_200X150">#REF!</definedName>
    <definedName name="DSC_200X200" localSheetId="0">#REF!</definedName>
    <definedName name="DSC_200X200">#REF!</definedName>
    <definedName name="DSC_200X80" localSheetId="0">#REF!</definedName>
    <definedName name="DSC_200X80">#REF!</definedName>
    <definedName name="DSC_250X100" localSheetId="0">#REF!</definedName>
    <definedName name="DSC_250X100">#REF!</definedName>
    <definedName name="DSC_250X150" localSheetId="0">#REF!</definedName>
    <definedName name="DSC_250X150">#REF!</definedName>
    <definedName name="DSC_250X200" localSheetId="0">#REF!</definedName>
    <definedName name="DSC_250X200">#REF!</definedName>
    <definedName name="DSC_250X250" localSheetId="0">#REF!</definedName>
    <definedName name="DSC_250X250">#REF!</definedName>
    <definedName name="DSC_250X80" localSheetId="0">#REF!</definedName>
    <definedName name="DSC_250X80">#REF!</definedName>
    <definedName name="DSC_300X100" localSheetId="0">#REF!</definedName>
    <definedName name="DSC_300X100">#REF!</definedName>
    <definedName name="DSC_300X150" localSheetId="0">#REF!</definedName>
    <definedName name="DSC_300X150">#REF!</definedName>
    <definedName name="DSC_300X200" localSheetId="0">#REF!</definedName>
    <definedName name="DSC_300X200">#REF!</definedName>
    <definedName name="DSC_300X250" localSheetId="0">#REF!</definedName>
    <definedName name="DSC_300X250">#REF!</definedName>
    <definedName name="DSC_300X300" localSheetId="0">#REF!</definedName>
    <definedName name="DSC_300X300">#REF!</definedName>
    <definedName name="DSC_300X80" localSheetId="0">#REF!</definedName>
    <definedName name="DSC_300X80">#REF!</definedName>
    <definedName name="DSC_350X100" localSheetId="0">#REF!</definedName>
    <definedName name="DSC_350X100">#REF!</definedName>
    <definedName name="DSC_350X250" localSheetId="0">#REF!</definedName>
    <definedName name="DSC_350X250">#REF!</definedName>
    <definedName name="DSC_350X300" localSheetId="0">#REF!</definedName>
    <definedName name="DSC_350X300">#REF!</definedName>
    <definedName name="DSC_350X350" localSheetId="0">#REF!</definedName>
    <definedName name="DSC_350X350">#REF!</definedName>
    <definedName name="DSC_350X80" localSheetId="0">#REF!</definedName>
    <definedName name="DSC_350X80">#REF!</definedName>
    <definedName name="DSC_400X100" localSheetId="0">#REF!</definedName>
    <definedName name="DSC_400X100">#REF!</definedName>
    <definedName name="DSC_400X150" localSheetId="0">#REF!</definedName>
    <definedName name="DSC_400X150">#REF!</definedName>
    <definedName name="DSC_400X250" localSheetId="0">#REF!</definedName>
    <definedName name="DSC_400X250">#REF!</definedName>
    <definedName name="DSC_400X300" localSheetId="0">#REF!</definedName>
    <definedName name="DSC_400X300">#REF!</definedName>
    <definedName name="DSC_400X350" localSheetId="0">#REF!</definedName>
    <definedName name="DSC_400X350">#REF!</definedName>
    <definedName name="DSC_400X400" localSheetId="0">#REF!</definedName>
    <definedName name="DSC_400X400">#REF!</definedName>
    <definedName name="DSC_80X50" localSheetId="0">#REF!</definedName>
    <definedName name="DSC_80X50">#REF!</definedName>
    <definedName name="DSC_80X80" localSheetId="0">#REF!</definedName>
    <definedName name="DSC_80X80">#REF!</definedName>
    <definedName name="DSCF" localSheetId="0">#REF!</definedName>
    <definedName name="DSCF">#REF!</definedName>
    <definedName name="DSE" localSheetId="0">#REF!</definedName>
    <definedName name="DSE">#REF!</definedName>
    <definedName name="DSF_100X100" localSheetId="0">#REF!</definedName>
    <definedName name="DSF_100X100">#REF!</definedName>
    <definedName name="DSF_100X50" localSheetId="0">#REF!</definedName>
    <definedName name="DSF_100X50">#REF!</definedName>
    <definedName name="DSF_100X80" localSheetId="0">#REF!</definedName>
    <definedName name="DSF_100X80">#REF!</definedName>
    <definedName name="DSF_150X100" localSheetId="0">#REF!</definedName>
    <definedName name="DSF_150X100">#REF!</definedName>
    <definedName name="DSF_150X150" localSheetId="0">#REF!</definedName>
    <definedName name="DSF_150X150">#REF!</definedName>
    <definedName name="DSF_150X50" localSheetId="0">#REF!</definedName>
    <definedName name="DSF_150X50">#REF!</definedName>
    <definedName name="DSF_150X80" localSheetId="0">#REF!</definedName>
    <definedName name="DSF_150X80">#REF!</definedName>
    <definedName name="DSF_200X100" localSheetId="0">#REF!</definedName>
    <definedName name="DSF_200X100">#REF!</definedName>
    <definedName name="DSF_200X150" localSheetId="0">#REF!</definedName>
    <definedName name="DSF_200X150">#REF!</definedName>
    <definedName name="DSF_200X200" localSheetId="0">#REF!</definedName>
    <definedName name="DSF_200X200">#REF!</definedName>
    <definedName name="DSF_200X80" localSheetId="0">#REF!</definedName>
    <definedName name="DSF_200X80">#REF!</definedName>
    <definedName name="DSF_250X100" localSheetId="0">#REF!</definedName>
    <definedName name="DSF_250X100">#REF!</definedName>
    <definedName name="DSF_250X150" localSheetId="0">#REF!</definedName>
    <definedName name="DSF_250X150">#REF!</definedName>
    <definedName name="DSF_250X200" localSheetId="0">#REF!</definedName>
    <definedName name="DSF_250X200">#REF!</definedName>
    <definedName name="DSF_250X250" localSheetId="0">#REF!</definedName>
    <definedName name="DSF_250X250">#REF!</definedName>
    <definedName name="DSF_250X80" localSheetId="0">#REF!</definedName>
    <definedName name="DSF_250X80">#REF!</definedName>
    <definedName name="DSF_300X100" localSheetId="0">#REF!</definedName>
    <definedName name="DSF_300X100">#REF!</definedName>
    <definedName name="DSF_300X150" localSheetId="0">#REF!</definedName>
    <definedName name="DSF_300X150">#REF!</definedName>
    <definedName name="DSF_300X200" localSheetId="0">#REF!</definedName>
    <definedName name="DSF_300X200">#REF!</definedName>
    <definedName name="DSF_300X250" localSheetId="0">#REF!</definedName>
    <definedName name="DSF_300X250">#REF!</definedName>
    <definedName name="DSF_300X300" localSheetId="0">#REF!</definedName>
    <definedName name="DSF_300X300">#REF!</definedName>
    <definedName name="DSF_300X80" localSheetId="0">#REF!</definedName>
    <definedName name="DSF_300X80">#REF!</definedName>
    <definedName name="DSF_350X100" localSheetId="0">#REF!</definedName>
    <definedName name="DSF_350X100">#REF!</definedName>
    <definedName name="DSF_350X150" localSheetId="0">#REF!</definedName>
    <definedName name="DSF_350X150">#REF!</definedName>
    <definedName name="DSF_350X200" localSheetId="0">#REF!</definedName>
    <definedName name="DSF_350X200">#REF!</definedName>
    <definedName name="DSF_350X250" localSheetId="0">#REF!</definedName>
    <definedName name="DSF_350X250">#REF!</definedName>
    <definedName name="DSF_350X300" localSheetId="0">#REF!</definedName>
    <definedName name="DSF_350X300">#REF!</definedName>
    <definedName name="DSF_350X350" localSheetId="0">#REF!</definedName>
    <definedName name="DSF_350X350">#REF!</definedName>
    <definedName name="DSF_350X80" localSheetId="0">#REF!</definedName>
    <definedName name="DSF_350X80">#REF!</definedName>
    <definedName name="DSF_400X100" localSheetId="0">#REF!</definedName>
    <definedName name="DSF_400X100">#REF!</definedName>
    <definedName name="DSF_400X150" localSheetId="0">#REF!</definedName>
    <definedName name="DSF_400X150">#REF!</definedName>
    <definedName name="DSF_400X200" localSheetId="0">#REF!</definedName>
    <definedName name="DSF_400X200">#REF!</definedName>
    <definedName name="DSF_400X250" localSheetId="0">#REF!</definedName>
    <definedName name="DSF_400X250">#REF!</definedName>
    <definedName name="DSF_400X300" localSheetId="0">#REF!</definedName>
    <definedName name="DSF_400X300">#REF!</definedName>
    <definedName name="DSF_400X350" localSheetId="0">#REF!</definedName>
    <definedName name="DSF_400X350">#REF!</definedName>
    <definedName name="DSF_400X400" localSheetId="0">#REF!</definedName>
    <definedName name="DSF_400X400">#REF!</definedName>
    <definedName name="DSF_80X80" localSheetId="0">#REF!</definedName>
    <definedName name="DSF_80X80">#REF!</definedName>
    <definedName name="DSG" localSheetId="0">#REF!</definedName>
    <definedName name="DSG">#REF!</definedName>
    <definedName name="DSR" localSheetId="0">#REF!</definedName>
    <definedName name="DSR">#REF!</definedName>
    <definedName name="DSR_100X80" localSheetId="0">#REF!</definedName>
    <definedName name="DSR_100X80">#REF!</definedName>
    <definedName name="DSR_125X100" localSheetId="0">#REF!</definedName>
    <definedName name="DSR_125X100">#REF!</definedName>
    <definedName name="DSR_125X80" localSheetId="0">#REF!</definedName>
    <definedName name="DSR_125X80">#REF!</definedName>
    <definedName name="DSR_150X100" localSheetId="0">#REF!</definedName>
    <definedName name="DSR_150X100">#REF!</definedName>
    <definedName name="DSR_150X125" localSheetId="0">#REF!</definedName>
    <definedName name="DSR_150X125">#REF!</definedName>
    <definedName name="DSR_150X80" localSheetId="0">#REF!</definedName>
    <definedName name="DSR_150X80">#REF!</definedName>
    <definedName name="DSR_200X100" localSheetId="0">#REF!</definedName>
    <definedName name="DSR_200X100">#REF!</definedName>
    <definedName name="DSR_200X150" localSheetId="0">#REF!</definedName>
    <definedName name="DSR_200X150">#REF!</definedName>
    <definedName name="DSR_200X80" localSheetId="0">#REF!</definedName>
    <definedName name="DSR_200X80">#REF!</definedName>
    <definedName name="DSR_250X100" localSheetId="0">#REF!</definedName>
    <definedName name="DSR_250X100">#REF!</definedName>
    <definedName name="DSR_250X150" localSheetId="0">#REF!</definedName>
    <definedName name="DSR_250X150">#REF!</definedName>
    <definedName name="DSR_250X200" localSheetId="0">#REF!</definedName>
    <definedName name="DSR_250X200">#REF!</definedName>
    <definedName name="DSR_250X50" localSheetId="0">#REF!</definedName>
    <definedName name="DSR_250X50">#REF!</definedName>
    <definedName name="DSR_250X80" localSheetId="0">#REF!</definedName>
    <definedName name="DSR_250X80">#REF!</definedName>
    <definedName name="DSR_300X150" localSheetId="0">#REF!</definedName>
    <definedName name="DSR_300X150">#REF!</definedName>
    <definedName name="DSR_300X200" localSheetId="0">#REF!</definedName>
    <definedName name="DSR_300X200">#REF!</definedName>
    <definedName name="DSR_300X250" localSheetId="0">#REF!</definedName>
    <definedName name="DSR_300X250">#REF!</definedName>
    <definedName name="DSR_350X200" localSheetId="0">#REF!</definedName>
    <definedName name="DSR_350X200">#REF!</definedName>
    <definedName name="DSR_350X250" localSheetId="0">#REF!</definedName>
    <definedName name="DSR_350X250">#REF!</definedName>
    <definedName name="DSR_350X300" localSheetId="0">#REF!</definedName>
    <definedName name="DSR_350X300">#REF!</definedName>
    <definedName name="DSR_400X250" localSheetId="0">#REF!</definedName>
    <definedName name="DSR_400X250">#REF!</definedName>
    <definedName name="DSR_400X300" localSheetId="0">#REF!</definedName>
    <definedName name="DSR_400X300">#REF!</definedName>
    <definedName name="DSR_400X350" localSheetId="0">#REF!</definedName>
    <definedName name="DSR_400X350">#REF!</definedName>
    <definedName name="DSRS" localSheetId="0">#REF!</definedName>
    <definedName name="DSRS">#REF!</definedName>
    <definedName name="DSS" localSheetId="0">#REF!</definedName>
    <definedName name="DSS">#REF!</definedName>
    <definedName name="DSS_100X100" localSheetId="0">#REF!</definedName>
    <definedName name="DSS_100X100">#REF!</definedName>
    <definedName name="DSS_100X50" localSheetId="0">#REF!</definedName>
    <definedName name="DSS_100X50">#REF!</definedName>
    <definedName name="DSS_100X80" localSheetId="0">#REF!</definedName>
    <definedName name="DSS_100X80">#REF!</definedName>
    <definedName name="DSS_150X100" localSheetId="0">#REF!</definedName>
    <definedName name="DSS_150X100">#REF!</definedName>
    <definedName name="DSS_150X125" localSheetId="0">#REF!</definedName>
    <definedName name="DSS_150X125">#REF!</definedName>
    <definedName name="DSS_150X150" localSheetId="0">#REF!</definedName>
    <definedName name="DSS_150X150">#REF!</definedName>
    <definedName name="DSS_150X50" localSheetId="0">#REF!</definedName>
    <definedName name="DSS_150X50">#REF!</definedName>
    <definedName name="DSS_150X80" localSheetId="0">#REF!</definedName>
    <definedName name="DSS_150X80">#REF!</definedName>
    <definedName name="DSS_200X100" localSheetId="0">#REF!</definedName>
    <definedName name="DSS_200X100">#REF!</definedName>
    <definedName name="DSS_200X125" localSheetId="0">#REF!</definedName>
    <definedName name="DSS_200X125">#REF!</definedName>
    <definedName name="DSS_200X150" localSheetId="0">#REF!</definedName>
    <definedName name="DSS_200X150">#REF!</definedName>
    <definedName name="DSS_200X200" localSheetId="0">#REF!</definedName>
    <definedName name="DSS_200X200">#REF!</definedName>
    <definedName name="DSS_200X80" localSheetId="0">#REF!</definedName>
    <definedName name="DSS_200X80">#REF!</definedName>
    <definedName name="DSS_250X100" localSheetId="0">#REF!</definedName>
    <definedName name="DSS_250X100">#REF!</definedName>
    <definedName name="DSS_250X150" localSheetId="0">#REF!</definedName>
    <definedName name="DSS_250X150">#REF!</definedName>
    <definedName name="DSS_250X200" localSheetId="0">#REF!</definedName>
    <definedName name="DSS_250X200">#REF!</definedName>
    <definedName name="DSS_250X250" localSheetId="0">#REF!</definedName>
    <definedName name="DSS_250X250">#REF!</definedName>
    <definedName name="DSS_250X80" localSheetId="0">#REF!</definedName>
    <definedName name="DSS_250X80">#REF!</definedName>
    <definedName name="DSS_300X100" localSheetId="0">#REF!</definedName>
    <definedName name="DSS_300X100">#REF!</definedName>
    <definedName name="DSS_300X150" localSheetId="0">#REF!</definedName>
    <definedName name="DSS_300X150">#REF!</definedName>
    <definedName name="DSS_300X200" localSheetId="0">#REF!</definedName>
    <definedName name="DSS_300X200">#REF!</definedName>
    <definedName name="DSS_300X250" localSheetId="0">#REF!</definedName>
    <definedName name="DSS_300X250">#REF!</definedName>
    <definedName name="DSS_300X300" localSheetId="0">#REF!</definedName>
    <definedName name="DSS_300X300">#REF!</definedName>
    <definedName name="DSS_300X80" localSheetId="0">#REF!</definedName>
    <definedName name="DSS_300X80">#REF!</definedName>
    <definedName name="DSS_350X100" localSheetId="0">#REF!</definedName>
    <definedName name="DSS_350X100">#REF!</definedName>
    <definedName name="DSS_350X250" localSheetId="0">#REF!</definedName>
    <definedName name="DSS_350X250">#REF!</definedName>
    <definedName name="DSS_350X300" localSheetId="0">#REF!</definedName>
    <definedName name="DSS_350X300">#REF!</definedName>
    <definedName name="DSS_350X350" localSheetId="0">#REF!</definedName>
    <definedName name="DSS_350X350">#REF!</definedName>
    <definedName name="DSS_350X80" localSheetId="0">#REF!</definedName>
    <definedName name="DSS_350X80">#REF!</definedName>
    <definedName name="DSS_400X100" localSheetId="0">#REF!</definedName>
    <definedName name="DSS_400X100">#REF!</definedName>
    <definedName name="DSS_400X150" localSheetId="0">#REF!</definedName>
    <definedName name="DSS_400X150">#REF!</definedName>
    <definedName name="DSS_400X250" localSheetId="0">#REF!</definedName>
    <definedName name="DSS_400X250">#REF!</definedName>
    <definedName name="DSS_400X300" localSheetId="0">#REF!</definedName>
    <definedName name="DSS_400X300">#REF!</definedName>
    <definedName name="DSS_400X350" localSheetId="0">#REF!</definedName>
    <definedName name="DSS_400X350">#REF!</definedName>
    <definedName name="DSS_400X400" localSheetId="0">#REF!</definedName>
    <definedName name="DSS_400X400">#REF!</definedName>
    <definedName name="DSS_80X50" localSheetId="0">#REF!</definedName>
    <definedName name="DSS_80X50">#REF!</definedName>
    <definedName name="DSS_80X80" localSheetId="0">#REF!</definedName>
    <definedName name="DSS_80X80">#REF!</definedName>
    <definedName name="DSSP" localSheetId="0">#REF!</definedName>
    <definedName name="DSSP">#REF!</definedName>
    <definedName name="DST_100X100" localSheetId="0">#REF!</definedName>
    <definedName name="DST_100X100">#REF!</definedName>
    <definedName name="DST_100X50" localSheetId="0">#REF!</definedName>
    <definedName name="DST_100X50">#REF!</definedName>
    <definedName name="DST_100X80" localSheetId="0">#REF!</definedName>
    <definedName name="DST_100X80">#REF!</definedName>
    <definedName name="DST_150X100" localSheetId="0">#REF!</definedName>
    <definedName name="DST_150X100">#REF!</definedName>
    <definedName name="DST_150X150" localSheetId="0">#REF!</definedName>
    <definedName name="DST_150X150">#REF!</definedName>
    <definedName name="DST_150X50" localSheetId="0">#REF!</definedName>
    <definedName name="DST_150X50">#REF!</definedName>
    <definedName name="DST_150X80" localSheetId="0">#REF!</definedName>
    <definedName name="DST_150X80">#REF!</definedName>
    <definedName name="DST_200X100" localSheetId="0">#REF!</definedName>
    <definedName name="DST_200X100">#REF!</definedName>
    <definedName name="DST_200X200" localSheetId="0">#REF!</definedName>
    <definedName name="DST_200X200">#REF!</definedName>
    <definedName name="DST_200X50" localSheetId="0">#REF!</definedName>
    <definedName name="DST_200X50">#REF!</definedName>
    <definedName name="DST_200X80" localSheetId="0">#REF!</definedName>
    <definedName name="DST_200X80">#REF!</definedName>
    <definedName name="DST_250X100" localSheetId="0">#REF!</definedName>
    <definedName name="DST_250X100">#REF!</definedName>
    <definedName name="DST_250X150" localSheetId="0">#REF!</definedName>
    <definedName name="DST_250X150">#REF!</definedName>
    <definedName name="DST_250X200" localSheetId="0">#REF!</definedName>
    <definedName name="DST_250X200">#REF!</definedName>
    <definedName name="DST_250X250" localSheetId="0">#REF!</definedName>
    <definedName name="DST_250X250">#REF!</definedName>
    <definedName name="DST_250X80" localSheetId="0">#REF!</definedName>
    <definedName name="DST_250X80">#REF!</definedName>
    <definedName name="DST_300X100" localSheetId="0">#REF!</definedName>
    <definedName name="DST_300X100">#REF!</definedName>
    <definedName name="DST_300X125" localSheetId="0">#REF!</definedName>
    <definedName name="DST_300X125">#REF!</definedName>
    <definedName name="DST_300X150" localSheetId="0">#REF!</definedName>
    <definedName name="DST_300X150">#REF!</definedName>
    <definedName name="DST_300X200" localSheetId="0">#REF!</definedName>
    <definedName name="DST_300X200">#REF!</definedName>
    <definedName name="DST_300X250" localSheetId="0">#REF!</definedName>
    <definedName name="DST_300X250">#REF!</definedName>
    <definedName name="DST_300X300" localSheetId="0">#REF!</definedName>
    <definedName name="DST_300X300">#REF!</definedName>
    <definedName name="DST_300X80" localSheetId="0">#REF!</definedName>
    <definedName name="DST_300X80">#REF!</definedName>
    <definedName name="DST_350X100" localSheetId="0">#REF!</definedName>
    <definedName name="DST_350X100">#REF!</definedName>
    <definedName name="DST_350X150" localSheetId="0">#REF!</definedName>
    <definedName name="DST_350X150">#REF!</definedName>
    <definedName name="DST_350X250" localSheetId="0">#REF!</definedName>
    <definedName name="DST_350X250">#REF!</definedName>
    <definedName name="DST_350X300" localSheetId="0">#REF!</definedName>
    <definedName name="DST_350X300">#REF!</definedName>
    <definedName name="DST_350X80" localSheetId="0">#REF!</definedName>
    <definedName name="DST_350X80">#REF!</definedName>
    <definedName name="DST_400X100" localSheetId="0">#REF!</definedName>
    <definedName name="DST_400X100">#REF!</definedName>
    <definedName name="DST_400X150" localSheetId="0">#REF!</definedName>
    <definedName name="DST_400X150">#REF!</definedName>
    <definedName name="DST_400X250" localSheetId="0">#REF!</definedName>
    <definedName name="DST_400X250">#REF!</definedName>
    <definedName name="DST_400X300" localSheetId="0">#REF!</definedName>
    <definedName name="DST_400X300">#REF!</definedName>
    <definedName name="DST_80X50" localSheetId="0">#REF!</definedName>
    <definedName name="DST_80X50">#REF!</definedName>
    <definedName name="DST_80X80" localSheetId="0">#REF!</definedName>
    <definedName name="DST_80X80">#REF!</definedName>
    <definedName name="DSTF_100X100" localSheetId="0">#REF!</definedName>
    <definedName name="DSTF_100X100">#REF!</definedName>
    <definedName name="DSTF_100X50" localSheetId="0">#REF!</definedName>
    <definedName name="DSTF_100X50">#REF!</definedName>
    <definedName name="DSTF_100X80" localSheetId="0">#REF!</definedName>
    <definedName name="DSTF_100X80">#REF!</definedName>
    <definedName name="DSTF_150X100" localSheetId="0">#REF!</definedName>
    <definedName name="DSTF_150X100">#REF!</definedName>
    <definedName name="DSTF_150X150" localSheetId="0">#REF!</definedName>
    <definedName name="DSTF_150X150">#REF!</definedName>
    <definedName name="DSTF_150X50" localSheetId="0">#REF!</definedName>
    <definedName name="DSTF_150X50">#REF!</definedName>
    <definedName name="DSTF_150X80" localSheetId="0">#REF!</definedName>
    <definedName name="DSTF_150X80">#REF!</definedName>
    <definedName name="DSTF_200X100" localSheetId="0">#REF!</definedName>
    <definedName name="DSTF_200X100">#REF!</definedName>
    <definedName name="DSTF_200X200" localSheetId="0">#REF!</definedName>
    <definedName name="DSTF_200X200">#REF!</definedName>
    <definedName name="DSTF_200X80" localSheetId="0">#REF!</definedName>
    <definedName name="DSTF_200X80">#REF!</definedName>
    <definedName name="DSTF_250X100" localSheetId="0">#REF!</definedName>
    <definedName name="DSTF_250X100">#REF!</definedName>
    <definedName name="DSTF_250X150" localSheetId="0">#REF!</definedName>
    <definedName name="DSTF_250X150">#REF!</definedName>
    <definedName name="DSTF_250X200" localSheetId="0">#REF!</definedName>
    <definedName name="DSTF_250X200">#REF!</definedName>
    <definedName name="DSTF_250X250" localSheetId="0">#REF!</definedName>
    <definedName name="DSTF_250X250">#REF!</definedName>
    <definedName name="DSTF_250X80" localSheetId="0">#REF!</definedName>
    <definedName name="DSTF_250X80">#REF!</definedName>
    <definedName name="DSTF_300X100" localSheetId="0">#REF!</definedName>
    <definedName name="DSTF_300X100">#REF!</definedName>
    <definedName name="DSTF_300X125" localSheetId="0">#REF!</definedName>
    <definedName name="DSTF_300X125">#REF!</definedName>
    <definedName name="DSTF_300X150" localSheetId="0">#REF!</definedName>
    <definedName name="DSTF_300X150">#REF!</definedName>
    <definedName name="DSTF_300X200" localSheetId="0">#REF!</definedName>
    <definedName name="DSTF_300X200">#REF!</definedName>
    <definedName name="DSTF_300X250" localSheetId="0">#REF!</definedName>
    <definedName name="DSTF_300X250">#REF!</definedName>
    <definedName name="DSTF_300X300" localSheetId="0">#REF!</definedName>
    <definedName name="DSTF_300X300">#REF!</definedName>
    <definedName name="DSTF_300X80" localSheetId="0">#REF!</definedName>
    <definedName name="DSTF_300X80">#REF!</definedName>
    <definedName name="DSTF_350X100" localSheetId="0">#REF!</definedName>
    <definedName name="DSTF_350X100">#REF!</definedName>
    <definedName name="DSTF_350X150" localSheetId="0">#REF!</definedName>
    <definedName name="DSTF_350X150">#REF!</definedName>
    <definedName name="DSTF_350X250" localSheetId="0">#REF!</definedName>
    <definedName name="DSTF_350X250">#REF!</definedName>
    <definedName name="DSTF_350X300" localSheetId="0">#REF!</definedName>
    <definedName name="DSTF_350X300">#REF!</definedName>
    <definedName name="DSTF_350X350" localSheetId="0">#REF!</definedName>
    <definedName name="DSTF_350X350">#REF!</definedName>
    <definedName name="DSTF_350X80" localSheetId="0">#REF!</definedName>
    <definedName name="DSTF_350X80">#REF!</definedName>
    <definedName name="DSTF_400X100" localSheetId="0">#REF!</definedName>
    <definedName name="DSTF_400X100">#REF!</definedName>
    <definedName name="DSTF_400X150" localSheetId="0">#REF!</definedName>
    <definedName name="DSTF_400X150">#REF!</definedName>
    <definedName name="DSTF_400X250" localSheetId="0">#REF!</definedName>
    <definedName name="DSTF_400X250">#REF!</definedName>
    <definedName name="DSTF_400X300" localSheetId="0">#REF!</definedName>
    <definedName name="DSTF_400X300">#REF!</definedName>
    <definedName name="DSTF_400X400" localSheetId="0">#REF!</definedName>
    <definedName name="DSTF_400X400">#REF!</definedName>
    <definedName name="DSTF_80X50" localSheetId="0">#REF!</definedName>
    <definedName name="DSTF_80X50">#REF!</definedName>
    <definedName name="DSTF_80X80" localSheetId="0">#REF!</definedName>
    <definedName name="DSTF_80X80">#REF!</definedName>
    <definedName name="DSV_100" localSheetId="0">#REF!</definedName>
    <definedName name="DSV_100">#REF!</definedName>
    <definedName name="DSV_150" localSheetId="0">#REF!</definedName>
    <definedName name="DSV_150">#REF!</definedName>
    <definedName name="DSV_200" localSheetId="0">#REF!</definedName>
    <definedName name="DSV_200">#REF!</definedName>
    <definedName name="DSV_250" localSheetId="0">#REF!</definedName>
    <definedName name="DSV_250">#REF!</definedName>
    <definedName name="DSV_300" localSheetId="0">#REF!</definedName>
    <definedName name="DSV_300">#REF!</definedName>
    <definedName name="DSV_350" localSheetId="0">#REF!</definedName>
    <definedName name="DSV_350">#REF!</definedName>
    <definedName name="DSV_400" localSheetId="0">#REF!</definedName>
    <definedName name="DSV_400">#REF!</definedName>
    <definedName name="DSV_50" localSheetId="0">#REF!</definedName>
    <definedName name="DSV_50">#REF!</definedName>
    <definedName name="DSV_80" localSheetId="0">#REF!</definedName>
    <definedName name="DSV_80">#REF!</definedName>
    <definedName name="DSW" localSheetId="0">#REF!</definedName>
    <definedName name="DSW">#REF!</definedName>
    <definedName name="DSW_100X50" localSheetId="0">#REF!</definedName>
    <definedName name="DSW_100X50">#REF!</definedName>
    <definedName name="DSW_150X50" localSheetId="0">#REF!</definedName>
    <definedName name="DSW_150X50">#REF!</definedName>
    <definedName name="DSW_200X80" localSheetId="0">#REF!</definedName>
    <definedName name="DSW_200X80">#REF!</definedName>
    <definedName name="DSW_250X100" localSheetId="0">#REF!</definedName>
    <definedName name="DSW_250X100">#REF!</definedName>
    <definedName name="DSW_250X80" localSheetId="0">#REF!</definedName>
    <definedName name="DSW_250X80">#REF!</definedName>
    <definedName name="DSW_300X100" localSheetId="0">#REF!</definedName>
    <definedName name="DSW_300X100">#REF!</definedName>
    <definedName name="DSW_300X80" localSheetId="0">#REF!</definedName>
    <definedName name="DSW_300X80">#REF!</definedName>
    <definedName name="DSW_350X100" localSheetId="0">#REF!</definedName>
    <definedName name="DSW_350X100">#REF!</definedName>
    <definedName name="DSW_350X200" localSheetId="0">#REF!</definedName>
    <definedName name="DSW_350X200">#REF!</definedName>
    <definedName name="DSW_400X100" localSheetId="0">#REF!</definedName>
    <definedName name="DSW_400X100">#REF!</definedName>
    <definedName name="DSW_400X200" localSheetId="0">#REF!</definedName>
    <definedName name="DSW_400X200">#REF!</definedName>
    <definedName name="DSW_80X50" localSheetId="0">#REF!</definedName>
    <definedName name="DSW_80X50">#REF!</definedName>
    <definedName name="DSWS" localSheetId="0">#REF!</definedName>
    <definedName name="DSWS">#REF!</definedName>
    <definedName name="dt_rt">#REF!</definedName>
    <definedName name="DTC" localSheetId="0">#REF!</definedName>
    <definedName name="DTC">#REF!</definedName>
    <definedName name="DTP_100X1K" localSheetId="0">#REF!</definedName>
    <definedName name="DTP_100X1K">#REF!</definedName>
    <definedName name="DTP_125X1K" localSheetId="0">#REF!</definedName>
    <definedName name="DTP_125X1K">#REF!</definedName>
    <definedName name="DTP_150X1K" localSheetId="0">#REF!</definedName>
    <definedName name="DTP_150X1K">#REF!</definedName>
    <definedName name="DTP_200X1K" localSheetId="0">#REF!</definedName>
    <definedName name="DTP_200X1K">#REF!</definedName>
    <definedName name="DTP_250X1K" localSheetId="0">#REF!</definedName>
    <definedName name="DTP_250X1K">#REF!</definedName>
    <definedName name="DTP_300X1K" localSheetId="0">#REF!</definedName>
    <definedName name="DTP_300X1K">#REF!</definedName>
    <definedName name="DTP_350X1K" localSheetId="0">#REF!</definedName>
    <definedName name="DTP_350X1K">#REF!</definedName>
    <definedName name="DTP_400X1K" localSheetId="0">#REF!</definedName>
    <definedName name="DTP_400X1K">#REF!</definedName>
    <definedName name="DTP_450X1K" localSheetId="0">#REF!</definedName>
    <definedName name="DTP_450X1K">#REF!</definedName>
    <definedName name="DTP_500X1K" localSheetId="0">#REF!</definedName>
    <definedName name="DTP_500X1K">#REF!</definedName>
    <definedName name="DTP_80X1K" localSheetId="0">#REF!</definedName>
    <definedName name="DTP_80X1K">#REF!</definedName>
    <definedName name="DTP_80X300" localSheetId="0">#REF!</definedName>
    <definedName name="DTP_80X300">#REF!</definedName>
    <definedName name="DTPR" localSheetId="0">#REF!</definedName>
    <definedName name="DTPR">#REF!</definedName>
    <definedName name="DTT" localSheetId="0">#REF!</definedName>
    <definedName name="DTT">#REF!</definedName>
    <definedName name="DTWC" localSheetId="0">#REF!</definedName>
    <definedName name="DTWC">#REF!</definedName>
    <definedName name="Dumper">#REF!</definedName>
    <definedName name="DW" localSheetId="0">#REF!</definedName>
    <definedName name="DW">#REF!</definedName>
    <definedName name="DWF" localSheetId="0">#REF!</definedName>
    <definedName name="DWF">#REF!</definedName>
    <definedName name="DWM" localSheetId="0">#REF!</definedName>
    <definedName name="DWM">#REF!</definedName>
    <definedName name="DWW" localSheetId="0">#REF!</definedName>
    <definedName name="DWW">#REF!</definedName>
    <definedName name="e" localSheetId="0">'[17]4aoc'!$B$103:$G$128</definedName>
    <definedName name="e">'[78]4aoc'!$B$103:$G$128</definedName>
    <definedName name="e_joint">#REF!</definedName>
    <definedName name="Earth" localSheetId="0">'[48]Rate analysis'!#REF!</definedName>
    <definedName name="Earth">'[49]Rate analysis'!#REF!</definedName>
    <definedName name="eboard">#REF!</definedName>
    <definedName name="EC_1" localSheetId="0">#REF!</definedName>
    <definedName name="EC_1">#REF!</definedName>
    <definedName name="EC_2" localSheetId="0">#REF!</definedName>
    <definedName name="EC_2">#REF!</definedName>
    <definedName name="EC_3" localSheetId="0">#REF!</definedName>
    <definedName name="EC_3">#REF!</definedName>
    <definedName name="EC_4" localSheetId="0">#REF!</definedName>
    <definedName name="EC_4">#REF!</definedName>
    <definedName name="EC_5" localSheetId="0">#REF!</definedName>
    <definedName name="EC_5">#REF!</definedName>
    <definedName name="EC_6" localSheetId="0">#REF!</definedName>
    <definedName name="EC_6">#REF!</definedName>
    <definedName name="EGA">#REF!</definedName>
    <definedName name="eh">#REF!</definedName>
    <definedName name="ehplate" localSheetId="0">'[43]Basic Rate'!#REF!</definedName>
    <definedName name="ehplate">[52]Rate!#REF!</definedName>
    <definedName name="Ehs">[17]DR!$D$58</definedName>
    <definedName name="EJ" localSheetId="0">#REF!</definedName>
    <definedName name="EJ">#REF!</definedName>
    <definedName name="EL_1" localSheetId="0">#REF!</definedName>
    <definedName name="EL_1">#REF!</definedName>
    <definedName name="EL_2" localSheetId="0">#REF!</definedName>
    <definedName name="EL_2">#REF!</definedName>
    <definedName name="EL_3" localSheetId="0">#REF!</definedName>
    <definedName name="EL_3">#REF!</definedName>
    <definedName name="EL_4" localSheetId="0">#REF!</definedName>
    <definedName name="EL_4">#REF!</definedName>
    <definedName name="EL_5" localSheetId="0">#REF!</definedName>
    <definedName name="EL_5">#REF!</definedName>
    <definedName name="EL_6" localSheetId="0">#REF!</definedName>
    <definedName name="EL_6">#REF!</definedName>
    <definedName name="EL_7" localSheetId="0">#REF!</definedName>
    <definedName name="EL_7">#REF!</definedName>
    <definedName name="EL_8" localSheetId="0">#REF!</definedName>
    <definedName name="EL_8">#REF!</definedName>
    <definedName name="electricheatingplate" localSheetId="0">[31]rate!$M$45</definedName>
    <definedName name="electricheatingplate">[52]Rate!#REF!</definedName>
    <definedName name="ElectricHeatingPlate_E">'[47]Equipment Rates'!$D$17</definedName>
    <definedName name="embfillingmaterial">'[51]dist rate material'!$D$8</definedName>
    <definedName name="Emr">[17]DR!$D$60</definedName>
    <definedName name="emulsion">#REF!</definedName>
    <definedName name="emupt">#REF!</definedName>
    <definedName name="ena" localSheetId="0">[16]Sheet1!$D$53</definedName>
    <definedName name="ena">#REF!</definedName>
    <definedName name="enam" hidden="1">[37]DRates!$K$24</definedName>
    <definedName name="enamel" localSheetId="0">[59]Rates!$G$38</definedName>
    <definedName name="enamel">'[51]dist rate material'!$D$33</definedName>
    <definedName name="Enamel_Paint" localSheetId="0">'[48]Rate analysis'!#REF!</definedName>
    <definedName name="Enamel_Paint">'[49]Rate analysis'!#REF!</definedName>
    <definedName name="enamelpaint" localSheetId="0">[31]rate!$D$76</definedName>
    <definedName name="enamelpaint">[52]Rate!#REF!</definedName>
    <definedName name="EnamelPaint_Lt_M">[50]Transport_Cost_F!$D$52</definedName>
    <definedName name="Engineer" localSheetId="0">'[43]Basic Rate'!#REF!</definedName>
    <definedName name="Engineer">[52]Rate!#REF!</definedName>
    <definedName name="Engineer_L">'[47]Labour Rates_HO'!#REF!</definedName>
    <definedName name="enp">#REF!</definedName>
    <definedName name="Eor">[17]DR!$D$59</definedName>
    <definedName name="Eos">[17]DR!$D$57</definedName>
    <definedName name="EPOXY_PAINT">#N/A</definedName>
    <definedName name="Eqn" hidden="1">-2*LOG([21]PipeDesign!$Z1/(37*[21]PipeDesign!$O1)+2.51/([21]PipeDesign!$AA1*[21]PipeDesign!$X1^0.5))*[21]PipeDesign!$X1^0.5</definedName>
    <definedName name="EquipOperator_L">'[47]Labour Rates_HO'!$E$16</definedName>
    <definedName name="er">[59]Rates!$D$8</definedName>
    <definedName name="ertset">#REF!</definedName>
    <definedName name="estdrain">#REF!</definedName>
    <definedName name="estearth">#REF!</definedName>
    <definedName name="estretain">#REF!</definedName>
    <definedName name="estv">[55]INPUT!$C$38:$C$615</definedName>
    <definedName name="ET_1" localSheetId="0">#REF!</definedName>
    <definedName name="ET_1">#REF!</definedName>
    <definedName name="ET_2" localSheetId="0">#REF!</definedName>
    <definedName name="ET_2">#REF!</definedName>
    <definedName name="ET_3" localSheetId="0">#REF!</definedName>
    <definedName name="ET_3">#REF!</definedName>
    <definedName name="ET_4" localSheetId="0">#REF!</definedName>
    <definedName name="ET_4">#REF!</definedName>
    <definedName name="ET_5" localSheetId="0">#REF!</definedName>
    <definedName name="ET_5">#REF!</definedName>
    <definedName name="ET_6" localSheetId="0">#REF!</definedName>
    <definedName name="ET_6">#REF!</definedName>
    <definedName name="ET_7" localSheetId="0">#REF!</definedName>
    <definedName name="ET_7">#REF!</definedName>
    <definedName name="ET_8" localSheetId="0">#REF!</definedName>
    <definedName name="ET_8">#REF!</definedName>
    <definedName name="EW_pipe_Bidder">[79]TRANS_dist_pipework_Contractor!$B$7:$R$17</definedName>
    <definedName name="EWamtDL" hidden="1">SUMIF([21]PipeLineWork!A2:A26,"&gt;0",[21]PipeLineWork!A2:A26)</definedName>
    <definedName name="EWamtTL" hidden="1">SUMIF([21]PipeLineWork!A2:A26,"&gt;0",[21]PipeLineWork!A2:A26)</definedName>
    <definedName name="EWcostDL1" hidden="1">[21]PipeLineWork!$O$9</definedName>
    <definedName name="EWcostDL10" hidden="1">[25]PipeLineWork!$O$603</definedName>
    <definedName name="EWcostDL11" hidden="1">[25]PipeLineWork!$O$669</definedName>
    <definedName name="EWcostDL12" hidden="1">[25]PipeLineWork!$O$735</definedName>
    <definedName name="EWcostDL13" hidden="1">[25]PipeLineWork!$O$801</definedName>
    <definedName name="EWcostDL14" hidden="1">[25]PipeLineWork!$O$867</definedName>
    <definedName name="EWcostDL15" hidden="1">[25]PipeLineWork!$O$933</definedName>
    <definedName name="EWcostDL16" hidden="1">[25]PipeLineWork!$O$999</definedName>
    <definedName name="EWcostDL17" hidden="1">[25]PipeLineWork!$O$1065</definedName>
    <definedName name="EWcostDL18" hidden="1">[25]PipeLineWork!$O$1131</definedName>
    <definedName name="EWcostDL19" hidden="1">[25]PipeLineWork!$O$1197</definedName>
    <definedName name="EWcostDL2" hidden="1">[21]PipeLineWork!$O$79</definedName>
    <definedName name="EWcostDL20" hidden="1">[25]PipeLineWork!$O$1263</definedName>
    <definedName name="EWcostDL21" hidden="1">[25]PipeLineWork!$O$1329</definedName>
    <definedName name="EWcostDL22" hidden="1">[25]PipeLineWork!$O$1395</definedName>
    <definedName name="EWcostDL23" hidden="1">[25]PipeLineWork!$O$1461</definedName>
    <definedName name="EWcostDL24" hidden="1">[25]PipeLineWork!$O$1527</definedName>
    <definedName name="EWcostDL25" hidden="1">[25]PipeLineWork!$O$1593</definedName>
    <definedName name="EWcostDL26" hidden="1">[25]PipeLineWork!$O$1659</definedName>
    <definedName name="EWcostDL27" hidden="1">[25]PipeLineWork!$O$1725</definedName>
    <definedName name="EWcostDL3" hidden="1">[21]PipeLineWork!$O$149</definedName>
    <definedName name="EWcostDL4" hidden="1">[25]PipeLineWork!$O$207</definedName>
    <definedName name="EWcostDL5" hidden="1">[25]PipeLineWork!$O$273</definedName>
    <definedName name="EWcostDL6" hidden="1">[25]PipeLineWork!$O$339</definedName>
    <definedName name="EWcostDL7" hidden="1">[25]PipeLineWork!$O$405</definedName>
    <definedName name="EWcostDL8" hidden="1">[25]PipeLineWork!$O$471</definedName>
    <definedName name="EWcostDL9" hidden="1">[25]PipeLineWork!$O$537</definedName>
    <definedName name="excavator" localSheetId="0">[17]rate!$M$49</definedName>
    <definedName name="excavator">[80]Rates!$D$56</definedName>
    <definedName name="Excavator_E">'[47]Equipment Rates'!$D$22</definedName>
    <definedName name="excavatorb">#REF!</definedName>
    <definedName name="ExeAg" hidden="1">[2]CheckList!$E$4</definedName>
    <definedName name="expansionjoint">'[53]mat. rate'!$H$66</definedName>
    <definedName name="F" localSheetId="0">'[17]4aoc'!$B$129:$G$154</definedName>
    <definedName name="f">'[78]4aoc'!$B$129:$G$154</definedName>
    <definedName name="f_wood">#REF!</definedName>
    <definedName name="FA" localSheetId="0">#REF!</definedName>
    <definedName name="FA">#REF!</definedName>
    <definedName name="fab1.511" localSheetId="0">'[31]Rate analysis'!#REF!</definedName>
    <definedName name="fab1.511">#REF!</definedName>
    <definedName name="fab110.3" localSheetId="0">'[31]Rate analysis'!#REF!</definedName>
    <definedName name="fab110.3">#REF!</definedName>
    <definedName name="fab110.5" localSheetId="0">'[31]Rate analysis'!#REF!</definedName>
    <definedName name="fab110.5">#REF!</definedName>
    <definedName name="fab110.75" localSheetId="0">'[31]Rate analysis'!#REF!</definedName>
    <definedName name="fab110.75">#REF!</definedName>
    <definedName name="fab210.3" localSheetId="0">'[31]Rate analysis'!#REF!</definedName>
    <definedName name="fab210.3">#REF!</definedName>
    <definedName name="fab210.5" localSheetId="0">'[31]Rate analysis'!#REF!</definedName>
    <definedName name="fab210.5">#REF!</definedName>
    <definedName name="fab210.75" localSheetId="0">'[31]Rate analysis'!#REF!</definedName>
    <definedName name="fab210.75">#REF!</definedName>
    <definedName name="fab310.3" localSheetId="0">'[31]Rate analysis'!#REF!</definedName>
    <definedName name="fab310.3">#REF!</definedName>
    <definedName name="fab310.5" localSheetId="0">'[31]Rate analysis'!#REF!</definedName>
    <definedName name="fab310.5">#REF!</definedName>
    <definedName name="fab310.75" localSheetId="0">'[31]Rate analysis'!#REF!</definedName>
    <definedName name="fab310.75">#REF!</definedName>
    <definedName name="fabricating">#REF!,#REF!,#REF!,#REF!,#REF!,#REF!</definedName>
    <definedName name="fabricating_rwh">[81]Materials!$I$757,[81]Materials!$I$796,[81]Materials!$I$807,[81]Materials!$I$851,[81]Materials!$I$853:$I$854</definedName>
    <definedName name="Factorr" localSheetId="0">#REF!</definedName>
    <definedName name="Factorr">#REF!</definedName>
    <definedName name="Fcel" hidden="1">#REF!</definedName>
    <definedName name="FCT" localSheetId="0">#REF!</definedName>
    <definedName name="FCT">#REF!</definedName>
    <definedName name="fdsz">[62]Ta304!$F$6</definedName>
    <definedName name="Fe_32" localSheetId="0">#REF!</definedName>
    <definedName name="Fe_32">#REF!</definedName>
    <definedName name="fe_415">#REF!</definedName>
    <definedName name="FenchWire_Kg_M">[47]Transport_Cost_F!#REF!</definedName>
    <definedName name="fept">#REF!</definedName>
    <definedName name="fesw">#REF!</definedName>
    <definedName name="FFFF" hidden="1">[82]PipeDesign!$D$25:$D$26</definedName>
    <definedName name="fgoswt">#REF!</definedName>
    <definedName name="FH" localSheetId="0">#REF!</definedName>
    <definedName name="FH">#REF!</definedName>
    <definedName name="fHGLup" localSheetId="0" hidden="1">IF(OR(MID([21]PipeDesign!#REF!,1,1)="B",MID([21]PipeDesign!#REF!,1,1)="C",MID([21]PipeDesign!#REF!,1,1)="I",MID([21]PipeDesign!#REF!,1,1)="D",MID([21]PipeDesign!#REF!,1,1)="R",MID([21]PipeDesign!#REF!,1,1)="S"),[21]PipeDesign!#REF!,IF([21]PipeDesign!#REF!=0,VLOOKUP([21]PipeDesign!#REF!,rNodRLC1,17,0),[21]PipeDesign!#REF!))</definedName>
    <definedName name="fHGLup" hidden="1">IF(OR(MID([21]PipeDesign!#REF!,1,1)="B",MID([21]PipeDesign!#REF!,1,1)="C",MID([21]PipeDesign!#REF!,1,1)="I",MID([21]PipeDesign!#REF!,1,1)="D",MID([21]PipeDesign!#REF!,1,1)="R",MID([21]PipeDesign!#REF!,1,1)="S"),[21]PipeDesign!#REF!,IF([21]PipeDesign!#REF!=0,VLOOKUP([21]PipeDesign!#REF!,rNodRLC1,17,0),[21]PipeDesign!#REF!))</definedName>
    <definedName name="FiberGlassSheet_sqm_M">[47]Transport_Cost_F!$D$58</definedName>
    <definedName name="fillingstone" localSheetId="0">#REF!</definedName>
    <definedName name="fillingstone">#REF!</definedName>
    <definedName name="FIN" hidden="1">#REF!</definedName>
    <definedName name="Fire">#REF!</definedName>
    <definedName name="firewood" localSheetId="0">#REF!</definedName>
    <definedName name="Firewood">'[49]Rate analysis'!#REF!</definedName>
    <definedName name="firewood1">'[17] 24 kaski D.Rate'!$G$39</definedName>
    <definedName name="FitWt" hidden="1">[25]Fittings!$Y$162</definedName>
    <definedName name="flstone">#REF!</definedName>
    <definedName name="Fltgrl">#REF!</definedName>
    <definedName name="form_f1">#REF!</definedName>
    <definedName name="form_f3">#REF!</definedName>
    <definedName name="forman">[45]Rates!$D$4</definedName>
    <definedName name="formf1">#REF!</definedName>
    <definedName name="formwork1" localSheetId="0">'[31]Rate analysis'!$F$868</definedName>
    <definedName name="formwork1">#REF!</definedName>
    <definedName name="formwork3" localSheetId="0">'[31]Rate analysis'!$F$881</definedName>
    <definedName name="formwork3">#REF!</definedName>
    <definedName name="fpolish">#REF!</definedName>
    <definedName name="FR" localSheetId="0">#REF!</definedName>
    <definedName name="FR">#REF!</definedName>
    <definedName name="friction_clay">#REF!</definedName>
    <definedName name="FST">#REF!</definedName>
    <definedName name="fStatic" localSheetId="0" hidden="1">IF(OR(MID([21]PipeDesign!#REF!,1,1)="B",MID([21]PipeDesign!#REF!,1,1)="C",MID([21]PipeDesign!#REF!,1,1)="I",MID([21]PipeDesign!#REF!,1,1)="D",MID([21]PipeDesign!#REF!,1,1)="R",MID([21]PipeDesign!#REF!,1,1)="S"),[21]PipeDesign!#REF!,IF([21]PipeDesign!#REF!=0,VLOOKUP([21]PipeDesign!#REF!,rNodRLC1,6,0),[21]PipeDesign!#REF!))</definedName>
    <definedName name="fStatic" hidden="1">IF(OR(MID([21]PipeDesign!#REF!,1,1)="B",MID([21]PipeDesign!#REF!,1,1)="C",MID([21]PipeDesign!#REF!,1,1)="I",MID([21]PipeDesign!#REF!,1,1)="D",MID([21]PipeDesign!#REF!,1,1)="R",MID([21]PipeDesign!#REF!,1,1)="S"),[21]PipeDesign!#REF!,IF([21]PipeDesign!#REF!=0,VLOOKUP([21]PipeDesign!#REF!,rNodRLC1,6,0),[21]PipeDesign!#REF!))</definedName>
    <definedName name="fuel" hidden="1">[37]DRates!$K$46</definedName>
    <definedName name="FuseWire_M_M">[47]Transport_Cost_F!$D$63</definedName>
    <definedName name="FV" localSheetId="0">#REF!</definedName>
    <definedName name="FV">#REF!</definedName>
    <definedName name="FV_1" localSheetId="0">#REF!</definedName>
    <definedName name="FV_1">#REF!</definedName>
    <definedName name="FV_2" localSheetId="0">#REF!</definedName>
    <definedName name="FV_2">#REF!</definedName>
    <definedName name="FV_3" localSheetId="0">#REF!</definedName>
    <definedName name="FV_3">#REF!</definedName>
    <definedName name="FV_4" localSheetId="0">#REF!</definedName>
    <definedName name="FV_4">#REF!</definedName>
    <definedName name="FV_5" localSheetId="0">#REF!</definedName>
    <definedName name="FV_5">#REF!</definedName>
    <definedName name="FV_6" localSheetId="0">#REF!</definedName>
    <definedName name="FV_6">#REF!</definedName>
    <definedName name="FWood">'[57]M-RATE'!$J$105</definedName>
    <definedName name="FY" hidden="1">[77]Data!$D$3</definedName>
    <definedName name="g" localSheetId="0">'[17]4aoc'!$B$155:$G$180</definedName>
    <definedName name="g">'[78]4aoc'!$B$155:$G$180</definedName>
    <definedName name="G.I._WIRE">#N/A</definedName>
    <definedName name="g_oil">#REF!</definedName>
    <definedName name="g_pipe_100">#REF!</definedName>
    <definedName name="g_pipe_50">#REF!</definedName>
    <definedName name="ga_1">[17]Rates!$G$46</definedName>
    <definedName name="ga_2">[17]Rates!$G$47</definedName>
    <definedName name="ga_3">[17]Rates!$G$48</definedName>
    <definedName name="gab_bin" localSheetId="0">[59]Rates!$G$17</definedName>
    <definedName name="gab_bin">[60]Rates!$H$16</definedName>
    <definedName name="gabion" localSheetId="0">[59]Rates!$G$16</definedName>
    <definedName name="gabion">[60]Rates!$H$15</definedName>
    <definedName name="gabion_12" localSheetId="0">[45]Rates!$G$16</definedName>
    <definedName name="gabion_12">[83]Rates!$G$21</definedName>
    <definedName name="gas_cutter">[60]Rates!$D$62</definedName>
    <definedName name="gatlt">#REF!</definedName>
    <definedName name="GB_100" localSheetId="0">#REF!</definedName>
    <definedName name="GB_100">#REF!</definedName>
    <definedName name="GB_125" localSheetId="0">#REF!</definedName>
    <definedName name="GB_125">#REF!</definedName>
    <definedName name="GB_150" localSheetId="0">#REF!</definedName>
    <definedName name="GB_150">#REF!</definedName>
    <definedName name="GB_25" localSheetId="0">#REF!</definedName>
    <definedName name="GB_25">#REF!</definedName>
    <definedName name="GB_32" localSheetId="0">#REF!</definedName>
    <definedName name="GB_32">#REF!</definedName>
    <definedName name="GB_40" localSheetId="0">#REF!</definedName>
    <definedName name="GB_40">#REF!</definedName>
    <definedName name="GB_50" localSheetId="0">#REF!</definedName>
    <definedName name="GB_50">#REF!</definedName>
    <definedName name="GB_65" localSheetId="0">#REF!</definedName>
    <definedName name="GB_65">#REF!</definedName>
    <definedName name="GB_80" localSheetId="0">#REF!</definedName>
    <definedName name="GB_80">#REF!</definedName>
    <definedName name="gboard">#REF!</definedName>
    <definedName name="gbrcf100">#REF!</definedName>
    <definedName name="GC_15" localSheetId="0">#REF!</definedName>
    <definedName name="GC_15">#REF!</definedName>
    <definedName name="GC_25" localSheetId="0">#REF!</definedName>
    <definedName name="GC_25">#REF!</definedName>
    <definedName name="GC_32" localSheetId="0">#REF!</definedName>
    <definedName name="GC_32">#REF!</definedName>
    <definedName name="GC_40" localSheetId="0">#REF!</definedName>
    <definedName name="GC_40">#REF!</definedName>
    <definedName name="GE_100" localSheetId="0">#REF!</definedName>
    <definedName name="GE_100">#REF!</definedName>
    <definedName name="GE_125" localSheetId="0">#REF!</definedName>
    <definedName name="GE_125">#REF!</definedName>
    <definedName name="GE_15" localSheetId="0">#REF!</definedName>
    <definedName name="GE_15">#REF!</definedName>
    <definedName name="GE_150" localSheetId="0">#REF!</definedName>
    <definedName name="GE_150">#REF!</definedName>
    <definedName name="GE_20" localSheetId="0">#REF!</definedName>
    <definedName name="GE_20">#REF!</definedName>
    <definedName name="GE_25" localSheetId="0">#REF!</definedName>
    <definedName name="GE_25">#REF!</definedName>
    <definedName name="GE_32" localSheetId="0">#REF!</definedName>
    <definedName name="GE_32">#REF!</definedName>
    <definedName name="GE_40" localSheetId="0">#REF!</definedName>
    <definedName name="GE_40">#REF!</definedName>
    <definedName name="GE_50" localSheetId="0">#REF!</definedName>
    <definedName name="GE_50">#REF!</definedName>
    <definedName name="GE_65" localSheetId="0">#REF!</definedName>
    <definedName name="GE_65">#REF!</definedName>
    <definedName name="GE_80" localSheetId="0">#REF!</definedName>
    <definedName name="GE_80">#REF!</definedName>
    <definedName name="GEL">#REF!</definedName>
    <definedName name="Gelatin_M">[47]Transport_Cost_F!$D$61</definedName>
    <definedName name="generator" localSheetId="0">[31]rate!$M$43</definedName>
    <definedName name="generator">#REF!</definedName>
    <definedName name="Generator_E">'[47]Equipment Rates'!$D$34</definedName>
    <definedName name="geo">'[17] 24 kaski D.Rate'!$G$52</definedName>
    <definedName name="geotextile" localSheetId="0">'[53]mat. rate'!$H$65</definedName>
    <definedName name="geotextile">'[51]dist rate material'!$D$32</definedName>
    <definedName name="Geotextile_sqm_M">[56]Transport_Cost_F!$D$13</definedName>
    <definedName name="GEP_100" localSheetId="0">#REF!</definedName>
    <definedName name="GEP_100">#REF!</definedName>
    <definedName name="GEP_125" localSheetId="0">#REF!</definedName>
    <definedName name="GEP_125">#REF!</definedName>
    <definedName name="GEP_15" localSheetId="0">#REF!</definedName>
    <definedName name="GEP_15">#REF!</definedName>
    <definedName name="GEP_50" localSheetId="0">#REF!</definedName>
    <definedName name="GEP_50">#REF!</definedName>
    <definedName name="GEP_65" localSheetId="0">#REF!</definedName>
    <definedName name="GEP_65">#REF!</definedName>
    <definedName name="GEP_80" localSheetId="0">#REF!</definedName>
    <definedName name="GEP_80">#REF!</definedName>
    <definedName name="GET_100" localSheetId="0">#REF!</definedName>
    <definedName name="GET_100">#REF!</definedName>
    <definedName name="GET_125" localSheetId="0">#REF!</definedName>
    <definedName name="GET_125">#REF!</definedName>
    <definedName name="GET_15" localSheetId="0">#REF!</definedName>
    <definedName name="GET_15">#REF!</definedName>
    <definedName name="GET_150" localSheetId="0">#REF!</definedName>
    <definedName name="GET_150">#REF!</definedName>
    <definedName name="GET_20" localSheetId="0">#REF!</definedName>
    <definedName name="GET_20">#REF!</definedName>
    <definedName name="GET_25" localSheetId="0">#REF!</definedName>
    <definedName name="GET_25">#REF!</definedName>
    <definedName name="GET_32" localSheetId="0">#REF!</definedName>
    <definedName name="GET_32">#REF!</definedName>
    <definedName name="GET_40" localSheetId="0">#REF!</definedName>
    <definedName name="GET_40">#REF!</definedName>
    <definedName name="GET_50" localSheetId="0">#REF!</definedName>
    <definedName name="GET_50">#REF!</definedName>
    <definedName name="GET_65" localSheetId="0">#REF!</definedName>
    <definedName name="GET_65">#REF!</definedName>
    <definedName name="GET_80" localSheetId="0">#REF!</definedName>
    <definedName name="GET_80">#REF!</definedName>
    <definedName name="GF_1" localSheetId="0">#REF!</definedName>
    <definedName name="GF_1">#REF!</definedName>
    <definedName name="GF_100" localSheetId="0">#REF!</definedName>
    <definedName name="GF_100">#REF!</definedName>
    <definedName name="GF_125" localSheetId="0">#REF!</definedName>
    <definedName name="GF_125">#REF!</definedName>
    <definedName name="GF_150" localSheetId="0">#REF!</definedName>
    <definedName name="GF_150">#REF!</definedName>
    <definedName name="GF_2" localSheetId="0">#REF!</definedName>
    <definedName name="GF_2">#REF!</definedName>
    <definedName name="GF_3" localSheetId="0">#REF!</definedName>
    <definedName name="GF_3">#REF!</definedName>
    <definedName name="GF_32" localSheetId="0">#REF!</definedName>
    <definedName name="GF_32">#REF!</definedName>
    <definedName name="GF_4" localSheetId="0">#REF!</definedName>
    <definedName name="GF_4">#REF!</definedName>
    <definedName name="GF_40" localSheetId="0">#REF!</definedName>
    <definedName name="GF_40">#REF!</definedName>
    <definedName name="GF_5" localSheetId="0">#REF!</definedName>
    <definedName name="GF_5">#REF!</definedName>
    <definedName name="GF_50" localSheetId="0">#REF!</definedName>
    <definedName name="GF_50">#REF!</definedName>
    <definedName name="GF_6" localSheetId="0">#REF!</definedName>
    <definedName name="GF_6">#REF!</definedName>
    <definedName name="GF_65" localSheetId="0">#REF!</definedName>
    <definedName name="GF_65">#REF!</definedName>
    <definedName name="GF_7" localSheetId="0">#REF!</definedName>
    <definedName name="GF_7">#REF!</definedName>
    <definedName name="GF_8" localSheetId="0">#REF!</definedName>
    <definedName name="GF_8">#REF!</definedName>
    <definedName name="GF_80" localSheetId="0">#REF!</definedName>
    <definedName name="GF_80">#REF!</definedName>
    <definedName name="GFN_125" localSheetId="0">#REF!</definedName>
    <definedName name="GFN_125">#REF!</definedName>
    <definedName name="gh">#REF!</definedName>
    <definedName name="gi_fitting_rwh">[81]Materials!$I$797:$I$803,[81]Materials!$I$819:$I$820</definedName>
    <definedName name="gi_fittings">#REF!,#REF!,#REF!</definedName>
    <definedName name="gi_pipes">#REF!</definedName>
    <definedName name="GI_Reducer" localSheetId="0">#REF!</definedName>
    <definedName name="GI_Reducer">#REF!</definedName>
    <definedName name="gi_rocky">#REF!</definedName>
    <definedName name="gi_wire">'[46]Material cost'!$J$80</definedName>
    <definedName name="gi100mm" localSheetId="0">[17]rate!$D$60</definedName>
    <definedName name="gi100mm">[84]rate!$D$60</definedName>
    <definedName name="gi10gauge">[85]rate!$N$20</definedName>
    <definedName name="gi12gauge">[85]rate!$N$21</definedName>
    <definedName name="gi38mm" localSheetId="0">[17]rate!$D$57</definedName>
    <definedName name="gi38mm">[84]rate!$D$57</definedName>
    <definedName name="gi75mm">'[53]mat. rate'!$H$61</definedName>
    <definedName name="gi8gauge">[85]rate!$N$19</definedName>
    <definedName name="GICros" hidden="1">[25]FitData!$BA$11</definedName>
    <definedName name="gipipe">'[51]dist rate material'!$D$36</definedName>
    <definedName name="gipipe100mm">'[43]Basic Rate'!#REF!</definedName>
    <definedName name="GIpipe40mm" localSheetId="0">'[48]Rate analysis'!#REF!</definedName>
    <definedName name="GIpipe40mm">'[49]Rate analysis'!#REF!</definedName>
    <definedName name="GiPipe50mm" localSheetId="0">'[48]Rate analysis'!#REF!</definedName>
    <definedName name="GiPipe50mm">'[49]Rate analysis'!#REF!</definedName>
    <definedName name="gips">[20]MatCol!$K$69</definedName>
    <definedName name="GIPS28" hidden="1">[10]MatCol!$U$38</definedName>
    <definedName name="gisheet">'[43]Basic Rate'!#REF!</definedName>
    <definedName name="giwar" localSheetId="0">'[15]update Rate'!$E$172</definedName>
    <definedName name="giwar">'[13]update Rate'!$E$172</definedName>
    <definedName name="giwire" localSheetId="0">'[15]update Rate'!$E$49</definedName>
    <definedName name="giwire">'[13]update Rate'!$E$49</definedName>
    <definedName name="giwire10" localSheetId="0">[31]rate!$H$54</definedName>
    <definedName name="giwire10">[52]Rate!#REF!</definedName>
    <definedName name="giwire12" localSheetId="0">[31]rate!$H$55</definedName>
    <definedName name="giwire12">[52]Rate!#REF!</definedName>
    <definedName name="giwire24" localSheetId="0">'[15]update Rate'!$E$50</definedName>
    <definedName name="giwire24">'[13]update Rate'!$E$50</definedName>
    <definedName name="GIwire7">#REF!</definedName>
    <definedName name="giwire8" localSheetId="0">[31]rate!$H$53</definedName>
    <definedName name="giwire8">[52]Rate!#REF!</definedName>
    <definedName name="GLASS">#N/A</definedName>
    <definedName name="glass3" localSheetId="0">'[15]update Rate'!$E$84</definedName>
    <definedName name="glass3">'[13]update Rate'!$E$84</definedName>
    <definedName name="glass4" localSheetId="0">'[15]update Rate'!$E$85</definedName>
    <definedName name="glass4">'[13]update Rate'!$E$85</definedName>
    <definedName name="glass5" localSheetId="0">'[15]update Rate'!$E$86</definedName>
    <definedName name="glass5">'[13]update Rate'!$E$86</definedName>
    <definedName name="glass6" localSheetId="0">'[15]update Rate'!$E$87</definedName>
    <definedName name="glass6">'[13]update Rate'!$E$87</definedName>
    <definedName name="GLJH_100" localSheetId="0">#REF!</definedName>
    <definedName name="GLJH_100">#REF!</definedName>
    <definedName name="GLJH_20" localSheetId="0">#REF!</definedName>
    <definedName name="GLJH_20">#REF!</definedName>
    <definedName name="GLJH_25" localSheetId="0">#REF!</definedName>
    <definedName name="GLJH_25">#REF!</definedName>
    <definedName name="GLJH_32" localSheetId="0">#REF!</definedName>
    <definedName name="GLJH_32">#REF!</definedName>
    <definedName name="GLJH_40" localSheetId="0">#REF!</definedName>
    <definedName name="GLJH_40">#REF!</definedName>
    <definedName name="GLJH_50" localSheetId="0">#REF!</definedName>
    <definedName name="GLJH_50">#REF!</definedName>
    <definedName name="GLJH_65" localSheetId="0">#REF!</definedName>
    <definedName name="GLJH_65">#REF!</definedName>
    <definedName name="GLJH_80" localSheetId="0">#REF!</definedName>
    <definedName name="GLJH_80">#REF!</definedName>
    <definedName name="GLJL_100" localSheetId="0">#REF!</definedName>
    <definedName name="GLJL_100">#REF!</definedName>
    <definedName name="GLJL_15" localSheetId="0">#REF!</definedName>
    <definedName name="GLJL_15">#REF!</definedName>
    <definedName name="GLJL_20" localSheetId="0">#REF!</definedName>
    <definedName name="GLJL_20">#REF!</definedName>
    <definedName name="GLJL_25" localSheetId="0">#REF!</definedName>
    <definedName name="GLJL_25">#REF!</definedName>
    <definedName name="GLJL_32" localSheetId="0">#REF!</definedName>
    <definedName name="GLJL_32">#REF!</definedName>
    <definedName name="GLJL_40" localSheetId="0">#REF!</definedName>
    <definedName name="GLJL_40">#REF!</definedName>
    <definedName name="GLJL_50" localSheetId="0">#REF!</definedName>
    <definedName name="GLJL_50">#REF!</definedName>
    <definedName name="GLJL_65" localSheetId="0">#REF!</definedName>
    <definedName name="GLJL_65">#REF!</definedName>
    <definedName name="GLJL_80" localSheetId="0">#REF!</definedName>
    <definedName name="GLJL_80">#REF!</definedName>
    <definedName name="GLJM_100" localSheetId="0">#REF!</definedName>
    <definedName name="GLJM_100">#REF!</definedName>
    <definedName name="GLJM_125" localSheetId="0">#REF!</definedName>
    <definedName name="GLJM_125">#REF!</definedName>
    <definedName name="GLJM_15" localSheetId="0">#REF!</definedName>
    <definedName name="GLJM_15">#REF!</definedName>
    <definedName name="GLJM_150" localSheetId="0">#REF!</definedName>
    <definedName name="GLJM_150">#REF!</definedName>
    <definedName name="GLJM_20" localSheetId="0">#REF!</definedName>
    <definedName name="GLJM_20">#REF!</definedName>
    <definedName name="GLJM_200" localSheetId="0">#REF!</definedName>
    <definedName name="GLJM_200">#REF!</definedName>
    <definedName name="GLJM_25" localSheetId="0">#REF!</definedName>
    <definedName name="GLJM_25">#REF!</definedName>
    <definedName name="GLJM_32" localSheetId="0">#REF!</definedName>
    <definedName name="GLJM_32">#REF!</definedName>
    <definedName name="GLJM_40" localSheetId="0">#REF!</definedName>
    <definedName name="GLJM_40">#REF!</definedName>
    <definedName name="GLJM_50" localSheetId="0">#REF!</definedName>
    <definedName name="GLJM_50">#REF!</definedName>
    <definedName name="GLJM_65" localSheetId="0">#REF!</definedName>
    <definedName name="GLJM_65">#REF!</definedName>
    <definedName name="GLJM_80" localSheetId="0">#REF!</definedName>
    <definedName name="GLJM_80">#REF!</definedName>
    <definedName name="GLN" localSheetId="0">#REF!</definedName>
    <definedName name="GLN">#REF!</definedName>
    <definedName name="GloV_15" localSheetId="0">#REF!</definedName>
    <definedName name="GloV_15">#REF!</definedName>
    <definedName name="gls4wl">#REF!</definedName>
    <definedName name="glu">[86]MAT!$D$37</definedName>
    <definedName name="GMF_15" localSheetId="0">#REF!</definedName>
    <definedName name="GMF_15">#REF!</definedName>
    <definedName name="GN_100" localSheetId="0">#REF!</definedName>
    <definedName name="GN_100">#REF!</definedName>
    <definedName name="GN_125" localSheetId="0">#REF!</definedName>
    <definedName name="GN_125">#REF!</definedName>
    <definedName name="GN_15" localSheetId="0">#REF!</definedName>
    <definedName name="GN_15">#REF!</definedName>
    <definedName name="GN_150" localSheetId="0">#REF!</definedName>
    <definedName name="GN_150">#REF!</definedName>
    <definedName name="GN_20" localSheetId="0">#REF!</definedName>
    <definedName name="GN_20">#REF!</definedName>
    <definedName name="GN_25" localSheetId="0">#REF!</definedName>
    <definedName name="GN_25">#REF!</definedName>
    <definedName name="GN_32" localSheetId="0">#REF!</definedName>
    <definedName name="GN_32">#REF!</definedName>
    <definedName name="GN_40" localSheetId="0">#REF!</definedName>
    <definedName name="GN_40">#REF!</definedName>
    <definedName name="GN_50" localSheetId="0">#REF!</definedName>
    <definedName name="GN_50">#REF!</definedName>
    <definedName name="GN_65" localSheetId="0">#REF!</definedName>
    <definedName name="GN_65">#REF!</definedName>
    <definedName name="GN_80" localSheetId="0">#REF!</definedName>
    <definedName name="GN_80">#REF!</definedName>
    <definedName name="GP_1" localSheetId="0">#REF!</definedName>
    <definedName name="GP_1">#REF!</definedName>
    <definedName name="GP_2" localSheetId="0">#REF!</definedName>
    <definedName name="GP_2">#REF!</definedName>
    <definedName name="GP_3" localSheetId="0">#REF!</definedName>
    <definedName name="GP_3">#REF!</definedName>
    <definedName name="GP_4" localSheetId="0">#REF!</definedName>
    <definedName name="GP_4">#REF!</definedName>
    <definedName name="GP_5" localSheetId="0">#REF!</definedName>
    <definedName name="GP_5">#REF!</definedName>
    <definedName name="GP_6" localSheetId="0">#REF!</definedName>
    <definedName name="GP_6">#REF!</definedName>
    <definedName name="GP_7" localSheetId="0">#REF!</definedName>
    <definedName name="GP_7">#REF!</definedName>
    <definedName name="GP_8" localSheetId="0">#REF!</definedName>
    <definedName name="GP_8">#REF!</definedName>
    <definedName name="GP_9" localSheetId="0">#REF!</definedName>
    <definedName name="GP_9">#REF!</definedName>
    <definedName name="GPH_100" localSheetId="0">#REF!</definedName>
    <definedName name="GPH_100">#REF!</definedName>
    <definedName name="GPH_125" localSheetId="0">#REF!</definedName>
    <definedName name="GPH_125">#REF!</definedName>
    <definedName name="GPH_15" localSheetId="0">#REF!</definedName>
    <definedName name="GPH_15">#REF!</definedName>
    <definedName name="GPH_150" localSheetId="0">#REF!</definedName>
    <definedName name="GPH_150">#REF!</definedName>
    <definedName name="GPH_20" localSheetId="0">#REF!</definedName>
    <definedName name="GPH_20">#REF!</definedName>
    <definedName name="GPH_25" localSheetId="0">#REF!</definedName>
    <definedName name="GPH_25">#REF!</definedName>
    <definedName name="GPH_32" localSheetId="0">#REF!</definedName>
    <definedName name="GPH_32">#REF!</definedName>
    <definedName name="GPH_40" localSheetId="0">#REF!</definedName>
    <definedName name="GPH_40">#REF!</definedName>
    <definedName name="GPH_50" localSheetId="0">#REF!</definedName>
    <definedName name="GPH_50">#REF!</definedName>
    <definedName name="GPH_65" localSheetId="0">#REF!</definedName>
    <definedName name="GPH_65">#REF!</definedName>
    <definedName name="GPH_80" localSheetId="0">#REF!</definedName>
    <definedName name="GPH_80">#REF!</definedName>
    <definedName name="GPL_100" localSheetId="0">#REF!</definedName>
    <definedName name="GPL_100">#REF!</definedName>
    <definedName name="GPL_125" localSheetId="0">#REF!</definedName>
    <definedName name="GPL_125">#REF!</definedName>
    <definedName name="GPL_15" localSheetId="0">#REF!</definedName>
    <definedName name="GPL_15">#REF!</definedName>
    <definedName name="GPL_150" localSheetId="0">#REF!</definedName>
    <definedName name="GPL_150">#REF!</definedName>
    <definedName name="GPL_20" localSheetId="0">#REF!</definedName>
    <definedName name="GPL_20">#REF!</definedName>
    <definedName name="GPL_25" localSheetId="0">#REF!</definedName>
    <definedName name="GPL_25">#REF!</definedName>
    <definedName name="GPL_32" localSheetId="0">#REF!</definedName>
    <definedName name="GPL_32">#REF!</definedName>
    <definedName name="GPL_40" localSheetId="0">#REF!</definedName>
    <definedName name="GPL_40">#REF!</definedName>
    <definedName name="GPL_50" localSheetId="0">#REF!</definedName>
    <definedName name="GPL_50">#REF!</definedName>
    <definedName name="GPL_65" localSheetId="0">#REF!</definedName>
    <definedName name="GPL_65">#REF!</definedName>
    <definedName name="GPL_80" localSheetId="0">#REF!</definedName>
    <definedName name="GPL_80">#REF!</definedName>
    <definedName name="GPM_100" localSheetId="0">#REF!</definedName>
    <definedName name="GPM_100">#REF!</definedName>
    <definedName name="GPM_125" localSheetId="0">#REF!</definedName>
    <definedName name="GPM_125">#REF!</definedName>
    <definedName name="GPM_15" localSheetId="0">#REF!</definedName>
    <definedName name="GPM_15">#REF!</definedName>
    <definedName name="GPM_150" localSheetId="0">#REF!</definedName>
    <definedName name="GPM_150">#REF!</definedName>
    <definedName name="GPM_20" localSheetId="0">#REF!</definedName>
    <definedName name="GPM_20">#REF!</definedName>
    <definedName name="GPM_200" localSheetId="0">#REF!</definedName>
    <definedName name="GPM_200">#REF!</definedName>
    <definedName name="GPM_25" localSheetId="0">#REF!</definedName>
    <definedName name="GPM_25">#REF!</definedName>
    <definedName name="GPM_32" localSheetId="0">#REF!</definedName>
    <definedName name="GPM_32">#REF!</definedName>
    <definedName name="GPM_40" localSheetId="0">#REF!</definedName>
    <definedName name="GPM_40">#REF!</definedName>
    <definedName name="GPM_50" localSheetId="0">#REF!</definedName>
    <definedName name="GPM_50">#REF!</definedName>
    <definedName name="GPM_65" localSheetId="0">#REF!</definedName>
    <definedName name="GPM_65">#REF!</definedName>
    <definedName name="GPM_80" localSheetId="0">#REF!</definedName>
    <definedName name="GPM_80">#REF!</definedName>
    <definedName name="gpw" hidden="1">[37]DRates!$K$30</definedName>
    <definedName name="GR_100x32" localSheetId="0">#REF!</definedName>
    <definedName name="GR_100x32">#REF!</definedName>
    <definedName name="GR_100x40" localSheetId="0">#REF!</definedName>
    <definedName name="GR_100x40">#REF!</definedName>
    <definedName name="GR_100x50" localSheetId="0">#REF!</definedName>
    <definedName name="GR_100x50">#REF!</definedName>
    <definedName name="GR_100x65" localSheetId="0">#REF!</definedName>
    <definedName name="GR_100x65">#REF!</definedName>
    <definedName name="GR_100x80" localSheetId="0">#REF!</definedName>
    <definedName name="GR_100x80">#REF!</definedName>
    <definedName name="GR_125x100" localSheetId="0">#REF!</definedName>
    <definedName name="GR_125x100">#REF!</definedName>
    <definedName name="GR_150x125" localSheetId="0">#REF!</definedName>
    <definedName name="GR_150x125">#REF!</definedName>
    <definedName name="GR_32x20" localSheetId="0">#REF!</definedName>
    <definedName name="GR_32x20">#REF!</definedName>
    <definedName name="GR_32x25" localSheetId="0">#REF!</definedName>
    <definedName name="GR_32x25">#REF!</definedName>
    <definedName name="GR_40x15" localSheetId="0">#REF!</definedName>
    <definedName name="GR_40x15">#REF!</definedName>
    <definedName name="GR_40x25" localSheetId="0">#REF!</definedName>
    <definedName name="GR_40x25">#REF!</definedName>
    <definedName name="GR_40x32" localSheetId="0">#REF!</definedName>
    <definedName name="GR_40x32">#REF!</definedName>
    <definedName name="GR_50x32" localSheetId="0">#REF!</definedName>
    <definedName name="GR_50x32">#REF!</definedName>
    <definedName name="GR_50x40" localSheetId="0">#REF!</definedName>
    <definedName name="GR_50x40">#REF!</definedName>
    <definedName name="GR_65x40" localSheetId="0">#REF!</definedName>
    <definedName name="GR_65x40">#REF!</definedName>
    <definedName name="GR_65x50" localSheetId="0">#REF!</definedName>
    <definedName name="GR_65x50">#REF!</definedName>
    <definedName name="GR_80x32" localSheetId="0">#REF!</definedName>
    <definedName name="GR_80x32">#REF!</definedName>
    <definedName name="GR_80x40" localSheetId="0">#REF!</definedName>
    <definedName name="GR_80x40">#REF!</definedName>
    <definedName name="GR_80x50" localSheetId="0">#REF!</definedName>
    <definedName name="GR_80x50">#REF!</definedName>
    <definedName name="GR_80x65" localSheetId="0">#REF!</definedName>
    <definedName name="GR_80x65">#REF!</definedName>
    <definedName name="Gra">[17]DR!$D$25</definedName>
    <definedName name="grader" localSheetId="0">[59]Rates!$D$77</definedName>
    <definedName name="grader">'[51]district rate equp'!$D$14</definedName>
    <definedName name="grader75hp">[31]rate!$M$26</definedName>
    <definedName name="grador75hp" localSheetId="0">'[43]Basic Rate'!#REF!</definedName>
    <definedName name="grador75hp">[52]Rate!#REF!</definedName>
    <definedName name="granular1">'[17] 24 kaski D.Rate'!$G$36</definedName>
    <definedName name="Grassslips_no_M">[47]Transport_Cost_F!#REF!</definedName>
    <definedName name="grav" hidden="1">[37]MatCol!$K$78</definedName>
    <definedName name="Gravel">#REF!</definedName>
    <definedName name="Gravel_20">[45]Rates!$G$30</definedName>
    <definedName name="Gravel_5_20_cum_M">[87]Transport_Cost_F!$D$41</definedName>
    <definedName name="Gravel_5_70_cum_M">[56]Transport_Cost_F!$D$40</definedName>
    <definedName name="Gravel1">'[17] 24 kaski D.Rate'!$G$25</definedName>
    <definedName name="gravel5_10">#REF!</definedName>
    <definedName name="gravel5_20">'[53]mat. rate'!$H$6</definedName>
    <definedName name="gravel5_40">'[53]mat. rate'!$H$5</definedName>
    <definedName name="grease">#REF!</definedName>
    <definedName name="GreenMULCH_M">[56]Transport_Cost_F!$D$70</definedName>
    <definedName name="gril" hidden="1">[37]DRates!$K$45</definedName>
    <definedName name="grill" localSheetId="0">#REF!</definedName>
    <definedName name="grill">#REF!</definedName>
    <definedName name="GS_100" localSheetId="0">#REF!</definedName>
    <definedName name="GS_100">#REF!</definedName>
    <definedName name="GS_125" localSheetId="0">#REF!</definedName>
    <definedName name="GS_125">#REF!</definedName>
    <definedName name="GS_15" localSheetId="0">#REF!</definedName>
    <definedName name="GS_15">#REF!</definedName>
    <definedName name="GS_150" localSheetId="0">#REF!</definedName>
    <definedName name="GS_150">#REF!</definedName>
    <definedName name="GS_20" localSheetId="0">#REF!</definedName>
    <definedName name="GS_20">#REF!</definedName>
    <definedName name="GS_25" localSheetId="0">#REF!</definedName>
    <definedName name="GS_25">#REF!</definedName>
    <definedName name="GS_32" localSheetId="0">#REF!</definedName>
    <definedName name="GS_32">#REF!</definedName>
    <definedName name="GS_40" localSheetId="0">#REF!</definedName>
    <definedName name="GS_40">#REF!</definedName>
    <definedName name="GS_50" localSheetId="0">#REF!</definedName>
    <definedName name="GS_50">#REF!</definedName>
    <definedName name="GS_65" localSheetId="0">#REF!</definedName>
    <definedName name="GS_65">#REF!</definedName>
    <definedName name="GS_80" localSheetId="0">#REF!</definedName>
    <definedName name="GS_80">#REF!</definedName>
    <definedName name="GSt_100" localSheetId="0">#REF!</definedName>
    <definedName name="GSt_100">#REF!</definedName>
    <definedName name="GSt_125" localSheetId="0">#REF!</definedName>
    <definedName name="GSt_125">#REF!</definedName>
    <definedName name="GSt_150" localSheetId="0">#REF!</definedName>
    <definedName name="GSt_150">#REF!</definedName>
    <definedName name="GSt_32" localSheetId="0">#REF!</definedName>
    <definedName name="GSt_32">#REF!</definedName>
    <definedName name="GSt_40" localSheetId="0">#REF!</definedName>
    <definedName name="GSt_40">#REF!</definedName>
    <definedName name="GSt_50" localSheetId="0">#REF!</definedName>
    <definedName name="GSt_50">#REF!</definedName>
    <definedName name="GSt_65" localSheetId="0">#REF!</definedName>
    <definedName name="GSt_65">#REF!</definedName>
    <definedName name="GSt_80" localSheetId="0">#REF!</definedName>
    <definedName name="GSt_80">#REF!</definedName>
    <definedName name="GTAP" localSheetId="0">#REF!</definedName>
    <definedName name="GTAP">#REF!</definedName>
    <definedName name="GTile">'[88]M-RATE'!$J$87</definedName>
    <definedName name="GU_100" localSheetId="0">#REF!</definedName>
    <definedName name="GU_100">#REF!</definedName>
    <definedName name="GU_125" localSheetId="0">#REF!</definedName>
    <definedName name="GU_125">#REF!</definedName>
    <definedName name="GU_15" localSheetId="0">#REF!</definedName>
    <definedName name="GU_15">#REF!</definedName>
    <definedName name="GU_150" localSheetId="0">#REF!</definedName>
    <definedName name="GU_150">#REF!</definedName>
    <definedName name="GU_20" localSheetId="0">#REF!</definedName>
    <definedName name="GU_20">#REF!</definedName>
    <definedName name="GU_25" localSheetId="0">#REF!</definedName>
    <definedName name="GU_25">#REF!</definedName>
    <definedName name="GU_32" localSheetId="0">#REF!</definedName>
    <definedName name="GU_32">#REF!</definedName>
    <definedName name="GU_40" localSheetId="0">#REF!</definedName>
    <definedName name="GU_40">#REF!</definedName>
    <definedName name="GU_50" localSheetId="0">#REF!</definedName>
    <definedName name="GU_50">#REF!</definedName>
    <definedName name="GU_65" localSheetId="0">#REF!</definedName>
    <definedName name="GU_65">#REF!</definedName>
    <definedName name="GU_80" localSheetId="0">#REF!</definedName>
    <definedName name="GU_80">#REF!</definedName>
    <definedName name="gum" localSheetId="0">'[53]mat. rate'!$H$53</definedName>
    <definedName name="GUM">#N/A</definedName>
    <definedName name="GUT_100x15" localSheetId="0">#REF!</definedName>
    <definedName name="GUT_100x15">#REF!</definedName>
    <definedName name="GUT_100x20" localSheetId="0">#REF!</definedName>
    <definedName name="GUT_100x20">#REF!</definedName>
    <definedName name="GUT_100x25" localSheetId="0">#REF!</definedName>
    <definedName name="GUT_100x25">#REF!</definedName>
    <definedName name="GUT_125x15" localSheetId="0">#REF!</definedName>
    <definedName name="GUT_125x15">#REF!</definedName>
    <definedName name="GUT_125x20" localSheetId="0">#REF!</definedName>
    <definedName name="GUT_125x20">#REF!</definedName>
    <definedName name="GUT_125x80" localSheetId="0">#REF!</definedName>
    <definedName name="GUT_125x80">#REF!</definedName>
    <definedName name="GUT_150x15" localSheetId="0">#REF!</definedName>
    <definedName name="GUT_150x15">#REF!</definedName>
    <definedName name="GUT_20x15" localSheetId="0">#REF!</definedName>
    <definedName name="GUT_20x15">#REF!</definedName>
    <definedName name="GUT_25x15" localSheetId="0">#REF!</definedName>
    <definedName name="GUT_25x15">#REF!</definedName>
    <definedName name="GUT_32x15" localSheetId="0">#REF!</definedName>
    <definedName name="GUT_32x15">#REF!</definedName>
    <definedName name="GUT_32x25" localSheetId="0">#REF!</definedName>
    <definedName name="GUT_32x25">#REF!</definedName>
    <definedName name="GUT_40x15" localSheetId="0">#REF!</definedName>
    <definedName name="GUT_40x15">#REF!</definedName>
    <definedName name="GUT_40x32" localSheetId="0">#REF!</definedName>
    <definedName name="GUT_40x32">#REF!</definedName>
    <definedName name="GUT_50x15" localSheetId="0">#REF!</definedName>
    <definedName name="GUT_50x15">#REF!</definedName>
    <definedName name="GUT_50x20" localSheetId="0">#REF!</definedName>
    <definedName name="GUT_50x20">#REF!</definedName>
    <definedName name="GUT_50x25" localSheetId="0">#REF!</definedName>
    <definedName name="GUT_50x25">#REF!</definedName>
    <definedName name="GUT_65x15" localSheetId="0">#REF!</definedName>
    <definedName name="GUT_65x15">#REF!</definedName>
    <definedName name="GUT_80x20" localSheetId="0">#REF!</definedName>
    <definedName name="GUT_80x20">#REF!</definedName>
    <definedName name="GV_1" localSheetId="0">#REF!</definedName>
    <definedName name="GV_1">#REF!</definedName>
    <definedName name="GV_100" localSheetId="0">#REF!</definedName>
    <definedName name="GV_100">#REF!</definedName>
    <definedName name="GV_125" localSheetId="0">#REF!</definedName>
    <definedName name="GV_125">#REF!</definedName>
    <definedName name="GV_15" localSheetId="0">#REF!</definedName>
    <definedName name="GV_15">#REF!</definedName>
    <definedName name="GV_2" localSheetId="0">#REF!</definedName>
    <definedName name="GV_2">#REF!</definedName>
    <definedName name="GV_20" localSheetId="0">#REF!</definedName>
    <definedName name="GV_20">#REF!</definedName>
    <definedName name="GV_25" localSheetId="0">#REF!</definedName>
    <definedName name="GV_25">#REF!</definedName>
    <definedName name="GV_3" localSheetId="0">#REF!</definedName>
    <definedName name="GV_3">#REF!</definedName>
    <definedName name="GV_32" localSheetId="0">#REF!</definedName>
    <definedName name="GV_32">#REF!</definedName>
    <definedName name="GV_4" localSheetId="0">#REF!</definedName>
    <definedName name="GV_4">#REF!</definedName>
    <definedName name="GV_40" localSheetId="0">#REF!</definedName>
    <definedName name="GV_40">#REF!</definedName>
    <definedName name="GV_5" localSheetId="0">#REF!</definedName>
    <definedName name="GV_5">#REF!</definedName>
    <definedName name="GV_50" localSheetId="0">#REF!</definedName>
    <definedName name="GV_50">#REF!</definedName>
    <definedName name="GV_6" localSheetId="0">#REF!</definedName>
    <definedName name="GV_6">#REF!</definedName>
    <definedName name="GV_65" localSheetId="0">#REF!</definedName>
    <definedName name="GV_65">#REF!</definedName>
    <definedName name="GV_7" localSheetId="0">#REF!</definedName>
    <definedName name="GV_7">#REF!</definedName>
    <definedName name="GV_8" localSheetId="0">#REF!</definedName>
    <definedName name="GV_8">#REF!</definedName>
    <definedName name="GV_80" localSheetId="0">#REF!</definedName>
    <definedName name="GV_80">#REF!</definedName>
    <definedName name="GVB_100" localSheetId="0">#REF!</definedName>
    <definedName name="GVB_100">#REF!</definedName>
    <definedName name="GVB_125" localSheetId="0">#REF!</definedName>
    <definedName name="GVB_125">#REF!</definedName>
    <definedName name="GVB_50" localSheetId="0">#REF!</definedName>
    <definedName name="GVB_50">#REF!</definedName>
    <definedName name="GVB_65" localSheetId="0">#REF!</definedName>
    <definedName name="GVB_65">#REF!</definedName>
    <definedName name="GVB_80" localSheetId="0">#REF!</definedName>
    <definedName name="GVB_80">#REF!</definedName>
    <definedName name="h" localSheetId="0">'[17]4aoc'!$B$181:$G$206</definedName>
    <definedName name="h">'[78]4aoc'!$B$181:$G$206</definedName>
    <definedName name="h_drill">#REF!</definedName>
    <definedName name="h_pipe_160">[89]Rate!$C$56</definedName>
    <definedName name="h_plate">#REF!</definedName>
    <definedName name="hall" hidden="1">[5]PipeDesign!#REF!</definedName>
    <definedName name="handlbrass" localSheetId="0">[16]Sheet1!$D$41</definedName>
    <definedName name="handlbrass">#REF!</definedName>
    <definedName name="handlord">#REF!</definedName>
    <definedName name="handsprayer">[31]rate!$M$37</definedName>
    <definedName name="hardcor">#REF!</definedName>
    <definedName name="hari">[90]Ta403!$J$8</definedName>
    <definedName name="HassanJute_Kg_M">[47]Transport_Cost_F!$D$15</definedName>
    <definedName name="HaulageBaseCourse">'[47]Haulage dist'!$L$44</definedName>
    <definedName name="HaulageBindingwire">'[47]Haulage dist'!$L$130</definedName>
    <definedName name="HaulageBitumen">'[47]Haulage dist'!$L$107</definedName>
    <definedName name="HaulageBoulderquarrystone">'[47]Haulage dist'!$L$72</definedName>
    <definedName name="HaulageBricks">'[47]Haulage dist'!$L$84</definedName>
    <definedName name="HaulageCement">'[47]Haulage dist'!$L$92</definedName>
    <definedName name="HaulageDressedStone">'[47]Haulage dist'!$L$78</definedName>
    <definedName name="HaulageEnamelPaint">'[47]Haulage dist'!$L$152</definedName>
    <definedName name="HaulageHumepipe300">'[47]Haulage dist'!$L$188</definedName>
    <definedName name="Haulagehumepipe600">'[47]Haulage dist'!$L$181</definedName>
    <definedName name="HaulageHumepipe750">'[47]Haulage dist'!$L$174</definedName>
    <definedName name="Haulagehumepipe900">'[47]Haulage dist'!$L$167</definedName>
    <definedName name="HaulageMeshwire">'[47]Haulage dist'!$L$123</definedName>
    <definedName name="haulagepetroleum">'[47]Haulage dist'!$L$203</definedName>
    <definedName name="HaulageReinforcement">'[47]Haulage dist'!$L$100</definedName>
    <definedName name="HaulageSand">'[47]Haulage dist'!$L$23</definedName>
    <definedName name="HaulageScreenedSubbase">'[47]Haulage dist'!$L$30</definedName>
    <definedName name="HaulageSelvedgewire">'[47]Haulage dist'!$L$116</definedName>
    <definedName name="HaulageSoil">'[47]Haulage dist'!$L$15</definedName>
    <definedName name="HaulageSteelPipe">'[47]Haulage dist'!$L$145</definedName>
    <definedName name="HaulageSteelPlate">'[47]Haulage dist'!$L$138</definedName>
    <definedName name="HaulageStoneChip_5_20_site">'[47]Haulage dist'!$L$58</definedName>
    <definedName name="HaulageStoneChips_5_40">'[47]Haulage dist'!$L$65</definedName>
    <definedName name="HaulageTimber">'[47]Haulage dist'!$L$159</definedName>
    <definedName name="HaulageWater">'[47]Haulage dist'!$L$196</definedName>
    <definedName name="HB_2010" localSheetId="0">#REF!</definedName>
    <definedName name="HB_2010">#REF!</definedName>
    <definedName name="HB_90d32" localSheetId="0">#REF!</definedName>
    <definedName name="HB_90d32">#REF!</definedName>
    <definedName name="HB_90d40" localSheetId="0">#REF!</definedName>
    <definedName name="HB_90d40">#REF!</definedName>
    <definedName name="HC_3206" localSheetId="0">#REF!</definedName>
    <definedName name="HC_3206">#REF!</definedName>
    <definedName name="HCIO" localSheetId="0">#REF!</definedName>
    <definedName name="HCIO">#REF!</definedName>
    <definedName name="HCO" localSheetId="0">#REF!</definedName>
    <definedName name="HCO">#REF!</definedName>
    <definedName name="HCr_11004" localSheetId="0">#REF!</definedName>
    <definedName name="HCr_11004">#REF!</definedName>
    <definedName name="HCr_11006" localSheetId="0">#REF!</definedName>
    <definedName name="HCr_11006">#REF!</definedName>
    <definedName name="HCr_11010" localSheetId="0">#REF!</definedName>
    <definedName name="HCr_11010">#REF!</definedName>
    <definedName name="HCr_12504" localSheetId="0">#REF!</definedName>
    <definedName name="HCr_12504">#REF!</definedName>
    <definedName name="HCr_12506" localSheetId="0">#REF!</definedName>
    <definedName name="HCr_12506">#REF!</definedName>
    <definedName name="HCr_12510" localSheetId="0">#REF!</definedName>
    <definedName name="HCr_12510">#REF!</definedName>
    <definedName name="HCr_14004" localSheetId="0">#REF!</definedName>
    <definedName name="HCr_14004">#REF!</definedName>
    <definedName name="HCr_14006" localSheetId="0">#REF!</definedName>
    <definedName name="HCr_14006">#REF!</definedName>
    <definedName name="HCr_14010" localSheetId="0">#REF!</definedName>
    <definedName name="HCr_14010">#REF!</definedName>
    <definedName name="HCr_16004" localSheetId="0">#REF!</definedName>
    <definedName name="HCr_16004">#REF!</definedName>
    <definedName name="HCr_16006" localSheetId="0">#REF!</definedName>
    <definedName name="HCr_16006">#REF!</definedName>
    <definedName name="HCr_16010" localSheetId="0">#REF!</definedName>
    <definedName name="HCr_16010">#REF!</definedName>
    <definedName name="HCr_18004" localSheetId="0">#REF!</definedName>
    <definedName name="HCr_18004">#REF!</definedName>
    <definedName name="HCr_18010" localSheetId="0">#REF!</definedName>
    <definedName name="HCr_18010">#REF!</definedName>
    <definedName name="HCr_20004" localSheetId="0">#REF!</definedName>
    <definedName name="HCr_20004">#REF!</definedName>
    <definedName name="HCr_20010" localSheetId="0">#REF!</definedName>
    <definedName name="HCr_20010">#REF!</definedName>
    <definedName name="HCr_2010" localSheetId="0">#REF!</definedName>
    <definedName name="HCr_2010">#REF!</definedName>
    <definedName name="HCr_22510" localSheetId="0">#REF!</definedName>
    <definedName name="HCr_22510">#REF!</definedName>
    <definedName name="HCr_25010" localSheetId="0">#REF!</definedName>
    <definedName name="HCr_25010">#REF!</definedName>
    <definedName name="HCr_2510" localSheetId="0">#REF!</definedName>
    <definedName name="HCr_2510">#REF!</definedName>
    <definedName name="HCr_3206" localSheetId="0">#REF!</definedName>
    <definedName name="HCr_3206">#REF!</definedName>
    <definedName name="HCr_3210" localSheetId="0">#REF!</definedName>
    <definedName name="HCr_3210">#REF!</definedName>
    <definedName name="HCr_4004" localSheetId="0">#REF!</definedName>
    <definedName name="HCr_4004">#REF!</definedName>
    <definedName name="HCr_4006" localSheetId="0">#REF!</definedName>
    <definedName name="HCr_4006">#REF!</definedName>
    <definedName name="HCr_4010" localSheetId="0">#REF!</definedName>
    <definedName name="HCr_4010">#REF!</definedName>
    <definedName name="HCr_5004" localSheetId="0">#REF!</definedName>
    <definedName name="HCr_5004">#REF!</definedName>
    <definedName name="HCr_5006" localSheetId="0">#REF!</definedName>
    <definedName name="HCr_5006">#REF!</definedName>
    <definedName name="HCr_5010" localSheetId="0">#REF!</definedName>
    <definedName name="HCr_5010">#REF!</definedName>
    <definedName name="HCr_6304" localSheetId="0">#REF!</definedName>
    <definedName name="HCr_6304">#REF!</definedName>
    <definedName name="HCr_6306" localSheetId="0">#REF!</definedName>
    <definedName name="HCr_6306">#REF!</definedName>
    <definedName name="HCr_6310" localSheetId="0">#REF!</definedName>
    <definedName name="HCr_6310">#REF!</definedName>
    <definedName name="HCr_7504" localSheetId="0">#REF!</definedName>
    <definedName name="HCr_7504">#REF!</definedName>
    <definedName name="HCr_7506" localSheetId="0">#REF!</definedName>
    <definedName name="HCr_7506">#REF!</definedName>
    <definedName name="HCr_7510" localSheetId="0">#REF!</definedName>
    <definedName name="HCr_7510">#REF!</definedName>
    <definedName name="HCr_9004" localSheetId="0">#REF!</definedName>
    <definedName name="HCr_9004">#REF!</definedName>
    <definedName name="HCr_9006" localSheetId="0">#REF!</definedName>
    <definedName name="HCr_9006">#REF!</definedName>
    <definedName name="HCr_9010" localSheetId="0">#REF!</definedName>
    <definedName name="HCr_9010">#REF!</definedName>
    <definedName name="hd_12">#REF!</definedName>
    <definedName name="HDP">[45]Rates!$G$55</definedName>
    <definedName name="HDP_160">#REF!</definedName>
    <definedName name="hdp_pipe_fitting">#REF!,#REF!,#REF!,#REF!,#REF!</definedName>
    <definedName name="HDP_Pipes">[91]F_Piperate!$B$6:$J$67</definedName>
    <definedName name="hdp_rwh">[81]Materials!$I$812:$I$814,[81]Materials!$I$850,[81]Materials!$I$855,[81]Materials!$I$804</definedName>
    <definedName name="hdp110mm">'[53]mat. rate'!$H$63</definedName>
    <definedName name="HDPE">[17]DR!$D$41</definedName>
    <definedName name="HE_0" localSheetId="0">#REF!</definedName>
    <definedName name="HE_0">#REF!</definedName>
    <definedName name="HE_1" localSheetId="0">#REF!</definedName>
    <definedName name="HE_1">#REF!</definedName>
    <definedName name="HE_11004" localSheetId="0">#REF!</definedName>
    <definedName name="HE_11004">#REF!</definedName>
    <definedName name="HE_11006" localSheetId="0">#REF!</definedName>
    <definedName name="HE_11006">#REF!</definedName>
    <definedName name="HE_11010" localSheetId="0">#REF!</definedName>
    <definedName name="HE_11010">#REF!</definedName>
    <definedName name="HE_12504" localSheetId="0">#REF!</definedName>
    <definedName name="HE_12504">#REF!</definedName>
    <definedName name="HE_12506" localSheetId="0">#REF!</definedName>
    <definedName name="HE_12506">#REF!</definedName>
    <definedName name="HE_12510" localSheetId="0">#REF!</definedName>
    <definedName name="HE_12510">#REF!</definedName>
    <definedName name="HE_14004" localSheetId="0">#REF!</definedName>
    <definedName name="HE_14004">#REF!</definedName>
    <definedName name="HE_14006" localSheetId="0">#REF!</definedName>
    <definedName name="HE_14006">#REF!</definedName>
    <definedName name="HE_14010" localSheetId="0">#REF!</definedName>
    <definedName name="HE_14010">#REF!</definedName>
    <definedName name="HE_16004" localSheetId="0">#REF!</definedName>
    <definedName name="HE_16004">#REF!</definedName>
    <definedName name="HE_16006" localSheetId="0">#REF!</definedName>
    <definedName name="HE_16006">#REF!</definedName>
    <definedName name="HE_16010" localSheetId="0">#REF!</definedName>
    <definedName name="HE_16010">#REF!</definedName>
    <definedName name="HE_18004" localSheetId="0">#REF!</definedName>
    <definedName name="HE_18004">#REF!</definedName>
    <definedName name="HE_18006" localSheetId="0">#REF!</definedName>
    <definedName name="HE_18006">#REF!</definedName>
    <definedName name="HE_18010" localSheetId="0">#REF!</definedName>
    <definedName name="HE_18010">#REF!</definedName>
    <definedName name="HE_2" localSheetId="0">#REF!</definedName>
    <definedName name="HE_2">#REF!</definedName>
    <definedName name="HE_20004" localSheetId="0">#REF!</definedName>
    <definedName name="HE_20004">#REF!</definedName>
    <definedName name="HE_20006" localSheetId="0">#REF!</definedName>
    <definedName name="HE_20006">#REF!</definedName>
    <definedName name="HE_20010" localSheetId="0">#REF!</definedName>
    <definedName name="HE_20010">#REF!</definedName>
    <definedName name="HE_22504" localSheetId="0">#REF!</definedName>
    <definedName name="HE_22504">#REF!</definedName>
    <definedName name="HE_22506" localSheetId="0">#REF!</definedName>
    <definedName name="HE_22506">#REF!</definedName>
    <definedName name="HE_22510" localSheetId="0">#REF!</definedName>
    <definedName name="HE_22510">#REF!</definedName>
    <definedName name="HE_25004" localSheetId="0">#REF!</definedName>
    <definedName name="HE_25004">#REF!</definedName>
    <definedName name="HE_25006" localSheetId="0">#REF!</definedName>
    <definedName name="HE_25006">#REF!</definedName>
    <definedName name="HE_25010" localSheetId="0">#REF!</definedName>
    <definedName name="HE_25010">#REF!</definedName>
    <definedName name="HE_28010" localSheetId="0">#REF!</definedName>
    <definedName name="HE_28010">#REF!</definedName>
    <definedName name="HE_3" localSheetId="0">#REF!</definedName>
    <definedName name="HE_3">#REF!</definedName>
    <definedName name="HE_31510" localSheetId="0">#REF!</definedName>
    <definedName name="HE_31510">#REF!</definedName>
    <definedName name="HE_3206" localSheetId="0">#REF!</definedName>
    <definedName name="HE_3206">#REF!</definedName>
    <definedName name="HE_3210" localSheetId="0">#REF!</definedName>
    <definedName name="HE_3210">#REF!</definedName>
    <definedName name="HE_4" localSheetId="0">#REF!</definedName>
    <definedName name="HE_4">#REF!</definedName>
    <definedName name="HE_4004" localSheetId="0">#REF!</definedName>
    <definedName name="HE_4004">#REF!</definedName>
    <definedName name="HE_4006" localSheetId="0">#REF!</definedName>
    <definedName name="HE_4006">#REF!</definedName>
    <definedName name="HE_4010" localSheetId="0">#REF!</definedName>
    <definedName name="HE_4010">#REF!</definedName>
    <definedName name="HE_5" localSheetId="0">#REF!</definedName>
    <definedName name="HE_5">#REF!</definedName>
    <definedName name="HE_5004" localSheetId="0">#REF!</definedName>
    <definedName name="HE_5004">#REF!</definedName>
    <definedName name="HE_5006" localSheetId="0">#REF!</definedName>
    <definedName name="HE_5006">#REF!</definedName>
    <definedName name="HE_5010" localSheetId="0">#REF!</definedName>
    <definedName name="HE_5010">#REF!</definedName>
    <definedName name="HE_6" localSheetId="0">#REF!</definedName>
    <definedName name="HE_6">#REF!</definedName>
    <definedName name="HE_6304" localSheetId="0">#REF!</definedName>
    <definedName name="HE_6304">#REF!</definedName>
    <definedName name="HE_6306" localSheetId="0">#REF!</definedName>
    <definedName name="HE_6306">#REF!</definedName>
    <definedName name="HE_6310" localSheetId="0">#REF!</definedName>
    <definedName name="HE_6310">#REF!</definedName>
    <definedName name="HE_7504" localSheetId="0">#REF!</definedName>
    <definedName name="HE_7504">#REF!</definedName>
    <definedName name="HE_7506" localSheetId="0">#REF!</definedName>
    <definedName name="HE_7506">#REF!</definedName>
    <definedName name="HE_7510" localSheetId="0">#REF!</definedName>
    <definedName name="HE_7510">#REF!</definedName>
    <definedName name="HE_9004" localSheetId="0">#REF!</definedName>
    <definedName name="HE_9004">#REF!</definedName>
    <definedName name="HE_9006" localSheetId="0">#REF!</definedName>
    <definedName name="HE_9006">#REF!</definedName>
    <definedName name="HE_9010" localSheetId="0">#REF!</definedName>
    <definedName name="HE_9010">#REF!</definedName>
    <definedName name="heater">'[17] 24 kaski D.Rate'!$G$71</definedName>
    <definedName name="HEC_125" localSheetId="0">#REF!</definedName>
    <definedName name="HEC_125">#REF!</definedName>
    <definedName name="HEC_200" localSheetId="0">#REF!</definedName>
    <definedName name="HEC_200">#REF!</definedName>
    <definedName name="HEC_5" localSheetId="0">#REF!</definedName>
    <definedName name="HEC_5">#REF!</definedName>
    <definedName name="HEC_6" localSheetId="0">#REF!</definedName>
    <definedName name="HEC_6">#REF!</definedName>
    <definedName name="HEC_7" localSheetId="0">#REF!</definedName>
    <definedName name="HEC_7">#REF!</definedName>
    <definedName name="HEC_8" localSheetId="0">#REF!</definedName>
    <definedName name="HEC_8">#REF!</definedName>
    <definedName name="HEC_9" localSheetId="0">#REF!</definedName>
    <definedName name="HEC_9">#REF!</definedName>
    <definedName name="helper">#REF!</definedName>
    <definedName name="helper_p">[89]Rate!$C$16</definedName>
    <definedName name="HEMP">#N/A</definedName>
    <definedName name="HET_11004" localSheetId="0">#REF!</definedName>
    <definedName name="HET_11004">#REF!</definedName>
    <definedName name="HET_11006" localSheetId="0">#REF!</definedName>
    <definedName name="HET_11006">#REF!</definedName>
    <definedName name="HET_11010" localSheetId="0">#REF!</definedName>
    <definedName name="HET_11010">#REF!</definedName>
    <definedName name="HET_125" localSheetId="0">#REF!</definedName>
    <definedName name="HET_125">#REF!</definedName>
    <definedName name="HET_12504" localSheetId="0">#REF!</definedName>
    <definedName name="HET_12504">#REF!</definedName>
    <definedName name="HET_12506" localSheetId="0">#REF!</definedName>
    <definedName name="HET_12506">#REF!</definedName>
    <definedName name="HET_12510" localSheetId="0">#REF!</definedName>
    <definedName name="HET_12510">#REF!</definedName>
    <definedName name="HET_14004" localSheetId="0">#REF!</definedName>
    <definedName name="HET_14004">#REF!</definedName>
    <definedName name="HET_14006" localSheetId="0">#REF!</definedName>
    <definedName name="HET_14006">#REF!</definedName>
    <definedName name="HET_14010" localSheetId="0">#REF!</definedName>
    <definedName name="HET_14010">#REF!</definedName>
    <definedName name="HET_16004" localSheetId="0">#REF!</definedName>
    <definedName name="HET_16004">#REF!</definedName>
    <definedName name="HET_16006" localSheetId="0">#REF!</definedName>
    <definedName name="HET_16006">#REF!</definedName>
    <definedName name="HET_16010" localSheetId="0">#REF!</definedName>
    <definedName name="HET_16010">#REF!</definedName>
    <definedName name="HET_1610" localSheetId="0">#REF!</definedName>
    <definedName name="HET_1610">#REF!</definedName>
    <definedName name="HET_18004" localSheetId="0">#REF!</definedName>
    <definedName name="HET_18004">#REF!</definedName>
    <definedName name="HET_18006" localSheetId="0">#REF!</definedName>
    <definedName name="HET_18006">#REF!</definedName>
    <definedName name="HET_18010" localSheetId="0">#REF!</definedName>
    <definedName name="HET_18010">#REF!</definedName>
    <definedName name="HET_20004" localSheetId="0">#REF!</definedName>
    <definedName name="HET_20004">#REF!</definedName>
    <definedName name="HET_20006" localSheetId="0">#REF!</definedName>
    <definedName name="HET_20006">#REF!</definedName>
    <definedName name="HET_20010" localSheetId="0">#REF!</definedName>
    <definedName name="HET_20010">#REF!</definedName>
    <definedName name="HET_2010" localSheetId="0">#REF!</definedName>
    <definedName name="HET_2010">#REF!</definedName>
    <definedName name="HET_22504" localSheetId="0">#REF!</definedName>
    <definedName name="HET_22504">#REF!</definedName>
    <definedName name="HET_22506" localSheetId="0">#REF!</definedName>
    <definedName name="HET_22506">#REF!</definedName>
    <definedName name="HET_22510" localSheetId="0">#REF!</definedName>
    <definedName name="HET_22510">#REF!</definedName>
    <definedName name="HET_25004" localSheetId="0">#REF!</definedName>
    <definedName name="HET_25004">#REF!</definedName>
    <definedName name="HET_25006" localSheetId="0">#REF!</definedName>
    <definedName name="HET_25006">#REF!</definedName>
    <definedName name="HET_25010" localSheetId="0">#REF!</definedName>
    <definedName name="HET_25010">#REF!</definedName>
    <definedName name="HET_2510" localSheetId="0">#REF!</definedName>
    <definedName name="HET_2510">#REF!</definedName>
    <definedName name="HET_3206" localSheetId="0">#REF!</definedName>
    <definedName name="HET_3206">#REF!</definedName>
    <definedName name="HET_3210" localSheetId="0">#REF!</definedName>
    <definedName name="HET_3210">#REF!</definedName>
    <definedName name="HET_4004" localSheetId="0">#REF!</definedName>
    <definedName name="HET_4004">#REF!</definedName>
    <definedName name="HET_4006" localSheetId="0">#REF!</definedName>
    <definedName name="HET_4006">#REF!</definedName>
    <definedName name="HET_4010" localSheetId="0">#REF!</definedName>
    <definedName name="HET_4010">#REF!</definedName>
    <definedName name="HET_5004" localSheetId="0">#REF!</definedName>
    <definedName name="HET_5004">#REF!</definedName>
    <definedName name="HET_5006" localSheetId="0">#REF!</definedName>
    <definedName name="HET_5006">#REF!</definedName>
    <definedName name="HET_5010" localSheetId="0">#REF!</definedName>
    <definedName name="HET_5010">#REF!</definedName>
    <definedName name="HET_6304" localSheetId="0">#REF!</definedName>
    <definedName name="HET_6304">#REF!</definedName>
    <definedName name="HET_6306" localSheetId="0">#REF!</definedName>
    <definedName name="HET_6306">#REF!</definedName>
    <definedName name="HET_6310" localSheetId="0">#REF!</definedName>
    <definedName name="HET_6310">#REF!</definedName>
    <definedName name="HET_7504" localSheetId="0">#REF!</definedName>
    <definedName name="HET_7504">#REF!</definedName>
    <definedName name="HET_7506" localSheetId="0">#REF!</definedName>
    <definedName name="HET_7506">#REF!</definedName>
    <definedName name="HET_7510" localSheetId="0">#REF!</definedName>
    <definedName name="HET_7510">#REF!</definedName>
    <definedName name="HET_9004" localSheetId="0">#REF!</definedName>
    <definedName name="HET_9004">#REF!</definedName>
    <definedName name="HET_9006" localSheetId="0">#REF!</definedName>
    <definedName name="HET_9006">#REF!</definedName>
    <definedName name="HET_9010" localSheetId="0">#REF!</definedName>
    <definedName name="HET_9010">#REF!</definedName>
    <definedName name="HF_2010" localSheetId="0">#REF!</definedName>
    <definedName name="HF_2010">#REF!</definedName>
    <definedName name="HGraph">[41]Hydrology!$M$34:$S$45</definedName>
    <definedName name="hhg">[63]Ta301!$K$7</definedName>
    <definedName name="HL_Data">'[76]HL-Data'!$B$10:$AE$697</definedName>
    <definedName name="hl_sani">#REF!</definedName>
    <definedName name="hlfast" localSheetId="0">[16]Sheet1!$D$34</definedName>
    <definedName name="hlfast">#REF!</definedName>
    <definedName name="HLJ_11002" localSheetId="0">#REF!</definedName>
    <definedName name="HLJ_11002">#REF!</definedName>
    <definedName name="HLJ_11004" localSheetId="0">#REF!</definedName>
    <definedName name="HLJ_11004">#REF!</definedName>
    <definedName name="HLJ_11006" localSheetId="0">#REF!</definedName>
    <definedName name="HLJ_11006">#REF!</definedName>
    <definedName name="HLJ_11010" localSheetId="0">#REF!</definedName>
    <definedName name="HLJ_11010">#REF!</definedName>
    <definedName name="HLJ_11025" localSheetId="0">#REF!</definedName>
    <definedName name="HLJ_11025">#REF!</definedName>
    <definedName name="HLJ_12502" localSheetId="0">#REF!</definedName>
    <definedName name="HLJ_12502">#REF!</definedName>
    <definedName name="HLJ_12504" localSheetId="0">#REF!</definedName>
    <definedName name="HLJ_12504">#REF!</definedName>
    <definedName name="HLJ_12506" localSheetId="0">#REF!</definedName>
    <definedName name="HLJ_12506">#REF!</definedName>
    <definedName name="HLJ_12510" localSheetId="0">#REF!</definedName>
    <definedName name="HLJ_12510">#REF!</definedName>
    <definedName name="HLJ_12525" localSheetId="0">#REF!</definedName>
    <definedName name="HLJ_12525">#REF!</definedName>
    <definedName name="HLJ_14002" localSheetId="0">#REF!</definedName>
    <definedName name="HLJ_14002">#REF!</definedName>
    <definedName name="HLJ_14004" localSheetId="0">#REF!</definedName>
    <definedName name="HLJ_14004">#REF!</definedName>
    <definedName name="HLJ_14006" localSheetId="0">#REF!</definedName>
    <definedName name="HLJ_14006">#REF!</definedName>
    <definedName name="HLJ_14010" localSheetId="0">#REF!</definedName>
    <definedName name="HLJ_14010">#REF!</definedName>
    <definedName name="HLJ_14025" localSheetId="0">#REF!</definedName>
    <definedName name="HLJ_14025">#REF!</definedName>
    <definedName name="HLJ_16002" localSheetId="0">#REF!</definedName>
    <definedName name="HLJ_16002">#REF!</definedName>
    <definedName name="HLJ_16004" localSheetId="0">#REF!</definedName>
    <definedName name="HLJ_16004">#REF!</definedName>
    <definedName name="HLJ_16006" localSheetId="0">#REF!</definedName>
    <definedName name="HLJ_16006">#REF!</definedName>
    <definedName name="HLJ_16010" localSheetId="0">#REF!</definedName>
    <definedName name="HLJ_16010">#REF!</definedName>
    <definedName name="HLJ_16025" localSheetId="0">#REF!</definedName>
    <definedName name="HLJ_16025">#REF!</definedName>
    <definedName name="HLJ_1610" localSheetId="0">#REF!</definedName>
    <definedName name="HLJ_1610">#REF!</definedName>
    <definedName name="HLJ_18002" localSheetId="0">#REF!</definedName>
    <definedName name="HLJ_18002">#REF!</definedName>
    <definedName name="HLJ_18004" localSheetId="0">#REF!</definedName>
    <definedName name="HLJ_18004">#REF!</definedName>
    <definedName name="HLJ_18006" localSheetId="0">#REF!</definedName>
    <definedName name="HLJ_18006">#REF!</definedName>
    <definedName name="HLJ_18010" localSheetId="0">#REF!</definedName>
    <definedName name="HLJ_18010">#REF!</definedName>
    <definedName name="HLJ_18025" localSheetId="0">#REF!</definedName>
    <definedName name="HLJ_18025">#REF!</definedName>
    <definedName name="HLJ_20002" localSheetId="0">#REF!</definedName>
    <definedName name="HLJ_20002">#REF!</definedName>
    <definedName name="HLJ_20004" localSheetId="0">#REF!</definedName>
    <definedName name="HLJ_20004">#REF!</definedName>
    <definedName name="HLJ_20006" localSheetId="0">#REF!</definedName>
    <definedName name="HLJ_20006">#REF!</definedName>
    <definedName name="HLJ_20010" localSheetId="0">#REF!</definedName>
    <definedName name="HLJ_20010">#REF!</definedName>
    <definedName name="HLJ_20025" localSheetId="0">#REF!</definedName>
    <definedName name="HLJ_20025">#REF!</definedName>
    <definedName name="HLJ_2010" localSheetId="0">#REF!</definedName>
    <definedName name="HLJ_2010">#REF!</definedName>
    <definedName name="HLJ_22502" localSheetId="0">#REF!</definedName>
    <definedName name="HLJ_22502">#REF!</definedName>
    <definedName name="HLJ_22504" localSheetId="0">#REF!</definedName>
    <definedName name="HLJ_22504">#REF!</definedName>
    <definedName name="HLJ_22506" localSheetId="0">#REF!</definedName>
    <definedName name="HLJ_22506">#REF!</definedName>
    <definedName name="HLJ_22510" localSheetId="0">#REF!</definedName>
    <definedName name="HLJ_22510">#REF!</definedName>
    <definedName name="HLJ_22525" localSheetId="0">#REF!</definedName>
    <definedName name="HLJ_22525">#REF!</definedName>
    <definedName name="HLJ_25002" localSheetId="0">#REF!</definedName>
    <definedName name="HLJ_25002">#REF!</definedName>
    <definedName name="HLJ_25004" localSheetId="0">#REF!</definedName>
    <definedName name="HLJ_25004">#REF!</definedName>
    <definedName name="HLJ_25006" localSheetId="0">#REF!</definedName>
    <definedName name="HLJ_25006">#REF!</definedName>
    <definedName name="HLJ_25010" localSheetId="0">#REF!</definedName>
    <definedName name="HLJ_25010">#REF!</definedName>
    <definedName name="HLJ_25025" localSheetId="0">#REF!</definedName>
    <definedName name="HLJ_25025">#REF!</definedName>
    <definedName name="HLJ_2510" localSheetId="0">#REF!</definedName>
    <definedName name="HLJ_2510">#REF!</definedName>
    <definedName name="HLJ_28002" localSheetId="0">#REF!</definedName>
    <definedName name="HLJ_28002">#REF!</definedName>
    <definedName name="HLJ_28004" localSheetId="0">#REF!</definedName>
    <definedName name="HLJ_28004">#REF!</definedName>
    <definedName name="HLJ_28006" localSheetId="0">#REF!</definedName>
    <definedName name="HLJ_28006">#REF!</definedName>
    <definedName name="HLJ_28010" localSheetId="0">#REF!</definedName>
    <definedName name="HLJ_28010">#REF!</definedName>
    <definedName name="HLJ_28025" localSheetId="0">#REF!</definedName>
    <definedName name="HLJ_28025">#REF!</definedName>
    <definedName name="HLJ_31504" localSheetId="0">#REF!</definedName>
    <definedName name="HLJ_31504">#REF!</definedName>
    <definedName name="HLJ_31506" localSheetId="0">#REF!</definedName>
    <definedName name="HLJ_31506">#REF!</definedName>
    <definedName name="HLJ_31510" localSheetId="0">#REF!</definedName>
    <definedName name="HLJ_31510">#REF!</definedName>
    <definedName name="HLJ_31525" localSheetId="0">#REF!</definedName>
    <definedName name="HLJ_31525">#REF!</definedName>
    <definedName name="HLJ_3206" localSheetId="0">#REF!</definedName>
    <definedName name="HLJ_3206">#REF!</definedName>
    <definedName name="HLJ_3210" localSheetId="0">#REF!</definedName>
    <definedName name="HLJ_3210">#REF!</definedName>
    <definedName name="HLJ_35504" localSheetId="0">#REF!</definedName>
    <definedName name="HLJ_35504">#REF!</definedName>
    <definedName name="HLJ_35506" localSheetId="0">#REF!</definedName>
    <definedName name="HLJ_35506">#REF!</definedName>
    <definedName name="HLJ_35510" localSheetId="0">#REF!</definedName>
    <definedName name="HLJ_35510">#REF!</definedName>
    <definedName name="HLJ_35525" localSheetId="0">#REF!</definedName>
    <definedName name="HLJ_35525">#REF!</definedName>
    <definedName name="HLJ_40004" localSheetId="0">#REF!</definedName>
    <definedName name="HLJ_40004">#REF!</definedName>
    <definedName name="HLJ_40006" localSheetId="0">#REF!</definedName>
    <definedName name="HLJ_40006">#REF!</definedName>
    <definedName name="HLJ_40010" localSheetId="0">#REF!</definedName>
    <definedName name="HLJ_40010">#REF!</definedName>
    <definedName name="HLJ_40025" localSheetId="0">#REF!</definedName>
    <definedName name="HLJ_40025">#REF!</definedName>
    <definedName name="HLJ_4004" localSheetId="0">#REF!</definedName>
    <definedName name="HLJ_4004">#REF!</definedName>
    <definedName name="HLJ_4006" localSheetId="0">#REF!</definedName>
    <definedName name="HLJ_4006">#REF!</definedName>
    <definedName name="HLJ_4010" localSheetId="0">#REF!</definedName>
    <definedName name="HLJ_4010">#REF!</definedName>
    <definedName name="HLJ_5004" localSheetId="0">#REF!</definedName>
    <definedName name="HLJ_5004">#REF!</definedName>
    <definedName name="HLJ_5006" localSheetId="0">#REF!</definedName>
    <definedName name="HLJ_5006">#REF!</definedName>
    <definedName name="HLJ_5010" localSheetId="0">#REF!</definedName>
    <definedName name="HLJ_5010">#REF!</definedName>
    <definedName name="HLJ_6304" localSheetId="0">#REF!</definedName>
    <definedName name="HLJ_6304">#REF!</definedName>
    <definedName name="HLJ_6306" localSheetId="0">#REF!</definedName>
    <definedName name="HLJ_6306">#REF!</definedName>
    <definedName name="HLJ_6310" localSheetId="0">#REF!</definedName>
    <definedName name="HLJ_6310">#REF!</definedName>
    <definedName name="HLJ_6325" localSheetId="0">#REF!</definedName>
    <definedName name="HLJ_6325">#REF!</definedName>
    <definedName name="HLJ_7502" localSheetId="0">#REF!</definedName>
    <definedName name="HLJ_7502">#REF!</definedName>
    <definedName name="HLJ_7504" localSheetId="0">#REF!</definedName>
    <definedName name="HLJ_7504">#REF!</definedName>
    <definedName name="HLJ_7506" localSheetId="0">#REF!</definedName>
    <definedName name="HLJ_7506">#REF!</definedName>
    <definedName name="HLJ_7510" localSheetId="0">#REF!</definedName>
    <definedName name="HLJ_7510">#REF!</definedName>
    <definedName name="HLJ_7525" localSheetId="0">#REF!</definedName>
    <definedName name="HLJ_7525">#REF!</definedName>
    <definedName name="HLJ_9002" localSheetId="0">#REF!</definedName>
    <definedName name="HLJ_9002">#REF!</definedName>
    <definedName name="HLJ_9004" localSheetId="0">#REF!</definedName>
    <definedName name="HLJ_9004">#REF!</definedName>
    <definedName name="HLJ_9006" localSheetId="0">#REF!</definedName>
    <definedName name="HLJ_9006">#REF!</definedName>
    <definedName name="HLJ_9010" localSheetId="0">#REF!</definedName>
    <definedName name="HLJ_9010">#REF!</definedName>
    <definedName name="HLJ_9025" localSheetId="0">#REF!</definedName>
    <definedName name="HLJ_9025">#REF!</definedName>
    <definedName name="hng" localSheetId="0">[16]Sheet1!$D$35</definedName>
    <definedName name="hng">#REF!</definedName>
    <definedName name="HOLDFAST">#N/A</definedName>
    <definedName name="holpass" localSheetId="0">'[15]update Rate'!$E$61</definedName>
    <definedName name="holpass">'[13]update Rate'!$E$61</definedName>
    <definedName name="HP_11004" localSheetId="0">#REF!</definedName>
    <definedName name="HP_11004">#REF!</definedName>
    <definedName name="HP_11006" localSheetId="0">#REF!</definedName>
    <definedName name="HP_11006">#REF!</definedName>
    <definedName name="HP_11010" localSheetId="0">#REF!</definedName>
    <definedName name="HP_11010">#REF!</definedName>
    <definedName name="HP_11025" localSheetId="0">#REF!</definedName>
    <definedName name="HP_11025">#REF!</definedName>
    <definedName name="HP_12504" localSheetId="0">#REF!</definedName>
    <definedName name="HP_12504">#REF!</definedName>
    <definedName name="HP_12506" localSheetId="0">#REF!</definedName>
    <definedName name="HP_12506">#REF!</definedName>
    <definedName name="HP_12510" localSheetId="0">#REF!</definedName>
    <definedName name="HP_12510">#REF!</definedName>
    <definedName name="HP_12525" localSheetId="0">#REF!</definedName>
    <definedName name="HP_12525">#REF!</definedName>
    <definedName name="HP_14004" localSheetId="0">#REF!</definedName>
    <definedName name="HP_14004">#REF!</definedName>
    <definedName name="HP_14006" localSheetId="0">#REF!</definedName>
    <definedName name="HP_14006">#REF!</definedName>
    <definedName name="HP_14010" localSheetId="0">#REF!</definedName>
    <definedName name="HP_14010">#REF!</definedName>
    <definedName name="HP_14025" localSheetId="0">#REF!</definedName>
    <definedName name="HP_14025">#REF!</definedName>
    <definedName name="HP_16004" localSheetId="0">#REF!</definedName>
    <definedName name="HP_16004">#REF!</definedName>
    <definedName name="HP_16006" localSheetId="0">#REF!</definedName>
    <definedName name="HP_16006">#REF!</definedName>
    <definedName name="HP_16010" localSheetId="0">#REF!</definedName>
    <definedName name="HP_16010">#REF!</definedName>
    <definedName name="HP_16025" localSheetId="0">#REF!</definedName>
    <definedName name="HP_16025">#REF!</definedName>
    <definedName name="HP_1610" localSheetId="0">#REF!</definedName>
    <definedName name="HP_1610">#REF!</definedName>
    <definedName name="HP_18004" localSheetId="0">#REF!</definedName>
    <definedName name="HP_18004">#REF!</definedName>
    <definedName name="HP_18006" localSheetId="0">#REF!</definedName>
    <definedName name="HP_18006">#REF!</definedName>
    <definedName name="HP_18010" localSheetId="0">#REF!</definedName>
    <definedName name="HP_18010">#REF!</definedName>
    <definedName name="HP_18025" localSheetId="0">#REF!</definedName>
    <definedName name="HP_18025">#REF!</definedName>
    <definedName name="HP_20004" localSheetId="0">#REF!</definedName>
    <definedName name="HP_20004">#REF!</definedName>
    <definedName name="HP_20006" localSheetId="0">#REF!</definedName>
    <definedName name="HP_20006">#REF!</definedName>
    <definedName name="HP_20010" localSheetId="0">#REF!</definedName>
    <definedName name="HP_20010">#REF!</definedName>
    <definedName name="HP_20025" localSheetId="0">#REF!</definedName>
    <definedName name="HP_20025">#REF!</definedName>
    <definedName name="HP_2010" localSheetId="0">#REF!</definedName>
    <definedName name="HP_2010">#REF!</definedName>
    <definedName name="HP_22504" localSheetId="0">#REF!</definedName>
    <definedName name="HP_22504">#REF!</definedName>
    <definedName name="HP_22506" localSheetId="0">#REF!</definedName>
    <definedName name="HP_22506">#REF!</definedName>
    <definedName name="HP_22510" localSheetId="0">#REF!</definedName>
    <definedName name="HP_22510">#REF!</definedName>
    <definedName name="HP_22525" localSheetId="0">#REF!</definedName>
    <definedName name="HP_22525">#REF!</definedName>
    <definedName name="HP_25004" localSheetId="0">#REF!</definedName>
    <definedName name="HP_25004">#REF!</definedName>
    <definedName name="HP_25006" localSheetId="0">#REF!</definedName>
    <definedName name="HP_25006">#REF!</definedName>
    <definedName name="HP_25010" localSheetId="0">#REF!</definedName>
    <definedName name="HP_25010">#REF!</definedName>
    <definedName name="HP_25025" localSheetId="0">#REF!</definedName>
    <definedName name="HP_25025">#REF!</definedName>
    <definedName name="HP_2510" localSheetId="0">#REF!</definedName>
    <definedName name="HP_2510">#REF!</definedName>
    <definedName name="HP_28004" localSheetId="0">#REF!</definedName>
    <definedName name="HP_28004">#REF!</definedName>
    <definedName name="HP_28006" localSheetId="0">#REF!</definedName>
    <definedName name="HP_28006">#REF!</definedName>
    <definedName name="HP_28010" localSheetId="0">#REF!</definedName>
    <definedName name="HP_28010">#REF!</definedName>
    <definedName name="HP_28025" localSheetId="0">#REF!</definedName>
    <definedName name="HP_28025">#REF!</definedName>
    <definedName name="HP_31504" localSheetId="0">#REF!</definedName>
    <definedName name="HP_31504">#REF!</definedName>
    <definedName name="HP_31506" localSheetId="0">#REF!</definedName>
    <definedName name="HP_31506">#REF!</definedName>
    <definedName name="HP_31510" localSheetId="0">#REF!</definedName>
    <definedName name="HP_31510">#REF!</definedName>
    <definedName name="HP_31525" localSheetId="0">#REF!</definedName>
    <definedName name="HP_31525">#REF!</definedName>
    <definedName name="HP_3206" localSheetId="0">#REF!</definedName>
    <definedName name="HP_3206">#REF!</definedName>
    <definedName name="HP_3210" localSheetId="0">#REF!</definedName>
    <definedName name="HP_3210">#REF!</definedName>
    <definedName name="HP_35504" localSheetId="0">#REF!</definedName>
    <definedName name="HP_35504">#REF!</definedName>
    <definedName name="HP_35506" localSheetId="0">#REF!</definedName>
    <definedName name="HP_35506">#REF!</definedName>
    <definedName name="HP_35510" localSheetId="0">#REF!</definedName>
    <definedName name="HP_35510">#REF!</definedName>
    <definedName name="HP_35525" localSheetId="0">#REF!</definedName>
    <definedName name="HP_35525">#REF!</definedName>
    <definedName name="HP_40004" localSheetId="0">#REF!</definedName>
    <definedName name="HP_40004">#REF!</definedName>
    <definedName name="HP_40006" localSheetId="0">#REF!</definedName>
    <definedName name="HP_40006">#REF!</definedName>
    <definedName name="HP_40010" localSheetId="0">#REF!</definedName>
    <definedName name="HP_40010">#REF!</definedName>
    <definedName name="HP_40025" localSheetId="0">#REF!</definedName>
    <definedName name="HP_40025">#REF!</definedName>
    <definedName name="HP_4004" localSheetId="0">#REF!</definedName>
    <definedName name="HP_4004">#REF!</definedName>
    <definedName name="HP_4006" localSheetId="0">#REF!</definedName>
    <definedName name="HP_4006">#REF!</definedName>
    <definedName name="HP_4010" localSheetId="0">#REF!</definedName>
    <definedName name="HP_4010">#REF!</definedName>
    <definedName name="HP_5004" localSheetId="0">#REF!</definedName>
    <definedName name="HP_5004">#REF!</definedName>
    <definedName name="HP_5006" localSheetId="0">#REF!</definedName>
    <definedName name="HP_5006">#REF!</definedName>
    <definedName name="HP_5010" localSheetId="0">#REF!</definedName>
    <definedName name="HP_5010">#REF!</definedName>
    <definedName name="hp_600">[17]DR!$D$43</definedName>
    <definedName name="HP_6304" localSheetId="0">#REF!</definedName>
    <definedName name="HP_6304">#REF!</definedName>
    <definedName name="HP_6306" localSheetId="0">#REF!</definedName>
    <definedName name="HP_6306">#REF!</definedName>
    <definedName name="HP_6310" localSheetId="0">#REF!</definedName>
    <definedName name="HP_6310">#REF!</definedName>
    <definedName name="HP_6325" localSheetId="0">#REF!</definedName>
    <definedName name="HP_6325">#REF!</definedName>
    <definedName name="HP_7504" localSheetId="0">#REF!</definedName>
    <definedName name="HP_7504">#REF!</definedName>
    <definedName name="HP_7506" localSheetId="0">#REF!</definedName>
    <definedName name="HP_7506">#REF!</definedName>
    <definedName name="HP_7510" localSheetId="0">#REF!</definedName>
    <definedName name="HP_7510">#REF!</definedName>
    <definedName name="HP_7525" localSheetId="0">#REF!</definedName>
    <definedName name="HP_7525">#REF!</definedName>
    <definedName name="hp_900">[17]DR!$D$44</definedName>
    <definedName name="HP_9004" localSheetId="0">#REF!</definedName>
    <definedName name="HP_9004">#REF!</definedName>
    <definedName name="HP_9006" localSheetId="0">#REF!</definedName>
    <definedName name="HP_9006">#REF!</definedName>
    <definedName name="HP_9010" localSheetId="0">#REF!</definedName>
    <definedName name="HP_9010">#REF!</definedName>
    <definedName name="HP_9025" localSheetId="0">#REF!</definedName>
    <definedName name="HP_9025">#REF!</definedName>
    <definedName name="HP2_1000">#N/A</definedName>
    <definedName name="HP2_1200">#N/A</definedName>
    <definedName name="HP2_150">#N/A</definedName>
    <definedName name="HP2_200">#N/A</definedName>
    <definedName name="HP2_225">#N/A</definedName>
    <definedName name="HP2_250">#N/A</definedName>
    <definedName name="HP2_300">#N/A</definedName>
    <definedName name="HP2_350">#N/A</definedName>
    <definedName name="HP2_375">#N/A</definedName>
    <definedName name="HP2_400">#N/A</definedName>
    <definedName name="HP2_450">#N/A</definedName>
    <definedName name="HP2_500">#N/A</definedName>
    <definedName name="HP2_600">#N/A</definedName>
    <definedName name="HP2_700">#N/A</definedName>
    <definedName name="HP2_750">#N/A</definedName>
    <definedName name="HP2_800">#N/A</definedName>
    <definedName name="HP2_900">#N/A</definedName>
    <definedName name="HP3_1000">#N/A</definedName>
    <definedName name="HP3_1200">#N/A</definedName>
    <definedName name="HP3_150">#N/A</definedName>
    <definedName name="HP3_200">#N/A</definedName>
    <definedName name="HP3_225">#N/A</definedName>
    <definedName name="HP3_250">#N/A</definedName>
    <definedName name="HP3_300">#N/A</definedName>
    <definedName name="HP3_350">#N/A</definedName>
    <definedName name="HP3_375">#N/A</definedName>
    <definedName name="HP3_400">#N/A</definedName>
    <definedName name="HP3_450">#N/A</definedName>
    <definedName name="HP3_500">#N/A</definedName>
    <definedName name="HP3_600">#N/A</definedName>
    <definedName name="HP3_700">#N/A</definedName>
    <definedName name="HP3_750">#N/A</definedName>
    <definedName name="HP3_800">#N/A</definedName>
    <definedName name="HP3_900">#N/A</definedName>
    <definedName name="hp300mm">'[43]Basic Rate'!#REF!</definedName>
    <definedName name="hp600mm">[31]rate!$H$61</definedName>
    <definedName name="hp750mm">[31]rate!$H$62</definedName>
    <definedName name="hp900mm">[31]rate!$H$63</definedName>
    <definedName name="HPA_4" localSheetId="0">#REF!</definedName>
    <definedName name="HPA_4">#REF!</definedName>
    <definedName name="HPA_5" localSheetId="0">#REF!</definedName>
    <definedName name="HPA_5">#REF!</definedName>
    <definedName name="HPA_6" localSheetId="0">#REF!</definedName>
    <definedName name="HPA_6">#REF!</definedName>
    <definedName name="HPA_7" localSheetId="0">#REF!</definedName>
    <definedName name="HPA_7">#REF!</definedName>
    <definedName name="HPA_8" localSheetId="0">#REF!</definedName>
    <definedName name="HPA_8">#REF!</definedName>
    <definedName name="HPB_3" localSheetId="0">#REF!</definedName>
    <definedName name="HPB_3">#REF!</definedName>
    <definedName name="HPB_4" localSheetId="0">#REF!</definedName>
    <definedName name="HPB_4">#REF!</definedName>
    <definedName name="HPB_5" localSheetId="0">#REF!</definedName>
    <definedName name="HPB_5">#REF!</definedName>
    <definedName name="HPB_6" localSheetId="0">#REF!</definedName>
    <definedName name="HPB_6">#REF!</definedName>
    <definedName name="HPB_7" localSheetId="0">#REF!</definedName>
    <definedName name="HPB_7">#REF!</definedName>
    <definedName name="HPB_8" localSheetId="0">#REF!</definedName>
    <definedName name="HPB_8">#REF!</definedName>
    <definedName name="HPC_0" localSheetId="0">#REF!</definedName>
    <definedName name="HPC_0">#REF!</definedName>
    <definedName name="HPC_1" localSheetId="0">#REF!</definedName>
    <definedName name="HPC_1">#REF!</definedName>
    <definedName name="HPC_2" localSheetId="0">#REF!</definedName>
    <definedName name="HPC_2">#REF!</definedName>
    <definedName name="HPC_3" localSheetId="0">#REF!</definedName>
    <definedName name="HPC_3">#REF!</definedName>
    <definedName name="HPC_4" localSheetId="0">#REF!</definedName>
    <definedName name="HPC_4">#REF!</definedName>
    <definedName name="HPC_5" localSheetId="0">#REF!</definedName>
    <definedName name="HPC_5">#REF!</definedName>
    <definedName name="HPC_6" localSheetId="0">#REF!</definedName>
    <definedName name="HPC_6">#REF!</definedName>
    <definedName name="HPC_7" localSheetId="0">#REF!</definedName>
    <definedName name="HPC_7">#REF!</definedName>
    <definedName name="HPC_8" localSheetId="0">#REF!</definedName>
    <definedName name="HPC_8">#REF!</definedName>
    <definedName name="hpt">[90]Ta301!$I$7</definedName>
    <definedName name="hr">'[92]Pipe Cost'!#REF!</definedName>
    <definedName name="HR_1" localSheetId="0">#REF!</definedName>
    <definedName name="HR_1">#REF!</definedName>
    <definedName name="HR_10" localSheetId="0">#REF!</definedName>
    <definedName name="HR_10">#REF!</definedName>
    <definedName name="HR_11" localSheetId="0">#REF!</definedName>
    <definedName name="HR_11">#REF!</definedName>
    <definedName name="HR_110x90" localSheetId="0">#REF!</definedName>
    <definedName name="HR_110x90">#REF!</definedName>
    <definedName name="HR_12" localSheetId="0">#REF!</definedName>
    <definedName name="HR_12">#REF!</definedName>
    <definedName name="HR_125x100" localSheetId="0">#REF!</definedName>
    <definedName name="HR_125x100">#REF!</definedName>
    <definedName name="HR_160x125" localSheetId="0">#REF!</definedName>
    <definedName name="HR_160x125">#REF!</definedName>
    <definedName name="HR_160x140" localSheetId="0">#REF!</definedName>
    <definedName name="HR_160x140">#REF!</definedName>
    <definedName name="HR_160x150" localSheetId="0">#REF!</definedName>
    <definedName name="HR_160x150">#REF!</definedName>
    <definedName name="HR_2" localSheetId="0">#REF!</definedName>
    <definedName name="HR_2">#REF!</definedName>
    <definedName name="HR_3" localSheetId="0">#REF!</definedName>
    <definedName name="HR_3">#REF!</definedName>
    <definedName name="HR_32x25" localSheetId="0">#REF!</definedName>
    <definedName name="HR_32x25">#REF!</definedName>
    <definedName name="HR_4" localSheetId="0">#REF!</definedName>
    <definedName name="HR_4">#REF!</definedName>
    <definedName name="HR_40x20" localSheetId="0">#REF!</definedName>
    <definedName name="HR_40x20">#REF!</definedName>
    <definedName name="HR_40x32" localSheetId="0">#REF!</definedName>
    <definedName name="HR_40x32">#REF!</definedName>
    <definedName name="HR_5" localSheetId="0">#REF!</definedName>
    <definedName name="HR_5">#REF!</definedName>
    <definedName name="HR_50x32" localSheetId="0">#REF!</definedName>
    <definedName name="HR_50x32">#REF!</definedName>
    <definedName name="HR_50x40" localSheetId="0">#REF!</definedName>
    <definedName name="HR_50x40">#REF!</definedName>
    <definedName name="HR_6" localSheetId="0">#REF!</definedName>
    <definedName name="HR_6">#REF!</definedName>
    <definedName name="HR_63x50" localSheetId="0">#REF!</definedName>
    <definedName name="HR_63x50">#REF!</definedName>
    <definedName name="HR_7" localSheetId="0">#REF!</definedName>
    <definedName name="HR_7">#REF!</definedName>
    <definedName name="HR_8" localSheetId="0">#REF!</definedName>
    <definedName name="HR_8">#REF!</definedName>
    <definedName name="HR_9" localSheetId="0">#REF!</definedName>
    <definedName name="HR_9">#REF!</definedName>
    <definedName name="HR_90x63" localSheetId="0">#REF!</definedName>
    <definedName name="HR_90x63">#REF!</definedName>
    <definedName name="HR_90x75" localSheetId="0">#REF!</definedName>
    <definedName name="HR_90x75">#REF!</definedName>
    <definedName name="HR10_110x40" localSheetId="0">#REF!</definedName>
    <definedName name="HR10_110x40">#REF!</definedName>
    <definedName name="HR10_110x50" localSheetId="0">#REF!</definedName>
    <definedName name="HR10_110x50">#REF!</definedName>
    <definedName name="HR10_110x63" localSheetId="0">#REF!</definedName>
    <definedName name="HR10_110x63">#REF!</definedName>
    <definedName name="HR10_110x75" localSheetId="0">#REF!</definedName>
    <definedName name="HR10_110x75">#REF!</definedName>
    <definedName name="HR10_125x110" localSheetId="0">#REF!</definedName>
    <definedName name="HR10_125x110">#REF!</definedName>
    <definedName name="HR10_125x63" localSheetId="0">#REF!</definedName>
    <definedName name="HR10_125x63">#REF!</definedName>
    <definedName name="HR10_125x75" localSheetId="0">#REF!</definedName>
    <definedName name="HR10_125x75">#REF!</definedName>
    <definedName name="HR10_140x110" localSheetId="0">#REF!</definedName>
    <definedName name="HR10_140x110">#REF!</definedName>
    <definedName name="HR10_140x125" localSheetId="0">#REF!</definedName>
    <definedName name="HR10_140x125">#REF!</definedName>
    <definedName name="HR10_140x75" localSheetId="0">#REF!</definedName>
    <definedName name="HR10_140x75">#REF!</definedName>
    <definedName name="HR10_140x90" localSheetId="0">#REF!</definedName>
    <definedName name="HR10_140x90">#REF!</definedName>
    <definedName name="HR10_160x110" localSheetId="0">#REF!</definedName>
    <definedName name="HR10_160x110">#REF!</definedName>
    <definedName name="HR10_160x125" localSheetId="0">#REF!</definedName>
    <definedName name="HR10_160x125">#REF!</definedName>
    <definedName name="HR10_160x140" localSheetId="0">#REF!</definedName>
    <definedName name="HR10_160x140">#REF!</definedName>
    <definedName name="HR10_160x75" localSheetId="0">#REF!</definedName>
    <definedName name="HR10_160x75">#REF!</definedName>
    <definedName name="HR10_160x90" localSheetId="0">#REF!</definedName>
    <definedName name="HR10_160x90">#REF!</definedName>
    <definedName name="HR10_180x110" localSheetId="0">#REF!</definedName>
    <definedName name="HR10_180x110">#REF!</definedName>
    <definedName name="HR10_180x125" localSheetId="0">#REF!</definedName>
    <definedName name="HR10_180x125">#REF!</definedName>
    <definedName name="HR10_180x140" localSheetId="0">#REF!</definedName>
    <definedName name="HR10_180x140">#REF!</definedName>
    <definedName name="HR10_180x160" localSheetId="0">#REF!</definedName>
    <definedName name="HR10_180x160">#REF!</definedName>
    <definedName name="HR10_180x90" localSheetId="0">#REF!</definedName>
    <definedName name="HR10_180x90">#REF!</definedName>
    <definedName name="HR10_200x110" localSheetId="0">#REF!</definedName>
    <definedName name="HR10_200x110">#REF!</definedName>
    <definedName name="HR10_200x125" localSheetId="0">#REF!</definedName>
    <definedName name="HR10_200x125">#REF!</definedName>
    <definedName name="HR10_200x140" localSheetId="0">#REF!</definedName>
    <definedName name="HR10_200x140">#REF!</definedName>
    <definedName name="HR10_200x160" localSheetId="0">#REF!</definedName>
    <definedName name="HR10_200x160">#REF!</definedName>
    <definedName name="HR10_200x180" localSheetId="0">#REF!</definedName>
    <definedName name="HR10_200x180">#REF!</definedName>
    <definedName name="HR10_20x16" localSheetId="0">#REF!</definedName>
    <definedName name="HR10_20x16">#REF!</definedName>
    <definedName name="HR10_225x140" localSheetId="0">#REF!</definedName>
    <definedName name="HR10_225x140">#REF!</definedName>
    <definedName name="HR10_225x160" localSheetId="0">#REF!</definedName>
    <definedName name="HR10_225x160">#REF!</definedName>
    <definedName name="HR10_225x180" localSheetId="0">#REF!</definedName>
    <definedName name="HR10_225x180">#REF!</definedName>
    <definedName name="HR10_225x200" localSheetId="0">#REF!</definedName>
    <definedName name="HR10_225x200">#REF!</definedName>
    <definedName name="HR10_250x140" localSheetId="0">#REF!</definedName>
    <definedName name="HR10_250x140">#REF!</definedName>
    <definedName name="HR10_250x160" localSheetId="0">#REF!</definedName>
    <definedName name="HR10_250x160">#REF!</definedName>
    <definedName name="HR10_250x180" localSheetId="0">#REF!</definedName>
    <definedName name="HR10_250x180">#REF!</definedName>
    <definedName name="HR10_250x200" localSheetId="0">#REF!</definedName>
    <definedName name="HR10_250x200">#REF!</definedName>
    <definedName name="HR10_250x225" localSheetId="0">#REF!</definedName>
    <definedName name="HR10_250x225">#REF!</definedName>
    <definedName name="HR10_25x16" localSheetId="0">#REF!</definedName>
    <definedName name="HR10_25x16">#REF!</definedName>
    <definedName name="HR10_25x20" localSheetId="0">#REF!</definedName>
    <definedName name="HR10_25x20">#REF!</definedName>
    <definedName name="HR10_280x160" localSheetId="0">#REF!</definedName>
    <definedName name="HR10_280x160">#REF!</definedName>
    <definedName name="HR10_280x180" localSheetId="0">#REF!</definedName>
    <definedName name="HR10_280x180">#REF!</definedName>
    <definedName name="HR10_280x200" localSheetId="0">#REF!</definedName>
    <definedName name="HR10_280x200">#REF!</definedName>
    <definedName name="HR10_280x225" localSheetId="0">#REF!</definedName>
    <definedName name="HR10_280x225">#REF!</definedName>
    <definedName name="HR10_280x250" localSheetId="0">#REF!</definedName>
    <definedName name="HR10_280x250">#REF!</definedName>
    <definedName name="HR10_315x160" localSheetId="0">#REF!</definedName>
    <definedName name="HR10_315x160">#REF!</definedName>
    <definedName name="HR10_315x180" localSheetId="0">#REF!</definedName>
    <definedName name="HR10_315x180">#REF!</definedName>
    <definedName name="HR10_315x200" localSheetId="0">#REF!</definedName>
    <definedName name="HR10_315x200">#REF!</definedName>
    <definedName name="HR10_315x225" localSheetId="0">#REF!</definedName>
    <definedName name="HR10_315x225">#REF!</definedName>
    <definedName name="HR10_32x16" localSheetId="0">#REF!</definedName>
    <definedName name="HR10_32x16">#REF!</definedName>
    <definedName name="HR10_32x20" localSheetId="0">#REF!</definedName>
    <definedName name="HR10_32x20">#REF!</definedName>
    <definedName name="HR10_32x25" localSheetId="0">#REF!</definedName>
    <definedName name="HR10_32x25">#REF!</definedName>
    <definedName name="HR10_350x300" localSheetId="0">#REF!</definedName>
    <definedName name="HR10_350x300">#REF!</definedName>
    <definedName name="HR10_40x20" localSheetId="0">#REF!</definedName>
    <definedName name="HR10_40x20">#REF!</definedName>
    <definedName name="HR10_40x25" localSheetId="0">#REF!</definedName>
    <definedName name="HR10_40x25">#REF!</definedName>
    <definedName name="HR10_40x32" localSheetId="0">#REF!</definedName>
    <definedName name="HR10_40x32">#REF!</definedName>
    <definedName name="HR10_50x20" localSheetId="0">#REF!</definedName>
    <definedName name="HR10_50x20">#REF!</definedName>
    <definedName name="HR10_50x25" localSheetId="0">#REF!</definedName>
    <definedName name="HR10_50x25">#REF!</definedName>
    <definedName name="HR10_50x32" localSheetId="0">#REF!</definedName>
    <definedName name="HR10_50x32">#REF!</definedName>
    <definedName name="HR10_50x40" localSheetId="0">#REF!</definedName>
    <definedName name="HR10_50x40">#REF!</definedName>
    <definedName name="HR10_63x20" localSheetId="0">#REF!</definedName>
    <definedName name="HR10_63x20">#REF!</definedName>
    <definedName name="HR10_63x25" localSheetId="0">#REF!</definedName>
    <definedName name="HR10_63x25">#REF!</definedName>
    <definedName name="HR10_63x32" localSheetId="0">#REF!</definedName>
    <definedName name="HR10_63x32">#REF!</definedName>
    <definedName name="HR10_63x40" localSheetId="0">#REF!</definedName>
    <definedName name="HR10_63x40">#REF!</definedName>
    <definedName name="HR10_63x50" localSheetId="0">#REF!</definedName>
    <definedName name="HR10_63x50">#REF!</definedName>
    <definedName name="HR10_75x20" localSheetId="0">#REF!</definedName>
    <definedName name="HR10_75x20">#REF!</definedName>
    <definedName name="HR10_75x25" localSheetId="0">#REF!</definedName>
    <definedName name="HR10_75x25">#REF!</definedName>
    <definedName name="HR10_75x32" localSheetId="0">#REF!</definedName>
    <definedName name="HR10_75x32">#REF!</definedName>
    <definedName name="HR10_75x40" localSheetId="0">#REF!</definedName>
    <definedName name="HR10_75x40">#REF!</definedName>
    <definedName name="HR10_75x50" localSheetId="0">#REF!</definedName>
    <definedName name="HR10_75x50">#REF!</definedName>
    <definedName name="HR10_75x63" localSheetId="0">#REF!</definedName>
    <definedName name="HR10_75x63">#REF!</definedName>
    <definedName name="HR10_90x32" localSheetId="0">#REF!</definedName>
    <definedName name="HR10_90x32">#REF!</definedName>
    <definedName name="HR10_90x40" localSheetId="0">#REF!</definedName>
    <definedName name="HR10_90x40">#REF!</definedName>
    <definedName name="HR10_90x50" localSheetId="0">#REF!</definedName>
    <definedName name="HR10_90x50">#REF!</definedName>
    <definedName name="HR10_90x63" localSheetId="0">#REF!</definedName>
    <definedName name="HR10_90x63">#REF!</definedName>
    <definedName name="HR10_90x75" localSheetId="0">#REF!</definedName>
    <definedName name="HR10_90x75">#REF!</definedName>
    <definedName name="HR4_110x50" localSheetId="0">#REF!</definedName>
    <definedName name="HR4_110x50">#REF!</definedName>
    <definedName name="HR4_110x63" localSheetId="0">#REF!</definedName>
    <definedName name="HR4_110x63">#REF!</definedName>
    <definedName name="HR4_110x75" localSheetId="0">#REF!</definedName>
    <definedName name="HR4_110x75">#REF!</definedName>
    <definedName name="HR4_110x90" localSheetId="0">#REF!</definedName>
    <definedName name="HR4_110x90">#REF!</definedName>
    <definedName name="HR4_125x110" localSheetId="0">#REF!</definedName>
    <definedName name="HR4_125x110">#REF!</definedName>
    <definedName name="HR4_125x63" localSheetId="0">#REF!</definedName>
    <definedName name="HR4_125x63">#REF!</definedName>
    <definedName name="HR4_125x75" localSheetId="0">#REF!</definedName>
    <definedName name="HR4_125x75">#REF!</definedName>
    <definedName name="HR4_140x110" localSheetId="0">#REF!</definedName>
    <definedName name="HR4_140x110">#REF!</definedName>
    <definedName name="HR4_140x125" localSheetId="0">#REF!</definedName>
    <definedName name="HR4_140x125">#REF!</definedName>
    <definedName name="HR4_140x75" localSheetId="0">#REF!</definedName>
    <definedName name="HR4_140x75">#REF!</definedName>
    <definedName name="HR4_140x90" localSheetId="0">#REF!</definedName>
    <definedName name="HR4_140x90">#REF!</definedName>
    <definedName name="HR4_160x110" localSheetId="0">#REF!</definedName>
    <definedName name="HR4_160x110">#REF!</definedName>
    <definedName name="HR4_160x125" localSheetId="0">#REF!</definedName>
    <definedName name="HR4_160x125">#REF!</definedName>
    <definedName name="HR4_160x140" localSheetId="0">#REF!</definedName>
    <definedName name="HR4_160x140">#REF!</definedName>
    <definedName name="HR4_160x75" localSheetId="0">#REF!</definedName>
    <definedName name="HR4_160x75">#REF!</definedName>
    <definedName name="HR4_160x90" localSheetId="0">#REF!</definedName>
    <definedName name="HR4_160x90">#REF!</definedName>
    <definedName name="HR4_180x110" localSheetId="0">#REF!</definedName>
    <definedName name="HR4_180x110">#REF!</definedName>
    <definedName name="HR4_180x125" localSheetId="0">#REF!</definedName>
    <definedName name="HR4_180x125">#REF!</definedName>
    <definedName name="HR4_180x140" localSheetId="0">#REF!</definedName>
    <definedName name="HR4_180x140">#REF!</definedName>
    <definedName name="HR4_180x160" localSheetId="0">#REF!</definedName>
    <definedName name="HR4_180x160">#REF!</definedName>
    <definedName name="HR4_180x90" localSheetId="0">#REF!</definedName>
    <definedName name="HR4_180x90">#REF!</definedName>
    <definedName name="HR4_200x110" localSheetId="0">#REF!</definedName>
    <definedName name="HR4_200x110">#REF!</definedName>
    <definedName name="HR4_200x125" localSheetId="0">#REF!</definedName>
    <definedName name="HR4_200x125">#REF!</definedName>
    <definedName name="HR4_200x140" localSheetId="0">#REF!</definedName>
    <definedName name="HR4_200x140">#REF!</definedName>
    <definedName name="HR4_200x160" localSheetId="0">#REF!</definedName>
    <definedName name="HR4_200x160">#REF!</definedName>
    <definedName name="HR4_200x180" localSheetId="0">#REF!</definedName>
    <definedName name="HR4_200x180">#REF!</definedName>
    <definedName name="HR4_200x90" localSheetId="0">#REF!</definedName>
    <definedName name="HR4_200x90">#REF!</definedName>
    <definedName name="HR4_225x110" localSheetId="0">#REF!</definedName>
    <definedName name="HR4_225x110">#REF!</definedName>
    <definedName name="HR4_225x125" localSheetId="0">#REF!</definedName>
    <definedName name="HR4_225x125">#REF!</definedName>
    <definedName name="HR4_225x140" localSheetId="0">#REF!</definedName>
    <definedName name="HR4_225x140">#REF!</definedName>
    <definedName name="HR4_225x160" localSheetId="0">#REF!</definedName>
    <definedName name="HR4_225x160">#REF!</definedName>
    <definedName name="HR4_225x180" localSheetId="0">#REF!</definedName>
    <definedName name="HR4_225x180">#REF!</definedName>
    <definedName name="HR4_225x200" localSheetId="0">#REF!</definedName>
    <definedName name="HR4_225x200">#REF!</definedName>
    <definedName name="HR4_225x90" localSheetId="0">#REF!</definedName>
    <definedName name="HR4_225x90">#REF!</definedName>
    <definedName name="HR4_250x110" localSheetId="0">#REF!</definedName>
    <definedName name="HR4_250x110">#REF!</definedName>
    <definedName name="HR4_250x125" localSheetId="0">#REF!</definedName>
    <definedName name="HR4_250x125">#REF!</definedName>
    <definedName name="HR4_250x140" localSheetId="0">#REF!</definedName>
    <definedName name="HR4_250x140">#REF!</definedName>
    <definedName name="HR4_250x160" localSheetId="0">#REF!</definedName>
    <definedName name="HR4_250x160">#REF!</definedName>
    <definedName name="HR4_250x180" localSheetId="0">#REF!</definedName>
    <definedName name="HR4_250x180">#REF!</definedName>
    <definedName name="HR4_250x200" localSheetId="0">#REF!</definedName>
    <definedName name="HR4_250x200">#REF!</definedName>
    <definedName name="HR4_250x225" localSheetId="0">#REF!</definedName>
    <definedName name="HR4_250x225">#REF!</definedName>
    <definedName name="HR4_280x160" localSheetId="0">#REF!</definedName>
    <definedName name="HR4_280x160">#REF!</definedName>
    <definedName name="HR4_280x180" localSheetId="0">#REF!</definedName>
    <definedName name="HR4_280x180">#REF!</definedName>
    <definedName name="HR4_280x200" localSheetId="0">#REF!</definedName>
    <definedName name="HR4_280x200">#REF!</definedName>
    <definedName name="HR4_280x225" localSheetId="0">#REF!</definedName>
    <definedName name="HR4_280x225">#REF!</definedName>
    <definedName name="HR4_315x160" localSheetId="0">#REF!</definedName>
    <definedName name="HR4_315x160">#REF!</definedName>
    <definedName name="HR4_315x180" localSheetId="0">#REF!</definedName>
    <definedName name="HR4_315x180">#REF!</definedName>
    <definedName name="HR4_315x225" localSheetId="0">#REF!</definedName>
    <definedName name="HR4_315x225">#REF!</definedName>
    <definedName name="HR4_315x250" localSheetId="0">#REF!</definedName>
    <definedName name="HR4_315x250">#REF!</definedName>
    <definedName name="HR4_315x280" localSheetId="0">#REF!</definedName>
    <definedName name="HR4_315x280">#REF!</definedName>
    <definedName name="HR4_43x50" localSheetId="0">#REF!</definedName>
    <definedName name="HR4_43x50">#REF!</definedName>
    <definedName name="HR4_75x50" localSheetId="0">#REF!</definedName>
    <definedName name="HR4_75x50">#REF!</definedName>
    <definedName name="HR4_75x63" localSheetId="0">#REF!</definedName>
    <definedName name="HR4_75x63">#REF!</definedName>
    <definedName name="HR4_90x50" localSheetId="0">#REF!</definedName>
    <definedName name="HR4_90x50">#REF!</definedName>
    <definedName name="HR4_90x63" localSheetId="0">#REF!</definedName>
    <definedName name="HR4_90x63">#REF!</definedName>
    <definedName name="HR4_90x75" localSheetId="0">#REF!</definedName>
    <definedName name="HR4_90x75">#REF!</definedName>
    <definedName name="HR6_110x40" localSheetId="0">#REF!</definedName>
    <definedName name="HR6_110x40">#REF!</definedName>
    <definedName name="HR6_110x50" localSheetId="0">#REF!</definedName>
    <definedName name="HR6_110x50">#REF!</definedName>
    <definedName name="HR6_110x63" localSheetId="0">#REF!</definedName>
    <definedName name="HR6_110x63">#REF!</definedName>
    <definedName name="HR6_110x75" localSheetId="0">#REF!</definedName>
    <definedName name="HR6_110x75">#REF!</definedName>
    <definedName name="HR6_125x110" localSheetId="0">#REF!</definedName>
    <definedName name="HR6_125x110">#REF!</definedName>
    <definedName name="HR6_125x63" localSheetId="0">#REF!</definedName>
    <definedName name="HR6_125x63">#REF!</definedName>
    <definedName name="HR6_125x75" localSheetId="0">#REF!</definedName>
    <definedName name="HR6_125x75">#REF!</definedName>
    <definedName name="HR6_140x110" localSheetId="0">#REF!</definedName>
    <definedName name="HR6_140x110">#REF!</definedName>
    <definedName name="HR6_140x125" localSheetId="0">#REF!</definedName>
    <definedName name="HR6_140x125">#REF!</definedName>
    <definedName name="HR6_140x75" localSheetId="0">#REF!</definedName>
    <definedName name="HR6_140x75">#REF!</definedName>
    <definedName name="HR6_140x90" localSheetId="0">#REF!</definedName>
    <definedName name="HR6_140x90">#REF!</definedName>
    <definedName name="HR6_160x110" localSheetId="0">#REF!</definedName>
    <definedName name="HR6_160x110">#REF!</definedName>
    <definedName name="HR6_160x125" localSheetId="0">#REF!</definedName>
    <definedName name="HR6_160x125">#REF!</definedName>
    <definedName name="HR6_160x140" localSheetId="0">#REF!</definedName>
    <definedName name="HR6_160x140">#REF!</definedName>
    <definedName name="HR6_160x75" localSheetId="0">#REF!</definedName>
    <definedName name="HR6_160x75">#REF!</definedName>
    <definedName name="HR6_160x90" localSheetId="0">#REF!</definedName>
    <definedName name="HR6_160x90">#REF!</definedName>
    <definedName name="HR6_180x110" localSheetId="0">#REF!</definedName>
    <definedName name="HR6_180x110">#REF!</definedName>
    <definedName name="HR6_180x125" localSheetId="0">#REF!</definedName>
    <definedName name="HR6_180x125">#REF!</definedName>
    <definedName name="HR6_180x140" localSheetId="0">#REF!</definedName>
    <definedName name="HR6_180x140">#REF!</definedName>
    <definedName name="HR6_180x160" localSheetId="0">#REF!</definedName>
    <definedName name="HR6_180x160">#REF!</definedName>
    <definedName name="HR6_180x90" localSheetId="0">#REF!</definedName>
    <definedName name="HR6_180x90">#REF!</definedName>
    <definedName name="HR6_200x110" localSheetId="0">#REF!</definedName>
    <definedName name="HR6_200x110">#REF!</definedName>
    <definedName name="HR6_200x125" localSheetId="0">#REF!</definedName>
    <definedName name="HR6_200x125">#REF!</definedName>
    <definedName name="HR6_200x140" localSheetId="0">#REF!</definedName>
    <definedName name="HR6_200x140">#REF!</definedName>
    <definedName name="HR6_200x160" localSheetId="0">#REF!</definedName>
    <definedName name="HR6_200x160">#REF!</definedName>
    <definedName name="HR6_200x180" localSheetId="0">#REF!</definedName>
    <definedName name="HR6_200x180">#REF!</definedName>
    <definedName name="HR6_225x140" localSheetId="0">#REF!</definedName>
    <definedName name="HR6_225x140">#REF!</definedName>
    <definedName name="HR6_225x160" localSheetId="0">#REF!</definedName>
    <definedName name="HR6_225x160">#REF!</definedName>
    <definedName name="HR6_225x180" localSheetId="0">#REF!</definedName>
    <definedName name="HR6_225x180">#REF!</definedName>
    <definedName name="HR6_225x200" localSheetId="0">#REF!</definedName>
    <definedName name="HR6_225x200">#REF!</definedName>
    <definedName name="HR6_250x140" localSheetId="0">#REF!</definedName>
    <definedName name="HR6_250x140">#REF!</definedName>
    <definedName name="HR6_250x160" localSheetId="0">#REF!</definedName>
    <definedName name="HR6_250x160">#REF!</definedName>
    <definedName name="HR6_250x180" localSheetId="0">#REF!</definedName>
    <definedName name="HR6_250x180">#REF!</definedName>
    <definedName name="HR6_250x200" localSheetId="0">#REF!</definedName>
    <definedName name="HR6_250x200">#REF!</definedName>
    <definedName name="HR6_250x225" localSheetId="0">#REF!</definedName>
    <definedName name="HR6_250x225">#REF!</definedName>
    <definedName name="HR6_280x160" localSheetId="0">#REF!</definedName>
    <definedName name="HR6_280x160">#REF!</definedName>
    <definedName name="HR6_280x180" localSheetId="0">#REF!</definedName>
    <definedName name="HR6_280x180">#REF!</definedName>
    <definedName name="HR6_280x200" localSheetId="0">#REF!</definedName>
    <definedName name="HR6_280x200">#REF!</definedName>
    <definedName name="HR6_280x225" localSheetId="0">#REF!</definedName>
    <definedName name="HR6_280x225">#REF!</definedName>
    <definedName name="HR6_315x160" localSheetId="0">#REF!</definedName>
    <definedName name="HR6_315x160">#REF!</definedName>
    <definedName name="HR6_315x180" localSheetId="0">#REF!</definedName>
    <definedName name="HR6_315x180">#REF!</definedName>
    <definedName name="HR6_315x200" localSheetId="0">#REF!</definedName>
    <definedName name="HR6_315x200">#REF!</definedName>
    <definedName name="HR6_315x225" localSheetId="0">#REF!</definedName>
    <definedName name="HR6_315x225">#REF!</definedName>
    <definedName name="HR6_40x32" localSheetId="0">#REF!</definedName>
    <definedName name="HR6_40x32">#REF!</definedName>
    <definedName name="HR6_50x32" localSheetId="0">#REF!</definedName>
    <definedName name="HR6_50x32">#REF!</definedName>
    <definedName name="HR6_50x40" localSheetId="0">#REF!</definedName>
    <definedName name="HR6_50x40">#REF!</definedName>
    <definedName name="HR6_63x32" localSheetId="0">#REF!</definedName>
    <definedName name="HR6_63x32">#REF!</definedName>
    <definedName name="HR6_63x40" localSheetId="0">#REF!</definedName>
    <definedName name="HR6_63x40">#REF!</definedName>
    <definedName name="HR6_63x50" localSheetId="0">#REF!</definedName>
    <definedName name="HR6_63x50">#REF!</definedName>
    <definedName name="HR6_75x32" localSheetId="0">#REF!</definedName>
    <definedName name="HR6_75x32">#REF!</definedName>
    <definedName name="HR6_75x40" localSheetId="0">#REF!</definedName>
    <definedName name="HR6_75x40">#REF!</definedName>
    <definedName name="HR6_75x50" localSheetId="0">#REF!</definedName>
    <definedName name="HR6_75x50">#REF!</definedName>
    <definedName name="HR6_75x63" localSheetId="0">#REF!</definedName>
    <definedName name="HR6_75x63">#REF!</definedName>
    <definedName name="HR6_90x32" localSheetId="0">#REF!</definedName>
    <definedName name="HR6_90x32">#REF!</definedName>
    <definedName name="HR6_90x40" localSheetId="0">#REF!</definedName>
    <definedName name="HR6_90x40">#REF!</definedName>
    <definedName name="HR6_90x50" localSheetId="0">#REF!</definedName>
    <definedName name="HR6_90x50">#REF!</definedName>
    <definedName name="HR6_90x63" localSheetId="0">#REF!</definedName>
    <definedName name="HR6_90x63">#REF!</definedName>
    <definedName name="HR6_90x75" localSheetId="0">#REF!</definedName>
    <definedName name="HR6_90x75">#REF!</definedName>
    <definedName name="HRoller">'[88]M-RATE'!$J$181</definedName>
    <definedName name="HS_110" localSheetId="0">#REF!</definedName>
    <definedName name="HS_110">#REF!</definedName>
    <definedName name="HS_125" localSheetId="0">#REF!</definedName>
    <definedName name="HS_125">#REF!</definedName>
    <definedName name="HS_140" localSheetId="0">#REF!</definedName>
    <definedName name="HS_140">#REF!</definedName>
    <definedName name="HS_160" localSheetId="0">#REF!</definedName>
    <definedName name="HS_160">#REF!</definedName>
    <definedName name="HS_200" localSheetId="0">#REF!</definedName>
    <definedName name="HS_200">#REF!</definedName>
    <definedName name="HS_25" localSheetId="0">#REF!</definedName>
    <definedName name="HS_25">#REF!</definedName>
    <definedName name="HS_300" localSheetId="0">#REF!</definedName>
    <definedName name="HS_300">#REF!</definedName>
    <definedName name="HS_32" localSheetId="0">#REF!</definedName>
    <definedName name="HS_32">#REF!</definedName>
    <definedName name="HS_40" localSheetId="0">#REF!</definedName>
    <definedName name="HS_40">#REF!</definedName>
    <definedName name="HS_63" localSheetId="0">#REF!</definedName>
    <definedName name="HS_63">#REF!</definedName>
    <definedName name="HS_90" localSheetId="0">#REF!</definedName>
    <definedName name="HS_90">#REF!</definedName>
    <definedName name="HT_0" localSheetId="0">#REF!</definedName>
    <definedName name="HT_0">#REF!</definedName>
    <definedName name="HT_1" localSheetId="0">#REF!</definedName>
    <definedName name="HT_1">#REF!</definedName>
    <definedName name="HT_2" localSheetId="0">#REF!</definedName>
    <definedName name="HT_2">#REF!</definedName>
    <definedName name="HT_3" localSheetId="0">#REF!</definedName>
    <definedName name="HT_3">#REF!</definedName>
    <definedName name="HT_4" localSheetId="0">#REF!</definedName>
    <definedName name="HT_4">#REF!</definedName>
    <definedName name="HT_5" localSheetId="0">#REF!</definedName>
    <definedName name="HT_5">#REF!</definedName>
    <definedName name="HT_6" localSheetId="0">#REF!</definedName>
    <definedName name="HT_6">#REF!</definedName>
    <definedName name="htsjo">#REF!</definedName>
    <definedName name="htsjt">#REF!</definedName>
    <definedName name="HU_50x32" localSheetId="0">#REF!</definedName>
    <definedName name="HU_50x32">#REF!</definedName>
    <definedName name="HU_50x40" localSheetId="0">#REF!</definedName>
    <definedName name="HU_50x40">#REF!</definedName>
    <definedName name="HUME2_1000">#N/A</definedName>
    <definedName name="HUME2_1200">#N/A</definedName>
    <definedName name="HUME2_150">#N/A</definedName>
    <definedName name="HUME2_200">#N/A</definedName>
    <definedName name="HUME2_225">#N/A</definedName>
    <definedName name="HUME2_250">#N/A</definedName>
    <definedName name="HUME2_300">#N/A</definedName>
    <definedName name="HUME2_350">#N/A</definedName>
    <definedName name="HUME2_375">#N/A</definedName>
    <definedName name="HUME2_400">#N/A</definedName>
    <definedName name="HUME2_450">#N/A</definedName>
    <definedName name="HUME2_500">#N/A</definedName>
    <definedName name="HUME2_600">#N/A</definedName>
    <definedName name="HUME2_700">#N/A</definedName>
    <definedName name="HUME2_750">#N/A</definedName>
    <definedName name="HUME2_800">#N/A</definedName>
    <definedName name="HUME2_900">#N/A</definedName>
    <definedName name="HUME3_1000">#N/A</definedName>
    <definedName name="HUME3_1200">#N/A</definedName>
    <definedName name="HUME3_150">#N/A</definedName>
    <definedName name="HUME3_200">#N/A</definedName>
    <definedName name="HUME3_225">#N/A</definedName>
    <definedName name="HUME3_250">#N/A</definedName>
    <definedName name="HUME3_300">#N/A</definedName>
    <definedName name="HUME3_350">#N/A</definedName>
    <definedName name="HUME3_375">#N/A</definedName>
    <definedName name="HUME3_400">#N/A</definedName>
    <definedName name="HUME3_450">#N/A</definedName>
    <definedName name="HUME3_500">#N/A</definedName>
    <definedName name="HUME3_600">#N/A</definedName>
    <definedName name="HUME3_700">#N/A</definedName>
    <definedName name="HUME3_750">#N/A</definedName>
    <definedName name="HUME3_800">#N/A</definedName>
    <definedName name="HUME3_900">#N/A</definedName>
    <definedName name="humep600">'[51]dist rate material'!$D$27</definedName>
    <definedName name="humepipe300mm" localSheetId="0">'[43]Basic Rate'!#REF!</definedName>
    <definedName name="humepipe300mm">[52]Rate!#REF!</definedName>
    <definedName name="humepipe600">'[17] 24 kaski D.Rate'!$G$44</definedName>
    <definedName name="HUT10_110x40" localSheetId="0">#REF!</definedName>
    <definedName name="HUT10_110x40">#REF!</definedName>
    <definedName name="HUT10_110x50" localSheetId="0">#REF!</definedName>
    <definedName name="HUT10_110x50">#REF!</definedName>
    <definedName name="HUT10_110x63" localSheetId="0">#REF!</definedName>
    <definedName name="HUT10_110x63">#REF!</definedName>
    <definedName name="HUT10_110x75" localSheetId="0">#REF!</definedName>
    <definedName name="HUT10_110x75">#REF!</definedName>
    <definedName name="HUT10_110x90" localSheetId="0">#REF!</definedName>
    <definedName name="HUT10_110x90">#REF!</definedName>
    <definedName name="HUT10_125x110" localSheetId="0">#REF!</definedName>
    <definedName name="HUT10_125x110">#REF!</definedName>
    <definedName name="HUT10_125x50" localSheetId="0">#REF!</definedName>
    <definedName name="HUT10_125x50">#REF!</definedName>
    <definedName name="HUT10_125x63" localSheetId="0">#REF!</definedName>
    <definedName name="HUT10_125x63">#REF!</definedName>
    <definedName name="HUT10_125x75" localSheetId="0">#REF!</definedName>
    <definedName name="HUT10_125x75">#REF!</definedName>
    <definedName name="HUT10_125x90" localSheetId="0">#REF!</definedName>
    <definedName name="HUT10_125x90">#REF!</definedName>
    <definedName name="HUT10_140x110" localSheetId="0">#REF!</definedName>
    <definedName name="HUT10_140x110">#REF!</definedName>
    <definedName name="HUT10_140x16" localSheetId="0">#REF!</definedName>
    <definedName name="HUT10_140x16">#REF!</definedName>
    <definedName name="HUT10_140x63" localSheetId="0">#REF!</definedName>
    <definedName name="HUT10_140x63">#REF!</definedName>
    <definedName name="HUT10_140x75" localSheetId="0">#REF!</definedName>
    <definedName name="HUT10_140x75">#REF!</definedName>
    <definedName name="HUT10_140x90" localSheetId="0">#REF!</definedName>
    <definedName name="HUT10_140x90">#REF!</definedName>
    <definedName name="HUT10_160x110" localSheetId="0">#REF!</definedName>
    <definedName name="HUT10_160x110">#REF!</definedName>
    <definedName name="HUT10_160x125" localSheetId="0">#REF!</definedName>
    <definedName name="HUT10_160x125">#REF!</definedName>
    <definedName name="HUT10_160x140" localSheetId="0">#REF!</definedName>
    <definedName name="HUT10_160x140">#REF!</definedName>
    <definedName name="HUT10_160x75" localSheetId="0">#REF!</definedName>
    <definedName name="HUT10_160x75">#REF!</definedName>
    <definedName name="HUT10_160x90" localSheetId="0">#REF!</definedName>
    <definedName name="HUT10_160x90">#REF!</definedName>
    <definedName name="HUT10_180x110" localSheetId="0">#REF!</definedName>
    <definedName name="HUT10_180x110">#REF!</definedName>
    <definedName name="HUT10_180x125" localSheetId="0">#REF!</definedName>
    <definedName name="HUT10_180x125">#REF!</definedName>
    <definedName name="HUT10_180x140" localSheetId="0">#REF!</definedName>
    <definedName name="HUT10_180x140">#REF!</definedName>
    <definedName name="HUT10_180x160" localSheetId="0">#REF!</definedName>
    <definedName name="HUT10_180x160">#REF!</definedName>
    <definedName name="HUT10_180x90" localSheetId="0">#REF!</definedName>
    <definedName name="HUT10_180x90">#REF!</definedName>
    <definedName name="HUT10_200x110" localSheetId="0">#REF!</definedName>
    <definedName name="HUT10_200x110">#REF!</definedName>
    <definedName name="HUT10_200x125" localSheetId="0">#REF!</definedName>
    <definedName name="HUT10_200x125">#REF!</definedName>
    <definedName name="HUT10_200x140" localSheetId="0">#REF!</definedName>
    <definedName name="HUT10_200x140">#REF!</definedName>
    <definedName name="HUT10_200x160" localSheetId="0">#REF!</definedName>
    <definedName name="HUT10_200x160">#REF!</definedName>
    <definedName name="HUT10_200x180" localSheetId="0">#REF!</definedName>
    <definedName name="HUT10_200x180">#REF!</definedName>
    <definedName name="HUT10_20x16" localSheetId="0">#REF!</definedName>
    <definedName name="HUT10_20x16">#REF!</definedName>
    <definedName name="HUT10_225x140" localSheetId="0">#REF!</definedName>
    <definedName name="HUT10_225x140">#REF!</definedName>
    <definedName name="HUT10_225x160" localSheetId="0">#REF!</definedName>
    <definedName name="HUT10_225x160">#REF!</definedName>
    <definedName name="HUT10_225x180" localSheetId="0">#REF!</definedName>
    <definedName name="HUT10_225x180">#REF!</definedName>
    <definedName name="HUT10_225x200" localSheetId="0">#REF!</definedName>
    <definedName name="HUT10_225x200">#REF!</definedName>
    <definedName name="HUT10_250x160" localSheetId="0">#REF!</definedName>
    <definedName name="HUT10_250x160">#REF!</definedName>
    <definedName name="HUT10_250x180" localSheetId="0">#REF!</definedName>
    <definedName name="HUT10_250x180">#REF!</definedName>
    <definedName name="HUT10_250x200" localSheetId="0">#REF!</definedName>
    <definedName name="HUT10_250x200">#REF!</definedName>
    <definedName name="HUT10_250x225" localSheetId="0">#REF!</definedName>
    <definedName name="HUT10_250x225">#REF!</definedName>
    <definedName name="HUT10_25x16" localSheetId="0">#REF!</definedName>
    <definedName name="HUT10_25x16">#REF!</definedName>
    <definedName name="HUT10_25x20" localSheetId="0">#REF!</definedName>
    <definedName name="HUT10_25x20">#REF!</definedName>
    <definedName name="HUT10_32x20" localSheetId="0">#REF!</definedName>
    <definedName name="HUT10_32x20">#REF!</definedName>
    <definedName name="HUT10_32x25" localSheetId="0">#REF!</definedName>
    <definedName name="HUT10_32x25">#REF!</definedName>
    <definedName name="HUT10_40x20" localSheetId="0">#REF!</definedName>
    <definedName name="HUT10_40x20">#REF!</definedName>
    <definedName name="HUT10_40x25" localSheetId="0">#REF!</definedName>
    <definedName name="HUT10_40x25">#REF!</definedName>
    <definedName name="HUT10_40x32" localSheetId="0">#REF!</definedName>
    <definedName name="HUT10_40x32">#REF!</definedName>
    <definedName name="HUT10_50x20" localSheetId="0">#REF!</definedName>
    <definedName name="HUT10_50x20">#REF!</definedName>
    <definedName name="HUT10_50x25" localSheetId="0">#REF!</definedName>
    <definedName name="HUT10_50x25">#REF!</definedName>
    <definedName name="HUT10_50x32" localSheetId="0">#REF!</definedName>
    <definedName name="HUT10_50x32">#REF!</definedName>
    <definedName name="HUT10_50x40" localSheetId="0">#REF!</definedName>
    <definedName name="HUT10_50x40">#REF!</definedName>
    <definedName name="HUT10_63x20" localSheetId="0">#REF!</definedName>
    <definedName name="HUT10_63x20">#REF!</definedName>
    <definedName name="HUT10_63x25" localSheetId="0">#REF!</definedName>
    <definedName name="HUT10_63x25">#REF!</definedName>
    <definedName name="HUT10_63x32" localSheetId="0">#REF!</definedName>
    <definedName name="HUT10_63x32">#REF!</definedName>
    <definedName name="HUT10_63x40" localSheetId="0">#REF!</definedName>
    <definedName name="HUT10_63x40">#REF!</definedName>
    <definedName name="HUT10_63x50" localSheetId="0">#REF!</definedName>
    <definedName name="HUT10_63x50">#REF!</definedName>
    <definedName name="HUT10_75x32" localSheetId="0">#REF!</definedName>
    <definedName name="HUT10_75x32">#REF!</definedName>
    <definedName name="HUT10_75x40" localSheetId="0">#REF!</definedName>
    <definedName name="HUT10_75x40">#REF!</definedName>
    <definedName name="HUT10_75x50" localSheetId="0">#REF!</definedName>
    <definedName name="HUT10_75x50">#REF!</definedName>
    <definedName name="HUT10_75x63" localSheetId="0">#REF!</definedName>
    <definedName name="HUT10_75x63">#REF!</definedName>
    <definedName name="HUT10_90x32" localSheetId="0">#REF!</definedName>
    <definedName name="HUT10_90x32">#REF!</definedName>
    <definedName name="HUT10_90x40" localSheetId="0">#REF!</definedName>
    <definedName name="HUT10_90x40">#REF!</definedName>
    <definedName name="HUT10_90x50" localSheetId="0">#REF!</definedName>
    <definedName name="HUT10_90x50">#REF!</definedName>
    <definedName name="HUT10_90x63" localSheetId="0">#REF!</definedName>
    <definedName name="HUT10_90x63">#REF!</definedName>
    <definedName name="HUT10_90x75" localSheetId="0">#REF!</definedName>
    <definedName name="HUT10_90x75">#REF!</definedName>
    <definedName name="HUT6_110x40" localSheetId="0">#REF!</definedName>
    <definedName name="HUT6_110x40">#REF!</definedName>
    <definedName name="HUT6_110x50" localSheetId="0">#REF!</definedName>
    <definedName name="HUT6_110x50">#REF!</definedName>
    <definedName name="HUT6_110x63" localSheetId="0">#REF!</definedName>
    <definedName name="HUT6_110x63">#REF!</definedName>
    <definedName name="HUT6_110x75" localSheetId="0">#REF!</definedName>
    <definedName name="HUT6_110x75">#REF!</definedName>
    <definedName name="HUT6_110x90" localSheetId="0">#REF!</definedName>
    <definedName name="HUT6_110x90">#REF!</definedName>
    <definedName name="HUT6_125x110" localSheetId="0">#REF!</definedName>
    <definedName name="HUT6_125x110">#REF!</definedName>
    <definedName name="HUT6_125x50" localSheetId="0">#REF!</definedName>
    <definedName name="HUT6_125x50">#REF!</definedName>
    <definedName name="HUT6_125x63" localSheetId="0">#REF!</definedName>
    <definedName name="HUT6_125x63">#REF!</definedName>
    <definedName name="HUT6_125x75" localSheetId="0">#REF!</definedName>
    <definedName name="HUT6_125x75">#REF!</definedName>
    <definedName name="HUT6_125x90" localSheetId="0">#REF!</definedName>
    <definedName name="HUT6_125x90">#REF!</definedName>
    <definedName name="HUT6_140x110" localSheetId="0">#REF!</definedName>
    <definedName name="HUT6_140x110">#REF!</definedName>
    <definedName name="HUT6_140x16" localSheetId="0">#REF!</definedName>
    <definedName name="HUT6_140x16">#REF!</definedName>
    <definedName name="HUT6_140x63" localSheetId="0">#REF!</definedName>
    <definedName name="HUT6_140x63">#REF!</definedName>
    <definedName name="HUT6_140x75" localSheetId="0">#REF!</definedName>
    <definedName name="HUT6_140x75">#REF!</definedName>
    <definedName name="HUT6_140x90" localSheetId="0">#REF!</definedName>
    <definedName name="HUT6_140x90">#REF!</definedName>
    <definedName name="HUT6_160x110" localSheetId="0">#REF!</definedName>
    <definedName name="HUT6_160x110">#REF!</definedName>
    <definedName name="HUT6_160x125" localSheetId="0">#REF!</definedName>
    <definedName name="HUT6_160x125">#REF!</definedName>
    <definedName name="HUT6_160x140" localSheetId="0">#REF!</definedName>
    <definedName name="HUT6_160x140">#REF!</definedName>
    <definedName name="HUT6_160x63" localSheetId="0">#REF!</definedName>
    <definedName name="HUT6_160x63">#REF!</definedName>
    <definedName name="HUT6_160x75" localSheetId="0">#REF!</definedName>
    <definedName name="HUT6_160x75">#REF!</definedName>
    <definedName name="HUT6_160x90" localSheetId="0">#REF!</definedName>
    <definedName name="HUT6_160x90">#REF!</definedName>
    <definedName name="HUT6_180x110" localSheetId="0">#REF!</definedName>
    <definedName name="HUT6_180x110">#REF!</definedName>
    <definedName name="HUT6_180x125" localSheetId="0">#REF!</definedName>
    <definedName name="HUT6_180x125">#REF!</definedName>
    <definedName name="HUT6_180x140" localSheetId="0">#REF!</definedName>
    <definedName name="HUT6_180x140">#REF!</definedName>
    <definedName name="HUT6_180x160" localSheetId="0">#REF!</definedName>
    <definedName name="HUT6_180x160">#REF!</definedName>
    <definedName name="HUT6_180x90" localSheetId="0">#REF!</definedName>
    <definedName name="HUT6_180x90">#REF!</definedName>
    <definedName name="HUT6_200x110" localSheetId="0">#REF!</definedName>
    <definedName name="HUT6_200x110">#REF!</definedName>
    <definedName name="HUT6_200x125" localSheetId="0">#REF!</definedName>
    <definedName name="HUT6_200x125">#REF!</definedName>
    <definedName name="HUT6_200x140" localSheetId="0">#REF!</definedName>
    <definedName name="HUT6_200x140">#REF!</definedName>
    <definedName name="HUT6_200x160" localSheetId="0">#REF!</definedName>
    <definedName name="HUT6_200x160">#REF!</definedName>
    <definedName name="HUT6_200x180" localSheetId="0">#REF!</definedName>
    <definedName name="HUT6_200x180">#REF!</definedName>
    <definedName name="HUT6_20x16" localSheetId="0">#REF!</definedName>
    <definedName name="HUT6_20x16">#REF!</definedName>
    <definedName name="HUT6_225x110" localSheetId="0">#REF!</definedName>
    <definedName name="HUT6_225x110">#REF!</definedName>
    <definedName name="HUT6_225x125" localSheetId="0">#REF!</definedName>
    <definedName name="HUT6_225x125">#REF!</definedName>
    <definedName name="HUT6_225x140" localSheetId="0">#REF!</definedName>
    <definedName name="HUT6_225x140">#REF!</definedName>
    <definedName name="HUT6_225x160" localSheetId="0">#REF!</definedName>
    <definedName name="HUT6_225x160">#REF!</definedName>
    <definedName name="HUT6_225x180" localSheetId="0">#REF!</definedName>
    <definedName name="HUT6_225x180">#REF!</definedName>
    <definedName name="HUT6_225x200" localSheetId="0">#REF!</definedName>
    <definedName name="HUT6_225x200">#REF!</definedName>
    <definedName name="HUT6_250x140" localSheetId="0">#REF!</definedName>
    <definedName name="HUT6_250x140">#REF!</definedName>
    <definedName name="HUT6_250x160" localSheetId="0">#REF!</definedName>
    <definedName name="HUT6_250x160">#REF!</definedName>
    <definedName name="HUT6_250x180" localSheetId="0">#REF!</definedName>
    <definedName name="HUT6_250x180">#REF!</definedName>
    <definedName name="HUT6_250x200" localSheetId="0">#REF!</definedName>
    <definedName name="HUT6_250x200">#REF!</definedName>
    <definedName name="HUT6_250x225" localSheetId="0">#REF!</definedName>
    <definedName name="HUT6_250x225">#REF!</definedName>
    <definedName name="HUT6_280x140" localSheetId="0">#REF!</definedName>
    <definedName name="HUT6_280x140">#REF!</definedName>
    <definedName name="HUT6_280x160" localSheetId="0">#REF!</definedName>
    <definedName name="HUT6_280x160">#REF!</definedName>
    <definedName name="HUT6_280x180" localSheetId="0">#REF!</definedName>
    <definedName name="HUT6_280x180">#REF!</definedName>
    <definedName name="HUT6_280x200" localSheetId="0">#REF!</definedName>
    <definedName name="HUT6_280x200">#REF!</definedName>
    <definedName name="HUT6_280x225" localSheetId="0">#REF!</definedName>
    <definedName name="HUT6_280x225">#REF!</definedName>
    <definedName name="HUT6_280x250" localSheetId="0">#REF!</definedName>
    <definedName name="HUT6_280x250">#REF!</definedName>
    <definedName name="HUT6_315x160" localSheetId="0">#REF!</definedName>
    <definedName name="HUT6_315x160">#REF!</definedName>
    <definedName name="HUT6_315x180" localSheetId="0">#REF!</definedName>
    <definedName name="HUT6_315x180">#REF!</definedName>
    <definedName name="HUT6_315x200" localSheetId="0">#REF!</definedName>
    <definedName name="HUT6_315x200">#REF!</definedName>
    <definedName name="HUT6_315x225" localSheetId="0">#REF!</definedName>
    <definedName name="HUT6_315x225">#REF!</definedName>
    <definedName name="HUT6_315x250" localSheetId="0">#REF!</definedName>
    <definedName name="HUT6_315x250">#REF!</definedName>
    <definedName name="HUT6_315x280" localSheetId="0">#REF!</definedName>
    <definedName name="HUT6_315x280">#REF!</definedName>
    <definedName name="HUT6_32x20" localSheetId="0">#REF!</definedName>
    <definedName name="HUT6_32x20">#REF!</definedName>
    <definedName name="HUT6_32x25" localSheetId="0">#REF!</definedName>
    <definedName name="HUT6_32x25">#REF!</definedName>
    <definedName name="HUT6_40x20" localSheetId="0">#REF!</definedName>
    <definedName name="HUT6_40x20">#REF!</definedName>
    <definedName name="HUT6_40x25" localSheetId="0">#REF!</definedName>
    <definedName name="HUT6_40x25">#REF!</definedName>
    <definedName name="HUT6_40x32" localSheetId="0">#REF!</definedName>
    <definedName name="HUT6_40x32">#REF!</definedName>
    <definedName name="HUT6_50x20" localSheetId="0">#REF!</definedName>
    <definedName name="HUT6_50x20">#REF!</definedName>
    <definedName name="HUT6_50x25" localSheetId="0">#REF!</definedName>
    <definedName name="HUT6_50x25">#REF!</definedName>
    <definedName name="HUT6_50x32" localSheetId="0">#REF!</definedName>
    <definedName name="HUT6_50x32">#REF!</definedName>
    <definedName name="HUT6_50x40" localSheetId="0">#REF!</definedName>
    <definedName name="HUT6_50x40">#REF!</definedName>
    <definedName name="HUT6_63x25" localSheetId="0">#REF!</definedName>
    <definedName name="HUT6_63x25">#REF!</definedName>
    <definedName name="HUT6_63x32" localSheetId="0">#REF!</definedName>
    <definedName name="HUT6_63x32">#REF!</definedName>
    <definedName name="HUT6_63x40" localSheetId="0">#REF!</definedName>
    <definedName name="HUT6_63x40">#REF!</definedName>
    <definedName name="HUT6_63x50" localSheetId="0">#REF!</definedName>
    <definedName name="HUT6_63x50">#REF!</definedName>
    <definedName name="HUT6_75x32" localSheetId="0">#REF!</definedName>
    <definedName name="HUT6_75x32">#REF!</definedName>
    <definedName name="HUT6_75x40" localSheetId="0">#REF!</definedName>
    <definedName name="HUT6_75x40">#REF!</definedName>
    <definedName name="HUT6_75x50" localSheetId="0">#REF!</definedName>
    <definedName name="HUT6_75x50">#REF!</definedName>
    <definedName name="HUT6_75x63" localSheetId="0">#REF!</definedName>
    <definedName name="HUT6_75x63">#REF!</definedName>
    <definedName name="HUT6_90x32" localSheetId="0">#REF!</definedName>
    <definedName name="HUT6_90x32">#REF!</definedName>
    <definedName name="HUT6_90x40" localSheetId="0">#REF!</definedName>
    <definedName name="HUT6_90x40">#REF!</definedName>
    <definedName name="HUT6_90x50" localSheetId="0">#REF!</definedName>
    <definedName name="HUT6_90x50">#REF!</definedName>
    <definedName name="HUT6_90x63" localSheetId="0">#REF!</definedName>
    <definedName name="HUT6_90x63">#REF!</definedName>
    <definedName name="HUT6_90x75" localSheetId="0">#REF!</definedName>
    <definedName name="HUT6_90x75">#REF!</definedName>
    <definedName name="HWB" localSheetId="0">#REF!</definedName>
    <definedName name="HWB">#REF!</definedName>
    <definedName name="I" localSheetId="0">#REF!</definedName>
    <definedName name="I">#REF!</definedName>
    <definedName name="IC" localSheetId="0">#REF!</definedName>
    <definedName name="IC">#REF!</definedName>
    <definedName name="ICpip" hidden="1">[25]FitData!$AM$11</definedName>
    <definedName name="ICrrm" hidden="1">[25]FitData!$AI$11</definedName>
    <definedName name="ID">'[8]Data-Table'!$D$6</definedName>
    <definedName name="ih" localSheetId="0">#REF!</definedName>
    <definedName name="ih">#REF!</definedName>
    <definedName name="ImpAg" hidden="1">[21]CheckList!$E$3</definedName>
    <definedName name="incon">#REF!</definedName>
    <definedName name="int_chb" localSheetId="0">#REF!</definedName>
    <definedName name="int_chb">#REF!</definedName>
    <definedName name="ItemsE" hidden="1">'[77]CONTROL PANEL'!$C$19:$C$68</definedName>
    <definedName name="iu">#REF!</definedName>
    <definedName name="j" localSheetId="0">'[17]4aoc'!$B$233:$G$258</definedName>
    <definedName name="j">'[78]4aoc'!$B$233:$G$258</definedName>
    <definedName name="J_HOOK">#N/A</definedName>
    <definedName name="jh">#REF!</definedName>
    <definedName name="Jparling" localSheetId="0">'[15]update Rate'!$E$90</definedName>
    <definedName name="Jparling">'[13]update Rate'!$E$90</definedName>
    <definedName name="jphalak" localSheetId="0">'[15]update Rate'!$E$57</definedName>
    <definedName name="jphalak">'[13]update Rate'!$E$57</definedName>
    <definedName name="jute" localSheetId="0">[31]rate!$D$64</definedName>
    <definedName name="Jute">#REF!</definedName>
    <definedName name="jv">#REF!</definedName>
    <definedName name="Jwarling" localSheetId="0">'[15]update Rate'!$E$91</definedName>
    <definedName name="Jwarling">'[13]update Rate'!$E$91</definedName>
    <definedName name="Jwood" localSheetId="0">'[15]update Rate'!$E$55</definedName>
    <definedName name="Jwood">'[13]update Rate'!$E$55</definedName>
    <definedName name="jyami" localSheetId="0">'[15]update Rate'!$G$41,'[15]update Rate'!$I$44,'[15]update Rate'!$G$46,'[15]update Rate'!$J$52,'[15]update Rate'!$G$53</definedName>
    <definedName name="jyami">'[13]update Rate'!$G$41,'[13]update Rate'!$I$44,'[13]update Rate'!$G$46,'[13]update Rate'!$J$52,'[13]update Rate'!$G$53</definedName>
    <definedName name="Kabja100" localSheetId="0">'[15]update Rate'!$E$62</definedName>
    <definedName name="Kabja100">'[13]update Rate'!$E$62</definedName>
    <definedName name="kabja75" localSheetId="0">'[15]update Rate'!$E$63</definedName>
    <definedName name="kabja75">'[13]update Rate'!$E$63</definedName>
    <definedName name="kafklas">#N/A</definedName>
    <definedName name="kero">#REF!</definedName>
    <definedName name="kerosene" localSheetId="0">[31]rate!$M$16</definedName>
    <definedName name="kerosene">'[51]dist rate material'!$D$14</definedName>
    <definedName name="Kerosene_Lt_M">[56]Transport_Cost_F!$D$30</definedName>
    <definedName name="kerosene1">'[17] 24 kaski D.Rate'!$G$38</definedName>
    <definedName name="kes" hidden="1">[10]RtAn!$A$8:$O$488</definedName>
    <definedName name="keyagg" localSheetId="0">[31]rate!$D$82</definedName>
    <definedName name="keyagg">[52]Rate!#REF!</definedName>
    <definedName name="kijhihk">#REF!</definedName>
    <definedName name="kila" localSheetId="0">'[15]update Rate'!$E$58</definedName>
    <definedName name="kila">'[13]update Rate'!$E$58</definedName>
    <definedName name="kjhhknknk">'[1]od-id'!$A$2:$IV$2,'[1]od-id'!#REF!</definedName>
    <definedName name="klp" hidden="1">#REF!</definedName>
    <definedName name="Krosene" localSheetId="0">'[48]Rate analysis'!#REF!</definedName>
    <definedName name="Krosene">'[49]Rate analysis'!#REF!</definedName>
    <definedName name="l" localSheetId="0">#REF!</definedName>
    <definedName name="l">#REF!</definedName>
    <definedName name="L_1" localSheetId="0">#REF!</definedName>
    <definedName name="L_1">#REF!</definedName>
    <definedName name="L_2" localSheetId="0">#REF!</definedName>
    <definedName name="L_2">#REF!</definedName>
    <definedName name="L_3" localSheetId="0">#REF!</definedName>
    <definedName name="L_3">#REF!</definedName>
    <definedName name="l_roy">#REF!</definedName>
    <definedName name="Lab" localSheetId="0">#REF!</definedName>
    <definedName name="Lab">#REF!</definedName>
    <definedName name="Labour" localSheetId="0">'[15]Update Descrip'!$F$7,'[15]Update Descrip'!$F$20,'[15]Update Descrip'!$F$32,'[15]Update Descrip'!$F$43,'[15]Update Descrip'!$F$56,'[15]Update Descrip'!$F$68,'[15]Update Descrip'!$F$79,'[15]Update Descrip'!$F$91,'[15]Update Descrip'!$F$103,'[15]Update Descrip'!$F$114</definedName>
    <definedName name="Labour">'[13]Update Descrip'!$F$7,'[13]Update Descrip'!$F$20,'[13]Update Descrip'!$F$32,'[13]Update Descrip'!$F$43,'[13]Update Descrip'!$F$56,'[13]Update Descrip'!$F$68,'[13]Update Descrip'!$F$79,'[13]Update Descrip'!$F$91,'[13]Update Descrip'!$F$103,'[13]Update Descrip'!$F$114</definedName>
    <definedName name="lacingwire">'[17] 24 kaski D.Rate'!$G$23</definedName>
    <definedName name="lb" localSheetId="0">#REF!</definedName>
    <definedName name="lb">#REF!</definedName>
    <definedName name="Lcell" hidden="1">#REF!</definedName>
    <definedName name="LDP100mm" localSheetId="0">'[48]Rate analysis'!#REF!</definedName>
    <definedName name="LDP100mm">'[49]Rate analysis'!#REF!</definedName>
    <definedName name="Lead">#REF!</definedName>
    <definedName name="LenDL1" hidden="1">#REF!</definedName>
    <definedName name="LenDL2" hidden="1">'[38]DesignPumping Main'!#REF!</definedName>
    <definedName name="LenDL3" hidden="1">'[38]DesignPumping Main'!#REF!</definedName>
    <definedName name="LenDL4" hidden="1">'[38]DesignPumping Main'!#REF!</definedName>
    <definedName name="lengthworker">#REF!</definedName>
    <definedName name="LENTH">#REF!</definedName>
    <definedName name="LenTL1" hidden="1">#REF!</definedName>
    <definedName name="LenTL2" hidden="1">'[38]DesignPumping Main'!#REF!</definedName>
    <definedName name="LenTL3" hidden="1">'[38]DesignPumping Main'!#REF!</definedName>
    <definedName name="LenTL4" hidden="1">'[38]DesignPumping Main'!#REF!</definedName>
    <definedName name="lh" localSheetId="0">#REF!</definedName>
    <definedName name="lh">#REF!</definedName>
    <definedName name="LightDriver_L">'[56]Labour Rates_BB'!$E$20</definedName>
    <definedName name="limcount">1</definedName>
    <definedName name="lime" localSheetId="0">'[53]mat. rate'!$H$52</definedName>
    <definedName name="LIME">#N/A</definedName>
    <definedName name="LINE1" localSheetId="0">'[1]Water Demand'!#REF!</definedName>
    <definedName name="LINE1">'[1]Water Demand'!#REF!</definedName>
    <definedName name="LINE10" localSheetId="0">#REF!</definedName>
    <definedName name="LINE10">#REF!</definedName>
    <definedName name="LINE11" localSheetId="0">#REF!</definedName>
    <definedName name="LINE11">#REF!</definedName>
    <definedName name="LINE12" localSheetId="0">#REF!</definedName>
    <definedName name="LINE12">#REF!</definedName>
    <definedName name="LINE13" localSheetId="0">#REF!</definedName>
    <definedName name="LINE13">#REF!</definedName>
    <definedName name="LINE14" localSheetId="0">#REF!</definedName>
    <definedName name="LINE14">#REF!</definedName>
    <definedName name="LINE15" localSheetId="0">#REF!</definedName>
    <definedName name="LINE15">#REF!</definedName>
    <definedName name="LINE16" localSheetId="0">#REF!</definedName>
    <definedName name="LINE16">#REF!</definedName>
    <definedName name="LINE17" localSheetId="0">#REF!</definedName>
    <definedName name="LINE17">#REF!</definedName>
    <definedName name="LINE18" localSheetId="0">#REF!</definedName>
    <definedName name="LINE18">#REF!</definedName>
    <definedName name="LINE19" localSheetId="0">#REF!</definedName>
    <definedName name="LINE19">#REF!</definedName>
    <definedName name="line1err" localSheetId="0">'[1]Water Demand'!#REF!</definedName>
    <definedName name="line1err">'[1]Water Demand'!#REF!</definedName>
    <definedName name="LINE2" localSheetId="0">#REF!</definedName>
    <definedName name="LINE2">#REF!</definedName>
    <definedName name="LINE20" localSheetId="0">#REF!</definedName>
    <definedName name="LINE20">#REF!</definedName>
    <definedName name="LINE21" localSheetId="0">#REF!</definedName>
    <definedName name="LINE21">#REF!</definedName>
    <definedName name="LINE22" localSheetId="0">#REF!</definedName>
    <definedName name="LINE22">#REF!</definedName>
    <definedName name="LINE23" localSheetId="0">#REF!</definedName>
    <definedName name="LINE23">#REF!</definedName>
    <definedName name="LINE24" localSheetId="0">#REF!</definedName>
    <definedName name="LINE24">#REF!</definedName>
    <definedName name="LINE25" localSheetId="0">#REF!</definedName>
    <definedName name="LINE25">#REF!</definedName>
    <definedName name="LINE26" localSheetId="0">#REF!</definedName>
    <definedName name="LINE26">#REF!</definedName>
    <definedName name="LINE27" localSheetId="0">#REF!</definedName>
    <definedName name="LINE27">#REF!</definedName>
    <definedName name="LINE28" localSheetId="0">#REF!</definedName>
    <definedName name="LINE28">#REF!</definedName>
    <definedName name="LINE29" localSheetId="0">#REF!</definedName>
    <definedName name="LINE29">#REF!</definedName>
    <definedName name="LINE3" localSheetId="0">'[1]Water Demand'!#REF!</definedName>
    <definedName name="LINE3">'[1]Water Demand'!#REF!</definedName>
    <definedName name="LINE30" localSheetId="0">#REF!</definedName>
    <definedName name="LINE30">#REF!</definedName>
    <definedName name="LINE31" localSheetId="0">#REF!</definedName>
    <definedName name="LINE31">#REF!</definedName>
    <definedName name="LINE32" localSheetId="0">#REF!</definedName>
    <definedName name="LINE32">#REF!</definedName>
    <definedName name="LINE33" localSheetId="0">#REF!</definedName>
    <definedName name="LINE33">#REF!</definedName>
    <definedName name="LINE34" localSheetId="0">#REF!</definedName>
    <definedName name="LINE34">#REF!</definedName>
    <definedName name="LINE35" localSheetId="0">#REF!</definedName>
    <definedName name="LINE35">#REF!</definedName>
    <definedName name="LINE36" localSheetId="0">#REF!</definedName>
    <definedName name="LINE36">#REF!</definedName>
    <definedName name="LINE37" localSheetId="0">#REF!</definedName>
    <definedName name="LINE37">#REF!</definedName>
    <definedName name="LINE38" localSheetId="0">#REF!</definedName>
    <definedName name="LINE38">#REF!</definedName>
    <definedName name="LINE39" localSheetId="0">#REF!</definedName>
    <definedName name="LINE39">#REF!</definedName>
    <definedName name="LINE4" localSheetId="0">'[1]Water Demand'!#REF!</definedName>
    <definedName name="LINE4">'[1]Water Demand'!#REF!</definedName>
    <definedName name="LINE40" localSheetId="0">#REF!</definedName>
    <definedName name="LINE40">#REF!</definedName>
    <definedName name="LINE41" localSheetId="0">#REF!</definedName>
    <definedName name="LINE41">#REF!</definedName>
    <definedName name="LINE42" localSheetId="0">#REF!</definedName>
    <definedName name="LINE42">#REF!</definedName>
    <definedName name="LINE43" localSheetId="0">#REF!</definedName>
    <definedName name="LINE43">#REF!</definedName>
    <definedName name="LINE44" localSheetId="0">#REF!</definedName>
    <definedName name="LINE44">#REF!</definedName>
    <definedName name="LINE45" localSheetId="0">#REF!</definedName>
    <definedName name="LINE45">#REF!</definedName>
    <definedName name="LINE46" localSheetId="0">#REF!</definedName>
    <definedName name="LINE46">#REF!</definedName>
    <definedName name="LINE47" localSheetId="0">#REF!</definedName>
    <definedName name="LINE47">#REF!</definedName>
    <definedName name="LINE48" localSheetId="0">#REF!</definedName>
    <definedName name="LINE48">#REF!</definedName>
    <definedName name="LINE49" localSheetId="0">#REF!</definedName>
    <definedName name="LINE49">#REF!</definedName>
    <definedName name="LINE5" localSheetId="0">'[1]Water Demand'!#REF!</definedName>
    <definedName name="LINE5">'[1]Water Demand'!#REF!</definedName>
    <definedName name="LINE50" localSheetId="0">#REF!</definedName>
    <definedName name="LINE50">#REF!</definedName>
    <definedName name="line5err" localSheetId="0">'[1]Water Demand'!#REF!</definedName>
    <definedName name="line5err">'[1]Water Demand'!#REF!</definedName>
    <definedName name="LINE6" localSheetId="0">'[1]Water Demand'!#REF!</definedName>
    <definedName name="LINE6">'[1]Water Demand'!#REF!</definedName>
    <definedName name="LINE7" localSheetId="0">#REF!</definedName>
    <definedName name="LINE7">#REF!</definedName>
    <definedName name="LINE8" localSheetId="0">#REF!</definedName>
    <definedName name="LINE8">#REF!</definedName>
    <definedName name="LINE9" localSheetId="0">#REF!</definedName>
    <definedName name="LINE9">#REF!</definedName>
    <definedName name="Livepegs_no_m">[50]Transport_Cost_F!$D$72</definedName>
    <definedName name="ll" localSheetId="0">#REF!</definedName>
    <definedName name="ll">#REF!</definedName>
    <definedName name="ln19err" localSheetId="0">'[1]Water Demand'!#REF!</definedName>
    <definedName name="ln19err">'[1]Water Demand'!#REF!</definedName>
    <definedName name="ln1err" localSheetId="0">'[1]Water Demand'!#REF!</definedName>
    <definedName name="ln1err">'[1]Water Demand'!#REF!</definedName>
    <definedName name="ln23err" localSheetId="0">'[1]Water Demand'!#REF!</definedName>
    <definedName name="ln23err">'[1]Water Demand'!#REF!</definedName>
    <definedName name="ln24err" localSheetId="0">'[1]Water Demand'!#REF!</definedName>
    <definedName name="ln24err">'[1]Water Demand'!#REF!</definedName>
    <definedName name="ln26err" localSheetId="0">'[1]Water Demand'!#REF!</definedName>
    <definedName name="ln26err">'[1]Water Demand'!#REF!</definedName>
    <definedName name="ln2err" localSheetId="0">'[1]Water Demand'!#REF!</definedName>
    <definedName name="ln2err">'[1]Water Demand'!#REF!</definedName>
    <definedName name="ln30err" localSheetId="0">'[1]Water Demand'!#REF!</definedName>
    <definedName name="ln30err">'[1]Water Demand'!#REF!</definedName>
    <definedName name="loader" localSheetId="0">[31]rate!$M$32</definedName>
    <definedName name="loader">'[51]district rate equp'!$D$16</definedName>
    <definedName name="local_material">#REF!,#REF!</definedName>
    <definedName name="LOCAL_R">#REF!</definedName>
    <definedName name="LocalHardwood" hidden="1">[10]MatCol!$U$58</definedName>
    <definedName name="LocalSoftwood" hidden="1">[10]MatCol!$U$59</definedName>
    <definedName name="localtimbr">#REF!</definedName>
    <definedName name="locset" localSheetId="0">[16]Sheet1!$D$43</definedName>
    <definedName name="locset">#REF!</definedName>
    <definedName name="loder1">'[17] 24 kaski D.Rate'!$G$67</definedName>
    <definedName name="LOOP">#N/A</definedName>
    <definedName name="LOOP1">#N/A</definedName>
    <definedName name="Loss" hidden="1">[21]PipeDesign!$X1*1100*[21]PipeDesign!$D1*[21]PipeDesign!$R1^2/(19.62*[21]PipeDesign!$O1)</definedName>
    <definedName name="lp" localSheetId="0">#REF!</definedName>
    <definedName name="lp">#REF!</definedName>
    <definedName name="ls" localSheetId="0">#REF!</definedName>
    <definedName name="ls">#REF!</definedName>
    <definedName name="LTkg">#REF!</definedName>
    <definedName name="Ltpkg">#REF!</definedName>
    <definedName name="ltpoint">#REF!</definedName>
    <definedName name="lub">#REF!</definedName>
    <definedName name="lucking300" localSheetId="0">'[15]update Rate'!$E$67</definedName>
    <definedName name="lucking300">'[13]update Rate'!$E$67</definedName>
    <definedName name="lw" localSheetId="0">#REF!</definedName>
    <definedName name="lw">#REF!</definedName>
    <definedName name="M">#N/A</definedName>
    <definedName name="M_01" localSheetId="0">#REF!</definedName>
    <definedName name="M_01">#REF!</definedName>
    <definedName name="M_02" localSheetId="0">#REF!</definedName>
    <definedName name="M_02">#REF!</definedName>
    <definedName name="M_03" localSheetId="0">#REF!</definedName>
    <definedName name="M_03">#REF!</definedName>
    <definedName name="M_04" localSheetId="0">#REF!</definedName>
    <definedName name="M_04">#REF!</definedName>
    <definedName name="M_05" localSheetId="0">#REF!</definedName>
    <definedName name="M_05">#REF!</definedName>
    <definedName name="M_06" localSheetId="0">#REF!</definedName>
    <definedName name="M_06">#REF!</definedName>
    <definedName name="M_07" localSheetId="0">#REF!</definedName>
    <definedName name="M_07">#REF!</definedName>
    <definedName name="M_08" localSheetId="0">#REF!</definedName>
    <definedName name="M_08">#REF!</definedName>
    <definedName name="M_09" localSheetId="0">#REF!</definedName>
    <definedName name="M_09">#REF!</definedName>
    <definedName name="M_10" localSheetId="0">#REF!</definedName>
    <definedName name="M_10">#REF!</definedName>
    <definedName name="M_11" localSheetId="0">#REF!</definedName>
    <definedName name="M_11">#REF!</definedName>
    <definedName name="M_12" localSheetId="0">#REF!</definedName>
    <definedName name="M_12">#REF!</definedName>
    <definedName name="M_13" localSheetId="0">#REF!</definedName>
    <definedName name="M_13">#REF!</definedName>
    <definedName name="M_14" localSheetId="0">#REF!</definedName>
    <definedName name="M_14">#REF!</definedName>
    <definedName name="M_15" localSheetId="0">#REF!</definedName>
    <definedName name="M_15">#REF!</definedName>
    <definedName name="M_16" localSheetId="0">#REF!</definedName>
    <definedName name="M_16">#REF!</definedName>
    <definedName name="M_17" localSheetId="0">#REF!</definedName>
    <definedName name="M_17">#REF!</definedName>
    <definedName name="M_18" localSheetId="0">#REF!</definedName>
    <definedName name="M_18">#REF!</definedName>
    <definedName name="M_19" localSheetId="0">#REF!</definedName>
    <definedName name="M_19">#REF!</definedName>
    <definedName name="M_20" localSheetId="0">#REF!</definedName>
    <definedName name="M_20">#REF!</definedName>
    <definedName name="M_21" localSheetId="0">#REF!</definedName>
    <definedName name="M_21">#REF!</definedName>
    <definedName name="M_22" localSheetId="0">#REF!</definedName>
    <definedName name="M_22">#REF!</definedName>
    <definedName name="M_23" localSheetId="0">#REF!</definedName>
    <definedName name="M_23">#REF!</definedName>
    <definedName name="M_24" localSheetId="0">#REF!</definedName>
    <definedName name="M_24">#REF!</definedName>
    <definedName name="m_wire">#REF!</definedName>
    <definedName name="m10_40" localSheetId="0">'[31]Rate analysis'!$F$1375</definedName>
    <definedName name="m10_40">#REF!</definedName>
    <definedName name="m15_40" localSheetId="0">'[31]Rate analysis'!$F$1390</definedName>
    <definedName name="m15_40">#REF!</definedName>
    <definedName name="m20_20" localSheetId="0">#REF!</definedName>
    <definedName name="m20_20">#REF!</definedName>
    <definedName name="m20_40" localSheetId="0">#REF!</definedName>
    <definedName name="m20_40">#REF!</definedName>
    <definedName name="m25_20" localSheetId="0">'[31]Rate analysis'!$F$1438</definedName>
    <definedName name="m25_20">#REF!</definedName>
    <definedName name="manure">'[57]M-RATE'!$J$153</definedName>
    <definedName name="marb15">#REF!</definedName>
    <definedName name="Marble" localSheetId="0">'[15]update Rate'!$E$41</definedName>
    <definedName name="Marble">'[13]update Rate'!$E$41</definedName>
    <definedName name="mason" localSheetId="0">'[15]update Rate'!$E$6</definedName>
    <definedName name="mason">'[13]update Rate'!$E$6</definedName>
    <definedName name="mat" localSheetId="0">#REF!</definedName>
    <definedName name="mat">#REF!</definedName>
    <definedName name="mbl">#REF!</definedName>
    <definedName name="mbs14a">#REF!</definedName>
    <definedName name="mdbs14">#REF!</definedName>
    <definedName name="mds16a">#REF!</definedName>
    <definedName name="MeshWire_KG_M">[56]Transport_Cost_F!$D$16</definedName>
    <definedName name="MH">'[93]Pump-Cost_Mehelkuna'!$K$4</definedName>
    <definedName name="MidHGraph">[41]Hydrology!$M$33:$S$46</definedName>
    <definedName name="MidMonths">[41]Hydrology!$L$33:$L$46</definedName>
    <definedName name="Min_filler">#REF!</definedName>
    <definedName name="Mirror" localSheetId="0">#REF!</definedName>
    <definedName name="Mirror">#REF!</definedName>
    <definedName name="Mix">[17]DR!#REF!</definedName>
    <definedName name="mixer" localSheetId="0">[31]rate!$M$40</definedName>
    <definedName name="mixer">'[51]district rate equp'!$D$12</definedName>
    <definedName name="Mixture_Vib">#REF!</definedName>
    <definedName name="mlchips">#REF!</definedName>
    <definedName name="mobil">#REF!</definedName>
    <definedName name="moluck" localSheetId="0">'[15]update Rate'!$E$68</definedName>
    <definedName name="moluck">'[13]update Rate'!$E$68</definedName>
    <definedName name="Months">[41]Hydrology!$L$34:$L$45</definedName>
    <definedName name="mosq">[65]MatCol!$K$49</definedName>
    <definedName name="MotorGrader_E">'[56]Equipment Rates'!$D$18</definedName>
    <definedName name="MP_6" localSheetId="0">#REF!</definedName>
    <definedName name="MP_6">#REF!</definedName>
    <definedName name="mpb">#REF!</definedName>
    <definedName name="mr" localSheetId="0">[59]Rates!$D$6</definedName>
    <definedName name="mr">[60]Rates!$D$6</definedName>
    <definedName name="MS_2mm">#REF!</definedName>
    <definedName name="MS_angle">#REF!</definedName>
    <definedName name="ms_pipe">[45]Rates!$G$48</definedName>
    <definedName name="MS_sheet">[45]Rates!$G$45</definedName>
    <definedName name="MSangle" hidden="1">[10]MatCol!$U$35</definedName>
    <definedName name="MSBar">'[94]M-RATE'!$K$118</definedName>
    <definedName name="msnet" localSheetId="0">[16]Sheet1!$D$69</definedName>
    <definedName name="msnet">#REF!</definedName>
    <definedName name="MSP">#REF!</definedName>
    <definedName name="MSP_2mm">#REF!</definedName>
    <definedName name="MSP2mm">#REF!</definedName>
    <definedName name="msph_25_">#REF!</definedName>
    <definedName name="msph_40_">#REF!</definedName>
    <definedName name="msph_50_">#REF!</definedName>
    <definedName name="msph25">#REF!</definedName>
    <definedName name="msph50">#REF!</definedName>
    <definedName name="mspipe" localSheetId="0">'[43]Basic Rate'!#REF!</definedName>
    <definedName name="mspipe">#REF!</definedName>
    <definedName name="MSpipe_40">#REF!</definedName>
    <definedName name="MSPipe50">#REF!</definedName>
    <definedName name="mspm_40_">#REF!</definedName>
    <definedName name="mspm_50_">#REF!</definedName>
    <definedName name="mspm25">#REF!</definedName>
    <definedName name="mspm40">#REF!</definedName>
    <definedName name="mspm50">#REF!</definedName>
    <definedName name="msrs">#REF!</definedName>
    <definedName name="mssht">#REF!</definedName>
    <definedName name="mtd_sani">#REF!</definedName>
    <definedName name="mue" hidden="1">[21]Criteria!$H$14</definedName>
    <definedName name="MWmesh">[20]MatCol!$K$51</definedName>
    <definedName name="N">'[8]Data-Table'!$D$3</definedName>
    <definedName name="n11_15">#REF!</definedName>
    <definedName name="n15_18">#REF!</definedName>
    <definedName name="Na">[17]DR!$D$40</definedName>
    <definedName name="nail" localSheetId="0">[59]Rates!$G$42</definedName>
    <definedName name="nail" hidden="1">[37]DRates!$K$37</definedName>
    <definedName name="nails" localSheetId="0">[31]rate!$H$67</definedName>
    <definedName name="nails">'[51]dist rate material'!$D$25</definedName>
    <definedName name="Nails_Kg_M">[56]Transport_Cost_F!$D$19</definedName>
    <definedName name="NAME">[41]Hydrology!$G$4</definedName>
    <definedName name="NB_8">#N/A</definedName>
    <definedName name="NBCL" hidden="1">[21]PipeList!$A$8:$A$126</definedName>
    <definedName name="nearmarketlength">'[47]Haulage dist'!$K$8</definedName>
    <definedName name="ngcm14">#REF!</definedName>
    <definedName name="NI_1" localSheetId="0">#REF!</definedName>
    <definedName name="NI_1">#REF!</definedName>
    <definedName name="NI_2" localSheetId="0">#REF!</definedName>
    <definedName name="NI_2">#REF!</definedName>
    <definedName name="NI_3" localSheetId="0">#REF!</definedName>
    <definedName name="NI_3">#REF!</definedName>
    <definedName name="NI_4" localSheetId="0">#REF!</definedName>
    <definedName name="NI_4">#REF!</definedName>
    <definedName name="NI_5" localSheetId="0">#REF!</definedName>
    <definedName name="NI_5">#REF!</definedName>
    <definedName name="NI_6" localSheetId="0">#REF!</definedName>
    <definedName name="NI_6">#REF!</definedName>
    <definedName name="NI_7" localSheetId="0">#REF!</definedName>
    <definedName name="NI_7">#REF!</definedName>
    <definedName name="NI_8" localSheetId="0">#REF!</definedName>
    <definedName name="NI_8">#REF!</definedName>
    <definedName name="no">'[95]2.2.1.16'!$C$32</definedName>
    <definedName name="NP3_600">#REF!</definedName>
    <definedName name="NP3_750">#REF!</definedName>
    <definedName name="NP3_900">#REF!</definedName>
    <definedName name="NRV" localSheetId="0">#REF!</definedName>
    <definedName name="NRV">#REF!</definedName>
    <definedName name="ntb" localSheetId="0">[16]Sheet1!$D$39</definedName>
    <definedName name="ntb">#REF!</definedName>
    <definedName name="Nut_Bolt">#REF!</definedName>
    <definedName name="NUT_BOLT_8_">#N/A</definedName>
    <definedName name="Nut_bolts">[45]Rates!$G$47</definedName>
    <definedName name="nutbolt" localSheetId="0">'[15]update Rate'!#REF!</definedName>
    <definedName name="nutbolt">'[13]update Rate'!#REF!</definedName>
    <definedName name="Nutbolt_LS_M">[47]Transport_Cost_F!$D$66</definedName>
    <definedName name="nutbolt8" localSheetId="0">'[15]update Rate'!#REF!</definedName>
    <definedName name="nutbolt8">'[13]update Rate'!#REF!</definedName>
    <definedName name="nuts" localSheetId="0">[45]Rates!#REF!</definedName>
    <definedName name="nuts">[60]Rates!$H$50</definedName>
    <definedName name="O_M1" localSheetId="0">[62]Ta403!$J$8</definedName>
    <definedName name="O_M1">[63]Ta403!$J$8</definedName>
    <definedName name="OD">'[8]Data-Table'!$D$7</definedName>
    <definedName name="ogoswt">#REF!</definedName>
    <definedName name="ogtswt">#REF!</definedName>
    <definedName name="Opan" localSheetId="0">#REF!</definedName>
    <definedName name="Opan">#REF!</definedName>
    <definedName name="OPCn" hidden="1">[37]DRates!$K$19</definedName>
    <definedName name="operator">#REF!</definedName>
    <definedName name="or" localSheetId="0">[59]Rates!$D$7</definedName>
    <definedName name="or">[60]Rates!$D$7</definedName>
    <definedName name="other_hardware">#REF!,#REF!,#REF!,#REF!,#REF!,#REF!,#REF!</definedName>
    <definedName name="other_mat_rwh">[81]Materials!$I$754:$I$756,[81]Materials!$I$758:$I$763,[81]Materials!$I$765,[81]Materials!$I$806,[81]Materials!$I$815:$I$816,[81]Materials!$I$856</definedName>
    <definedName name="oxacid" localSheetId="0">[16]Sheet1!$D$59</definedName>
    <definedName name="oxacid">#REF!</definedName>
    <definedName name="p_agg">#REF!</definedName>
    <definedName name="p_bou">#REF!</definedName>
    <definedName name="p_bw">#REF!</definedName>
    <definedName name="p_cem">#REF!</definedName>
    <definedName name="P_F2">#REF!</definedName>
    <definedName name="P_F3">#REF!</definedName>
    <definedName name="P_F4">#REF!</definedName>
    <definedName name="P_F5">#REF!</definedName>
    <definedName name="P_F6">#REF!</definedName>
    <definedName name="p_gi">#REF!</definedName>
    <definedName name="p_sand">#REF!</definedName>
    <definedName name="p_steel">#REF!</definedName>
    <definedName name="Packagelength">'[47]Haulage dist'!$K$10</definedName>
    <definedName name="pb" localSheetId="0">#REF!</definedName>
    <definedName name="pb">#REF!</definedName>
    <definedName name="pccm10">#REF!</definedName>
    <definedName name="pccm15">#REF!</definedName>
    <definedName name="PCost1" hidden="1">[21]PipeList!$G$134</definedName>
    <definedName name="PCost10" hidden="1">[25]PipeList!$Y$119</definedName>
    <definedName name="PCost11" hidden="1">[25]PipeList!$AA$119</definedName>
    <definedName name="PCost12" hidden="1">[25]PipeList!$AC$119</definedName>
    <definedName name="PCost13" hidden="1">[25]PipeList!$AE$119</definedName>
    <definedName name="PCost14" hidden="1">[25]PipeList!$AG$119</definedName>
    <definedName name="PCost15" hidden="1">[25]PipeList!$AI$119</definedName>
    <definedName name="PCost16" hidden="1">[25]PipeList!$AK$119</definedName>
    <definedName name="PCost17" hidden="1">[25]PipeList!$AM$119</definedName>
    <definedName name="PCost18" hidden="1">[25]PipeList!$AO$119</definedName>
    <definedName name="PCost19" hidden="1">[25]PipeList!$AQ$119</definedName>
    <definedName name="PCost2" hidden="1">[21]PipeList!$I$134</definedName>
    <definedName name="PCost20" hidden="1">[25]PipeList!$AS$119</definedName>
    <definedName name="PCost21" hidden="1">[25]PipeList!$AU$119</definedName>
    <definedName name="PCost22" hidden="1">[25]PipeList!$AW$119</definedName>
    <definedName name="PCost23" hidden="1">[25]PipeList!$AY$119</definedName>
    <definedName name="PCost24" hidden="1">[25]PipeList!$BA$119</definedName>
    <definedName name="PCost25" hidden="1">[25]PipeList!$BC$119</definedName>
    <definedName name="PCost26" hidden="1">[25]PipeList!$BE$119</definedName>
    <definedName name="PCost27" hidden="1">[25]PipeList!$BG$119</definedName>
    <definedName name="PCost3" hidden="1">[21]PipeList!$K$134</definedName>
    <definedName name="PCost4" hidden="1">[21]PipeList!$M$134</definedName>
    <definedName name="PCost5" hidden="1">[25]PipeList!$O$119</definedName>
    <definedName name="PCost6" hidden="1">[25]PipeList!$Q$119</definedName>
    <definedName name="PCost7" hidden="1">[25]PipeList!$S$119</definedName>
    <definedName name="PCost8" hidden="1">[25]PipeList!$U$119</definedName>
    <definedName name="PCost9" hidden="1">[25]PipeList!$W$119</definedName>
    <definedName name="PD_DATA">'[61]PD-CW-Sample'!$D$16:$AC$1903</definedName>
    <definedName name="PD_Length">'[92]P-Qnt-Ext'!#REF!</definedName>
    <definedName name="PD_ND">'[92]P-Qnt-Ext'!#REF!</definedName>
    <definedName name="PD_SD">'[92]P-Qnt-Ext'!#REF!</definedName>
    <definedName name="PD_SD_RC" hidden="1">#REF!</definedName>
    <definedName name="petrol" localSheetId="0">[31]rate!$M$17</definedName>
    <definedName name="petrol">'[51]dist rate material'!$D$13</definedName>
    <definedName name="Petrol_LT_M">[50]Transport_Cost_F!$D$32</definedName>
    <definedName name="pf" hidden="1">[21]Criteria!$H$7</definedName>
    <definedName name="PF_80" localSheetId="0">#REF!</definedName>
    <definedName name="PF_80">#REF!</definedName>
    <definedName name="PFL" localSheetId="0">#REF!</definedName>
    <definedName name="PFL">#REF!</definedName>
    <definedName name="ph" localSheetId="0">#REF!</definedName>
    <definedName name="ph">#REF!</definedName>
    <definedName name="PIPE" localSheetId="0">#REF!</definedName>
    <definedName name="PIpe">#REF!</definedName>
    <definedName name="PIPE_2_">#N/A</definedName>
    <definedName name="PIPE_3_">#N/A</definedName>
    <definedName name="PIPE_4_">#N/A</definedName>
    <definedName name="Pipe_Code">'[76]HL-Data'!$C$7:$AE$7</definedName>
    <definedName name="Pipe_Dat">[96]SOFTWEL!$S$7:$V$29</definedName>
    <definedName name="Pipe_Data" localSheetId="0">[97]SCREEN!#REF!</definedName>
    <definedName name="Pipe_Data">[97]SCREEN!#REF!</definedName>
    <definedName name="Pipe_f" localSheetId="0">#REF!</definedName>
    <definedName name="Pipe_f">#REF!</definedName>
    <definedName name="pipe_lay" hidden="1">#REF!</definedName>
    <definedName name="Pipe_Length">#REF!</definedName>
    <definedName name="Pipe_Length1">#REF!</definedName>
    <definedName name="Pipe_SD">#REF!</definedName>
    <definedName name="Pipe_SD1">#REF!</definedName>
    <definedName name="Pipe_Series" localSheetId="0">#REF!</definedName>
    <definedName name="Pipe_Series">#REF!</definedName>
    <definedName name="pipe_Supp_laying_Bidder">[79]TRANS_dist_pipework_Contractor!$A$21:$R$66</definedName>
    <definedName name="pipe_sz" localSheetId="0">#REF!</definedName>
    <definedName name="pipe_sz">#REF!</definedName>
    <definedName name="pipe_total">#REF!</definedName>
    <definedName name="pipe_total_1">#REF!</definedName>
    <definedName name="pipemarkercost">'[98]Major Crossing Pipe marker'!$L$117</definedName>
    <definedName name="pjeb">#REF!</definedName>
    <definedName name="pk">#REF!</definedName>
    <definedName name="pkila">'[99]update Rate'!$E$57</definedName>
    <definedName name="plainst26" localSheetId="0">'[15]update Rate'!$E$97</definedName>
    <definedName name="plainst26">'[13]update Rate'!$E$97</definedName>
    <definedName name="plainst28" localSheetId="0">'[35]update Rate'!$E$93</definedName>
    <definedName name="plainst28">'[100]update Rate'!$E$93</definedName>
    <definedName name="PLamt" hidden="1">SUMIF([21]PipeLineWork!#REF!,"&gt;0",[21]PipeLineWork!#REF!)</definedName>
    <definedName name="plank">#REF!</definedName>
    <definedName name="planks">'[51]dist rate material'!$D$23</definedName>
    <definedName name="Planst" localSheetId="0">'[15]update Rate'!#REF!</definedName>
    <definedName name="Planst">'[13]update Rate'!#REF!</definedName>
    <definedName name="Plastic">[56]Transport_Cost_F!$D$75</definedName>
    <definedName name="Plastic_sqm_M">[47]Transport_Cost_F!#REF!</definedName>
    <definedName name="PLen1" hidden="1">[21]PipeList!$G$132</definedName>
    <definedName name="PLen10" hidden="1">[25]PipeList!$Y$117</definedName>
    <definedName name="PLen11" hidden="1">[25]PipeList!$AA$117</definedName>
    <definedName name="PLen12" hidden="1">[25]PipeList!$AC$117</definedName>
    <definedName name="PLen13" hidden="1">[25]PipeList!$AE$117</definedName>
    <definedName name="PLen14" hidden="1">[25]PipeList!$AG$117</definedName>
    <definedName name="PLen15" hidden="1">[25]PipeList!$AI$117</definedName>
    <definedName name="PLen16" hidden="1">[25]PipeList!$AK$117</definedName>
    <definedName name="PLen17" hidden="1">[25]PipeList!$AM$117</definedName>
    <definedName name="PLen18" hidden="1">[25]PipeList!$AO$117</definedName>
    <definedName name="PLen19" hidden="1">[25]PipeList!$AQ$117</definedName>
    <definedName name="PLen2" hidden="1">[21]PipeList!$I$132</definedName>
    <definedName name="PLen20" hidden="1">[25]PipeList!$AS$117</definedName>
    <definedName name="PLen21" hidden="1">[25]PipeList!$AU$117</definedName>
    <definedName name="PLen22" hidden="1">[25]PipeList!$AW$117</definedName>
    <definedName name="PLen23" hidden="1">[25]PipeList!$AY$117</definedName>
    <definedName name="PLen24" hidden="1">[25]PipeList!$BA$117</definedName>
    <definedName name="PLen25" hidden="1">[25]PipeList!$BC$117</definedName>
    <definedName name="PLen26" hidden="1">[25]PipeList!$BE$117</definedName>
    <definedName name="PLen27" hidden="1">[25]PipeList!$BG$117</definedName>
    <definedName name="PLen3" hidden="1">[21]PipeList!$K$132</definedName>
    <definedName name="PLen4" hidden="1">[21]PipeList!$M$132</definedName>
    <definedName name="PLen5" hidden="1">[25]PipeList!$O$117</definedName>
    <definedName name="PLen6" hidden="1">[25]PipeList!$Q$117</definedName>
    <definedName name="PLen7" hidden="1">[25]PipeList!$S$117</definedName>
    <definedName name="PLen8" hidden="1">[25]PipeList!$U$117</definedName>
    <definedName name="PLen9" hidden="1">[25]PipeList!$W$117</definedName>
    <definedName name="plp">#REF!</definedName>
    <definedName name="PLUM" localSheetId="0">#REF!</definedName>
    <definedName name="PLUM">#REF!</definedName>
    <definedName name="plumber">[89]Rate!$C$15</definedName>
    <definedName name="Ply">#REF!</definedName>
    <definedName name="PLY_10">#N/A</definedName>
    <definedName name="PLY_12">#N/A</definedName>
    <definedName name="PLY_25">#N/A</definedName>
    <definedName name="PLY_3">#REF!</definedName>
    <definedName name="PLY_8">#N/A</definedName>
    <definedName name="Ply_8_9">#REF!</definedName>
    <definedName name="Ply_9_8">#REF!</definedName>
    <definedName name="ply10mm">'[53]mat. rate'!$H$47</definedName>
    <definedName name="ply12mm">#REF!</definedName>
    <definedName name="ply20mm">#REF!</definedName>
    <definedName name="ply3mm">#REF!</definedName>
    <definedName name="ply4mm">#REF!</definedName>
    <definedName name="ply6mm">#REF!</definedName>
    <definedName name="ply8mm">#REF!</definedName>
    <definedName name="plywood" localSheetId="0">[59]Rates!$G$43</definedName>
    <definedName name="plywood">[60]Rates!$H$42</definedName>
    <definedName name="plywood12mm">'[43]Basic Rate'!#REF!</definedName>
    <definedName name="plywood4" localSheetId="0">'[15]update Rate'!$E$69</definedName>
    <definedName name="plywood4">'[13]update Rate'!$E$69</definedName>
    <definedName name="plywood6" localSheetId="0">'[15]update Rate'!$E$70</definedName>
    <definedName name="plywood6">'[13]update Rate'!$E$70</definedName>
    <definedName name="plywood8mm">'[43]Basic Rate'!#REF!</definedName>
    <definedName name="plywood9mm" localSheetId="0">'[43]Basic Rate'!#REF!</definedName>
    <definedName name="plywood9mm">'[51]dist rate material'!$D$26</definedName>
    <definedName name="Pnam" hidden="1">[2]CheckList!$E$5</definedName>
    <definedName name="pneumatic" localSheetId="0">[59]Rates!$D$80</definedName>
    <definedName name="pneumatic">#REF!</definedName>
    <definedName name="PneumaticRoller_E">'[56]Equipment Rates'!$D$31</definedName>
    <definedName name="pneumatictr">'[51]district rate equp'!$D$10</definedName>
    <definedName name="point12">#REF!</definedName>
    <definedName name="port" hidden="1">[37]DRates!$I$13</definedName>
    <definedName name="prim" hidden="1">[37]DRates!$K$23</definedName>
    <definedName name="primer" localSheetId="0">'[53]mat. rate'!$H$55</definedName>
    <definedName name="primer">[80]Rates!$G$38</definedName>
    <definedName name="_xlnm.Print_Area">'[34]Estimate Summary'!#REF!</definedName>
    <definedName name="Print_Area_MI" localSheetId="0">#REF!</definedName>
    <definedName name="Print_Area_MI">#REF!</definedName>
    <definedName name="_xlnm.Print_Titles">[101]RATE_ANL!$A$11:$IV$11</definedName>
    <definedName name="Print_Titles_MI" localSheetId="0">'[1]od-id'!$A$2:$IV$2,'[1]od-id'!#REF!</definedName>
    <definedName name="Print_Titles_MI">'[1]od-id'!$A$2:$IV$2,'[1]od-id'!#REF!</definedName>
    <definedName name="prm" localSheetId="0">[16]Sheet1!$D$52</definedName>
    <definedName name="prm">#REF!</definedName>
    <definedName name="Problem1" localSheetId="0">#REF!</definedName>
    <definedName name="Problem1">#REF!</definedName>
    <definedName name="Problem2" localSheetId="0">#REF!</definedName>
    <definedName name="Problem2">#REF!</definedName>
    <definedName name="Problem3" localSheetId="0">#REF!</definedName>
    <definedName name="Problem3">#REF!</definedName>
    <definedName name="proller">'[43]Basic Rate'!#REF!</definedName>
    <definedName name="PrPop1" hidden="1">'[21]Dmand 1'!$D$39</definedName>
    <definedName name="PrPop2" hidden="1">'[21]Dmand 2'!$D$60</definedName>
    <definedName name="PrPop3" hidden="1">'[102]Dmand 3'!$D$19</definedName>
    <definedName name="PrPop4" hidden="1">'[102]Dmand 4'!$D$20</definedName>
    <definedName name="PrPop5" hidden="1">'[102]Dmand 5'!$D$25</definedName>
    <definedName name="PrPop6" hidden="1">'[102]Dmand 6'!$D$17</definedName>
    <definedName name="PrPop7" hidden="1">'[102]Dmand 7'!$D$37</definedName>
    <definedName name="psgf">#REF!</definedName>
    <definedName name="pt">[17]Sheet1!$D$17</definedName>
    <definedName name="ptroller" localSheetId="0">[31]rate!$M$39</definedName>
    <definedName name="ptroller">[52]Rate!#REF!</definedName>
    <definedName name="pump">#REF!</definedName>
    <definedName name="pump10cm">'[43]Basic Rate'!#REF!</definedName>
    <definedName name="pump10cmdia" localSheetId="0">[31]rate!$M$27</definedName>
    <definedName name="pump10cmdia">[52]Rate!#REF!</definedName>
    <definedName name="PVCPIPE_110_M_M">[50]Transport_Cost_F!$D$21</definedName>
    <definedName name="PVCPIPE_160_M_M">[56]Transport_Cost_F!$D$23</definedName>
    <definedName name="pwpoint">#REF!</definedName>
    <definedName name="pwsd75">#REF!</definedName>
    <definedName name="pwsdw35">#REF!</definedName>
    <definedName name="Q_AppTrack">[79]F_AppTrack!$B$26:$G$32</definedName>
    <definedName name="Q_AVC">'[79]F_Box Sum'!$A$109:$P$116</definedName>
    <definedName name="Q_Drain">[79]F_Drain!$B$12:$L$88</definedName>
    <definedName name="Q_GHouse_civil">'[79]F_Guard House'!$B$7:$L$244</definedName>
    <definedName name="Q_GHouse_ele">'[79]F_Guard House'!$B$266:$L$279</definedName>
    <definedName name="Q_GHouse_Fur">'[79]F_Guard House'!$B$282:$L$286</definedName>
    <definedName name="Q_GHouse_ST">'[79]F_Guard House'!$B$344:$L$362</definedName>
    <definedName name="Q_Grit">'[79]F_Grit Chamber'!$B$47:$L$79</definedName>
    <definedName name="Q_HMB">[79]F_Treatment!$B$88:$L$135</definedName>
    <definedName name="Q_HRF">[79]F_Treatment!$B$202:$L$237</definedName>
    <definedName name="Q_Intake">[79]F_Intake!$B$4:$L$75</definedName>
    <definedName name="Q_JVC">'[79]F_Box Sum'!$A$90:$P$97</definedName>
    <definedName name="Q_MajCross">'[79]Major Cross'!$B$136:$L$144</definedName>
    <definedName name="Q_pipe_WUC">[79]Earhwork_pipe_WUC!$B$20:$S$58</definedName>
    <definedName name="Q_PublicToilet">'[79]F_Public Toilet'!$B$332:$L$373</definedName>
    <definedName name="Q_RC_TRAN_SM">[79]SCross!$B$4:$G$10</definedName>
    <definedName name="Q_reservoir_VC">[79]sum_F_RVT_ALL!$A$36:$O$43</definedName>
    <definedName name="Q_SD_BOU">[79]F_Treatment!$B$242:$L$268</definedName>
    <definedName name="Q_ST">[79]F_Treatment!$B$139:$L$197</definedName>
    <definedName name="Q_thrust_block_total">[79]Misc!$B$59:$U$63</definedName>
    <definedName name="Q_treatment">[79]BOQ!$A$11:$BD$400</definedName>
    <definedName name="Q_WVC">'[79]F_Box Sum'!$A$100:$P$107</definedName>
    <definedName name="Qlosses">[41]Hydrology!$G$11</definedName>
    <definedName name="QNTT">SUMIF([103]Fittings!#REF!,"&gt;0",[103]Fittings!#REF!)</definedName>
    <definedName name="Qturbine">[41]Hydrology!$G$10</definedName>
    <definedName name="qwe">[29]Rates!$D$4</definedName>
    <definedName name="R_">#N/A</definedName>
    <definedName name="r_sani">#REF!</definedName>
    <definedName name="ra">#REF!</definedName>
    <definedName name="rainpt">#REF!</definedName>
    <definedName name="rate" localSheetId="0">#REF!</definedName>
    <definedName name="RATE">[104]SumRate!$A$8:$J$740</definedName>
    <definedName name="rates" localSheetId="0">[17]Rates!$A$1:$I$198</definedName>
    <definedName name="rates">[68]rates!$A$1:$I$198</definedName>
    <definedName name="RBD">'[8]Data-Table'!$D$25</definedName>
    <definedName name="RBW">'[8]Data-Table'!$D$24</definedName>
    <definedName name="RCCPIPE_1200_m_M">[56]Transport_Cost_F!$D$29</definedName>
    <definedName name="RCCPIPE_300_M_M">[56]Transport_Cost_F!$D$25</definedName>
    <definedName name="RCCPIPe_600_M_M">[56]Transport_Cost_F!$D$26</definedName>
    <definedName name="RCCPIPe_750_m_M">[47]Transport_Cost_F!$D$26</definedName>
    <definedName name="RCCPIpe_900_m_M">[56]Transport_Cost_F!$D$28</definedName>
    <definedName name="Rcol" hidden="1">[10]RtAn!$B$1</definedName>
    <definedName name="rd_names" localSheetId="0">[17]INPUT!$A$5:$B$34</definedName>
    <definedName name="rd_names">[68]INPUT!$A$5:$B$34</definedName>
    <definedName name="rDBSD1" hidden="1">[21]PipeDesign!$A$23:$AA$64</definedName>
    <definedName name="rDBSD2" hidden="1">[21]PipeDesign!$A$70:$AA$160</definedName>
    <definedName name="rDBSD3" hidden="1">[21]PipeDesign!$A$170:$AA$268</definedName>
    <definedName name="rDBSD4" hidden="1">[19]PipeDesign!$A$371:$AA$377</definedName>
    <definedName name="rDBSD5" hidden="1">[102]PipeDesign!$A$141:$AA$157</definedName>
    <definedName name="rDBSD6" hidden="1">[102]PipeDesign!$A$167:$AA$175</definedName>
    <definedName name="rDBSD7" hidden="1">[102]PipeDesign!$A$189:$AA$224</definedName>
    <definedName name="rDBSD8" hidden="1">[102]PipeDesign!$A$230:$AA$237</definedName>
    <definedName name="rDBST1" hidden="1">[21]PipeDesign!$A$10:$AA$22</definedName>
    <definedName name="rDBST2" hidden="1">[21]PipeDesign!$A$66:$AA$69</definedName>
    <definedName name="rDBST3" hidden="1">[21]PipeDesign!$A$162:$AA$169</definedName>
    <definedName name="rDBST4" hidden="1">[19]PipeDesign!$A$364:$AA$370</definedName>
    <definedName name="rDBST5" hidden="1">[102]PipeDesign!$A$131:$AA$140</definedName>
    <definedName name="rDBST6" hidden="1">[102]PipeDesign!$A$159:$AA$166</definedName>
    <definedName name="rDBST7" hidden="1">[102]PipeDesign!$A$177:$AA$188</definedName>
    <definedName name="rDBST8" hidden="1">[102]PipeDesign!$A$226:$AA$229</definedName>
    <definedName name="rDCDL1" hidden="1">[21]PipeDesign!$W$24:$W$64</definedName>
    <definedName name="rDCDL2" hidden="1">'[38]DesignPumping Main'!#REF!</definedName>
    <definedName name="rDCTL1" hidden="1">[21]PipeDesign!$W$11:$W$22</definedName>
    <definedName name="rDCTL2" hidden="1">'[38]DesignPumping Main'!#REF!</definedName>
    <definedName name="rDDL1" hidden="1">[21]PipeDesign!$M$24:$M$64</definedName>
    <definedName name="rDDL2" hidden="1">[21]PipeDesign!$M$71:$M$160</definedName>
    <definedName name="rDDL3" hidden="1">[21]PipeDesign!$M$171:$M$268</definedName>
    <definedName name="rDDL4" hidden="1">[19]PipeDesign!$W$372:$W$377</definedName>
    <definedName name="rDDL5" hidden="1">[102]PipeDesign!$W$142:$W$157</definedName>
    <definedName name="rDDL6" hidden="1">[102]PipeDesign!$W$168:$W$175</definedName>
    <definedName name="rDDL7" hidden="1">[102]PipeDesign!$W$190:$W$224</definedName>
    <definedName name="rDDL8" hidden="1">[102]PipeDesign!$W$231:$W$237</definedName>
    <definedName name="rDistr" hidden="1">'[77]CONTROL PANEL'!$C$287:$C$361</definedName>
    <definedName name="rDistricts" hidden="1">[21]Criteria!$C$23:$C$98</definedName>
    <definedName name="rDJnt1" hidden="1">[21]PipeLineWork!$C$37:$C$76</definedName>
    <definedName name="rDJnt10" hidden="1">[25]PipeLineWork!$C$631:$C$666</definedName>
    <definedName name="rDJnt11" hidden="1">[25]PipeLineWork!$C$697:$C$732</definedName>
    <definedName name="rDJnt12" hidden="1">[25]PipeLineWork!$C$763:$C$798</definedName>
    <definedName name="rDJnt13" hidden="1">[25]PipeLineWork!$C$829:$C$864</definedName>
    <definedName name="rDJnt14" hidden="1">[25]PipeLineWork!$C$895:$C$930</definedName>
    <definedName name="rDJnt15" hidden="1">[25]PipeLineWork!$C$961:$C$996</definedName>
    <definedName name="rDJnt16" hidden="1">[25]PipeLineWork!$C$1027:$C$1062</definedName>
    <definedName name="rDJnt17" hidden="1">[25]PipeLineWork!$C$1093:$C$1128</definedName>
    <definedName name="rDJnt18" hidden="1">[25]PipeLineWork!$C$1159:$C$1194</definedName>
    <definedName name="rDJnt19" hidden="1">[25]PipeLineWork!$C$1225:$C$1260</definedName>
    <definedName name="rDJnt2" hidden="1">[21]PipeLineWork!$C$107:$C$142</definedName>
    <definedName name="rDJnt20" hidden="1">[25]PipeLineWork!$C$1291:$C$1326</definedName>
    <definedName name="rDJnt21" hidden="1">[25]PipeLineWork!$C$1357:$C$1392</definedName>
    <definedName name="rDJnt22" hidden="1">[25]PipeLineWork!$C$1423:$C$1458</definedName>
    <definedName name="rDJnt23" hidden="1">[25]PipeLineWork!$C$1489:$C$1524</definedName>
    <definedName name="rDJnt24" hidden="1">[25]PipeLineWork!$C$1555:$C$1590</definedName>
    <definedName name="rDJnt25" hidden="1">[25]PipeLineWork!$C$1621:$C$1656</definedName>
    <definedName name="rDJnt26" hidden="1">[25]PipeLineWork!$C$1687:$C$1722</definedName>
    <definedName name="rDJnt27" hidden="1">[25]PipeLineWork!$C$1753:$C$1788</definedName>
    <definedName name="rDJnt3" hidden="1">[21]PipeLineWork!$C$177:$C$212</definedName>
    <definedName name="rDJnt4" hidden="1">[25]PipeLineWork!$C$235:$C$270</definedName>
    <definedName name="rDJnt5" hidden="1">[25]PipeLineWork!$C$301:$C$336</definedName>
    <definedName name="rDJnt6" hidden="1">[25]PipeLineWork!$C$367:$C$402</definedName>
    <definedName name="rDJnt7" hidden="1">[25]PipeLineWork!$C$433:$C$468</definedName>
    <definedName name="rDJnt8" hidden="1">[25]PipeLineWork!$C$499:$C$534</definedName>
    <definedName name="rDJnt9" hidden="1">[25]PipeLineWork!$C$565:$C$600</definedName>
    <definedName name="rDTL1" hidden="1">[21]PipeDesign!$M$11:$M$22</definedName>
    <definedName name="rDTL2" hidden="1">[21]PipeDesign!$M$67:$M$69</definedName>
    <definedName name="rDTL3" hidden="1">[21]PipeDesign!$M$163:$M$169</definedName>
    <definedName name="rDTL4" hidden="1">[19]PipeDesign!$W$365:$W$370</definedName>
    <definedName name="rDTL5" hidden="1">[102]PipeDesign!$W$132:$W$140</definedName>
    <definedName name="rDTL6" hidden="1">[102]PipeDesign!$W$160:$W$166</definedName>
    <definedName name="rDTL7" hidden="1">[102]PipeDesign!$W$178:$W$188</definedName>
    <definedName name="rDTL8" hidden="1">[102]PipeDesign!$W$227:$W$229</definedName>
    <definedName name="Re" localSheetId="0" hidden="1">[21]PipeDesign!$R1*[21]PipeDesign!$O1*1000/mue</definedName>
    <definedName name="Re" hidden="1">[21]PipeDesign!$R1*[21]PipeDesign!$O1*1000/mue</definedName>
    <definedName name="re_bar" localSheetId="0">'[46]Material cost'!$J$78</definedName>
    <definedName name="re_bar">'[49]Rate analysis'!#REF!</definedName>
    <definedName name="Re10_25">[17]DR!$D$36</definedName>
    <definedName name="Re28_32">[17]DR!$D$37</definedName>
    <definedName name="rebar">#REF!</definedName>
    <definedName name="rebar22mm">'[43]Basic Rate'!$N$19</definedName>
    <definedName name="rebar32mm">'[43]Basic Rate'!#REF!</definedName>
    <definedName name="Recommandation">#REF!</definedName>
    <definedName name="_xlnm.Recorder">#REF!</definedName>
    <definedName name="Red">[17]DR!$D$30</definedName>
    <definedName name="RED_OXIDE_PAINT">#N/A</definedName>
    <definedName name="RefPD" hidden="1">#REF!</definedName>
    <definedName name="RefPL">#REF!</definedName>
    <definedName name="REGION">[41]Hydrology!$G$8</definedName>
    <definedName name="reinf">#REF!</definedName>
    <definedName name="reinforcement">'[51]dist rate material'!$D$21</definedName>
    <definedName name="Reinforcement_MT_M">[56]Transport_Cost_F!$D$12</definedName>
    <definedName name="rEqn" hidden="1">#REF!</definedName>
    <definedName name="requisition_water">#REF!</definedName>
    <definedName name="rEqvSize" hidden="1">[25]PFdata!$A$5:$E$34</definedName>
    <definedName name="reservoir_tank_bound">[79]sum_F_RVT_ALL!$A$5:$U$32</definedName>
    <definedName name="Result">#REF!</definedName>
    <definedName name="rfbcbp">#REF!</definedName>
    <definedName name="rFRT12">[20]FRT!#REF!</definedName>
    <definedName name="rFRT16" hidden="1">#REF!</definedName>
    <definedName name="rFRT2">#REF!</definedName>
    <definedName name="rFRT20" hidden="1">#REF!</definedName>
    <definedName name="rFRT5">[20]FRT!#REF!</definedName>
    <definedName name="rFRT9" hidden="1">#REF!</definedName>
    <definedName name="rFRTpipes" hidden="1">[25]PFdata!$H$4:$V$7</definedName>
    <definedName name="rFSTpipes" hidden="1">[25]PFdata!$H$24:$J$26</definedName>
    <definedName name="rft">#REF!</definedName>
    <definedName name="RHmin" hidden="1">[25]DesignCriteria!$H$3</definedName>
    <definedName name="RIDGE">#N/A</definedName>
    <definedName name="river_shingle_10">'[46]Material cost'!#REF!</definedName>
    <definedName name="river_shingle_20">'[46]Material cost'!#REF!</definedName>
    <definedName name="River_shingle_40">'[46]Material cost'!#REF!</definedName>
    <definedName name="riverbedmaterial">'[43]Basic Rate'!#REF!</definedName>
    <definedName name="RL_Data">#REF!</definedName>
    <definedName name="rLDL1" hidden="1">[21]PipeDesign!$D$24:$D$64</definedName>
    <definedName name="rLDL2" hidden="1">[21]PipeDesign!$D$71:$D$160</definedName>
    <definedName name="rLDL3" hidden="1">[21]PipeDesign!$D$171:$D$268</definedName>
    <definedName name="rLDL4" hidden="1">[19]PipeDesign!$D$372:$D$377</definedName>
    <definedName name="rLDL5" hidden="1">[102]PipeDesign!$D$142:$D$157</definedName>
    <definedName name="rLDL6" hidden="1">[102]PipeDesign!$D$168:$D$175</definedName>
    <definedName name="rLDL7" hidden="1">[102]PipeDesign!$D$190:$D$224</definedName>
    <definedName name="rLDL8" hidden="1">[102]PipeDesign!$D$231:$D$237</definedName>
    <definedName name="rLTL1" hidden="1">[21]PipeDesign!$D$11:$D$22</definedName>
    <definedName name="rLTL2" hidden="1">[21]PipeDesign!$D$67:$D$69</definedName>
    <definedName name="rLTL3" hidden="1">[21]PipeDesign!$D$163:$D$169</definedName>
    <definedName name="rLTL4" hidden="1">[19]PipeDesign!$D$365:$D$370</definedName>
    <definedName name="rLTL5" hidden="1">[102]PipeDesign!$D$132:$D$140</definedName>
    <definedName name="rLTL6" hidden="1">[102]PipeDesign!$D$160:$D$166</definedName>
    <definedName name="rLTL7" hidden="1">[102]PipeDesign!$D$178:$D$188</definedName>
    <definedName name="rLTL8" hidden="1">[102]PipeDesign!$D$227:$D$229</definedName>
    <definedName name="rNodRLB1" hidden="1">[21]PipeDesign!$B$11:$AA$64</definedName>
    <definedName name="rNodRLB2" hidden="1">'[38]DesignPumping Main'!#REF!</definedName>
    <definedName name="rNodRLB3" hidden="1">'[38]DesignPumping Main'!#REF!</definedName>
    <definedName name="rNodRLB4" hidden="1">'[38]DesignPumping Main'!#REF!</definedName>
    <definedName name="rNodRLC1" hidden="1">[21]PipeDesign!$C$11:$AA$64</definedName>
    <definedName name="rNodRLC2" hidden="1">[21]PipeDesign!$C$67:$AA$160</definedName>
    <definedName name="rNodRLC3" hidden="1">[21]PipeDesign!$C$163:$AA$268</definedName>
    <definedName name="rNodRLC4" hidden="1">[21]PipeDesign!$C$271:$AA$279</definedName>
    <definedName name="rNodRLC5">[102]PipeDesign!$C$132:$AA$157</definedName>
    <definedName name="rNodRLC6">[102]PipeDesign!$C$160:$AA$175</definedName>
    <definedName name="rNodRLC7">[102]PipeDesign!$C$178:$AA$224</definedName>
    <definedName name="rNodRLC8">[102]PipeDesign!$C$227:$AA$237</definedName>
    <definedName name="rNodRLX1" hidden="1">#REF!</definedName>
    <definedName name="rNodRLX2" hidden="1">'[38]DesignPumping Main'!#REF!</definedName>
    <definedName name="rNodRLX3" hidden="1">'[38]DesignPumping Main'!#REF!</definedName>
    <definedName name="rNodRLX4" hidden="1">'[38]DesignPumping Main'!#REF!</definedName>
    <definedName name="rNodSL" hidden="1">#REF!</definedName>
    <definedName name="road_marking_paint">[60]Rates!#REF!</definedName>
    <definedName name="roadlw" localSheetId="0">[31]rate!#REF!</definedName>
    <definedName name="roadlw">[52]Rate!#REF!</definedName>
    <definedName name="Roadmarking_paint">#REF!</definedName>
    <definedName name="roadpaint" localSheetId="0">[31]rate!$D$71</definedName>
    <definedName name="roadpaint">'[51]dist rate material'!$D$34</definedName>
    <definedName name="roadpaint1">'[17] 24 kaski D.Rate'!$G$40</definedName>
    <definedName name="roadsupervisor" localSheetId="0">'[43]Basic Rate'!#REF!</definedName>
    <definedName name="roadsupervisor">[52]Rate!#REF!</definedName>
    <definedName name="RockDrillPnematic_E">'[47]Equipment Rates'!$D$31</definedName>
    <definedName name="roller" localSheetId="0">[31]rate!$M$30</definedName>
    <definedName name="roller">'[51]district rate equp'!$D$8</definedName>
    <definedName name="Roller_E">'[56]Equipment Rates'!$D$12</definedName>
    <definedName name="roller_p">#REF!</definedName>
    <definedName name="roller_v">#REF!</definedName>
    <definedName name="roller1">'[17] 24 kaski D.Rate'!$G$66</definedName>
    <definedName name="Roller1t">#REF!</definedName>
    <definedName name="roller3" localSheetId="0">[59]Rates!$D$84</definedName>
    <definedName name="roller3">[60]Rates!$D$71</definedName>
    <definedName name="Roller8">#REF!</definedName>
    <definedName name="roller8_10t" localSheetId="0">'[43]Basic Rate'!#REF!</definedName>
    <definedName name="roller8_10t">[52]Rate!#REF!</definedName>
    <definedName name="rope">#REF!</definedName>
    <definedName name="roundagginter" localSheetId="0">'[43]Basic Rate'!#REF!</definedName>
    <definedName name="roundagginter">[52]Rate!#REF!</definedName>
    <definedName name="roundagglarge" localSheetId="0">'[43]Basic Rate'!#REF!</definedName>
    <definedName name="roundagglarge">[52]Rate!#REF!</definedName>
    <definedName name="roundaggsmall">'[43]Basic Rate'!#REF!</definedName>
    <definedName name="rOUTPUT" hidden="1">#REF!</definedName>
    <definedName name="rPcost">#REF!</definedName>
    <definedName name="rPFdata" hidden="1">[21]PipeList!$A$9:$D$126</definedName>
    <definedName name="rPrjList1" hidden="1">[66]Data!#REF!</definedName>
    <definedName name="rQA" hidden="1">[21]Summary!$E$7:$L$7</definedName>
    <definedName name="rRA" hidden="1">[10]RtAn!$A$8:$O$448</definedName>
    <definedName name="rRatesDes" hidden="1">#REF!</definedName>
    <definedName name="rRatesEst">[26]CostSummary!$C$7:$C$79</definedName>
    <definedName name="rRCRTpipes" hidden="1">[25]PFdata!$H$11:$T$14</definedName>
    <definedName name="rRCT10" hidden="1">#REF!</definedName>
    <definedName name="rRCT200" hidden="1">#REF!</definedName>
    <definedName name="rRCT25">[26]RCT!$A$6:$L$99</definedName>
    <definedName name="rRtAn" hidden="1">[37]RtAn!$A$8:$O$250</definedName>
    <definedName name="rs">#REF!</definedName>
    <definedName name="RS_1" localSheetId="0">#REF!</definedName>
    <definedName name="RS_1">#REF!</definedName>
    <definedName name="RS_10" localSheetId="0">#REF!</definedName>
    <definedName name="RS_10">#REF!</definedName>
    <definedName name="RS_11" localSheetId="0">#REF!</definedName>
    <definedName name="RS_11">#REF!</definedName>
    <definedName name="RS_12" localSheetId="0">#REF!</definedName>
    <definedName name="RS_12">#REF!</definedName>
    <definedName name="RS_13" localSheetId="0">#REF!</definedName>
    <definedName name="RS_13">#REF!</definedName>
    <definedName name="RS_14" localSheetId="0">#REF!</definedName>
    <definedName name="RS_14">#REF!</definedName>
    <definedName name="RS_15" localSheetId="0">#REF!</definedName>
    <definedName name="RS_15">#REF!</definedName>
    <definedName name="RS_2" localSheetId="0">#REF!</definedName>
    <definedName name="RS_2">#REF!</definedName>
    <definedName name="RS_3" localSheetId="0">#REF!</definedName>
    <definedName name="RS_3">#REF!</definedName>
    <definedName name="RS_4" localSheetId="0">#REF!</definedName>
    <definedName name="RS_4">#REF!</definedName>
    <definedName name="RS_5" localSheetId="0">#REF!</definedName>
    <definedName name="RS_5">#REF!</definedName>
    <definedName name="RS_6" localSheetId="0">#REF!</definedName>
    <definedName name="RS_6">#REF!</definedName>
    <definedName name="RS_7" localSheetId="0">#REF!</definedName>
    <definedName name="RS_7">#REF!</definedName>
    <definedName name="RS_8" localSheetId="0">#REF!</definedName>
    <definedName name="RS_8">#REF!</definedName>
    <definedName name="RS_9" localSheetId="0">#REF!</definedName>
    <definedName name="RS_9">#REF!</definedName>
    <definedName name="rSamt" hidden="1">[38]Summary!#REF!</definedName>
    <definedName name="rSchLen1" hidden="1">[21]PipeDesign!$D$11:$D$64</definedName>
    <definedName name="rSchLen2" hidden="1">[21]PipeDesign!$D$67:$D$160</definedName>
    <definedName name="rSchLen3" hidden="1">[21]PipeDesign!$D$163:$D$268</definedName>
    <definedName name="rSchLen4" hidden="1">[21]PipeDesign!$D$271:$D$279</definedName>
    <definedName name="rSchTmp" hidden="1">'[25]PD-TMPLT'!$A$2:$AA$16</definedName>
    <definedName name="rSec1" hidden="1">#N/A</definedName>
    <definedName name="rSec2" hidden="1">'[38]DesignPumping Main'!#REF!</definedName>
    <definedName name="rSec3" hidden="1">'[38]DesignPumping Main'!#REF!</definedName>
    <definedName name="rSec4" hidden="1">'[38]DesignPumping Main'!#REF!</definedName>
    <definedName name="Rsoil">[17]DR!$D$18</definedName>
    <definedName name="rStat1" hidden="1">#REF!</definedName>
    <definedName name="rt_total">#REF!</definedName>
    <definedName name="rt_total_1">#REF!</definedName>
    <definedName name="rt_total_10">#REF!</definedName>
    <definedName name="rt_total_2">#REF!</definedName>
    <definedName name="rt_total_3">#REF!</definedName>
    <definedName name="rt_total_4">#REF!</definedName>
    <definedName name="rt_total_5">#REF!</definedName>
    <definedName name="rt_total_6">#REF!</definedName>
    <definedName name="rt_total_7">#REF!</definedName>
    <definedName name="rt_total_8">#REF!</definedName>
    <definedName name="rt_total_9">#REF!</definedName>
    <definedName name="RTfero" hidden="1">[25]FitData!$BK$11</definedName>
    <definedName name="rTG" hidden="1">#REF!</definedName>
    <definedName name="rTLen">#REF!</definedName>
    <definedName name="rTools" hidden="1">'[37]T &amp; P'!$D$8:$H$21</definedName>
    <definedName name="rTotalTP" hidden="1">#REF!</definedName>
    <definedName name="rTP" hidden="1">#REF!</definedName>
    <definedName name="RTrcc" hidden="1">[25]FitData!$BS$11</definedName>
    <definedName name="RTrrm" hidden="1">[25]FitData!$BO$11</definedName>
    <definedName name="rtsp">#REF!</definedName>
    <definedName name="rTT" hidden="1">#REF!</definedName>
    <definedName name="rubble">[31]rate!$H$31</definedName>
    <definedName name="RVT" hidden="1">#REF!</definedName>
    <definedName name="rwh_rate">#REF!</definedName>
    <definedName name="s" localSheetId="0">[105]Rates!$D$3</definedName>
    <definedName name="s">'[1]Water Demand'!#REF!</definedName>
    <definedName name="s_dust">#REF!</definedName>
    <definedName name="s_fea" localSheetId="0">#REF!</definedName>
    <definedName name="s_fea">#REF!</definedName>
    <definedName name="s_plate">#REF!</definedName>
    <definedName name="s_skill">#REF!</definedName>
    <definedName name="s_wire">#REF!</definedName>
    <definedName name="Sad_110x20" localSheetId="0">#REF!</definedName>
    <definedName name="Sad_110x20">#REF!</definedName>
    <definedName name="Sad_125x20" localSheetId="0">#REF!</definedName>
    <definedName name="Sad_125x20">#REF!</definedName>
    <definedName name="Sad_140x20" localSheetId="0">#REF!</definedName>
    <definedName name="Sad_140x20">#REF!</definedName>
    <definedName name="Sad_160x20" localSheetId="0">#REF!</definedName>
    <definedName name="Sad_160x20">#REF!</definedName>
    <definedName name="Sad_180x20" localSheetId="0">#REF!</definedName>
    <definedName name="Sad_180x20">#REF!</definedName>
    <definedName name="Sad_200x20" localSheetId="0">#REF!</definedName>
    <definedName name="Sad_200x20">#REF!</definedName>
    <definedName name="Sad_225x20" localSheetId="0">#REF!</definedName>
    <definedName name="Sad_225x20">#REF!</definedName>
    <definedName name="Sad_250x20" localSheetId="0">#REF!</definedName>
    <definedName name="Sad_250x20">#REF!</definedName>
    <definedName name="Sad_355x20" localSheetId="0">#REF!</definedName>
    <definedName name="Sad_355x20">#REF!</definedName>
    <definedName name="Sad_40x20" localSheetId="0">#REF!</definedName>
    <definedName name="Sad_40x20">#REF!</definedName>
    <definedName name="Sad_50x20" localSheetId="0">#REF!</definedName>
    <definedName name="Sad_50x20">#REF!</definedName>
    <definedName name="Sad_63x20" localSheetId="0">#REF!</definedName>
    <definedName name="Sad_63x20">#REF!</definedName>
    <definedName name="Sad_75x20" localSheetId="0">#REF!</definedName>
    <definedName name="Sad_75x20">#REF!</definedName>
    <definedName name="Sad_90x20" localSheetId="0">#REF!</definedName>
    <definedName name="Sad_90x20">#REF!</definedName>
    <definedName name="sal" hidden="1">[37]DRates!$K$43</definedName>
    <definedName name="saleves">#REF!</definedName>
    <definedName name="SALVAGE_WIRE">#N/A</definedName>
    <definedName name="Salwood" hidden="1">[10]MatCol!$U$28</definedName>
    <definedName name="sand" localSheetId="0">'[43]Basic Rate'!$N$13</definedName>
    <definedName name="sand" hidden="1">[37]MatCol!$K$73</definedName>
    <definedName name="Sand_Cum_M">[50]Transport_Cost_F!$D$39</definedName>
    <definedName name="sand1">'[17] 24 kaski D.Rate'!$G$24</definedName>
    <definedName name="sand2">'[17] 24 kaski D.Rate'!$G$33</definedName>
    <definedName name="sani_data_hill">#REF!</definedName>
    <definedName name="sani_data_terai">#REF!</definedName>
    <definedName name="sani_rate">#REF!</definedName>
    <definedName name="sas">'[92]Pipe Cost'!#REF!</definedName>
    <definedName name="sass">[90]Ta403!$J$8</definedName>
    <definedName name="sb" localSheetId="0">#REF!</definedName>
    <definedName name="sb">#REF!</definedName>
    <definedName name="sbss">#REF!</definedName>
    <definedName name="SbSys0101" hidden="1">#REF!</definedName>
    <definedName name="SC">'[8]Data-Table'!$D$11</definedName>
    <definedName name="SC_10" localSheetId="0">#REF!</definedName>
    <definedName name="SC_10">#REF!</definedName>
    <definedName name="sc_4">#REF!</definedName>
    <definedName name="Sch_1" hidden="1">#REF!</definedName>
    <definedName name="Sch_2" hidden="1">#REF!</definedName>
    <definedName name="Sch_3" hidden="1">#REF!</definedName>
    <definedName name="Sch_Data" localSheetId="0">#REF!</definedName>
    <definedName name="Sch_Data">#REF!</definedName>
    <definedName name="SchLen1" hidden="1">[2]PipeDesign!$D$9</definedName>
    <definedName name="SchLen2" hidden="1">'[38]DesignPumping Main'!#REF!</definedName>
    <definedName name="SchLen3" hidden="1">'[38]DesignPumping Main'!#REF!</definedName>
    <definedName name="SchLen4" hidden="1">'[38]DesignPumping Main'!#REF!</definedName>
    <definedName name="SchNames" hidden="1">[21]CheckList!$B$17:$H$21</definedName>
    <definedName name="SchNmDm" localSheetId="0" hidden="1">VLOOKUP('[21]Dmand 1'!$C$10,SchNames,2,FALSE)</definedName>
    <definedName name="SchNmDm" hidden="1">VLOOKUP('[21]Dmand 1'!$C$10,SchNames,2,FALSE)</definedName>
    <definedName name="SchNmPD" localSheetId="0" hidden="1">VLOOKUP([21]PipeDesign!$H1,SchNames,2,FALSE)</definedName>
    <definedName name="SchNmPD" hidden="1">VLOOKUP([21]PipeDesign!$H1,SchNames,2,FALSE)</definedName>
    <definedName name="SchNmPL" localSheetId="0" hidden="1">VLOOKUP([21]PipeLineWork!#REF!,SchNames,2,FALSE)</definedName>
    <definedName name="SchNmPL" hidden="1">VLOOKUP([21]PipeLineWork!#REF!,SchNames,2,FALSE)</definedName>
    <definedName name="SchNoDm" hidden="1">#REF!</definedName>
    <definedName name="SchTP" hidden="1">#REF!</definedName>
    <definedName name="ScNo" hidden="1">[21]CheckList!#REF!+1</definedName>
    <definedName name="scr">#REF!</definedName>
    <definedName name="ScreeningPlant_E">'[56]Equipment Rates'!$D$28</definedName>
    <definedName name="SCREW_1.5__">#N/A</definedName>
    <definedName name="SCREW_1__">#N/A</definedName>
    <definedName name="SCREW_2__">#N/A</definedName>
    <definedName name="screw_j">#REF!</definedName>
    <definedName name="screwjack" localSheetId="0">[31]rate!$M$44</definedName>
    <definedName name="screwjack">[52]Rate!#REF!</definedName>
    <definedName name="ScrewJack_E">'[50]Equipment Rates'!$D$16</definedName>
    <definedName name="ScS">'[94]District Rate'!$C$17</definedName>
    <definedName name="scs_sani">#REF!</definedName>
    <definedName name="sd" localSheetId="0">[16]Sheet1!$D$17</definedName>
    <definedName name="sd">#REF!</definedName>
    <definedName name="sdfsdf">#REF!</definedName>
    <definedName name="SDW_15" localSheetId="0">#REF!</definedName>
    <definedName name="SDW_15">#REF!</definedName>
    <definedName name="SDW_20" localSheetId="0">#REF!</definedName>
    <definedName name="SDW_20">#REF!</definedName>
    <definedName name="SDW_25" localSheetId="0">#REF!</definedName>
    <definedName name="SDW_25">#REF!</definedName>
    <definedName name="sed">[106]Rates!$D$95</definedName>
    <definedName name="seed">[45]Rates!$G$51</definedName>
    <definedName name="Seedling_M">[56]Transport_Cost_F!$D$65</definedName>
    <definedName name="Selvedgewire_Kg_M">[50]Transport_Cost_F!$D$15</definedName>
    <definedName name="semi" hidden="1">[37]DRates!$I$16</definedName>
    <definedName name="Semi_skilled">'[93]Electrical Rate Analysis'!$M$7</definedName>
    <definedName name="sencount" hidden="1">1</definedName>
    <definedName name="SeS" localSheetId="0">#REF!</definedName>
    <definedName name="SeS">#REF!</definedName>
    <definedName name="sfg">#REF!</definedName>
    <definedName name="sgoswt">#REF!</definedName>
    <definedName name="sh" localSheetId="0">#REF!</definedName>
    <definedName name="sh">#REF!</definedName>
    <definedName name="shandle" localSheetId="0">'[15]update Rate'!$E$89</definedName>
    <definedName name="shandle">'[13]update Rate'!$E$89</definedName>
    <definedName name="shishou">'[46]Material cost'!$J$84</definedName>
    <definedName name="sidling_M">[47]Transport_Cost_F!#REF!</definedName>
    <definedName name="site">#REF!</definedName>
    <definedName name="SizFRT" hidden="1">[10]Sheets!$L$62:$O$76</definedName>
    <definedName name="SizMRT" hidden="1">[10]Sheets!$K$21:$AD$37</definedName>
    <definedName name="SizRCC" hidden="1">[10]Sheets!$G$73:$H$74</definedName>
    <definedName name="SizRCT" hidden="1">[10]Sheets!$J$9:$O$19</definedName>
    <definedName name="sk">[17]DR!$D$15</definedName>
    <definedName name="skil" hidden="1">[37]DRates!$I$17</definedName>
    <definedName name="skill" localSheetId="0">'[17] 24 kaski D.Rate'!$G$14</definedName>
    <definedName name="skill">#REF!</definedName>
    <definedName name="skilled" localSheetId="0">[31]rate!$M$6</definedName>
    <definedName name="skilled">[75]rate!$M$8</definedName>
    <definedName name="Skilled_L">'[50]Labour Rates_BB'!$E$10</definedName>
    <definedName name="SkilledFab_L">'[56]Labour Rates_BB'!$E$11</definedName>
    <definedName name="sl" localSheetId="0">[16]Sheet1!$D$10</definedName>
    <definedName name="sl">#REF!</definedName>
    <definedName name="sl_sani">#REF!</definedName>
    <definedName name="slar_5">#REF!</definedName>
    <definedName name="slate">#REF!</definedName>
    <definedName name="slurry">#REF!</definedName>
    <definedName name="SLURRY_INJECTOR">#REF!</definedName>
    <definedName name="slyinj">#REF!</definedName>
    <definedName name="smwood">#REF!</definedName>
    <definedName name="Snam1" hidden="1">'[21]PD-TMPLT'!$C$102:$F$103</definedName>
    <definedName name="Snam10" hidden="1">'[21]PD-TMPLT'!$C$129:$F$130</definedName>
    <definedName name="Snam11" hidden="1">'[21]PD-TMPLT'!$C$132:$F$133</definedName>
    <definedName name="Snam12" hidden="1">'[21]PD-TMPLT'!$C$135:$F$136</definedName>
    <definedName name="Snam13" hidden="1">'[21]PD-TMPLT'!$C$138:$F$139</definedName>
    <definedName name="Snam14" hidden="1">'[21]PD-TMPLT'!$C$141:$F$142</definedName>
    <definedName name="Snam15" hidden="1">'[21]PD-TMPLT'!$C$144:$F$145</definedName>
    <definedName name="Snam16" hidden="1">'[21]PD-TMPLT'!$C$147:$F$148</definedName>
    <definedName name="Snam2" hidden="1">'[21]PD-TMPLT'!$C$105:$F$106</definedName>
    <definedName name="Snam3" hidden="1">'[21]PD-TMPLT'!$C$108:$F$109</definedName>
    <definedName name="Snam4" hidden="1">'[21]PD-TMPLT'!$C$111:$F$112</definedName>
    <definedName name="Snam5" hidden="1">'[21]PD-TMPLT'!$C$114:$F$115</definedName>
    <definedName name="Snam6" hidden="1">'[21]PD-TMPLT'!$C$117:$F$118</definedName>
    <definedName name="Snam7" hidden="1">'[21]PD-TMPLT'!$C$120:$F$121</definedName>
    <definedName name="Snam8" hidden="1">'[21]PD-TMPLT'!$C$123:$F$124</definedName>
    <definedName name="Snam9" hidden="1">'[21]PD-TMPLT'!$C$126:$F$127</definedName>
    <definedName name="SNo" hidden="1">#N/A</definedName>
    <definedName name="snow" hidden="1">[37]DRates!$K$21</definedName>
    <definedName name="snowcem" localSheetId="0">#REF!</definedName>
    <definedName name="Snowcem">'[49]Rate analysis'!#REF!</definedName>
    <definedName name="SNOWCEM_PAINT">#N/A</definedName>
    <definedName name="SO_1" localSheetId="0">#REF!</definedName>
    <definedName name="SO_1">#REF!</definedName>
    <definedName name="SO_2" localSheetId="0">#REF!</definedName>
    <definedName name="SO_2">#REF!</definedName>
    <definedName name="SO_3" localSheetId="0">#REF!</definedName>
    <definedName name="SO_3">#REF!</definedName>
    <definedName name="SO_4" localSheetId="0">#REF!</definedName>
    <definedName name="SO_4">#REF!</definedName>
    <definedName name="SO_5" localSheetId="0">#REF!</definedName>
    <definedName name="SO_5">#REF!</definedName>
    <definedName name="SO_6" localSheetId="0">#REF!</definedName>
    <definedName name="SO_6">#REF!</definedName>
    <definedName name="SO_7" localSheetId="0">#REF!</definedName>
    <definedName name="SO_7">#REF!</definedName>
    <definedName name="SO_8" localSheetId="0">#REF!</definedName>
    <definedName name="SO_8">#REF!</definedName>
    <definedName name="soil">#REF!</definedName>
    <definedName name="Soil_cum_M">[56]Transport_Cost_F!$D$35</definedName>
    <definedName name="sort1">#REF!</definedName>
    <definedName name="SP_I">#REF!</definedName>
    <definedName name="SP_I_I">#REF!</definedName>
    <definedName name="Span" localSheetId="0">#REF!</definedName>
    <definedName name="Span">#REF!</definedName>
    <definedName name="span_thickness">'[40]Slab span-thickness table'!$A$3:$B$8</definedName>
    <definedName name="SpBol">#REF!</definedName>
    <definedName name="SPIN_II">#REF!</definedName>
    <definedName name="spipe">'[17] 24 kaski D.Rate'!$G$55</definedName>
    <definedName name="Spirit">#REF!</definedName>
    <definedName name="Splate">'[17] 24 kaski D.Rate'!$G$54</definedName>
    <definedName name="spr" localSheetId="0">[16]Sheet1!$D$51</definedName>
    <definedName name="spr">#REF!</definedName>
    <definedName name="sprayer" localSheetId="0">[31]rate!$M$35</definedName>
    <definedName name="sprayer">'[51]district rate equp'!$D$18</definedName>
    <definedName name="SPRAYER_BOILER">#REF!</definedName>
    <definedName name="sprayerb">#REF!</definedName>
    <definedName name="spreader">#REF!</definedName>
    <definedName name="SprInt1" hidden="1">[25]FitData!$H$11</definedName>
    <definedName name="SprInt2" hidden="1">[25]FitData!$L$11</definedName>
    <definedName name="spwf">#REF!</definedName>
    <definedName name="sqft">#REF!</definedName>
    <definedName name="sr" localSheetId="0">#REF!</definedName>
    <definedName name="sr">[60]Rates!$D$4</definedName>
    <definedName name="SrNo" hidden="1">IF([21]PipeDesign!$X1&lt;&gt;0,MAX([21]PipeDesign!#REF!)+1,0)</definedName>
    <definedName name="Ssch" hidden="1">#REF!</definedName>
    <definedName name="ST">#REF!</definedName>
    <definedName name="st_30_d">#REF!</definedName>
    <definedName name="st_30_s">#REF!</definedName>
    <definedName name="st_32h">#REF!</definedName>
    <definedName name="ST_5" localSheetId="0">#REF!</definedName>
    <definedName name="ST_5">#REF!</definedName>
    <definedName name="ST_6" localSheetId="0">#REF!</definedName>
    <definedName name="ST_6">#REF!</definedName>
    <definedName name="ST_7" localSheetId="0">#REF!</definedName>
    <definedName name="ST_7">#REF!</definedName>
    <definedName name="ST_8" localSheetId="0">#REF!</definedName>
    <definedName name="ST_8">#REF!</definedName>
    <definedName name="ST_9" localSheetId="0">#REF!</definedName>
    <definedName name="ST_9">#REF!</definedName>
    <definedName name="st_cro">#REF!</definedName>
    <definedName name="ST_DUST">#REF!</definedName>
    <definedName name="ST_S">#REF!</definedName>
    <definedName name="Sta_Data">#REF!</definedName>
    <definedName name="stalwm">#REF!</definedName>
    <definedName name="StatRem" hidden="1">[77]Data!$R$49:$U$49</definedName>
    <definedName name="stch">#REF!</definedName>
    <definedName name="stchwa">#REF!</definedName>
    <definedName name="Stdust">#REF!</definedName>
    <definedName name="steel">'[17] 24 kaski D.Rate'!$G$19</definedName>
    <definedName name="steel_tyred_roller">[45]Rates!$D$82</definedName>
    <definedName name="steelpipe" localSheetId="0">[17]rate!$N$41</definedName>
    <definedName name="steelpipe">[107]rate!$N$41</definedName>
    <definedName name="Steelpipe_50_m_M">[50]Transport_Cost_F!$D$55</definedName>
    <definedName name="steelplate" localSheetId="0">'[53]mat. rate'!$H$56</definedName>
    <definedName name="steelplate">'[51]dist rate material'!$D$35</definedName>
    <definedName name="SteelPlate_sqm_M">[56]Transport_Cost_F!$D$54</definedName>
    <definedName name="steelr">'[51]district rate equp'!$D$9</definedName>
    <definedName name="SteelSheet_sqm_M">[47]Transport_Cost_F!$D$57</definedName>
    <definedName name="steeltube">'[53]mat. rate'!$H$57</definedName>
    <definedName name="steeltube4mm">#REF!</definedName>
    <definedName name="steeltube50mm">#REF!</definedName>
    <definedName name="STfero" hidden="1">[25]FitData!$AE$11</definedName>
    <definedName name="STIN_I">#REF!</definedName>
    <definedName name="STIN_I_1">#REF!</definedName>
    <definedName name="STIN_I_2">#REF!</definedName>
    <definedName name="STIN_I_3">#REF!</definedName>
    <definedName name="stnfil">#REF!</definedName>
    <definedName name="stone" localSheetId="0">[59]Rates!$G$23</definedName>
    <definedName name="stone">'[51]dist rate material'!$D$37</definedName>
    <definedName name="Stone_cum_M">[56]Transport_Cost_F!$D$38</definedName>
    <definedName name="Stone_dust" localSheetId="0">'[48]Rate analysis'!#REF!</definedName>
    <definedName name="Stone_dust">'[49]Rate analysis'!#REF!</definedName>
    <definedName name="stone1">'[17] 24 kaski D.Rate'!$G$34</definedName>
    <definedName name="stonecrusher" localSheetId="0">[59]Rates!$D$88</definedName>
    <definedName name="stonecrusher">[60]Rates!$D$75</definedName>
    <definedName name="stonedust">[31]rate!$D$30</definedName>
    <definedName name="stratus">'[51]dist rate material'!$D$24</definedName>
    <definedName name="strch">#REF!</definedName>
    <definedName name="stream_minor_SA_9">[79]SCross!$B$91:$G$97</definedName>
    <definedName name="StrInt1" hidden="1">[25]FitData!$N$11</definedName>
    <definedName name="StrInt2" hidden="1">[25]FitData!$P$11</definedName>
    <definedName name="StrInt3" hidden="1">[25]FitData!$S$11</definedName>
    <definedName name="StRL1" hidden="1">#N/A</definedName>
    <definedName name="StRL10" localSheetId="0" hidden="1">VLOOKUP([108]PipeDesign!$B1,[0]!rNodRLC10,6,FALSE)</definedName>
    <definedName name="StRL10" hidden="1">VLOOKUP([108]PipeDesign!$B1,[0]!rNodRLC10,6,FALSE)</definedName>
    <definedName name="StRL2" hidden="1">#N/A</definedName>
    <definedName name="StRL3" hidden="1">#N/A</definedName>
    <definedName name="StRL4" hidden="1">#N/A</definedName>
    <definedName name="StRL5" localSheetId="0" hidden="1">VLOOKUP([108]PipeDesign!$B1,[0]!rNodRLC5,6,FALSE)</definedName>
    <definedName name="StRL5" hidden="1">VLOOKUP([108]PipeDesign!$B1,[0]!rNodRLC5,6,FALSE)</definedName>
    <definedName name="StRL6" localSheetId="0" hidden="1">VLOOKUP([108]PipeDesign!$B1,[0]!rNodRLC6,6,FALSE)</definedName>
    <definedName name="StRL6" hidden="1">VLOOKUP([108]PipeDesign!$B1,[0]!rNodRLC6,6,FALSE)</definedName>
    <definedName name="StRL7" localSheetId="0" hidden="1">VLOOKUP([108]PipeDesign!$B1,[0]!rNodRLC7,6,FALSE)</definedName>
    <definedName name="StRL7" hidden="1">VLOOKUP([108]PipeDesign!$B1,[0]!rNodRLC7,6,FALSE)</definedName>
    <definedName name="StRL8" localSheetId="0" hidden="1">VLOOKUP([108]PipeDesign!$B1,[0]!rNodRLC8,6,FALSE)</definedName>
    <definedName name="StRL8" hidden="1">VLOOKUP([108]PipeDesign!$B1,[0]!rNodRLC8,6,FALSE)</definedName>
    <definedName name="StRL9" localSheetId="0" hidden="1">VLOOKUP([108]PipeDesign!$B1,[0]!rNodRLC9,6,FALSE)</definedName>
    <definedName name="StRL9" hidden="1">VLOOKUP([108]PipeDesign!$B1,[0]!rNodRLC9,6,FALSE)</definedName>
    <definedName name="STrrm" hidden="1">[25]FitData!$AA$11</definedName>
    <definedName name="structural_steel" localSheetId="0">[45]Rates!#REF!</definedName>
    <definedName name="structural_steel">[60]Rates!$H$13</definedName>
    <definedName name="structuralsteel">'[43]Basic Rate'!#REF!</definedName>
    <definedName name="struts">'[17]Basic Rare'!$N$50</definedName>
    <definedName name="stsr">#REF!</definedName>
    <definedName name="subbase" localSheetId="0">'[43]Basic Rate'!#REF!</definedName>
    <definedName name="subbase">'[51]dist rate material'!$D$10</definedName>
    <definedName name="subbaseagg" localSheetId="0">'[43]Basic Rate'!#REF!</definedName>
    <definedName name="subbaseagg">[52]Rate!#REF!</definedName>
    <definedName name="SumAMT" hidden="1">SUMIF([21]Summary!A$9:A$104,"&gt;0",[21]Summary!A$9:A$104)</definedName>
    <definedName name="sumcost_column">'[109]Reservoir Tank'!$Z$9:$Z$300</definedName>
    <definedName name="sumcost_row">'[109]Reservoir Tank'!$D$9:$AE$9</definedName>
    <definedName name="summary" localSheetId="0">#REF!</definedName>
    <definedName name="SUMMARY" hidden="1">#REF!</definedName>
    <definedName name="SuperElev">#REF!</definedName>
    <definedName name="Supervisor_L">'[47]Labour Rates_HO'!$E$20</definedName>
    <definedName name="Surveryor_L">'[56]Labour Rates_BB'!$E$16</definedName>
    <definedName name="Survey">'[110]PD-CW-Sample'!$AO$16:$AO$3734</definedName>
    <definedName name="Survey_Final">'[110]PD-CW-Sample'!$AN$16:$AN$3733</definedName>
    <definedName name="Survey_Line">'[96]PD-CW-Sample'!$AO$16:$AO$3733</definedName>
    <definedName name="Survey_new">'[111]PD-CW-Sample'!$AN$16:$AN$3732</definedName>
    <definedName name="Surveynew">#REF!</definedName>
    <definedName name="SVC" localSheetId="0">#REF!</definedName>
    <definedName name="SVC">#REF!</definedName>
    <definedName name="sw" localSheetId="0">#REF!</definedName>
    <definedName name="sw">#REF!</definedName>
    <definedName name="Swood" localSheetId="0">'[15]update Rate'!$E$56</definedName>
    <definedName name="Swood">'[13]update Rate'!$E$56</definedName>
    <definedName name="swos">#REF!</definedName>
    <definedName name="Syphon">#REF!</definedName>
    <definedName name="t">#REF!</definedName>
    <definedName name="t_2" hidden="1">#REF!</definedName>
    <definedName name="t_3_1" hidden="1">#REF!</definedName>
    <definedName name="t_4" hidden="1">#REF!</definedName>
    <definedName name="t_5" hidden="1">#REF!</definedName>
    <definedName name="t_a">#REF!</definedName>
    <definedName name="T_A1" localSheetId="0">#REF!</definedName>
    <definedName name="T_A1">#REF!</definedName>
    <definedName name="T_A2" localSheetId="0">#REF!</definedName>
    <definedName name="T_A2">#REF!</definedName>
    <definedName name="T_A3" localSheetId="0">#REF!</definedName>
    <definedName name="T_A3">#REF!</definedName>
    <definedName name="T_A4_1" localSheetId="0">#REF!</definedName>
    <definedName name="T_A4_1">#REF!</definedName>
    <definedName name="T_A4_2" localSheetId="0">#REF!</definedName>
    <definedName name="T_A4_2">#REF!</definedName>
    <definedName name="T_A5" localSheetId="0">#REF!</definedName>
    <definedName name="T_A5">#REF!</definedName>
    <definedName name="T_B">'[40]Slab span-thickness table'!$N$37:$Z$42</definedName>
    <definedName name="t_gravel">[53]transpt!$N$12</definedName>
    <definedName name="t_i">#REF!</definedName>
    <definedName name="t_rockmaterial">[53]transpt!$N$9</definedName>
    <definedName name="t_soilmaterial">[53]transpt!$N$8</definedName>
    <definedName name="t_tyre">#REF!</definedName>
    <definedName name="t10_1" hidden="1">#REF!</definedName>
    <definedName name="t10_2" hidden="1">#REF!</definedName>
    <definedName name="t10_3" hidden="1">#REF!</definedName>
    <definedName name="t10_4" hidden="1">#REF!</definedName>
    <definedName name="t10_5" hidden="1">#REF!</definedName>
    <definedName name="t11_1_1" hidden="1">#REF!</definedName>
    <definedName name="t11_1_2" hidden="1">#REF!</definedName>
    <definedName name="t11_2_1" hidden="1">#REF!</definedName>
    <definedName name="t11_2_2" hidden="1">#REF!</definedName>
    <definedName name="t11_3_1" hidden="1">#REF!</definedName>
    <definedName name="t11_3_2" hidden="1">#REF!</definedName>
    <definedName name="t11_4_1" hidden="1">#REF!</definedName>
    <definedName name="t11_4_2" hidden="1">#REF!</definedName>
    <definedName name="t11_5_1" hidden="1">#REF!</definedName>
    <definedName name="t11_5_2" hidden="1">#REF!</definedName>
    <definedName name="t12_1" hidden="1">#REF!</definedName>
    <definedName name="t12_2" hidden="1">#REF!</definedName>
    <definedName name="t12_3" hidden="1">#REF!</definedName>
    <definedName name="t12_4" hidden="1">#REF!</definedName>
    <definedName name="t13_1" hidden="1">#REF!</definedName>
    <definedName name="t13_10" hidden="1">#REF!</definedName>
    <definedName name="t13_2" hidden="1">#REF!</definedName>
    <definedName name="t13_3" hidden="1">#REF!</definedName>
    <definedName name="t13_4" hidden="1">#REF!</definedName>
    <definedName name="t13_5" hidden="1">#REF!</definedName>
    <definedName name="t13_6" hidden="1">#REF!</definedName>
    <definedName name="t13_7" hidden="1">#REF!</definedName>
    <definedName name="t13_8" hidden="1">#REF!</definedName>
    <definedName name="t13_9" hidden="1">#REF!</definedName>
    <definedName name="t14_1" hidden="1">#REF!</definedName>
    <definedName name="t14_2" hidden="1">#REF!</definedName>
    <definedName name="t14_3" hidden="1">#REF!</definedName>
    <definedName name="t15_1" hidden="1">#REF!</definedName>
    <definedName name="t15_2" hidden="1">#REF!</definedName>
    <definedName name="t15_3" hidden="1">#REF!</definedName>
    <definedName name="t15_4" hidden="1">#REF!</definedName>
    <definedName name="t15_5" hidden="1">#REF!</definedName>
    <definedName name="t16_1" hidden="1">#REF!</definedName>
    <definedName name="t16_2" hidden="1">#REF!</definedName>
    <definedName name="t17_1" hidden="1">#REF!</definedName>
    <definedName name="t17_2" hidden="1">#REF!</definedName>
    <definedName name="t18_1" hidden="1">#REF!</definedName>
    <definedName name="t18_2" hidden="1">#REF!</definedName>
    <definedName name="t18_3" hidden="1">#REF!</definedName>
    <definedName name="t19_" hidden="1">#REF!</definedName>
    <definedName name="t20_" hidden="1">#REF!</definedName>
    <definedName name="t21_" hidden="1">#REF!</definedName>
    <definedName name="t22_" hidden="1">#REF!</definedName>
    <definedName name="t23_" hidden="1">#REF!</definedName>
    <definedName name="t24_1" hidden="1">#REF!</definedName>
    <definedName name="t24_2" hidden="1">#REF!</definedName>
    <definedName name="t24_3" hidden="1">#REF!</definedName>
    <definedName name="t25_1" hidden="1">#REF!</definedName>
    <definedName name="t25_2" hidden="1">#REF!</definedName>
    <definedName name="t25_3" hidden="1">#REF!</definedName>
    <definedName name="t26_" hidden="1">#REF!</definedName>
    <definedName name="t7_1_2" hidden="1">#REF!</definedName>
    <definedName name="t7_1_3" hidden="1">#REF!</definedName>
    <definedName name="t7_1_4" hidden="1">#REF!</definedName>
    <definedName name="t8_2_1" hidden="1">#REF!</definedName>
    <definedName name="t8_2_2" hidden="1">#REF!</definedName>
    <definedName name="t8_2_3" hidden="1">#REF!</definedName>
    <definedName name="t8_2_4" hidden="1">#REF!</definedName>
    <definedName name="t9_1_1" hidden="1">#REF!</definedName>
    <definedName name="t9_1_2" hidden="1">#REF!</definedName>
    <definedName name="t9_1_3" hidden="1">#REF!</definedName>
    <definedName name="t9_1_4" hidden="1">#REF!</definedName>
    <definedName name="TA_1" localSheetId="0">#REF!</definedName>
    <definedName name="TA_1">#REF!</definedName>
    <definedName name="taea" hidden="1">[37]DRates!$I$12</definedName>
    <definedName name="tagr" hidden="1">[37]DRates!$I$11</definedName>
    <definedName name="tame" hidden="1">[37]DRates!$I$10</definedName>
    <definedName name="Tank" localSheetId="0">#REF!</definedName>
    <definedName name="Tank">#REF!</definedName>
    <definedName name="tank_tap_fst">#REF!</definedName>
    <definedName name="tarfelt" localSheetId="0">'[48]Rate analysis'!#REF!</definedName>
    <definedName name="tarfelt">'[49]Rate analysis'!#REF!</definedName>
    <definedName name="tcemp">#REF!</definedName>
    <definedName name="tcena">#REF!</definedName>
    <definedName name="tcenact">#REF!</definedName>
    <definedName name="tcrains">#REF!</definedName>
    <definedName name="Technician" localSheetId="0">'[43]Basic Rate'!#REF!</definedName>
    <definedName name="Technician">[52]Rate!#REF!</definedName>
    <definedName name="Techninian" localSheetId="0">'[43]Basic Rate'!#REF!</definedName>
    <definedName name="Techninian">[52]Rate!#REF!</definedName>
    <definedName name="telpt">#REF!</definedName>
    <definedName name="terpoil" localSheetId="0">[16]Sheet1!$D$61</definedName>
    <definedName name="terpoil">#REF!</definedName>
    <definedName name="terrl">#REF!</definedName>
    <definedName name="tertile">#REF!</definedName>
    <definedName name="tgoswt">#REF!</definedName>
    <definedName name="thgoswt">#REF!</definedName>
    <definedName name="Tikply4" localSheetId="0">'[15]update Rate'!$E$80</definedName>
    <definedName name="Tikply4">'[13]update Rate'!$E$80</definedName>
    <definedName name="tikwood4" localSheetId="0">'[15]update Rate'!#REF!</definedName>
    <definedName name="tikwood4">'[13]update Rate'!#REF!</definedName>
    <definedName name="TILE">#N/A</definedName>
    <definedName name="timber" localSheetId="0">[59]Rates!$G$15</definedName>
    <definedName name="timber">[60]Rates!$H$14</definedName>
    <definedName name="Timber_cum_M">[56]Transport_Cost_F!$D$48</definedName>
    <definedName name="Timber_Kukath" localSheetId="0">#REF!</definedName>
    <definedName name="Timber_Kukath">[52]Detailed!#REF!</definedName>
    <definedName name="Timber_sal" localSheetId="0">#REF!</definedName>
    <definedName name="Timber_sal">[52]Detailed!#REF!</definedName>
    <definedName name="tipper">'[51]district rate equp'!$D$23</definedName>
    <definedName name="TLcost1" hidden="1">[21]PipeLineWork!$I$77</definedName>
    <definedName name="TLCost10" hidden="1">[25]PipeLineWork!$I$667</definedName>
    <definedName name="TLCost11" hidden="1">[25]PipeLineWork!$I$733</definedName>
    <definedName name="TLCost12" hidden="1">[25]PipeLineWork!$I$799</definedName>
    <definedName name="TLCost13" hidden="1">[25]PipeLineWork!$I$865</definedName>
    <definedName name="TLCost14" hidden="1">[25]PipeLineWork!$I$931</definedName>
    <definedName name="TLCost15" hidden="1">[25]PipeLineWork!$I$997</definedName>
    <definedName name="TLCost16" hidden="1">[25]PipeLineWork!$I$1063</definedName>
    <definedName name="TLCost17" hidden="1">[25]PipeLineWork!$I$1129</definedName>
    <definedName name="TLCost18" hidden="1">[25]PipeLineWork!$I$1195</definedName>
    <definedName name="TLCost19" hidden="1">[25]PipeLineWork!$I$1261</definedName>
    <definedName name="TLCost2" hidden="1">[21]PipeLineWork!$I$147</definedName>
    <definedName name="TLCost20" hidden="1">[25]PipeLineWork!$I$1327</definedName>
    <definedName name="TLCost21" hidden="1">[25]PipeLineWork!$I$1393</definedName>
    <definedName name="TLCost22" hidden="1">[25]PipeLineWork!$I$1459</definedName>
    <definedName name="TLCost23" hidden="1">[25]PipeLineWork!$I$1525</definedName>
    <definedName name="TLCost24" hidden="1">[25]PipeLineWork!$I$1591</definedName>
    <definedName name="TLCost25" hidden="1">[25]PipeLineWork!$I$1657</definedName>
    <definedName name="TLCost26" hidden="1">[25]PipeLineWork!$I$1723</definedName>
    <definedName name="TLCost27" hidden="1">[25]PipeLineWork!$I$1789</definedName>
    <definedName name="TLCost3" hidden="1">[21]PipeLineWork!$I$217</definedName>
    <definedName name="TLCost4" hidden="1">[25]PipeLineWork!$I$271</definedName>
    <definedName name="TLCost5" hidden="1">[25]PipeLineWork!$I$337</definedName>
    <definedName name="TLCost6" hidden="1">[25]PipeLineWork!$I$403</definedName>
    <definedName name="TLCost7" hidden="1">[25]PipeLineWork!$I$469</definedName>
    <definedName name="TLCost8" hidden="1">[25]PipeLineWork!$I$535</definedName>
    <definedName name="TLCost9" hidden="1">[25]PipeLineWork!$I$601</definedName>
    <definedName name="TLJ_11006">[112]HDPE!$Q$39</definedName>
    <definedName name="TLJ_11010">[112]HDPE!$Q$40</definedName>
    <definedName name="TLJ_12506">[112]HDPE!$Q$44</definedName>
    <definedName name="TLJ_12510">[112]HDPE!$Q$45</definedName>
    <definedName name="TLJ_14006">[112]HDPE!$Q$49</definedName>
    <definedName name="TLJ_14010">[112]HDPE!$Q$50</definedName>
    <definedName name="TLJ_16006">[112]HDPE!$Q$54</definedName>
    <definedName name="TLJ_16010">[112]HDPE!$Q$55</definedName>
    <definedName name="TLJ_18006">[112]HDPE!$Q$59</definedName>
    <definedName name="TLJ_18010">[112]HDPE!$Q$60</definedName>
    <definedName name="TLJ_20006">[112]HDPE!$Q$64</definedName>
    <definedName name="TLJ_20010">[112]HDPE!$Q$65</definedName>
    <definedName name="TLJ_22506">[112]HDPE!$Q$69</definedName>
    <definedName name="TLJ_22510">[112]HDPE!$Q$70</definedName>
    <definedName name="TLJ_4006">[112]HDPE!$Q$16</definedName>
    <definedName name="TLJ_4010">[112]HDPE!$Q$17</definedName>
    <definedName name="TLJ_5006">[112]HDPE!$Q$19</definedName>
    <definedName name="TLJ_5010">[112]HDPE!$Q$20</definedName>
    <definedName name="TLJ_6306">[112]HDPE!$Q$24</definedName>
    <definedName name="TLJ_6310">[112]HDPE!$Q$25</definedName>
    <definedName name="TLJ_7506">[112]HDPE!$Q$29</definedName>
    <definedName name="TLJ_7510">[112]HDPE!$Q$30</definedName>
    <definedName name="TLJ_9006">[112]HDPE!$Q$34</definedName>
    <definedName name="TLJ_9010">[112]HDPE!$Q$35</definedName>
    <definedName name="Tlps" hidden="1">IF('[21]Dmand 1'!$M53=0,0,IF('[21]Dmand 1'!$M53&gt;0.27,"ADD Tap",IF('[21]Dmand 1'!$M53&gt;0.22,0.25,IF('[21]Dmand 1'!$M53&gt;0.17,0.2,IF('[21]Dmand 1'!$M53&gt;0.12,0.15,0.1)))))</definedName>
    <definedName name="tltph">#REF!</definedName>
    <definedName name="Tno" hidden="1">MAX('[21]Dmand 1'!#REF!)+1</definedName>
    <definedName name="To" hidden="1">#REF!</definedName>
    <definedName name="tool">#REF!</definedName>
    <definedName name="tool_hill">#REF!</definedName>
    <definedName name="tool_terai">#REF!</definedName>
    <definedName name="torsteel" localSheetId="0">'[15]update Rate'!$E$45</definedName>
    <definedName name="torsteel">'[13]update Rate'!$E$45</definedName>
    <definedName name="TotalItems">'[113]All BOQ donot print Sunwal'!$B$10:$AB$496</definedName>
    <definedName name="TotFea" hidden="1">#REF!</definedName>
    <definedName name="tower_detail">#REF!</definedName>
    <definedName name="tower_detail_1">#REF!</definedName>
    <definedName name="tower_detail_2">#REF!</definedName>
    <definedName name="tower_detail_3">#REF!</definedName>
    <definedName name="tower_detail_4">#REF!</definedName>
    <definedName name="tower_detail_5">#REF!</definedName>
    <definedName name="TOWER150">#REF!</definedName>
    <definedName name="Tower300">#REF!</definedName>
    <definedName name="Tp">'[114]Transportation amount'!$P$39</definedName>
    <definedName name="TPcost" hidden="1">[38]Summary!#REF!</definedName>
    <definedName name="tr" localSheetId="0">[16]Sheet1!$D$30</definedName>
    <definedName name="TR">#REF!</definedName>
    <definedName name="tr_450">#REF!</definedName>
    <definedName name="tractor">[31]rate!$M$48</definedName>
    <definedName name="Trans_M1" localSheetId="0">[62]Ta304!$F$6</definedName>
    <definedName name="Trans_M1">[63]Ta304!$F$6</definedName>
    <definedName name="transport_rwh">#REF!</definedName>
    <definedName name="Transportation_M">[47]Transport_Cost_F!#REF!</definedName>
    <definedName name="TransRate" hidden="1">[10]MatCol!$D$6</definedName>
    <definedName name="TransRate2" hidden="1">[37]MatCol!$D$7</definedName>
    <definedName name="TreeGuard_M">[47]Transport_Cost_F!#REF!</definedName>
    <definedName name="trpt">#REF!</definedName>
    <definedName name="truck" localSheetId="0">[59]Rates!$D$90</definedName>
    <definedName name="truck">[60]Rates!$D$77</definedName>
    <definedName name="truck3t" localSheetId="0">'[43]Basic Rate'!#REF!</definedName>
    <definedName name="truck3t">[52]Rate!#REF!</definedName>
    <definedName name="truck5t">[31]rate!$M$24</definedName>
    <definedName name="truck8t">'[43]Basic Rate'!#REF!</definedName>
    <definedName name="TruckDumb4_E">'[56]Equipment Rates'!$D$11</definedName>
    <definedName name="TRUCKflatbed6_E">'[56]Equipment Rates'!$D$10</definedName>
    <definedName name="TS" localSheetId="0">#REF!</definedName>
    <definedName name="TS">#REF!</definedName>
    <definedName name="TS_B">#REF!</definedName>
    <definedName name="TS_Ms">#REF!</definedName>
    <definedName name="TS_S">#REF!</definedName>
    <definedName name="TSand">'[114]Transportation amount'!$P$25</definedName>
    <definedName name="tsteel10_22" localSheetId="0">[31]rate!$H$46</definedName>
    <definedName name="tsteel10_22">[52]Rate!#REF!</definedName>
    <definedName name="tsteel25_32" localSheetId="0">'[43]Basic Rate'!#REF!</definedName>
    <definedName name="tsteel25_32">[52]Rate!#REF!</definedName>
    <definedName name="tsteel4.75_7" localSheetId="0">'[43]Basic Rate'!#REF!</definedName>
    <definedName name="tsteel4.75_7">[52]Rate!#REF!</definedName>
    <definedName name="tsteel8" localSheetId="0">[31]rate!$H$45</definedName>
    <definedName name="tsteel8">[52]Rate!#REF!</definedName>
    <definedName name="Ttile" localSheetId="0">'[15]update Rate'!$E$43</definedName>
    <definedName name="Ttile">'[13]update Rate'!$E$43</definedName>
    <definedName name="tuea" hidden="1">[37]DRates!$I$9</definedName>
    <definedName name="tugr" hidden="1">[37]DRates!$I$8</definedName>
    <definedName name="tume" hidden="1">[37]DRates!$I$7</definedName>
    <definedName name="turck3t">'[43]Basic Rate'!#REF!</definedName>
    <definedName name="type_sc_latrine">#REF!</definedName>
    <definedName name="U">#N/A</definedName>
    <definedName name="UH" localSheetId="0">#REF!</definedName>
    <definedName name="UH">#REF!</definedName>
    <definedName name="Un" localSheetId="0">'[115]District mat Rate'!$F$6</definedName>
    <definedName name="Un">'[116]District mat Rate'!$F$6</definedName>
    <definedName name="UN_1" localSheetId="0">#REF!</definedName>
    <definedName name="UN_1">#REF!</definedName>
    <definedName name="UN_2" localSheetId="0">#REF!</definedName>
    <definedName name="UN_2">#REF!</definedName>
    <definedName name="UN_3" localSheetId="0">#REF!</definedName>
    <definedName name="UN_3">#REF!</definedName>
    <definedName name="UN_4" localSheetId="0">#REF!</definedName>
    <definedName name="UN_4">#REF!</definedName>
    <definedName name="UN_5" localSheetId="0">#REF!</definedName>
    <definedName name="UN_5">#REF!</definedName>
    <definedName name="UN_6" localSheetId="0">#REF!</definedName>
    <definedName name="UN_6">#REF!</definedName>
    <definedName name="UN_7" localSheetId="0">#REF!</definedName>
    <definedName name="UN_7">#REF!</definedName>
    <definedName name="UN_8" localSheetId="0">#REF!</definedName>
    <definedName name="UN_8">#REF!</definedName>
    <definedName name="un_skill">#REF!</definedName>
    <definedName name="Un_skilled" localSheetId="0">#REF!</definedName>
    <definedName name="Un_skilled">#REF!</definedName>
    <definedName name="unsk" localSheetId="0">[117]DRates!$I$14</definedName>
    <definedName name="unsk" hidden="1">[37]DRates!$I$15</definedName>
    <definedName name="UNskill" localSheetId="0">#REF!</definedName>
    <definedName name="UNskill">#REF!</definedName>
    <definedName name="unskilled" localSheetId="0">[31]rate!$M$7</definedName>
    <definedName name="unskilled">[75]rate!$M$9</definedName>
    <definedName name="unskilled_L">'[56]Labour Rates_BB'!$E$9</definedName>
    <definedName name="unskilled1">#REF!</definedName>
    <definedName name="upp">#REF!</definedName>
    <definedName name="ur" localSheetId="0">#REF!</definedName>
    <definedName name="ur">[60]Rates!$D$5</definedName>
    <definedName name="Urinal" localSheetId="0">#REF!</definedName>
    <definedName name="Urinal">#REF!</definedName>
    <definedName name="USKILL">[57]MAT!$C$21</definedName>
    <definedName name="usl" localSheetId="0">[16]Sheet1!$D$11</definedName>
    <definedName name="usl">#REF!</definedName>
    <definedName name="UTA_2" localSheetId="0">#REF!</definedName>
    <definedName name="UTA_2">#REF!</definedName>
    <definedName name="UTA_3" localSheetId="0">#REF!</definedName>
    <definedName name="UTA_3">#REF!</definedName>
    <definedName name="UTA_4" localSheetId="0">#REF!</definedName>
    <definedName name="UTA_4">#REF!</definedName>
    <definedName name="UTA_5" localSheetId="0">#REF!</definedName>
    <definedName name="UTA_5">#REF!</definedName>
    <definedName name="UTA_6" localSheetId="0">#REF!</definedName>
    <definedName name="UTA_6">#REF!</definedName>
    <definedName name="UTB_3" localSheetId="0">#REF!</definedName>
    <definedName name="UTB_3">#REF!</definedName>
    <definedName name="UTB_4" localSheetId="0">#REF!</definedName>
    <definedName name="UTB_4">#REF!</definedName>
    <definedName name="UTB_5" localSheetId="0">#REF!</definedName>
    <definedName name="UTB_5">#REF!</definedName>
    <definedName name="UTB_6" localSheetId="0">#REF!</definedName>
    <definedName name="UTB_6">#REF!</definedName>
    <definedName name="UTB_7" localSheetId="0">#REF!</definedName>
    <definedName name="UTB_7">#REF!</definedName>
    <definedName name="V.Roller_E">'[56]Equipment Rates'!$D$19</definedName>
    <definedName name="VBK" localSheetId="0">#REF!</definedName>
    <definedName name="VBK">#REF!</definedName>
    <definedName name="VBox_Table">[67]VC_Cost!$B$4:$H$13</definedName>
    <definedName name="VC" hidden="1">[25]FitData!$AT$11</definedName>
    <definedName name="velocity" hidden="1">[21]PipeDesign!$E1*28000/(22*[21]PipeDesign!$O1^2)</definedName>
    <definedName name="velocityofTruck">'[47]Haulage dist'!$L$14</definedName>
    <definedName name="Veloct" hidden="1">#REF!</definedName>
    <definedName name="vibratingroller">[80]Rates!$D$87</definedName>
    <definedName name="vibrator" localSheetId="0">[31]rate!$M$41</definedName>
    <definedName name="vibrator">'[51]district rate equp'!$D$13</definedName>
    <definedName name="Vibrator_E">'[56]Equipment Rates'!$D$14</definedName>
    <definedName name="vibrator_roller" localSheetId="0">[59]Rates!$D$101</definedName>
    <definedName name="vibrator_roller">[60]Rates!$D$88</definedName>
    <definedName name="vibratoryroller">'[51]district rate equp'!$D$11</definedName>
    <definedName name="vibroller">'[43]Basic Rate'!#REF!</definedName>
    <definedName name="vroller" localSheetId="0">[31]rate!$M$28</definedName>
    <definedName name="vroller">[52]Rate!#REF!</definedName>
    <definedName name="W">'[8]Data-Table'!$D$4</definedName>
    <definedName name="W_1" localSheetId="0">'[40]Slab span-thickness table'!$A$25:$E$30</definedName>
    <definedName name="w_1">[26]SedTank!$B$4</definedName>
    <definedName name="W_110" hidden="1">SUM([118]PipeList!#REF!)</definedName>
    <definedName name="W_2" localSheetId="0">'[40]Slab span-thickness table'!$F$25:$J$30</definedName>
    <definedName name="w_2">[26]SedTank!$K$3</definedName>
    <definedName name="W_3">'[40]Slab span-thickness table'!$K$25:$O$30</definedName>
    <definedName name="W16_32" hidden="1">SUM([118]PipeList!S2:S6)</definedName>
    <definedName name="W40_90" hidden="1">SUM([118]PipeList!#REF!)</definedName>
    <definedName name="wabrc">#REF!</definedName>
    <definedName name="water" localSheetId="0">[31]rate!$H$34</definedName>
    <definedName name="water">'[51]dist rate material'!$D$15</definedName>
    <definedName name="water_b">#REF!</definedName>
    <definedName name="Water_Lt_M">[50]Transport_Cost_F!$D$51</definedName>
    <definedName name="WATER_PROOFING_">#REF!</definedName>
    <definedName name="WATER_PUMP">#REF!</definedName>
    <definedName name="waterbowser" localSheetId="0">[31]rate!$M$31</definedName>
    <definedName name="waterbowser">[60]Rates!$D$81</definedName>
    <definedName name="WaterBowser_E">'[56]Equipment Rates'!$D$39</definedName>
    <definedName name="Waterbowser_Truck">#REF!</definedName>
    <definedName name="waterbrouser">'[51]district rate equp'!$D$15</definedName>
    <definedName name="waterp">#REF!</definedName>
    <definedName name="waxpolish">#REF!</definedName>
    <definedName name="wb">'[17] 24 kaski D.Rate'!$G$61</definedName>
    <definedName name="wb_30">#REF!</definedName>
    <definedName name="wb_45">#REF!</definedName>
    <definedName name="wbrowser">'[43]Basic Rate'!#REF!</definedName>
    <definedName name="WC_gravel">#REF!</definedName>
    <definedName name="wdlistee" localSheetId="0">[16]Sheet1!$D$45</definedName>
    <definedName name="wdlistee">#REF!</definedName>
    <definedName name="Weight">#REF!</definedName>
    <definedName name="welding_arc">[60]Rates!$D$86</definedName>
    <definedName name="wf">#REF!</definedName>
    <definedName name="Wfit" hidden="1">'[119]Fittings-Summary'!#REF!</definedName>
    <definedName name="wforms">#REF!</definedName>
    <definedName name="wframd">#REF!</definedName>
    <definedName name="Wgip" hidden="1">[118]PipeList!S44</definedName>
    <definedName name="whct" localSheetId="0">[16]Sheet1!$D$16</definedName>
    <definedName name="whct">#REF!</definedName>
    <definedName name="wheel_loader" localSheetId="0">[59]Rates!$D$98</definedName>
    <definedName name="wheel_loader">[60]Rates!$D$85</definedName>
    <definedName name="wheelloader">'[51]district rate equp'!$D$21</definedName>
    <definedName name="WheelLoader_E">'[56]Equipment Rates'!$D$26</definedName>
    <definedName name="whgur">#REF!</definedName>
    <definedName name="whtgeu">#REF!</definedName>
    <definedName name="whtgin">#REF!</definedName>
    <definedName name="Width" localSheetId="0">#REF!</definedName>
    <definedName name="Width">#REF!</definedName>
    <definedName name="WN13R">'[120]Pop Density'!$K$16</definedName>
    <definedName name="WN14R">'[120]Pop Density'!$K$17</definedName>
    <definedName name="WN3H">#REF!</definedName>
    <definedName name="WN3M">#REF!</definedName>
    <definedName name="WN3R">#REF!</definedName>
    <definedName name="WN4H">#REF!</definedName>
    <definedName name="WN4M">#REF!</definedName>
    <definedName name="WN4R">#REF!</definedName>
    <definedName name="WN8M">'[120]Pop Density'!$J$11</definedName>
    <definedName name="WO">#REF!</definedName>
    <definedName name="wood" localSheetId="0">'[43]Basic Rate'!#REF!</definedName>
    <definedName name="wood" hidden="1">[37]DRates!$I$44</definedName>
    <definedName name="woodbnc">#REF!</definedName>
    <definedName name="woodlocal">'[53]mat. rate'!$H$17</definedName>
    <definedName name="woodsal">#REF!</definedName>
    <definedName name="woodsoft">'[43]Basic Rate'!#REF!</definedName>
    <definedName name="works_codes" localSheetId="0">[17]INPUT!$B$38:$B$615</definedName>
    <definedName name="works_codes">[68]INPUT!$B$38:$B$615</definedName>
    <definedName name="works_qty" localSheetId="0">[17]INPUT!$C$38:$C$615</definedName>
    <definedName name="works_qty">[68]INPUT!$C$38:$C$615</definedName>
    <definedName name="works_rd_index" localSheetId="0">[17]INPUT!$A$38:$A$615</definedName>
    <definedName name="works_rd_index">[68]INPUT!$A$38:$A$615</definedName>
    <definedName name="WPC" localSheetId="0">[16]Sheet1!$D$47</definedName>
    <definedName name="WPC">#REF!</definedName>
    <definedName name="wpipe">#REF!</definedName>
    <definedName name="Wpmp">#REF!</definedName>
    <definedName name="wpsd">#REF!</definedName>
    <definedName name="wsd35p">#REF!</definedName>
    <definedName name="Wucp" hidden="1">[118]PipeList!S57</definedName>
    <definedName name="WVC" localSheetId="0">#REF!</definedName>
    <definedName name="WVC">#REF!</definedName>
    <definedName name="X">#N/A</definedName>
    <definedName name="x_1">[26]SedTank!$K$4</definedName>
    <definedName name="YJ" localSheetId="0">#REF!</definedName>
    <definedName name="YJ">#REF!</definedName>
    <definedName name="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 i="1" l="1"/>
  <c r="O29" i="1"/>
  <c r="J29" i="1"/>
  <c r="D29" i="1"/>
  <c r="E29" i="1" s="1"/>
  <c r="G29" i="1" s="1"/>
  <c r="J28" i="1"/>
  <c r="K28" i="1" s="1"/>
  <c r="M28" i="1" s="1"/>
  <c r="D28" i="1"/>
  <c r="E28" i="1" s="1"/>
  <c r="G28" i="1" s="1"/>
  <c r="U27" i="1"/>
  <c r="V27" i="1" s="1"/>
  <c r="O27" i="1"/>
  <c r="P27" i="1" s="1"/>
  <c r="I27" i="1"/>
  <c r="J27" i="1" s="1"/>
  <c r="C27" i="1"/>
  <c r="D27" i="1" s="1"/>
  <c r="U26" i="1"/>
  <c r="V26" i="1" s="1"/>
  <c r="O26" i="1"/>
  <c r="P26" i="1" s="1"/>
  <c r="I26" i="1"/>
  <c r="J26" i="1" s="1"/>
  <c r="C26" i="1"/>
  <c r="D26" i="1" s="1"/>
  <c r="U25" i="1"/>
  <c r="V25" i="1" s="1"/>
  <c r="O25" i="1"/>
  <c r="P25" i="1" s="1"/>
  <c r="I25" i="1"/>
  <c r="J25" i="1" s="1"/>
  <c r="C25" i="1"/>
  <c r="D25" i="1" s="1"/>
  <c r="U24" i="1"/>
  <c r="V24" i="1" s="1"/>
  <c r="O24" i="1"/>
  <c r="P24" i="1" s="1"/>
  <c r="I24" i="1"/>
  <c r="J24" i="1" s="1"/>
  <c r="C24" i="1"/>
  <c r="D24" i="1" s="1"/>
  <c r="U23" i="1"/>
  <c r="V23" i="1" s="1"/>
  <c r="O23" i="1"/>
  <c r="P23" i="1" s="1"/>
  <c r="I23" i="1"/>
  <c r="J23" i="1" s="1"/>
  <c r="C23" i="1"/>
  <c r="D23" i="1" s="1"/>
  <c r="U22" i="1"/>
  <c r="V22" i="1" s="1"/>
  <c r="O22" i="1"/>
  <c r="P22" i="1" s="1"/>
  <c r="I22" i="1"/>
  <c r="J22" i="1" s="1"/>
  <c r="C22" i="1"/>
  <c r="D22" i="1" s="1"/>
  <c r="U21" i="1"/>
  <c r="O21" i="1"/>
  <c r="I21" i="1"/>
  <c r="J21" i="1" s="1"/>
  <c r="C21" i="1"/>
  <c r="D21" i="1" s="1"/>
  <c r="U20" i="1"/>
  <c r="V20" i="1" s="1"/>
  <c r="O20" i="1"/>
  <c r="I20" i="1"/>
  <c r="J20" i="1" s="1"/>
  <c r="C20" i="1"/>
  <c r="D20" i="1" s="1"/>
  <c r="U19" i="1"/>
  <c r="O19" i="1"/>
  <c r="I19" i="1"/>
  <c r="J19" i="1" s="1"/>
  <c r="C19" i="1"/>
  <c r="D19" i="1" s="1"/>
  <c r="U18" i="1"/>
  <c r="O18" i="1"/>
  <c r="I18" i="1"/>
  <c r="J18" i="1" s="1"/>
  <c r="C18" i="1"/>
  <c r="D18" i="1" s="1"/>
  <c r="U17" i="1"/>
  <c r="V17" i="1" s="1"/>
  <c r="O17" i="1"/>
  <c r="I17" i="1"/>
  <c r="J17" i="1" s="1"/>
  <c r="C17" i="1"/>
  <c r="D17" i="1" s="1"/>
  <c r="U16" i="1"/>
  <c r="O16" i="1"/>
  <c r="I16" i="1"/>
  <c r="J16" i="1" s="1"/>
  <c r="C16" i="1"/>
  <c r="D16" i="1" s="1"/>
  <c r="U15" i="1"/>
  <c r="O15" i="1"/>
  <c r="I15" i="1"/>
  <c r="J15" i="1" s="1"/>
  <c r="C15" i="1"/>
  <c r="D15" i="1" s="1"/>
  <c r="U14" i="1"/>
  <c r="O14" i="1"/>
  <c r="I14" i="1"/>
  <c r="J14" i="1" s="1"/>
  <c r="C14" i="1"/>
  <c r="D14" i="1" s="1"/>
  <c r="U13" i="1"/>
  <c r="O13" i="1"/>
  <c r="I13" i="1"/>
  <c r="J13" i="1" s="1"/>
  <c r="U12" i="1"/>
  <c r="V12" i="1" s="1"/>
  <c r="O12" i="1"/>
  <c r="I12" i="1"/>
  <c r="U11" i="1"/>
  <c r="V11" i="1" s="1"/>
  <c r="O11" i="1"/>
  <c r="P11" i="1" s="1"/>
  <c r="U10" i="1"/>
  <c r="L5" i="1"/>
  <c r="K5" i="1"/>
  <c r="J5" i="1"/>
  <c r="K22" i="1" l="1"/>
  <c r="K15" i="1"/>
  <c r="M15" i="1" s="1"/>
  <c r="K16" i="1"/>
  <c r="W16" i="1"/>
  <c r="K17" i="1"/>
  <c r="M17" i="1" s="1"/>
  <c r="K18" i="1"/>
  <c r="M18" i="1" s="1"/>
  <c r="W18" i="1"/>
  <c r="K19" i="1"/>
  <c r="M19" i="1" s="1"/>
  <c r="W19" i="1"/>
  <c r="Q13" i="1"/>
  <c r="Q15" i="1"/>
  <c r="M16" i="1"/>
  <c r="Q16" i="1"/>
  <c r="Q17" i="1"/>
  <c r="Q21" i="1"/>
  <c r="Q28" i="1"/>
  <c r="W27" i="1"/>
  <c r="Y27" i="1" s="1"/>
  <c r="Q27" i="1"/>
  <c r="S27" i="1" s="1"/>
  <c r="K27" i="1"/>
  <c r="M27" i="1" s="1"/>
  <c r="E27" i="1"/>
  <c r="G27" i="1" s="1"/>
  <c r="W26" i="1"/>
  <c r="Y26" i="1" s="1"/>
  <c r="Q26" i="1"/>
  <c r="S26" i="1" s="1"/>
  <c r="K26" i="1"/>
  <c r="M26" i="1" s="1"/>
  <c r="K25" i="1"/>
  <c r="M25" i="1" s="1"/>
  <c r="E25" i="1"/>
  <c r="G25" i="1" s="1"/>
  <c r="W24" i="1"/>
  <c r="Y24" i="1" s="1"/>
  <c r="Q24" i="1"/>
  <c r="S24" i="1" s="1"/>
  <c r="K24" i="1"/>
  <c r="M24" i="1" s="1"/>
  <c r="V10" i="1"/>
  <c r="Q11" i="1"/>
  <c r="S11" i="1" s="1"/>
  <c r="V14" i="1"/>
  <c r="E15" i="1"/>
  <c r="G15" i="1" s="1"/>
  <c r="V16" i="1"/>
  <c r="V18" i="1"/>
  <c r="E19" i="1"/>
  <c r="G19" i="1" s="1"/>
  <c r="V21" i="1"/>
  <c r="E22" i="1"/>
  <c r="G22" i="1" s="1"/>
  <c r="E24" i="1"/>
  <c r="G24" i="1" s="1"/>
  <c r="P14" i="1"/>
  <c r="P15" i="1"/>
  <c r="P16" i="1"/>
  <c r="S16" i="1" s="1"/>
  <c r="P17" i="1"/>
  <c r="W17" i="1"/>
  <c r="Y17" i="1" s="1"/>
  <c r="P20" i="1"/>
  <c r="P21" i="1"/>
  <c r="W22" i="1"/>
  <c r="Y22" i="1" s="1"/>
  <c r="W23" i="1"/>
  <c r="Y23" i="1" s="1"/>
  <c r="P12" i="1"/>
  <c r="W12" i="1"/>
  <c r="Y12" i="1" s="1"/>
  <c r="V13" i="1"/>
  <c r="E14" i="1"/>
  <c r="G14" i="1" s="1"/>
  <c r="V15" i="1"/>
  <c r="E16" i="1"/>
  <c r="G16" i="1" s="1"/>
  <c r="E18" i="1"/>
  <c r="G18" i="1" s="1"/>
  <c r="V19" i="1"/>
  <c r="E21" i="1"/>
  <c r="G21" i="1" s="1"/>
  <c r="E23" i="1"/>
  <c r="G23" i="1" s="1"/>
  <c r="J12" i="1"/>
  <c r="P13" i="1"/>
  <c r="P18" i="1"/>
  <c r="P19" i="1"/>
  <c r="M22" i="1"/>
  <c r="Q22" i="1"/>
  <c r="S22" i="1" s="1"/>
  <c r="Q23" i="1"/>
  <c r="S23" i="1" s="1"/>
  <c r="Q29" i="1"/>
  <c r="K29" i="1"/>
  <c r="M29" i="1" s="1"/>
  <c r="K12" i="1" l="1"/>
  <c r="M12" i="1" s="1"/>
  <c r="W14" i="1"/>
  <c r="Y18" i="1"/>
  <c r="K14" i="1"/>
  <c r="M14" i="1" s="1"/>
  <c r="Q25" i="1"/>
  <c r="S25" i="1" s="1"/>
  <c r="K23" i="1"/>
  <c r="M23" i="1" s="1"/>
  <c r="E20" i="1"/>
  <c r="G20" i="1" s="1"/>
  <c r="W20" i="1"/>
  <c r="Y20" i="1" s="1"/>
  <c r="E17" i="1"/>
  <c r="G17" i="1" s="1"/>
  <c r="W25" i="1"/>
  <c r="Y25" i="1" s="1"/>
  <c r="Q20" i="1"/>
  <c r="S20" i="1" s="1"/>
  <c r="W21" i="1"/>
  <c r="Y21" i="1" s="1"/>
  <c r="W13" i="1"/>
  <c r="Y13" i="1" s="1"/>
  <c r="E26" i="1"/>
  <c r="G26" i="1" s="1"/>
  <c r="Q19" i="1"/>
  <c r="S19" i="1" s="1"/>
  <c r="K21" i="1"/>
  <c r="M21" i="1" s="1"/>
  <c r="K13" i="1"/>
  <c r="M13" i="1" s="1"/>
  <c r="S17" i="1"/>
  <c r="S15" i="1"/>
  <c r="Y16" i="1"/>
  <c r="S21" i="1"/>
  <c r="S13" i="1"/>
  <c r="W11" i="1"/>
  <c r="Y11" i="1" s="1"/>
  <c r="Y14" i="1"/>
  <c r="Y19" i="1"/>
  <c r="Q18" i="1"/>
  <c r="S18" i="1" s="1"/>
  <c r="Q14" i="1"/>
  <c r="S14" i="1" s="1"/>
  <c r="K20" i="1"/>
  <c r="M20" i="1" s="1"/>
  <c r="W15" i="1"/>
  <c r="Y15" i="1" s="1"/>
  <c r="Q12" i="1"/>
  <c r="S12" i="1" s="1"/>
  <c r="W10" i="1"/>
  <c r="Y10" i="1" s="1"/>
</calcChain>
</file>

<file path=xl/sharedStrings.xml><?xml version="1.0" encoding="utf-8"?>
<sst xmlns="http://schemas.openxmlformats.org/spreadsheetml/2006/main" count="71" uniqueCount="35">
  <si>
    <t>HDPE Pipe, PE-100, NS40</t>
  </si>
  <si>
    <t>Minimum density of pipe (ƍ)</t>
  </si>
  <si>
    <t>gm/cm3</t>
  </si>
  <si>
    <t>Vehical TP</t>
  </si>
  <si>
    <t>Manual TP</t>
  </si>
  <si>
    <t>Load/ unload</t>
  </si>
  <si>
    <t>Total TP cost (Districr road head to Proj.site)</t>
  </si>
  <si>
    <t>Rate per kg (District Approved Rate )</t>
  </si>
  <si>
    <t>=</t>
  </si>
  <si>
    <t>Outer Diameter</t>
  </si>
  <si>
    <t>Working Pressure, PN 6</t>
  </si>
  <si>
    <t>Working Pressure, PN 10</t>
  </si>
  <si>
    <t>Working Pressure, PN 12.5</t>
  </si>
  <si>
    <t>Working Pressure, PN 16</t>
  </si>
  <si>
    <t>Minimum Thickness</t>
  </si>
  <si>
    <t>Weight/ meter (min)</t>
  </si>
  <si>
    <t>Dis.Rate</t>
  </si>
  <si>
    <t>Trans. Rate</t>
  </si>
  <si>
    <t>Laying &amp; Jointing</t>
  </si>
  <si>
    <t>Total Rate</t>
  </si>
  <si>
    <t>T. Rate</t>
  </si>
  <si>
    <t>Trans.</t>
  </si>
  <si>
    <t>mm</t>
  </si>
  <si>
    <t>t, mm</t>
  </si>
  <si>
    <t>kg/m</t>
  </si>
  <si>
    <t>per m.</t>
  </si>
  <si>
    <t>NRs./m</t>
  </si>
  <si>
    <t>355 mm Ø</t>
  </si>
  <si>
    <t>400 mm Ø</t>
  </si>
  <si>
    <t>Colour</t>
  </si>
  <si>
    <t>Green</t>
  </si>
  <si>
    <t>Yellow</t>
  </si>
  <si>
    <t>Purple</t>
  </si>
  <si>
    <t>White</t>
  </si>
  <si>
    <t>Total TP cost (Districr road head to Proj.site) without COH-Rs/ 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</si>
</sst>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0_);_(* \(#,##0.000\);_(* &quot;-&quot;??_);_(@_)"/>
  </numFmts>
  <fonts count="11" x14ac:knownFonts="1">
    <font>
      <sz val="11"/>
      <color theme="1"/>
      <name val="Calibri"/>
      <family val="2"/>
      <scheme val="minor"/>
    </font>
    <font>
      <b/>
      <sz val="10"/>
      <color indexed="10"/>
      <name val="Times New Roman"/>
      <family val="1"/>
    </font>
    <font>
      <sz val="10"/>
      <color indexed="8"/>
      <name val="Times New Roman"/>
      <family val="1"/>
    </font>
    <font>
      <b/>
      <sz val="10"/>
      <color indexed="8"/>
      <name val="Times New Roman"/>
      <family val="1"/>
    </font>
    <font>
      <sz val="8"/>
      <color indexed="8"/>
      <name val="Times New Roman"/>
      <family val="1"/>
    </font>
    <font>
      <b/>
      <sz val="9"/>
      <color indexed="8"/>
      <name val="Times New Roman"/>
      <family val="1"/>
    </font>
    <font>
      <b/>
      <sz val="10"/>
      <name val="Times New Roman"/>
      <family val="1"/>
    </font>
    <font>
      <sz val="10"/>
      <color indexed="62"/>
      <name val="Times New Roman"/>
      <family val="1"/>
    </font>
    <font>
      <sz val="10"/>
      <color theme="1"/>
      <name val="Times New Roman"/>
      <family val="1"/>
    </font>
    <font>
      <b/>
      <sz val="10"/>
      <color indexed="62"/>
      <name val="Times New Roman"/>
      <family val="1"/>
    </font>
    <font>
      <b/>
      <sz val="10"/>
      <color theme="1"/>
      <name val="Times New Roman"/>
      <family val="1"/>
    </font>
  </fonts>
  <fills count="6">
    <fill>
      <patternFill patternType="none"/>
    </fill>
    <fill>
      <patternFill patternType="gray125"/>
    </fill>
    <fill>
      <patternFill patternType="solid">
        <fgColor rgb="FF00B050"/>
        <bgColor indexed="64"/>
      </patternFill>
    </fill>
    <fill>
      <patternFill patternType="solid">
        <fgColor rgb="FFFFFF00"/>
        <bgColor indexed="64"/>
      </patternFill>
    </fill>
    <fill>
      <patternFill patternType="solid">
        <fgColor theme="7" tint="0.39997558519241921"/>
        <bgColor indexed="64"/>
      </patternFill>
    </fill>
    <fill>
      <patternFill patternType="solid">
        <fgColor theme="0"/>
        <bgColor indexed="64"/>
      </patternFill>
    </fill>
  </fills>
  <borders count="5">
    <border>
      <left/>
      <right/>
      <top/>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57">
    <xf numFmtId="0" fontId="0" fillId="0" borderId="0" xfId="0"/>
    <xf numFmtId="0" fontId="2" fillId="0" borderId="0" xfId="0" applyFont="1" applyAlignment="1">
      <alignment vertical="center"/>
    </xf>
    <xf numFmtId="0" fontId="3" fillId="0" borderId="0" xfId="0" applyFont="1" applyAlignment="1">
      <alignment vertical="center"/>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Alignment="1">
      <alignment horizontal="center" vertical="center" wrapText="1"/>
    </xf>
    <xf numFmtId="4" fontId="2" fillId="0" borderId="0" xfId="0" applyNumberFormat="1" applyFont="1" applyAlignment="1">
      <alignment vertical="center"/>
    </xf>
    <xf numFmtId="4" fontId="3" fillId="0" borderId="0" xfId="0" applyNumberFormat="1" applyFont="1" applyAlignment="1">
      <alignment vertical="center" wrapText="1"/>
    </xf>
    <xf numFmtId="4" fontId="3" fillId="0" borderId="0" xfId="0" applyNumberFormat="1" applyFont="1" applyAlignment="1">
      <alignment vertical="center"/>
    </xf>
    <xf numFmtId="4" fontId="5" fillId="0" borderId="0" xfId="0" applyNumberFormat="1" applyFont="1" applyAlignment="1">
      <alignment horizontal="center" vertical="center"/>
    </xf>
    <xf numFmtId="4" fontId="5" fillId="0" borderId="0" xfId="0" applyNumberFormat="1" applyFont="1" applyAlignment="1">
      <alignment vertical="center"/>
    </xf>
    <xf numFmtId="4" fontId="4" fillId="0" borderId="0" xfId="0" applyNumberFormat="1" applyFont="1" applyAlignment="1">
      <alignment vertical="center"/>
    </xf>
    <xf numFmtId="0" fontId="3" fillId="2" borderId="3" xfId="0" applyFont="1" applyFill="1" applyBorder="1" applyAlignment="1">
      <alignment horizontal="center" vertical="center" wrapText="1"/>
    </xf>
    <xf numFmtId="4" fontId="3" fillId="2" borderId="3" xfId="0" applyNumberFormat="1" applyFont="1" applyFill="1" applyBorder="1" applyAlignment="1">
      <alignment horizontal="center" vertical="center"/>
    </xf>
    <xf numFmtId="4" fontId="3" fillId="2" borderId="3" xfId="0" applyNumberFormat="1" applyFont="1" applyFill="1" applyBorder="1" applyAlignment="1">
      <alignment horizontal="center" vertical="center" wrapText="1"/>
    </xf>
    <xf numFmtId="0" fontId="3" fillId="3" borderId="3" xfId="0" applyFont="1" applyFill="1" applyBorder="1" applyAlignment="1">
      <alignment horizontal="center" vertical="center" wrapText="1"/>
    </xf>
    <xf numFmtId="4" fontId="3" fillId="3" borderId="3" xfId="0" applyNumberFormat="1" applyFont="1" applyFill="1" applyBorder="1" applyAlignment="1">
      <alignment horizontal="center" vertical="center"/>
    </xf>
    <xf numFmtId="4" fontId="3" fillId="3" borderId="3" xfId="0" applyNumberFormat="1" applyFont="1" applyFill="1" applyBorder="1" applyAlignment="1">
      <alignment horizontal="center" vertical="center" wrapText="1"/>
    </xf>
    <xf numFmtId="0" fontId="3" fillId="4" borderId="3" xfId="0" applyFont="1" applyFill="1" applyBorder="1" applyAlignment="1">
      <alignment horizontal="center" vertical="center" wrapText="1"/>
    </xf>
    <xf numFmtId="4" fontId="3" fillId="4" borderId="3" xfId="0" applyNumberFormat="1" applyFont="1" applyFill="1" applyBorder="1" applyAlignment="1">
      <alignment horizontal="center" vertical="center"/>
    </xf>
    <xf numFmtId="4" fontId="3" fillId="4" borderId="3" xfId="0" applyNumberFormat="1" applyFont="1" applyFill="1" applyBorder="1" applyAlignment="1">
      <alignment horizontal="center" vertical="center" wrapText="1"/>
    </xf>
    <xf numFmtId="0" fontId="3" fillId="0" borderId="3" xfId="0" applyFont="1" applyBorder="1" applyAlignment="1">
      <alignment horizontal="center" vertical="center" wrapText="1"/>
    </xf>
    <xf numFmtId="4" fontId="3" fillId="0" borderId="3" xfId="0" applyNumberFormat="1" applyFont="1" applyBorder="1" applyAlignment="1">
      <alignment horizontal="center" vertical="center"/>
    </xf>
    <xf numFmtId="4" fontId="3" fillId="0" borderId="3" xfId="0" applyNumberFormat="1" applyFont="1" applyBorder="1" applyAlignment="1">
      <alignment horizontal="center" vertical="center" wrapText="1"/>
    </xf>
    <xf numFmtId="0" fontId="3" fillId="0" borderId="3" xfId="0" applyFont="1" applyBorder="1" applyAlignment="1">
      <alignment horizontal="center" vertical="center"/>
    </xf>
    <xf numFmtId="0" fontId="3" fillId="2" borderId="3" xfId="0" applyFont="1" applyFill="1" applyBorder="1" applyAlignment="1">
      <alignment horizontal="center" vertical="center"/>
    </xf>
    <xf numFmtId="0" fontId="3" fillId="3" borderId="3" xfId="0" applyFont="1" applyFill="1" applyBorder="1" applyAlignment="1">
      <alignment horizontal="center" vertical="center"/>
    </xf>
    <xf numFmtId="0" fontId="3" fillId="4" borderId="3" xfId="0" applyFont="1" applyFill="1" applyBorder="1" applyAlignment="1">
      <alignment horizontal="center" vertical="center"/>
    </xf>
    <xf numFmtId="43" fontId="2" fillId="0" borderId="3" xfId="0" applyNumberFormat="1" applyFont="1" applyBorder="1" applyAlignment="1">
      <alignment vertical="center"/>
    </xf>
    <xf numFmtId="4" fontId="2" fillId="0" borderId="3" xfId="0" applyNumberFormat="1" applyFont="1" applyBorder="1" applyAlignment="1">
      <alignment vertical="center"/>
    </xf>
    <xf numFmtId="4" fontId="7" fillId="0" borderId="3" xfId="0" applyNumberFormat="1" applyFont="1" applyBorder="1" applyAlignment="1">
      <alignment vertical="center"/>
    </xf>
    <xf numFmtId="4" fontId="8" fillId="0" borderId="3" xfId="0" applyNumberFormat="1" applyFont="1" applyBorder="1" applyAlignment="1">
      <alignment vertical="center"/>
    </xf>
    <xf numFmtId="164" fontId="2" fillId="5" borderId="3" xfId="0" applyNumberFormat="1" applyFont="1" applyFill="1" applyBorder="1" applyAlignment="1">
      <alignment vertical="center"/>
    </xf>
    <xf numFmtId="4" fontId="9" fillId="0" borderId="3" xfId="0" applyNumberFormat="1" applyFont="1" applyBorder="1" applyAlignment="1">
      <alignment vertical="center"/>
    </xf>
    <xf numFmtId="4" fontId="10" fillId="0" borderId="3" xfId="0" applyNumberFormat="1" applyFont="1" applyBorder="1" applyAlignment="1">
      <alignment vertical="center"/>
    </xf>
    <xf numFmtId="164" fontId="2" fillId="0" borderId="3" xfId="0" applyNumberFormat="1" applyFont="1" applyBorder="1" applyAlignment="1">
      <alignment vertical="center"/>
    </xf>
    <xf numFmtId="0" fontId="2" fillId="0" borderId="0" xfId="0" applyFont="1" applyAlignment="1">
      <alignment horizontal="center" vertical="center"/>
    </xf>
    <xf numFmtId="43" fontId="2" fillId="3" borderId="3" xfId="0" applyNumberFormat="1" applyFont="1" applyFill="1" applyBorder="1" applyAlignment="1">
      <alignment vertical="center"/>
    </xf>
    <xf numFmtId="164" fontId="2" fillId="3" borderId="3" xfId="0" applyNumberFormat="1" applyFont="1" applyFill="1" applyBorder="1" applyAlignment="1">
      <alignment vertical="center"/>
    </xf>
    <xf numFmtId="4" fontId="8" fillId="3" borderId="3" xfId="0" applyNumberFormat="1" applyFont="1" applyFill="1" applyBorder="1" applyAlignment="1">
      <alignment vertical="center"/>
    </xf>
    <xf numFmtId="4" fontId="7" fillId="3" borderId="3" xfId="0" applyNumberFormat="1" applyFont="1" applyFill="1" applyBorder="1" applyAlignment="1">
      <alignment vertical="center"/>
    </xf>
    <xf numFmtId="0" fontId="2" fillId="3" borderId="0" xfId="0" applyFont="1" applyFill="1" applyAlignment="1">
      <alignment vertical="center"/>
    </xf>
    <xf numFmtId="4" fontId="2" fillId="3" borderId="0" xfId="0" applyNumberFormat="1" applyFont="1" applyFill="1" applyAlignment="1">
      <alignment vertical="center"/>
    </xf>
    <xf numFmtId="4" fontId="2" fillId="3" borderId="3" xfId="0" applyNumberFormat="1" applyFont="1" applyFill="1" applyBorder="1" applyAlignment="1">
      <alignment vertical="center"/>
    </xf>
    <xf numFmtId="4" fontId="9" fillId="3" borderId="3" xfId="0" applyNumberFormat="1" applyFont="1" applyFill="1" applyBorder="1" applyAlignment="1">
      <alignment vertical="center"/>
    </xf>
    <xf numFmtId="0" fontId="3" fillId="0" borderId="3" xfId="0" applyFont="1" applyBorder="1" applyAlignment="1">
      <alignment horizontal="center" vertical="center"/>
    </xf>
    <xf numFmtId="4" fontId="3" fillId="0" borderId="3" xfId="0" applyNumberFormat="1" applyFont="1" applyBorder="1" applyAlignment="1">
      <alignment horizontal="center" vertical="center"/>
    </xf>
    <xf numFmtId="0" fontId="1" fillId="0" borderId="0" xfId="0" applyFont="1" applyAlignment="1">
      <alignment horizontal="center" vertical="center"/>
    </xf>
    <xf numFmtId="0" fontId="4" fillId="0" borderId="0" xfId="0" applyFont="1" applyAlignment="1">
      <alignment horizontal="center" vertical="center" wrapText="1"/>
    </xf>
    <xf numFmtId="4" fontId="5" fillId="0" borderId="0" xfId="0" applyNumberFormat="1" applyFont="1" applyAlignment="1">
      <alignment horizontal="center" vertical="center" wrapText="1"/>
    </xf>
    <xf numFmtId="4" fontId="4" fillId="0" borderId="1" xfId="0" applyNumberFormat="1" applyFont="1" applyBorder="1" applyAlignment="1">
      <alignment horizontal="center" vertical="center"/>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0" fontId="6" fillId="2" borderId="3" xfId="0" applyFont="1" applyFill="1" applyBorder="1" applyAlignment="1">
      <alignment horizontal="center" vertical="center"/>
    </xf>
    <xf numFmtId="0" fontId="6" fillId="3" borderId="3" xfId="0" applyFont="1" applyFill="1" applyBorder="1" applyAlignment="1">
      <alignment horizontal="center" vertical="center"/>
    </xf>
    <xf numFmtId="0" fontId="6" fillId="4" borderId="3" xfId="0" applyFont="1" applyFill="1" applyBorder="1" applyAlignment="1">
      <alignment horizontal="center" vertical="center"/>
    </xf>
    <xf numFmtId="0" fontId="6" fillId="0" borderId="3"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externalLink" Target="externalLinks/externalLink25.xml"/><Relationship Id="rId117" Type="http://schemas.openxmlformats.org/officeDocument/2006/relationships/externalLink" Target="externalLinks/externalLink116.xml"/><Relationship Id="rId21" Type="http://schemas.openxmlformats.org/officeDocument/2006/relationships/externalLink" Target="externalLinks/externalLink20.xml"/><Relationship Id="rId42" Type="http://schemas.openxmlformats.org/officeDocument/2006/relationships/externalLink" Target="externalLinks/externalLink41.xml"/><Relationship Id="rId47" Type="http://schemas.openxmlformats.org/officeDocument/2006/relationships/externalLink" Target="externalLinks/externalLink46.xml"/><Relationship Id="rId63" Type="http://schemas.openxmlformats.org/officeDocument/2006/relationships/externalLink" Target="externalLinks/externalLink62.xml"/><Relationship Id="rId68" Type="http://schemas.openxmlformats.org/officeDocument/2006/relationships/externalLink" Target="externalLinks/externalLink67.xml"/><Relationship Id="rId84" Type="http://schemas.openxmlformats.org/officeDocument/2006/relationships/externalLink" Target="externalLinks/externalLink83.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6" Type="http://schemas.openxmlformats.org/officeDocument/2006/relationships/externalLink" Target="externalLinks/externalLink15.xml"/><Relationship Id="rId107" Type="http://schemas.openxmlformats.org/officeDocument/2006/relationships/externalLink" Target="externalLinks/externalLink106.xml"/><Relationship Id="rId11" Type="http://schemas.openxmlformats.org/officeDocument/2006/relationships/externalLink" Target="externalLinks/externalLink10.xml"/><Relationship Id="rId32" Type="http://schemas.openxmlformats.org/officeDocument/2006/relationships/externalLink" Target="externalLinks/externalLink31.xml"/><Relationship Id="rId37" Type="http://schemas.openxmlformats.org/officeDocument/2006/relationships/externalLink" Target="externalLinks/externalLink36.xml"/><Relationship Id="rId53" Type="http://schemas.openxmlformats.org/officeDocument/2006/relationships/externalLink" Target="externalLinks/externalLink52.xml"/><Relationship Id="rId58" Type="http://schemas.openxmlformats.org/officeDocument/2006/relationships/externalLink" Target="externalLinks/externalLink57.xml"/><Relationship Id="rId74" Type="http://schemas.openxmlformats.org/officeDocument/2006/relationships/externalLink" Target="externalLinks/externalLink73.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theme" Target="theme/theme1.xml"/><Relationship Id="rId5" Type="http://schemas.openxmlformats.org/officeDocument/2006/relationships/externalLink" Target="externalLinks/externalLink4.xml"/><Relationship Id="rId90" Type="http://schemas.openxmlformats.org/officeDocument/2006/relationships/externalLink" Target="externalLinks/externalLink89.xml"/><Relationship Id="rId95" Type="http://schemas.openxmlformats.org/officeDocument/2006/relationships/externalLink" Target="externalLinks/externalLink94.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43" Type="http://schemas.openxmlformats.org/officeDocument/2006/relationships/externalLink" Target="externalLinks/externalLink42.xml"/><Relationship Id="rId48" Type="http://schemas.openxmlformats.org/officeDocument/2006/relationships/externalLink" Target="externalLinks/externalLink47.xml"/><Relationship Id="rId64" Type="http://schemas.openxmlformats.org/officeDocument/2006/relationships/externalLink" Target="externalLinks/externalLink63.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18" Type="http://schemas.openxmlformats.org/officeDocument/2006/relationships/externalLink" Target="externalLinks/externalLink117.xml"/><Relationship Id="rId80" Type="http://schemas.openxmlformats.org/officeDocument/2006/relationships/externalLink" Target="externalLinks/externalLink79.xml"/><Relationship Id="rId85" Type="http://schemas.openxmlformats.org/officeDocument/2006/relationships/externalLink" Target="externalLinks/externalLink84.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33" Type="http://schemas.openxmlformats.org/officeDocument/2006/relationships/externalLink" Target="externalLinks/externalLink32.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08" Type="http://schemas.openxmlformats.org/officeDocument/2006/relationships/externalLink" Target="externalLinks/externalLink107.xml"/><Relationship Id="rId124" Type="http://schemas.openxmlformats.org/officeDocument/2006/relationships/styles" Target="styles.xml"/><Relationship Id="rId54" Type="http://schemas.openxmlformats.org/officeDocument/2006/relationships/externalLink" Target="externalLinks/externalLink53.xml"/><Relationship Id="rId70" Type="http://schemas.openxmlformats.org/officeDocument/2006/relationships/externalLink" Target="externalLinks/externalLink69.xml"/><Relationship Id="rId75" Type="http://schemas.openxmlformats.org/officeDocument/2006/relationships/externalLink" Target="externalLinks/externalLink74.xml"/><Relationship Id="rId91" Type="http://schemas.openxmlformats.org/officeDocument/2006/relationships/externalLink" Target="externalLinks/externalLink90.xml"/><Relationship Id="rId96" Type="http://schemas.openxmlformats.org/officeDocument/2006/relationships/externalLink" Target="externalLinks/externalLink95.xml"/><Relationship Id="rId1" Type="http://schemas.openxmlformats.org/officeDocument/2006/relationships/worksheet" Target="worksheets/sheet1.xml"/><Relationship Id="rId6" Type="http://schemas.openxmlformats.org/officeDocument/2006/relationships/externalLink" Target="externalLinks/externalLink5.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119" Type="http://schemas.openxmlformats.org/officeDocument/2006/relationships/externalLink" Target="externalLinks/externalLink118.xml"/><Relationship Id="rId44" Type="http://schemas.openxmlformats.org/officeDocument/2006/relationships/externalLink" Target="externalLinks/externalLink43.xml"/><Relationship Id="rId60" Type="http://schemas.openxmlformats.org/officeDocument/2006/relationships/externalLink" Target="externalLinks/externalLink59.xml"/><Relationship Id="rId65" Type="http://schemas.openxmlformats.org/officeDocument/2006/relationships/externalLink" Target="externalLinks/externalLink64.xml"/><Relationship Id="rId81" Type="http://schemas.openxmlformats.org/officeDocument/2006/relationships/externalLink" Target="externalLinks/externalLink80.xml"/><Relationship Id="rId86" Type="http://schemas.openxmlformats.org/officeDocument/2006/relationships/externalLink" Target="externalLinks/externalLink85.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109" Type="http://schemas.openxmlformats.org/officeDocument/2006/relationships/externalLink" Target="externalLinks/externalLink108.xml"/><Relationship Id="rId34" Type="http://schemas.openxmlformats.org/officeDocument/2006/relationships/externalLink" Target="externalLinks/externalLink33.xml"/><Relationship Id="rId50" Type="http://schemas.openxmlformats.org/officeDocument/2006/relationships/externalLink" Target="externalLinks/externalLink49.xml"/><Relationship Id="rId55" Type="http://schemas.openxmlformats.org/officeDocument/2006/relationships/externalLink" Target="externalLinks/externalLink54.xml"/><Relationship Id="rId76" Type="http://schemas.openxmlformats.org/officeDocument/2006/relationships/externalLink" Target="externalLinks/externalLink75.xml"/><Relationship Id="rId97" Type="http://schemas.openxmlformats.org/officeDocument/2006/relationships/externalLink" Target="externalLinks/externalLink96.xml"/><Relationship Id="rId104" Type="http://schemas.openxmlformats.org/officeDocument/2006/relationships/externalLink" Target="externalLinks/externalLink103.xml"/><Relationship Id="rId120" Type="http://schemas.openxmlformats.org/officeDocument/2006/relationships/externalLink" Target="externalLinks/externalLink119.xml"/><Relationship Id="rId125" Type="http://schemas.openxmlformats.org/officeDocument/2006/relationships/sharedStrings" Target="sharedStrings.xml"/><Relationship Id="rId7" Type="http://schemas.openxmlformats.org/officeDocument/2006/relationships/externalLink" Target="externalLinks/externalLink6.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4" Type="http://schemas.openxmlformats.org/officeDocument/2006/relationships/externalLink" Target="externalLinks/externalLink23.xml"/><Relationship Id="rId40" Type="http://schemas.openxmlformats.org/officeDocument/2006/relationships/externalLink" Target="externalLinks/externalLink39.xml"/><Relationship Id="rId45" Type="http://schemas.openxmlformats.org/officeDocument/2006/relationships/externalLink" Target="externalLinks/externalLink44.xml"/><Relationship Id="rId66" Type="http://schemas.openxmlformats.org/officeDocument/2006/relationships/externalLink" Target="externalLinks/externalLink65.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115" Type="http://schemas.openxmlformats.org/officeDocument/2006/relationships/externalLink" Target="externalLinks/externalLink114.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 Type="http://schemas.openxmlformats.org/officeDocument/2006/relationships/externalLink" Target="externalLinks/externalLink18.xml"/><Relationship Id="rId14" Type="http://schemas.openxmlformats.org/officeDocument/2006/relationships/externalLink" Target="externalLinks/externalLink13.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 Id="rId56" Type="http://schemas.openxmlformats.org/officeDocument/2006/relationships/externalLink" Target="externalLinks/externalLink55.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105" Type="http://schemas.openxmlformats.org/officeDocument/2006/relationships/externalLink" Target="externalLinks/externalLink104.xml"/><Relationship Id="rId126" Type="http://schemas.openxmlformats.org/officeDocument/2006/relationships/calcChain" Target="calcChain.xml"/><Relationship Id="rId8" Type="http://schemas.openxmlformats.org/officeDocument/2006/relationships/externalLink" Target="externalLinks/externalLink7.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3" Type="http://schemas.openxmlformats.org/officeDocument/2006/relationships/externalLink" Target="externalLinks/externalLink2.xml"/><Relationship Id="rId25" Type="http://schemas.openxmlformats.org/officeDocument/2006/relationships/externalLink" Target="externalLinks/externalLink24.xml"/><Relationship Id="rId46" Type="http://schemas.openxmlformats.org/officeDocument/2006/relationships/externalLink" Target="externalLinks/externalLink45.xml"/><Relationship Id="rId67" Type="http://schemas.openxmlformats.org/officeDocument/2006/relationships/externalLink" Target="externalLinks/externalLink66.xml"/><Relationship Id="rId116" Type="http://schemas.openxmlformats.org/officeDocument/2006/relationships/externalLink" Target="externalLinks/externalLink115.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 Type="http://schemas.openxmlformats.org/officeDocument/2006/relationships/externalLink" Target="externalLinks/externalLink14.xml"/><Relationship Id="rId36" Type="http://schemas.openxmlformats.org/officeDocument/2006/relationships/externalLink" Target="externalLinks/externalLink35.xml"/><Relationship Id="rId57" Type="http://schemas.openxmlformats.org/officeDocument/2006/relationships/externalLink" Target="externalLinks/externalLink56.xml"/><Relationship Id="rId106" Type="http://schemas.openxmlformats.org/officeDocument/2006/relationships/externalLink" Target="externalLinks/externalLink105.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78" Type="http://schemas.openxmlformats.org/officeDocument/2006/relationships/externalLink" Target="externalLinks/externalLink77.xml"/><Relationship Id="rId94" Type="http://schemas.openxmlformats.org/officeDocument/2006/relationships/externalLink" Target="externalLinks/externalLink93.xml"/><Relationship Id="rId99" Type="http://schemas.openxmlformats.org/officeDocument/2006/relationships/externalLink" Target="externalLinks/externalLink98.xml"/><Relationship Id="rId101" Type="http://schemas.openxmlformats.org/officeDocument/2006/relationships/externalLink" Target="externalLinks/externalLink100.xml"/><Relationship Id="rId122" Type="http://schemas.openxmlformats.org/officeDocument/2006/relationships/externalLink" Target="externalLinks/externalLink121.xml"/><Relationship Id="rId4" Type="http://schemas.openxmlformats.org/officeDocument/2006/relationships/externalLink" Target="externalLinks/externalLink3.xml"/><Relationship Id="rId9" Type="http://schemas.openxmlformats.org/officeDocument/2006/relationships/externalLink" Target="externalLinks/externalLink8.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Ft1\d\RWSS-2001&amp;2002\DESIGN%20ESTIMATE-Batch-IV\CHECKED%20BY%20SA\MRMG\Design%20estimate-Damare-final.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All%20Staff%20files\Lama\DLama\Workout%20for%20068-69\Master%20Copy\Design.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WS%20Nuwakot\DWSSproject%20_4.3%202070%20-Thansing\Design.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WS%20Nuwakot\New%20WS%20Nuwakot%20Original\Design.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palpa%20division%2073-74\Final%20Report-kaligandaki\Design.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aligandaki-Tansen%20Final\Final%20Report-kaligandaki%2073-74%20-Revised%20AStm\Kaligandaki%20Report%20Final\Kalidandaki%20Cost%20&amp;%20Qt%20Est\Design.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palpa%20division%2073-74\Final%20Report-kaligandaki\Kalidandaki%20Simkhada\Estimate\Desig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Ft2\d\FINIDA\System-1-final\OHT-80.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Kaligandaki-Tansen%20Final\Final%20Report-kaligandaki%2073-74%20-Revised%20AStm\Kaligandaki%20Report%20Final\Kalidandaki%20Cost%20&amp;%20Qt%20Est\Estimat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Kaligandaki-Tansen%20Final\Final%20Report-kaligandaki%2073-74%20-Revised%20AStm\Kaligandaki%20Report%20Final\Kalidandaki%20Cost%20&amp;%20Qt%20Est\Kalidandaki%20Simkhada\Estimate\Estimate.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Summary.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Final%20Report-kaligandaki%2073-74\Kalidandaki%20Simkhada\Estimate\Estimate.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Work@Consultancy\DA%20NEPAL\Panchthar%20District\Final%20Report%20_Panchthar_WSP\Cost%20and%20Quantity%20Estimate\Work_Temp\Rate%20Analysis%20066-67\Civil%20rate%20Analysis%202066%2067.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Nuwakot%20WS\Kakani\Bhairabi_Kakani_5\Desig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Work_Temp\Rate%20Analysis%20066-67\Civil%20rate%20Analysis%202066%206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dell\Desktop\working%20file\sheet%20xail%20file\Naudada%20Karkineta%202067229\MONKWEST.xl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Nuwakot%20WS\WS%20Nuwakot\DWSSproject%20_4.3%202070%20-Thansing\Design.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palpa%20division%2073-74\Final%20Report-kaligandaki\DWSSproject%20_4.3%20Kaligandaki\Design.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Coman%20file\Pdrive2\OLD%20FILE\HP%20Drive\MY%20pen%20drive\WSSDO%20file11(office)\water%20scheme\New%20ws%20scheme%2065\Beltar%20II\Estimate%20pump.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C:\Design%20Estimate%20Lamjung\DWSS-Design-4\DWSSproject-4%20Parewadanda\Design.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Coman%20file\Pdrive2\OLD%20FILE\HP%20Drive\MY%20pen%20drive\WSSDO%20file11(office)\water%20scheme\New%20ws%20scheme%2065\Beltar%20II\Copy%20of%20Estimat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C:\Ws%20banke\Bankatawa\Bankatawa.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Design%20Estimate%20Lamjung\Rehab%20Besishahar%20Revised\Estimate.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home%20PC\E%20drive%208nov\Design%20Pumping%20System%20PPT\Chadreshower-Duradanda\Design.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C:\WSSDO%20File\water%20scheme\New%20ws%20scheme%2065\Thanagaun%20II\EstimateXX.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Project%20Ongoing\Sewerage\UEIP-II\Biratnagar%20Municipality\STUIP_Biratnagar%20on%20Cm\Design\Northern%20System\SD%20Northern%20System%20T3-old.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C:\Er.rajesh\Palpa%20division\Bridge\Kaligandaki%20Damachaur%20Rampur%20Bridge%20estimate%20Final\RATE%20ANALYSIS%20-.xls" TargetMode="External"/></Relationships>
</file>

<file path=xl/externalLinks/_rels/externalLink30.xml.rels><?xml version="1.0" encoding="UTF-8" standalone="yes"?>
<Relationships xmlns="http://schemas.openxmlformats.org/package/2006/relationships"><Relationship Id="rId2" Type="http://schemas.microsoft.com/office/2019/04/relationships/externalLinkLongPath" Target="file:///\\Indra\Users\dell\AppData\Roaming\Microsoft\Excel\From%20Mahato%20sir\Project%20Ongoing\Sewerage\UEIP-II\Biratnagar%20Municipality\STUIP_Biratnagar%20on%20Cm\Design\Draft%20Final\DF%20Northern%20System\Sewerage\SD%20Northern%20System%20T2.xls?D236BE7E" TargetMode="External"/><Relationship Id="rId1" Type="http://schemas.openxmlformats.org/officeDocument/2006/relationships/externalLinkPath" Target="file:///\\D236BE7E\SD%20Northern%20System%20T2.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dell\Desktop\working%20file\sheet%20xail%20file\New%20folder\fptsop\Anpu%20Khola\Main%20Report%20Anpu\Final%20Estimate%20&amp;%20Rate%20Analysis_Anpu%20_SRG.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Laxma%20kc\Gorkha\Gorkha\DWSSproject%20_4.3%202070%20-&#2327;&#2379;&#2352;&#2381;&#2326;&#2366;\Design.xls" TargetMode="External"/></Relationships>
</file>

<file path=xl/externalLinks/_rels/externalLink33.xml.rels><?xml version="1.0" encoding="UTF-8" standalone="yes"?>
<Relationships xmlns="http://schemas.openxmlformats.org/package/2006/relationships"><Relationship Id="rId2" Type="http://schemas.microsoft.com/office/2019/04/relationships/externalLinkLongPath" Target="file:///\\Indra\Users\dell\AppData\Roaming\Microsoft\Excel\From%20Mahato%20sir\Project%20Ongoing\Sewerage\UEIP-II\Biratnagar%20Municipality\STUIP_Biratnagar%20on%20Cm\Design\Draft%20Final\DF%20Northern%20System\Sewerage\SD%20Northern%20System%20T4-OLD.xls?D236BE7E" TargetMode="External"/><Relationship Id="rId1" Type="http://schemas.openxmlformats.org/officeDocument/2006/relationships/externalLinkPath" Target="file:///\\D236BE7E\SD%20Northern%20System%20T4-OLD.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dell\Desktop\working%20file\sheet%20xail%20file\GOVINDA\065-66\Janapriya%20MC\Final%20Document\Estimates.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C:\Users\dell\Desktop\working%20file\sheet%20xail%20file\GOVINDA\BCMDO\Rate%20Analysis%20062-63\2062%20Civil\Rate%20Ana062-63%20(edited).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C:\Users\dell\Desktop\working%20file\sheet%20xail%20file\Dhanusha_District\SAMPLE%20Cost%20Estimate_KB%20Road\MONKWEST.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All%20Staff%20files\Lama\DLama\Workout%20for%20068-69\Master%20Copy\Estimatee.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Kaligandaki-Tansen%20Final\Final%20Report-kaligandaki%2073-74%20-Revised%20AStm\Kaligandaki%20Report%20Final\Kalidandaki%20Cost%20&amp;%20Qt%20Est\Summ.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Gate1\d\FINIDA\System-1-final\OHT-80.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Users\dell\Desktop\working%20file\sheet%20xail%20file\Estimation%20Sheet\Slab%20Culvert%20Estimation%20Finalized.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C:\Dipendra\SUNIL%20DOCUMENT\private%20sunil\MHP\Standard_cost%20n%20estimation.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I:\Damouli,Rp\Myagde%20Bridge\Myagde%20Khola%20Bridge%20Estimate%20nks04%20falgun.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Users\dell\Desktop\working%20file\sheet%20xail%20file\Users\krishna\Desktop\Estimate%20final@rukumkot%20cofinance%20WSSP%20base%20width%20530.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Bridges%20of%20Palpa\Kaligandaki%20Damachaur%20Rampur%20Bridge%20estimate%20Final\RATE%20ANALYSIS%2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C:\Users\dell\Desktop\working%20file\sheet%20xail%20file\Users\DELL\AppData\Roaming\Microsoft\Excel\Consultant%20Estimate_%20Rukum_14%20km%20new.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C:\Users\dell\Desktop\working%20file\sheet%20xail%20file\mhhp,%20dang\02-68-69%20contracts%20mhwest\Rate%20for%20Achham%20District.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NIRANJAN-PC\share\srijal\BoQ_RUDP-Final_submitted-8-16\BoQ_RUDP_for%20final-3-14\UsersPublic\Manish%20Shrestha\Package%20I_0+000.00-10+500_nepalgunj%20kohalpur.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I:\minprasad\workon%2066-67\2nd%20lot%20contract067\7%20Resealing\Recurrent%20work%20Bartung%20to%20Tamgha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C:\minprasad\workon%2066-67\2nd%20lot%20contract067\7%20Resealing\Recurrent%20work%20Bartung%20to%20Tamghas.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C:\UEIP%20II\From%20chudamuni%20sir\Estimate_BOQ_Full%20Rehab%20-%20northern%20(BALA).xlsx"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C:\BAPIDP_2015\Bishnumati%20River\CD_Bishnumati_B1_B2%20&amp;%20B3_12.10.2014\Bishnumati_B1_CD_HPCIDBC\Estimate_Bishnumati-B1-Final-CD\8.%20Detailed%20Estimate-Road_Bishnumati-Road-B1-Final-5July13.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C:\Damouli,Rp\Myagde%20Bridge\Myagde%20Khola%20Bridge%20Estimate%20nks04%20falgun.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C:\Users\dell\Desktop\working%20file\sheet%20xail%20file\SNRTP\DPR\Baidam%20Pame_Raju\Baidam%20Pame\EST%20JUN%206_SRG.xlsm"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C:\Palpa\069-70\Rate%20Analysis_069_70\Palpa_Rate%20Analysis_069_7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C:\dro%232\Tenders(BOQ)\058-59\Notice%20No.%203\contract-6.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Indra\INDRA\BDA%20PROJECTS\THIRD%20SMALL%20TOWN\FEASIBILITY%20STUDY%20REPORT\Abukhaireni\Feasibility%20Report\Cost%20Estimates\From%20Mahato%20sir\UEIP%20II\From%20chudamuni%20sir\Estimate_BOQ_Full%20Rehab%20-%20northern%20(BALA).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C:\Users\DELL_Bijay\Downloads\NEPALCONSULT\Drain-sewer-Surkhet-Palpa\Copy%20from%20NC%20computer\Quantity_Cost%20Estimates\Rate%20analysis.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C:\Users\niranjan\Downloads\Pipe%20valve%20box%20of%20Chchakiphanta.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C:\Users\dell\Desktop\working%20file\sheet%20xail%20file\Users\Vintaze\Downloads\galagard%20estimation.xlsx"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Panchthar%20WSSDO\Panchthar%202073_74\Dry%20Area\Yasok\Bid%20Document%20-%20Yashok%20(Arid%20Zone)%20WSP,%20Panchtahr_Uploaded_2073_6_18\Users\rabindra\Desktop\Rate%20analysis\Rate%20analysis-066-67.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C:\Users\user\Downloads\Distribution%20pipeline%20part%201\Aireni\Aireni.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C:\Users\dell\Desktop\working%20file\sheet%20xail%20file\Rabindra\Water\GURUNG\REPORTS\4TH-WSP\FORMAT-2\TABLES.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GURUNG\REPORTS\4TH-WSP\FORMAT-2\TABLES.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Dec\o-pro\O-246%20Bridge%20(DoR)%20JV%20with%20Hydro%20Trans\Estimate\Jira%20Bhawani\Rate%20analysis\Rate%20Analysis.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Three\d\Small%20Town\Walling\Design%20part\DWSSproject-1Demo\Estimate.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C:\Working%20File%20WSSDO\PLAN%20&amp;%20PROGRESS%20@%20WSSDO\Exported%20Files\Final%20ADP%20%20Lamjung.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C:\DOCUME~1\CBWSSP\LOCALS~1\Temp\Temporary%20Directory%201%20for%20Stwssp.zip\Estmt-%20IPC.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C:\minprasad\workon%20065-66\Contract%20065-66\maintenance\Maintenance%20gulmi%20and%20palpa\Estimate_2065-66%20corrected%20palpa\Recurrent_Palpa\RB_01\dro%232\Tenders(BOQ)\058-59\Notice%20No.%203\contract-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Users\dell\Desktop\working%20file\sheet%20xail%20file\desktop_backup\Sangekhola%20Bridge1\Rate%20Analysis%20for%20Tarkughat.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C:\Damouli,Rp\Myagde%20Bridge\SETI%20BRIDGE\SETI_DULEGAUDA_NEW\Sangekhola%20Bridge1\Rate%20Analysis%20for%20Tarkughat.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Indra\CM%20Ghimire\STIUEIP\Biratnagar\Engineer's%20Estimate\Enginner's%20Estimate%20for%20Road%20Storm%20Drains\Asphalt%20Concrete%20Surface_Rd%20only\FROM%20BHOLA%2016%20DECEMBER%202012\Estimate_BOQ_Full%20Rehab%20-%20southern.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C:\Cost%20Estimate%20-Charali%20%20rev%20Xls%2030%20June%20014%20CORRECTED.xlsx"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C:\IMAN%20LAPTOP\Dhauligadh_WSS_Jumla\Annex%20Part_DWSSP\from%20shakya%20sir\Cost%20Estimate%20DEDR%20Vol%203_Pragatinagar_20190318.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C:\Nuwakot%20WS\Chaughada\CSP%20Technical\Proposal\Aarugaira%20DWS\Sanasim%20WSS%20Scheme.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C:\Guheshwori_Work_14Jan13\Crossing_Guheshwari\Crossing_Guh_Bridge_Site_Report_GS-Final\Final-Report_Bridge_Site_GS_15Feb13%20-HPCIBD\Estimate-Final_River_Crossing-Bridge_Site-Final-HPCIBD.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C:\Users\DELL_Bijay\Downloads\Home%20Job\RRRSDP-home-oct27\RANA\Fanal-Dalchoki%20WS.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C:\Working%20File%20WSSDO\PLAN%20&amp;%20PROGRESS%20@%20WSSDO\ANNUAL%20PLAN%20and%20PROGRESS.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inprasad\workon%20065-66\Contract%20065-66\maintenance\Maintenance%20gulmi%20and%20palpa\Estimate_2065-66%20corrected%20palpa\Recurrent_Palpa\RB_01\dro%232\Tenders(BOQ)\059-60\NNo.%203%20(3-7)\st-3\s3-aoc-4-059-60.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Jan%2012%202004.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Users\Personal\Desktop\Bridges%20of%20Palpa\Kaligandaki%20chapakot%20Rampur\Arun%20Bridge\RATE%20ANALYSIS%20-%20Arun%20Bridge.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My%20Documents\MFWRO%20REPORT\Technical\Project%2009-10\EC%20supported%20Project\EC%20Cost%2009-10\Water%20Costing\Dailekh\Rumi%20Costing%20WATSAN%2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Documents%20and%20Settings\Suraj\Desktop\Design.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Users\Personal\Desktop\Bridges%20of%20Palpa\Kaligandaki%20chapakot%20Rampur\RATE%20ANALYSIS%20-.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C:\Damouli,Rp\Myagde%20Bridge\SETI%20BRIDGE\SETI_DULEGAUDA_NEW\Estimate%20n%20BoQ%20064-65\249,555,695,660\Specific%20555,Minor%20recurrent%20&amp;%20Periodic%20695\Major%20Minor\Rate%20Analysis'%20for%20major,minor.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Estimate%20n%20BoQ%20final%20064-65\249,555,695,660\249\Bhorletar,Chabdi,Bageswori,Ghasikuwa\Rate%20Analysis'%20for%20Bhorletarkaraputar%20green%20road%20revised.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Wrd-4\e\rajen\Work\Rate%20Analysis\Sirsiya.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Indra\INDRA\BDA%20PROJECTS\THIRD%20SMALL%20TOWN\FEASIBILITY%20STUDY%20REPORT\Abukhaireni\Feasibility%20Report\Cost%20Estimates\From%20Mahato%20sir\UEIP%20II\Southern%20System\Draft\Estimate_BOQ_Full%20Rehab%20-%20southern.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Wrd-4\e\rajen\Work\Rate%20Analysis\Working%20Folder\HID.xls" TargetMode="External"/></Relationships>
</file>

<file path=xl/externalLinks/_rels/externalLink89.xml.rels><?xml version="1.0" encoding="UTF-8" standalone="yes"?>
<Relationships xmlns="http://schemas.openxmlformats.org/package/2006/relationships"><Relationship Id="rId2" Type="http://schemas.microsoft.com/office/2019/04/relationships/externalLinkLongPath" Target="file:///C:\Panchthar%20WSSDO\Panchthar%202073_74\Dry%20Area\Yasok\Bid%20Document%20-%20Yashok%20(Arid%20Zone)%20WSP,%20Panchtahr_Uploaded_2073_6_18\Users\rabindra\Desktop\Rate%20analysis\Projects\o-246%20Bridge%20(DOR)\Estimate\Rate%20Analysis-Khahare.xls?BA1D813D" TargetMode="External"/><Relationship Id="rId1" Type="http://schemas.openxmlformats.org/officeDocument/2006/relationships/externalLinkPath" Target="file:///\\BA1D813D\Rate%20Analysis-Khahare.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C:\Division%20works\Estimates\GURUNG\REPORTS\4TH-WSP\FORMAT-2\TABLES.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Wa3\e\Birendranagar%20BOQ%20Comp\BOQ%20Cost%20Total%20Birendranagar%20May%2031%202004.xls" TargetMode="External"/></Relationships>
</file>

<file path=xl/externalLinks/_rels/externalLink92.xml.rels><?xml version="1.0" encoding="UTF-8" standalone="yes"?>
<Relationships xmlns="http://schemas.openxmlformats.org/package/2006/relationships"><Relationship Id="rId1" Type="http://schemas.microsoft.com/office/2006/relationships/xlExternalLinkPath/xlPathMissing" Target="Worksheet%20in%20Book1"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C:\Mahesh\Old%20Computer\3rd%20Small%20Town\surkhet\Estimate_Surkhet\BoQ_Surkhet_20171120\BoQ_Surkhet%20Cost%20Estimate_20171120.xlsx"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C:\CM%20Ghimire\STIUEIP\Biratnagar\Engineer's%20Estimate\Enginner's%20Estimate%20for%20Road%20Storm%20Drains\Asphalt%20Concrete%20Surface_Rd%20only\Rate%20analysis%20Transmission%20-%20Copy.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C:\Users\DELL_Bijay\Downloads\trs\nepalcon\lekhnath\Final%20Report\Common%20Qty%20&amp;%20Cost%20Est.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C:\Extra%20Work\Distribution%20Line\final%20dats\Bohragaun.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Gate1\d\RWSS-2001&amp;2002\Cost%20Estimation\RWS-CS-Summary.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Welink6\d\Welink4\STWSSSP\Birendranagar\Revised_Field%20Visit\Quantity%20and%20Cost%20Estimate\Cost%20Estimate\Birendranagar_October%202.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Indra\Users\dell\AppData\Roaming\Microsoft\Excel\From%20Mahato%20sir\Users\office\AppData\Local\Temp\Ramsubaran\Biratnagar%20Office\FINAL%20RATE%20ANALYSIS%202064.065\District%20Rate%20,%20Morang%202065.66\RATE_ANA64__65%20Morang.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C:\Greenhill%20Housing%20WSSP\Kathmandu_Rate%20072-73\BCMDO\Rate%20Analysis%20062-63\2062%20Civil\Rate%20Ana062-63%20(edited).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Indra\INDRA\BDA%20PROJECTS\THIRD%20SMALL%20TOWN\FEASIBILITY%20STUDY%20REPORT\Abukhaireni\Feasibility%20Report\Cost%20Estimates\From%20Mahato%20sir\MY%20DOCUMENT\Template\(RATE_ANL1)RATE_ANL."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C:\Users\sujan%20simkhada\Downloads\WS%20Nuwakot\DWSSproject%20_4.3%202070%20-Thansing\Design.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Working%20CD%201\DWSSproject-1\karkando-level\Design.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AASHITOSH\Sharing%20Caring\PRAKASH%20march%2024\BSL%20and%20miscelaneous\risk%20and%20return\old%20%20hdd\desktop\New%20Folder%20(4)\Removable%20Disk%20(H)\@Kawasoti\kawasoti%20BOQ\Kawasoti%20Estimate%20Ver.1(June20)_1.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I:\Bridge%20'08\Bridge%2007-08\Bridge%2007-08%20Final%20Reports\Draft%20Report%20-%20Kamitar%20-%20Revised\Abstract%20of%20Cost%20-%20%20(Kailali).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C:\Er.rajesh\Palpa%20division\Bridge\Kaligandaki%20Damachaur%20Rampur%20Bridge%20estimate%20Final\Estimate%20.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C:\Damouli,Rp\Myagde%20Bridge\SETI%20BRIDGE\SETI_DULEGAUDA_NEW\Final%20Report\BRN7_Seti_Dulegauda\Main%20Report_Vol_I\Rate%20Analysis'%20for%20jigdi%20%20Bridge.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Admin-6465\Admin-WSSDO\Estimates-Baitadi\Dilasaini%20Brihad\Design.xls" TargetMode="External"/></Relationships>
</file>

<file path=xl/externalLinks/_rels/externalLink109.xml.rels><?xml version="1.0" encoding="UTF-8" standalone="yes"?>
<Relationships xmlns="http://schemas.openxmlformats.org/package/2006/relationships"><Relationship Id="rId1" Type="http://schemas.microsoft.com/office/2006/relationships/xlExternalLinkPath/xlPathMissing" Target="Reservoir%20Tank"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Users\user\Downloads\Distribution%20pipeline%20part%201\Aireni\final%20dats\Aireni.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C:\Users\user\Downloads\Distribution%20pipeline%20part%201\Depalgaun\hyakhola.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Indra\Rojina\From%20Mahato%20sir\Detail%20Estimate-12%20October%202014%20final.xlsx"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C:\Timilsina%20hari\Works_districts\Sindhupalchok\Copy%20of%20BOQ_Sunawal%20with%20Rate%20and%20Amount.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C:\Dulegauda\Estimate_20170620\Revision_20171009\BOQ%20Dulegauda,Tanahu-combined-Mahesh_20171009.xlsx"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C:\Users\dell\Desktop\working%20file\sheet%20xail%20file\GOVINDA\Ratan_Pandey\1.Ratan%20pandey%20school\SAN_FINAL_RATE_ANALYSIS_060.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C:\mahesh%20document\SAN_FINAL_RATE_ANALYSIS_063.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C:\Users\dell\Desktop\working%20file\sheet%20xail%20file\ram\cofinancing%20Water%20Supply\Da\Tulsipur.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C:\Laxma%20kc\Gorkha\Gorkha\DWSSproject%20_4.3%202070%20-Master%20copy%20-%20&#2346;&#2381;&#2352;&#2340;&#2367;&#2354;&#2367;&#2346;&#2367;%20&#2348;&#2344;&#2366;&#2313;&#2344;&#2369;&#2361;&#2379;&#2360;&#2381;\Design.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C:\Laxma%20kc\Gorkha\Gorkha\DWSSproject%20_4.3%202070%20-Master%20copy%20-%20&#2346;&#2381;&#2352;&#2340;&#2367;&#2354;&#2367;&#2346;&#2367;%20&#2348;&#2344;&#2366;&#2313;&#2344;&#2369;&#2361;&#2379;&#2360;&#2381;\FITTINGS.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Cm\SHARE\T2\SD%20Northern%20System%20T2%20New-Rojina.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Users\dell\Desktop\working%20file\sheet%20xail%20file\Final%20Cost%20Estimate_ARID%20ZONE%20Project%2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eneral Information"/>
      <sheetName val="Board-Approval"/>
      <sheetName val="TAC-sheet"/>
      <sheetName val="board sheet"/>
      <sheetName val="Cover"/>
      <sheetName val="DATA INPUT"/>
      <sheetName val="Water Demand"/>
      <sheetName val="RVT Size"/>
      <sheetName val="Hyd Design"/>
      <sheetName val="1-Summary Proposal"/>
      <sheetName val="2-Per Capita and Contribution"/>
      <sheetName val="3 to 8 Software Cost Proposal"/>
      <sheetName val="9-31 Scheme Summary"/>
      <sheetName val="10-32 Hardware Cost Proposal"/>
      <sheetName val="11-33 Hardware Cost Proposal 1"/>
      <sheetName val="12-34 WS Summary"/>
      <sheetName val="13-35 Inst-lat Summary"/>
      <sheetName val="14-36 S Protect Cost Summary"/>
      <sheetName val="Truck-Trans"/>
      <sheetName val="15-37 Transport"/>
      <sheetName val="16-38 Porterage"/>
      <sheetName val="17-39 Local Mat"/>
      <sheetName val="Norms"/>
      <sheetName val="18-40 Tools"/>
      <sheetName val="19-41 Cost - Local + Lab"/>
      <sheetName val="20-42 Others"/>
      <sheetName val="21-43 Pipes"/>
      <sheetName val="22 to 26-44 Fittings"/>
      <sheetName val="Inst-Lat"/>
      <sheetName val="Catch"/>
      <sheetName val="pvt-tap"/>
      <sheetName val="Qty Estimate intake"/>
      <sheetName val="Material BD intake"/>
      <sheetName val="Material BD blocks"/>
      <sheetName val="AUTO RF MTHD"/>
      <sheetName val="Abney"/>
      <sheetName val="Link-File"/>
      <sheetName val="ERR Calculation"/>
      <sheetName val="od-id"/>
      <sheetName val="New s-cur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1"/>
      <sheetName val="ProfileData"/>
      <sheetName val="PipeDesign"/>
      <sheetName val="PipeLineWork"/>
      <sheetName val="PipeList"/>
      <sheetName val="PFdata"/>
      <sheetName val="PD-TMPLT"/>
      <sheetName val="DrawingControls"/>
      <sheetName val="Profile"/>
      <sheetName val="FlowDiagram"/>
      <sheetName val="Features"/>
      <sheetName val="FitData"/>
      <sheetName val="Fittings"/>
      <sheetName val="T&amp;P"/>
      <sheetName val="Summary"/>
    </sheetNames>
    <sheetDataSet>
      <sheetData sheetId="0">
        <row r="4">
          <cell r="E4" t="str">
            <v>Water Supply &amp; Sanitation Division Office, Tansen, Palpa</v>
          </cell>
        </row>
        <row r="5">
          <cell r="E5" t="str">
            <v>Simpani W/S Project</v>
          </cell>
        </row>
      </sheetData>
      <sheetData sheetId="1"/>
      <sheetData sheetId="2"/>
      <sheetData sheetId="3">
        <row r="9">
          <cell r="D9">
            <v>6350</v>
          </cell>
        </row>
        <row r="25">
          <cell r="D25">
            <v>250</v>
          </cell>
        </row>
        <row r="26">
          <cell r="D26">
            <v>260</v>
          </cell>
        </row>
      </sheetData>
      <sheetData sheetId="4"/>
      <sheetData sheetId="5"/>
      <sheetData sheetId="6"/>
      <sheetData sheetId="7"/>
      <sheetData sheetId="8"/>
      <sheetData sheetId="9"/>
      <sheetData sheetId="10"/>
      <sheetData sheetId="11">
        <row r="18">
          <cell r="B18" t="str">
            <v>Spring Intake1</v>
          </cell>
        </row>
        <row r="19">
          <cell r="B19" t="str">
            <v>Spring Intake2</v>
          </cell>
        </row>
        <row r="20">
          <cell r="B20" t="str">
            <v>Fed Stream Intake1</v>
          </cell>
        </row>
        <row r="21">
          <cell r="B21" t="str">
            <v>Stream Intake2</v>
          </cell>
        </row>
        <row r="22">
          <cell r="B22" t="str">
            <v>Stream Intake3</v>
          </cell>
        </row>
        <row r="23">
          <cell r="B23" t="str">
            <v>Masonry C.C</v>
          </cell>
        </row>
        <row r="24">
          <cell r="B24" t="str">
            <v>Masonry Sed. Tank</v>
          </cell>
        </row>
        <row r="25">
          <cell r="B25" t="str">
            <v>Ferro Sed. Tank</v>
          </cell>
        </row>
        <row r="26">
          <cell r="B26" t="str">
            <v>Masonry I.C.</v>
          </cell>
        </row>
        <row r="27">
          <cell r="B27" t="str">
            <v>Piped BPC</v>
          </cell>
        </row>
        <row r="28">
          <cell r="B28" t="str">
            <v>Masonry BPT</v>
          </cell>
        </row>
        <row r="29">
          <cell r="B29" t="str">
            <v>Valve Chamber</v>
          </cell>
        </row>
        <row r="30">
          <cell r="B30" t="str">
            <v>Airvalve Chamber</v>
          </cell>
        </row>
        <row r="31">
          <cell r="B31" t="str">
            <v>Cable Crossing (No)</v>
          </cell>
        </row>
        <row r="32">
          <cell r="B32" t="str">
            <v>GI Crossing (No)</v>
          </cell>
        </row>
        <row r="33">
          <cell r="B33" t="str">
            <v>Riverbed Crossing (m)</v>
          </cell>
        </row>
        <row r="34">
          <cell r="B34" t="str">
            <v>Masonry D.C.</v>
          </cell>
        </row>
        <row r="35">
          <cell r="B35" t="str">
            <v>Ferrocement RT - 1m3</v>
          </cell>
        </row>
        <row r="36">
          <cell r="B36" t="str">
            <v>Ferrocement RT - 2m3</v>
          </cell>
        </row>
        <row r="37">
          <cell r="B37" t="str">
            <v>Ferrocement RT - 3m3</v>
          </cell>
        </row>
        <row r="38">
          <cell r="B38" t="str">
            <v>Ferrocement RT - 4m3</v>
          </cell>
        </row>
        <row r="39">
          <cell r="B39" t="str">
            <v>Ferrocement RT - 5m3</v>
          </cell>
        </row>
        <row r="40">
          <cell r="B40" t="str">
            <v>Ferrocement RT - 6m3</v>
          </cell>
        </row>
        <row r="41">
          <cell r="B41" t="str">
            <v>Ferrocement RT - 7m3</v>
          </cell>
        </row>
        <row r="42">
          <cell r="B42" t="str">
            <v>Ferrocement RT - 8m3</v>
          </cell>
        </row>
        <row r="43">
          <cell r="B43" t="str">
            <v>Ferrocement RT - 9m3</v>
          </cell>
        </row>
        <row r="44">
          <cell r="B44" t="str">
            <v>Ferrocement RT - 10m3</v>
          </cell>
        </row>
        <row r="45">
          <cell r="B45" t="str">
            <v>Ferrocement RT - 12m3</v>
          </cell>
        </row>
        <row r="46">
          <cell r="B46" t="str">
            <v>Ferrocement RT - 14m3</v>
          </cell>
        </row>
        <row r="47">
          <cell r="B47" t="str">
            <v>Ferrocement RT - 16m3</v>
          </cell>
        </row>
        <row r="48">
          <cell r="B48" t="str">
            <v>Ferrocement RT - 18m3</v>
          </cell>
        </row>
        <row r="49">
          <cell r="B49" t="str">
            <v>Ferrocement RT - 20m3</v>
          </cell>
        </row>
        <row r="50">
          <cell r="B50" t="str">
            <v>Masonry RT    - 1m3</v>
          </cell>
        </row>
        <row r="51">
          <cell r="B51" t="str">
            <v>Masonry RT    - 5m3</v>
          </cell>
        </row>
        <row r="52">
          <cell r="B52" t="str">
            <v>Masonry RT    - 75m3</v>
          </cell>
        </row>
        <row r="53">
          <cell r="B53" t="str">
            <v>Masonry RT    - 100m3</v>
          </cell>
        </row>
        <row r="54">
          <cell r="B54" t="str">
            <v>Masonry RT    - 150m3</v>
          </cell>
        </row>
        <row r="55">
          <cell r="B55" t="str">
            <v>Masonry RT    - 175m3</v>
          </cell>
        </row>
        <row r="56">
          <cell r="B56" t="str">
            <v>Masonry RT    - 200m3</v>
          </cell>
        </row>
        <row r="57">
          <cell r="B57" t="str">
            <v>Masonry RT    - 250m3</v>
          </cell>
        </row>
        <row r="58">
          <cell r="B58" t="str">
            <v>Masonry RT    - 300m3</v>
          </cell>
        </row>
        <row r="59">
          <cell r="B59" t="str">
            <v>Masonry RT    - 400m3</v>
          </cell>
        </row>
        <row r="60">
          <cell r="B60" t="str">
            <v>RCC RT        - 50m3</v>
          </cell>
        </row>
        <row r="61">
          <cell r="B61" t="str">
            <v>RCC RT        - 75m3</v>
          </cell>
        </row>
        <row r="62">
          <cell r="B62" t="str">
            <v>RCC RT        - 100m3</v>
          </cell>
        </row>
        <row r="63">
          <cell r="B63" t="str">
            <v>RCC RT        - 150m3</v>
          </cell>
        </row>
        <row r="64">
          <cell r="B64" t="str">
            <v>RCC RT        - 200m3</v>
          </cell>
        </row>
        <row r="65">
          <cell r="B65" t="str">
            <v>Barbed Fencing-I  (m)</v>
          </cell>
        </row>
        <row r="66">
          <cell r="B66" t="str">
            <v>Barbed Fencing-II  (m)</v>
          </cell>
        </row>
        <row r="67">
          <cell r="B67" t="str">
            <v>RR Masonry &amp; Grill Gate</v>
          </cell>
        </row>
        <row r="68">
          <cell r="B68" t="str">
            <v>Public Tapstand-I</v>
          </cell>
        </row>
        <row r="69">
          <cell r="B69" t="str">
            <v>Public Tapstand-II</v>
          </cell>
        </row>
        <row r="70">
          <cell r="B70" t="str">
            <v>Public Tapstand-III</v>
          </cell>
        </row>
        <row r="71">
          <cell r="B71" t="str">
            <v>Public Tapstand-IIA</v>
          </cell>
        </row>
        <row r="72">
          <cell r="B72" t="str">
            <v>Point Source  -Panera</v>
          </cell>
        </row>
        <row r="73">
          <cell r="B73" t="str">
            <v>Point Source  -Kuwa</v>
          </cell>
        </row>
        <row r="74">
          <cell r="B74" t="str">
            <v>VIP Latrine1</v>
          </cell>
        </row>
        <row r="75">
          <cell r="B75" t="str">
            <v>VIP Latrine2</v>
          </cell>
        </row>
        <row r="76">
          <cell r="B76" t="str">
            <v>VIP Latrine3</v>
          </cell>
        </row>
        <row r="77">
          <cell r="B77" t="str">
            <v>Direct Pit Latrine</v>
          </cell>
        </row>
        <row r="78">
          <cell r="B78" t="str">
            <v xml:space="preserve">Pipeline/Intake Protection </v>
          </cell>
        </row>
        <row r="79">
          <cell r="B79" t="str">
            <v>Watchman's quarter</v>
          </cell>
        </row>
        <row r="80">
          <cell r="B80" t="str">
            <v>Others if any</v>
          </cell>
        </row>
        <row r="81">
          <cell r="B81" t="str">
            <v>Transmission Main (m)</v>
          </cell>
        </row>
        <row r="82">
          <cell r="B82" t="str">
            <v>Distribution Line (m)</v>
          </cell>
        </row>
        <row r="83">
          <cell r="B83" t="str">
            <v>Total Pipeline (m)</v>
          </cell>
        </row>
      </sheetData>
      <sheetData sheetId="12"/>
      <sheetData sheetId="13"/>
      <sheetData sheetId="14"/>
      <sheetData sheetId="15"/>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8"/>
      <sheetName val="Dmand 7"/>
      <sheetName val="Dmand 6"/>
      <sheetName val="Dmand 5"/>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s>
    <sheetDataSet>
      <sheetData sheetId="0"/>
      <sheetData sheetId="1">
        <row r="4">
          <cell r="E4" t="str">
            <v>Thansing WS Project</v>
          </cell>
        </row>
      </sheetData>
      <sheetData sheetId="2"/>
      <sheetData sheetId="3"/>
      <sheetData sheetId="4"/>
      <sheetData sheetId="5"/>
      <sheetData sheetId="6"/>
      <sheetData sheetId="7"/>
      <sheetData sheetId="8"/>
      <sheetData sheetId="9"/>
      <sheetData sheetId="10"/>
      <sheetData sheetId="11"/>
      <sheetData sheetId="12">
        <row r="39">
          <cell r="D39">
            <v>105</v>
          </cell>
        </row>
        <row r="40">
          <cell r="D40">
            <v>118</v>
          </cell>
        </row>
      </sheetData>
      <sheetData sheetId="13"/>
      <sheetData sheetId="14"/>
      <sheetData sheetId="15"/>
      <sheetData sheetId="16"/>
      <sheetData sheetId="17"/>
      <sheetData sheetId="18">
        <row r="18">
          <cell r="B18" t="str">
            <v>Spring Intake1</v>
          </cell>
        </row>
      </sheetData>
      <sheetData sheetId="19"/>
      <sheetData sheetId="2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1"/>
      <sheetName val="PD-TMPLT"/>
      <sheetName val="ProfileData"/>
      <sheetName val="PipeDesign"/>
      <sheetName val="PLOT"/>
      <sheetName val="Profile"/>
      <sheetName val="FlowDiagram"/>
      <sheetName val="PipeList"/>
      <sheetName val="PipeLineWork"/>
      <sheetName val="Features"/>
      <sheetName val="T&amp;P"/>
      <sheetName val="Summary"/>
    </sheetNames>
    <sheetDataSet>
      <sheetData sheetId="0"/>
      <sheetData sheetId="1"/>
      <sheetData sheetId="2"/>
      <sheetData sheetId="3"/>
      <sheetData sheetId="4"/>
      <sheetData sheetId="5">
        <row r="39">
          <cell r="D39">
            <v>120</v>
          </cell>
        </row>
        <row r="40">
          <cell r="D40">
            <v>120</v>
          </cell>
        </row>
      </sheetData>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Sheet1"/>
      <sheetName val="SOFTWEL"/>
      <sheetName val="DATA INPUT"/>
      <sheetName val="RVT Size"/>
      <sheetName val="HL-Data"/>
      <sheetName val="Water Demand (1)"/>
      <sheetName val="Water Demand(2)"/>
      <sheetName val="RVT (1)"/>
      <sheetName val="RVT  (2)"/>
      <sheetName val="PD-CW-Sample"/>
      <sheetName val="Pipe_estimate"/>
      <sheetName val="Lvl Survey"/>
      <sheetName val="HH Detail"/>
      <sheetName val="Itterate"/>
      <sheetName val="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Sheet1"/>
      <sheetName val="SOFTWEL"/>
      <sheetName val="DATA INPUT"/>
      <sheetName val="RVT Size"/>
      <sheetName val="HL-Data"/>
      <sheetName val="Water Demand (1)"/>
      <sheetName val="Water Demand(2)"/>
      <sheetName val="RVT (1)"/>
      <sheetName val="RVT  (2)"/>
      <sheetName val="PD-CW-Sample"/>
      <sheetName val="Pipe_estimate"/>
      <sheetName val="Lvl Survey"/>
      <sheetName val="HH Detail"/>
      <sheetName val="Itterate"/>
      <sheetName val="Desig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SOFTWEL"/>
      <sheetName val="DATA INPUT"/>
      <sheetName val="RVT Size"/>
      <sheetName val="HL-Data"/>
      <sheetName val="Water Demand (1)"/>
      <sheetName val="Water Demand(2)"/>
      <sheetName val="RVT (1)"/>
      <sheetName val="RVT  (2)"/>
      <sheetName val="PD-CW-Sample"/>
      <sheetName val="Pipe_estimate"/>
      <sheetName val="Lvl Survey"/>
      <sheetName val="HH Detail"/>
      <sheetName val="Itterate"/>
      <sheetName val="Design"/>
      <sheetName val="Sheet1"/>
    </sheetNames>
    <sheetDataSet>
      <sheetData sheetId="0"/>
      <sheetData sheetId="1"/>
      <sheetData sheetId="2"/>
      <sheetData sheetId="3"/>
      <sheetData sheetId="4"/>
      <sheetData sheetId="5"/>
      <sheetData sheetId="6">
        <row r="40">
          <cell r="D40">
            <v>200</v>
          </cell>
        </row>
      </sheetData>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Table"/>
      <sheetName val="Quantity"/>
      <sheetName val="Sheet3"/>
    </sheetNames>
    <sheetDataSet>
      <sheetData sheetId="0" refreshError="1">
        <row r="3">
          <cell r="D3">
            <v>8</v>
          </cell>
        </row>
        <row r="4">
          <cell r="D4">
            <v>2</v>
          </cell>
        </row>
        <row r="5">
          <cell r="D5">
            <v>1.25</v>
          </cell>
        </row>
        <row r="6">
          <cell r="D6">
            <v>2.75</v>
          </cell>
        </row>
        <row r="7">
          <cell r="D7">
            <v>5.2</v>
          </cell>
        </row>
        <row r="8">
          <cell r="D8">
            <v>3.55</v>
          </cell>
        </row>
        <row r="10">
          <cell r="D10">
            <v>0.45</v>
          </cell>
        </row>
        <row r="11">
          <cell r="D11">
            <v>0.45</v>
          </cell>
        </row>
        <row r="14">
          <cell r="D14">
            <v>0.45</v>
          </cell>
        </row>
        <row r="15">
          <cell r="D15">
            <v>0.65</v>
          </cell>
        </row>
        <row r="16">
          <cell r="D16">
            <v>0.45</v>
          </cell>
        </row>
        <row r="17">
          <cell r="D17">
            <v>0.65</v>
          </cell>
        </row>
        <row r="18">
          <cell r="D18">
            <v>0.6</v>
          </cell>
        </row>
        <row r="19">
          <cell r="D19">
            <v>0.45</v>
          </cell>
        </row>
        <row r="24">
          <cell r="D24">
            <v>0.45</v>
          </cell>
        </row>
        <row r="25">
          <cell r="D25">
            <v>0.47499999999999998</v>
          </cell>
        </row>
        <row r="26">
          <cell r="D26">
            <v>0.25</v>
          </cell>
        </row>
        <row r="27">
          <cell r="D27">
            <v>0.4</v>
          </cell>
        </row>
      </sheetData>
      <sheetData sheetId="1" refreshError="1"/>
      <sheetData sheetId="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oMech"/>
      <sheetName val="StrInt1"/>
      <sheetName val="StrInt2"/>
      <sheetName val="StrInt3"/>
      <sheetName val="Electrome"/>
      <sheetName val="Salient feature (2)"/>
      <sheetName val="Sump well (Tansen)"/>
      <sheetName val="Masonry CC,DC,IC,BPT"/>
      <sheetName val="SedTank"/>
      <sheetName val="ConCh"/>
      <sheetName val="FER-SED"/>
      <sheetName val="MRT"/>
      <sheetName val="FRT"/>
      <sheetName val="RCT"/>
      <sheetName val="BarSchedule"/>
      <sheetName val="Sheets"/>
      <sheetName val="Fence"/>
      <sheetName val="RCC VC"/>
      <sheetName val="Trainings work"/>
      <sheetName val="Rcc CC,DC,IC,BPC"/>
      <sheetName val="PBPC"/>
      <sheetName val="VCs"/>
      <sheetName val="Cabl-Cross"/>
      <sheetName val="UnderCros"/>
      <sheetName val="Piprot"/>
      <sheetName val="Miscel"/>
      <sheetName val="HouseConection"/>
      <sheetName val="PSP1"/>
      <sheetName val="Operator House"/>
      <sheetName val="PSP2"/>
      <sheetName val="MRT-1"/>
      <sheetName val="PSP V"/>
      <sheetName val="VIP1"/>
      <sheetName val="VIP2"/>
      <sheetName val="VIP3"/>
      <sheetName val="DP Lat"/>
      <sheetName val="House connection"/>
      <sheetName val="Pipe supporter"/>
      <sheetName val="RtAn"/>
      <sheetName val="Rtna2"/>
      <sheetName val="For filter media"/>
      <sheetName val="MatCol"/>
      <sheetName val="Sump well"/>
      <sheetName val="Guard and pump house"/>
      <sheetName val="pipe cost"/>
      <sheetName val="Summary of Cost_TS"/>
      <sheetName val="BOQ Treatment plant"/>
      <sheetName val="Casing pipe"/>
      <sheetName val="Purcurement of pipe DL"/>
      <sheetName val="LnJ DL Sch2"/>
      <sheetName val="LnJ DL Sch4"/>
      <sheetName val="LnJ DL Sch5"/>
      <sheetName val="Summary DL"/>
      <sheetName val="Salient fea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87">
          <cell r="K87">
            <v>112963.09931420593</v>
          </cell>
        </row>
        <row r="169">
          <cell r="K169">
            <v>144020.57927659986</v>
          </cell>
        </row>
        <row r="251">
          <cell r="K251">
            <v>232761.23384193843</v>
          </cell>
        </row>
        <row r="333">
          <cell r="K333">
            <v>173719.28166054515</v>
          </cell>
        </row>
      </sheetData>
      <sheetData sheetId="25" refreshError="1">
        <row r="98">
          <cell r="K98">
            <v>693353.09356243908</v>
          </cell>
        </row>
      </sheetData>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row r="39">
          <cell r="U39">
            <v>3019.2129359999999</v>
          </cell>
        </row>
        <row r="54">
          <cell r="U54">
            <v>4353.68</v>
          </cell>
        </row>
        <row r="55">
          <cell r="U55">
            <v>4703.68</v>
          </cell>
        </row>
        <row r="56">
          <cell r="U56">
            <v>4883.68</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oMech"/>
      <sheetName val="StrInt1"/>
      <sheetName val="StrInt2"/>
      <sheetName val="StrInt3"/>
      <sheetName val="Electrome"/>
      <sheetName val="Sump well (Tansen)"/>
      <sheetName val="Masonry CC,DC,IC,BPT"/>
      <sheetName val="SedTank"/>
      <sheetName val="ConCh"/>
      <sheetName val="FER-SED"/>
      <sheetName val="MRT"/>
      <sheetName val="FRT"/>
      <sheetName val="RCT"/>
      <sheetName val="BarSchedule"/>
      <sheetName val="Sheets"/>
      <sheetName val="Fence"/>
      <sheetName val="RCC VC"/>
      <sheetName val="Trainings work"/>
      <sheetName val="Rcc CC,DC,IC,BPC"/>
      <sheetName val="PBPC"/>
      <sheetName val="VCs"/>
      <sheetName val="Cabl-Cross"/>
      <sheetName val="UnderCros"/>
      <sheetName val="Piprot"/>
      <sheetName val="Miscel"/>
      <sheetName val="HouseConection"/>
      <sheetName val="PSP1"/>
      <sheetName val="Operator House"/>
      <sheetName val="PSP2"/>
      <sheetName val="MRT-1"/>
      <sheetName val="PSP V"/>
      <sheetName val="VIP1"/>
      <sheetName val="VIP2"/>
      <sheetName val="VIP3"/>
      <sheetName val="DP Lat"/>
      <sheetName val="House connection"/>
      <sheetName val="Pipe supporter"/>
      <sheetName val="RtAn"/>
      <sheetName val="Rtna2"/>
      <sheetName val="For filter media"/>
      <sheetName val="MatCol"/>
      <sheetName val="Guard and pump house"/>
      <sheetName val="pipe cost"/>
      <sheetName val="Summary of Cost_TS"/>
      <sheetName val="Sheet1"/>
      <sheetName val="BOQ Treatment plant"/>
      <sheetName val="Casing pipe"/>
      <sheetName val="Purcurement of pipe DL"/>
      <sheetName val="Laying edited"/>
      <sheetName val="LnJ DL Sch2"/>
      <sheetName val="LnJ DL Sch4"/>
      <sheetName val="LnJ DL Sch5"/>
      <sheetName val="Summary DL"/>
      <sheetName val="Salient feature"/>
      <sheetName val="Salient feature (2)"/>
      <sheetName val="Sump we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row r="87">
          <cell r="K87">
            <v>129874.2991954513</v>
          </cell>
        </row>
        <row r="169">
          <cell r="K169">
            <v>165223.81137924854</v>
          </cell>
        </row>
        <row r="251">
          <cell r="K251">
            <v>267416.36739595002</v>
          </cell>
        </row>
        <row r="333">
          <cell r="K333">
            <v>199249.73996588317</v>
          </cell>
        </row>
      </sheetData>
      <sheetData sheetId="24" refreshError="1">
        <row r="98">
          <cell r="K98">
            <v>784007.91875210265</v>
          </cell>
        </row>
      </sheetData>
      <sheetData sheetId="25" refreshError="1"/>
      <sheetData sheetId="26" refreshError="1">
        <row r="9">
          <cell r="J9">
            <v>10</v>
          </cell>
          <cell r="K9">
            <v>3</v>
          </cell>
          <cell r="L9">
            <v>1.65</v>
          </cell>
          <cell r="M9">
            <v>0.7</v>
          </cell>
          <cell r="N9">
            <v>11.663162726452107</v>
          </cell>
          <cell r="O9">
            <v>0.1</v>
          </cell>
        </row>
        <row r="10">
          <cell r="J10">
            <v>15</v>
          </cell>
          <cell r="K10">
            <v>3.5</v>
          </cell>
          <cell r="L10">
            <v>1.75</v>
          </cell>
          <cell r="M10">
            <v>0.75</v>
          </cell>
          <cell r="N10">
            <v>16.836973127832795</v>
          </cell>
          <cell r="O10">
            <v>0.1</v>
          </cell>
        </row>
        <row r="11">
          <cell r="J11">
            <v>25</v>
          </cell>
          <cell r="K11">
            <v>3.3</v>
          </cell>
          <cell r="L11">
            <v>3</v>
          </cell>
          <cell r="M11">
            <v>0.75</v>
          </cell>
          <cell r="N11">
            <v>25.65895799819463</v>
          </cell>
          <cell r="O11">
            <v>0.11</v>
          </cell>
        </row>
        <row r="12">
          <cell r="J12">
            <v>35</v>
          </cell>
          <cell r="K12">
            <v>4</v>
          </cell>
          <cell r="L12">
            <v>3</v>
          </cell>
          <cell r="M12">
            <v>0.75</v>
          </cell>
          <cell r="N12">
            <v>37.699111843077517</v>
          </cell>
          <cell r="O12">
            <v>0.12</v>
          </cell>
        </row>
        <row r="13">
          <cell r="J13">
            <v>50</v>
          </cell>
          <cell r="K13">
            <v>5</v>
          </cell>
          <cell r="L13">
            <v>3</v>
          </cell>
          <cell r="M13">
            <v>0.96</v>
          </cell>
          <cell r="N13">
            <v>58.90486225480862</v>
          </cell>
          <cell r="O13">
            <v>0.13</v>
          </cell>
        </row>
        <row r="14">
          <cell r="J14">
            <v>75</v>
          </cell>
          <cell r="K14">
            <v>6.1</v>
          </cell>
          <cell r="L14">
            <v>3</v>
          </cell>
          <cell r="M14">
            <v>1.1299999999999999</v>
          </cell>
          <cell r="N14">
            <v>87.67399698005714</v>
          </cell>
          <cell r="O14">
            <v>0.15</v>
          </cell>
        </row>
        <row r="15">
          <cell r="J15">
            <v>100</v>
          </cell>
          <cell r="K15">
            <v>7</v>
          </cell>
          <cell r="L15">
            <v>3</v>
          </cell>
          <cell r="M15">
            <v>1.3</v>
          </cell>
          <cell r="N15">
            <v>115.45353001942489</v>
          </cell>
          <cell r="O15">
            <v>0.15</v>
          </cell>
        </row>
        <row r="16">
          <cell r="J16">
            <v>150</v>
          </cell>
          <cell r="K16">
            <v>8.6</v>
          </cell>
          <cell r="L16">
            <v>3</v>
          </cell>
          <cell r="M16">
            <v>1.48</v>
          </cell>
          <cell r="N16">
            <v>174.26414449462581</v>
          </cell>
          <cell r="O16">
            <v>0.16</v>
          </cell>
        </row>
        <row r="17">
          <cell r="J17">
            <v>200</v>
          </cell>
          <cell r="K17">
            <v>9.9</v>
          </cell>
          <cell r="L17">
            <v>3</v>
          </cell>
          <cell r="M17">
            <v>1.71</v>
          </cell>
          <cell r="N17">
            <v>230.93062198375173</v>
          </cell>
          <cell r="O17">
            <v>0.16</v>
          </cell>
        </row>
        <row r="21">
          <cell r="K21" t="str">
            <v>Diamension Of RR Masonry Tank CGI Sheet Type</v>
          </cell>
        </row>
        <row r="22">
          <cell r="K22" t="str">
            <v xml:space="preserve">Tank </v>
          </cell>
          <cell r="L22" t="str">
            <v>Unit</v>
          </cell>
          <cell r="M22" t="str">
            <v>Length "m"</v>
          </cell>
          <cell r="O22" t="str">
            <v>Breath "m"</v>
          </cell>
          <cell r="Q22" t="str">
            <v>Height "m"</v>
          </cell>
          <cell r="S22" t="str">
            <v>Roof Height</v>
          </cell>
          <cell r="T22" t="str">
            <v>wall width</v>
          </cell>
          <cell r="X22" t="str">
            <v>Refill</v>
          </cell>
          <cell r="Z22" t="str">
            <v>Truss</v>
          </cell>
          <cell r="AA22" t="str">
            <v>Anc Bolt</v>
          </cell>
          <cell r="AB22" t="str">
            <v>MS Plate</v>
          </cell>
          <cell r="AC22" t="str">
            <v>MS Strap</v>
          </cell>
          <cell r="AD22" t="str">
            <v>ntbt</v>
          </cell>
        </row>
        <row r="23">
          <cell r="K23" t="str">
            <v>Capacity</v>
          </cell>
          <cell r="M23" t="str">
            <v>Inner</v>
          </cell>
          <cell r="N23" t="str">
            <v>Outer</v>
          </cell>
          <cell r="O23" t="str">
            <v>Inner</v>
          </cell>
          <cell r="P23" t="str">
            <v>Outer</v>
          </cell>
          <cell r="Q23" t="str">
            <v>W.L</v>
          </cell>
          <cell r="R23" t="str">
            <v>Wall</v>
          </cell>
          <cell r="S23" t="str">
            <v>m</v>
          </cell>
          <cell r="T23" t="str">
            <v>Bottom</v>
          </cell>
          <cell r="U23" t="str">
            <v>Top</v>
          </cell>
          <cell r="V23" t="str">
            <v>c</v>
          </cell>
          <cell r="W23" t="str">
            <v>d</v>
          </cell>
          <cell r="X23" t="str">
            <v>Width</v>
          </cell>
          <cell r="Y23" t="str">
            <v>e</v>
          </cell>
          <cell r="Z23" t="str">
            <v>Wood</v>
          </cell>
        </row>
        <row r="24">
          <cell r="L24">
            <v>2</v>
          </cell>
          <cell r="M24">
            <v>3</v>
          </cell>
          <cell r="N24">
            <v>4</v>
          </cell>
          <cell r="O24">
            <v>5</v>
          </cell>
          <cell r="P24">
            <v>6</v>
          </cell>
          <cell r="Q24">
            <v>7</v>
          </cell>
          <cell r="R24">
            <v>8</v>
          </cell>
          <cell r="S24">
            <v>9</v>
          </cell>
          <cell r="T24">
            <v>10</v>
          </cell>
          <cell r="U24">
            <v>11</v>
          </cell>
          <cell r="V24">
            <v>12</v>
          </cell>
          <cell r="W24">
            <v>13</v>
          </cell>
          <cell r="X24">
            <v>14</v>
          </cell>
          <cell r="Y24">
            <v>15</v>
          </cell>
          <cell r="Z24">
            <v>16</v>
          </cell>
          <cell r="AA24">
            <v>17</v>
          </cell>
          <cell r="AB24">
            <v>18</v>
          </cell>
          <cell r="AC24">
            <v>19</v>
          </cell>
          <cell r="AD24">
            <v>20</v>
          </cell>
        </row>
        <row r="25">
          <cell r="K25">
            <v>1</v>
          </cell>
          <cell r="L25" t="str">
            <v>m3</v>
          </cell>
          <cell r="M25">
            <v>1</v>
          </cell>
          <cell r="N25">
            <v>1.9</v>
          </cell>
          <cell r="O25">
            <v>1</v>
          </cell>
          <cell r="P25">
            <v>1.9</v>
          </cell>
          <cell r="Q25">
            <v>1</v>
          </cell>
          <cell r="R25">
            <v>1.2</v>
          </cell>
          <cell r="S25">
            <v>1.2</v>
          </cell>
          <cell r="T25">
            <v>0.45</v>
          </cell>
          <cell r="U25">
            <v>0.45</v>
          </cell>
          <cell r="V25">
            <v>0.3</v>
          </cell>
          <cell r="W25">
            <v>0.3</v>
          </cell>
          <cell r="X25">
            <v>0.3</v>
          </cell>
          <cell r="Y25">
            <v>0.2</v>
          </cell>
        </row>
        <row r="26">
          <cell r="K26">
            <v>50</v>
          </cell>
          <cell r="L26" t="str">
            <v>m3</v>
          </cell>
          <cell r="M26">
            <v>5.5</v>
          </cell>
          <cell r="N26">
            <v>8.6</v>
          </cell>
          <cell r="O26">
            <v>4.5999999999999996</v>
          </cell>
          <cell r="P26">
            <v>7.7</v>
          </cell>
          <cell r="Q26">
            <v>2</v>
          </cell>
          <cell r="R26">
            <v>2.25</v>
          </cell>
          <cell r="S26">
            <v>1.615</v>
          </cell>
          <cell r="T26">
            <v>1.2500000000000002</v>
          </cell>
          <cell r="U26">
            <v>0.6</v>
          </cell>
          <cell r="V26">
            <v>0.3</v>
          </cell>
          <cell r="W26">
            <v>0.95</v>
          </cell>
          <cell r="X26">
            <v>0.625</v>
          </cell>
          <cell r="Y26">
            <v>0.2</v>
          </cell>
          <cell r="Z26">
            <v>0.31</v>
          </cell>
        </row>
        <row r="27">
          <cell r="K27">
            <v>75</v>
          </cell>
          <cell r="L27" t="str">
            <v>m3</v>
          </cell>
          <cell r="M27">
            <v>6.7</v>
          </cell>
          <cell r="N27">
            <v>9.8000000000000007</v>
          </cell>
          <cell r="O27">
            <v>5.6</v>
          </cell>
          <cell r="P27">
            <v>8.6999999999999993</v>
          </cell>
          <cell r="Q27">
            <v>2</v>
          </cell>
          <cell r="R27">
            <v>2.25</v>
          </cell>
          <cell r="S27">
            <v>1.93</v>
          </cell>
          <cell r="T27">
            <v>1.2499999999999998</v>
          </cell>
          <cell r="U27">
            <v>0.6</v>
          </cell>
          <cell r="V27">
            <v>0.3</v>
          </cell>
          <cell r="W27">
            <v>0.95</v>
          </cell>
          <cell r="X27">
            <v>0.625</v>
          </cell>
          <cell r="Y27">
            <v>0.2</v>
          </cell>
          <cell r="Z27">
            <v>0.37</v>
          </cell>
        </row>
        <row r="28">
          <cell r="K28">
            <v>100</v>
          </cell>
          <cell r="L28" t="str">
            <v>m3</v>
          </cell>
          <cell r="M28">
            <v>7.7</v>
          </cell>
          <cell r="N28">
            <v>10.8</v>
          </cell>
          <cell r="O28">
            <v>6.5</v>
          </cell>
          <cell r="P28">
            <v>9.6</v>
          </cell>
          <cell r="Q28">
            <v>2</v>
          </cell>
          <cell r="R28">
            <v>2.25</v>
          </cell>
          <cell r="S28">
            <v>2.15</v>
          </cell>
          <cell r="T28">
            <v>1.2499999999999998</v>
          </cell>
          <cell r="U28">
            <v>0.6</v>
          </cell>
          <cell r="V28">
            <v>0.3</v>
          </cell>
          <cell r="W28">
            <v>0.95</v>
          </cell>
          <cell r="X28">
            <v>0.625</v>
          </cell>
          <cell r="Y28">
            <v>0.2</v>
          </cell>
          <cell r="Z28">
            <v>0.42</v>
          </cell>
        </row>
        <row r="29">
          <cell r="K29">
            <v>150</v>
          </cell>
          <cell r="L29" t="str">
            <v>m3</v>
          </cell>
          <cell r="M29">
            <v>8.6</v>
          </cell>
          <cell r="N29">
            <v>12.6</v>
          </cell>
          <cell r="O29">
            <v>7</v>
          </cell>
          <cell r="P29">
            <v>11</v>
          </cell>
          <cell r="Q29">
            <v>2.5</v>
          </cell>
          <cell r="R29">
            <v>2.75</v>
          </cell>
          <cell r="S29">
            <v>2.2999999999999998</v>
          </cell>
          <cell r="T29">
            <v>1.5</v>
          </cell>
          <cell r="U29">
            <v>0.65</v>
          </cell>
          <cell r="V29">
            <v>0.5</v>
          </cell>
          <cell r="W29">
            <v>1.2</v>
          </cell>
          <cell r="X29">
            <v>0.85</v>
          </cell>
          <cell r="Y29">
            <v>0.2</v>
          </cell>
          <cell r="Z29">
            <v>0.46100000000000002</v>
          </cell>
        </row>
        <row r="30">
          <cell r="K30">
            <v>175</v>
          </cell>
          <cell r="L30" t="str">
            <v>m3</v>
          </cell>
          <cell r="M30">
            <v>9.3000000000000007</v>
          </cell>
          <cell r="N30">
            <v>13.3</v>
          </cell>
          <cell r="O30">
            <v>7.6</v>
          </cell>
          <cell r="P30">
            <v>11.6</v>
          </cell>
          <cell r="Q30">
            <v>2.5</v>
          </cell>
          <cell r="R30">
            <v>2.75</v>
          </cell>
          <cell r="S30">
            <v>2.4500000000000002</v>
          </cell>
          <cell r="T30">
            <v>1.5</v>
          </cell>
          <cell r="U30">
            <v>0.65</v>
          </cell>
          <cell r="V30">
            <v>0.5</v>
          </cell>
          <cell r="W30">
            <v>1.2</v>
          </cell>
          <cell r="X30">
            <v>0.85</v>
          </cell>
          <cell r="Y30">
            <v>0.2</v>
          </cell>
          <cell r="Z30">
            <v>0.495</v>
          </cell>
        </row>
        <row r="31">
          <cell r="K31">
            <v>200</v>
          </cell>
          <cell r="L31" t="str">
            <v>m3</v>
          </cell>
          <cell r="M31">
            <v>9.9</v>
          </cell>
          <cell r="N31">
            <v>13.9</v>
          </cell>
          <cell r="O31">
            <v>8.1</v>
          </cell>
          <cell r="P31">
            <v>12.1</v>
          </cell>
          <cell r="Q31">
            <v>2.5</v>
          </cell>
          <cell r="R31">
            <v>2.75</v>
          </cell>
          <cell r="S31">
            <v>2.58</v>
          </cell>
          <cell r="T31">
            <v>1.5</v>
          </cell>
          <cell r="U31">
            <v>0.65</v>
          </cell>
          <cell r="V31">
            <v>0.5</v>
          </cell>
          <cell r="W31">
            <v>1.2</v>
          </cell>
          <cell r="X31">
            <v>0.85</v>
          </cell>
          <cell r="Y31">
            <v>0.2</v>
          </cell>
          <cell r="Z31">
            <v>0.52400000000000002</v>
          </cell>
        </row>
        <row r="32">
          <cell r="K32">
            <v>225</v>
          </cell>
          <cell r="L32" t="str">
            <v>m3</v>
          </cell>
          <cell r="M32">
            <v>10.5</v>
          </cell>
          <cell r="N32">
            <v>14.5</v>
          </cell>
          <cell r="O32">
            <v>8.6</v>
          </cell>
          <cell r="P32">
            <v>12.6</v>
          </cell>
          <cell r="Q32">
            <v>2.5</v>
          </cell>
          <cell r="R32">
            <v>2.75</v>
          </cell>
          <cell r="S32">
            <v>2.7</v>
          </cell>
          <cell r="T32">
            <v>1.5</v>
          </cell>
          <cell r="U32">
            <v>0.65</v>
          </cell>
          <cell r="V32">
            <v>0.5</v>
          </cell>
          <cell r="W32">
            <v>1.2</v>
          </cell>
          <cell r="X32">
            <v>0.85</v>
          </cell>
          <cell r="Y32">
            <v>0.2</v>
          </cell>
          <cell r="Z32">
            <v>0.55800000000000005</v>
          </cell>
        </row>
        <row r="33">
          <cell r="K33">
            <v>250</v>
          </cell>
          <cell r="L33" t="str">
            <v>m3</v>
          </cell>
          <cell r="M33">
            <v>5.6</v>
          </cell>
          <cell r="N33">
            <v>16.7</v>
          </cell>
          <cell r="O33">
            <v>9</v>
          </cell>
          <cell r="P33">
            <v>13</v>
          </cell>
          <cell r="Q33">
            <v>2.5</v>
          </cell>
          <cell r="R33">
            <v>3</v>
          </cell>
          <cell r="S33">
            <v>3.335</v>
          </cell>
          <cell r="T33">
            <v>1.5</v>
          </cell>
          <cell r="U33">
            <v>0.65</v>
          </cell>
          <cell r="V33">
            <v>0.5</v>
          </cell>
          <cell r="W33">
            <v>1.2</v>
          </cell>
          <cell r="X33">
            <v>0.85</v>
          </cell>
          <cell r="Z33">
            <v>2.258</v>
          </cell>
          <cell r="AA33">
            <v>6</v>
          </cell>
          <cell r="AB33">
            <v>194.4</v>
          </cell>
          <cell r="AC33">
            <v>6</v>
          </cell>
          <cell r="AD33">
            <v>348</v>
          </cell>
        </row>
        <row r="34">
          <cell r="K34">
            <v>275</v>
          </cell>
          <cell r="L34" t="str">
            <v>m3</v>
          </cell>
          <cell r="M34">
            <v>5.8</v>
          </cell>
          <cell r="N34">
            <v>17.100000000000001</v>
          </cell>
          <cell r="O34">
            <v>9.5</v>
          </cell>
          <cell r="P34">
            <v>13.5</v>
          </cell>
          <cell r="Q34">
            <v>2.5</v>
          </cell>
          <cell r="R34">
            <v>3</v>
          </cell>
          <cell r="S34">
            <v>3.4350000000000001</v>
          </cell>
          <cell r="T34">
            <v>1.5</v>
          </cell>
          <cell r="U34">
            <v>0.65</v>
          </cell>
          <cell r="V34">
            <v>0.5</v>
          </cell>
          <cell r="W34">
            <v>1.2</v>
          </cell>
          <cell r="X34">
            <v>0.85</v>
          </cell>
          <cell r="Z34">
            <v>2.323</v>
          </cell>
          <cell r="AA34">
            <v>6</v>
          </cell>
          <cell r="AB34">
            <v>194.4</v>
          </cell>
          <cell r="AC34">
            <v>6</v>
          </cell>
          <cell r="AD34">
            <v>348</v>
          </cell>
        </row>
        <row r="35">
          <cell r="K35">
            <v>300</v>
          </cell>
          <cell r="L35" t="str">
            <v>m3</v>
          </cell>
          <cell r="M35">
            <v>6</v>
          </cell>
          <cell r="N35">
            <v>17.5</v>
          </cell>
          <cell r="O35">
            <v>10</v>
          </cell>
          <cell r="P35">
            <v>14</v>
          </cell>
          <cell r="Q35">
            <v>2.5</v>
          </cell>
          <cell r="R35">
            <v>3</v>
          </cell>
          <cell r="S35">
            <v>3.5350000000000001</v>
          </cell>
          <cell r="T35">
            <v>1.5</v>
          </cell>
          <cell r="U35">
            <v>0.65</v>
          </cell>
          <cell r="V35">
            <v>0.5</v>
          </cell>
          <cell r="W35">
            <v>1.2</v>
          </cell>
          <cell r="X35">
            <v>0.85</v>
          </cell>
          <cell r="Z35">
            <v>2.39</v>
          </cell>
          <cell r="AA35">
            <v>6</v>
          </cell>
          <cell r="AB35">
            <v>194.4</v>
          </cell>
          <cell r="AC35">
            <v>6</v>
          </cell>
          <cell r="AD35">
            <v>348</v>
          </cell>
        </row>
        <row r="36">
          <cell r="K36">
            <v>350</v>
          </cell>
          <cell r="L36" t="str">
            <v>m3</v>
          </cell>
          <cell r="M36">
            <v>6.5</v>
          </cell>
          <cell r="N36">
            <v>18.5</v>
          </cell>
          <cell r="O36">
            <v>10.8</v>
          </cell>
          <cell r="P36">
            <v>14.8</v>
          </cell>
          <cell r="Q36">
            <v>2.5</v>
          </cell>
          <cell r="R36">
            <v>3</v>
          </cell>
          <cell r="S36">
            <v>3.7850000000000001</v>
          </cell>
          <cell r="T36">
            <v>1.5</v>
          </cell>
          <cell r="U36">
            <v>0.65</v>
          </cell>
          <cell r="V36">
            <v>0.5</v>
          </cell>
          <cell r="W36">
            <v>1.2</v>
          </cell>
          <cell r="X36">
            <v>0.85</v>
          </cell>
          <cell r="Z36">
            <v>2.5550000000000002</v>
          </cell>
          <cell r="AA36">
            <v>6</v>
          </cell>
          <cell r="AB36">
            <v>194.4</v>
          </cell>
          <cell r="AC36">
            <v>6</v>
          </cell>
          <cell r="AD36">
            <v>348</v>
          </cell>
        </row>
        <row r="37">
          <cell r="K37">
            <v>400</v>
          </cell>
          <cell r="L37" t="str">
            <v>m3</v>
          </cell>
          <cell r="M37">
            <v>7</v>
          </cell>
          <cell r="N37">
            <v>19.5</v>
          </cell>
          <cell r="O37">
            <v>11.4</v>
          </cell>
          <cell r="P37">
            <v>15.4</v>
          </cell>
          <cell r="Q37">
            <v>2.5</v>
          </cell>
          <cell r="R37">
            <v>3</v>
          </cell>
          <cell r="S37">
            <v>4.0350000000000001</v>
          </cell>
          <cell r="T37">
            <v>1.5</v>
          </cell>
          <cell r="U37">
            <v>0.65</v>
          </cell>
          <cell r="V37">
            <v>0.5</v>
          </cell>
          <cell r="W37">
            <v>1.2</v>
          </cell>
          <cell r="X37">
            <v>0.85</v>
          </cell>
          <cell r="Z37">
            <v>3.629</v>
          </cell>
          <cell r="AA37">
            <v>6</v>
          </cell>
          <cell r="AB37">
            <v>194.4</v>
          </cell>
          <cell r="AC37">
            <v>6</v>
          </cell>
          <cell r="AD37">
            <v>348</v>
          </cell>
        </row>
        <row r="62">
          <cell r="L62">
            <v>1</v>
          </cell>
          <cell r="M62">
            <v>1.5</v>
          </cell>
          <cell r="N62">
            <v>0.9</v>
          </cell>
          <cell r="O62">
            <v>0.3</v>
          </cell>
        </row>
        <row r="63">
          <cell r="L63">
            <v>2</v>
          </cell>
          <cell r="M63">
            <v>1.5</v>
          </cell>
          <cell r="N63">
            <v>1.4</v>
          </cell>
          <cell r="O63">
            <v>0.3</v>
          </cell>
        </row>
        <row r="64">
          <cell r="L64">
            <v>3</v>
          </cell>
          <cell r="M64">
            <v>2</v>
          </cell>
          <cell r="N64">
            <v>1.2</v>
          </cell>
          <cell r="O64">
            <v>0.4</v>
          </cell>
        </row>
        <row r="65">
          <cell r="L65">
            <v>4</v>
          </cell>
          <cell r="M65">
            <v>2</v>
          </cell>
          <cell r="N65">
            <v>1.5</v>
          </cell>
          <cell r="O65">
            <v>0.4</v>
          </cell>
        </row>
        <row r="66">
          <cell r="L66">
            <v>5</v>
          </cell>
          <cell r="M66">
            <v>2.5</v>
          </cell>
          <cell r="N66">
            <v>1.3</v>
          </cell>
          <cell r="O66">
            <v>0.4</v>
          </cell>
        </row>
        <row r="67">
          <cell r="L67">
            <v>6</v>
          </cell>
          <cell r="M67">
            <v>2.5</v>
          </cell>
          <cell r="N67">
            <v>1.5</v>
          </cell>
          <cell r="O67">
            <v>0.4</v>
          </cell>
        </row>
        <row r="68">
          <cell r="L68">
            <v>7</v>
          </cell>
          <cell r="M68">
            <v>2.5</v>
          </cell>
          <cell r="N68">
            <v>1.65</v>
          </cell>
          <cell r="O68">
            <v>0.4</v>
          </cell>
        </row>
        <row r="69">
          <cell r="L69">
            <v>8</v>
          </cell>
          <cell r="M69">
            <v>2.5</v>
          </cell>
          <cell r="N69">
            <v>1.85</v>
          </cell>
          <cell r="O69">
            <v>0.4</v>
          </cell>
        </row>
        <row r="70">
          <cell r="L70">
            <v>9</v>
          </cell>
          <cell r="M70">
            <v>3</v>
          </cell>
          <cell r="N70">
            <v>1.5</v>
          </cell>
          <cell r="O70">
            <v>0.5</v>
          </cell>
        </row>
        <row r="71">
          <cell r="L71">
            <v>10</v>
          </cell>
          <cell r="M71">
            <v>3</v>
          </cell>
          <cell r="N71">
            <v>1.65</v>
          </cell>
          <cell r="O71">
            <v>0.5</v>
          </cell>
        </row>
        <row r="72">
          <cell r="L72">
            <v>12</v>
          </cell>
          <cell r="M72">
            <v>3</v>
          </cell>
          <cell r="N72">
            <v>1.9</v>
          </cell>
          <cell r="O72">
            <v>0.5</v>
          </cell>
        </row>
        <row r="73">
          <cell r="G73" t="str">
            <v>Large</v>
          </cell>
          <cell r="H73">
            <v>1.2</v>
          </cell>
          <cell r="L73">
            <v>14</v>
          </cell>
          <cell r="M73">
            <v>3.5</v>
          </cell>
          <cell r="N73">
            <v>1.7</v>
          </cell>
          <cell r="O73">
            <v>0.6</v>
          </cell>
        </row>
        <row r="74">
          <cell r="G74" t="str">
            <v>Small</v>
          </cell>
          <cell r="H74">
            <v>0.9</v>
          </cell>
          <cell r="L74">
            <v>16</v>
          </cell>
          <cell r="M74">
            <v>3.5</v>
          </cell>
          <cell r="N74">
            <v>1.9</v>
          </cell>
          <cell r="O74">
            <v>0.6</v>
          </cell>
        </row>
        <row r="75">
          <cell r="L75">
            <v>18</v>
          </cell>
          <cell r="M75">
            <v>4</v>
          </cell>
          <cell r="N75">
            <v>1.65</v>
          </cell>
          <cell r="O75">
            <v>0.7</v>
          </cell>
        </row>
        <row r="76">
          <cell r="L76">
            <v>20</v>
          </cell>
          <cell r="M76">
            <v>4</v>
          </cell>
          <cell r="N76">
            <v>1.8</v>
          </cell>
          <cell r="O76">
            <v>0.7</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row r="1">
          <cell r="B1">
            <v>13</v>
          </cell>
        </row>
        <row r="8">
          <cell r="A8">
            <v>1.8</v>
          </cell>
          <cell r="B8" t="str">
            <v>Site clearance with removing 15-20cm top soil</v>
          </cell>
          <cell r="D8" t="str">
            <v>Coolies</v>
          </cell>
          <cell r="E8">
            <v>0.16</v>
          </cell>
          <cell r="F8">
            <v>525</v>
          </cell>
          <cell r="G8">
            <v>84</v>
          </cell>
          <cell r="I8" t="str">
            <v>3% of T&amp;P</v>
          </cell>
          <cell r="L8">
            <v>2.52</v>
          </cell>
          <cell r="M8">
            <v>86.52</v>
          </cell>
          <cell r="N8">
            <v>2.52</v>
          </cell>
          <cell r="O8">
            <v>86.52</v>
          </cell>
        </row>
        <row r="9">
          <cell r="B9" t="str">
            <v>disposal beyond construction site  for  1sqm.</v>
          </cell>
        </row>
        <row r="11">
          <cell r="B11" t="str">
            <v>EW in excavation in foundation trench including</v>
          </cell>
        </row>
        <row r="12">
          <cell r="B12" t="str">
            <v>disposal upto 10 m.,  for 1cu.m.</v>
          </cell>
        </row>
        <row r="13">
          <cell r="A13">
            <v>2.9</v>
          </cell>
          <cell r="B13" t="str">
            <v>Soft soil</v>
          </cell>
          <cell r="D13" t="str">
            <v>Coolies</v>
          </cell>
          <cell r="E13">
            <v>1</v>
          </cell>
          <cell r="F13">
            <v>525</v>
          </cell>
          <cell r="G13">
            <v>525</v>
          </cell>
          <cell r="I13" t="str">
            <v>3% of T&amp;P</v>
          </cell>
          <cell r="L13">
            <v>15.75</v>
          </cell>
          <cell r="M13">
            <v>540.75</v>
          </cell>
          <cell r="N13">
            <v>15.75</v>
          </cell>
          <cell r="O13">
            <v>540.75</v>
          </cell>
        </row>
        <row r="15">
          <cell r="A15">
            <v>2.12</v>
          </cell>
          <cell r="B15" t="str">
            <v>Hard soil</v>
          </cell>
          <cell r="D15" t="str">
            <v>Coolies</v>
          </cell>
          <cell r="E15">
            <v>1.25</v>
          </cell>
          <cell r="F15">
            <v>525</v>
          </cell>
          <cell r="G15">
            <v>656.25</v>
          </cell>
          <cell r="I15" t="str">
            <v>3% of T&amp;P</v>
          </cell>
          <cell r="L15">
            <v>19.6875</v>
          </cell>
          <cell r="M15">
            <v>675.9375</v>
          </cell>
          <cell r="N15">
            <v>19.6875</v>
          </cell>
          <cell r="O15">
            <v>675.9375</v>
          </cell>
        </row>
        <row r="17">
          <cell r="A17">
            <v>2.14</v>
          </cell>
          <cell r="B17" t="str">
            <v>Gravel &amp; boulder mixed soil</v>
          </cell>
          <cell r="D17" t="str">
            <v>Coolies</v>
          </cell>
          <cell r="E17">
            <v>1.59</v>
          </cell>
          <cell r="F17">
            <v>525</v>
          </cell>
          <cell r="G17">
            <v>834.75</v>
          </cell>
          <cell r="I17" t="str">
            <v>3% of T&amp;P</v>
          </cell>
          <cell r="L17">
            <v>25.0425</v>
          </cell>
          <cell r="M17">
            <v>859.79250000000002</v>
          </cell>
          <cell r="N17">
            <v>25.0425</v>
          </cell>
          <cell r="O17">
            <v>859.79250000000002</v>
          </cell>
        </row>
        <row r="19">
          <cell r="A19" t="str">
            <v>2.15a</v>
          </cell>
          <cell r="B19" t="str">
            <v>Soft Moorum Rock</v>
          </cell>
          <cell r="D19" t="str">
            <v>Coolies</v>
          </cell>
          <cell r="E19">
            <v>3</v>
          </cell>
          <cell r="F19">
            <v>525</v>
          </cell>
          <cell r="G19">
            <v>1575</v>
          </cell>
          <cell r="I19" t="str">
            <v>3% of T&amp;P</v>
          </cell>
          <cell r="L19">
            <v>47.25</v>
          </cell>
          <cell r="M19">
            <v>1622.25</v>
          </cell>
          <cell r="N19">
            <v>47.25</v>
          </cell>
          <cell r="O19">
            <v>1622.25</v>
          </cell>
        </row>
        <row r="21">
          <cell r="A21" t="str">
            <v>2.15b</v>
          </cell>
          <cell r="B21" t="str">
            <v>Medium Moorum Rock</v>
          </cell>
          <cell r="D21" t="str">
            <v>Coolies</v>
          </cell>
          <cell r="E21">
            <v>4.5</v>
          </cell>
          <cell r="F21">
            <v>525</v>
          </cell>
          <cell r="G21">
            <v>2362.5</v>
          </cell>
          <cell r="I21" t="str">
            <v>3% of T&amp;P</v>
          </cell>
          <cell r="L21">
            <v>70.875</v>
          </cell>
          <cell r="M21">
            <v>2433.375</v>
          </cell>
          <cell r="N21">
            <v>70.875</v>
          </cell>
          <cell r="O21">
            <v>2433.375</v>
          </cell>
        </row>
        <row r="23">
          <cell r="A23" t="str">
            <v>2.16b</v>
          </cell>
          <cell r="B23" t="str">
            <v>Hard Rock</v>
          </cell>
          <cell r="D23" t="str">
            <v>Coolies</v>
          </cell>
          <cell r="E23">
            <v>25.2</v>
          </cell>
          <cell r="F23">
            <v>525</v>
          </cell>
          <cell r="G23">
            <v>13230</v>
          </cell>
          <cell r="I23" t="str">
            <v>3% of T&amp;P</v>
          </cell>
          <cell r="L23">
            <v>396.9</v>
          </cell>
          <cell r="M23">
            <v>13626.9</v>
          </cell>
          <cell r="N23">
            <v>396.9</v>
          </cell>
          <cell r="O23">
            <v>13626.9</v>
          </cell>
        </row>
        <row r="25">
          <cell r="B25" t="str">
            <v>Refilling of foundation trench in layers of 20cm</v>
          </cell>
        </row>
        <row r="26">
          <cell r="B26" t="str">
            <v>with compaction including lead 10m, for 1cum.</v>
          </cell>
        </row>
        <row r="27">
          <cell r="A27" t="str">
            <v>2.39a</v>
          </cell>
          <cell r="B27" t="str">
            <v>a) Soft soil</v>
          </cell>
          <cell r="D27" t="str">
            <v>Coolies</v>
          </cell>
          <cell r="E27">
            <v>0.5</v>
          </cell>
          <cell r="F27">
            <v>525</v>
          </cell>
          <cell r="G27">
            <v>262.5</v>
          </cell>
          <cell r="I27" t="str">
            <v>3% of T&amp;P</v>
          </cell>
          <cell r="L27">
            <v>7.875</v>
          </cell>
          <cell r="M27">
            <v>270.375</v>
          </cell>
          <cell r="N27">
            <v>7.875</v>
          </cell>
          <cell r="O27">
            <v>270.375</v>
          </cell>
        </row>
        <row r="29">
          <cell r="A29" t="str">
            <v>2.39c</v>
          </cell>
          <cell r="B29" t="str">
            <v>c) Hard soil</v>
          </cell>
          <cell r="D29" t="str">
            <v>Coolies</v>
          </cell>
          <cell r="E29">
            <v>0.63</v>
          </cell>
          <cell r="F29">
            <v>525</v>
          </cell>
          <cell r="G29">
            <v>330.75</v>
          </cell>
          <cell r="I29" t="str">
            <v>3% of T&amp;P</v>
          </cell>
          <cell r="L29">
            <v>9.9224999999999994</v>
          </cell>
          <cell r="M29">
            <v>340.67250000000001</v>
          </cell>
          <cell r="N29">
            <v>9.9224999999999994</v>
          </cell>
          <cell r="O29">
            <v>340.67250000000001</v>
          </cell>
        </row>
        <row r="31">
          <cell r="A31" t="str">
            <v>2.39d</v>
          </cell>
          <cell r="B31" t="str">
            <v>d) Gravel &amp; boulder mixed soil</v>
          </cell>
          <cell r="D31" t="str">
            <v>Coolies</v>
          </cell>
          <cell r="E31">
            <v>0.6</v>
          </cell>
          <cell r="F31">
            <v>525</v>
          </cell>
          <cell r="G31">
            <v>315</v>
          </cell>
          <cell r="I31" t="str">
            <v>3% of T&amp;P</v>
          </cell>
          <cell r="L31">
            <v>9.4499999999999993</v>
          </cell>
          <cell r="M31">
            <v>324.45</v>
          </cell>
          <cell r="N31">
            <v>9.4499999999999993</v>
          </cell>
          <cell r="O31">
            <v>324.45</v>
          </cell>
        </row>
        <row r="33">
          <cell r="A33" t="str">
            <v>2.42</v>
          </cell>
          <cell r="B33" t="str">
            <v>Sand filling with water sprinkling for 1 cu.m.</v>
          </cell>
          <cell r="D33" t="str">
            <v>Coolies</v>
          </cell>
          <cell r="E33">
            <v>0.7</v>
          </cell>
          <cell r="F33">
            <v>525</v>
          </cell>
          <cell r="G33">
            <v>367.5</v>
          </cell>
          <cell r="H33" t="str">
            <v>sand</v>
          </cell>
          <cell r="I33">
            <v>1.1000000000000001</v>
          </cell>
          <cell r="J33" t="str">
            <v>cu.m.</v>
          </cell>
          <cell r="K33">
            <v>5847.2000000000007</v>
          </cell>
          <cell r="L33">
            <v>6431.920000000001</v>
          </cell>
          <cell r="M33">
            <v>6799.420000000001</v>
          </cell>
          <cell r="N33">
            <v>6431.920000000001</v>
          </cell>
          <cell r="O33">
            <v>6799.420000000001</v>
          </cell>
        </row>
        <row r="35">
          <cell r="A35" t="str">
            <v>gravel</v>
          </cell>
          <cell r="B35" t="str">
            <v>Gravel packing for 1 cu.m.</v>
          </cell>
          <cell r="D35" t="str">
            <v>Coolies</v>
          </cell>
          <cell r="E35">
            <v>0.7</v>
          </cell>
          <cell r="F35">
            <v>525</v>
          </cell>
          <cell r="G35">
            <v>367.5</v>
          </cell>
          <cell r="H35" t="str">
            <v>gravel</v>
          </cell>
          <cell r="I35">
            <v>1.1000000000000001</v>
          </cell>
          <cell r="J35" t="str">
            <v>cu.m.</v>
          </cell>
          <cell r="K35">
            <v>5217.2000000000007</v>
          </cell>
          <cell r="L35">
            <v>5738.920000000001</v>
          </cell>
          <cell r="M35">
            <v>6106.420000000001</v>
          </cell>
          <cell r="N35">
            <v>5738.920000000001</v>
          </cell>
          <cell r="O35">
            <v>6106.420000000001</v>
          </cell>
        </row>
        <row r="37">
          <cell r="B37" t="str">
            <v>Random rubble masonry work for 1 cu.m.</v>
          </cell>
        </row>
        <row r="38">
          <cell r="B38" t="str">
            <v>including 30m haulage, and 5 m height</v>
          </cell>
        </row>
        <row r="39">
          <cell r="A39" t="str">
            <v>6.1a</v>
          </cell>
          <cell r="B39" t="str">
            <v>(1:3) cement sand mortar</v>
          </cell>
          <cell r="D39" t="str">
            <v>Mason</v>
          </cell>
          <cell r="E39">
            <v>1.5</v>
          </cell>
          <cell r="F39">
            <v>700</v>
          </cell>
          <cell r="G39">
            <v>1050</v>
          </cell>
          <cell r="H39" t="str">
            <v>Blockstone</v>
          </cell>
          <cell r="I39">
            <v>1</v>
          </cell>
          <cell r="J39" t="str">
            <v>cu.m.</v>
          </cell>
          <cell r="K39">
            <v>5700</v>
          </cell>
          <cell r="L39">
            <v>5700</v>
          </cell>
          <cell r="M39">
            <v>15114.462</v>
          </cell>
          <cell r="N39">
            <v>5700</v>
          </cell>
          <cell r="O39">
            <v>15521.184939999999</v>
          </cell>
        </row>
        <row r="40">
          <cell r="D40" t="str">
            <v>Coolies</v>
          </cell>
          <cell r="E40">
            <v>4.2</v>
          </cell>
          <cell r="F40">
            <v>525</v>
          </cell>
          <cell r="G40">
            <v>2205</v>
          </cell>
          <cell r="H40" t="str">
            <v>Bondstone</v>
          </cell>
          <cell r="I40">
            <v>0.1</v>
          </cell>
          <cell r="J40" t="str">
            <v>cu.m.</v>
          </cell>
          <cell r="K40">
            <v>5750</v>
          </cell>
          <cell r="L40">
            <v>575</v>
          </cell>
          <cell r="N40">
            <v>575</v>
          </cell>
        </row>
        <row r="41">
          <cell r="H41" t="str">
            <v>cement</v>
          </cell>
          <cell r="I41">
            <v>0.19400000000000001</v>
          </cell>
          <cell r="J41" t="str">
            <v>mt</v>
          </cell>
          <cell r="K41">
            <v>16127</v>
          </cell>
          <cell r="L41">
            <v>3128.6379999999999</v>
          </cell>
          <cell r="N41">
            <v>3535.3609399999996</v>
          </cell>
        </row>
        <row r="42">
          <cell r="H42" t="str">
            <v>sand</v>
          </cell>
          <cell r="I42">
            <v>0.42</v>
          </cell>
          <cell r="J42" t="str">
            <v>cu.m.</v>
          </cell>
          <cell r="K42">
            <v>5847.2000000000007</v>
          </cell>
          <cell r="L42">
            <v>2455.8240000000001</v>
          </cell>
          <cell r="N42">
            <v>2455.8240000000001</v>
          </cell>
        </row>
        <row r="44">
          <cell r="A44" t="str">
            <v>6.1b</v>
          </cell>
          <cell r="B44" t="str">
            <v>(1:4) cement sand mortar</v>
          </cell>
          <cell r="D44" t="str">
            <v>Mason</v>
          </cell>
          <cell r="E44">
            <v>1.5</v>
          </cell>
          <cell r="F44">
            <v>700</v>
          </cell>
          <cell r="G44">
            <v>1050</v>
          </cell>
          <cell r="H44" t="str">
            <v>Blockstone</v>
          </cell>
          <cell r="I44">
            <v>1</v>
          </cell>
          <cell r="J44" t="str">
            <v>cu.m.</v>
          </cell>
          <cell r="K44">
            <v>5700</v>
          </cell>
          <cell r="L44">
            <v>5700</v>
          </cell>
          <cell r="M44">
            <v>14725.432999999999</v>
          </cell>
          <cell r="N44">
            <v>5700</v>
          </cell>
          <cell r="O44">
            <v>12428.53809</v>
          </cell>
        </row>
        <row r="45">
          <cell r="D45" t="str">
            <v>Coolies</v>
          </cell>
          <cell r="E45">
            <v>4.2</v>
          </cell>
          <cell r="F45">
            <v>525</v>
          </cell>
          <cell r="G45">
            <v>2205</v>
          </cell>
          <cell r="H45" t="str">
            <v>Bondstone</v>
          </cell>
          <cell r="I45">
            <v>0.1</v>
          </cell>
          <cell r="J45" t="str">
            <v>cu.m.</v>
          </cell>
          <cell r="K45">
            <v>5750</v>
          </cell>
          <cell r="L45">
            <v>575</v>
          </cell>
          <cell r="N45">
            <v>575</v>
          </cell>
        </row>
        <row r="46">
          <cell r="H46" t="str">
            <v>cement</v>
          </cell>
          <cell r="I46">
            <v>0.159</v>
          </cell>
          <cell r="J46" t="str">
            <v>mt</v>
          </cell>
          <cell r="K46">
            <v>16127</v>
          </cell>
          <cell r="L46">
            <v>2564.1930000000002</v>
          </cell>
          <cell r="N46">
            <v>2897.53809</v>
          </cell>
        </row>
        <row r="47">
          <cell r="H47" t="str">
            <v>sand</v>
          </cell>
          <cell r="I47">
            <v>0.45</v>
          </cell>
          <cell r="J47" t="str">
            <v>cu.m.</v>
          </cell>
          <cell r="K47">
            <v>5847.2000000000007</v>
          </cell>
          <cell r="L47">
            <v>2631.2400000000002</v>
          </cell>
          <cell r="N47">
            <v>1</v>
          </cell>
        </row>
        <row r="49">
          <cell r="A49" t="str">
            <v>6.1c</v>
          </cell>
          <cell r="B49" t="str">
            <v>(1:6) cement sand mortar</v>
          </cell>
          <cell r="D49" t="str">
            <v>Mason</v>
          </cell>
          <cell r="E49">
            <v>1.5</v>
          </cell>
          <cell r="F49">
            <v>700</v>
          </cell>
          <cell r="G49">
            <v>1050</v>
          </cell>
          <cell r="H49" t="str">
            <v>Blockstone</v>
          </cell>
          <cell r="I49">
            <v>1</v>
          </cell>
          <cell r="J49" t="str">
            <v>cu.m.</v>
          </cell>
          <cell r="K49">
            <v>5700</v>
          </cell>
          <cell r="L49">
            <v>5700</v>
          </cell>
          <cell r="M49">
            <v>13987.646000000001</v>
          </cell>
          <cell r="N49">
            <v>5700</v>
          </cell>
          <cell r="O49">
            <v>14209.876059999999</v>
          </cell>
        </row>
        <row r="50">
          <cell r="D50" t="str">
            <v>Coolies</v>
          </cell>
          <cell r="E50">
            <v>4.2</v>
          </cell>
          <cell r="F50">
            <v>525</v>
          </cell>
          <cell r="G50">
            <v>2205</v>
          </cell>
          <cell r="H50" t="str">
            <v>Bondstone</v>
          </cell>
          <cell r="I50">
            <v>0.1</v>
          </cell>
          <cell r="J50" t="str">
            <v>cu.m.</v>
          </cell>
          <cell r="K50">
            <v>5750</v>
          </cell>
          <cell r="L50">
            <v>575</v>
          </cell>
          <cell r="N50">
            <v>575</v>
          </cell>
        </row>
        <row r="51">
          <cell r="H51" t="str">
            <v>cement</v>
          </cell>
          <cell r="I51">
            <v>0.106</v>
          </cell>
          <cell r="J51" t="str">
            <v>mt</v>
          </cell>
          <cell r="K51">
            <v>16127</v>
          </cell>
          <cell r="L51">
            <v>1709.462</v>
          </cell>
          <cell r="N51">
            <v>1931.6920599999999</v>
          </cell>
        </row>
        <row r="52">
          <cell r="H52" t="str">
            <v>sand</v>
          </cell>
          <cell r="I52">
            <v>0.47</v>
          </cell>
          <cell r="J52" t="str">
            <v>cu.m.</v>
          </cell>
          <cell r="K52">
            <v>5847.2000000000007</v>
          </cell>
          <cell r="L52">
            <v>2748.1840000000002</v>
          </cell>
          <cell r="N52">
            <v>2748.1840000000002</v>
          </cell>
        </row>
        <row r="54">
          <cell r="A54" t="str">
            <v>6.2a</v>
          </cell>
          <cell r="B54" t="str">
            <v>a</v>
          </cell>
          <cell r="C54" t="str">
            <v>dry masonry</v>
          </cell>
          <cell r="D54" t="str">
            <v>Mason</v>
          </cell>
          <cell r="E54">
            <v>1</v>
          </cell>
          <cell r="F54">
            <v>700</v>
          </cell>
          <cell r="G54">
            <v>700</v>
          </cell>
          <cell r="H54" t="str">
            <v>Blockstone</v>
          </cell>
          <cell r="I54">
            <v>1</v>
          </cell>
          <cell r="J54" t="str">
            <v>cu.m.</v>
          </cell>
          <cell r="K54">
            <v>5700</v>
          </cell>
          <cell r="L54">
            <v>5700</v>
          </cell>
          <cell r="M54">
            <v>8025</v>
          </cell>
          <cell r="N54">
            <v>5700</v>
          </cell>
          <cell r="O54">
            <v>8025</v>
          </cell>
        </row>
        <row r="55">
          <cell r="D55" t="str">
            <v>Coolies</v>
          </cell>
          <cell r="E55">
            <v>2</v>
          </cell>
          <cell r="F55">
            <v>525</v>
          </cell>
          <cell r="G55">
            <v>1050</v>
          </cell>
          <cell r="H55" t="str">
            <v>Bondstone</v>
          </cell>
          <cell r="I55">
            <v>0.1</v>
          </cell>
          <cell r="J55" t="str">
            <v>cu.m.</v>
          </cell>
          <cell r="K55">
            <v>5750</v>
          </cell>
          <cell r="L55">
            <v>575</v>
          </cell>
          <cell r="N55">
            <v>575</v>
          </cell>
        </row>
        <row r="57">
          <cell r="A57" t="str">
            <v>6.2b</v>
          </cell>
          <cell r="B57" t="str">
            <v>b</v>
          </cell>
          <cell r="C57" t="str">
            <v>mud mortar masonry</v>
          </cell>
          <cell r="D57" t="str">
            <v>Mason</v>
          </cell>
          <cell r="E57">
            <v>1</v>
          </cell>
          <cell r="F57">
            <v>700</v>
          </cell>
          <cell r="G57">
            <v>700</v>
          </cell>
          <cell r="H57" t="str">
            <v>Blockstone</v>
          </cell>
          <cell r="I57">
            <v>1</v>
          </cell>
          <cell r="J57" t="str">
            <v>cu.m.</v>
          </cell>
          <cell r="K57">
            <v>5700</v>
          </cell>
          <cell r="L57">
            <v>5700</v>
          </cell>
          <cell r="M57">
            <v>8156.25</v>
          </cell>
          <cell r="N57">
            <v>5700</v>
          </cell>
          <cell r="O57">
            <v>8156.25</v>
          </cell>
        </row>
        <row r="58">
          <cell r="D58" t="str">
            <v>Coolies</v>
          </cell>
          <cell r="E58">
            <v>2.25</v>
          </cell>
          <cell r="F58">
            <v>525</v>
          </cell>
          <cell r="G58">
            <v>1181.25</v>
          </cell>
          <cell r="H58" t="str">
            <v>Bondstone</v>
          </cell>
          <cell r="I58">
            <v>0.1</v>
          </cell>
          <cell r="J58" t="str">
            <v>cu.m.</v>
          </cell>
          <cell r="K58">
            <v>5750</v>
          </cell>
          <cell r="L58">
            <v>575</v>
          </cell>
          <cell r="N58">
            <v>575</v>
          </cell>
        </row>
        <row r="60">
          <cell r="B60" t="str">
            <v>Boulder soling per 1 cu.m.</v>
          </cell>
        </row>
        <row r="61">
          <cell r="A61" t="str">
            <v>6.5a</v>
          </cell>
          <cell r="B61" t="str">
            <v>a) With sand packing</v>
          </cell>
          <cell r="D61" t="str">
            <v>Mason</v>
          </cell>
          <cell r="E61">
            <v>1</v>
          </cell>
          <cell r="F61">
            <v>700</v>
          </cell>
          <cell r="G61">
            <v>700</v>
          </cell>
          <cell r="H61" t="str">
            <v>Blockstone</v>
          </cell>
          <cell r="I61">
            <v>1.1000000000000001</v>
          </cell>
          <cell r="J61" t="str">
            <v>cu.m.</v>
          </cell>
          <cell r="K61">
            <v>5700</v>
          </cell>
          <cell r="L61">
            <v>6270.0000000000009</v>
          </cell>
          <cell r="M61">
            <v>12959.012000000001</v>
          </cell>
          <cell r="N61">
            <v>6270.0000000000009</v>
          </cell>
          <cell r="O61">
            <v>12959.012000000001</v>
          </cell>
        </row>
        <row r="62">
          <cell r="D62" t="str">
            <v>Coolies</v>
          </cell>
          <cell r="E62">
            <v>3.5</v>
          </cell>
          <cell r="F62">
            <v>525</v>
          </cell>
          <cell r="G62">
            <v>1837.5</v>
          </cell>
          <cell r="H62" t="str">
            <v>sand</v>
          </cell>
          <cell r="I62">
            <v>0.71</v>
          </cell>
          <cell r="J62" t="str">
            <v>cu.m.</v>
          </cell>
          <cell r="K62">
            <v>5847.2000000000007</v>
          </cell>
          <cell r="L62">
            <v>4151.5120000000006</v>
          </cell>
          <cell r="N62">
            <v>4151.5120000000006</v>
          </cell>
        </row>
        <row r="64">
          <cell r="A64" t="str">
            <v>6.5b</v>
          </cell>
          <cell r="B64" t="str">
            <v>b) without sand packing</v>
          </cell>
          <cell r="D64" t="str">
            <v>Mason</v>
          </cell>
          <cell r="E64">
            <v>1</v>
          </cell>
          <cell r="F64">
            <v>700</v>
          </cell>
          <cell r="G64">
            <v>700</v>
          </cell>
          <cell r="H64" t="str">
            <v>Blockstone</v>
          </cell>
          <cell r="I64">
            <v>1.1000000000000001</v>
          </cell>
          <cell r="J64" t="str">
            <v>cu.m.</v>
          </cell>
          <cell r="K64">
            <v>5700</v>
          </cell>
          <cell r="L64">
            <v>6270.0000000000009</v>
          </cell>
          <cell r="M64">
            <v>8807.5</v>
          </cell>
          <cell r="N64">
            <v>6270.0000000000009</v>
          </cell>
          <cell r="O64">
            <v>8807.5</v>
          </cell>
        </row>
        <row r="65">
          <cell r="D65" t="str">
            <v>Coolies</v>
          </cell>
          <cell r="E65">
            <v>3.5</v>
          </cell>
          <cell r="F65">
            <v>525</v>
          </cell>
          <cell r="G65">
            <v>1837.5</v>
          </cell>
        </row>
        <row r="67">
          <cell r="A67">
            <v>6.4</v>
          </cell>
          <cell r="B67" t="str">
            <v>Stone fillng in foundation  for  1 cu.m.</v>
          </cell>
          <cell r="D67" t="str">
            <v>Coolies</v>
          </cell>
          <cell r="E67">
            <v>1.5</v>
          </cell>
          <cell r="F67">
            <v>525</v>
          </cell>
          <cell r="G67">
            <v>787.5</v>
          </cell>
          <cell r="H67" t="str">
            <v>Blockstone</v>
          </cell>
          <cell r="I67">
            <v>1.1000000000000001</v>
          </cell>
          <cell r="J67" t="str">
            <v>cu.m.</v>
          </cell>
          <cell r="K67">
            <v>5700</v>
          </cell>
          <cell r="L67">
            <v>6270.0000000000009</v>
          </cell>
          <cell r="M67">
            <v>7057.5000000000009</v>
          </cell>
          <cell r="N67">
            <v>6270.0000000000009</v>
          </cell>
          <cell r="O67">
            <v>7057.5000000000009</v>
          </cell>
        </row>
        <row r="69">
          <cell r="B69" t="str">
            <v>PCC for sub-structure concreting,  for 1 cum.</v>
          </cell>
        </row>
        <row r="70">
          <cell r="A70" t="str">
            <v>7.2c</v>
          </cell>
          <cell r="B70" t="str">
            <v>(a) P.C.C. (1:3:6)</v>
          </cell>
          <cell r="D70" t="str">
            <v>Mason</v>
          </cell>
          <cell r="E70">
            <v>1</v>
          </cell>
          <cell r="F70">
            <v>700</v>
          </cell>
          <cell r="G70">
            <v>700</v>
          </cell>
          <cell r="H70" t="str">
            <v>40mm agg</v>
          </cell>
          <cell r="I70">
            <v>0.65</v>
          </cell>
          <cell r="J70" t="str">
            <v>cu.m.</v>
          </cell>
          <cell r="K70">
            <v>5747.2000000000007</v>
          </cell>
          <cell r="L70">
            <v>3735.6800000000007</v>
          </cell>
          <cell r="M70">
            <v>14235.132000000001</v>
          </cell>
          <cell r="N70">
            <v>3735.6800000000007</v>
          </cell>
          <cell r="O70">
            <v>14696.3642</v>
          </cell>
        </row>
        <row r="71">
          <cell r="D71" t="str">
            <v>Coolies</v>
          </cell>
          <cell r="E71">
            <v>4</v>
          </cell>
          <cell r="F71">
            <v>525</v>
          </cell>
          <cell r="G71">
            <v>2100</v>
          </cell>
          <cell r="H71" t="str">
            <v>20mm agg</v>
          </cell>
          <cell r="I71">
            <v>0.24</v>
          </cell>
          <cell r="J71" t="str">
            <v>cu.m.</v>
          </cell>
          <cell r="K71">
            <v>5847.2000000000007</v>
          </cell>
          <cell r="L71">
            <v>1403.3280000000002</v>
          </cell>
          <cell r="N71">
            <v>1403.3280000000002</v>
          </cell>
        </row>
        <row r="72">
          <cell r="H72" t="str">
            <v>cement</v>
          </cell>
          <cell r="I72">
            <v>0.22</v>
          </cell>
          <cell r="J72" t="str">
            <v>mt</v>
          </cell>
          <cell r="K72">
            <v>16127</v>
          </cell>
          <cell r="L72">
            <v>3547.94</v>
          </cell>
          <cell r="N72">
            <v>4009.1721999999995</v>
          </cell>
        </row>
        <row r="73">
          <cell r="H73" t="str">
            <v>coarsesand</v>
          </cell>
          <cell r="I73">
            <v>0.47</v>
          </cell>
          <cell r="J73" t="str">
            <v>cu.m.</v>
          </cell>
          <cell r="K73">
            <v>5847.2000000000007</v>
          </cell>
          <cell r="L73">
            <v>2748.1840000000002</v>
          </cell>
          <cell r="N73">
            <v>2748.1840000000002</v>
          </cell>
        </row>
        <row r="75">
          <cell r="A75" t="str">
            <v>7.2d</v>
          </cell>
          <cell r="B75" t="str">
            <v>(b)  PCC (1:2:4)</v>
          </cell>
          <cell r="D75" t="str">
            <v>Mason</v>
          </cell>
          <cell r="E75">
            <v>1</v>
          </cell>
          <cell r="F75">
            <v>700</v>
          </cell>
          <cell r="G75">
            <v>700</v>
          </cell>
          <cell r="H75" t="str">
            <v>40mm agg</v>
          </cell>
          <cell r="I75">
            <v>0.52</v>
          </cell>
          <cell r="J75" t="str">
            <v>cu.m.</v>
          </cell>
          <cell r="K75">
            <v>5747.2000000000007</v>
          </cell>
          <cell r="L75">
            <v>2988.5440000000003</v>
          </cell>
          <cell r="M75">
            <v>15480.764000000001</v>
          </cell>
          <cell r="N75">
            <v>2988.5440000000003</v>
          </cell>
          <cell r="O75">
            <v>16151.647199999999</v>
          </cell>
        </row>
        <row r="76">
          <cell r="D76" t="str">
            <v>Coolies</v>
          </cell>
          <cell r="E76">
            <v>4</v>
          </cell>
          <cell r="F76">
            <v>525</v>
          </cell>
          <cell r="G76">
            <v>2100</v>
          </cell>
          <cell r="H76" t="str">
            <v>20mm agg</v>
          </cell>
          <cell r="I76">
            <v>0.22</v>
          </cell>
          <cell r="J76" t="str">
            <v>cu.m.</v>
          </cell>
          <cell r="K76">
            <v>5847.2000000000007</v>
          </cell>
          <cell r="L76">
            <v>1286.3840000000002</v>
          </cell>
          <cell r="N76">
            <v>1286.3840000000002</v>
          </cell>
        </row>
        <row r="77">
          <cell r="H77" t="str">
            <v>10mm agg</v>
          </cell>
          <cell r="I77">
            <v>0.11</v>
          </cell>
          <cell r="J77" t="str">
            <v>cu.m.</v>
          </cell>
          <cell r="K77">
            <v>5847.2000000000007</v>
          </cell>
          <cell r="L77">
            <v>643.19200000000012</v>
          </cell>
          <cell r="N77">
            <v>643.19200000000012</v>
          </cell>
        </row>
        <row r="78">
          <cell r="H78" t="str">
            <v>cement</v>
          </cell>
          <cell r="I78">
            <v>0.32</v>
          </cell>
          <cell r="J78" t="str">
            <v>mt</v>
          </cell>
          <cell r="K78">
            <v>16127</v>
          </cell>
          <cell r="L78">
            <v>5160.6400000000003</v>
          </cell>
          <cell r="N78">
            <v>5831.5231999999996</v>
          </cell>
        </row>
        <row r="79">
          <cell r="H79" t="str">
            <v>coarsesand</v>
          </cell>
          <cell r="I79">
            <v>0.44500000000000001</v>
          </cell>
          <cell r="J79" t="str">
            <v>cu.m.</v>
          </cell>
          <cell r="K79">
            <v>5847.2000000000007</v>
          </cell>
          <cell r="L79">
            <v>2602.0040000000004</v>
          </cell>
          <cell r="N79">
            <v>2602.0040000000004</v>
          </cell>
        </row>
        <row r="81">
          <cell r="B81" t="str">
            <v>PCC for RCC in superstructure,  for 1 cum.</v>
          </cell>
        </row>
        <row r="82">
          <cell r="A82" t="str">
            <v>7.4a</v>
          </cell>
          <cell r="B82" t="str">
            <v>(a)  PCC (1:2:4)</v>
          </cell>
          <cell r="D82" t="str">
            <v>Mason</v>
          </cell>
          <cell r="E82">
            <v>0.8</v>
          </cell>
          <cell r="F82">
            <v>700</v>
          </cell>
          <cell r="G82">
            <v>560</v>
          </cell>
          <cell r="H82" t="str">
            <v>40mm agg</v>
          </cell>
          <cell r="I82">
            <v>0.52</v>
          </cell>
          <cell r="J82" t="str">
            <v>cu.m.</v>
          </cell>
          <cell r="K82">
            <v>5747.2000000000007</v>
          </cell>
          <cell r="L82">
            <v>2988.5440000000003</v>
          </cell>
          <cell r="M82">
            <v>16915.764000000003</v>
          </cell>
          <cell r="N82">
            <v>2988.5440000000003</v>
          </cell>
          <cell r="O82">
            <v>17586.647199999999</v>
          </cell>
        </row>
        <row r="83">
          <cell r="D83" t="str">
            <v>Coolies</v>
          </cell>
          <cell r="E83">
            <v>7</v>
          </cell>
          <cell r="F83">
            <v>525</v>
          </cell>
          <cell r="G83">
            <v>3675</v>
          </cell>
          <cell r="H83" t="str">
            <v>20mm agg</v>
          </cell>
          <cell r="I83">
            <v>0.22</v>
          </cell>
          <cell r="J83" t="str">
            <v>cu.m.</v>
          </cell>
          <cell r="K83">
            <v>5847.2000000000007</v>
          </cell>
          <cell r="L83">
            <v>1286.3840000000002</v>
          </cell>
          <cell r="N83">
            <v>1286.3840000000002</v>
          </cell>
        </row>
        <row r="84">
          <cell r="H84" t="str">
            <v>10mm agg</v>
          </cell>
          <cell r="I84">
            <v>0.11</v>
          </cell>
          <cell r="J84" t="str">
            <v>cu.m.</v>
          </cell>
          <cell r="K84">
            <v>5847.2000000000007</v>
          </cell>
          <cell r="L84">
            <v>643.19200000000012</v>
          </cell>
          <cell r="N84">
            <v>643.19200000000012</v>
          </cell>
        </row>
        <row r="85">
          <cell r="H85" t="str">
            <v>cement</v>
          </cell>
          <cell r="I85">
            <v>0.32</v>
          </cell>
          <cell r="J85" t="str">
            <v>mt</v>
          </cell>
          <cell r="K85">
            <v>16127</v>
          </cell>
          <cell r="L85">
            <v>5160.6400000000003</v>
          </cell>
          <cell r="N85">
            <v>5831.5231999999996</v>
          </cell>
        </row>
        <row r="86">
          <cell r="H86" t="str">
            <v>coarsesand</v>
          </cell>
          <cell r="I86">
            <v>0.44500000000000001</v>
          </cell>
          <cell r="J86" t="str">
            <v>cu.m.</v>
          </cell>
          <cell r="K86">
            <v>5847.2000000000007</v>
          </cell>
          <cell r="L86">
            <v>2602.0040000000004</v>
          </cell>
          <cell r="N86">
            <v>2602.0040000000004</v>
          </cell>
        </row>
        <row r="88">
          <cell r="A88" t="str">
            <v>7.4b1</v>
          </cell>
          <cell r="B88" t="str">
            <v>(b) P.C.C. (1:1.5:3)</v>
          </cell>
          <cell r="D88" t="str">
            <v>Mason</v>
          </cell>
          <cell r="E88">
            <v>0.8</v>
          </cell>
          <cell r="F88">
            <v>700</v>
          </cell>
          <cell r="G88">
            <v>560</v>
          </cell>
          <cell r="H88" t="str">
            <v>20mm agg</v>
          </cell>
          <cell r="I88">
            <v>0.56999999999999995</v>
          </cell>
          <cell r="J88" t="str">
            <v>cu.m.</v>
          </cell>
          <cell r="K88">
            <v>5847.2000000000007</v>
          </cell>
          <cell r="L88">
            <v>3332.904</v>
          </cell>
          <cell r="M88">
            <v>18199.452000000001</v>
          </cell>
          <cell r="N88">
            <v>3332.904</v>
          </cell>
          <cell r="O88">
            <v>19038.056</v>
          </cell>
        </row>
        <row r="89">
          <cell r="D89" t="str">
            <v>Coolies</v>
          </cell>
          <cell r="E89">
            <v>7</v>
          </cell>
          <cell r="F89">
            <v>525</v>
          </cell>
          <cell r="G89">
            <v>3675</v>
          </cell>
          <cell r="H89" t="str">
            <v>10mm agg</v>
          </cell>
          <cell r="I89">
            <v>0.28999999999999998</v>
          </cell>
          <cell r="J89" t="str">
            <v>cu.m.</v>
          </cell>
          <cell r="K89">
            <v>5847.2000000000007</v>
          </cell>
          <cell r="L89">
            <v>1695.6880000000001</v>
          </cell>
          <cell r="N89">
            <v>1695.6880000000001</v>
          </cell>
        </row>
        <row r="90">
          <cell r="H90" t="str">
            <v>cement</v>
          </cell>
          <cell r="I90">
            <v>0.4</v>
          </cell>
          <cell r="J90" t="str">
            <v>mt</v>
          </cell>
          <cell r="K90">
            <v>16127</v>
          </cell>
          <cell r="L90">
            <v>6450.8</v>
          </cell>
          <cell r="N90">
            <v>7289.4039999999995</v>
          </cell>
        </row>
        <row r="91">
          <cell r="H91" t="str">
            <v>coarsesand</v>
          </cell>
          <cell r="I91">
            <v>0.42499999999999999</v>
          </cell>
          <cell r="J91" t="str">
            <v>cu.m.</v>
          </cell>
          <cell r="K91">
            <v>5847.2000000000007</v>
          </cell>
          <cell r="L91">
            <v>2485.0600000000004</v>
          </cell>
          <cell r="N91">
            <v>2485.0600000000004</v>
          </cell>
        </row>
        <row r="93">
          <cell r="A93" t="str">
            <v>7.4b2</v>
          </cell>
          <cell r="B93" t="str">
            <v>(b) P.C.C. (1:1.5:3) with 2% WPC</v>
          </cell>
          <cell r="D93" t="str">
            <v>Mason</v>
          </cell>
          <cell r="E93">
            <v>0.8</v>
          </cell>
          <cell r="F93">
            <v>700</v>
          </cell>
          <cell r="G93">
            <v>560</v>
          </cell>
          <cell r="H93" t="str">
            <v>20mm agg</v>
          </cell>
          <cell r="I93">
            <v>0.56999999999999995</v>
          </cell>
          <cell r="J93" t="str">
            <v>cu.m.</v>
          </cell>
          <cell r="K93">
            <v>5847.2000000000007</v>
          </cell>
          <cell r="L93">
            <v>3332.904</v>
          </cell>
          <cell r="M93">
            <v>18679.452000000001</v>
          </cell>
          <cell r="N93">
            <v>3332.904</v>
          </cell>
          <cell r="O93">
            <v>19580.456000000002</v>
          </cell>
        </row>
        <row r="94">
          <cell r="D94" t="str">
            <v>Coolies</v>
          </cell>
          <cell r="E94">
            <v>7</v>
          </cell>
          <cell r="F94">
            <v>525</v>
          </cell>
          <cell r="G94">
            <v>3675</v>
          </cell>
          <cell r="H94" t="str">
            <v>10mm agg</v>
          </cell>
          <cell r="I94">
            <v>0.28999999999999998</v>
          </cell>
          <cell r="J94" t="str">
            <v>cu.m.</v>
          </cell>
          <cell r="K94">
            <v>5847.2000000000007</v>
          </cell>
          <cell r="L94">
            <v>1695.6880000000001</v>
          </cell>
          <cell r="N94">
            <v>1695.6880000000001</v>
          </cell>
        </row>
        <row r="95">
          <cell r="H95" t="str">
            <v>cement</v>
          </cell>
          <cell r="I95">
            <v>0.4</v>
          </cell>
          <cell r="J95" t="str">
            <v>mt</v>
          </cell>
          <cell r="K95">
            <v>16127</v>
          </cell>
          <cell r="L95">
            <v>6450.8</v>
          </cell>
          <cell r="N95">
            <v>7289.4039999999995</v>
          </cell>
        </row>
        <row r="96">
          <cell r="H96" t="str">
            <v>coarsesand</v>
          </cell>
          <cell r="I96">
            <v>0.42499999999999999</v>
          </cell>
          <cell r="J96" t="str">
            <v>cu.m.</v>
          </cell>
          <cell r="K96">
            <v>5847.2000000000007</v>
          </cell>
          <cell r="L96">
            <v>2485.0600000000004</v>
          </cell>
          <cell r="N96">
            <v>2485.0600000000004</v>
          </cell>
        </row>
        <row r="97">
          <cell r="H97" t="str">
            <v>WPC</v>
          </cell>
          <cell r="I97">
            <v>8</v>
          </cell>
          <cell r="J97" t="str">
            <v>kg</v>
          </cell>
          <cell r="K97">
            <v>60</v>
          </cell>
          <cell r="L97">
            <v>480</v>
          </cell>
          <cell r="N97">
            <v>542.4</v>
          </cell>
        </row>
        <row r="99">
          <cell r="A99">
            <v>7.5</v>
          </cell>
          <cell r="B99" t="str">
            <v>Mild steel reinforcement works for RCC,</v>
          </cell>
          <cell r="D99" t="str">
            <v>Mason</v>
          </cell>
          <cell r="E99">
            <v>1.2E-2</v>
          </cell>
          <cell r="F99">
            <v>700</v>
          </cell>
          <cell r="G99">
            <v>8.4</v>
          </cell>
          <cell r="H99" t="str">
            <v>M.S. Bar</v>
          </cell>
          <cell r="I99">
            <v>1.05</v>
          </cell>
          <cell r="J99" t="str">
            <v>kg</v>
          </cell>
          <cell r="K99">
            <v>75.357820000000004</v>
          </cell>
          <cell r="L99">
            <v>79.12571100000001</v>
          </cell>
          <cell r="M99">
            <v>94.74498100000001</v>
          </cell>
          <cell r="N99">
            <v>89.41205343</v>
          </cell>
          <cell r="O99">
            <v>105.15082853</v>
          </cell>
        </row>
        <row r="100">
          <cell r="B100" t="str">
            <v>including bending and 30m haulage, for 1 Kg</v>
          </cell>
          <cell r="D100" t="str">
            <v>Helper</v>
          </cell>
          <cell r="E100">
            <v>1.2E-2</v>
          </cell>
          <cell r="F100">
            <v>525</v>
          </cell>
          <cell r="G100">
            <v>6.3</v>
          </cell>
          <cell r="H100" t="str">
            <v>Binding wire</v>
          </cell>
          <cell r="I100">
            <v>0.01</v>
          </cell>
          <cell r="J100" t="str">
            <v>kg</v>
          </cell>
          <cell r="K100">
            <v>91.927000000000007</v>
          </cell>
          <cell r="L100">
            <v>0.91927000000000003</v>
          </cell>
          <cell r="N100">
            <v>1.0387750999999998</v>
          </cell>
        </row>
        <row r="102">
          <cell r="A102" t="str">
            <v>8.2a</v>
          </cell>
          <cell r="B102" t="str">
            <v xml:space="preserve">Centering/shuttering works, </v>
          </cell>
          <cell r="D102" t="str">
            <v>Mason</v>
          </cell>
          <cell r="E102">
            <v>0.17199999999999999</v>
          </cell>
          <cell r="F102">
            <v>700</v>
          </cell>
          <cell r="G102">
            <v>120.39999999999999</v>
          </cell>
          <cell r="H102" t="str">
            <v>Local wood</v>
          </cell>
          <cell r="I102">
            <v>5.2600000000000001E-2</v>
          </cell>
          <cell r="J102" t="str">
            <v>cu.m.</v>
          </cell>
          <cell r="K102">
            <v>49347</v>
          </cell>
          <cell r="L102">
            <v>432.6087</v>
          </cell>
          <cell r="M102">
            <v>713.41545000000008</v>
          </cell>
          <cell r="N102">
            <v>432.6087</v>
          </cell>
          <cell r="O102">
            <v>716.72807750000004</v>
          </cell>
        </row>
        <row r="103">
          <cell r="B103" t="str">
            <v>haulage 30m  for 1sqm.</v>
          </cell>
          <cell r="D103" t="str">
            <v>Coolies</v>
          </cell>
          <cell r="E103">
            <v>0.25700000000000001</v>
          </cell>
          <cell r="F103">
            <v>525</v>
          </cell>
          <cell r="G103">
            <v>134.92500000000001</v>
          </cell>
          <cell r="H103" t="str">
            <v>Nails</v>
          </cell>
          <cell r="I103">
            <v>0.25</v>
          </cell>
          <cell r="J103" t="str">
            <v>kg</v>
          </cell>
          <cell r="K103">
            <v>101.92700000000001</v>
          </cell>
          <cell r="L103">
            <v>25.481750000000002</v>
          </cell>
          <cell r="N103">
            <v>28.7943775</v>
          </cell>
        </row>
        <row r="105">
          <cell r="A105">
            <v>9.1</v>
          </cell>
          <cell r="B105" t="str">
            <v xml:space="preserve">CGI sheet roofing work including procuring </v>
          </cell>
          <cell r="D105" t="str">
            <v>Mason</v>
          </cell>
          <cell r="E105">
            <v>0.2</v>
          </cell>
          <cell r="F105">
            <v>700</v>
          </cell>
          <cell r="G105">
            <v>140</v>
          </cell>
          <cell r="H105" t="str">
            <v>CGI sheet 24-26swg</v>
          </cell>
          <cell r="I105">
            <v>1.2</v>
          </cell>
          <cell r="J105" t="str">
            <v>sqm</v>
          </cell>
          <cell r="K105">
            <v>8212.7630399999998</v>
          </cell>
          <cell r="L105">
            <v>1642.552608</v>
          </cell>
          <cell r="M105">
            <v>3616.3552159999999</v>
          </cell>
          <cell r="N105">
            <v>1856.0844470399998</v>
          </cell>
          <cell r="O105">
            <v>4322.4688940799997</v>
          </cell>
        </row>
        <row r="106">
          <cell r="B106" t="str">
            <v>of materials for 1m2:</v>
          </cell>
          <cell r="D106" t="str">
            <v>Coolies</v>
          </cell>
          <cell r="E106">
            <v>0.25</v>
          </cell>
          <cell r="F106">
            <v>525</v>
          </cell>
          <cell r="G106">
            <v>131.25</v>
          </cell>
          <cell r="H106" t="str">
            <v>8mm nut/bolt</v>
          </cell>
          <cell r="I106">
            <v>3</v>
          </cell>
          <cell r="J106" t="str">
            <v>no</v>
          </cell>
          <cell r="K106">
            <v>10</v>
          </cell>
          <cell r="L106">
            <v>30</v>
          </cell>
          <cell r="N106">
            <v>33.9</v>
          </cell>
        </row>
        <row r="107">
          <cell r="G107">
            <v>271.25</v>
          </cell>
          <cell r="H107" t="str">
            <v>J-hook+ bitu-washer</v>
          </cell>
          <cell r="I107">
            <v>2.5</v>
          </cell>
          <cell r="J107" t="str">
            <v>no</v>
          </cell>
          <cell r="K107">
            <v>5</v>
          </cell>
          <cell r="L107">
            <v>1672.552608</v>
          </cell>
          <cell r="N107">
            <v>1889.9844470399998</v>
          </cell>
        </row>
        <row r="110">
          <cell r="A110">
            <v>9.1999999999999993</v>
          </cell>
          <cell r="B110" t="str">
            <v>GI plainsheet ridge fixing work</v>
          </cell>
          <cell r="D110" t="str">
            <v>Mason</v>
          </cell>
          <cell r="E110">
            <v>0.2</v>
          </cell>
          <cell r="F110">
            <v>700</v>
          </cell>
          <cell r="G110">
            <v>140</v>
          </cell>
          <cell r="H110" t="str">
            <v>GI plainsheet 28swg</v>
          </cell>
          <cell r="I110">
            <v>1.2</v>
          </cell>
          <cell r="J110" t="str">
            <v>sqm</v>
          </cell>
          <cell r="K110">
            <v>8212.7630399999998</v>
          </cell>
          <cell r="L110">
            <v>1642.552608</v>
          </cell>
          <cell r="M110">
            <v>1953.802608</v>
          </cell>
          <cell r="N110">
            <v>1856.0844470399998</v>
          </cell>
          <cell r="O110">
            <v>2172.5344470399996</v>
          </cell>
        </row>
        <row r="111">
          <cell r="B111" t="str">
            <v>all complete, for 1 rm.</v>
          </cell>
          <cell r="D111" t="str">
            <v>Coolies</v>
          </cell>
          <cell r="E111">
            <v>0.25</v>
          </cell>
          <cell r="F111">
            <v>525</v>
          </cell>
          <cell r="G111">
            <v>131.25</v>
          </cell>
          <cell r="H111" t="str">
            <v>8mm nut/bolt</v>
          </cell>
          <cell r="I111">
            <v>4</v>
          </cell>
          <cell r="J111" t="str">
            <v>no</v>
          </cell>
          <cell r="K111">
            <v>10</v>
          </cell>
          <cell r="L111">
            <v>40</v>
          </cell>
          <cell r="N111">
            <v>45.199999999999996</v>
          </cell>
        </row>
        <row r="113">
          <cell r="B113" t="str">
            <v>Salwood work for doors &amp; windows:</v>
          </cell>
        </row>
        <row r="114">
          <cell r="A114" t="str">
            <v>10.1a</v>
          </cell>
          <cell r="B114" t="str">
            <v>Frames (Chaukhat ) for 1cum.</v>
          </cell>
          <cell r="D114" t="str">
            <v>Carpenter</v>
          </cell>
          <cell r="E114">
            <v>34</v>
          </cell>
          <cell r="F114">
            <v>700</v>
          </cell>
          <cell r="G114">
            <v>23800</v>
          </cell>
          <cell r="H114" t="str">
            <v>Salwood</v>
          </cell>
          <cell r="I114">
            <v>1.1000000000000001</v>
          </cell>
          <cell r="J114" t="str">
            <v>cum.</v>
          </cell>
          <cell r="K114">
            <v>99010</v>
          </cell>
          <cell r="L114">
            <v>108911.00000000001</v>
          </cell>
          <cell r="M114">
            <v>135600</v>
          </cell>
          <cell r="N114">
            <v>108911.00000000001</v>
          </cell>
          <cell r="O114">
            <v>135743.52000000002</v>
          </cell>
        </row>
        <row r="115">
          <cell r="B115" t="str">
            <v>(wood size 75 x 100 mm)</v>
          </cell>
          <cell r="D115" t="str">
            <v>Laborer</v>
          </cell>
          <cell r="E115">
            <v>3.4</v>
          </cell>
          <cell r="F115">
            <v>525</v>
          </cell>
          <cell r="G115">
            <v>1785</v>
          </cell>
          <cell r="H115" t="str">
            <v>Holdfast</v>
          </cell>
          <cell r="I115">
            <v>92</v>
          </cell>
          <cell r="J115" t="str">
            <v>no</v>
          </cell>
          <cell r="K115">
            <v>10</v>
          </cell>
          <cell r="L115">
            <v>920</v>
          </cell>
          <cell r="N115">
            <v>1039.5999999999999</v>
          </cell>
        </row>
        <row r="116">
          <cell r="H116" t="str">
            <v>nails/screws</v>
          </cell>
          <cell r="I116">
            <v>184</v>
          </cell>
          <cell r="J116" t="str">
            <v>no</v>
          </cell>
          <cell r="K116">
            <v>1</v>
          </cell>
          <cell r="L116">
            <v>184</v>
          </cell>
          <cell r="N116">
            <v>207.92</v>
          </cell>
        </row>
        <row r="118">
          <cell r="A118" t="str">
            <v>10.1b</v>
          </cell>
          <cell r="B118" t="str">
            <v>For one Frame (chaukat) of size (900x2100 mm)</v>
          </cell>
          <cell r="M118">
            <v>5186.7000000000007</v>
          </cell>
          <cell r="O118">
            <v>5192.1896400000014</v>
          </cell>
        </row>
        <row r="120">
          <cell r="A120" t="str">
            <v>10.2a</v>
          </cell>
          <cell r="B120" t="str">
            <v>Making and fixing panelled door shutter with</v>
          </cell>
          <cell r="D120" t="str">
            <v>Carpenter</v>
          </cell>
          <cell r="E120">
            <v>10</v>
          </cell>
          <cell r="F120">
            <v>700</v>
          </cell>
          <cell r="G120">
            <v>7000</v>
          </cell>
          <cell r="H120" t="str">
            <v>Salwood</v>
          </cell>
          <cell r="I120">
            <v>8.4000000000000005E-2</v>
          </cell>
          <cell r="J120" t="str">
            <v>cum.</v>
          </cell>
          <cell r="K120">
            <v>99010</v>
          </cell>
          <cell r="L120">
            <v>8316.84</v>
          </cell>
          <cell r="M120">
            <v>16411.84</v>
          </cell>
          <cell r="N120">
            <v>8316.84</v>
          </cell>
          <cell r="O120">
            <v>16485.939999999999</v>
          </cell>
        </row>
        <row r="121">
          <cell r="B121" t="str">
            <v>38mm thick frame for one shutter</v>
          </cell>
          <cell r="D121" t="str">
            <v>Laborer</v>
          </cell>
          <cell r="E121">
            <v>1</v>
          </cell>
          <cell r="F121">
            <v>525</v>
          </cell>
          <cell r="G121">
            <v>525</v>
          </cell>
          <cell r="H121" t="str">
            <v xml:space="preserve"> Hinge 6"</v>
          </cell>
          <cell r="I121">
            <v>6</v>
          </cell>
          <cell r="J121" t="str">
            <v>no</v>
          </cell>
          <cell r="K121">
            <v>30</v>
          </cell>
          <cell r="L121">
            <v>180</v>
          </cell>
          <cell r="N121">
            <v>203.39999999999998</v>
          </cell>
        </row>
        <row r="122">
          <cell r="B122" t="str">
            <v xml:space="preserve">     (Shutter size : 1.07x1.982 = 2.123 sqm)</v>
          </cell>
          <cell r="H122" t="str">
            <v xml:space="preserve"> Tower bolt 6"</v>
          </cell>
          <cell r="I122">
            <v>1</v>
          </cell>
          <cell r="J122" t="str">
            <v>no</v>
          </cell>
          <cell r="K122">
            <v>30</v>
          </cell>
          <cell r="L122">
            <v>30</v>
          </cell>
          <cell r="N122">
            <v>33.9</v>
          </cell>
        </row>
        <row r="123">
          <cell r="H123" t="str">
            <v xml:space="preserve"> Tower bolt 12"</v>
          </cell>
          <cell r="I123">
            <v>1</v>
          </cell>
          <cell r="J123" t="str">
            <v>no</v>
          </cell>
          <cell r="K123">
            <v>50</v>
          </cell>
          <cell r="L123">
            <v>50</v>
          </cell>
          <cell r="N123">
            <v>56.499999999999993</v>
          </cell>
        </row>
        <row r="124">
          <cell r="H124" t="str">
            <v xml:space="preserve"> Lockset 250mm</v>
          </cell>
          <cell r="I124">
            <v>1</v>
          </cell>
          <cell r="J124" t="str">
            <v>no</v>
          </cell>
          <cell r="K124">
            <v>150</v>
          </cell>
          <cell r="L124">
            <v>150</v>
          </cell>
          <cell r="N124">
            <v>169.49999999999997</v>
          </cell>
        </row>
        <row r="125">
          <cell r="H125" t="str">
            <v xml:space="preserve"> Handle</v>
          </cell>
          <cell r="I125">
            <v>2</v>
          </cell>
          <cell r="J125" t="str">
            <v>no</v>
          </cell>
          <cell r="K125">
            <v>75</v>
          </cell>
          <cell r="L125">
            <v>150</v>
          </cell>
          <cell r="N125">
            <v>169.49999999999997</v>
          </cell>
        </row>
        <row r="126">
          <cell r="H126" t="str">
            <v xml:space="preserve"> Screw</v>
          </cell>
          <cell r="I126">
            <v>0.5</v>
          </cell>
          <cell r="J126" t="str">
            <v>kg</v>
          </cell>
          <cell r="K126">
            <v>20</v>
          </cell>
          <cell r="L126">
            <v>10</v>
          </cell>
          <cell r="N126">
            <v>11.299999999999999</v>
          </cell>
        </row>
        <row r="128">
          <cell r="A128" t="str">
            <v>10.2b</v>
          </cell>
          <cell r="B128" t="str">
            <v>Rate for 1 sqm.</v>
          </cell>
          <cell r="M128">
            <v>7730.4945831370696</v>
          </cell>
          <cell r="O128">
            <v>7765.3980216674499</v>
          </cell>
        </row>
        <row r="130">
          <cell r="A130" t="str">
            <v>10.9a1</v>
          </cell>
          <cell r="B130" t="str">
            <v>Fixing GI plainsheet on both sides of 38mm thick</v>
          </cell>
          <cell r="D130" t="str">
            <v>Carpenter</v>
          </cell>
          <cell r="E130">
            <v>7</v>
          </cell>
          <cell r="F130">
            <v>700</v>
          </cell>
          <cell r="G130">
            <v>4900</v>
          </cell>
          <cell r="H130" t="str">
            <v>Salwood</v>
          </cell>
          <cell r="I130">
            <v>3.4599999999999999E-2</v>
          </cell>
          <cell r="J130" t="str">
            <v>cum.</v>
          </cell>
          <cell r="K130">
            <v>99010</v>
          </cell>
          <cell r="L130">
            <v>3425.7460000000001</v>
          </cell>
          <cell r="M130">
            <v>10488.9706314</v>
          </cell>
          <cell r="N130">
            <v>3425.7460000000001</v>
          </cell>
          <cell r="O130">
            <v>10722.414833482</v>
          </cell>
        </row>
        <row r="131">
          <cell r="B131" t="str">
            <v>1.09x2.06=2.245 sqm door frame</v>
          </cell>
          <cell r="D131" t="str">
            <v>Laborer</v>
          </cell>
          <cell r="E131">
            <v>0.7</v>
          </cell>
          <cell r="F131">
            <v>525</v>
          </cell>
          <cell r="G131">
            <v>367.5</v>
          </cell>
          <cell r="H131" t="str">
            <v xml:space="preserve"> Hinge 6"</v>
          </cell>
          <cell r="I131">
            <v>3</v>
          </cell>
          <cell r="J131" t="str">
            <v>no</v>
          </cell>
          <cell r="K131">
            <v>30</v>
          </cell>
          <cell r="L131">
            <v>90</v>
          </cell>
          <cell r="N131">
            <v>101.69999999999999</v>
          </cell>
        </row>
        <row r="132">
          <cell r="H132" t="str">
            <v xml:space="preserve"> Tower bolt 6"</v>
          </cell>
          <cell r="I132">
            <v>1</v>
          </cell>
          <cell r="J132" t="str">
            <v>no</v>
          </cell>
          <cell r="K132">
            <v>30</v>
          </cell>
          <cell r="L132">
            <v>30</v>
          </cell>
          <cell r="N132">
            <v>33.9</v>
          </cell>
        </row>
        <row r="133">
          <cell r="H133" t="str">
            <v xml:space="preserve"> Tower bolt 12"</v>
          </cell>
          <cell r="I133">
            <v>1</v>
          </cell>
          <cell r="J133" t="str">
            <v>no</v>
          </cell>
          <cell r="K133">
            <v>50</v>
          </cell>
          <cell r="L133">
            <v>50</v>
          </cell>
          <cell r="N133">
            <v>56.499999999999993</v>
          </cell>
        </row>
        <row r="134">
          <cell r="H134" t="str">
            <v xml:space="preserve"> Lockset 250mm</v>
          </cell>
          <cell r="I134">
            <v>1</v>
          </cell>
          <cell r="J134" t="str">
            <v>no</v>
          </cell>
          <cell r="K134">
            <v>150</v>
          </cell>
          <cell r="L134">
            <v>150</v>
          </cell>
          <cell r="N134">
            <v>169.49999999999997</v>
          </cell>
        </row>
        <row r="135">
          <cell r="H135" t="str">
            <v xml:space="preserve"> Handle</v>
          </cell>
          <cell r="I135">
            <v>1</v>
          </cell>
          <cell r="J135" t="str">
            <v>no</v>
          </cell>
          <cell r="K135">
            <v>75</v>
          </cell>
          <cell r="L135">
            <v>75</v>
          </cell>
          <cell r="N135">
            <v>84.749999999999986</v>
          </cell>
        </row>
        <row r="136">
          <cell r="H136" t="str">
            <v>GI plainsheet 28swg</v>
          </cell>
          <cell r="I136">
            <v>4.6500000000000004</v>
          </cell>
          <cell r="J136" t="str">
            <v>sqm</v>
          </cell>
          <cell r="K136">
            <v>300.800996</v>
          </cell>
          <cell r="L136">
            <v>1398.7246314000001</v>
          </cell>
          <cell r="N136">
            <v>1580.558833482</v>
          </cell>
        </row>
        <row r="137">
          <cell r="H137" t="str">
            <v xml:space="preserve"> Screw</v>
          </cell>
          <cell r="J137" t="str">
            <v>LS</v>
          </cell>
          <cell r="L137">
            <v>2</v>
          </cell>
          <cell r="N137">
            <v>2.2599999999999998</v>
          </cell>
        </row>
        <row r="139">
          <cell r="A139" t="str">
            <v>10.9a2</v>
          </cell>
          <cell r="B139" t="str">
            <v>Rate for 1 sqm.</v>
          </cell>
          <cell r="M139">
            <v>4672.1472745657011</v>
          </cell>
          <cell r="O139">
            <v>4776.1313289452119</v>
          </cell>
        </row>
        <row r="141">
          <cell r="A141" t="str">
            <v>10.10a1</v>
          </cell>
          <cell r="B141" t="str">
            <v>Fixing mosquito proof wirenet to 38mm thick</v>
          </cell>
          <cell r="D141" t="str">
            <v>Carpenter</v>
          </cell>
          <cell r="E141">
            <v>5</v>
          </cell>
          <cell r="F141">
            <v>700</v>
          </cell>
          <cell r="G141">
            <v>3500</v>
          </cell>
          <cell r="H141" t="str">
            <v>Salwood</v>
          </cell>
          <cell r="I141">
            <v>2.5999999999999999E-2</v>
          </cell>
          <cell r="J141" t="str">
            <v>cum.</v>
          </cell>
          <cell r="K141">
            <v>176657.22</v>
          </cell>
          <cell r="L141">
            <v>4593.0877199999995</v>
          </cell>
          <cell r="M141">
            <v>8922.0877199999995</v>
          </cell>
          <cell r="N141">
            <v>4593.0877199999995</v>
          </cell>
          <cell r="O141">
            <v>8995.73272</v>
          </cell>
        </row>
        <row r="142">
          <cell r="B142" t="str">
            <v>1.09x2.06=2.245 sqm frame</v>
          </cell>
          <cell r="D142" t="str">
            <v>Laborer</v>
          </cell>
          <cell r="E142">
            <v>0.5</v>
          </cell>
          <cell r="F142">
            <v>525</v>
          </cell>
          <cell r="G142">
            <v>262.5</v>
          </cell>
          <cell r="H142" t="str">
            <v xml:space="preserve"> Hinge 6"</v>
          </cell>
          <cell r="I142">
            <v>3</v>
          </cell>
          <cell r="J142" t="str">
            <v>no</v>
          </cell>
          <cell r="K142">
            <v>30</v>
          </cell>
          <cell r="L142">
            <v>90</v>
          </cell>
          <cell r="N142">
            <v>101.69999999999999</v>
          </cell>
        </row>
        <row r="143">
          <cell r="H143" t="str">
            <v xml:space="preserve"> Tower bolt 6"</v>
          </cell>
          <cell r="I143">
            <v>1</v>
          </cell>
          <cell r="J143" t="str">
            <v>no</v>
          </cell>
          <cell r="K143">
            <v>30</v>
          </cell>
          <cell r="L143">
            <v>30</v>
          </cell>
          <cell r="N143">
            <v>33.9</v>
          </cell>
        </row>
        <row r="144">
          <cell r="H144" t="str">
            <v xml:space="preserve"> Tower bolt 12"</v>
          </cell>
          <cell r="I144">
            <v>1</v>
          </cell>
          <cell r="J144" t="str">
            <v>no</v>
          </cell>
          <cell r="K144">
            <v>50</v>
          </cell>
          <cell r="L144">
            <v>50</v>
          </cell>
          <cell r="N144">
            <v>56.499999999999993</v>
          </cell>
        </row>
        <row r="145">
          <cell r="H145" t="str">
            <v>wiremesh 24 SWG</v>
          </cell>
          <cell r="I145">
            <v>2.13</v>
          </cell>
          <cell r="J145" t="str">
            <v>sqm</v>
          </cell>
          <cell r="K145">
            <v>150</v>
          </cell>
          <cell r="L145">
            <v>319.5</v>
          </cell>
          <cell r="N145">
            <v>361.03499999999997</v>
          </cell>
        </row>
        <row r="146">
          <cell r="H146" t="str">
            <v xml:space="preserve"> Handle</v>
          </cell>
          <cell r="I146">
            <v>1</v>
          </cell>
          <cell r="J146" t="str">
            <v>no</v>
          </cell>
          <cell r="K146">
            <v>75</v>
          </cell>
          <cell r="L146">
            <v>75</v>
          </cell>
          <cell r="N146">
            <v>84.749999999999986</v>
          </cell>
        </row>
        <row r="147">
          <cell r="H147" t="str">
            <v xml:space="preserve"> Screw</v>
          </cell>
          <cell r="J147" t="str">
            <v>LS</v>
          </cell>
          <cell r="L147">
            <v>2</v>
          </cell>
          <cell r="N147">
            <v>2.2599999999999998</v>
          </cell>
        </row>
        <row r="148">
          <cell r="A148" t="str">
            <v>10.10a2</v>
          </cell>
          <cell r="B148" t="str">
            <v>Rate for 1 sqm.</v>
          </cell>
          <cell r="M148">
            <v>3974.2038841870822</v>
          </cell>
          <cell r="O148">
            <v>4007.0078930957684</v>
          </cell>
        </row>
        <row r="150">
          <cell r="A150">
            <v>10.17</v>
          </cell>
          <cell r="B150" t="str">
            <v>Beams, Lintels, Wallplates etc. for 1cum.</v>
          </cell>
          <cell r="D150" t="str">
            <v>Carpenter</v>
          </cell>
          <cell r="E150">
            <v>17.649999999999999</v>
          </cell>
          <cell r="F150">
            <v>700</v>
          </cell>
          <cell r="G150">
            <v>12354.999999999998</v>
          </cell>
          <cell r="H150" t="str">
            <v>Salwood</v>
          </cell>
          <cell r="I150">
            <v>1.05</v>
          </cell>
          <cell r="J150" t="str">
            <v>cum.</v>
          </cell>
          <cell r="K150">
            <v>176657.22</v>
          </cell>
          <cell r="L150">
            <v>185490.08100000001</v>
          </cell>
          <cell r="M150">
            <v>198873.633</v>
          </cell>
          <cell r="N150">
            <v>185490.08100000001</v>
          </cell>
          <cell r="O150">
            <v>198886.88351000001</v>
          </cell>
        </row>
        <row r="151">
          <cell r="B151" t="str">
            <v>( for span &lt;9m)</v>
          </cell>
          <cell r="D151" t="str">
            <v>Laborer</v>
          </cell>
          <cell r="E151">
            <v>1.7649999999999999</v>
          </cell>
          <cell r="F151">
            <v>525</v>
          </cell>
          <cell r="G151">
            <v>926.625</v>
          </cell>
          <cell r="H151" t="str">
            <v>Nails</v>
          </cell>
          <cell r="I151">
            <v>1</v>
          </cell>
          <cell r="J151" t="str">
            <v>kg</v>
          </cell>
          <cell r="K151">
            <v>101.92700000000001</v>
          </cell>
          <cell r="L151">
            <v>101.92700000000001</v>
          </cell>
          <cell r="N151">
            <v>115.17751</v>
          </cell>
        </row>
        <row r="153">
          <cell r="A153">
            <v>10.18</v>
          </cell>
          <cell r="B153" t="str">
            <v>Trusses including fixing for 1cum.</v>
          </cell>
          <cell r="D153" t="str">
            <v>Carpenter</v>
          </cell>
          <cell r="E153">
            <v>17.649999999999999</v>
          </cell>
          <cell r="F153">
            <v>700</v>
          </cell>
          <cell r="G153">
            <v>12354.999999999998</v>
          </cell>
          <cell r="H153" t="str">
            <v>Salwood</v>
          </cell>
          <cell r="I153">
            <v>1.05</v>
          </cell>
          <cell r="J153" t="str">
            <v>cum.</v>
          </cell>
          <cell r="K153">
            <v>176657.22</v>
          </cell>
          <cell r="L153">
            <v>185490.08100000001</v>
          </cell>
          <cell r="M153">
            <v>213533.62099999998</v>
          </cell>
          <cell r="N153">
            <v>185490.08100000001</v>
          </cell>
          <cell r="O153">
            <v>213798.6312</v>
          </cell>
        </row>
        <row r="154">
          <cell r="D154" t="str">
            <v>Laborer</v>
          </cell>
          <cell r="E154">
            <v>26</v>
          </cell>
          <cell r="F154">
            <v>525</v>
          </cell>
          <cell r="G154">
            <v>13650</v>
          </cell>
          <cell r="H154" t="str">
            <v>Strips</v>
          </cell>
          <cell r="I154">
            <v>10</v>
          </cell>
          <cell r="J154" t="str">
            <v>kg</v>
          </cell>
          <cell r="K154">
            <v>101.92700000000001</v>
          </cell>
          <cell r="L154">
            <v>1019.2700000000001</v>
          </cell>
          <cell r="N154">
            <v>1151.7751000000001</v>
          </cell>
        </row>
        <row r="155">
          <cell r="H155" t="str">
            <v>Nails</v>
          </cell>
          <cell r="I155">
            <v>10</v>
          </cell>
          <cell r="J155" t="str">
            <v>kg</v>
          </cell>
          <cell r="K155">
            <v>101.92700000000001</v>
          </cell>
          <cell r="L155">
            <v>1019.2700000000001</v>
          </cell>
          <cell r="N155">
            <v>1151.7751000000001</v>
          </cell>
        </row>
        <row r="157">
          <cell r="A157">
            <v>10.19</v>
          </cell>
          <cell r="B157" t="str">
            <v>25mm thick Eavesboard including fixing for 1sqm.</v>
          </cell>
          <cell r="D157" t="str">
            <v>Carpenter</v>
          </cell>
          <cell r="E157">
            <v>0.14299999999999999</v>
          </cell>
          <cell r="F157">
            <v>700</v>
          </cell>
          <cell r="G157">
            <v>100.1</v>
          </cell>
          <cell r="H157" t="str">
            <v>Salwood</v>
          </cell>
          <cell r="I157">
            <v>2.75E-2</v>
          </cell>
          <cell r="J157" t="str">
            <v>cum.</v>
          </cell>
          <cell r="K157">
            <v>176657.22</v>
          </cell>
          <cell r="L157">
            <v>4858.0735500000001</v>
          </cell>
          <cell r="M157">
            <v>4980.9701000000005</v>
          </cell>
          <cell r="N157">
            <v>4858.0735500000001</v>
          </cell>
          <cell r="O157">
            <v>4982.9576765000002</v>
          </cell>
        </row>
        <row r="158">
          <cell r="D158" t="str">
            <v>Laborer</v>
          </cell>
          <cell r="E158">
            <v>1.43E-2</v>
          </cell>
          <cell r="F158">
            <v>525</v>
          </cell>
          <cell r="G158">
            <v>7.5075000000000003</v>
          </cell>
          <cell r="H158" t="str">
            <v>Nails</v>
          </cell>
          <cell r="I158">
            <v>0.15</v>
          </cell>
          <cell r="J158" t="str">
            <v>kg</v>
          </cell>
          <cell r="K158">
            <v>101.92700000000001</v>
          </cell>
          <cell r="L158">
            <v>15.28905</v>
          </cell>
          <cell r="N158">
            <v>17.276626499999999</v>
          </cell>
        </row>
        <row r="160">
          <cell r="A160" t="str">
            <v>10.20d</v>
          </cell>
          <cell r="B160" t="str">
            <v>Fixing mosquito proof wirenet to existing frames</v>
          </cell>
          <cell r="D160" t="str">
            <v>Carpenter</v>
          </cell>
          <cell r="E160">
            <v>0.108</v>
          </cell>
          <cell r="F160">
            <v>700</v>
          </cell>
          <cell r="G160">
            <v>75.599999999999994</v>
          </cell>
          <cell r="H160" t="str">
            <v>Salwood for Listies</v>
          </cell>
          <cell r="I160">
            <v>2E-3</v>
          </cell>
          <cell r="J160" t="str">
            <v>cum.</v>
          </cell>
          <cell r="K160">
            <v>176657.22</v>
          </cell>
          <cell r="L160">
            <v>353.31443999999999</v>
          </cell>
          <cell r="M160">
            <v>750.91699000000017</v>
          </cell>
          <cell r="N160">
            <v>353.31443999999999</v>
          </cell>
          <cell r="O160">
            <v>785.26982150000003</v>
          </cell>
        </row>
        <row r="161">
          <cell r="B161" t="str">
            <v>for 1 sqm.</v>
          </cell>
          <cell r="D161" t="str">
            <v>Laborer</v>
          </cell>
          <cell r="E161">
            <v>0.11</v>
          </cell>
          <cell r="F161">
            <v>525</v>
          </cell>
          <cell r="G161">
            <v>57.75</v>
          </cell>
          <cell r="H161" t="str">
            <v>mosquito net</v>
          </cell>
          <cell r="I161">
            <v>1.1000000000000001</v>
          </cell>
          <cell r="J161" t="str">
            <v>sqm</v>
          </cell>
          <cell r="K161">
            <v>230.96350000000001</v>
          </cell>
          <cell r="L161">
            <v>254.05985000000004</v>
          </cell>
          <cell r="N161">
            <v>287.08763050000005</v>
          </cell>
        </row>
        <row r="162">
          <cell r="H162" t="str">
            <v>Nails</v>
          </cell>
          <cell r="I162">
            <v>0.1</v>
          </cell>
          <cell r="J162" t="str">
            <v>kg</v>
          </cell>
          <cell r="K162">
            <v>101.92700000000001</v>
          </cell>
          <cell r="L162">
            <v>10.192700000000002</v>
          </cell>
          <cell r="N162">
            <v>11.517751000000001</v>
          </cell>
        </row>
        <row r="164">
          <cell r="A164" t="str">
            <v>11.20</v>
          </cell>
          <cell r="B164" t="str">
            <v>3 mm thick cement punning for 1sqm.</v>
          </cell>
          <cell r="D164" t="str">
            <v>Mason</v>
          </cell>
          <cell r="E164">
            <v>0.1</v>
          </cell>
          <cell r="F164">
            <v>700</v>
          </cell>
          <cell r="G164">
            <v>70</v>
          </cell>
          <cell r="H164" t="str">
            <v>cement</v>
          </cell>
          <cell r="I164">
            <v>5.3200000000000001E-3</v>
          </cell>
          <cell r="J164" t="str">
            <v>mt</v>
          </cell>
          <cell r="K164">
            <v>16127</v>
          </cell>
          <cell r="L164">
            <v>85.795640000000006</v>
          </cell>
          <cell r="M164">
            <v>208.29563999999999</v>
          </cell>
          <cell r="N164">
            <v>96.949073200000001</v>
          </cell>
          <cell r="O164">
            <v>219.44907319999999</v>
          </cell>
        </row>
        <row r="165">
          <cell r="D165" t="str">
            <v>Coolies</v>
          </cell>
          <cell r="E165">
            <v>0.1</v>
          </cell>
          <cell r="F165">
            <v>525</v>
          </cell>
          <cell r="G165">
            <v>52.5</v>
          </cell>
        </row>
        <row r="167">
          <cell r="B167" t="str">
            <v>12.5 mm thick c/s plaster for  1sqm.</v>
          </cell>
        </row>
        <row r="168">
          <cell r="A168" t="str">
            <v>12.1a</v>
          </cell>
          <cell r="B168" t="str">
            <v>in (1:2)  c/s mortar</v>
          </cell>
          <cell r="D168" t="str">
            <v>Mason</v>
          </cell>
          <cell r="E168">
            <v>0.12</v>
          </cell>
          <cell r="F168">
            <v>700</v>
          </cell>
          <cell r="G168">
            <v>84</v>
          </cell>
          <cell r="H168" t="str">
            <v>cement</v>
          </cell>
          <cell r="I168">
            <v>8.9999999999999993E-3</v>
          </cell>
          <cell r="J168" t="str">
            <v>MT</v>
          </cell>
          <cell r="K168">
            <v>16127</v>
          </cell>
          <cell r="L168">
            <v>145.143</v>
          </cell>
          <cell r="M168">
            <v>384.47884000000005</v>
          </cell>
          <cell r="N168">
            <v>164.01158999999998</v>
          </cell>
          <cell r="O168">
            <v>403.34742999999997</v>
          </cell>
        </row>
        <row r="169">
          <cell r="D169" t="str">
            <v>Labor</v>
          </cell>
          <cell r="E169">
            <v>0.16</v>
          </cell>
          <cell r="F169">
            <v>525</v>
          </cell>
          <cell r="G169">
            <v>84</v>
          </cell>
          <cell r="H169" t="str">
            <v>sand</v>
          </cell>
          <cell r="I169">
            <v>1.2200000000000001E-2</v>
          </cell>
          <cell r="J169" t="str">
            <v>cu.m.</v>
          </cell>
          <cell r="K169">
            <v>5847.2000000000007</v>
          </cell>
          <cell r="L169">
            <v>71.335840000000019</v>
          </cell>
          <cell r="N169">
            <v>71.335840000000019</v>
          </cell>
        </row>
        <row r="171">
          <cell r="A171" t="str">
            <v>12.1b</v>
          </cell>
          <cell r="B171" t="str">
            <v>in (1:3) c/s mortar</v>
          </cell>
          <cell r="D171" t="str">
            <v>Mason</v>
          </cell>
          <cell r="E171">
            <v>0.12</v>
          </cell>
          <cell r="F171">
            <v>700</v>
          </cell>
          <cell r="G171">
            <v>84</v>
          </cell>
          <cell r="H171" t="str">
            <v>cement</v>
          </cell>
          <cell r="I171">
            <v>6.1999999999999998E-3</v>
          </cell>
          <cell r="J171" t="str">
            <v>MT</v>
          </cell>
          <cell r="K171">
            <v>16127</v>
          </cell>
          <cell r="L171">
            <v>99.987399999999994</v>
          </cell>
          <cell r="M171">
            <v>342.83155999999997</v>
          </cell>
          <cell r="N171">
            <v>112.98576199999998</v>
          </cell>
          <cell r="O171">
            <v>355.82992200000001</v>
          </cell>
        </row>
        <row r="172">
          <cell r="D172" t="str">
            <v>Labor</v>
          </cell>
          <cell r="E172">
            <v>0.16</v>
          </cell>
          <cell r="F172">
            <v>525</v>
          </cell>
          <cell r="G172">
            <v>84</v>
          </cell>
          <cell r="H172" t="str">
            <v>sand</v>
          </cell>
          <cell r="I172">
            <v>1.2800000000000001E-2</v>
          </cell>
          <cell r="J172" t="str">
            <v>cu.m.</v>
          </cell>
          <cell r="K172">
            <v>5847.2000000000007</v>
          </cell>
          <cell r="L172">
            <v>74.844160000000016</v>
          </cell>
          <cell r="N172">
            <v>74.844160000000016</v>
          </cell>
        </row>
        <row r="174">
          <cell r="A174" t="str">
            <v>12.1c</v>
          </cell>
          <cell r="B174" t="str">
            <v>in (1:4) c/s mortar</v>
          </cell>
          <cell r="D174" t="str">
            <v>Mason</v>
          </cell>
          <cell r="E174">
            <v>0.12</v>
          </cell>
          <cell r="F174">
            <v>700</v>
          </cell>
          <cell r="G174">
            <v>84</v>
          </cell>
          <cell r="H174" t="str">
            <v>cement</v>
          </cell>
          <cell r="I174">
            <v>5.3800000000000002E-3</v>
          </cell>
          <cell r="J174" t="str">
            <v>MT</v>
          </cell>
          <cell r="K174">
            <v>16127</v>
          </cell>
          <cell r="L174">
            <v>86.763260000000002</v>
          </cell>
          <cell r="M174">
            <v>340.13238000000001</v>
          </cell>
          <cell r="N174">
            <v>98.042483799999999</v>
          </cell>
          <cell r="O174">
            <v>351.41160380000002</v>
          </cell>
        </row>
        <row r="175">
          <cell r="D175" t="str">
            <v>Labor</v>
          </cell>
          <cell r="E175">
            <v>0.16</v>
          </cell>
          <cell r="F175">
            <v>525</v>
          </cell>
          <cell r="G175">
            <v>84</v>
          </cell>
          <cell r="H175" t="str">
            <v>sand</v>
          </cell>
          <cell r="I175">
            <v>1.46E-2</v>
          </cell>
          <cell r="J175" t="str">
            <v>cu.m.</v>
          </cell>
          <cell r="K175">
            <v>5847.2000000000007</v>
          </cell>
          <cell r="L175">
            <v>85.369120000000009</v>
          </cell>
          <cell r="N175">
            <v>85.369120000000009</v>
          </cell>
        </row>
        <row r="177">
          <cell r="B177" t="str">
            <v>20 mm thick c/s plaster for 1sqm.</v>
          </cell>
        </row>
        <row r="178">
          <cell r="A178" t="str">
            <v>12.4a1</v>
          </cell>
          <cell r="B178" t="str">
            <v>in (1:3) c/s mortar</v>
          </cell>
          <cell r="D178" t="str">
            <v>Mason</v>
          </cell>
          <cell r="E178">
            <v>0.14000000000000001</v>
          </cell>
          <cell r="F178">
            <v>700</v>
          </cell>
          <cell r="G178">
            <v>98.000000000000014</v>
          </cell>
          <cell r="H178" t="str">
            <v>cement</v>
          </cell>
          <cell r="I178">
            <v>9.5999999999999992E-3</v>
          </cell>
          <cell r="J178" t="str">
            <v>MT</v>
          </cell>
          <cell r="K178">
            <v>16127</v>
          </cell>
          <cell r="L178">
            <v>154.8192</v>
          </cell>
          <cell r="M178">
            <v>466.58960000000002</v>
          </cell>
          <cell r="N178">
            <v>174.94569599999997</v>
          </cell>
          <cell r="O178">
            <v>486.71609599999999</v>
          </cell>
        </row>
        <row r="179">
          <cell r="D179" t="str">
            <v>Labor</v>
          </cell>
          <cell r="E179">
            <v>0.19</v>
          </cell>
          <cell r="F179">
            <v>525</v>
          </cell>
          <cell r="G179">
            <v>99.75</v>
          </cell>
          <cell r="H179" t="str">
            <v>sand</v>
          </cell>
          <cell r="I179">
            <v>1.95E-2</v>
          </cell>
          <cell r="J179" t="str">
            <v>cu.m.</v>
          </cell>
          <cell r="K179">
            <v>5847.2000000000007</v>
          </cell>
          <cell r="L179">
            <v>114.02040000000001</v>
          </cell>
          <cell r="N179">
            <v>114.02040000000001</v>
          </cell>
        </row>
        <row r="181">
          <cell r="A181" t="str">
            <v>12.4a2</v>
          </cell>
          <cell r="B181" t="str">
            <v>in (1:3) c/s mortar with 2% WPC</v>
          </cell>
          <cell r="D181" t="str">
            <v>Mason</v>
          </cell>
          <cell r="E181">
            <v>0.14000000000000001</v>
          </cell>
          <cell r="F181">
            <v>700</v>
          </cell>
          <cell r="G181">
            <v>98.000000000000014</v>
          </cell>
          <cell r="H181" t="str">
            <v>cement</v>
          </cell>
          <cell r="I181">
            <v>9.5999999999999992E-3</v>
          </cell>
          <cell r="J181" t="str">
            <v>MT</v>
          </cell>
          <cell r="K181">
            <v>16127</v>
          </cell>
          <cell r="L181">
            <v>154.8192</v>
          </cell>
          <cell r="M181">
            <v>478.58960000000002</v>
          </cell>
          <cell r="N181">
            <v>174.94569599999997</v>
          </cell>
          <cell r="O181">
            <v>500.276096</v>
          </cell>
        </row>
        <row r="182">
          <cell r="D182" t="str">
            <v>Labor</v>
          </cell>
          <cell r="E182">
            <v>0.19</v>
          </cell>
          <cell r="F182">
            <v>525</v>
          </cell>
          <cell r="G182">
            <v>99.75</v>
          </cell>
          <cell r="H182" t="str">
            <v>sand</v>
          </cell>
          <cell r="I182">
            <v>1.95E-2</v>
          </cell>
          <cell r="J182" t="str">
            <v>cu.m.</v>
          </cell>
          <cell r="K182">
            <v>5847.2000000000007</v>
          </cell>
          <cell r="L182">
            <v>114.02040000000001</v>
          </cell>
          <cell r="N182">
            <v>114.02040000000001</v>
          </cell>
        </row>
        <row r="183">
          <cell r="H183" t="str">
            <v>WPC</v>
          </cell>
          <cell r="I183">
            <v>0.2</v>
          </cell>
          <cell r="J183" t="str">
            <v>kg</v>
          </cell>
          <cell r="K183">
            <v>60</v>
          </cell>
          <cell r="L183">
            <v>12</v>
          </cell>
          <cell r="N183">
            <v>13.559999999999999</v>
          </cell>
        </row>
        <row r="185">
          <cell r="A185" t="str">
            <v>12.4b</v>
          </cell>
          <cell r="B185" t="str">
            <v>in (1:4) c/s mortar</v>
          </cell>
          <cell r="D185" t="str">
            <v>Mason</v>
          </cell>
          <cell r="E185">
            <v>0.14000000000000001</v>
          </cell>
          <cell r="F185">
            <v>700</v>
          </cell>
          <cell r="G185">
            <v>98.000000000000014</v>
          </cell>
          <cell r="H185" t="str">
            <v>cement</v>
          </cell>
          <cell r="I185">
            <v>8.0999999999999996E-3</v>
          </cell>
          <cell r="J185" t="str">
            <v>MT</v>
          </cell>
          <cell r="K185">
            <v>16127</v>
          </cell>
          <cell r="L185">
            <v>130.62869999999998</v>
          </cell>
          <cell r="M185">
            <v>457.01710000000003</v>
          </cell>
          <cell r="N185">
            <v>147.61043099999998</v>
          </cell>
          <cell r="O185">
            <v>473.998831</v>
          </cell>
        </row>
        <row r="186">
          <cell r="D186" t="str">
            <v>Labor</v>
          </cell>
          <cell r="E186">
            <v>0.19</v>
          </cell>
          <cell r="F186">
            <v>525</v>
          </cell>
          <cell r="G186">
            <v>99.75</v>
          </cell>
          <cell r="H186" t="str">
            <v>sand</v>
          </cell>
          <cell r="I186">
            <v>2.1999999999999999E-2</v>
          </cell>
          <cell r="J186" t="str">
            <v>cu.m.</v>
          </cell>
          <cell r="K186">
            <v>5847.2000000000007</v>
          </cell>
          <cell r="L186">
            <v>128.63840000000002</v>
          </cell>
          <cell r="N186">
            <v>128.63840000000002</v>
          </cell>
        </row>
        <row r="188">
          <cell r="A188" t="str">
            <v>12.4c</v>
          </cell>
          <cell r="B188" t="str">
            <v>in (1:6) c/s mortar</v>
          </cell>
          <cell r="D188" t="str">
            <v>Mason</v>
          </cell>
          <cell r="E188">
            <v>0.14000000000000001</v>
          </cell>
          <cell r="F188">
            <v>700</v>
          </cell>
          <cell r="G188">
            <v>98.000000000000014</v>
          </cell>
          <cell r="H188" t="str">
            <v>cement</v>
          </cell>
          <cell r="I188">
            <v>5.7000000000000002E-3</v>
          </cell>
          <cell r="J188" t="str">
            <v>MT</v>
          </cell>
          <cell r="K188">
            <v>16127</v>
          </cell>
          <cell r="L188">
            <v>91.923900000000003</v>
          </cell>
          <cell r="M188">
            <v>427.08310000000006</v>
          </cell>
          <cell r="N188">
            <v>103.87400699999999</v>
          </cell>
          <cell r="O188">
            <v>439.03320700000006</v>
          </cell>
        </row>
        <row r="189">
          <cell r="D189" t="str">
            <v>Labor</v>
          </cell>
          <cell r="E189">
            <v>0.19</v>
          </cell>
          <cell r="F189">
            <v>525</v>
          </cell>
          <cell r="G189">
            <v>99.75</v>
          </cell>
          <cell r="H189" t="str">
            <v>sand</v>
          </cell>
          <cell r="I189">
            <v>2.35E-2</v>
          </cell>
          <cell r="J189" t="str">
            <v>cu.m.</v>
          </cell>
          <cell r="K189">
            <v>5847.2000000000007</v>
          </cell>
          <cell r="L189">
            <v>137.40920000000003</v>
          </cell>
          <cell r="N189">
            <v>137.40920000000003</v>
          </cell>
        </row>
        <row r="191">
          <cell r="B191" t="str">
            <v>Cement (snowcem) paint for 1sqm.</v>
          </cell>
        </row>
        <row r="192">
          <cell r="A192" t="str">
            <v>13.4a</v>
          </cell>
          <cell r="B192" t="str">
            <v>a) Single coat</v>
          </cell>
          <cell r="D192" t="str">
            <v>Painter</v>
          </cell>
          <cell r="E192">
            <v>1.7000000000000001E-2</v>
          </cell>
          <cell r="F192">
            <v>700</v>
          </cell>
          <cell r="G192">
            <v>11.9</v>
          </cell>
          <cell r="H192" t="str">
            <v>snowcem</v>
          </cell>
          <cell r="I192">
            <v>0.3</v>
          </cell>
          <cell r="J192" t="str">
            <v>kg</v>
          </cell>
          <cell r="K192">
            <v>56.927</v>
          </cell>
          <cell r="L192">
            <v>17.078099999999999</v>
          </cell>
          <cell r="M192">
            <v>37.903100000000002</v>
          </cell>
          <cell r="N192">
            <v>19.298252999999999</v>
          </cell>
          <cell r="O192">
            <v>40.123253000000005</v>
          </cell>
        </row>
        <row r="193">
          <cell r="D193" t="str">
            <v>Helper</v>
          </cell>
          <cell r="E193">
            <v>1.7000000000000001E-2</v>
          </cell>
          <cell r="F193">
            <v>525</v>
          </cell>
          <cell r="G193">
            <v>8.9250000000000007</v>
          </cell>
        </row>
        <row r="195">
          <cell r="A195" t="str">
            <v>13.4b</v>
          </cell>
          <cell r="B195" t="str">
            <v>b) Double coat</v>
          </cell>
          <cell r="D195" t="str">
            <v>Painter</v>
          </cell>
          <cell r="E195">
            <v>0.05</v>
          </cell>
          <cell r="F195">
            <v>700</v>
          </cell>
          <cell r="G195">
            <v>35</v>
          </cell>
          <cell r="H195" t="str">
            <v>snowcem</v>
          </cell>
          <cell r="I195">
            <v>0.48499999999999999</v>
          </cell>
          <cell r="J195" t="str">
            <v>kg</v>
          </cell>
          <cell r="K195">
            <v>56.927</v>
          </cell>
          <cell r="L195">
            <v>27.609594999999999</v>
          </cell>
          <cell r="M195">
            <v>88.859594999999999</v>
          </cell>
          <cell r="N195">
            <v>31.198842349999996</v>
          </cell>
          <cell r="O195">
            <v>92.448842349999993</v>
          </cell>
        </row>
        <row r="196">
          <cell r="D196" t="str">
            <v>Helper</v>
          </cell>
          <cell r="E196">
            <v>0.05</v>
          </cell>
          <cell r="F196">
            <v>525</v>
          </cell>
          <cell r="G196">
            <v>26.25</v>
          </cell>
        </row>
        <row r="198">
          <cell r="B198" t="str">
            <v>Readymade enamel paint work for 1sqm.</v>
          </cell>
        </row>
        <row r="199">
          <cell r="A199" t="str">
            <v>13.5a</v>
          </cell>
          <cell r="B199" t="str">
            <v>a) Primer coat</v>
          </cell>
          <cell r="D199" t="str">
            <v>Painter</v>
          </cell>
          <cell r="E199">
            <v>0.03</v>
          </cell>
          <cell r="F199">
            <v>700</v>
          </cell>
          <cell r="G199">
            <v>21</v>
          </cell>
          <cell r="H199" t="str">
            <v>Primer</v>
          </cell>
          <cell r="I199">
            <v>8.1000000000000003E-2</v>
          </cell>
          <cell r="J199" t="str">
            <v>ltr</v>
          </cell>
          <cell r="K199">
            <v>332.31240000000003</v>
          </cell>
          <cell r="L199">
            <v>26.917304400000003</v>
          </cell>
          <cell r="M199">
            <v>63.667304400000006</v>
          </cell>
          <cell r="N199">
            <v>30.416553971999999</v>
          </cell>
          <cell r="O199">
            <v>67.166553972000003</v>
          </cell>
        </row>
        <row r="200">
          <cell r="D200" t="str">
            <v>Labor</v>
          </cell>
          <cell r="E200">
            <v>0.03</v>
          </cell>
          <cell r="F200">
            <v>525</v>
          </cell>
          <cell r="G200">
            <v>15.75</v>
          </cell>
        </row>
        <row r="202">
          <cell r="A202" t="str">
            <v>13.5b</v>
          </cell>
          <cell r="B202" t="str">
            <v>b) Single (first coat)</v>
          </cell>
          <cell r="D202" t="str">
            <v>Painter</v>
          </cell>
          <cell r="E202">
            <v>0.05</v>
          </cell>
          <cell r="F202">
            <v>700</v>
          </cell>
          <cell r="G202">
            <v>35</v>
          </cell>
          <cell r="H202" t="str">
            <v>Enamel</v>
          </cell>
          <cell r="I202">
            <v>0.09</v>
          </cell>
          <cell r="J202" t="str">
            <v>ltr</v>
          </cell>
          <cell r="K202">
            <v>502.31240000000003</v>
          </cell>
          <cell r="L202">
            <v>45.208116000000004</v>
          </cell>
          <cell r="M202">
            <v>90.708116000000004</v>
          </cell>
          <cell r="N202">
            <v>51.085171080000002</v>
          </cell>
          <cell r="O202">
            <v>96.585171080000009</v>
          </cell>
        </row>
        <row r="203">
          <cell r="D203" t="str">
            <v>Helper</v>
          </cell>
          <cell r="E203">
            <v>0.02</v>
          </cell>
          <cell r="F203">
            <v>525</v>
          </cell>
          <cell r="G203">
            <v>10.5</v>
          </cell>
        </row>
        <row r="205">
          <cell r="A205" t="str">
            <v>13.5c</v>
          </cell>
          <cell r="B205" t="str">
            <v>c) Second  coat</v>
          </cell>
          <cell r="D205" t="str">
            <v>Painter</v>
          </cell>
          <cell r="E205">
            <v>0.04</v>
          </cell>
          <cell r="F205">
            <v>700</v>
          </cell>
          <cell r="G205">
            <v>28</v>
          </cell>
          <cell r="H205" t="str">
            <v>Enamel</v>
          </cell>
          <cell r="I205">
            <v>7.0000000000000007E-2</v>
          </cell>
          <cell r="J205" t="str">
            <v>ltr</v>
          </cell>
          <cell r="K205">
            <v>502.31240000000003</v>
          </cell>
          <cell r="L205">
            <v>35.161868000000005</v>
          </cell>
          <cell r="M205">
            <v>78.911867999999998</v>
          </cell>
          <cell r="N205">
            <v>39.732910840000002</v>
          </cell>
          <cell r="O205">
            <v>83.482910840000002</v>
          </cell>
        </row>
        <row r="206">
          <cell r="D206" t="str">
            <v>Helper</v>
          </cell>
          <cell r="E206">
            <v>0.03</v>
          </cell>
          <cell r="F206">
            <v>525</v>
          </cell>
          <cell r="G206">
            <v>15.75</v>
          </cell>
        </row>
        <row r="207">
          <cell r="B207" t="str">
            <v>Bitumen painting for 1sqm</v>
          </cell>
        </row>
        <row r="208">
          <cell r="A208" t="str">
            <v>13.10a</v>
          </cell>
          <cell r="B208" t="str">
            <v>a) Single coat</v>
          </cell>
          <cell r="D208" t="str">
            <v>Painter</v>
          </cell>
          <cell r="E208">
            <v>1.4999999999999999E-2</v>
          </cell>
          <cell r="F208">
            <v>700</v>
          </cell>
          <cell r="G208">
            <v>10.5</v>
          </cell>
          <cell r="H208" t="str">
            <v>Bitumenpaint</v>
          </cell>
          <cell r="I208">
            <v>7.0000000000000007E-2</v>
          </cell>
          <cell r="J208" t="str">
            <v>lt</v>
          </cell>
          <cell r="K208">
            <v>69.312399999999997</v>
          </cell>
          <cell r="L208">
            <v>4.8518680000000005</v>
          </cell>
          <cell r="M208">
            <v>20.601868</v>
          </cell>
          <cell r="N208">
            <v>5.4826108400000004</v>
          </cell>
          <cell r="O208">
            <v>21.23261084</v>
          </cell>
        </row>
        <row r="209">
          <cell r="D209" t="str">
            <v>Helper</v>
          </cell>
          <cell r="E209">
            <v>0.01</v>
          </cell>
          <cell r="F209">
            <v>525</v>
          </cell>
          <cell r="G209">
            <v>5.25</v>
          </cell>
        </row>
        <row r="211">
          <cell r="A211" t="str">
            <v>13.10b</v>
          </cell>
          <cell r="B211" t="str">
            <v>b) Double coat</v>
          </cell>
          <cell r="D211" t="str">
            <v>Painter</v>
          </cell>
          <cell r="E211">
            <v>2.5000000000000001E-2</v>
          </cell>
          <cell r="F211">
            <v>700</v>
          </cell>
          <cell r="G211">
            <v>17.5</v>
          </cell>
          <cell r="H211" t="str">
            <v>Bitumenpaint</v>
          </cell>
          <cell r="I211">
            <v>0.12</v>
          </cell>
          <cell r="J211" t="str">
            <v>lt</v>
          </cell>
          <cell r="K211">
            <v>69.312399999999997</v>
          </cell>
          <cell r="L211">
            <v>8.3174879999999991</v>
          </cell>
          <cell r="M211">
            <v>36.317487999999997</v>
          </cell>
          <cell r="N211">
            <v>9.3987614399999977</v>
          </cell>
          <cell r="O211">
            <v>37.398761440000001</v>
          </cell>
        </row>
        <row r="212">
          <cell r="D212" t="str">
            <v>Helper</v>
          </cell>
          <cell r="E212">
            <v>0.02</v>
          </cell>
          <cell r="F212">
            <v>525</v>
          </cell>
          <cell r="G212">
            <v>10.5</v>
          </cell>
        </row>
        <row r="214">
          <cell r="B214" t="str">
            <v>Flushrule pointing on RR Masonry wall for 1sqm.</v>
          </cell>
        </row>
        <row r="215">
          <cell r="A215" t="str">
            <v>14.2a</v>
          </cell>
          <cell r="B215" t="str">
            <v>in (1:1) c/s mortar</v>
          </cell>
          <cell r="D215" t="str">
            <v>Mason</v>
          </cell>
          <cell r="E215">
            <v>0.1</v>
          </cell>
          <cell r="F215">
            <v>700</v>
          </cell>
          <cell r="G215">
            <v>70</v>
          </cell>
          <cell r="H215" t="str">
            <v>cement</v>
          </cell>
          <cell r="I215">
            <v>6.0000000000000001E-3</v>
          </cell>
          <cell r="J215" t="str">
            <v>mt</v>
          </cell>
          <cell r="K215">
            <v>16127</v>
          </cell>
          <cell r="L215">
            <v>96.762</v>
          </cell>
          <cell r="M215">
            <v>263.6508</v>
          </cell>
          <cell r="N215">
            <v>109.34105999999998</v>
          </cell>
          <cell r="O215">
            <v>276.22985999999997</v>
          </cell>
        </row>
        <row r="216">
          <cell r="D216" t="str">
            <v>Labor</v>
          </cell>
          <cell r="E216">
            <v>0.14000000000000001</v>
          </cell>
          <cell r="F216">
            <v>525</v>
          </cell>
          <cell r="G216">
            <v>73.5</v>
          </cell>
          <cell r="H216" t="str">
            <v>sand</v>
          </cell>
          <cell r="I216">
            <v>4.0000000000000001E-3</v>
          </cell>
          <cell r="J216" t="str">
            <v>cu.m.</v>
          </cell>
          <cell r="K216">
            <v>5847.2000000000007</v>
          </cell>
          <cell r="L216">
            <v>23.388800000000003</v>
          </cell>
          <cell r="N216">
            <v>23.388800000000003</v>
          </cell>
        </row>
        <row r="218">
          <cell r="A218" t="str">
            <v>14.2b</v>
          </cell>
          <cell r="B218" t="str">
            <v>in (1:2) c/s mortar</v>
          </cell>
          <cell r="D218" t="str">
            <v>Mason</v>
          </cell>
          <cell r="E218">
            <v>0.1</v>
          </cell>
          <cell r="F218">
            <v>700</v>
          </cell>
          <cell r="G218">
            <v>70</v>
          </cell>
          <cell r="H218" t="str">
            <v>cement</v>
          </cell>
          <cell r="I218">
            <v>4.0000000000000001E-3</v>
          </cell>
          <cell r="J218" t="str">
            <v>mt</v>
          </cell>
          <cell r="K218">
            <v>16127</v>
          </cell>
          <cell r="L218">
            <v>64.507999999999996</v>
          </cell>
          <cell r="M218">
            <v>243.09119999999999</v>
          </cell>
          <cell r="N218">
            <v>72.89403999999999</v>
          </cell>
          <cell r="O218">
            <v>251.47723999999999</v>
          </cell>
        </row>
        <row r="219">
          <cell r="D219" t="str">
            <v>Labor</v>
          </cell>
          <cell r="E219">
            <v>0.14000000000000001</v>
          </cell>
          <cell r="F219">
            <v>525</v>
          </cell>
          <cell r="G219">
            <v>73.5</v>
          </cell>
          <cell r="H219" t="str">
            <v>sand</v>
          </cell>
          <cell r="I219">
            <v>6.0000000000000001E-3</v>
          </cell>
          <cell r="J219" t="str">
            <v>cu.m.</v>
          </cell>
          <cell r="K219">
            <v>5847.2000000000007</v>
          </cell>
          <cell r="L219">
            <v>35.083200000000005</v>
          </cell>
          <cell r="N219">
            <v>35.083200000000005</v>
          </cell>
        </row>
        <row r="221">
          <cell r="A221" t="str">
            <v>14.2c</v>
          </cell>
          <cell r="B221" t="str">
            <v>in (1:3) c/s mortar</v>
          </cell>
          <cell r="D221" t="str">
            <v>Mason</v>
          </cell>
          <cell r="E221">
            <v>0.1</v>
          </cell>
          <cell r="F221">
            <v>700</v>
          </cell>
          <cell r="G221">
            <v>70</v>
          </cell>
          <cell r="H221" t="str">
            <v>cement</v>
          </cell>
          <cell r="I221">
            <v>3.0000000000000001E-3</v>
          </cell>
          <cell r="J221" t="str">
            <v>mt</v>
          </cell>
          <cell r="K221">
            <v>16127</v>
          </cell>
          <cell r="L221">
            <v>48.381</v>
          </cell>
          <cell r="M221">
            <v>226.96420000000001</v>
          </cell>
          <cell r="N221">
            <v>54.670529999999992</v>
          </cell>
          <cell r="O221">
            <v>233.25372999999999</v>
          </cell>
        </row>
        <row r="222">
          <cell r="D222" t="str">
            <v>Labor</v>
          </cell>
          <cell r="E222">
            <v>0.14000000000000001</v>
          </cell>
          <cell r="F222">
            <v>525</v>
          </cell>
          <cell r="G222">
            <v>73.5</v>
          </cell>
          <cell r="H222" t="str">
            <v>sand</v>
          </cell>
          <cell r="I222">
            <v>6.0000000000000001E-3</v>
          </cell>
          <cell r="J222" t="str">
            <v>cu.m.</v>
          </cell>
          <cell r="K222">
            <v>5847.2000000000007</v>
          </cell>
          <cell r="L222">
            <v>35.083200000000005</v>
          </cell>
          <cell r="N222">
            <v>35.083200000000005</v>
          </cell>
        </row>
        <row r="224">
          <cell r="A224" t="str">
            <v>16.1b</v>
          </cell>
          <cell r="B224" t="str">
            <v>Gabion making incl. cutting, netting hexagonal</v>
          </cell>
          <cell r="D224" t="str">
            <v>Skilled</v>
          </cell>
          <cell r="E224">
            <v>0.7</v>
          </cell>
          <cell r="F224">
            <v>700</v>
          </cell>
          <cell r="G224">
            <v>489.99999999999994</v>
          </cell>
          <cell r="H224" t="str">
            <v>GI wire 10 swg</v>
          </cell>
          <cell r="I224">
            <v>41.3</v>
          </cell>
          <cell r="J224" t="str">
            <v>kg</v>
          </cell>
          <cell r="K224">
            <v>88.927000000000007</v>
          </cell>
          <cell r="L224">
            <v>3672.6851000000001</v>
          </cell>
          <cell r="M224">
            <v>4674.2858000000006</v>
          </cell>
          <cell r="N224">
            <v>4150.1341629999997</v>
          </cell>
          <cell r="O224">
            <v>5199.1329539999997</v>
          </cell>
        </row>
        <row r="225">
          <cell r="B225" t="str">
            <v>mesh size 80x100mm using mesh wire 10swg,</v>
          </cell>
          <cell r="D225" t="str">
            <v>Unskilled</v>
          </cell>
          <cell r="E225">
            <v>0.28000000000000003</v>
          </cell>
          <cell r="F225">
            <v>525</v>
          </cell>
          <cell r="G225">
            <v>147</v>
          </cell>
          <cell r="H225" t="str">
            <v>Selvage wire 7 swg</v>
          </cell>
          <cell r="I225">
            <v>4.0999999999999996</v>
          </cell>
          <cell r="J225" t="str">
            <v>kg</v>
          </cell>
          <cell r="K225">
            <v>88.927000000000007</v>
          </cell>
          <cell r="L225">
            <v>364.60070000000002</v>
          </cell>
          <cell r="N225">
            <v>411.99879099999998</v>
          </cell>
        </row>
        <row r="226">
          <cell r="B226" t="str">
            <v>selvage wire 7 swg for box size (3x1x1)m</v>
          </cell>
        </row>
        <row r="228">
          <cell r="A228" t="str">
            <v>16.6b</v>
          </cell>
          <cell r="B228" t="str">
            <v>Gabion box placing, stretching, binding &amp;</v>
          </cell>
          <cell r="D228" t="str">
            <v>Unskilled</v>
          </cell>
          <cell r="E228">
            <v>0.6</v>
          </cell>
          <cell r="F228">
            <v>525</v>
          </cell>
          <cell r="G228">
            <v>315</v>
          </cell>
          <cell r="H228" t="str">
            <v>GI plain wire 12 swg</v>
          </cell>
          <cell r="I228">
            <v>1.3</v>
          </cell>
          <cell r="J228" t="str">
            <v>kg</v>
          </cell>
          <cell r="K228">
            <v>88.927000000000007</v>
          </cell>
          <cell r="L228">
            <v>115.60510000000001</v>
          </cell>
          <cell r="M228">
            <v>430.60509999999999</v>
          </cell>
          <cell r="N228">
            <v>130.63376299999999</v>
          </cell>
          <cell r="O228">
            <v>445.63376299999999</v>
          </cell>
        </row>
        <row r="229">
          <cell r="B229" t="str">
            <v>closing from top for box size (3x1x1)</v>
          </cell>
        </row>
        <row r="231">
          <cell r="A231" t="str">
            <v>16.5f</v>
          </cell>
          <cell r="B231" t="str">
            <v>Gabion making incl. cutting, netting hexagonal</v>
          </cell>
          <cell r="D231" t="str">
            <v>Skilled</v>
          </cell>
          <cell r="E231">
            <v>0.37</v>
          </cell>
          <cell r="F231">
            <v>700</v>
          </cell>
          <cell r="G231">
            <v>259</v>
          </cell>
          <cell r="H231" t="str">
            <v>GI wire 10 swg</v>
          </cell>
          <cell r="I231">
            <v>19.75</v>
          </cell>
          <cell r="J231" t="str">
            <v>kg</v>
          </cell>
          <cell r="K231">
            <v>93.357820000000004</v>
          </cell>
          <cell r="L231">
            <v>1843.816945</v>
          </cell>
          <cell r="M231">
            <v>2472.1404050000001</v>
          </cell>
          <cell r="N231">
            <v>2083.5131478499998</v>
          </cell>
          <cell r="O231">
            <v>2748.24615765</v>
          </cell>
        </row>
        <row r="232">
          <cell r="B232" t="str">
            <v>mesh size 100x120 using mesh wire 10swg,</v>
          </cell>
          <cell r="D232" t="str">
            <v>Unskilled</v>
          </cell>
          <cell r="E232">
            <v>0.17</v>
          </cell>
          <cell r="F232">
            <v>525</v>
          </cell>
          <cell r="G232">
            <v>89.25</v>
          </cell>
          <cell r="H232" t="str">
            <v>Selvage wire 7 swg</v>
          </cell>
          <cell r="I232">
            <v>3</v>
          </cell>
          <cell r="J232" t="str">
            <v>kg</v>
          </cell>
          <cell r="K232">
            <v>93.357820000000004</v>
          </cell>
          <cell r="L232">
            <v>280.07346000000001</v>
          </cell>
          <cell r="N232">
            <v>316.48300979999999</v>
          </cell>
        </row>
        <row r="233">
          <cell r="B233" t="str">
            <v>selvage wire 7 swg for box size (3x1x0.3)m</v>
          </cell>
        </row>
        <row r="235">
          <cell r="A235" t="str">
            <v>16.8f</v>
          </cell>
          <cell r="B235" t="str">
            <v>Gabion box placing, stretching, binding &amp;</v>
          </cell>
          <cell r="D235" t="str">
            <v>Unskilled</v>
          </cell>
          <cell r="E235">
            <v>0.18</v>
          </cell>
          <cell r="F235">
            <v>525</v>
          </cell>
          <cell r="G235">
            <v>94.5</v>
          </cell>
          <cell r="H235" t="str">
            <v>GI plain wire 12 swg</v>
          </cell>
          <cell r="I235">
            <v>0.7</v>
          </cell>
          <cell r="J235" t="str">
            <v>kg</v>
          </cell>
          <cell r="K235">
            <v>93.357820000000004</v>
          </cell>
          <cell r="L235">
            <v>65.350474000000006</v>
          </cell>
          <cell r="M235">
            <v>159.85047400000002</v>
          </cell>
          <cell r="N235">
            <v>73.846035619999995</v>
          </cell>
          <cell r="O235">
            <v>168.34603562000001</v>
          </cell>
        </row>
        <row r="236">
          <cell r="B236" t="str">
            <v>closing from top for box size (3x1x0.3)</v>
          </cell>
        </row>
        <row r="238">
          <cell r="A238">
            <v>16.11</v>
          </cell>
          <cell r="B238" t="str">
            <v>Stone filling in gabion box for 1cum.</v>
          </cell>
          <cell r="D238" t="str">
            <v>Unskilled</v>
          </cell>
          <cell r="E238">
            <v>0.5</v>
          </cell>
          <cell r="F238">
            <v>525</v>
          </cell>
          <cell r="G238">
            <v>262.5</v>
          </cell>
          <cell r="H238" t="str">
            <v>Boulder stone</v>
          </cell>
          <cell r="I238">
            <v>1</v>
          </cell>
          <cell r="J238" t="str">
            <v>cum</v>
          </cell>
          <cell r="K238">
            <v>5700</v>
          </cell>
          <cell r="L238">
            <v>5700</v>
          </cell>
          <cell r="M238">
            <v>5962.5</v>
          </cell>
          <cell r="N238">
            <v>5700</v>
          </cell>
          <cell r="O238">
            <v>5962.5</v>
          </cell>
        </row>
        <row r="240">
          <cell r="B240" t="str">
            <v>Laying and jointing (butweld) of HDPE pipes</v>
          </cell>
        </row>
        <row r="241">
          <cell r="B241" t="str">
            <v>for 1 m length</v>
          </cell>
        </row>
        <row r="242">
          <cell r="A242" t="str">
            <v>17.2a</v>
          </cell>
          <cell r="B242" t="str">
            <v>20 mm 25 mm OD. Pipe</v>
          </cell>
          <cell r="D242" t="str">
            <v>Plumber</v>
          </cell>
          <cell r="E242">
            <v>1E-3</v>
          </cell>
          <cell r="F242">
            <v>700</v>
          </cell>
          <cell r="G242">
            <v>0.70000000000000007</v>
          </cell>
          <cell r="H242" t="str">
            <v xml:space="preserve"> Tools</v>
          </cell>
          <cell r="I242">
            <v>1E-3</v>
          </cell>
          <cell r="J242" t="str">
            <v>day</v>
          </cell>
          <cell r="K242">
            <v>50</v>
          </cell>
          <cell r="L242">
            <v>0.05</v>
          </cell>
          <cell r="M242">
            <v>2.406558575</v>
          </cell>
          <cell r="N242">
            <v>0.05</v>
          </cell>
          <cell r="O242">
            <v>2.406558575</v>
          </cell>
        </row>
        <row r="243">
          <cell r="D243" t="str">
            <v>Helper</v>
          </cell>
          <cell r="E243">
            <v>1E-3</v>
          </cell>
          <cell r="F243">
            <v>525</v>
          </cell>
          <cell r="G243">
            <v>0.52500000000000002</v>
          </cell>
          <cell r="H243" t="str">
            <v>fuel</v>
          </cell>
          <cell r="I243">
            <v>2.5000000000000001E-4</v>
          </cell>
          <cell r="J243" t="str">
            <v>ltr</v>
          </cell>
          <cell r="K243">
            <v>98.734300000000005</v>
          </cell>
          <cell r="L243">
            <v>2.4683575000000003E-2</v>
          </cell>
          <cell r="N243">
            <v>2.4683575000000003E-2</v>
          </cell>
        </row>
        <row r="244">
          <cell r="D244" t="str">
            <v>Labour</v>
          </cell>
          <cell r="E244">
            <v>2E-3</v>
          </cell>
          <cell r="F244">
            <v>525</v>
          </cell>
          <cell r="G244">
            <v>1.05</v>
          </cell>
          <cell r="H244" t="str">
            <v>Miscel. Expenses</v>
          </cell>
          <cell r="I244" t="str">
            <v>2.5% of lab</v>
          </cell>
          <cell r="L244">
            <v>5.6875000000000009E-2</v>
          </cell>
          <cell r="N244">
            <v>5.6875000000000009E-2</v>
          </cell>
        </row>
        <row r="247">
          <cell r="A247" t="str">
            <v>17.2b</v>
          </cell>
          <cell r="B247" t="str">
            <v>32 mm OD Pipe</v>
          </cell>
          <cell r="D247" t="str">
            <v>Plumber</v>
          </cell>
          <cell r="E247">
            <v>1E-3</v>
          </cell>
          <cell r="F247">
            <v>700</v>
          </cell>
          <cell r="G247">
            <v>0.70000000000000007</v>
          </cell>
          <cell r="H247" t="str">
            <v xml:space="preserve"> Tools</v>
          </cell>
          <cell r="I247">
            <v>1E-3</v>
          </cell>
          <cell r="J247" t="str">
            <v>day</v>
          </cell>
          <cell r="K247">
            <v>50</v>
          </cell>
          <cell r="L247">
            <v>0.05</v>
          </cell>
          <cell r="M247">
            <v>2.9496202899999995</v>
          </cell>
          <cell r="N247">
            <v>0.05</v>
          </cell>
          <cell r="O247">
            <v>2.9496202899999995</v>
          </cell>
        </row>
        <row r="248">
          <cell r="D248" t="str">
            <v>Helper</v>
          </cell>
          <cell r="E248">
            <v>1E-3</v>
          </cell>
          <cell r="F248">
            <v>525</v>
          </cell>
          <cell r="G248">
            <v>0.52500000000000002</v>
          </cell>
          <cell r="H248" t="str">
            <v>fuel</v>
          </cell>
          <cell r="I248">
            <v>2.9999999999999997E-4</v>
          </cell>
          <cell r="J248" t="str">
            <v>ltr</v>
          </cell>
          <cell r="K248">
            <v>98.734300000000005</v>
          </cell>
          <cell r="L248">
            <v>2.9620290000000001E-2</v>
          </cell>
          <cell r="N248">
            <v>2.9620290000000001E-2</v>
          </cell>
        </row>
        <row r="249">
          <cell r="D249" t="str">
            <v>Labour</v>
          </cell>
          <cell r="E249">
            <v>3.0000000000000001E-3</v>
          </cell>
          <cell r="F249">
            <v>525</v>
          </cell>
          <cell r="G249">
            <v>1.575</v>
          </cell>
          <cell r="H249" t="str">
            <v>Miscel. Expenses</v>
          </cell>
          <cell r="I249" t="str">
            <v>2.5% of lab</v>
          </cell>
          <cell r="L249">
            <v>6.9999999999999993E-2</v>
          </cell>
          <cell r="N249">
            <v>6.9999999999999993E-2</v>
          </cell>
        </row>
        <row r="251">
          <cell r="A251" t="str">
            <v>17.2c</v>
          </cell>
          <cell r="B251" t="str">
            <v>40 &amp; 50 mm OD Pipe</v>
          </cell>
          <cell r="D251" t="str">
            <v>Plumber</v>
          </cell>
          <cell r="E251">
            <v>2E-3</v>
          </cell>
          <cell r="F251">
            <v>700</v>
          </cell>
          <cell r="G251">
            <v>1.4000000000000001</v>
          </cell>
          <cell r="H251" t="str">
            <v xml:space="preserve"> Tools</v>
          </cell>
          <cell r="I251">
            <v>1E-3</v>
          </cell>
          <cell r="J251" t="str">
            <v>day</v>
          </cell>
          <cell r="K251">
            <v>50</v>
          </cell>
          <cell r="L251">
            <v>0.05</v>
          </cell>
          <cell r="M251">
            <v>4.2151187200000004</v>
          </cell>
          <cell r="N251">
            <v>0.05</v>
          </cell>
          <cell r="O251">
            <v>4.2151187200000004</v>
          </cell>
        </row>
        <row r="252">
          <cell r="D252" t="str">
            <v>Helper</v>
          </cell>
          <cell r="E252">
            <v>2E-3</v>
          </cell>
          <cell r="F252">
            <v>525</v>
          </cell>
          <cell r="G252">
            <v>1.05</v>
          </cell>
          <cell r="H252" t="str">
            <v>fuel</v>
          </cell>
          <cell r="I252">
            <v>4.0000000000000002E-4</v>
          </cell>
          <cell r="J252" t="str">
            <v>ltr</v>
          </cell>
          <cell r="K252">
            <v>98.734300000000005</v>
          </cell>
          <cell r="L252">
            <v>3.9493720000000003E-2</v>
          </cell>
          <cell r="N252">
            <v>3.9493720000000003E-2</v>
          </cell>
        </row>
        <row r="253">
          <cell r="D253" t="str">
            <v>Labour</v>
          </cell>
          <cell r="E253">
            <v>3.0000000000000001E-3</v>
          </cell>
          <cell r="F253">
            <v>525</v>
          </cell>
          <cell r="G253">
            <v>1.575</v>
          </cell>
          <cell r="H253" t="str">
            <v>Miscel. Expenses</v>
          </cell>
          <cell r="I253" t="str">
            <v>2.5% of lab</v>
          </cell>
          <cell r="L253">
            <v>0.10062500000000002</v>
          </cell>
          <cell r="N253">
            <v>0.10062500000000002</v>
          </cell>
        </row>
        <row r="255">
          <cell r="A255" t="str">
            <v>17.2d</v>
          </cell>
          <cell r="B255" t="str">
            <v>63-90mm OD Pipe</v>
          </cell>
          <cell r="D255" t="str">
            <v>Plumber</v>
          </cell>
          <cell r="E255">
            <v>0.02</v>
          </cell>
          <cell r="F255">
            <v>700</v>
          </cell>
          <cell r="G255">
            <v>14</v>
          </cell>
          <cell r="H255" t="str">
            <v xml:space="preserve"> Tools</v>
          </cell>
          <cell r="I255">
            <v>0.01</v>
          </cell>
          <cell r="J255" t="str">
            <v>day</v>
          </cell>
          <cell r="K255">
            <v>50</v>
          </cell>
          <cell r="L255">
            <v>0.5</v>
          </cell>
          <cell r="M255">
            <v>48.124843000000006</v>
          </cell>
          <cell r="N255">
            <v>0.5</v>
          </cell>
          <cell r="O255">
            <v>48.124843000000006</v>
          </cell>
        </row>
        <row r="256">
          <cell r="D256" t="str">
            <v>Helper</v>
          </cell>
          <cell r="E256">
            <v>0.02</v>
          </cell>
          <cell r="F256">
            <v>525</v>
          </cell>
          <cell r="G256">
            <v>10.5</v>
          </cell>
          <cell r="H256" t="str">
            <v>fuel</v>
          </cell>
          <cell r="I256">
            <v>0.01</v>
          </cell>
          <cell r="J256" t="str">
            <v>ltr</v>
          </cell>
          <cell r="K256">
            <v>98.734300000000005</v>
          </cell>
          <cell r="L256">
            <v>0.98734300000000008</v>
          </cell>
          <cell r="N256">
            <v>0.98734300000000008</v>
          </cell>
        </row>
        <row r="257">
          <cell r="D257" t="str">
            <v>Labour</v>
          </cell>
          <cell r="E257">
            <v>0.04</v>
          </cell>
          <cell r="F257">
            <v>525</v>
          </cell>
          <cell r="G257">
            <v>21</v>
          </cell>
          <cell r="H257" t="str">
            <v>Miscel. Expenses</v>
          </cell>
          <cell r="I257" t="str">
            <v>2.5% of lab</v>
          </cell>
          <cell r="L257">
            <v>1.1375</v>
          </cell>
          <cell r="N257">
            <v>1.1375</v>
          </cell>
        </row>
        <row r="260">
          <cell r="A260" t="str">
            <v>17.2e</v>
          </cell>
          <cell r="B260" t="str">
            <v>110-125 mm OD Pipe</v>
          </cell>
          <cell r="D260" t="str">
            <v>Plumber</v>
          </cell>
          <cell r="E260">
            <v>0.03</v>
          </cell>
          <cell r="F260">
            <v>700</v>
          </cell>
          <cell r="G260">
            <v>21</v>
          </cell>
          <cell r="H260" t="str">
            <v xml:space="preserve"> Tools</v>
          </cell>
          <cell r="I260">
            <v>0.02</v>
          </cell>
          <cell r="J260" t="str">
            <v>day</v>
          </cell>
          <cell r="K260">
            <v>50</v>
          </cell>
          <cell r="L260">
            <v>1</v>
          </cell>
          <cell r="M260">
            <v>71.943592999999993</v>
          </cell>
          <cell r="N260">
            <v>1</v>
          </cell>
          <cell r="O260">
            <v>71.943592999999993</v>
          </cell>
        </row>
        <row r="261">
          <cell r="D261" t="str">
            <v>Helper</v>
          </cell>
          <cell r="E261">
            <v>0.03</v>
          </cell>
          <cell r="F261">
            <v>525</v>
          </cell>
          <cell r="G261">
            <v>15.75</v>
          </cell>
          <cell r="H261" t="str">
            <v>fuel</v>
          </cell>
          <cell r="I261">
            <v>0.01</v>
          </cell>
          <cell r="J261" t="str">
            <v>ltr</v>
          </cell>
          <cell r="K261">
            <v>98.734300000000005</v>
          </cell>
          <cell r="L261">
            <v>0.98734300000000008</v>
          </cell>
          <cell r="N261">
            <v>0.98734300000000008</v>
          </cell>
        </row>
        <row r="262">
          <cell r="D262" t="str">
            <v>Labour</v>
          </cell>
          <cell r="E262">
            <v>0.06</v>
          </cell>
          <cell r="F262">
            <v>525</v>
          </cell>
          <cell r="G262">
            <v>31.5</v>
          </cell>
          <cell r="H262" t="str">
            <v>Miscel. Expenses</v>
          </cell>
          <cell r="I262" t="str">
            <v>2.5% of lab</v>
          </cell>
          <cell r="L262">
            <v>1.70625</v>
          </cell>
          <cell r="N262">
            <v>1.70625</v>
          </cell>
        </row>
        <row r="264">
          <cell r="A264" t="str">
            <v>17.2f</v>
          </cell>
          <cell r="B264" t="str">
            <v>140-180 mm OD Pipe</v>
          </cell>
          <cell r="D264" t="str">
            <v>Plumber</v>
          </cell>
          <cell r="E264">
            <v>0.04</v>
          </cell>
          <cell r="F264">
            <v>700</v>
          </cell>
          <cell r="G264">
            <v>28</v>
          </cell>
          <cell r="H264" t="str">
            <v xml:space="preserve"> Tools</v>
          </cell>
          <cell r="I264">
            <v>0.05</v>
          </cell>
          <cell r="J264" t="str">
            <v>day</v>
          </cell>
          <cell r="K264">
            <v>50</v>
          </cell>
          <cell r="L264">
            <v>2.5</v>
          </cell>
          <cell r="M264">
            <v>97.749686000000011</v>
          </cell>
          <cell r="N264">
            <v>2.5</v>
          </cell>
          <cell r="O264">
            <v>97.749686000000011</v>
          </cell>
        </row>
        <row r="265">
          <cell r="D265" t="str">
            <v>Helper</v>
          </cell>
          <cell r="E265">
            <v>0.04</v>
          </cell>
          <cell r="F265">
            <v>525</v>
          </cell>
          <cell r="G265">
            <v>21</v>
          </cell>
          <cell r="H265" t="str">
            <v>fuel</v>
          </cell>
          <cell r="I265">
            <v>0.02</v>
          </cell>
          <cell r="J265" t="str">
            <v>ltr</v>
          </cell>
          <cell r="K265">
            <v>98.734300000000005</v>
          </cell>
          <cell r="L265">
            <v>1.9746860000000002</v>
          </cell>
          <cell r="N265">
            <v>1.9746860000000002</v>
          </cell>
        </row>
        <row r="266">
          <cell r="D266" t="str">
            <v>Labour</v>
          </cell>
          <cell r="E266">
            <v>0.08</v>
          </cell>
          <cell r="F266">
            <v>525</v>
          </cell>
          <cell r="G266">
            <v>42</v>
          </cell>
          <cell r="H266" t="str">
            <v>Miscel. Expenses</v>
          </cell>
          <cell r="I266" t="str">
            <v>2.5% of lab</v>
          </cell>
          <cell r="L266">
            <v>2.2749999999999999</v>
          </cell>
          <cell r="N266">
            <v>2.2749999999999999</v>
          </cell>
        </row>
        <row r="268">
          <cell r="A268" t="str">
            <v>17.2g</v>
          </cell>
          <cell r="B268" t="str">
            <v>200-250 mm OD Pipe</v>
          </cell>
          <cell r="D268" t="str">
            <v>Plumber</v>
          </cell>
          <cell r="E268" t="e">
            <v>#N/A</v>
          </cell>
          <cell r="F268">
            <v>700</v>
          </cell>
          <cell r="G268" t="e">
            <v>#N/A</v>
          </cell>
          <cell r="H268" t="str">
            <v xml:space="preserve"> Tools</v>
          </cell>
          <cell r="I268" t="str">
            <v>x</v>
          </cell>
          <cell r="J268" t="str">
            <v>day</v>
          </cell>
          <cell r="K268">
            <v>50</v>
          </cell>
          <cell r="L268" t="e">
            <v>#VALUE!</v>
          </cell>
          <cell r="M268" t="e">
            <v>#N/A</v>
          </cell>
          <cell r="N268" t="e">
            <v>#VALUE!</v>
          </cell>
          <cell r="O268" t="e">
            <v>#N/A</v>
          </cell>
        </row>
        <row r="269">
          <cell r="D269" t="str">
            <v>Helper</v>
          </cell>
          <cell r="E269" t="e">
            <v>#N/A</v>
          </cell>
          <cell r="F269">
            <v>525</v>
          </cell>
          <cell r="G269" t="e">
            <v>#N/A</v>
          </cell>
          <cell r="H269" t="str">
            <v>fuel</v>
          </cell>
          <cell r="I269" t="e">
            <v>#N/A</v>
          </cell>
          <cell r="J269" t="str">
            <v>ltr</v>
          </cell>
          <cell r="K269">
            <v>98.734300000000005</v>
          </cell>
          <cell r="L269" t="e">
            <v>#N/A</v>
          </cell>
          <cell r="N269" t="e">
            <v>#N/A</v>
          </cell>
        </row>
        <row r="270">
          <cell r="D270" t="str">
            <v>Labour</v>
          </cell>
          <cell r="E270" t="e">
            <v>#N/A</v>
          </cell>
          <cell r="F270">
            <v>525</v>
          </cell>
          <cell r="G270" t="e">
            <v>#N/A</v>
          </cell>
          <cell r="H270" t="str">
            <v>Miscel. Expenses</v>
          </cell>
          <cell r="I270" t="str">
            <v>2.5% of lab</v>
          </cell>
          <cell r="L270" t="e">
            <v>#N/A</v>
          </cell>
          <cell r="N270" t="e">
            <v>#N/A</v>
          </cell>
        </row>
        <row r="272">
          <cell r="A272" t="str">
            <v>17.2h</v>
          </cell>
          <cell r="B272" t="str">
            <v>280-355 mm OD Pipe</v>
          </cell>
          <cell r="D272" t="str">
            <v>Plumber</v>
          </cell>
          <cell r="E272" t="e">
            <v>#N/A</v>
          </cell>
          <cell r="F272">
            <v>700</v>
          </cell>
          <cell r="G272" t="e">
            <v>#N/A</v>
          </cell>
          <cell r="H272" t="str">
            <v xml:space="preserve"> Tools</v>
          </cell>
          <cell r="I272" t="str">
            <v>x</v>
          </cell>
          <cell r="J272" t="str">
            <v>day</v>
          </cell>
          <cell r="K272">
            <v>50</v>
          </cell>
          <cell r="L272" t="e">
            <v>#VALUE!</v>
          </cell>
          <cell r="M272" t="e">
            <v>#N/A</v>
          </cell>
          <cell r="N272" t="e">
            <v>#VALUE!</v>
          </cell>
          <cell r="O272" t="e">
            <v>#N/A</v>
          </cell>
        </row>
        <row r="273">
          <cell r="D273" t="str">
            <v>Helper</v>
          </cell>
          <cell r="E273" t="e">
            <v>#N/A</v>
          </cell>
          <cell r="F273">
            <v>525</v>
          </cell>
          <cell r="G273" t="e">
            <v>#N/A</v>
          </cell>
          <cell r="H273" t="str">
            <v>fuel</v>
          </cell>
          <cell r="I273" t="e">
            <v>#NAME?</v>
          </cell>
          <cell r="J273" t="str">
            <v>ltr</v>
          </cell>
          <cell r="K273">
            <v>98.734300000000005</v>
          </cell>
          <cell r="L273" t="e">
            <v>#NAME?</v>
          </cell>
          <cell r="N273" t="e">
            <v>#NAME?</v>
          </cell>
        </row>
        <row r="274">
          <cell r="D274" t="str">
            <v>Labour</v>
          </cell>
          <cell r="E274" t="e">
            <v>#N/A</v>
          </cell>
          <cell r="F274">
            <v>525</v>
          </cell>
          <cell r="G274" t="e">
            <v>#N/A</v>
          </cell>
          <cell r="H274" t="str">
            <v>Miscel. Expenses</v>
          </cell>
          <cell r="I274" t="str">
            <v>2.5% of lab</v>
          </cell>
          <cell r="L274" t="e">
            <v>#N/A</v>
          </cell>
          <cell r="N274" t="e">
            <v>#N/A</v>
          </cell>
        </row>
        <row r="276">
          <cell r="A276" t="str">
            <v>17-4</v>
          </cell>
          <cell r="B276" t="str">
            <v>GI pipe laying &amp; jointing including lead 500m</v>
          </cell>
        </row>
        <row r="277">
          <cell r="B277" t="str">
            <v>for 1m pipeline length:</v>
          </cell>
        </row>
        <row r="278">
          <cell r="A278" t="str">
            <v>17.4.1</v>
          </cell>
          <cell r="B278" t="str">
            <v>1/2" &amp; 3/4"  I.D.</v>
          </cell>
          <cell r="D278" t="str">
            <v>Plumber</v>
          </cell>
          <cell r="E278">
            <v>2.2222222222222223E-2</v>
          </cell>
          <cell r="F278">
            <v>700</v>
          </cell>
          <cell r="G278">
            <v>15.555555555555555</v>
          </cell>
          <cell r="H278" t="str">
            <v>Read lead, hemp etc.</v>
          </cell>
          <cell r="L278">
            <v>6.2567555555555563</v>
          </cell>
          <cell r="M278">
            <v>70.034533333333343</v>
          </cell>
          <cell r="N278">
            <v>7.0701337777777775</v>
          </cell>
          <cell r="O278">
            <v>70.847911555555569</v>
          </cell>
        </row>
        <row r="279">
          <cell r="D279" t="str">
            <v>Helper</v>
          </cell>
          <cell r="E279">
            <v>4.4444444444444446E-2</v>
          </cell>
          <cell r="F279">
            <v>525</v>
          </cell>
          <cell r="G279">
            <v>23.333333333333336</v>
          </cell>
          <cell r="H279" t="str">
            <v>@10.05% of labour cost</v>
          </cell>
        </row>
        <row r="280">
          <cell r="D280" t="str">
            <v>Labour</v>
          </cell>
          <cell r="E280">
            <v>4.4444444444444446E-2</v>
          </cell>
          <cell r="F280">
            <v>525</v>
          </cell>
          <cell r="G280">
            <v>23.333333333333336</v>
          </cell>
          <cell r="H280" t="str">
            <v>contg. 2.5 % of cost</v>
          </cell>
          <cell r="L280">
            <v>1.5555555555555558</v>
          </cell>
          <cell r="N280">
            <v>1.5555555555555558</v>
          </cell>
        </row>
        <row r="282">
          <cell r="A282" t="str">
            <v>17.4.2</v>
          </cell>
          <cell r="B282" t="str">
            <v>1" &amp; 1 1/4" ID pipes</v>
          </cell>
          <cell r="D282" t="str">
            <v>Plumber</v>
          </cell>
          <cell r="E282">
            <v>2.2222222222222223E-2</v>
          </cell>
          <cell r="F282">
            <v>700</v>
          </cell>
          <cell r="G282">
            <v>15.555555555555555</v>
          </cell>
          <cell r="H282" t="str">
            <v>Read lead, hemp etc.</v>
          </cell>
          <cell r="L282">
            <v>8.6030388888888893</v>
          </cell>
          <cell r="M282">
            <v>96.297483333333332</v>
          </cell>
          <cell r="N282">
            <v>9.7214339444444438</v>
          </cell>
          <cell r="O282">
            <v>97.415878388888885</v>
          </cell>
        </row>
        <row r="283">
          <cell r="D283" t="str">
            <v>Helper</v>
          </cell>
          <cell r="E283">
            <v>6.6666666666666666E-2</v>
          </cell>
          <cell r="F283">
            <v>525</v>
          </cell>
          <cell r="G283">
            <v>35</v>
          </cell>
          <cell r="H283" t="str">
            <v>@10.05% of labour cost</v>
          </cell>
        </row>
        <row r="284">
          <cell r="D284" t="str">
            <v>Labour</v>
          </cell>
          <cell r="E284">
            <v>6.6666666666666666E-2</v>
          </cell>
          <cell r="F284">
            <v>525</v>
          </cell>
          <cell r="G284">
            <v>35</v>
          </cell>
          <cell r="H284" t="str">
            <v>contg. 2.5 % of cost</v>
          </cell>
          <cell r="L284">
            <v>2.1388888888888888</v>
          </cell>
          <cell r="N284">
            <v>2.1388888888888888</v>
          </cell>
        </row>
        <row r="286">
          <cell r="A286" t="str">
            <v>17.4.3</v>
          </cell>
          <cell r="B286" t="str">
            <v>1 1/2" &amp; 2" ID pipes</v>
          </cell>
          <cell r="D286" t="str">
            <v>Plumber</v>
          </cell>
          <cell r="E286">
            <v>3.3333333333333333E-2</v>
          </cell>
          <cell r="F286">
            <v>700</v>
          </cell>
          <cell r="G286">
            <v>23.333333333333332</v>
          </cell>
          <cell r="H286" t="str">
            <v>Read lead, hemp etc.</v>
          </cell>
          <cell r="L286">
            <v>11.731416666666668</v>
          </cell>
          <cell r="M286">
            <v>131.31475</v>
          </cell>
          <cell r="N286">
            <v>13.256500833333334</v>
          </cell>
          <cell r="O286">
            <v>132.83983416666666</v>
          </cell>
        </row>
        <row r="287">
          <cell r="D287" t="str">
            <v>Helper</v>
          </cell>
          <cell r="E287">
            <v>8.8888888888888892E-2</v>
          </cell>
          <cell r="F287">
            <v>525</v>
          </cell>
          <cell r="G287">
            <v>46.666666666666671</v>
          </cell>
          <cell r="H287" t="str">
            <v>@10.05% of labour cost</v>
          </cell>
        </row>
        <row r="288">
          <cell r="D288" t="str">
            <v>Labour</v>
          </cell>
          <cell r="E288">
            <v>8.8888888888888892E-2</v>
          </cell>
          <cell r="F288">
            <v>525</v>
          </cell>
          <cell r="G288">
            <v>46.666666666666671</v>
          </cell>
          <cell r="H288" t="str">
            <v>contg. 2.5 % of cost</v>
          </cell>
          <cell r="L288">
            <v>2.916666666666667</v>
          </cell>
          <cell r="N288">
            <v>2.916666666666667</v>
          </cell>
        </row>
        <row r="290">
          <cell r="A290" t="str">
            <v>17.4.4</v>
          </cell>
          <cell r="B290" t="str">
            <v>2 1/2" &amp; 3"  I.D.</v>
          </cell>
          <cell r="D290" t="str">
            <v>Plumber</v>
          </cell>
          <cell r="E290">
            <v>5.5555555555555552E-2</v>
          </cell>
          <cell r="F290">
            <v>700</v>
          </cell>
          <cell r="G290">
            <v>38.888888888888886</v>
          </cell>
          <cell r="H290" t="str">
            <v>Read lead, hemp etc.</v>
          </cell>
          <cell r="L290">
            <v>15.641888888888888</v>
          </cell>
          <cell r="M290">
            <v>175.08633333333333</v>
          </cell>
          <cell r="N290">
            <v>17.675334444444442</v>
          </cell>
          <cell r="O290">
            <v>177.11977888888887</v>
          </cell>
        </row>
        <row r="291">
          <cell r="D291" t="str">
            <v>Helper</v>
          </cell>
          <cell r="E291">
            <v>8.8888888888888892E-2</v>
          </cell>
          <cell r="F291">
            <v>525</v>
          </cell>
          <cell r="G291">
            <v>46.666666666666671</v>
          </cell>
          <cell r="H291" t="str">
            <v>@10.05% of labour cost</v>
          </cell>
        </row>
        <row r="292">
          <cell r="D292" t="str">
            <v>Labour</v>
          </cell>
          <cell r="E292">
            <v>0.13333333333333333</v>
          </cell>
          <cell r="F292">
            <v>525</v>
          </cell>
          <cell r="G292">
            <v>70</v>
          </cell>
          <cell r="H292" t="str">
            <v>contg. 2.5 % of cost</v>
          </cell>
          <cell r="L292">
            <v>3.8888888888888888</v>
          </cell>
          <cell r="N292">
            <v>3.8888888888888888</v>
          </cell>
        </row>
        <row r="294">
          <cell r="A294" t="str">
            <v>17.4.5</v>
          </cell>
          <cell r="B294" t="str">
            <v>4"  ID pipes</v>
          </cell>
          <cell r="D294" t="str">
            <v>Plumber</v>
          </cell>
          <cell r="E294">
            <v>7.7777777777777779E-2</v>
          </cell>
          <cell r="F294">
            <v>700</v>
          </cell>
          <cell r="G294">
            <v>54.444444444444443</v>
          </cell>
          <cell r="H294" t="str">
            <v>Read lead, hemp etc.</v>
          </cell>
          <cell r="L294">
            <v>19.552361111111114</v>
          </cell>
          <cell r="M294">
            <v>218.85791666666668</v>
          </cell>
          <cell r="N294">
            <v>22.094168055555556</v>
          </cell>
          <cell r="O294">
            <v>221.39972361111111</v>
          </cell>
        </row>
        <row r="295">
          <cell r="D295" t="str">
            <v>Helper</v>
          </cell>
          <cell r="E295">
            <v>8.8888888888888892E-2</v>
          </cell>
          <cell r="F295">
            <v>525</v>
          </cell>
          <cell r="G295">
            <v>46.666666666666671</v>
          </cell>
          <cell r="H295" t="str">
            <v>@10.05% of labour cost</v>
          </cell>
        </row>
        <row r="296">
          <cell r="D296" t="str">
            <v>Labour</v>
          </cell>
          <cell r="E296">
            <v>0.17777777777777778</v>
          </cell>
          <cell r="F296">
            <v>525</v>
          </cell>
          <cell r="G296">
            <v>93.333333333333343</v>
          </cell>
          <cell r="H296" t="str">
            <v>contg. 2.5 % of cost</v>
          </cell>
          <cell r="L296">
            <v>4.8611111111111116</v>
          </cell>
          <cell r="N296">
            <v>4.8611111111111116</v>
          </cell>
        </row>
        <row r="298">
          <cell r="A298" t="str">
            <v>17.4.6</v>
          </cell>
          <cell r="B298" t="str">
            <v>5"  ID pipes</v>
          </cell>
          <cell r="D298" t="str">
            <v>Plumber</v>
          </cell>
          <cell r="E298">
            <v>8.8888888888888892E-2</v>
          </cell>
          <cell r="F298">
            <v>700</v>
          </cell>
          <cell r="G298">
            <v>62.222222222222221</v>
          </cell>
          <cell r="H298" t="str">
            <v>Read lead, hemp etc.</v>
          </cell>
          <cell r="L298">
            <v>23.853880555555556</v>
          </cell>
          <cell r="M298">
            <v>267.00665833333329</v>
          </cell>
          <cell r="N298">
            <v>26.954885027777774</v>
          </cell>
          <cell r="O298">
            <v>270.10766280555549</v>
          </cell>
        </row>
        <row r="299">
          <cell r="D299" t="str">
            <v>Helper</v>
          </cell>
          <cell r="E299">
            <v>0.1111111111111111</v>
          </cell>
          <cell r="F299">
            <v>525</v>
          </cell>
          <cell r="G299">
            <v>58.333333333333329</v>
          </cell>
          <cell r="H299" t="str">
            <v>@10.05% of labour cost</v>
          </cell>
        </row>
        <row r="300">
          <cell r="D300" t="str">
            <v>Labour</v>
          </cell>
          <cell r="E300">
            <v>0.22222222222222221</v>
          </cell>
          <cell r="F300">
            <v>525</v>
          </cell>
          <cell r="G300">
            <v>116.66666666666666</v>
          </cell>
          <cell r="H300" t="str">
            <v>contg. 2.5 % of cost</v>
          </cell>
          <cell r="L300">
            <v>5.9305555555555554</v>
          </cell>
          <cell r="N300">
            <v>5.9305555555555554</v>
          </cell>
        </row>
        <row r="302">
          <cell r="A302" t="str">
            <v>17.4.6</v>
          </cell>
          <cell r="B302" t="str">
            <v>6"  ID pipes</v>
          </cell>
          <cell r="D302" t="str">
            <v>Plumber</v>
          </cell>
          <cell r="E302">
            <v>0.13333333333333333</v>
          </cell>
          <cell r="F302">
            <v>700</v>
          </cell>
          <cell r="G302">
            <v>93.333333333333329</v>
          </cell>
          <cell r="H302" t="str">
            <v>Read lead, hemp etc.</v>
          </cell>
          <cell r="L302">
            <v>34.021108333333338</v>
          </cell>
          <cell r="M302">
            <v>380.81277500000004</v>
          </cell>
          <cell r="N302">
            <v>38.443852416666665</v>
          </cell>
          <cell r="O302">
            <v>385.23551908333337</v>
          </cell>
        </row>
        <row r="303">
          <cell r="D303" t="str">
            <v>Helper</v>
          </cell>
          <cell r="E303">
            <v>0.15555555555555556</v>
          </cell>
          <cell r="F303">
            <v>525</v>
          </cell>
          <cell r="G303">
            <v>81.666666666666671</v>
          </cell>
          <cell r="H303" t="str">
            <v>@10.05% of labour cost</v>
          </cell>
        </row>
        <row r="304">
          <cell r="D304" t="str">
            <v>Labour</v>
          </cell>
          <cell r="E304">
            <v>0.31111111111111112</v>
          </cell>
          <cell r="F304">
            <v>525</v>
          </cell>
          <cell r="G304">
            <v>163.33333333333334</v>
          </cell>
          <cell r="H304" t="str">
            <v>contg. 2.5 % of cost</v>
          </cell>
          <cell r="L304">
            <v>8.4583333333333339</v>
          </cell>
          <cell r="N304">
            <v>8.4583333333333339</v>
          </cell>
        </row>
        <row r="306">
          <cell r="A306" t="str">
            <v>17.4.6</v>
          </cell>
          <cell r="B306" t="str">
            <v>8"  ID pipes</v>
          </cell>
          <cell r="D306" t="str">
            <v>Plumber</v>
          </cell>
          <cell r="E306">
            <v>0.22222222222222221</v>
          </cell>
          <cell r="F306">
            <v>700</v>
          </cell>
          <cell r="G306">
            <v>155.55555555555554</v>
          </cell>
          <cell r="H306" t="str">
            <v>Read lead, hemp etc.</v>
          </cell>
          <cell r="L306">
            <v>37.931580555555556</v>
          </cell>
          <cell r="M306">
            <v>424.58435833333328</v>
          </cell>
          <cell r="N306">
            <v>42.862686027777777</v>
          </cell>
          <cell r="O306">
            <v>429.5154638055555</v>
          </cell>
        </row>
        <row r="307">
          <cell r="D307" t="str">
            <v>Helper</v>
          </cell>
          <cell r="E307">
            <v>0.19999999999999998</v>
          </cell>
          <cell r="F307">
            <v>525</v>
          </cell>
          <cell r="G307">
            <v>104.99999999999999</v>
          </cell>
          <cell r="H307" t="str">
            <v>@10.05% of labour cost</v>
          </cell>
        </row>
        <row r="308">
          <cell r="D308" t="str">
            <v>Labour</v>
          </cell>
          <cell r="E308">
            <v>0.22222222222222221</v>
          </cell>
          <cell r="F308">
            <v>525</v>
          </cell>
          <cell r="G308">
            <v>116.66666666666666</v>
          </cell>
          <cell r="H308" t="str">
            <v>contg. 2.5 % of cost</v>
          </cell>
          <cell r="L308">
            <v>9.4305555555555554</v>
          </cell>
          <cell r="N308">
            <v>9.4305555555555554</v>
          </cell>
        </row>
        <row r="310">
          <cell r="A310" t="str">
            <v>17.5</v>
          </cell>
          <cell r="B310" t="str">
            <v xml:space="preserve">Jointing of Steel pipes by Petrol welding and </v>
          </cell>
        </row>
        <row r="311">
          <cell r="B311" t="str">
            <v>Laying in alignment for 1m pipe length:</v>
          </cell>
        </row>
        <row r="312">
          <cell r="A312" t="str">
            <v>17.5c</v>
          </cell>
          <cell r="B312" t="str">
            <v>Pipe dia of 1 1/2"</v>
          </cell>
          <cell r="D312" t="str">
            <v>Welder</v>
          </cell>
          <cell r="E312">
            <v>3.7834722222222221E-2</v>
          </cell>
          <cell r="F312">
            <v>700</v>
          </cell>
          <cell r="G312">
            <v>26.484305555555554</v>
          </cell>
          <cell r="H312" t="str">
            <v>Welding electrode</v>
          </cell>
          <cell r="I312">
            <v>4.1448000000000006E-2</v>
          </cell>
          <cell r="J312" t="str">
            <v>m</v>
          </cell>
          <cell r="K312">
            <v>25</v>
          </cell>
          <cell r="L312">
            <v>1.0362000000000002</v>
          </cell>
          <cell r="M312">
            <v>171.35</v>
          </cell>
          <cell r="N312">
            <v>1.1709060000000002</v>
          </cell>
          <cell r="O312">
            <v>171.67</v>
          </cell>
        </row>
        <row r="313">
          <cell r="D313" t="str">
            <v>Helper</v>
          </cell>
          <cell r="E313">
            <v>9.339027777777778E-2</v>
          </cell>
          <cell r="F313">
            <v>525</v>
          </cell>
          <cell r="G313">
            <v>49.029895833333335</v>
          </cell>
          <cell r="H313" t="str">
            <v>Fuel, Petrol</v>
          </cell>
          <cell r="I313">
            <v>1.4391666666666671E-2</v>
          </cell>
          <cell r="J313" t="str">
            <v>Ltr</v>
          </cell>
          <cell r="K313">
            <v>98.734300000000005</v>
          </cell>
          <cell r="L313">
            <v>1.4209511341666672</v>
          </cell>
          <cell r="N313">
            <v>1.6056747816083337</v>
          </cell>
        </row>
        <row r="314">
          <cell r="D314" t="str">
            <v>Labour</v>
          </cell>
          <cell r="E314">
            <v>0.17777777777777778</v>
          </cell>
          <cell r="F314">
            <v>525</v>
          </cell>
          <cell r="G314">
            <v>93.333333333333343</v>
          </cell>
          <cell r="H314" t="str">
            <v>Depreciation of Weld machine @2% of material cost</v>
          </cell>
          <cell r="L314">
            <v>4.9143022683333357E-2</v>
          </cell>
          <cell r="N314">
            <v>4.9143022683333357E-2</v>
          </cell>
        </row>
        <row r="318">
          <cell r="A318" t="str">
            <v>17.5d</v>
          </cell>
          <cell r="B318" t="str">
            <v>Pipe dia of 2"</v>
          </cell>
          <cell r="D318" t="str">
            <v>Welder</v>
          </cell>
          <cell r="E318">
            <v>3.8960069444444446E-2</v>
          </cell>
          <cell r="F318">
            <v>700</v>
          </cell>
          <cell r="G318">
            <v>27.272048611111114</v>
          </cell>
          <cell r="H318" t="str">
            <v>Welding electrode</v>
          </cell>
          <cell r="I318">
            <v>5.1810000000000002E-2</v>
          </cell>
          <cell r="J318" t="str">
            <v>m</v>
          </cell>
          <cell r="K318">
            <v>25</v>
          </cell>
          <cell r="L318">
            <v>1.29525</v>
          </cell>
          <cell r="M318">
            <v>173.36</v>
          </cell>
          <cell r="N318">
            <v>1.4636324999999999</v>
          </cell>
          <cell r="O318">
            <v>173.76</v>
          </cell>
        </row>
        <row r="319">
          <cell r="D319" t="str">
            <v>Helper</v>
          </cell>
          <cell r="E319">
            <v>9.4515625000000006E-2</v>
          </cell>
          <cell r="F319">
            <v>525</v>
          </cell>
          <cell r="G319">
            <v>49.620703125000006</v>
          </cell>
          <cell r="H319" t="str">
            <v>Fuel, Petrol</v>
          </cell>
          <cell r="I319">
            <v>1.7989583333333337E-2</v>
          </cell>
          <cell r="J319" t="str">
            <v>Ltr</v>
          </cell>
          <cell r="K319">
            <v>98.734300000000005</v>
          </cell>
          <cell r="L319">
            <v>1.7761889177083336</v>
          </cell>
          <cell r="N319">
            <v>2.0070934770104167</v>
          </cell>
        </row>
        <row r="320">
          <cell r="D320" t="str">
            <v>Labour</v>
          </cell>
          <cell r="E320">
            <v>0.17777777777777778</v>
          </cell>
          <cell r="F320">
            <v>525</v>
          </cell>
          <cell r="G320">
            <v>93.333333333333343</v>
          </cell>
          <cell r="H320" t="str">
            <v>Depreciation of Weld machine @2% of material cost</v>
          </cell>
          <cell r="L320">
            <v>6.1428778354166678E-2</v>
          </cell>
          <cell r="N320">
            <v>6.1428778354166678E-2</v>
          </cell>
        </row>
        <row r="324">
          <cell r="A324" t="str">
            <v>17.5e</v>
          </cell>
          <cell r="B324" t="str">
            <v>Pipe dia of 2.5"</v>
          </cell>
          <cell r="D324" t="str">
            <v>Welder</v>
          </cell>
          <cell r="E324">
            <v>6.2870312499999997E-2</v>
          </cell>
          <cell r="F324">
            <v>700</v>
          </cell>
          <cell r="G324">
            <v>44.009218749999995</v>
          </cell>
          <cell r="H324" t="str">
            <v>Welding electrode</v>
          </cell>
          <cell r="I324">
            <v>6.735300000000001E-2</v>
          </cell>
          <cell r="J324" t="str">
            <v>m</v>
          </cell>
          <cell r="K324">
            <v>25</v>
          </cell>
          <cell r="L324">
            <v>1.6838250000000003</v>
          </cell>
          <cell r="M324">
            <v>191.92</v>
          </cell>
          <cell r="N324">
            <v>1.9027222500000003</v>
          </cell>
          <cell r="O324">
            <v>192.44</v>
          </cell>
        </row>
        <row r="325">
          <cell r="D325" t="str">
            <v>Helper</v>
          </cell>
          <cell r="E325">
            <v>9.6203645833333337E-2</v>
          </cell>
          <cell r="F325">
            <v>525</v>
          </cell>
          <cell r="G325">
            <v>50.506914062500002</v>
          </cell>
          <cell r="H325" t="str">
            <v>Fuel, Petrol</v>
          </cell>
          <cell r="I325">
            <v>2.3386458333333335E-2</v>
          </cell>
          <cell r="J325" t="str">
            <v>Ltr</v>
          </cell>
          <cell r="K325">
            <v>98.734300000000005</v>
          </cell>
          <cell r="L325">
            <v>2.3090455930208336</v>
          </cell>
          <cell r="N325">
            <v>2.6092215201135418</v>
          </cell>
        </row>
        <row r="326">
          <cell r="D326" t="str">
            <v>Labour</v>
          </cell>
          <cell r="E326">
            <v>0.17777777777777778</v>
          </cell>
          <cell r="F326">
            <v>525</v>
          </cell>
          <cell r="G326">
            <v>93.333333333333343</v>
          </cell>
          <cell r="H326" t="str">
            <v>Depreciation of Weld machine @2% of material cost</v>
          </cell>
          <cell r="L326">
            <v>7.9857411860416685E-2</v>
          </cell>
          <cell r="N326">
            <v>7.9857411860416685E-2</v>
          </cell>
        </row>
        <row r="330">
          <cell r="A330" t="str">
            <v>17.5f</v>
          </cell>
          <cell r="B330" t="str">
            <v>Pipe dia of 3"</v>
          </cell>
          <cell r="D330" t="str">
            <v>Welder</v>
          </cell>
          <cell r="E330">
            <v>6.4558333333333329E-2</v>
          </cell>
          <cell r="F330">
            <v>700</v>
          </cell>
          <cell r="G330">
            <v>45.19083333333333</v>
          </cell>
          <cell r="H330" t="str">
            <v>Welding electrode</v>
          </cell>
          <cell r="I330">
            <v>8.2896000000000011E-2</v>
          </cell>
          <cell r="J330" t="str">
            <v>m</v>
          </cell>
          <cell r="K330">
            <v>25</v>
          </cell>
          <cell r="L330">
            <v>2.0724000000000005</v>
          </cell>
          <cell r="M330">
            <v>194.93</v>
          </cell>
          <cell r="N330">
            <v>2.3418120000000004</v>
          </cell>
          <cell r="O330">
            <v>195.57</v>
          </cell>
        </row>
        <row r="331">
          <cell r="D331" t="str">
            <v>Helper</v>
          </cell>
          <cell r="E331">
            <v>9.7891666666666668E-2</v>
          </cell>
          <cell r="F331">
            <v>525</v>
          </cell>
          <cell r="G331">
            <v>51.393124999999998</v>
          </cell>
          <cell r="H331" t="str">
            <v>Fuel, Petrol</v>
          </cell>
          <cell r="I331">
            <v>2.8783333333333341E-2</v>
          </cell>
          <cell r="J331" t="str">
            <v>Ltr</v>
          </cell>
          <cell r="K331">
            <v>98.734300000000005</v>
          </cell>
          <cell r="L331">
            <v>2.8419022683333344</v>
          </cell>
          <cell r="N331">
            <v>3.2113495632166673</v>
          </cell>
        </row>
        <row r="332">
          <cell r="D332" t="str">
            <v>Labour</v>
          </cell>
          <cell r="E332">
            <v>0.17777777777777778</v>
          </cell>
          <cell r="F332">
            <v>525</v>
          </cell>
          <cell r="G332">
            <v>93.333333333333343</v>
          </cell>
          <cell r="H332" t="str">
            <v>Depreciation of Weld machine @2% of material cost</v>
          </cell>
          <cell r="L332">
            <v>9.8286045366666713E-2</v>
          </cell>
          <cell r="N332">
            <v>9.8286045366666713E-2</v>
          </cell>
        </row>
        <row r="336">
          <cell r="A336" t="str">
            <v>17.5f</v>
          </cell>
          <cell r="B336" t="str">
            <v>Pipe dia of 4"</v>
          </cell>
          <cell r="D336" t="str">
            <v>Welder</v>
          </cell>
          <cell r="E336">
            <v>8.9031250000000006E-2</v>
          </cell>
          <cell r="F336">
            <v>700</v>
          </cell>
          <cell r="G336">
            <v>62.321875000000006</v>
          </cell>
          <cell r="H336" t="str">
            <v>Welding electrode</v>
          </cell>
          <cell r="I336">
            <v>0.10362</v>
          </cell>
          <cell r="J336" t="str">
            <v>m</v>
          </cell>
          <cell r="K336">
            <v>25</v>
          </cell>
          <cell r="L336">
            <v>2.5905</v>
          </cell>
          <cell r="M336">
            <v>214.5</v>
          </cell>
          <cell r="N336">
            <v>2.9272649999999998</v>
          </cell>
          <cell r="O336">
            <v>215.29</v>
          </cell>
        </row>
        <row r="337">
          <cell r="D337" t="str">
            <v>Helper</v>
          </cell>
          <cell r="E337">
            <v>0.10014236111111112</v>
          </cell>
          <cell r="F337">
            <v>525</v>
          </cell>
          <cell r="G337">
            <v>52.57473958333334</v>
          </cell>
          <cell r="H337" t="str">
            <v>Fuel, Petrol</v>
          </cell>
          <cell r="I337">
            <v>3.5979166666666673E-2</v>
          </cell>
          <cell r="J337" t="str">
            <v>Ltr</v>
          </cell>
          <cell r="K337">
            <v>98.734300000000005</v>
          </cell>
          <cell r="L337">
            <v>3.5523778354166673</v>
          </cell>
          <cell r="N337">
            <v>4.0141869540208335</v>
          </cell>
        </row>
        <row r="338">
          <cell r="D338" t="str">
            <v>Labour</v>
          </cell>
          <cell r="E338">
            <v>0.17777777777777778</v>
          </cell>
          <cell r="F338">
            <v>525</v>
          </cell>
          <cell r="G338">
            <v>93.333333333333343</v>
          </cell>
          <cell r="H338" t="str">
            <v>Welding electrode</v>
          </cell>
          <cell r="L338">
            <v>0.12285755670833336</v>
          </cell>
          <cell r="N338">
            <v>0.12285755670833336</v>
          </cell>
        </row>
        <row r="339">
          <cell r="H339" t="str">
            <v>Electric power</v>
          </cell>
        </row>
        <row r="340">
          <cell r="H340" t="str">
            <v>Depreciation of Weld machine @2% of material cost</v>
          </cell>
        </row>
        <row r="344">
          <cell r="A344" t="str">
            <v>17.5f</v>
          </cell>
          <cell r="B344" t="str">
            <v>Pipe dia of 5"</v>
          </cell>
          <cell r="D344" t="str">
            <v>Welder</v>
          </cell>
          <cell r="E344">
            <v>0.10295572916666668</v>
          </cell>
          <cell r="F344">
            <v>700</v>
          </cell>
          <cell r="G344">
            <v>72.069010416666671</v>
          </cell>
          <cell r="H344" t="str">
            <v>Welding electrode</v>
          </cell>
          <cell r="I344">
            <v>0.12952500000000003</v>
          </cell>
          <cell r="J344" t="str">
            <v>m</v>
          </cell>
          <cell r="K344">
            <v>25</v>
          </cell>
          <cell r="L344">
            <v>3.2381250000000006</v>
          </cell>
          <cell r="M344">
            <v>238.95</v>
          </cell>
          <cell r="N344">
            <v>3.6590812500000003</v>
          </cell>
          <cell r="O344">
            <v>239.95</v>
          </cell>
        </row>
        <row r="345">
          <cell r="D345" t="str">
            <v>Helper</v>
          </cell>
          <cell r="E345">
            <v>0.12517795138888888</v>
          </cell>
          <cell r="F345">
            <v>525</v>
          </cell>
          <cell r="G345">
            <v>65.718424479166657</v>
          </cell>
          <cell r="H345" t="str">
            <v>Fuel, Petrol</v>
          </cell>
          <cell r="I345">
            <v>4.4973958333333348E-2</v>
          </cell>
          <cell r="J345" t="str">
            <v>Ltr</v>
          </cell>
          <cell r="K345">
            <v>98.734300000000005</v>
          </cell>
          <cell r="L345">
            <v>4.440472294270835</v>
          </cell>
          <cell r="N345">
            <v>5.0177336925260434</v>
          </cell>
        </row>
        <row r="346">
          <cell r="D346" t="str">
            <v>Labour</v>
          </cell>
          <cell r="E346">
            <v>0.17777777777777778</v>
          </cell>
          <cell r="F346">
            <v>525</v>
          </cell>
          <cell r="G346">
            <v>93.333333333333343</v>
          </cell>
          <cell r="H346" t="str">
            <v>Welding electrode</v>
          </cell>
          <cell r="L346">
            <v>0.1535719458854167</v>
          </cell>
          <cell r="N346">
            <v>0.1535719458854167</v>
          </cell>
        </row>
        <row r="347">
          <cell r="H347" t="str">
            <v>Electric power</v>
          </cell>
        </row>
        <row r="348">
          <cell r="H348" t="str">
            <v>Depreciation of Weld machine @2% of material cost</v>
          </cell>
        </row>
        <row r="352">
          <cell r="A352" t="str">
            <v>17.5f</v>
          </cell>
          <cell r="B352" t="str">
            <v>Pipe dia of 6"</v>
          </cell>
          <cell r="D352" t="str">
            <v>Welder</v>
          </cell>
          <cell r="E352">
            <v>0.15021354166666667</v>
          </cell>
          <cell r="F352">
            <v>700</v>
          </cell>
          <cell r="G352">
            <v>105.14947916666667</v>
          </cell>
          <cell r="H352" t="str">
            <v>Welding electrode</v>
          </cell>
          <cell r="I352">
            <v>0.15543000000000001</v>
          </cell>
          <cell r="J352" t="str">
            <v>m</v>
          </cell>
          <cell r="K352">
            <v>25</v>
          </cell>
          <cell r="L352">
            <v>3.8857500000000003</v>
          </cell>
          <cell r="M352">
            <v>298.41000000000003</v>
          </cell>
          <cell r="N352">
            <v>4.3908974999999995</v>
          </cell>
          <cell r="O352">
            <v>299.61</v>
          </cell>
        </row>
        <row r="353">
          <cell r="D353" t="str">
            <v>Helper</v>
          </cell>
          <cell r="E353">
            <v>0.1724357638888889</v>
          </cell>
          <cell r="F353">
            <v>525</v>
          </cell>
          <cell r="G353">
            <v>90.528776041666674</v>
          </cell>
          <cell r="H353" t="str">
            <v>Fuel, Petrol</v>
          </cell>
          <cell r="I353">
            <v>5.396875000000001E-2</v>
          </cell>
          <cell r="J353" t="str">
            <v>Ltr</v>
          </cell>
          <cell r="K353">
            <v>98.734300000000005</v>
          </cell>
          <cell r="L353">
            <v>5.3285667531250009</v>
          </cell>
          <cell r="N353">
            <v>6.0212804310312507</v>
          </cell>
        </row>
        <row r="354">
          <cell r="D354" t="str">
            <v>Labour</v>
          </cell>
          <cell r="E354">
            <v>0.17777777777777778</v>
          </cell>
          <cell r="F354">
            <v>525</v>
          </cell>
          <cell r="G354">
            <v>93.333333333333343</v>
          </cell>
          <cell r="H354" t="str">
            <v>Welding electrode</v>
          </cell>
          <cell r="L354">
            <v>0.18428633506250003</v>
          </cell>
          <cell r="N354">
            <v>0.18428633506250003</v>
          </cell>
        </row>
        <row r="355">
          <cell r="H355" t="str">
            <v>Electric power</v>
          </cell>
        </row>
        <row r="356">
          <cell r="H356" t="str">
            <v>Depreciation of Weld machine @2% of material cost</v>
          </cell>
        </row>
        <row r="360">
          <cell r="A360" t="str">
            <v>17.5f</v>
          </cell>
          <cell r="B360" t="str">
            <v>Pipe dia of 8"</v>
          </cell>
          <cell r="D360" t="str">
            <v>Welder</v>
          </cell>
          <cell r="E360">
            <v>0.24472916666666666</v>
          </cell>
          <cell r="F360">
            <v>700</v>
          </cell>
          <cell r="G360">
            <v>171.31041666666667</v>
          </cell>
          <cell r="H360" t="str">
            <v>Welding electrode</v>
          </cell>
          <cell r="I360">
            <v>0.20724000000000001</v>
          </cell>
          <cell r="J360" t="str">
            <v>m</v>
          </cell>
          <cell r="K360">
            <v>25</v>
          </cell>
          <cell r="L360">
            <v>5.181</v>
          </cell>
          <cell r="M360">
            <v>393.99</v>
          </cell>
          <cell r="N360">
            <v>5.8545299999999996</v>
          </cell>
          <cell r="O360">
            <v>395.59</v>
          </cell>
        </row>
        <row r="361">
          <cell r="D361" t="str">
            <v>Helper</v>
          </cell>
          <cell r="E361">
            <v>0.22250694444444444</v>
          </cell>
          <cell r="F361">
            <v>525</v>
          </cell>
          <cell r="G361">
            <v>116.81614583333332</v>
          </cell>
          <cell r="H361" t="str">
            <v>Fuel, Petrol</v>
          </cell>
          <cell r="I361">
            <v>7.1958333333333346E-2</v>
          </cell>
          <cell r="J361" t="str">
            <v>Ltr</v>
          </cell>
          <cell r="K361">
            <v>98.734300000000005</v>
          </cell>
          <cell r="L361">
            <v>7.1047556708333346</v>
          </cell>
          <cell r="N361">
            <v>8.028373908041667</v>
          </cell>
        </row>
        <row r="362">
          <cell r="D362" t="str">
            <v>Labour</v>
          </cell>
          <cell r="E362">
            <v>0.17777777777777778</v>
          </cell>
          <cell r="F362">
            <v>525</v>
          </cell>
          <cell r="G362">
            <v>93.333333333333343</v>
          </cell>
          <cell r="H362" t="str">
            <v>Welding electrode</v>
          </cell>
          <cell r="L362">
            <v>0.24571511341666671</v>
          </cell>
          <cell r="N362">
            <v>0.24571511341666671</v>
          </cell>
        </row>
        <row r="363">
          <cell r="H363" t="str">
            <v>Electric power</v>
          </cell>
        </row>
        <row r="364">
          <cell r="H364" t="str">
            <v>Depreciation of Weld machine @2% of material cost</v>
          </cell>
        </row>
        <row r="368">
          <cell r="A368" t="str">
            <v>17.6d</v>
          </cell>
          <cell r="B368" t="str">
            <v>Pipe dia of 2"</v>
          </cell>
          <cell r="D368" t="str">
            <v>Welder</v>
          </cell>
          <cell r="E368">
            <v>3.8960069444444446E-2</v>
          </cell>
          <cell r="F368">
            <v>700</v>
          </cell>
          <cell r="G368">
            <v>27.272048611111114</v>
          </cell>
          <cell r="H368" t="str">
            <v>Welding electrode</v>
          </cell>
          <cell r="I368">
            <v>5.1810000000000002E-2</v>
          </cell>
          <cell r="J368" t="str">
            <v>m</v>
          </cell>
          <cell r="K368">
            <v>25</v>
          </cell>
          <cell r="L368">
            <v>1.29525</v>
          </cell>
          <cell r="M368">
            <v>171.8</v>
          </cell>
          <cell r="N368">
            <v>1.4636324999999999</v>
          </cell>
          <cell r="O368">
            <v>171.97</v>
          </cell>
        </row>
        <row r="369">
          <cell r="D369" t="str">
            <v>Helper</v>
          </cell>
          <cell r="E369">
            <v>9.4515625000000006E-2</v>
          </cell>
          <cell r="F369">
            <v>525</v>
          </cell>
          <cell r="G369">
            <v>49.620703125000006</v>
          </cell>
          <cell r="H369" t="str">
            <v>Electric power</v>
          </cell>
          <cell r="I369">
            <v>3.4540000000000001E-2</v>
          </cell>
          <cell r="J369" t="str">
            <v>KWHr</v>
          </cell>
          <cell r="K369">
            <v>7.3</v>
          </cell>
          <cell r="L369">
            <v>0.25214199999999998</v>
          </cell>
          <cell r="N369">
            <v>0.25214199999999998</v>
          </cell>
        </row>
        <row r="370">
          <cell r="D370" t="str">
            <v>Labour</v>
          </cell>
          <cell r="E370">
            <v>0.17777777777777778</v>
          </cell>
          <cell r="F370">
            <v>525</v>
          </cell>
          <cell r="G370">
            <v>93.333333333333343</v>
          </cell>
          <cell r="H370" t="str">
            <v>Depreciation of Weld machine @2% of material cost</v>
          </cell>
          <cell r="L370">
            <v>3.0947839999999997E-2</v>
          </cell>
          <cell r="N370">
            <v>3.0947839999999997E-2</v>
          </cell>
        </row>
        <row r="374">
          <cell r="A374" t="str">
            <v>17.6f</v>
          </cell>
          <cell r="B374" t="str">
            <v>Pipe dia of 3"</v>
          </cell>
          <cell r="D374" t="str">
            <v>Welder</v>
          </cell>
          <cell r="E374">
            <v>6.4558333333333329E-2</v>
          </cell>
          <cell r="F374">
            <v>700</v>
          </cell>
          <cell r="G374">
            <v>45.19083333333333</v>
          </cell>
          <cell r="H374" t="str">
            <v>Welding electrode</v>
          </cell>
          <cell r="I374">
            <v>8.2896000000000011E-2</v>
          </cell>
          <cell r="J374" t="str">
            <v>m</v>
          </cell>
          <cell r="K374">
            <v>25</v>
          </cell>
          <cell r="L374">
            <v>2.0724000000000005</v>
          </cell>
          <cell r="M374">
            <v>192.44</v>
          </cell>
          <cell r="N374">
            <v>2.3418120000000004</v>
          </cell>
          <cell r="O374">
            <v>192.71</v>
          </cell>
        </row>
        <row r="375">
          <cell r="D375" t="str">
            <v>Helper</v>
          </cell>
          <cell r="E375">
            <v>9.7891666666666668E-2</v>
          </cell>
          <cell r="F375">
            <v>525</v>
          </cell>
          <cell r="G375">
            <v>51.393124999999998</v>
          </cell>
          <cell r="H375" t="str">
            <v>Electric power</v>
          </cell>
          <cell r="I375">
            <v>5.5264000000000008E-2</v>
          </cell>
          <cell r="J375" t="str">
            <v>KWHr</v>
          </cell>
          <cell r="K375">
            <v>7.3</v>
          </cell>
          <cell r="L375">
            <v>0.40342720000000004</v>
          </cell>
          <cell r="N375">
            <v>0.40342720000000004</v>
          </cell>
        </row>
        <row r="376">
          <cell r="D376" t="str">
            <v>Labour</v>
          </cell>
          <cell r="E376">
            <v>0.17777777777777778</v>
          </cell>
          <cell r="F376">
            <v>525</v>
          </cell>
          <cell r="G376">
            <v>93.333333333333343</v>
          </cell>
          <cell r="H376" t="str">
            <v>Depreciation of Weld machine @2% of material cost</v>
          </cell>
          <cell r="L376">
            <v>4.951654400000001E-2</v>
          </cell>
          <cell r="N376">
            <v>4.951654400000001E-2</v>
          </cell>
        </row>
        <row r="381">
          <cell r="A381">
            <v>18.11</v>
          </cell>
          <cell r="B381" t="str">
            <v>Laying polythene sheet 500swg on and</v>
          </cell>
          <cell r="D381" t="str">
            <v>Skilled</v>
          </cell>
          <cell r="E381">
            <v>0.06</v>
          </cell>
          <cell r="F381">
            <v>700</v>
          </cell>
          <cell r="G381">
            <v>42</v>
          </cell>
          <cell r="H381" t="str">
            <v>Polysheet 500swg</v>
          </cell>
          <cell r="I381">
            <v>1.1000000000000001</v>
          </cell>
          <cell r="J381" t="str">
            <v>sqm</v>
          </cell>
          <cell r="K381">
            <v>20</v>
          </cell>
          <cell r="L381">
            <v>22</v>
          </cell>
          <cell r="M381">
            <v>95.5</v>
          </cell>
          <cell r="N381">
            <v>24.86</v>
          </cell>
          <cell r="O381">
            <v>98.36</v>
          </cell>
        </row>
        <row r="382">
          <cell r="B382" t="str">
            <v>around foundation  for 1sqm.</v>
          </cell>
          <cell r="D382" t="str">
            <v>Labor</v>
          </cell>
          <cell r="E382">
            <v>0.06</v>
          </cell>
          <cell r="F382">
            <v>525</v>
          </cell>
          <cell r="G382">
            <v>31.5</v>
          </cell>
        </row>
        <row r="384">
          <cell r="A384" t="str">
            <v>20.1a2</v>
          </cell>
          <cell r="B384" t="str">
            <v xml:space="preserve">Errection of 9m tubular steel pole, including excavation of foundation trench and 3 coat bitumen painting (upto 1.68m height) as per drawing, all complete </v>
          </cell>
          <cell r="D384" t="str">
            <v>Mason</v>
          </cell>
          <cell r="E384">
            <v>0.25</v>
          </cell>
          <cell r="F384">
            <v>700</v>
          </cell>
          <cell r="G384">
            <v>175</v>
          </cell>
          <cell r="H384" t="str">
            <v>Bitumen</v>
          </cell>
          <cell r="I384">
            <v>4</v>
          </cell>
          <cell r="J384" t="str">
            <v>kg</v>
          </cell>
          <cell r="K384">
            <v>69.312399999999997</v>
          </cell>
          <cell r="L384">
            <v>277.24959999999999</v>
          </cell>
          <cell r="M384">
            <v>1099.7246</v>
          </cell>
          <cell r="N384">
            <v>313.29204799999997</v>
          </cell>
          <cell r="O384">
            <v>1135.7670480000002</v>
          </cell>
        </row>
        <row r="385">
          <cell r="D385" t="str">
            <v>Coolies</v>
          </cell>
          <cell r="E385">
            <v>8.3000000000000004E-2</v>
          </cell>
          <cell r="F385">
            <v>525</v>
          </cell>
          <cell r="G385">
            <v>43.575000000000003</v>
          </cell>
        </row>
        <row r="386">
          <cell r="D386" t="str">
            <v>Lineman</v>
          </cell>
          <cell r="E386">
            <v>0.66</v>
          </cell>
          <cell r="F386">
            <v>525</v>
          </cell>
          <cell r="G386">
            <v>346.5</v>
          </cell>
        </row>
        <row r="387">
          <cell r="D387" t="str">
            <v>Supervisor</v>
          </cell>
          <cell r="E387">
            <v>0.33</v>
          </cell>
          <cell r="F387">
            <v>780</v>
          </cell>
          <cell r="G387">
            <v>257.40000000000003</v>
          </cell>
        </row>
        <row r="388">
          <cell r="A388" t="str">
            <v>20.8</v>
          </cell>
          <cell r="B388" t="str">
            <v xml:space="preserve">Installation of 25-200KVA pole mounted transformer, including earthing set and LADA fuse and GO switch, all complete </v>
          </cell>
          <cell r="D388" t="str">
            <v>Helper</v>
          </cell>
          <cell r="E388">
            <v>1</v>
          </cell>
          <cell r="F388">
            <v>525</v>
          </cell>
          <cell r="G388">
            <v>525</v>
          </cell>
          <cell r="M388">
            <v>10425</v>
          </cell>
          <cell r="N388">
            <v>0</v>
          </cell>
          <cell r="O388">
            <v>10425</v>
          </cell>
        </row>
        <row r="389">
          <cell r="D389" t="str">
            <v>Coolies</v>
          </cell>
          <cell r="E389">
            <v>2</v>
          </cell>
          <cell r="F389">
            <v>525</v>
          </cell>
          <cell r="G389">
            <v>1050</v>
          </cell>
          <cell r="N389">
            <v>0</v>
          </cell>
        </row>
        <row r="390">
          <cell r="D390" t="str">
            <v>Lineman</v>
          </cell>
          <cell r="E390">
            <v>2</v>
          </cell>
          <cell r="F390">
            <v>525</v>
          </cell>
          <cell r="G390">
            <v>1050</v>
          </cell>
          <cell r="N390">
            <v>0</v>
          </cell>
        </row>
        <row r="391">
          <cell r="D391" t="str">
            <v>Supervisor</v>
          </cell>
          <cell r="E391">
            <v>10</v>
          </cell>
          <cell r="F391">
            <v>780</v>
          </cell>
          <cell r="G391">
            <v>7800</v>
          </cell>
          <cell r="N391">
            <v>0</v>
          </cell>
        </row>
        <row r="392">
          <cell r="A392" t="str">
            <v>26.12a</v>
          </cell>
          <cell r="B392" t="str">
            <v>Stretching ACSR conducter between poles with arms, truss, insulators etc., including line connection all complete.ACSR 0.03 sq.in. (Weasel)</v>
          </cell>
          <cell r="D392" t="str">
            <v>Skilled</v>
          </cell>
          <cell r="E392">
            <v>4.64E-3</v>
          </cell>
          <cell r="F392">
            <v>700</v>
          </cell>
          <cell r="G392">
            <v>3.2480000000000002</v>
          </cell>
          <cell r="M392">
            <v>15.007999999999999</v>
          </cell>
          <cell r="N392">
            <v>0</v>
          </cell>
          <cell r="O392">
            <v>15.007999999999999</v>
          </cell>
        </row>
        <row r="393">
          <cell r="D393" t="str">
            <v>Coolies</v>
          </cell>
          <cell r="E393">
            <v>2.24E-2</v>
          </cell>
          <cell r="F393">
            <v>525</v>
          </cell>
          <cell r="G393">
            <v>11.76</v>
          </cell>
        </row>
        <row r="396">
          <cell r="A396" t="str">
            <v>26.12b</v>
          </cell>
          <cell r="B396" t="str">
            <v>Stretching ACSR conducter between poles with arms, truss, insulators etc., including line connection all complete.ACSR 0.05 sq.in. (Weasel)</v>
          </cell>
          <cell r="D396" t="str">
            <v>Skilled</v>
          </cell>
          <cell r="E396">
            <v>5.5999999999999999E-3</v>
          </cell>
          <cell r="F396">
            <v>700</v>
          </cell>
          <cell r="G396">
            <v>3.92</v>
          </cell>
          <cell r="M396">
            <v>18.62</v>
          </cell>
          <cell r="N396">
            <v>0</v>
          </cell>
          <cell r="O396">
            <v>18.62</v>
          </cell>
        </row>
        <row r="397">
          <cell r="D397" t="str">
            <v>Coolies</v>
          </cell>
          <cell r="E397">
            <v>2.8000000000000001E-2</v>
          </cell>
          <cell r="F397">
            <v>525</v>
          </cell>
          <cell r="G397">
            <v>14.700000000000001</v>
          </cell>
        </row>
        <row r="400">
          <cell r="A400" t="str">
            <v>26.12c</v>
          </cell>
          <cell r="B400" t="str">
            <v>Stretching ACSR conducter between poles with arms, truss, insulators etc., including line connection all complete.ACSR 0.1 sq.in. (Weasel)</v>
          </cell>
          <cell r="D400" t="str">
            <v>Skilled</v>
          </cell>
          <cell r="E400">
            <v>5.5999999999999999E-3</v>
          </cell>
          <cell r="F400">
            <v>700</v>
          </cell>
          <cell r="G400">
            <v>3.92</v>
          </cell>
          <cell r="M400">
            <v>18.62</v>
          </cell>
          <cell r="N400">
            <v>0</v>
          </cell>
          <cell r="O400">
            <v>18.62</v>
          </cell>
        </row>
        <row r="401">
          <cell r="D401" t="str">
            <v>Coolies</v>
          </cell>
          <cell r="E401">
            <v>2.8000000000000001E-2</v>
          </cell>
          <cell r="F401">
            <v>525</v>
          </cell>
          <cell r="G401">
            <v>14.700000000000001</v>
          </cell>
        </row>
        <row r="404">
          <cell r="A404">
            <v>21.1</v>
          </cell>
          <cell r="B404" t="str">
            <v>Formworks for ferrocement works for 1sqm.</v>
          </cell>
          <cell r="D404" t="str">
            <v>Mason</v>
          </cell>
          <cell r="E404">
            <v>0.17</v>
          </cell>
          <cell r="F404">
            <v>700</v>
          </cell>
          <cell r="G404">
            <v>119.00000000000001</v>
          </cell>
          <cell r="H404" t="str">
            <v>Bamboo</v>
          </cell>
          <cell r="I404">
            <v>0.33300000000000002</v>
          </cell>
          <cell r="J404" t="str">
            <v>nos</v>
          </cell>
          <cell r="K404">
            <v>125</v>
          </cell>
          <cell r="L404">
            <v>41.625</v>
          </cell>
          <cell r="M404">
            <v>227.43191899999999</v>
          </cell>
          <cell r="N404">
            <v>41.625</v>
          </cell>
          <cell r="O404">
            <v>228.60931846999998</v>
          </cell>
        </row>
        <row r="405">
          <cell r="D405" t="str">
            <v>Coolies</v>
          </cell>
          <cell r="E405">
            <v>0.11</v>
          </cell>
          <cell r="F405">
            <v>525</v>
          </cell>
          <cell r="G405">
            <v>57.75</v>
          </cell>
          <cell r="H405" t="str">
            <v>Nails</v>
          </cell>
          <cell r="I405">
            <v>1.4E-2</v>
          </cell>
          <cell r="J405" t="str">
            <v>kg</v>
          </cell>
          <cell r="K405">
            <v>101.92700000000001</v>
          </cell>
          <cell r="L405">
            <v>1.4269780000000001</v>
          </cell>
          <cell r="N405">
            <v>1.61248514</v>
          </cell>
        </row>
        <row r="406">
          <cell r="H406" t="str">
            <v>Binding wire</v>
          </cell>
          <cell r="I406">
            <v>8.3000000000000004E-2</v>
          </cell>
          <cell r="J406" t="str">
            <v>kg</v>
          </cell>
          <cell r="K406">
            <v>91.927000000000007</v>
          </cell>
          <cell r="L406">
            <v>7.6299410000000005</v>
          </cell>
          <cell r="N406">
            <v>8.6218333299999994</v>
          </cell>
        </row>
        <row r="408">
          <cell r="A408">
            <v>21.2</v>
          </cell>
          <cell r="B408" t="str">
            <v>Reinforcement for ferrocement work including</v>
          </cell>
          <cell r="D408" t="str">
            <v>Mason</v>
          </cell>
          <cell r="E408">
            <v>0.25</v>
          </cell>
          <cell r="F408">
            <v>700</v>
          </cell>
          <cell r="G408">
            <v>175</v>
          </cell>
          <cell r="H408" t="str">
            <v>Binding wire</v>
          </cell>
          <cell r="I408">
            <v>0.111</v>
          </cell>
          <cell r="J408" t="str">
            <v>kg</v>
          </cell>
          <cell r="K408">
            <v>91.927000000000007</v>
          </cell>
          <cell r="L408">
            <v>10.203897000000001</v>
          </cell>
          <cell r="M408">
            <v>873.0267462600001</v>
          </cell>
          <cell r="N408">
            <v>11.53040361</v>
          </cell>
          <cell r="O408">
            <v>958.10547327380004</v>
          </cell>
        </row>
        <row r="409">
          <cell r="B409" t="str">
            <v>chickenwire mesh M.S. Rods GI wire</v>
          </cell>
          <cell r="D409" t="str">
            <v>Coolies</v>
          </cell>
          <cell r="E409">
            <v>8.3000000000000004E-2</v>
          </cell>
          <cell r="F409">
            <v>525</v>
          </cell>
          <cell r="G409">
            <v>43.575000000000003</v>
          </cell>
          <cell r="H409" t="str">
            <v>Steel bar</v>
          </cell>
          <cell r="I409">
            <v>2.593</v>
          </cell>
          <cell r="J409" t="str">
            <v>kg</v>
          </cell>
          <cell r="K409">
            <v>75.357820000000004</v>
          </cell>
          <cell r="L409">
            <v>195.40282726000001</v>
          </cell>
          <cell r="N409">
            <v>220.80519480379999</v>
          </cell>
        </row>
        <row r="410">
          <cell r="H410" t="str">
            <v>Chiken wire</v>
          </cell>
          <cell r="I410">
            <v>1.806</v>
          </cell>
          <cell r="J410" t="str">
            <v>sqm</v>
          </cell>
          <cell r="K410">
            <v>145.96350000000001</v>
          </cell>
          <cell r="L410">
            <v>263.61008100000004</v>
          </cell>
          <cell r="N410">
            <v>297.87939153000002</v>
          </cell>
        </row>
        <row r="411">
          <cell r="H411" t="str">
            <v>GI Plain wire, 9swg</v>
          </cell>
          <cell r="I411">
            <v>2.0830000000000002</v>
          </cell>
          <cell r="J411" t="str">
            <v>kg</v>
          </cell>
          <cell r="K411">
            <v>88.927000000000007</v>
          </cell>
          <cell r="L411">
            <v>185.23494100000002</v>
          </cell>
          <cell r="N411">
            <v>209.31548333000001</v>
          </cell>
        </row>
        <row r="412">
          <cell r="A412">
            <v>24.3</v>
          </cell>
          <cell r="B412" t="str">
            <v>Preparation &amp; fixing of iron gate, including</v>
          </cell>
          <cell r="D412" t="str">
            <v>Mason</v>
          </cell>
          <cell r="E412">
            <v>0.25</v>
          </cell>
          <cell r="F412">
            <v>700</v>
          </cell>
          <cell r="G412">
            <v>175</v>
          </cell>
          <cell r="H412" t="str">
            <v>Binding wire</v>
          </cell>
          <cell r="I412">
            <v>0.111</v>
          </cell>
          <cell r="J412" t="str">
            <v>kg</v>
          </cell>
          <cell r="K412">
            <v>91.927000000000007</v>
          </cell>
          <cell r="L412">
            <v>10.203897000000001</v>
          </cell>
          <cell r="M412">
            <v>185.20389700000001</v>
          </cell>
          <cell r="N412">
            <v>11.53040361</v>
          </cell>
          <cell r="O412">
            <v>186.53040361000001</v>
          </cell>
        </row>
        <row r="413">
          <cell r="B413" t="str">
            <v>painting and labor cost for  1sqm.</v>
          </cell>
        </row>
        <row r="415">
          <cell r="A415">
            <v>24.7</v>
          </cell>
          <cell r="B415" t="str">
            <v>Barbed wire fencing work for 1m</v>
          </cell>
          <cell r="D415" t="str">
            <v>Mason</v>
          </cell>
          <cell r="E415">
            <v>1.0800000000000001E-2</v>
          </cell>
          <cell r="F415">
            <v>700</v>
          </cell>
          <cell r="G415">
            <v>7.5600000000000005</v>
          </cell>
          <cell r="H415" t="str">
            <v>Barbed wire</v>
          </cell>
          <cell r="I415">
            <v>0.18370000000000003</v>
          </cell>
          <cell r="J415" t="str">
            <v>kg</v>
          </cell>
          <cell r="K415">
            <v>93.357820000000004</v>
          </cell>
          <cell r="L415">
            <v>17.149831534000004</v>
          </cell>
          <cell r="M415">
            <v>54.954831534000007</v>
          </cell>
          <cell r="N415">
            <v>19.379309633420004</v>
          </cell>
          <cell r="O415">
            <v>57.444309633419998</v>
          </cell>
        </row>
        <row r="416">
          <cell r="B416" t="str">
            <v>fencing length</v>
          </cell>
          <cell r="D416" t="str">
            <v>Labour</v>
          </cell>
          <cell r="E416">
            <v>5.3800000000000001E-2</v>
          </cell>
          <cell r="F416">
            <v>525</v>
          </cell>
          <cell r="G416">
            <v>28.245000000000001</v>
          </cell>
          <cell r="H416" t="str">
            <v>u-hook</v>
          </cell>
          <cell r="I416">
            <v>0.66666666666666663</v>
          </cell>
          <cell r="J416" t="str">
            <v>no</v>
          </cell>
          <cell r="K416">
            <v>3</v>
          </cell>
          <cell r="L416">
            <v>2</v>
          </cell>
          <cell r="N416">
            <v>2.2599999999999998</v>
          </cell>
        </row>
        <row r="417">
          <cell r="B417" t="str">
            <v>( Poles and Gates estimated seperately )</v>
          </cell>
        </row>
        <row r="419">
          <cell r="A419" t="str">
            <v>WP ladder</v>
          </cell>
          <cell r="B419" t="str">
            <v>Welded Plate Ladder, 2.5 m long</v>
          </cell>
          <cell r="M419">
            <v>2500</v>
          </cell>
          <cell r="N419">
            <v>0</v>
          </cell>
          <cell r="O419">
            <v>2500</v>
          </cell>
        </row>
        <row r="420">
          <cell r="A420" t="str">
            <v>Anc Bolt</v>
          </cell>
          <cell r="B420" t="str">
            <v>Anchor Bolt, dia. 30mm for Wooden Truss</v>
          </cell>
          <cell r="M420">
            <v>150</v>
          </cell>
          <cell r="N420">
            <v>0</v>
          </cell>
          <cell r="O420">
            <v>150</v>
          </cell>
        </row>
        <row r="421">
          <cell r="A421" t="str">
            <v>MS Plate</v>
          </cell>
          <cell r="B421" t="str">
            <v>Mild Steel cover plate(360x280x3) mm</v>
          </cell>
          <cell r="M421">
            <v>142.43040000000002</v>
          </cell>
          <cell r="N421">
            <v>0</v>
          </cell>
          <cell r="O421">
            <v>142.43040000000002</v>
          </cell>
        </row>
        <row r="422">
          <cell r="A422" t="str">
            <v>MS Strap</v>
          </cell>
          <cell r="B422" t="str">
            <v>Mild Steel strap(52mmx6mm)</v>
          </cell>
          <cell r="M422">
            <v>60</v>
          </cell>
          <cell r="N422">
            <v>0</v>
          </cell>
          <cell r="O422">
            <v>60</v>
          </cell>
        </row>
        <row r="423">
          <cell r="A423" t="str">
            <v>NtBt</v>
          </cell>
          <cell r="B423" t="str">
            <v>Nuts &amp; bolts 20 mm dia.</v>
          </cell>
          <cell r="M423">
            <v>10</v>
          </cell>
          <cell r="N423">
            <v>0</v>
          </cell>
          <cell r="O423">
            <v>10</v>
          </cell>
        </row>
        <row r="474">
          <cell r="A474" t="str">
            <v>Do not enter new Norm items below this row!</v>
          </cell>
        </row>
        <row r="476">
          <cell r="A476" t="str">
            <v>Rates for Installation and Site Clearance Works for Various Structures</v>
          </cell>
        </row>
        <row r="477">
          <cell r="A477" t="str">
            <v>Norms</v>
          </cell>
          <cell r="B477" t="str">
            <v>Description</v>
          </cell>
          <cell r="D477" t="str">
            <v>Pipe Fitting Installation Charge</v>
          </cell>
          <cell r="F477" t="str">
            <v>Site Clearance</v>
          </cell>
        </row>
        <row r="478">
          <cell r="A478" t="str">
            <v>FRT-1</v>
          </cell>
          <cell r="B478" t="str">
            <v>Ferrocement RT</v>
          </cell>
          <cell r="E478">
            <v>1000</v>
          </cell>
          <cell r="G478">
            <v>500</v>
          </cell>
        </row>
        <row r="479">
          <cell r="A479" t="str">
            <v>FRT-2</v>
          </cell>
          <cell r="E479">
            <v>1000</v>
          </cell>
          <cell r="G479">
            <v>500</v>
          </cell>
        </row>
        <row r="480">
          <cell r="A480" t="str">
            <v>FRT-3</v>
          </cell>
          <cell r="E480">
            <v>1000</v>
          </cell>
          <cell r="G480">
            <v>500</v>
          </cell>
        </row>
        <row r="481">
          <cell r="A481" t="str">
            <v>FRT-4</v>
          </cell>
          <cell r="E481">
            <v>1000</v>
          </cell>
          <cell r="G481">
            <v>500</v>
          </cell>
        </row>
        <row r="482">
          <cell r="A482" t="str">
            <v>FRT-5</v>
          </cell>
          <cell r="E482">
            <v>1000</v>
          </cell>
          <cell r="G482">
            <v>500</v>
          </cell>
        </row>
        <row r="483">
          <cell r="A483" t="str">
            <v>FRT-6</v>
          </cell>
          <cell r="E483">
            <v>1300</v>
          </cell>
          <cell r="G483">
            <v>500</v>
          </cell>
        </row>
        <row r="484">
          <cell r="A484" t="str">
            <v>FRT-7</v>
          </cell>
          <cell r="E484">
            <v>1300</v>
          </cell>
          <cell r="G484">
            <v>600</v>
          </cell>
        </row>
        <row r="485">
          <cell r="A485" t="str">
            <v>FRT-8</v>
          </cell>
          <cell r="E485">
            <v>1300</v>
          </cell>
          <cell r="G485">
            <v>600</v>
          </cell>
        </row>
        <row r="486">
          <cell r="A486" t="str">
            <v>FRT-9</v>
          </cell>
          <cell r="E486">
            <v>1300</v>
          </cell>
          <cell r="G486">
            <v>600</v>
          </cell>
        </row>
        <row r="487">
          <cell r="A487" t="str">
            <v>FRT-10</v>
          </cell>
          <cell r="E487">
            <v>1600</v>
          </cell>
          <cell r="G487">
            <v>600</v>
          </cell>
        </row>
        <row r="488">
          <cell r="A488" t="str">
            <v>FRT-12</v>
          </cell>
          <cell r="E488">
            <v>1600</v>
          </cell>
          <cell r="G488">
            <v>600</v>
          </cell>
        </row>
      </sheetData>
      <sheetData sheetId="50" refreshError="1"/>
      <sheetData sheetId="51" refreshError="1"/>
      <sheetData sheetId="52" refreshError="1">
        <row r="27">
          <cell r="U27">
            <v>98.734300000000005</v>
          </cell>
        </row>
        <row r="28">
          <cell r="U28">
            <v>176657.22</v>
          </cell>
        </row>
        <row r="34">
          <cell r="U34">
            <v>93.357820000000004</v>
          </cell>
        </row>
        <row r="35">
          <cell r="U35">
            <v>80.357820000000004</v>
          </cell>
        </row>
        <row r="37">
          <cell r="U37">
            <v>8212.7630399999998</v>
          </cell>
        </row>
        <row r="38">
          <cell r="U38">
            <v>300.800996</v>
          </cell>
        </row>
        <row r="39">
          <cell r="U39">
            <v>3028.2938399999998</v>
          </cell>
        </row>
        <row r="54">
          <cell r="U54">
            <v>5747.2000000000007</v>
          </cell>
        </row>
        <row r="55">
          <cell r="U55">
            <v>5847.2000000000007</v>
          </cell>
        </row>
        <row r="56">
          <cell r="U56">
            <v>5847.2000000000007</v>
          </cell>
        </row>
        <row r="58">
          <cell r="U58">
            <v>99010</v>
          </cell>
        </row>
        <row r="59">
          <cell r="U59">
            <v>49347</v>
          </cell>
        </row>
        <row r="60">
          <cell r="U60">
            <v>125</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ro."/>
      <sheetName val="PipeDesign"/>
      <sheetName val="Salint-Feartures."/>
      <sheetName val="GON"/>
      <sheetName val="SUMM (2)"/>
      <sheetName val="SUMM Final"/>
      <sheetName val="SUMM"/>
      <sheetName val="VIP2"/>
      <sheetName val="Undercrs"/>
      <sheetName val="Cablecrs 30m"/>
      <sheetName val="CCDCIC"/>
      <sheetName val="Rate Analysis"/>
      <sheetName val="PSP II"/>
      <sheetName val="Valve"/>
      <sheetName val="Sheet2"/>
      <sheetName val="St-III"/>
      <sheetName val="St-II"/>
      <sheetName val="Sp II-A"/>
      <sheetName val="Sp I-A"/>
      <sheetName val="MaterialsRate"/>
      <sheetName val="Transport"/>
      <sheetName val="Dist Rates"/>
      <sheetName val="pipelaying"/>
      <sheetName val="pipecost"/>
      <sheetName val="FRT 1"/>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refreshError="1"/>
      <sheetData sheetId="14"/>
      <sheetData sheetId="15"/>
      <sheetData sheetId="16"/>
      <sheetData sheetId="17"/>
      <sheetData sheetId="18"/>
      <sheetData sheetId="19"/>
      <sheetData sheetId="20"/>
      <sheetData sheetId="21"/>
      <sheetData sheetId="22"/>
      <sheetData sheetId="23"/>
      <sheetData sheetId="24" refreshError="1">
        <row r="7">
          <cell r="F7">
            <v>1</v>
          </cell>
        </row>
        <row r="253">
          <cell r="F253">
            <v>6</v>
          </cell>
        </row>
        <row r="335">
          <cell r="F335">
            <v>7</v>
          </cell>
        </row>
        <row r="417">
          <cell r="F417">
            <v>10</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LTS Budget Summary"/>
      <sheetName val="Intake Repairs"/>
      <sheetName val="Panera"/>
      <sheetName val="repairs of structures"/>
      <sheetName val="RT Repair"/>
      <sheetName val="SprInt1"/>
      <sheetName val="SprInt2"/>
      <sheetName val="Compound"/>
      <sheetName val="Pump House"/>
      <sheetName val="Sumpwell"/>
      <sheetName val="ElectroMech"/>
      <sheetName val="StrInt1"/>
      <sheetName val="StrInt2"/>
      <sheetName val="StrInt3"/>
      <sheetName val="Electrome"/>
      <sheetName val="Sump well (Tansen)"/>
      <sheetName val="Masonry CC,DC,IC,BPT"/>
      <sheetName val="SedTank"/>
      <sheetName val="ConCh"/>
      <sheetName val="FER-SED"/>
      <sheetName val="MRT"/>
      <sheetName val="FRT"/>
      <sheetName val="RCT"/>
      <sheetName val="BarSchedule"/>
      <sheetName val="Sheets"/>
      <sheetName val="Fence"/>
      <sheetName val="RCC VC"/>
      <sheetName val="Trainings work"/>
      <sheetName val="Rcc CC,DC,IC,BPC"/>
      <sheetName val="PBPC"/>
      <sheetName val="VCs"/>
      <sheetName val="Cabl-Cross"/>
      <sheetName val="UnderCros"/>
      <sheetName val="Piprot"/>
      <sheetName val="Miscel"/>
      <sheetName val="HouseConection"/>
      <sheetName val="PSP1"/>
      <sheetName val="Operator House"/>
      <sheetName val="PSP2"/>
      <sheetName val="MRT-1"/>
      <sheetName val="PSP V"/>
      <sheetName val="VIP1"/>
      <sheetName val="VIP2"/>
      <sheetName val="VIP3"/>
      <sheetName val="DP Lat"/>
      <sheetName val="House connection"/>
      <sheetName val="Pipe supporter"/>
      <sheetName val="RtAn"/>
      <sheetName val="Rtna2"/>
      <sheetName val="For filter media"/>
      <sheetName val="MatCol"/>
      <sheetName val="Sump well"/>
      <sheetName val="Guard and pump house"/>
      <sheetName val="pipe cost"/>
      <sheetName val="Summary of Cost_TS"/>
      <sheetName val="BOQ Treatment plant"/>
      <sheetName val="Casing pipe"/>
      <sheetName val="Purcurement of pipe DL"/>
      <sheetName val="LnJ DL Sch2"/>
      <sheetName val="LnJ DL Sch4"/>
      <sheetName val="LnJ DL Sch5"/>
      <sheetName val="Summary DL"/>
      <sheetName val="Salient feature"/>
      <sheetName val="Salient feature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ow r="87">
          <cell r="K87">
            <v>129874.2991954513</v>
          </cell>
        </row>
        <row r="169">
          <cell r="K169">
            <v>165223.81137924854</v>
          </cell>
        </row>
        <row r="333">
          <cell r="K333">
            <v>199249.73996588317</v>
          </cell>
        </row>
      </sheetData>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update Rate"/>
      <sheetName val="Update Descrip"/>
      <sheetName val="Table of Content 1"/>
      <sheetName val="Table of Content 2"/>
    </sheetNames>
    <sheetDataSet>
      <sheetData sheetId="0"/>
      <sheetData sheetId="1"/>
      <sheetData sheetId="2">
        <row r="6">
          <cell r="E6">
            <v>400</v>
          </cell>
        </row>
        <row r="41">
          <cell r="E41">
            <v>4140</v>
          </cell>
        </row>
        <row r="43">
          <cell r="E43">
            <v>556.83000000000004</v>
          </cell>
        </row>
        <row r="45">
          <cell r="E45">
            <v>60081.75</v>
          </cell>
        </row>
        <row r="49">
          <cell r="E49">
            <v>83.83</v>
          </cell>
        </row>
        <row r="50">
          <cell r="E50">
            <v>98.320000000000007</v>
          </cell>
        </row>
        <row r="53">
          <cell r="E53">
            <v>63955.23</v>
          </cell>
        </row>
        <row r="55">
          <cell r="E55">
            <v>32891.26</v>
          </cell>
        </row>
        <row r="56">
          <cell r="E56">
            <v>69437.11</v>
          </cell>
        </row>
        <row r="57">
          <cell r="E57">
            <v>822.28</v>
          </cell>
        </row>
        <row r="58">
          <cell r="E58">
            <v>41.4</v>
          </cell>
        </row>
        <row r="61">
          <cell r="E61">
            <v>12.56</v>
          </cell>
        </row>
        <row r="62">
          <cell r="E62">
            <v>25.87</v>
          </cell>
        </row>
        <row r="63">
          <cell r="E63">
            <v>13.450000000000001</v>
          </cell>
        </row>
        <row r="64">
          <cell r="E64">
            <v>36.22</v>
          </cell>
        </row>
        <row r="65">
          <cell r="E65">
            <v>49.68</v>
          </cell>
        </row>
        <row r="66">
          <cell r="E66">
            <v>77.62</v>
          </cell>
        </row>
        <row r="67">
          <cell r="E67">
            <v>227.70000000000002</v>
          </cell>
        </row>
        <row r="68">
          <cell r="E68">
            <v>439.87</v>
          </cell>
        </row>
        <row r="69">
          <cell r="E69">
            <v>172.61</v>
          </cell>
        </row>
        <row r="70">
          <cell r="E70">
            <v>300.68</v>
          </cell>
        </row>
        <row r="80">
          <cell r="E80">
            <v>556.83000000000004</v>
          </cell>
        </row>
        <row r="84">
          <cell r="E84">
            <v>400.91</v>
          </cell>
        </row>
        <row r="85">
          <cell r="E85">
            <v>512.28</v>
          </cell>
        </row>
        <row r="86">
          <cell r="E86">
            <v>701.6</v>
          </cell>
        </row>
        <row r="87">
          <cell r="E87">
            <v>868.65</v>
          </cell>
        </row>
        <row r="89">
          <cell r="E89">
            <v>26.91</v>
          </cell>
        </row>
        <row r="90">
          <cell r="E90">
            <v>60.03</v>
          </cell>
        </row>
        <row r="91">
          <cell r="E91">
            <v>60.03</v>
          </cell>
        </row>
        <row r="92">
          <cell r="E92">
            <v>404.23</v>
          </cell>
        </row>
        <row r="94">
          <cell r="E94">
            <v>335.74</v>
          </cell>
        </row>
        <row r="97">
          <cell r="E97">
            <v>336.93</v>
          </cell>
        </row>
        <row r="172">
          <cell r="E172">
            <v>12.56</v>
          </cell>
        </row>
        <row r="173">
          <cell r="E173">
            <v>12.56</v>
          </cell>
        </row>
      </sheetData>
      <sheetData sheetId="3">
        <row r="7">
          <cell r="F7">
            <v>275</v>
          </cell>
        </row>
        <row r="20">
          <cell r="F20">
            <v>275</v>
          </cell>
        </row>
        <row r="32">
          <cell r="F32">
            <v>275</v>
          </cell>
        </row>
        <row r="43">
          <cell r="F43">
            <v>275</v>
          </cell>
        </row>
        <row r="56">
          <cell r="F56">
            <v>275</v>
          </cell>
        </row>
        <row r="68">
          <cell r="F68">
            <v>275</v>
          </cell>
        </row>
        <row r="79">
          <cell r="F79">
            <v>275</v>
          </cell>
        </row>
        <row r="91">
          <cell r="F91">
            <v>275</v>
          </cell>
        </row>
        <row r="103">
          <cell r="F103">
            <v>275</v>
          </cell>
        </row>
        <row r="114">
          <cell r="F114">
            <v>275</v>
          </cell>
        </row>
      </sheetData>
      <sheetData sheetId="4"/>
      <sheetData sheetId="5"/>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s>
    <sheetDataSet>
      <sheetData sheetId="0"/>
      <sheetData sheetId="1"/>
      <sheetData sheetId="2">
        <row r="38">
          <cell r="C38">
            <v>63</v>
          </cell>
        </row>
      </sheetData>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sic"/>
      <sheetName val="Dist Rate"/>
      <sheetName val="update Rate"/>
      <sheetName val="Update Descrip"/>
      <sheetName val="Table of Content 1"/>
      <sheetName val="Table of Content 2"/>
    </sheetNames>
    <sheetDataSet>
      <sheetData sheetId="0"/>
      <sheetData sheetId="1"/>
      <sheetData sheetId="2">
        <row r="6">
          <cell r="E6">
            <v>400</v>
          </cell>
        </row>
        <row r="41">
          <cell r="E41">
            <v>4140</v>
          </cell>
        </row>
        <row r="43">
          <cell r="E43">
            <v>556.83000000000004</v>
          </cell>
        </row>
        <row r="45">
          <cell r="E45">
            <v>60081.75</v>
          </cell>
        </row>
        <row r="49">
          <cell r="E49">
            <v>83.83</v>
          </cell>
        </row>
        <row r="50">
          <cell r="E50">
            <v>98.320000000000007</v>
          </cell>
        </row>
        <row r="53">
          <cell r="E53">
            <v>63955.23</v>
          </cell>
        </row>
        <row r="55">
          <cell r="E55">
            <v>32891.26</v>
          </cell>
        </row>
        <row r="56">
          <cell r="E56">
            <v>69437.11</v>
          </cell>
        </row>
        <row r="57">
          <cell r="E57">
            <v>822.28</v>
          </cell>
        </row>
        <row r="58">
          <cell r="E58">
            <v>41.4</v>
          </cell>
        </row>
        <row r="61">
          <cell r="E61">
            <v>12.56</v>
          </cell>
        </row>
        <row r="62">
          <cell r="E62">
            <v>25.87</v>
          </cell>
        </row>
        <row r="63">
          <cell r="E63">
            <v>13.450000000000001</v>
          </cell>
        </row>
        <row r="64">
          <cell r="E64">
            <v>36.22</v>
          </cell>
        </row>
        <row r="65">
          <cell r="E65">
            <v>49.68</v>
          </cell>
        </row>
        <row r="66">
          <cell r="E66">
            <v>77.62</v>
          </cell>
        </row>
        <row r="67">
          <cell r="E67">
            <v>227.70000000000002</v>
          </cell>
        </row>
        <row r="68">
          <cell r="E68">
            <v>439.87</v>
          </cell>
        </row>
        <row r="69">
          <cell r="E69">
            <v>172.61</v>
          </cell>
        </row>
        <row r="70">
          <cell r="E70">
            <v>300.68</v>
          </cell>
        </row>
        <row r="80">
          <cell r="E80">
            <v>556.83000000000004</v>
          </cell>
        </row>
        <row r="84">
          <cell r="E84">
            <v>400.91</v>
          </cell>
        </row>
        <row r="85">
          <cell r="E85">
            <v>512.28</v>
          </cell>
        </row>
        <row r="86">
          <cell r="E86">
            <v>701.6</v>
          </cell>
        </row>
        <row r="87">
          <cell r="E87">
            <v>868.65</v>
          </cell>
        </row>
        <row r="89">
          <cell r="E89">
            <v>26.91</v>
          </cell>
        </row>
        <row r="90">
          <cell r="E90">
            <v>60.03</v>
          </cell>
        </row>
        <row r="91">
          <cell r="E91">
            <v>60.03</v>
          </cell>
        </row>
        <row r="92">
          <cell r="E92">
            <v>404.23</v>
          </cell>
        </row>
        <row r="94">
          <cell r="E94">
            <v>335.74</v>
          </cell>
        </row>
        <row r="97">
          <cell r="E97">
            <v>336.93</v>
          </cell>
        </row>
        <row r="172">
          <cell r="E172">
            <v>12.56</v>
          </cell>
        </row>
        <row r="173">
          <cell r="E173">
            <v>12.56</v>
          </cell>
        </row>
      </sheetData>
      <sheetData sheetId="3">
        <row r="7">
          <cell r="F7">
            <v>275</v>
          </cell>
        </row>
        <row r="20">
          <cell r="F20">
            <v>275</v>
          </cell>
        </row>
        <row r="32">
          <cell r="F32">
            <v>275</v>
          </cell>
        </row>
        <row r="43">
          <cell r="F43">
            <v>275</v>
          </cell>
        </row>
        <row r="56">
          <cell r="F56">
            <v>275</v>
          </cell>
        </row>
        <row r="68">
          <cell r="F68">
            <v>275</v>
          </cell>
        </row>
        <row r="79">
          <cell r="F79">
            <v>275</v>
          </cell>
        </row>
        <row r="91">
          <cell r="F91">
            <v>275</v>
          </cell>
        </row>
        <row r="103">
          <cell r="F103">
            <v>275</v>
          </cell>
        </row>
        <row r="114">
          <cell r="F114">
            <v>275</v>
          </cell>
        </row>
      </sheetData>
      <sheetData sheetId="4"/>
      <sheetData sheetId="5"/>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ate-cvl"/>
    </sheetNames>
    <sheetDataSet>
      <sheetData sheetId="0"/>
      <sheetData sheetId="1" refreshError="1"/>
      <sheetData sheetId="2" refreshError="1"/>
      <sheetData sheetId="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plj"/>
      <sheetName val="pipe laying &amp; joining"/>
      <sheetName val="qntty pipes"/>
      <sheetName val="costpl (2)"/>
      <sheetName val="pipe laying"/>
      <sheetName val="costpipes"/>
      <sheetName val="Banepa District Rate"/>
      <sheetName val="Equipment rate "/>
      <sheetName val="Transportation"/>
      <sheetName val="summary pipe"/>
      <sheetName val="summary"/>
      <sheetName val="cost site dev "/>
      <sheetName val="Qnt site dev"/>
      <sheetName val="cost g house"/>
      <sheetName val="Qnt  guard house "/>
      <sheetName val="Reservoir Qty"/>
      <sheetName val="T WT600 m3"/>
      <sheetName val="Reservoir B 100m3"/>
      <sheetName val="Rate Analysis - Banepa"/>
      <sheetName val="Reservoir(500m3)"/>
      <sheetName val="Cost of TWT 600"/>
      <sheetName val="Cost of Reservoir A 350m3"/>
      <sheetName val="Cost Res. 100 "/>
      <sheetName val="Reservoir C 20m3"/>
      <sheetName val="TWT 20"/>
      <sheetName val="TWT 10"/>
      <sheetName val="Operator House Est."/>
      <sheetName val="Operator House Cost "/>
      <sheetName val="Guard Est."/>
      <sheetName val="Guard Cost."/>
      <sheetName val="Office Quantity"/>
      <sheetName val="Office Cost"/>
      <sheetName val="Store lab"/>
      <sheetName val="Cost Store Lab"/>
      <sheetName val="Bulk meter  Sluice V. Chamber"/>
      <sheetName val="Cost Bulk meter S, V, chamber"/>
      <sheetName val="Gate air Valve"/>
      <sheetName val="Cost Gate Air Valve"/>
      <sheetName val="Gate Valve II"/>
      <sheetName val="Cost Gate Valve II"/>
      <sheetName val="Public Tap"/>
      <sheetName val="Cost Public Tap"/>
      <sheetName val="Connection Chamber"/>
      <sheetName val="Cost Connection Chamber"/>
      <sheetName val="BPT Quantity"/>
      <sheetName val="Cost BPT"/>
      <sheetName val="house connection"/>
      <sheetName val="Cost of House Connection"/>
      <sheetName val="Pipe  Cost"/>
      <sheetName val="Cost of road crossing"/>
      <sheetName val="Pumps Cost"/>
      <sheetName val="Septic Tank Cost"/>
      <sheetName val="Soak Pit Cost"/>
      <sheetName val="site dev Qntty"/>
      <sheetName val="cost site"/>
      <sheetName val="costpl"/>
      <sheetName val="Qnntty T&amp;P"/>
      <sheetName val="costt&amp;p"/>
      <sheetName val="Qntty elect"/>
      <sheetName val="Cost elect"/>
      <sheetName val="qntty treat"/>
      <sheetName val="cost treatment"/>
      <sheetName val="Basic Rates"/>
      <sheetName val="Rate analysis "/>
      <sheetName val="rateana-sani"/>
      <sheetName val="update Rate"/>
      <sheetName val="Update Descrip"/>
      <sheetName val="Table of Content"/>
      <sheetName val="Update Descrip (Final)"/>
      <sheetName val="Sheet1"/>
      <sheetName val="Sheet2"/>
      <sheetName val="Sheet3"/>
      <sheetName val="rate-cvl"/>
      <sheetName val="Salient"/>
      <sheetName val="1 Summary of cost"/>
      <sheetName val="2 Abs Cost"/>
      <sheetName val="3 Sum Qty."/>
      <sheetName val="4 Sum Rate"/>
      <sheetName val="23 RA"/>
      <sheetName val="5 EW Qty"/>
      <sheetName val="6 Subbase"/>
      <sheetName val="7 Pavement"/>
      <sheetName val="8 High grade section"/>
      <sheetName val="9 Hump Location"/>
      <sheetName val="10 clvt mtx"/>
      <sheetName val="11 Strumtx"/>
      <sheetName val="12 drnmtx"/>
      <sheetName val="13 Dry Wall"/>
      <sheetName val="14 GW"/>
      <sheetName val="15 MW"/>
      <sheetName val="16 Drain"/>
      <sheetName val="17 clvt1"/>
      <sheetName val="18 clvt2"/>
      <sheetName val="19 clvt3"/>
      <sheetName val="20 casway"/>
      <sheetName val="21 Road Paint"/>
      <sheetName val="22 Miscellaneous"/>
      <sheetName val="bio-rate"/>
      <sheetName val=" 24 kaski D.Rate"/>
      <sheetName val="Qnty"/>
      <sheetName val="Qty"/>
      <sheetName val="Turfing"/>
      <sheetName val="25 Ew machine"/>
      <sheetName val="26 Unit rate at site"/>
      <sheetName val="27 Transportation rate"/>
      <sheetName val="Collect"/>
      <sheetName val="Analysis"/>
      <sheetName val="Quantity "/>
      <sheetName val="Ew machine (2)"/>
      <sheetName val="Clxn &amp; Tran."/>
      <sheetName val="transpt"/>
      <sheetName val="calculation sheet"/>
      <sheetName val="transp data"/>
      <sheetName val="Final Sum.Rates"/>
      <sheetName val="Summary (Checklist)"/>
      <sheetName val="gabion &amp; ex"/>
      <sheetName val="clvt2b"/>
      <sheetName val="Cost 60 type 2"/>
      <sheetName val="Bio"/>
      <sheetName val="EMP quantiy sheet"/>
      <sheetName val="EMP  sheet"/>
      <sheetName val="bio-rate "/>
      <sheetName val="AOC EMP"/>
      <sheetName val="Carriage &gt;50m"/>
      <sheetName val="Summary of Rates-A"/>
      <sheetName val="Soil Disposal (2)"/>
      <sheetName val="DR"/>
      <sheetName val="Details Cost"/>
      <sheetName val="Summary cost"/>
      <sheetName val="BOQ"/>
      <sheetName val="Summary "/>
      <sheetName val="Sch1a"/>
      <sheetName val="Sch1b"/>
      <sheetName val="Sch2a"/>
      <sheetName val="Sch2b"/>
      <sheetName val="Sch3"/>
      <sheetName val="Sch4"/>
      <sheetName val="Sch5"/>
      <sheetName val="Sch6a"/>
      <sheetName val="Sch6b"/>
      <sheetName val="Sch7"/>
      <sheetName val="Abst II."/>
      <sheetName val="Qtr. Break"/>
      <sheetName val="BoQ1"/>
      <sheetName val="EW"/>
      <sheetName val="Ew Str"/>
      <sheetName val="EWdrain"/>
      <sheetName val="Soil Disposal"/>
      <sheetName val="Laybye"/>
      <sheetName val="Drain"/>
      <sheetName val="DW"/>
      <sheetName val="GW"/>
      <sheetName val="Geo-Tex"/>
      <sheetName val="Pavement"/>
      <sheetName val="Road Sign"/>
      <sheetName val="Irr. Crossing"/>
      <sheetName val="Hume Pipe"/>
      <sheetName val="Est. of Causeway"/>
      <sheetName val="Causeway final"/>
      <sheetName val="EW of Causeway str."/>
      <sheetName val="Rein (SC)"/>
      <sheetName val="Slab Culvert"/>
      <sheetName val="Basic"/>
      <sheetName val="Dist Rate"/>
      <sheetName val="Table of Content 1"/>
      <sheetName val="Table of Content 2"/>
      <sheetName val="Quantity_estimate"/>
      <sheetName val="Summary of cost"/>
      <sheetName val="Abst-final"/>
      <sheetName val="ABS"/>
      <sheetName val="Abst of Cost"/>
      <sheetName val="SOR"/>
      <sheetName val="Summary of rates"/>
      <sheetName val="EST"/>
      <sheetName val="est_Anpu"/>
      <sheetName val="Q_road"/>
      <sheetName val="BarBending"/>
      <sheetName val="RA"/>
      <sheetName val="Rate Analysis"/>
      <sheetName val="Basic Rate"/>
      <sheetName val="District Rate"/>
      <sheetName val="Collection"/>
      <sheetName val="Sumry"/>
      <sheetName val="Cost"/>
      <sheetName val="Stru Mesonry Ret."/>
      <sheetName val="E-W Qty Structure"/>
      <sheetName val="Stru Gabion Ret."/>
      <sheetName val="E-W Qty Road way"/>
      <sheetName val="x drainage detail"/>
      <sheetName val="Rates"/>
      <sheetName val="Mat. collection"/>
      <sheetName val="Quantity Causeway"/>
      <sheetName val="Abstract Causeway"/>
      <sheetName val="RCC causeway"/>
      <sheetName val="Abstract of RCC causeway"/>
      <sheetName val="Slab Culvert 3m"/>
      <sheetName val="Salb Culvert6m span"/>
      <sheetName val="Abstract of Slab culvert"/>
      <sheetName val="Pipe Culvert"/>
      <sheetName val="Abstract of Pipe Culvert"/>
      <sheetName val="4aoc"/>
      <sheetName val="4summary"/>
      <sheetName val="4boq"/>
      <sheetName val="aoc"/>
      <sheetName val="Stru Dry Stone Wall"/>
      <sheetName val="rate"/>
      <sheetName val="Clxn &amp; Trans."/>
      <sheetName val="Sum"/>
      <sheetName val="Break"/>
      <sheetName val="Abs of Cost"/>
      <sheetName val="EWS"/>
      <sheetName val="Pav"/>
      <sheetName val="6m span SC"/>
      <sheetName val="6m span rein"/>
      <sheetName val="Rein. detail of bridge"/>
      <sheetName val="Sign"/>
      <sheetName val="8m span lapse khola"/>
      <sheetName val="rein detail of lapse"/>
      <sheetName val="Sum Qty."/>
      <sheetName val="Sum Rate"/>
      <sheetName val="Bio- turfing"/>
      <sheetName val="Smry_Qty"/>
      <sheetName val="Drain Quantity-masonry"/>
      <sheetName val="Masonry Wall"/>
      <sheetName val="gabion"/>
      <sheetName val="concrete causeway "/>
      <sheetName val="concrete pavement"/>
      <sheetName val="PC-60"/>
      <sheetName val="PC-30"/>
      <sheetName val="Turffing"/>
      <sheetName val="annex "/>
      <sheetName val="Bioengineering plan "/>
      <sheetName val="INSTRUCTIONS"/>
      <sheetName val="INPUT"/>
      <sheetName val="abs1"/>
      <sheetName val="temp"/>
      <sheetName val="summary (2)"/>
      <sheetName val="abs final"/>
      <sheetName val="est_qt"/>
      <sheetName val="Qty app summary"/>
      <sheetName val="EW app qty"/>
      <sheetName val="Bar Bending"/>
      <sheetName val="transportation kk"/>
      <sheetName val="Cover"/>
      <sheetName val="Cost_Estimate"/>
      <sheetName val="Basic Rare"/>
      <sheetName val="Qty. sep tank (15 users)"/>
      <sheetName val="SummaryCost"/>
      <sheetName val="Final-BoQ (Aanandaban)"/>
      <sheetName val="TubewellEstimate Revised"/>
      <sheetName val="BOQ (Working File)"/>
      <sheetName val="BOQ-E&amp;M Works"/>
      <sheetName val="BOQ- Pumps, Tools &amp; Plants"/>
      <sheetName val="BOQ- Pipe and Fittings Works"/>
      <sheetName val="BOQ- Civil Works"/>
      <sheetName val="BOQ-General Item"/>
      <sheetName val="General Item"/>
      <sheetName val="Cost L&amp;LDevNew"/>
      <sheetName val="Qty. LDevNew"/>
      <sheetName val="Abstract of cost_OFFICE BUILDIN"/>
      <sheetName val="Office Building_QTY"/>
      <sheetName val="Abs-TRUSS"/>
      <sheetName val="Truss QTY"/>
      <sheetName val="Rebarqty"/>
      <sheetName val="QtyBwallFencing"/>
      <sheetName val="Cost B wall Fencing"/>
      <sheetName val="Cost OHT450cum Re"/>
      <sheetName val="QtyOHT450cum Re Estimate"/>
      <sheetName val="Cost OHT pipe &amp; fitting"/>
      <sheetName val="Qty OHT pipe &amp; fitting "/>
      <sheetName val="Cost Chlorin unit"/>
      <sheetName val="QTYChlorination unit "/>
      <sheetName val="QtyBHolePlatForm"/>
      <sheetName val="CostBHolePlatForm"/>
      <sheetName val="CostPumpHouse"/>
      <sheetName val="VALVE CHAMBER COST"/>
      <sheetName val="CostPipeVC (2)"/>
      <sheetName val="cost Hconn."/>
      <sheetName val="costPipeTrenchnBF"/>
      <sheetName val="cost firehydrant"/>
      <sheetName val="Cost Public Toilet"/>
      <sheetName val="cost septank (15users) (2)"/>
      <sheetName val="cost soak15 (2)"/>
      <sheetName val="cost soak100 (2)"/>
      <sheetName val="cost septank (100users) (2)"/>
      <sheetName val="COST PIPE LAY N JOIN"/>
      <sheetName val="Fittings_Aanandban"/>
      <sheetName val="Cost Tools &amp; Plants"/>
      <sheetName val="QtyPumpHouse"/>
      <sheetName val="CostShed"/>
      <sheetName val="QtyShed"/>
      <sheetName val="CostElectric Revised"/>
      <sheetName val="QtyElectric Revised"/>
      <sheetName val="VALVE CHAMBER QTY"/>
      <sheetName val="QtyPipeVC (2)"/>
      <sheetName val="Qty.H conn."/>
      <sheetName val="Qty.Pipe Trench ExnBF"/>
      <sheetName val="Qnt fire hydrant"/>
      <sheetName val="Qnty Public Toilet"/>
      <sheetName val="Qty. sep tank (15 users) (2)"/>
      <sheetName val="Qty. Soakpit 15 (2)"/>
      <sheetName val="CostPumpSetsNew"/>
      <sheetName val="Qty of Pump Sets New"/>
      <sheetName val="Qty. Soakpit 100(2)"/>
      <sheetName val="Qty. sep tank (100 users) (2)"/>
      <sheetName val="QTY PIPE LAYING_JOIN"/>
      <sheetName val="Qty pipes"/>
      <sheetName val="QTY_TOOLS N PLANTS"/>
      <sheetName val="cost apron"/>
      <sheetName val="Qty. appron"/>
      <sheetName val="Cost Guard House (2)"/>
      <sheetName val="Qnt Guard House"/>
      <sheetName val="Final Rate Analysis"/>
      <sheetName val="Rate Scarfying Road"/>
      <sheetName val="Rate Analysis -soft"/>
      <sheetName val="Transp Rate"/>
      <sheetName val="Machinaries"/>
      <sheetName val="Cost Guard House"/>
      <sheetName val="Qty Guard House"/>
      <sheetName val="CostOffBldng"/>
      <sheetName val="QtyOfficeBldng."/>
      <sheetName val="Pipe rate"/>
      <sheetName val="Unit Rate"/>
      <sheetName val="Qnty OHT pipe &amp; fitting"/>
      <sheetName val="Qty Fittings&amp;Valves (2)"/>
      <sheetName val="CostRes400m3"/>
      <sheetName val="Cost_MTP"/>
      <sheetName val="cost Fittings&amp;Valves"/>
      <sheetName val="QtyPumpSetsNew"/>
      <sheetName val="Cost Deep Tube Well"/>
      <sheetName val="Cost recharge pit "/>
      <sheetName val="QtyReservoir_400m3"/>
      <sheetName val="Quantity_MTP"/>
      <sheetName val="Qty. VC 0.9"/>
      <sheetName val="Qty Fittings&amp;Valves"/>
      <sheetName val="Qty.Deep Tube Well"/>
      <sheetName val="Qnty Recharge Pit"/>
      <sheetName val="Opt&amp;M"/>
      <sheetName val="cost soak15"/>
      <sheetName val="cost septank (15users)"/>
      <sheetName val="cost side drain"/>
      <sheetName val="CostBkDrType1."/>
      <sheetName val="QtyPipeVC"/>
      <sheetName val="Qty. VC 0.6"/>
      <sheetName val="Qty. man 450 "/>
      <sheetName val="Qty. man 600"/>
      <sheetName val="Qty. Soakpit 15"/>
      <sheetName val="Qty side drain"/>
      <sheetName val="Qty.BkDrainType1."/>
      <sheetName val="Fittings cost"/>
      <sheetName val="cost vc 0.9"/>
      <sheetName val="Rate of Transportation Of Pipes"/>
      <sheetName val="Dist Rates"/>
      <sheetName val="TRANSPORTATION "/>
      <sheetName val="Sheet5"/>
      <sheetName val="COST Fittings&amp;Valves)"/>
      <sheetName val="QTY Fittings&amp;Valves) (2)"/>
      <sheetName val="cost Fittings_Distribution"/>
      <sheetName val="Sheet6"/>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refreshError="1">
        <row r="91">
          <cell r="E91">
            <v>304.31</v>
          </cell>
        </row>
        <row r="92">
          <cell r="E92">
            <v>488.26</v>
          </cell>
        </row>
      </sheetData>
      <sheetData sheetId="66"/>
      <sheetData sheetId="67"/>
      <sheetData sheetId="68"/>
      <sheetData sheetId="69"/>
      <sheetData sheetId="70" refreshError="1"/>
      <sheetData sheetId="71" refreshError="1"/>
      <sheetData sheetId="72"/>
      <sheetData sheetId="73" refreshError="1"/>
      <sheetData sheetId="74" refreshError="1"/>
      <sheetData sheetId="75" refreshError="1"/>
      <sheetData sheetId="76" refreshError="1"/>
      <sheetData sheetId="77" refreshError="1"/>
      <sheetData sheetId="78"/>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ow r="14">
          <cell r="G14">
            <v>780</v>
          </cell>
        </row>
        <row r="16">
          <cell r="G16">
            <v>715.05</v>
          </cell>
        </row>
        <row r="17">
          <cell r="G17">
            <v>72.36</v>
          </cell>
        </row>
        <row r="19">
          <cell r="G19">
            <v>81.66</v>
          </cell>
        </row>
        <row r="20">
          <cell r="G20">
            <v>95.66</v>
          </cell>
        </row>
        <row r="23">
          <cell r="G23">
            <v>97.41</v>
          </cell>
        </row>
        <row r="24">
          <cell r="G24">
            <v>1831.4</v>
          </cell>
        </row>
        <row r="25">
          <cell r="G25">
            <v>1174.5899999999999</v>
          </cell>
        </row>
        <row r="30">
          <cell r="G30">
            <v>1824.59</v>
          </cell>
        </row>
        <row r="31">
          <cell r="G31">
            <v>1829.59</v>
          </cell>
        </row>
        <row r="32">
          <cell r="G32">
            <v>2024.59</v>
          </cell>
        </row>
        <row r="33">
          <cell r="G33">
            <v>1616.59</v>
          </cell>
        </row>
        <row r="34">
          <cell r="G34">
            <v>1400</v>
          </cell>
        </row>
        <row r="36">
          <cell r="G36">
            <v>1276.9100000000001</v>
          </cell>
        </row>
        <row r="37">
          <cell r="G37">
            <v>87.68</v>
          </cell>
        </row>
        <row r="38">
          <cell r="G38">
            <v>72.36</v>
          </cell>
        </row>
        <row r="39">
          <cell r="G39">
            <v>7.5</v>
          </cell>
        </row>
        <row r="40">
          <cell r="G40">
            <v>575</v>
          </cell>
        </row>
        <row r="44">
          <cell r="G44">
            <v>5714.14</v>
          </cell>
        </row>
        <row r="52">
          <cell r="G52">
            <v>142.56</v>
          </cell>
        </row>
        <row r="54">
          <cell r="G54">
            <v>110</v>
          </cell>
        </row>
        <row r="55">
          <cell r="G55">
            <v>110</v>
          </cell>
        </row>
        <row r="61">
          <cell r="G61">
            <v>550</v>
          </cell>
        </row>
        <row r="66">
          <cell r="G66">
            <v>900</v>
          </cell>
        </row>
        <row r="67">
          <cell r="G67">
            <v>1200</v>
          </cell>
        </row>
        <row r="69">
          <cell r="G69">
            <v>1300</v>
          </cell>
        </row>
        <row r="70">
          <cell r="G70">
            <v>250</v>
          </cell>
        </row>
        <row r="71">
          <cell r="G71">
            <v>180</v>
          </cell>
        </row>
      </sheetData>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sheetData sheetId="124"/>
      <sheetData sheetId="125"/>
      <sheetData sheetId="126">
        <row r="15">
          <cell r="D15">
            <v>315</v>
          </cell>
        </row>
        <row r="18">
          <cell r="D18">
            <v>176.6</v>
          </cell>
        </row>
        <row r="25">
          <cell r="D25">
            <v>1032.78</v>
          </cell>
        </row>
        <row r="30">
          <cell r="D30">
            <v>1104.6275000000001</v>
          </cell>
        </row>
        <row r="33">
          <cell r="D33">
            <v>14856.16</v>
          </cell>
        </row>
        <row r="35">
          <cell r="D35">
            <v>62905.557522123891</v>
          </cell>
        </row>
        <row r="36">
          <cell r="D36">
            <v>60604.672566371686</v>
          </cell>
        </row>
        <row r="37">
          <cell r="D37">
            <v>63409.982300884963</v>
          </cell>
        </row>
        <row r="40">
          <cell r="D40">
            <v>78.055999999999997</v>
          </cell>
        </row>
        <row r="41">
          <cell r="D41">
            <v>1462.515312</v>
          </cell>
        </row>
        <row r="43">
          <cell r="D43">
            <v>5836.9520000000002</v>
          </cell>
        </row>
        <row r="44">
          <cell r="D44">
            <v>11661.16</v>
          </cell>
        </row>
        <row r="46">
          <cell r="D46">
            <v>1980</v>
          </cell>
        </row>
        <row r="47">
          <cell r="D47">
            <v>2696</v>
          </cell>
        </row>
        <row r="53">
          <cell r="D53">
            <v>67.5</v>
          </cell>
        </row>
        <row r="57">
          <cell r="D57">
            <v>43.92</v>
          </cell>
        </row>
        <row r="58">
          <cell r="D58">
            <v>52.75</v>
          </cell>
        </row>
        <row r="59">
          <cell r="D59">
            <v>74.150000000000006</v>
          </cell>
        </row>
        <row r="60">
          <cell r="D60">
            <v>100.59</v>
          </cell>
        </row>
      </sheetData>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row r="1">
          <cell r="A1" t="str">
            <v>sf]* g+=</v>
          </cell>
          <cell r="C1" t="str">
            <v>cfO^d  gDj/</v>
          </cell>
          <cell r="D1" t="str">
            <v>sfo{sf] ljj/)f</v>
          </cell>
          <cell r="E1" t="str">
            <v>PsfO{</v>
          </cell>
          <cell r="G1" t="str">
            <v>!%Ücf]=x]=tyf !)Üd"=c=s= afx]s</v>
          </cell>
          <cell r="H1" t="str">
            <v>!%Ücf]=x]= ;lxt tyf !)Ü d"=c=s= jfx]s ;Dk"0f{ b/</v>
          </cell>
          <cell r="I1" t="str">
            <v>s}lkmot</v>
          </cell>
        </row>
        <row r="2">
          <cell r="A2" t="str">
            <v>A1</v>
          </cell>
          <cell r="C2">
            <v>1.3</v>
          </cell>
          <cell r="D2" t="str">
            <v>jfSnf] emf/kft sf6\g] h/f lemSg] / lgdf{0f :ynjf6 @% ld= ;Dd jf]sfgL ug{] sfo{ -emf/kftsf] uf]nfO{ #) ;]=ld= ;Dd / !)) j=ld= If]qdf !% uf]6f emf/kft a'§fj'§L eGbf j9L_ .</v>
          </cell>
          <cell r="E2" t="str">
            <v>j=dL=</v>
          </cell>
          <cell r="G2">
            <v>4.3999999999999995</v>
          </cell>
          <cell r="H2">
            <v>5.0599999999999996</v>
          </cell>
        </row>
        <row r="3">
          <cell r="A3" t="str">
            <v>A2</v>
          </cell>
          <cell r="C3">
            <v>1.8</v>
          </cell>
          <cell r="D3" t="str">
            <v>dflyNnf] df6f] vGg] sfd lgdf{0f :ynjf6 aflx/ jf]sfgL ug{] ;d]t . - df6f]sf] txsf] df]6fO{ -!%–@)_;]=ld=_</v>
          </cell>
          <cell r="E3" t="str">
            <v>j=dL=</v>
          </cell>
          <cell r="G3">
            <v>17.599999999999998</v>
          </cell>
          <cell r="H3">
            <v>20.239999999999998</v>
          </cell>
        </row>
        <row r="4">
          <cell r="A4" t="str">
            <v>A3</v>
          </cell>
          <cell r="C4">
            <v>2.1</v>
          </cell>
          <cell r="D4" t="str">
            <v>g/d k|sf/sf] Sn] / l;N6L df6f]df ;a} lsl;dsf] vGg] sfd !) ld= ;Dd jf]sfgL / l8:kf]hn / !=% ld= ;Dd lnkm\6 ;d]t .</v>
          </cell>
          <cell r="E4" t="str">
            <v>#=dL=</v>
          </cell>
          <cell r="G4">
            <v>79.304347826086953</v>
          </cell>
          <cell r="H4">
            <v>91.2</v>
          </cell>
        </row>
        <row r="5">
          <cell r="A5" t="str">
            <v>A4</v>
          </cell>
          <cell r="C5">
            <v>2.2000000000000002</v>
          </cell>
          <cell r="D5" t="str">
            <v>;fx|f] k|sf/sf] g/d d'/d 9'Ëf -#) ;]=ld= ;Dd ldl;Psf] df6f]df ;a} lsl;dsf] vGg] sfd !)ld=;Dd jf]sfgL l8:kf]hn / !=% ld=lnkm\6 ;d]t.</v>
          </cell>
          <cell r="E5" t="str">
            <v>#=dL=</v>
          </cell>
          <cell r="G5">
            <v>90.643478260869571</v>
          </cell>
          <cell r="H5">
            <v>104.24</v>
          </cell>
        </row>
        <row r="6">
          <cell r="A6" t="str">
            <v>A5</v>
          </cell>
          <cell r="C6">
            <v>2.9</v>
          </cell>
          <cell r="D6" t="str">
            <v>g/d df6f]df vfN8f] vGg] sfd !) ld= ;Dd jf]sfgL l8:kf]hn / !=% ld= lnkm\6 sf] ;'ljwf ;d]t .</v>
          </cell>
          <cell r="E6" t="str">
            <v>#=dL=</v>
          </cell>
          <cell r="G6">
            <v>113.29565217391304</v>
          </cell>
          <cell r="H6">
            <v>130.29</v>
          </cell>
        </row>
        <row r="7">
          <cell r="A7" t="str">
            <v>A6</v>
          </cell>
          <cell r="C7">
            <v>2.12</v>
          </cell>
          <cell r="D7" t="str">
            <v>;fx|f] df6f]df l8r sl6Ë ug{] sfd !) ld= ;Dd jf]sfgL l8:kf]hn / !=% ld= lnkm\6sf] ;'ljwf ;d]t.</v>
          </cell>
          <cell r="E7" t="str">
            <v>#=dL=</v>
          </cell>
          <cell r="G7">
            <v>141.63</v>
          </cell>
          <cell r="H7">
            <v>162.87</v>
          </cell>
        </row>
        <row r="8">
          <cell r="A8" t="str">
            <v>A7</v>
          </cell>
          <cell r="C8">
            <v>2.14</v>
          </cell>
          <cell r="D8" t="str">
            <v>hu , 9n , kfO{k nfO{gsf] nflu -af]N8/ ldl;Psf]_ df6f]df vfN8f] vGg]] sfd  !) ld= ;Dd jf]sfgL l8:kf]hn / !=% ld= lnkm\6sf] ;'ljwf ;d]t.</v>
          </cell>
          <cell r="E8" t="str">
            <v>#=dL=</v>
          </cell>
          <cell r="G8">
            <v>180.14782608695651</v>
          </cell>
          <cell r="H8">
            <v>207.17</v>
          </cell>
        </row>
        <row r="9">
          <cell r="A9" t="str">
            <v>A8</v>
          </cell>
          <cell r="C9" t="str">
            <v>2.17-s_</v>
          </cell>
          <cell r="D9" t="str">
            <v>df6f]df afS;f sf6\g] sfd !) ld= af]sfgL l8:kf]hn / !=% ld= lnkm\6 ;'ljwf -s_ g/d df6f] .</v>
          </cell>
          <cell r="E9" t="str">
            <v>#=dL=</v>
          </cell>
          <cell r="G9">
            <v>88.365217391304341</v>
          </cell>
          <cell r="H9">
            <v>101.62</v>
          </cell>
        </row>
        <row r="10">
          <cell r="A10" t="str">
            <v>A9</v>
          </cell>
          <cell r="C10" t="str">
            <v>2.17-v_</v>
          </cell>
          <cell r="D10" t="str">
            <v>df6f]df afS;f sf6\g] sfd !) ld= af]sfgL l8:kf]hn / !=% ld= lnkm\6 ;'ljwf -s_ ;fx|f] df6f] .</v>
          </cell>
          <cell r="E10" t="str">
            <v>#=dL=</v>
          </cell>
          <cell r="G10">
            <v>106.49565217391304</v>
          </cell>
          <cell r="H10">
            <v>122.47</v>
          </cell>
        </row>
        <row r="11">
          <cell r="A11" t="str">
            <v>A10</v>
          </cell>
          <cell r="C11">
            <v>2.2200000000000002</v>
          </cell>
          <cell r="D11" t="str">
            <v>sd ulx/f] kfgLdf ;fx|f] df6f]];+u !) ;]=dL= eGbf a9L Aof;sf] u|fe]n ldl;Psf] df6f]df  hu vGg] sfd !) ld= ;Dd jf]sfgL l8:kf]hn / !=% ld= lnkm\6 ;d]t .</v>
          </cell>
          <cell r="E11" t="str">
            <v>#=dL=</v>
          </cell>
          <cell r="G11">
            <v>283.24347826086955</v>
          </cell>
          <cell r="H11">
            <v>325.73</v>
          </cell>
        </row>
        <row r="12">
          <cell r="A12" t="str">
            <v>A11</v>
          </cell>
          <cell r="C12">
            <v>2.23</v>
          </cell>
          <cell r="D12" t="str">
            <v>sd ulx/f] kfgLdf ;fx|f] df6f]];+u !) ;]=dL= eGbf sd Aof;sf] u|fe]n ldl;Psf] df6f]df hu vGg] sfd !) ld= ;Dd jf]sfgL l8:kf]hn / !=% ld= lnkm\6 ;d]t .</v>
          </cell>
          <cell r="E12" t="str">
            <v>#=dL=</v>
          </cell>
          <cell r="G12">
            <v>260.5826086956522</v>
          </cell>
          <cell r="H12">
            <v>299.67</v>
          </cell>
        </row>
        <row r="13">
          <cell r="A13" t="str">
            <v>A12</v>
          </cell>
          <cell r="C13" t="str">
            <v>2.24-s_</v>
          </cell>
          <cell r="D13" t="str">
            <v>kfgL d'gL af]N8/ / u|fe]ndf  hu vGg] sfd !) ld= ;Dd jf]sfgL l8:kf]hn -s_ !=)dL= ulx/f] vgfO{ / $=) ld= lnkm\6 ;d]t .</v>
          </cell>
          <cell r="E13" t="str">
            <v>#=dL=</v>
          </cell>
          <cell r="G13">
            <v>397.67826086956524</v>
          </cell>
          <cell r="H13">
            <v>457.33</v>
          </cell>
        </row>
        <row r="14">
          <cell r="A14" t="str">
            <v>A13</v>
          </cell>
          <cell r="C14" t="str">
            <v>2.24-v_</v>
          </cell>
          <cell r="D14" t="str">
            <v>kfgL d'gL af]N8/ / u|fe]ndf  hu vGg] sfd !) ld= ;Dd jf]sfgL l8:kf]hn -s_ @=)dL= ulx/f] vgfO{ / $=) ld= lnkm\6 ;d]t .</v>
          </cell>
          <cell r="E14" t="str">
            <v>#=dL=</v>
          </cell>
          <cell r="G14">
            <v>407.87826086956522</v>
          </cell>
          <cell r="H14">
            <v>469.06</v>
          </cell>
        </row>
        <row r="15">
          <cell r="A15" t="str">
            <v>A14</v>
          </cell>
          <cell r="C15" t="str">
            <v>2.25-s_</v>
          </cell>
          <cell r="D15" t="str">
            <v>;fdfGo df6f]n] k'g{] sfd !%.!% ;]=ld=sf] txdf km}nfpg] kfgL 5l/sg / HofdL 4f/f sDk]S6]8 ug{] sfd ;d]t !) ld= b'/Ljf6 cf];fg{] .</v>
          </cell>
          <cell r="E15" t="str">
            <v>#=dL=</v>
          </cell>
          <cell r="G15">
            <v>56.643478260869564</v>
          </cell>
          <cell r="H15">
            <v>65.14</v>
          </cell>
        </row>
        <row r="16">
          <cell r="A16" t="str">
            <v>A15</v>
          </cell>
          <cell r="C16" t="str">
            <v>2.25-v_</v>
          </cell>
          <cell r="D16" t="str">
            <v>;fdfGo df6f]n] k'g{] sfd !%.!% ;]=ld= sf] txdf km}nfpg] -kfgL gs5l/sg_ / HofdL 4f/f sDk]S6]8 ug{] sfd ;d]t .</v>
          </cell>
          <cell r="E16" t="str">
            <v>#=dL=</v>
          </cell>
          <cell r="G16">
            <v>28.321739130434782</v>
          </cell>
          <cell r="H16">
            <v>32.57</v>
          </cell>
        </row>
        <row r="17">
          <cell r="A17" t="str">
            <v>A16</v>
          </cell>
          <cell r="C17">
            <v>2.29</v>
          </cell>
          <cell r="D17" t="str">
            <v>;fdfGo df6f]df sd ulx/f] kfgLdf hu vGg] sfd !) ld= ;Dd jf]sfgL l8:kf]hn / !=% ld= lnkm\6 ;d]t .</v>
          </cell>
          <cell r="E17" t="str">
            <v>#=dL=</v>
          </cell>
          <cell r="G17">
            <v>254.92173913043482</v>
          </cell>
          <cell r="H17">
            <v>293.16000000000003</v>
          </cell>
        </row>
        <row r="18">
          <cell r="A18" t="str">
            <v>A17</v>
          </cell>
          <cell r="C18">
            <v>2.3199999999999998</v>
          </cell>
          <cell r="D18" t="str">
            <v>ulx/f] kfgLdf hu vGbf ;f]l/+u / Kn]ls+usf] nflu yk   ;d]t .</v>
          </cell>
          <cell r="E18" t="str">
            <v>#=dL=</v>
          </cell>
          <cell r="G18">
            <v>55.643478260869564</v>
          </cell>
          <cell r="H18">
            <v>63.99</v>
          </cell>
        </row>
        <row r="19">
          <cell r="A19" t="str">
            <v>A18</v>
          </cell>
          <cell r="C19" t="str">
            <v>2.39-u_ / 2.17 -v_ tyf 21.1</v>
          </cell>
          <cell r="D19" t="str">
            <v>kfO{knfO{g 6]Grsf] vfN8f]df s8f df6f]n] k'g{] sfd k|To]s @).@) ;]=ld= sf] ux/fO{ txdf km}nfpg] ,kfgL ;d]t 5l/sg a]Gr 4f/f sDk]S6]8 ug{] sfd ;d]t .u_ s8f df6f] - s8f df6f] vGg] / 6«s 4f/f ! ls=dL=9'jfgL ;d]t _</v>
          </cell>
          <cell r="E19" t="str">
            <v>#=dL=</v>
          </cell>
          <cell r="G19">
            <v>297.53913043478263</v>
          </cell>
          <cell r="H19">
            <v>342.17</v>
          </cell>
        </row>
        <row r="20">
          <cell r="A20" t="str">
            <v>A19</v>
          </cell>
          <cell r="C20" t="str">
            <v>2.39-u_ / 2.17 -v_ tyf 21.1</v>
          </cell>
          <cell r="D20" t="str">
            <v>kfO{knfO{g 6]Grsf] vfN8f]df s8f df6f]n] k'g{] sfd k|To]s @).@) ;]=ld= sf] ux/fO{ txdf km}nfpg] ,kfgL ;d]t 5l/sg a]Gr 4f/f sDk]S6]8 ug{] sfd ;d]t .-u_ s8f df6f] -s8f df6f] vGg] / 6«s 4f/f @ ls=dL 9'jfgL ;d]t _</v>
          </cell>
          <cell r="E20" t="str">
            <v>#=dL=</v>
          </cell>
          <cell r="G20">
            <v>314.8</v>
          </cell>
          <cell r="H20">
            <v>362.02</v>
          </cell>
        </row>
        <row r="21">
          <cell r="A21" t="str">
            <v>A20</v>
          </cell>
          <cell r="C21" t="str">
            <v>2.39-u_ / 2.17 -v_ tyf 21.1</v>
          </cell>
          <cell r="D21" t="str">
            <v>kfO{knfO{g 6]Grsf] vfN8f]df s8f df6f]n] k'g{] sfd k|To]s @).@) ;]=ld= sf] ux/fO{ txdf km}nfpg] ,kfgL ;d]t 5l/sg a]Gr 4f/f sDk]S6]8 ug{] sfd ;d]t .-u_ s8f df6f] - s8f df6f] vGg] / 6«s 4f/f %ls=dL 9'jfgL ;d]t _</v>
          </cell>
          <cell r="E21" t="str">
            <v>#=dL=</v>
          </cell>
          <cell r="G21">
            <v>366.54782608695655</v>
          </cell>
          <cell r="H21">
            <v>421.53</v>
          </cell>
        </row>
        <row r="22">
          <cell r="A22" t="str">
            <v>A21</v>
          </cell>
          <cell r="C22" t="str">
            <v>2.39-u_,    3-3_/    21.3</v>
          </cell>
          <cell r="D22" t="str">
            <v>kfO{knfO{g 6«]Grsf] vfN8f]df s8f df6f]n] k'g{] sfd k|To]s @).@) ;]=ld= sf] ux/fO{ txdf km}nfpg] ,kfgL ;d]t 5l/sg a]Gr 4f/f sDk]S6]8 ug{] sfd ;d]t . -3_ uf|e]n / af]N8/ ldl;Psf] - uf|e]n / af]N8/ ldl;Psf] df6f] vGg] / 6«s 4f/f @) ls=dL 9'jfgL ;d]t _</v>
          </cell>
          <cell r="E22" t="str">
            <v>#=dL=</v>
          </cell>
          <cell r="G22">
            <v>796.02608695652179</v>
          </cell>
          <cell r="H22">
            <v>915.43</v>
          </cell>
        </row>
        <row r="23">
          <cell r="A23" t="str">
            <v>A22</v>
          </cell>
          <cell r="C23">
            <v>2.42</v>
          </cell>
          <cell r="D23" t="str">
            <v>jfn'jfn] eg{] / kfgL 5g{] / HofdL 4f/f sDk]S6]8 ug{] sfd -!) ld= 9'jfgL ;d]t . tyf 6«s 4f/f  @) ls=dL 9'jfgL ;d]t .</v>
          </cell>
          <cell r="E23" t="str">
            <v>#=dL=</v>
          </cell>
          <cell r="G23">
            <v>918.46956521739128</v>
          </cell>
          <cell r="H23">
            <v>1056.24</v>
          </cell>
        </row>
        <row r="24">
          <cell r="A24" t="str">
            <v>A23</v>
          </cell>
          <cell r="C24" t="str">
            <v>3.1-v_</v>
          </cell>
          <cell r="D24" t="str">
            <v>afn'jfsf] ;+sng, 5fGg] sfd / pknJw ug{] sfd -!) ld= 9'jfgL_ -v_ vfgL Ifdtf #! b]lv %) k|ltzt ;Dd .</v>
          </cell>
          <cell r="E24" t="str">
            <v>#=dL=</v>
          </cell>
          <cell r="G24">
            <v>379.49565217391302</v>
          </cell>
          <cell r="H24">
            <v>436.42</v>
          </cell>
        </row>
        <row r="25">
          <cell r="A25" t="str">
            <v>A24</v>
          </cell>
          <cell r="C25" t="str">
            <v>3.2-s_</v>
          </cell>
          <cell r="D25" t="str">
            <v>u|fe]n ;+sng, 5fGg] sfd :6s ug{] / pknJw ug{] sfd -!) ld= 9'jfgL_ -s_ % ldld b]lv &amp;) ldld dfyL .</v>
          </cell>
          <cell r="E25" t="str">
            <v>#=dL=</v>
          </cell>
          <cell r="G25">
            <v>275</v>
          </cell>
          <cell r="H25">
            <v>316.25</v>
          </cell>
        </row>
        <row r="26">
          <cell r="A26" t="str">
            <v>A25</v>
          </cell>
          <cell r="C26">
            <v>3.4</v>
          </cell>
          <cell r="D26" t="str">
            <v>cfjZos ;fOhsf] 9'Ëf-?an_sf] ;+sng / :6]lsË !) ld=sf] 9'jfgL ;d]t.</v>
          </cell>
          <cell r="E26" t="str">
            <v>#=dL=</v>
          </cell>
          <cell r="G26">
            <v>154</v>
          </cell>
          <cell r="H26">
            <v>177.1</v>
          </cell>
        </row>
        <row r="27">
          <cell r="A27" t="str">
            <v>A26</v>
          </cell>
          <cell r="C27" t="str">
            <v>3.11/3.4</v>
          </cell>
          <cell r="D27" t="str">
            <v>cfjZos ;fOhsf] 9'Ëf -/a'n_ agfpg]  l5g'4f/f km'6fpg] -af]N8/_ , v:;|f] agfpg] -lagf Anf:6LËsf]_, Ps ;fO8 8«\];LË ug{]  , :6s ug{] ;d]t / ;+sng / :6]lsË !) ld= sf] 9'jfgL ;d]t .</v>
          </cell>
          <cell r="E27" t="str">
            <v>#=dL=</v>
          </cell>
          <cell r="G27">
            <v>355.62608695652176</v>
          </cell>
          <cell r="H27">
            <v>408.97</v>
          </cell>
        </row>
        <row r="28">
          <cell r="A28" t="str">
            <v>A27</v>
          </cell>
          <cell r="C28">
            <v>19.100000000000001</v>
          </cell>
          <cell r="D28" t="str">
            <v>df6f]df hf]8]sf uf/f]] eTsfO{ To;jf6 cfPsf] ;fdfu|L !) dL= ;Dd x6fpg] sfd .</v>
          </cell>
          <cell r="E28" t="str">
            <v>#=dL=</v>
          </cell>
          <cell r="G28">
            <v>355.62608695652176</v>
          </cell>
          <cell r="H28">
            <v>408.97</v>
          </cell>
        </row>
        <row r="29">
          <cell r="A29" t="str">
            <v>A28</v>
          </cell>
          <cell r="C29">
            <v>19.2</v>
          </cell>
          <cell r="D29" t="str">
            <v>l;d]G6df jf ah|df hf]8]sf uf/f]] eTsfO{ To;jf6 cfPsf] ;fdfu|L !) dL= ;Dd x6fpg] sfd .</v>
          </cell>
          <cell r="E29" t="str">
            <v>#=dL=</v>
          </cell>
          <cell r="G29">
            <v>233.2</v>
          </cell>
          <cell r="H29">
            <v>268.18</v>
          </cell>
        </row>
        <row r="30">
          <cell r="A30" t="str">
            <v>A29</v>
          </cell>
          <cell r="C30">
            <v>19.3</v>
          </cell>
          <cell r="D30" t="str">
            <v>cf/=l;=l;= jf cf/=la=l;= hf]8]sf]  eTsfO{ To;jf6 cfPsf] ;fdfu|L !) dL= ;Dd x6fpg] sfd .</v>
          </cell>
          <cell r="E30" t="str">
            <v>#=dL=</v>
          </cell>
          <cell r="G30">
            <v>1210</v>
          </cell>
          <cell r="H30">
            <v>1391.5</v>
          </cell>
        </row>
        <row r="31">
          <cell r="A31" t="str">
            <v>A30</v>
          </cell>
          <cell r="C31">
            <v>19.399999999999999</v>
          </cell>
          <cell r="D31" t="str">
            <v>Kn]g l;d]G6 s+s[6df jf ah| s+s[{6df hf]8]sf  eTsfO{ To;jf6 cfPsf] ;fdfu|L !) dL= ;Dd x6fpg] sfd .</v>
          </cell>
          <cell r="E31" t="str">
            <v>#=dL=</v>
          </cell>
          <cell r="G31">
            <v>440</v>
          </cell>
          <cell r="H31">
            <v>506</v>
          </cell>
        </row>
        <row r="32">
          <cell r="A32" t="str">
            <v>A31</v>
          </cell>
          <cell r="C32">
            <v>19.5</v>
          </cell>
          <cell r="D32" t="str">
            <v>l;d]G6 jf ah| Knf:6/ eTsfO{ To;jf6 cfPsf] ;fdfu|L !) dL= ;Dd x6fpg] sfd .</v>
          </cell>
          <cell r="E32" t="str">
            <v>a=dL=</v>
          </cell>
          <cell r="G32">
            <v>11.878260869565217</v>
          </cell>
          <cell r="H32">
            <v>13.66</v>
          </cell>
        </row>
        <row r="33">
          <cell r="A33" t="str">
            <v>A32</v>
          </cell>
          <cell r="D33" t="str">
            <v>ljleGg sfd ubf{ ;fO6df y"lk|g cfPsf] 9"+uf df6f] lgb]{zg cg";f/ ;fO6af6 @ ls=dL= ;Dd 9"jfgL u/L kmfNg] sfd .</v>
          </cell>
          <cell r="E33" t="str">
            <v>#=dL=</v>
          </cell>
          <cell r="G33">
            <v>142.1</v>
          </cell>
          <cell r="H33">
            <v>0</v>
          </cell>
        </row>
        <row r="34">
          <cell r="A34" t="str">
            <v>A33</v>
          </cell>
          <cell r="D34" t="str">
            <v xml:space="preserve">g/d k|sf/sf] Sn] / l;N6L df6f] vgL cf}= % ls=dL= af6 9"jfgL u/L NofO{ !%÷!% ;]=dL= sf] txdf km}nfO{ kfgL 5/L HofdLåf/f sDk}S6 ug]{ sfd . </v>
          </cell>
          <cell r="E34" t="str">
            <v>#=dL=</v>
          </cell>
          <cell r="G34">
            <v>0</v>
          </cell>
          <cell r="H34">
            <v>0</v>
          </cell>
        </row>
        <row r="35">
          <cell r="A35" t="str">
            <v>A34</v>
          </cell>
          <cell r="D35" t="str">
            <v>g/d k|sf/sf] Sn] / l;N6L df6f] vgL cf}= @ ls=dL=af6 6«såf/f 9'jfgL u/L NofO{ tx txdf km}nfO{ kfgL 5sL{ HofdLåf/f sDk}S6 ug]{ sfd .</v>
          </cell>
          <cell r="E35" t="str">
            <v>#=dL=</v>
          </cell>
          <cell r="G35">
            <v>278.06</v>
          </cell>
          <cell r="H35">
            <v>0</v>
          </cell>
        </row>
        <row r="36">
          <cell r="A36" t="str">
            <v>A35</v>
          </cell>
          <cell r="D36" t="str">
            <v>af]N8/ ldl;Psf] df6f] vgL, 9'jfgL u/L NofO{ tx txdf k'/L kfgL 5sL{ /f]lnª u/L ;8s lgdf{0f ug]{ sfd</v>
          </cell>
          <cell r="E36" t="str">
            <v>#=dL=</v>
          </cell>
          <cell r="G36">
            <v>296.7217391304348</v>
          </cell>
          <cell r="H36">
            <v>341.23</v>
          </cell>
        </row>
        <row r="37">
          <cell r="A37" t="str">
            <v>A36</v>
          </cell>
          <cell r="D37" t="str">
            <v>g/d k|sf/sf] r6[fgdf ;a} lsl;dsf] vGg] sfd</v>
          </cell>
          <cell r="E37" t="str">
            <v>#=dL=</v>
          </cell>
          <cell r="G37">
            <v>283.24347826086955</v>
          </cell>
          <cell r="H37">
            <v>325.73</v>
          </cell>
        </row>
        <row r="38">
          <cell r="A38" t="str">
            <v>A37</v>
          </cell>
          <cell r="D38" t="str">
            <v>dWod k|sf/sf] r6[fgdf ;a} lsl;dsf] vGg] sfd</v>
          </cell>
          <cell r="E38" t="str">
            <v>#=dL=</v>
          </cell>
          <cell r="G38">
            <v>339.89565217391305</v>
          </cell>
          <cell r="H38">
            <v>390.88</v>
          </cell>
        </row>
        <row r="39">
          <cell r="A39" t="str">
            <v>A38</v>
          </cell>
          <cell r="D39" t="str">
            <v>s8f r6[fg -l5gf] gnufOsg_ df ;a} lsl;dsf] vGg] sfd</v>
          </cell>
          <cell r="E39" t="str">
            <v>#=dL=</v>
          </cell>
          <cell r="G39">
            <v>566.49565217391307</v>
          </cell>
          <cell r="H39">
            <v>651.47</v>
          </cell>
        </row>
        <row r="40">
          <cell r="A40" t="str">
            <v>A39</v>
          </cell>
          <cell r="D40" t="str">
            <v>s8f r6[fg -l5gf] nufpg' kg]{_ df ;a} lsl;dsf] vGg] sfd</v>
          </cell>
          <cell r="E40" t="str">
            <v>#=dL=</v>
          </cell>
          <cell r="G40">
            <v>2741.8608695652174</v>
          </cell>
          <cell r="H40">
            <v>3153.14</v>
          </cell>
        </row>
        <row r="41">
          <cell r="A41" t="str">
            <v>B1</v>
          </cell>
          <cell r="C41" t="str">
            <v>5.1-s_1</v>
          </cell>
          <cell r="D41" t="str">
            <v>!M# l;d]G6 jfn'jf d;nfdf O{6fsf] uf/f]sf] sfd, O{6f pknAw ug{], d;nf tof/ ug{], d;nfdf uf/f] nufpg] sfd k"/f -#) ld= ;Dd, 9'jfgL ;d]t_ d]lzgjf6 ag]sf]</v>
          </cell>
          <cell r="E41" t="str">
            <v>#=dL=</v>
          </cell>
          <cell r="G41">
            <v>3683.8173913043483</v>
          </cell>
          <cell r="H41">
            <v>4236.3900000000003</v>
          </cell>
        </row>
        <row r="42">
          <cell r="A42" t="str">
            <v>B2</v>
          </cell>
          <cell r="C42" t="str">
            <v>5.1-s_2</v>
          </cell>
          <cell r="D42" t="str">
            <v>!M$ l;d]G6 jfn'jf d;nfdf O{6fsf] uf/f]sf] sfd, O{6f pknAw ug{], d;nf tof/ ug{], d;nfdf uf/f] nufpg] sfd k"/f -#) ld= ;Dd, 9'jfgL ;d]t_ d]lzgjf6 ag]sf]</v>
          </cell>
          <cell r="E42" t="str">
            <v>#=dL=</v>
          </cell>
          <cell r="G42">
            <v>3501.0173913043477</v>
          </cell>
          <cell r="H42">
            <v>4026.17</v>
          </cell>
        </row>
        <row r="43">
          <cell r="A43" t="str">
            <v>B3</v>
          </cell>
          <cell r="C43" t="str">
            <v>5.1-s_3</v>
          </cell>
          <cell r="D43" t="str">
            <v>!M^ l;d]G6 jfn'jf d;nfdf O{6fsf] uf/f]sf] sfd, O{6f pknAw ug{], d;nf tof/ ug{], d;nfdf uf/f] nufpg] sfd k"/f -#) ld= ;Dd, 9'jfgL ;d]t_ d]lzgjf6 ag]sf]</v>
          </cell>
          <cell r="E43" t="str">
            <v>#=dL=</v>
          </cell>
          <cell r="G43">
            <v>3351.1565217391303</v>
          </cell>
          <cell r="H43">
            <v>3853.83</v>
          </cell>
        </row>
        <row r="44">
          <cell r="A44" t="str">
            <v>B4</v>
          </cell>
          <cell r="C44" t="str">
            <v>5.1-v_1</v>
          </cell>
          <cell r="D44" t="str">
            <v>lrDgL e§fsf] O{6f4f/f !M# l;d]G6 jfn'jf d;nfdf O{6fsf] uf/f]sf] sfd, O{6f pknAw ug{], d;nf tof/ ug{], d;nfdf uf/f] nufpg] sfd k"/f    -#) ld= ;Dd, 9'jfgL ;d]t_</v>
          </cell>
          <cell r="E44" t="str">
            <v>#=dL=</v>
          </cell>
          <cell r="G44">
            <v>3214.4869565217391</v>
          </cell>
          <cell r="H44">
            <v>3696.66</v>
          </cell>
        </row>
        <row r="45">
          <cell r="A45" t="str">
            <v>B5</v>
          </cell>
          <cell r="C45" t="str">
            <v>5.1-v_2</v>
          </cell>
          <cell r="D45" t="str">
            <v>lrDgL e§fsf] O{6f4f/f !M$ l;d]G6 jfn'jf d;nfdf O{6fsf] uf/f]sf] sfd, O{6f pknAw ug{], d;nf tof/ ug{], d;nfdf uf/f] nufpg] sfd k"/f    -#) ld= ;Dd, 9'jfgL ;d]t_</v>
          </cell>
          <cell r="E45" t="str">
            <v>#=dL=</v>
          </cell>
          <cell r="G45">
            <v>3043.84</v>
          </cell>
          <cell r="H45">
            <v>3500.41</v>
          </cell>
        </row>
        <row r="46">
          <cell r="A46" t="str">
            <v>B6</v>
          </cell>
          <cell r="C46" t="str">
            <v>5.1-v_3</v>
          </cell>
          <cell r="D46" t="str">
            <v>lrDgL e§fsf] O{6f4f/f !M^ l;d]G6 jfn'jf d;nfdf O{6fsf] uf/f]sf] sfd, O{6f pknAw ug{], d;nf tof/ ug{], d;nfdf uf/f] nufpg] sfd k"/f    -#) ld= ;Dd, 9'jfgL ;d]t_</v>
          </cell>
          <cell r="E46" t="str">
            <v>#=dL=</v>
          </cell>
          <cell r="G46">
            <v>2886.3217391304347</v>
          </cell>
          <cell r="H46">
            <v>3319.27</v>
          </cell>
        </row>
        <row r="47">
          <cell r="A47" t="str">
            <v>B7</v>
          </cell>
          <cell r="C47" t="str">
            <v>11.15-s_</v>
          </cell>
          <cell r="D47" t="str">
            <v>r]K6f] kl§jf6 ;'Vvf O{6f 5fKg] sfd -lrDgL e§f_</v>
          </cell>
          <cell r="E47" t="str">
            <v>j=dL=</v>
          </cell>
          <cell r="G47">
            <v>216.11</v>
          </cell>
          <cell r="H47">
            <v>248.53</v>
          </cell>
        </row>
        <row r="48">
          <cell r="A48" t="str">
            <v>B8</v>
          </cell>
          <cell r="C48" t="str">
            <v>11.15-s_</v>
          </cell>
          <cell r="D48" t="str">
            <v>r]K6f] kl§jf6 ;'Vvf O{6f 5fKg] sfd -d]zLg d]8_</v>
          </cell>
          <cell r="E48" t="str">
            <v>j=dL=</v>
          </cell>
          <cell r="G48">
            <v>2601.913043478261</v>
          </cell>
          <cell r="H48">
            <v>2992.2</v>
          </cell>
        </row>
        <row r="49">
          <cell r="A49" t="str">
            <v>B9</v>
          </cell>
          <cell r="C49" t="str">
            <v>11.15-v_</v>
          </cell>
          <cell r="D49" t="str">
            <v>7f8f] kl§jf6 ;'Vvf O{6f 5fKg] sfd -d]zLg d]8_</v>
          </cell>
          <cell r="E49" t="str">
            <v>j=dL=</v>
          </cell>
          <cell r="G49">
            <v>4233.1826086956526</v>
          </cell>
          <cell r="H49">
            <v>4868.16</v>
          </cell>
        </row>
        <row r="50">
          <cell r="A50" t="str">
            <v>B10</v>
          </cell>
          <cell r="C50" t="str">
            <v>11.15-v_</v>
          </cell>
          <cell r="D50" t="str">
            <v>7f8f] kl§jf6 ;'Vvf O{6f 5fKg] sfd -lrDgL e§f_</v>
          </cell>
          <cell r="E50" t="str">
            <v>j=dL=</v>
          </cell>
          <cell r="G50">
            <v>3446.0695652173913</v>
          </cell>
          <cell r="H50">
            <v>3962.98</v>
          </cell>
        </row>
        <row r="51">
          <cell r="A51" t="str">
            <v>B11</v>
          </cell>
          <cell r="C51" t="str">
            <v>15.25-v_</v>
          </cell>
          <cell r="D51" t="str">
            <v>5]pjf6 78\fOPsf] -@%) ldld prfO{ u/L_ O{6fn] PlhË ug{] sfo{ . -d]zLg d]8_</v>
          </cell>
          <cell r="E51" t="str">
            <v>j=dL=</v>
          </cell>
          <cell r="G51">
            <v>77.513043478260869</v>
          </cell>
          <cell r="H51">
            <v>89.14</v>
          </cell>
        </row>
        <row r="52">
          <cell r="A52" t="str">
            <v>B12</v>
          </cell>
          <cell r="C52" t="str">
            <v>15.25-v_</v>
          </cell>
          <cell r="D52" t="str">
            <v>5]pjf6 78\fOPsf] -@%) ldld prfO{ u/L_ O{6fn] PlhË ug{] sfo{ . -lrDgL e§f_</v>
          </cell>
          <cell r="E52" t="str">
            <v>j=dL=</v>
          </cell>
          <cell r="G52">
            <v>59.678260869565214</v>
          </cell>
          <cell r="H52">
            <v>68.63</v>
          </cell>
        </row>
        <row r="53">
          <cell r="A53" t="str">
            <v>B13</v>
          </cell>
          <cell r="C53" t="str">
            <v>15.27-s_</v>
          </cell>
          <cell r="D53" t="str">
            <v>O{6fsf] k]ed]G6————O{6fsf] hf]gL{df !M^ l;d]G6 d;nfdf 3';fO{ ghLs 6Ff;L ldnfpg] sfo{ . -s_ Ps Ps ul/ r]K6f] kfl/ k]ed]G6 ug]{  -d]zLg d]8_</v>
          </cell>
          <cell r="E53" t="str">
            <v>j=dL=</v>
          </cell>
          <cell r="G53">
            <v>262.73913043478257</v>
          </cell>
          <cell r="H53">
            <v>302.14999999999998</v>
          </cell>
        </row>
        <row r="54">
          <cell r="A54" t="str">
            <v>B14</v>
          </cell>
          <cell r="C54" t="str">
            <v>15.27-v_</v>
          </cell>
          <cell r="D54" t="str">
            <v>O{6fsf] k]ed]G6————O{6fsf] hf]gL{df !M^ l;d]G6 d;nfdf 3';fO{ ghLs 6Ff;L ldnfpg] sfo{ . -s_ Ps Ps ul/ ;fO{8af6 78ofO{ k]ed]G6 ug]{  -d]zLg d]8_</v>
          </cell>
          <cell r="E54" t="str">
            <v>j=dL=</v>
          </cell>
          <cell r="G54">
            <v>440.57391304347829</v>
          </cell>
          <cell r="H54">
            <v>506.66</v>
          </cell>
        </row>
        <row r="55">
          <cell r="A55" t="str">
            <v>C1</v>
          </cell>
          <cell r="C55" t="str">
            <v>6.1-2_</v>
          </cell>
          <cell r="D55" t="str">
            <v>!M$ l;d]G6 jfn'jf d;nfdf 9'Ëfsf] -/a'n Ps v08 8«]l;Ë ;d]]t_ uf/f]sf] sfd, ;fx|f] Jns :6f]g pknAw ug{], d;nf tof/ ug{], d;nfdf uf/f] nufpg], ^ ld= prfO ;Dd sfd k"/f !) ld= ;Dd, 9'jfgL ;d]t .</v>
          </cell>
          <cell r="E55" t="str">
            <v>#=dL=</v>
          </cell>
          <cell r="G55">
            <v>3476.85</v>
          </cell>
          <cell r="H55">
            <v>3998.38</v>
          </cell>
        </row>
        <row r="56">
          <cell r="A56" t="str">
            <v>C2</v>
          </cell>
          <cell r="C56" t="str">
            <v>6.2-1_</v>
          </cell>
          <cell r="D56" t="str">
            <v>9'+Ëf -/a'n_ sf] ;'Vvf uf/f]sf] sfd, ;fx|f] Ans :6f]g pknJw ug{], uf/f] nufpg], % ld= prfO ;Dd sfd k"/f -#) ld= ;Dd 9'jfgL ;d]t_</v>
          </cell>
          <cell r="E56" t="str">
            <v>#=dL=</v>
          </cell>
          <cell r="G56">
            <v>1591.0347826086957</v>
          </cell>
          <cell r="H56">
            <v>1829.69</v>
          </cell>
        </row>
        <row r="57">
          <cell r="A57" t="str">
            <v>C3</v>
          </cell>
          <cell r="C57">
            <v>6.5</v>
          </cell>
          <cell r="D57" t="str">
            <v>husf] vfN8f]df 9'+Ëf eg{] / n]en ug{] sfd -#) ld= ;Ddsf] 9'jgL ;d]t_</v>
          </cell>
          <cell r="E57" t="str">
            <v>#=dL=</v>
          </cell>
          <cell r="G57">
            <v>1351.04</v>
          </cell>
          <cell r="H57">
            <v>1553.69</v>
          </cell>
        </row>
        <row r="58">
          <cell r="A58" t="str">
            <v>C4</v>
          </cell>
          <cell r="C58">
            <v>11.16</v>
          </cell>
          <cell r="D58" t="str">
            <v>;'Vvf 9'Ëf 5fKg] sfd .</v>
          </cell>
          <cell r="E58" t="str">
            <v>#=dL=</v>
          </cell>
          <cell r="G58">
            <v>2512.0347826086959</v>
          </cell>
          <cell r="H58">
            <v>2888.84</v>
          </cell>
        </row>
        <row r="59">
          <cell r="A59" t="str">
            <v>C5</v>
          </cell>
          <cell r="C59" t="str">
            <v>15.1-v_</v>
          </cell>
          <cell r="D59" t="str">
            <v>!M$ l;d]G6 d;nfdf 9'+uf -/a'n_ af6 l;d]G6 d;nfdf uf/f]df ;8s 5]psf] 9n agfpg] sfd dfn ;fdfg pknJw ug{], uf/f] cflb tof/ ug{], #) ld= ;Dd 9'jfgL ;d]t .</v>
          </cell>
          <cell r="E59" t="str">
            <v>#=dL=</v>
          </cell>
          <cell r="G59">
            <v>3454.85</v>
          </cell>
          <cell r="H59">
            <v>3973.07</v>
          </cell>
        </row>
        <row r="60">
          <cell r="A60" t="str">
            <v>C6</v>
          </cell>
          <cell r="C60">
            <v>15.2</v>
          </cell>
          <cell r="D60" t="str">
            <v>9'+uf -/j'n_ af6 ;"Vvf uf/f]df ;8s 5]psf] 9n agfpg] sfd, dfn;fdfg pknAw ug]{, uf/f] cfbL tof/ ug]{, #) ld= ;Dd 9'jfgL ;d]t .</v>
          </cell>
          <cell r="E60" t="str">
            <v>#=dL=</v>
          </cell>
          <cell r="G60">
            <v>1740.4869565217391</v>
          </cell>
          <cell r="H60">
            <v>2001.56</v>
          </cell>
        </row>
        <row r="61">
          <cell r="A61" t="str">
            <v>D1</v>
          </cell>
          <cell r="C61" t="str">
            <v>7.2-u_</v>
          </cell>
          <cell r="D61" t="str">
            <v>lk=l;=l;= ! M # M ^ efudf hu, leQf, kvf{ndf l;d]G6 s+s[6 ug{] sfd, dfn ;fdfg pknJw ug{] -#) ld= ;Dd 9'jfgL ;d]t_</v>
          </cell>
          <cell r="E61" t="str">
            <v>#=dL=</v>
          </cell>
          <cell r="G61">
            <v>3596.21</v>
          </cell>
          <cell r="H61">
            <v>4135.6400000000003</v>
          </cell>
        </row>
        <row r="62">
          <cell r="A62" t="str">
            <v>D2</v>
          </cell>
          <cell r="C62" t="str">
            <v>7.2-#_</v>
          </cell>
          <cell r="D62" t="str">
            <v>lk=l;=l;=! M @ M$ efudf hu, leQf, kvf{ndf l;d]G6 s+s[6 ug{] sfd, dfn ;fdfg pknJw ug{] -#) ld= ;Dd 9'jfgL ;d]t_</v>
          </cell>
          <cell r="E62" t="str">
            <v>#=dL=</v>
          </cell>
          <cell r="G62">
            <v>4032.09</v>
          </cell>
          <cell r="H62">
            <v>4636.8999999999996</v>
          </cell>
        </row>
        <row r="63">
          <cell r="A63" t="str">
            <v>D3</v>
          </cell>
          <cell r="C63" t="str">
            <v>7.3-v_</v>
          </cell>
          <cell r="D63" t="str">
            <v>lk l; l; ! M @ M $ efudf Pa6\d]G6 lz6, lko/ s]kdf l;d]G6 s+s[6 ug{] sfd, dfn ;fdfg pknJw ug{] cflb sfd k"/f -#) ld= ;Dd 9'jfgL ;d]t_</v>
          </cell>
          <cell r="E63" t="str">
            <v>#=dL=</v>
          </cell>
          <cell r="G63">
            <v>4673.5826086956522</v>
          </cell>
          <cell r="H63">
            <v>5374.62</v>
          </cell>
        </row>
        <row r="64">
          <cell r="A64" t="str">
            <v>D4</v>
          </cell>
          <cell r="C64" t="str">
            <v>7.4-s_</v>
          </cell>
          <cell r="D64" t="str">
            <v>lk l; l; ! M @ M $ efudf ;'k/ :6«Sr/, 8}s :n}j ljdx?df l;d]G6 s+s[6 ug{] sfd, dfn ;fdfg pknJw ug{] -#) ld= ;Dd 9'jfgL ;d]t_</v>
          </cell>
          <cell r="E64" t="str">
            <v>#=dL=</v>
          </cell>
          <cell r="G64">
            <v>4403.2</v>
          </cell>
          <cell r="H64">
            <v>5063.68</v>
          </cell>
        </row>
        <row r="65">
          <cell r="A65" t="str">
            <v>D5</v>
          </cell>
          <cell r="C65" t="str">
            <v>7.4-v_</v>
          </cell>
          <cell r="D65" t="str">
            <v>lk l; l; ! M !=% M # efudf ;'k/ :6«Sr/, 8}s :n}j ljdx?df l;d]G6 s+s[6 ug{] sfd, dfn ;fdfg pknJw ug{] -#) ld= ;Dd 9'jfgL ;d]t_</v>
          </cell>
          <cell r="E65" t="str">
            <v>#=dL=</v>
          </cell>
          <cell r="G65">
            <v>4773.4521739130432</v>
          </cell>
          <cell r="H65">
            <v>5489.47</v>
          </cell>
        </row>
        <row r="66">
          <cell r="A66" t="str">
            <v>D6</v>
          </cell>
          <cell r="C66">
            <v>7.5</v>
          </cell>
          <cell r="D66" t="str">
            <v>cf/ l; l; sf] nflu kmnfd] 808L sf6\g] jfWg] df]8\g] gS;f cg';f/ 7fpFdf /fVg] 808L jfWg] tf/4f/f / #) ld=;Dd 9'jfgL ;d]t .</v>
          </cell>
          <cell r="E66" t="str">
            <v>d]=^g</v>
          </cell>
          <cell r="G66">
            <v>35517.973913043475</v>
          </cell>
          <cell r="H66">
            <v>40845.67</v>
          </cell>
        </row>
        <row r="67">
          <cell r="A67" t="str">
            <v>D7</v>
          </cell>
          <cell r="C67" t="str">
            <v>8.2-s_</v>
          </cell>
          <cell r="D67" t="str">
            <v>kmz{, :n}a h:tf] sfddf sf7sf] kmdf{ nufpg] sfd, dfn ;fdfgsf] pknlAw, 5gf}6 ug{], gSzf cg';f/ kmdf{ /fVg], lsNnf / c:t/ nufpg], kmdf{ lemSg], x6fpg], #) ld= ;Dd 9'jfgL ;d]t .</v>
          </cell>
          <cell r="E67" t="str">
            <v>j=dL=</v>
          </cell>
          <cell r="G67">
            <v>435.33913043478259</v>
          </cell>
          <cell r="H67">
            <v>500.64</v>
          </cell>
        </row>
        <row r="68">
          <cell r="A68" t="str">
            <v>D8</v>
          </cell>
          <cell r="C68" t="str">
            <v xml:space="preserve">8.4-s_ </v>
          </cell>
          <cell r="D68" t="str">
            <v>:6«Sr/sf]  ladsf] nflu kmdf{ jgfpg] sfd, dfn ;fdfgsf] pknlAw, 5gf}6 ug{], gSzf cg';f/ kmdf{ /fVg], lsNnf / c:t/ nufpg], cfOln+u eTsfpg] ,kmdf{ lemSg], x6fpg], #) ld= ;Dd 9'jfgL ;d]t .                                    -s_ ljdsf] prfO[ )=#) dL= ;Dd .</v>
          </cell>
          <cell r="E68" t="str">
            <v>j=dL=</v>
          </cell>
          <cell r="G68">
            <v>515.24347826086955</v>
          </cell>
          <cell r="H68">
            <v>592.53</v>
          </cell>
        </row>
        <row r="69">
          <cell r="A69" t="str">
            <v>D9</v>
          </cell>
          <cell r="C69" t="str">
            <v xml:space="preserve">11.8-s_ </v>
          </cell>
          <cell r="D69" t="str">
            <v>%) ld=ld=afSnf] lk|sf:6 lk=l;=l;=Ans -(=%ÆX (=%Æ_5fKg] sfd , !M$ efu l;d]G6 M afn'jf d;nfdf hf]8L nufpg] .  -k|lt Ps uf]6f  Ö )=&amp;^^ ju{ km'6_    - ! a=ld=Ö !)=&amp;^ ju{ km'6_</v>
          </cell>
          <cell r="E69" t="str">
            <v>j=dL=</v>
          </cell>
          <cell r="G69">
            <v>627.4</v>
          </cell>
          <cell r="H69">
            <v>721.51</v>
          </cell>
        </row>
        <row r="70">
          <cell r="A70" t="str">
            <v>D10</v>
          </cell>
          <cell r="C70">
            <v>11.2</v>
          </cell>
          <cell r="D70" t="str">
            <v># ld=ld= df]6fO{df l;d]G6 dl;gf] 3f]6\g] sfd .</v>
          </cell>
          <cell r="E70" t="str">
            <v>j=dL=</v>
          </cell>
          <cell r="G70">
            <v>62.08695652173914</v>
          </cell>
          <cell r="H70">
            <v>71.400000000000006</v>
          </cell>
        </row>
        <row r="71">
          <cell r="A71" t="str">
            <v>D11</v>
          </cell>
          <cell r="C71" t="str">
            <v>12.1-v_</v>
          </cell>
          <cell r="D71" t="str">
            <v>!M# efudf !@=%) ld=ld= afSnf] l;d]G6 afn'jf Knfi6/ ug{] .</v>
          </cell>
          <cell r="E71" t="str">
            <v>j=dL=</v>
          </cell>
          <cell r="G71">
            <v>0</v>
          </cell>
          <cell r="H71">
            <v>0</v>
          </cell>
        </row>
        <row r="72">
          <cell r="A72" t="str">
            <v>D12</v>
          </cell>
          <cell r="C72" t="str">
            <v>12.1-u_</v>
          </cell>
          <cell r="D72" t="str">
            <v>!M$ efudf !@=%) ld=ld= afSnf] l;d]G6 afn'jf Knfi6/ ug{] .</v>
          </cell>
          <cell r="E72" t="str">
            <v>j=dL=</v>
          </cell>
          <cell r="G72">
            <v>0</v>
          </cell>
          <cell r="H72">
            <v>0</v>
          </cell>
        </row>
        <row r="73">
          <cell r="A73" t="str">
            <v>D13</v>
          </cell>
          <cell r="C73" t="str">
            <v>12.1-#_</v>
          </cell>
          <cell r="D73" t="str">
            <v>!M^ efudf !@=%) ld=ld= afSnf] l;d]G6 afn'jf Knfi6/ ug{] .</v>
          </cell>
          <cell r="E73" t="str">
            <v>j=dL=</v>
          </cell>
          <cell r="G73">
            <v>0</v>
          </cell>
          <cell r="H73">
            <v>0</v>
          </cell>
        </row>
        <row r="74">
          <cell r="A74" t="str">
            <v>D14</v>
          </cell>
          <cell r="C74" t="str">
            <v>14.2-s_</v>
          </cell>
          <cell r="D74" t="str">
            <v>af]N8/ 9'Ëfsf] uf/f]df kmn;\ ¿n l6Ksf/ ug]{ sfd .  -s_ ! M ! l;d]G6 jfn'jfdf .</v>
          </cell>
          <cell r="E74" t="str">
            <v>j=dL=</v>
          </cell>
          <cell r="G74">
            <v>0</v>
          </cell>
          <cell r="H74">
            <v>0</v>
          </cell>
        </row>
        <row r="75">
          <cell r="A75" t="str">
            <v>D15</v>
          </cell>
          <cell r="C75" t="str">
            <v>14.2-v_</v>
          </cell>
          <cell r="D75" t="str">
            <v>af]N8/ 9'Ëfsf] uf/f]df kmn;\ ¿n l6Ksf/ ug]{ sfd . -s_ ! M @ l;d]G6 jfn'jfdf .</v>
          </cell>
          <cell r="E75" t="str">
            <v>j=dL=</v>
          </cell>
          <cell r="G75">
            <v>0</v>
          </cell>
          <cell r="H75">
            <v>0</v>
          </cell>
        </row>
        <row r="76">
          <cell r="A76" t="str">
            <v>D16</v>
          </cell>
          <cell r="C76">
            <v>24.8</v>
          </cell>
          <cell r="D76" t="str">
            <v># ld=ld= afSnf] kmn;\ Knfi6/ l;d]G6df ug]{ sfd .</v>
          </cell>
          <cell r="E76" t="str">
            <v>j=dL=</v>
          </cell>
          <cell r="G76">
            <v>0</v>
          </cell>
          <cell r="H76">
            <v>0</v>
          </cell>
        </row>
        <row r="77">
          <cell r="A77" t="str">
            <v>D17</v>
          </cell>
          <cell r="C77" t="str">
            <v>6.6-s_,8.2-s_,7.4-v_</v>
          </cell>
          <cell r="D77" t="str">
            <v>sj{:6f]g h8fg ug]{ sfo{ -;km]{; Pl/of )=)&amp;@ j=dL=_  !M# efu l;d]G6 jf d;nfdf !*=&amp;% dL=dL= jfSnf] df]6fOdf hf]8fO ug]{ ;d]t . -sj{:6f]g ;d]t_</v>
          </cell>
          <cell r="E77" t="str">
            <v>/=dL=</v>
          </cell>
          <cell r="G77">
            <v>0</v>
          </cell>
          <cell r="H77">
            <v>0</v>
          </cell>
        </row>
        <row r="78">
          <cell r="A78" t="str">
            <v>D18</v>
          </cell>
          <cell r="C78" t="str">
            <v>6.6-s_,8.2-s_,7.4-v_</v>
          </cell>
          <cell r="D78" t="str">
            <v>sj{:6f]g h8fg ug]{ sfo{ -;km]{; Pl/of )=)&amp;@ j=dL=_  !M# efu l;d]G6 jf d;nfdf !*=&amp;% dL=dL= jfSnf] df]6fOdf hf]8fO ug]{ ;d]t . -sj{:6f]g jfx]s_</v>
          </cell>
          <cell r="E78" t="str">
            <v>/=dL=</v>
          </cell>
          <cell r="G78">
            <v>0</v>
          </cell>
          <cell r="H78">
            <v>0</v>
          </cell>
        </row>
        <row r="79">
          <cell r="A79" t="str">
            <v>E1</v>
          </cell>
          <cell r="C79" t="str">
            <v>15.4-s_</v>
          </cell>
          <cell r="D79" t="str">
            <v>!) ;]=ld= ux/fO{ ;Dd ;fdfGo df6f]df df6f] sf6L ;ju|]8 tof/ ug{] sfd !) ld= 9'jfgL / kG5fpGg] ;d]t .</v>
          </cell>
          <cell r="E79" t="str">
            <v>a=dL=</v>
          </cell>
          <cell r="G79">
            <v>13.2</v>
          </cell>
          <cell r="H79">
            <v>15.18</v>
          </cell>
        </row>
        <row r="80">
          <cell r="A80" t="str">
            <v>E2</v>
          </cell>
          <cell r="C80" t="str">
            <v>15.4-v_</v>
          </cell>
          <cell r="D80" t="str">
            <v>;]=ld= @) ux/fO{ ;Dd ;fdfGo df6f]df df6f] sf6L ;ju|]8 tof/ ug{] sfd !) ld= 9'jfgL / kG5fpGg] ;d]t .</v>
          </cell>
          <cell r="E80" t="str">
            <v>a=dL=</v>
          </cell>
          <cell r="G80">
            <v>19.8</v>
          </cell>
          <cell r="H80">
            <v>22.77</v>
          </cell>
        </row>
        <row r="81">
          <cell r="A81" t="str">
            <v>E3</v>
          </cell>
          <cell r="C81" t="str">
            <v>15.4-u_</v>
          </cell>
          <cell r="D81" t="str">
            <v>#) ;]=ld= ux/fO{ ;Dd ;fdfGo df6f]df df6f] sf6L ;ju|]8 tof/ ug{] sfd !) ld= 9'jfgL / kG5fpGg] ;d]t .</v>
          </cell>
          <cell r="E81" t="str">
            <v>a=dL=</v>
          </cell>
          <cell r="G81">
            <v>26.4</v>
          </cell>
          <cell r="H81">
            <v>30.36</v>
          </cell>
        </row>
        <row r="82">
          <cell r="A82" t="str">
            <v>E4</v>
          </cell>
          <cell r="C82" t="str">
            <v>15.5-s_</v>
          </cell>
          <cell r="D82" t="str">
            <v>-@)–$)_Ü ;Dd 9'Ëf ldl;Psf] ;fdfGo df6f]df !) ;]=ld= ux/fO{ df6f] sf6L ;ju|]8 tof/ ug{] sfd  !) ld= ;Ddsf] 9'jfgL / kG5fpg] sfd .</v>
          </cell>
          <cell r="E82" t="str">
            <v>a=dL=</v>
          </cell>
          <cell r="G82">
            <v>28.6</v>
          </cell>
          <cell r="H82">
            <v>32.89</v>
          </cell>
        </row>
        <row r="83">
          <cell r="A83" t="str">
            <v>E5</v>
          </cell>
          <cell r="C83" t="str">
            <v>15.5-u_</v>
          </cell>
          <cell r="D83" t="str">
            <v>-@)–$)_Ü ;Dd 9'Ëf ldl;Psf] ;fdfGo df6f]df 2) ;]=ld= ux/fO{ df6f] sf6L ;ju|]8 tof/ ug{] sfd  !) ld= ;Ddsf] 9'jfgL / kG5fpg] sfd .</v>
          </cell>
          <cell r="E83" t="str">
            <v>a=dL=</v>
          </cell>
          <cell r="G83">
            <v>39.6</v>
          </cell>
          <cell r="H83">
            <v>45.54</v>
          </cell>
        </row>
        <row r="84">
          <cell r="A84" t="str">
            <v>E6</v>
          </cell>
          <cell r="C84" t="str">
            <v>15.5-ª_</v>
          </cell>
          <cell r="D84" t="str">
            <v>-@)–$)_Ü ;Dd 9'Ëf ldl;Psf] ;fdfGo df6f]df #) ;]=ld= ux/fO{ df6f] sf6L ;ju|]8 tof/ ug{] sfd  !) ld= ;Ddsf] 9'jfgL / kG5fpg] sfd .</v>
          </cell>
          <cell r="E84" t="str">
            <v>a=dL=</v>
          </cell>
          <cell r="G84">
            <v>51.695652173913047</v>
          </cell>
          <cell r="H84">
            <v>59.45</v>
          </cell>
        </row>
        <row r="85">
          <cell r="A85" t="str">
            <v>E7</v>
          </cell>
          <cell r="C85" t="str">
            <v>15.5-v_</v>
          </cell>
          <cell r="D85" t="str">
            <v>-$)—^)_Ü ;Dd 9'Ëf ldl;Psf] ;fdfGo df6f]df !) ;]=ld= ux/fO{ df6f] sf6L ;ju|]8 tof/ ug{] sfd  !) ld= ;Ddsf] 9'jfgL / kG5fpg] sfd .</v>
          </cell>
          <cell r="E85" t="str">
            <v>a=dL=</v>
          </cell>
          <cell r="G85">
            <v>31.895652173913042</v>
          </cell>
          <cell r="H85">
            <v>36.68</v>
          </cell>
        </row>
        <row r="86">
          <cell r="A86" t="str">
            <v>E8</v>
          </cell>
          <cell r="C86" t="str">
            <v>15.5-#_</v>
          </cell>
          <cell r="D86" t="str">
            <v>-$)—^)_Ü ;Dd 9'Ëf ldl;Psf] ;fdfGo df6f]df 2) ;]=ld= ux/fO{ df6f] sf6L ;ju|]8 tof/ ug{] sfd  !) ld= ;Ddsf] 9'jfgL / kG5fpg] sfd .</v>
          </cell>
          <cell r="E86" t="str">
            <v>a=dL=</v>
          </cell>
          <cell r="G86">
            <v>45.095652173913045</v>
          </cell>
          <cell r="H86">
            <v>51.86</v>
          </cell>
        </row>
        <row r="87">
          <cell r="A87" t="str">
            <v>E9</v>
          </cell>
          <cell r="C87" t="str">
            <v>15.5-r_</v>
          </cell>
          <cell r="D87" t="str">
            <v>-$)—^)_Ü ;Dd 9'Ëf ldl;Psf] ;fdfGo df6f]df #) ;]=ld= ux/fO{ df6f] sf6L ;ju|]8 tof/ ug{] sfd  !) ld= ;Ddsf] 9'jfgL / kG5fpg] sfd .</v>
          </cell>
          <cell r="E87" t="str">
            <v>a=dL=</v>
          </cell>
          <cell r="G87">
            <v>58.295652173913048</v>
          </cell>
          <cell r="H87">
            <v>67.040000000000006</v>
          </cell>
        </row>
        <row r="88">
          <cell r="A88" t="str">
            <v>E10</v>
          </cell>
          <cell r="C88" t="str">
            <v>15.9-s_</v>
          </cell>
          <cell r="D88" t="str">
            <v>!) ;]=ld= 7f]; df]6fO{df jfn'jf ldl;Psf] u|fe]nsf] ;jj]; cf]5\ofpg] sfd dfn ;fdfg nf]8 ug{], n}hfg], ;tx ldnfpg] !) ld= ;Dd 9'fjgL ug} cfbL sfd ;d]t .</v>
          </cell>
          <cell r="E88" t="str">
            <v>a=dL=</v>
          </cell>
          <cell r="G88">
            <v>119.12</v>
          </cell>
          <cell r="H88">
            <v>136.99</v>
          </cell>
        </row>
        <row r="89">
          <cell r="A89" t="str">
            <v>E11</v>
          </cell>
          <cell r="C89" t="str">
            <v>15.9-u_</v>
          </cell>
          <cell r="D89" t="str">
            <v>!% ;]=ld= 7f]; df]6fO{df jfn'jf ldl;Psf] u|fe]nsf] ;jj]; cf]5\ofpg] sfd dfn ;fdfg nf]8 ug{], n}hfg], ;tx ldnfpg] !) ld= ;Dd 9'fjgL ug} cfbL sfd ;d]t .</v>
          </cell>
          <cell r="E89" t="str">
            <v>a=dL=</v>
          </cell>
          <cell r="G89">
            <v>174.36</v>
          </cell>
          <cell r="H89">
            <v>200.52</v>
          </cell>
        </row>
        <row r="90">
          <cell r="A90" t="str">
            <v>E12</v>
          </cell>
          <cell r="C90" t="str">
            <v>15.12-cf_s</v>
          </cell>
          <cell r="D90" t="str">
            <v>^ ;]=ld= 7f]; df]6fO{df s'6]sf] 9'+ufdf w'nf] ldnfO{ -:6f]g 8:6 j08 dfsf8d sf];{_ cf]5\ofpg] sfd /f]8fnfO{ txdf ldnfO{ 9+ufsf] w'nf] km}nfpg] sfd ;d]t .</v>
          </cell>
          <cell r="E90" t="str">
            <v>a=dL=</v>
          </cell>
          <cell r="G90">
            <v>97.65</v>
          </cell>
          <cell r="H90">
            <v>112.33</v>
          </cell>
        </row>
        <row r="91">
          <cell r="A91" t="str">
            <v>E13</v>
          </cell>
          <cell r="C91" t="str">
            <v>15.12-cf_v</v>
          </cell>
          <cell r="D91" t="str">
            <v>* ;]=ld= 7f]; df]6fO{df s'6]sf] 9'+ufdf w'nf] ldnfO{ -:6f]g 8:6 j08 dfsf8d sf];{_ cf]5\ofpg] sfd /f]8fnfO{ txdf ldnfO{ 9+ufsf] w'nf] km}nfpg] sfd ;d]t .</v>
          </cell>
          <cell r="E91" t="str">
            <v>a=dL=</v>
          </cell>
          <cell r="G91">
            <v>133.47999999999999</v>
          </cell>
          <cell r="H91">
            <v>153.5</v>
          </cell>
        </row>
        <row r="92">
          <cell r="A92" t="str">
            <v>E14</v>
          </cell>
          <cell r="C92" t="str">
            <v>15.12-c_u</v>
          </cell>
          <cell r="D92" t="str">
            <v>!) ;]=ld= 7f]; df]6fO{df s'6]sf] 9'+ufdf w'nf] ldnfO{ -:6f]g 8:6 j08 dfsf8d sf];{_ cf]5\ofpg] sfd /f]8fnfO{ txdf ldnfO{ 9+ufsf] w'nf] km}nfpg] sfd ;d]t .</v>
          </cell>
          <cell r="E92" t="str">
            <v>a=dL=</v>
          </cell>
          <cell r="G92">
            <v>162.27000000000001</v>
          </cell>
          <cell r="H92">
            <v>186.61</v>
          </cell>
        </row>
        <row r="93">
          <cell r="A93" t="str">
            <v>E15</v>
          </cell>
          <cell r="C93" t="str">
            <v>15.12-c_r</v>
          </cell>
          <cell r="D93" t="str">
            <v>!% ;]=ld= 7f]; df]6fO{df s'6]sf] 9'+ufdf w'nf] ldnfO{ -:6f]g 8:6 j08 dfsf8d sf];{_ cf]5\ofpg] sfd /f]8fnfO{ txdf ldnfO{ 9+ufsf] w'nf] km}nfpg] sfd ;d]t .</v>
          </cell>
          <cell r="E93" t="str">
            <v>a=dL=</v>
          </cell>
          <cell r="G93">
            <v>217.45217391304348</v>
          </cell>
          <cell r="H93">
            <v>250.07</v>
          </cell>
        </row>
        <row r="94">
          <cell r="A94" t="str">
            <v>E16</v>
          </cell>
          <cell r="C94" t="str">
            <v>15.4-s_,15.5-s_,15.12-cf=u_</v>
          </cell>
          <cell r="D94" t="str">
            <v>!) ;]=ld= ux/fO{ ;Dd -k"/fgf] lkr ;8s ;tx_ vgk"/ u/L, kfgL 5sL{, sDk]Szg ;d]t u/L ;ju|]8 tof/ ug{] sfd .</v>
          </cell>
          <cell r="E94" t="str">
            <v>j=dL</v>
          </cell>
          <cell r="G94">
            <v>26.48</v>
          </cell>
          <cell r="H94">
            <v>30.46</v>
          </cell>
        </row>
        <row r="95">
          <cell r="A95" t="str">
            <v>E17</v>
          </cell>
          <cell r="D95" t="str">
            <v>k"/fg]f d+ufn km"6fO, Dofgxf]n se/ ldmls, ;"/lIft ;fy /fvL cfjZostf cg";f/ d+ufnsf] prfO{ 36j9 u/L se/ k"gM oyfj:yfgdf /fVg] sfd .</v>
          </cell>
          <cell r="E95" t="str">
            <v>;+Vof</v>
          </cell>
          <cell r="G95">
            <v>1000</v>
          </cell>
          <cell r="H95">
            <v>550</v>
          </cell>
        </row>
        <row r="96">
          <cell r="A96" t="str">
            <v>E18</v>
          </cell>
          <cell r="D96" t="str">
            <v>cfjZos ;fO{hsf] sf:6 cfO/gsf] r's'n;lxtsf] lu|8 se/ h8fg ug]{ sfd .</v>
          </cell>
          <cell r="E96" t="str">
            <v>;+Vof</v>
          </cell>
          <cell r="G96">
            <v>3000</v>
          </cell>
          <cell r="H96">
            <v>4500</v>
          </cell>
        </row>
        <row r="97">
          <cell r="A97" t="str">
            <v>E19</v>
          </cell>
          <cell r="D97" t="str">
            <v>sfnf]kq] ug]{ If]qdf emf/kft ;kmf ug]{, kmf]x/ ;kmf ug]{, vfN8fv"N8L k"g]{ cfbL sfd .</v>
          </cell>
          <cell r="E97" t="str">
            <v>Psd"i^</v>
          </cell>
          <cell r="G97">
            <v>0</v>
          </cell>
          <cell r="H97">
            <v>0</v>
          </cell>
        </row>
        <row r="98">
          <cell r="A98" t="str">
            <v>E20</v>
          </cell>
          <cell r="D98" t="str">
            <v>k"/fgf] u|fe]n ;8sdf jfn'jf ldl;Psf] u|fen /fvL kfgL 5sL{ /f]lnª u/L ;tx ;'wf/ ug]{ sfd .</v>
          </cell>
          <cell r="E98" t="str">
            <v>#=dL=</v>
          </cell>
          <cell r="G98">
            <v>0</v>
          </cell>
          <cell r="H98">
            <v>0</v>
          </cell>
        </row>
        <row r="99">
          <cell r="A99" t="str">
            <v>E21</v>
          </cell>
          <cell r="D99" t="str">
            <v>k"/fgf] 8An'=lj=Pd= ;txsf] cG8"n];g, u|]8, SofDj/ cfbL ldnfO{ jf6/ jfp08 d]sf8d ;tx ;"wf/ ug]{ sfo{ .</v>
          </cell>
          <cell r="E99" t="str">
            <v>#=dL=</v>
          </cell>
          <cell r="G99">
            <v>0</v>
          </cell>
          <cell r="H99">
            <v>0</v>
          </cell>
        </row>
        <row r="100">
          <cell r="A100" t="str">
            <v>F1</v>
          </cell>
          <cell r="C100" t="str">
            <v>15.16-s_</v>
          </cell>
          <cell r="D100" t="str">
            <v>jf6/ afp08 dfsf8d ;txdf dfyL tf/ a'|; / s'rf]jf6 ;tx ;kmf ug{] sfd  -lkr 5g{' eGbf klxn]_ .</v>
          </cell>
          <cell r="E100" t="str">
            <v>j=dL=</v>
          </cell>
          <cell r="G100">
            <v>2.75</v>
          </cell>
          <cell r="H100">
            <v>3.16</v>
          </cell>
        </row>
        <row r="101">
          <cell r="A101" t="str">
            <v>F2</v>
          </cell>
          <cell r="C101" t="str">
            <v>15.16-v_</v>
          </cell>
          <cell r="D101" t="str">
            <v>cGo ;8s ;txdf tf/ a'|; / s'rf] nufO{ ;kmf ug{] sfd .</v>
          </cell>
          <cell r="E101" t="str">
            <v>j=dL=</v>
          </cell>
          <cell r="G101">
            <v>2.1999999999999997</v>
          </cell>
          <cell r="H101">
            <v>2.5299999999999998</v>
          </cell>
        </row>
        <row r="102">
          <cell r="A102" t="str">
            <v>F3</v>
          </cell>
          <cell r="C102" t="str">
            <v>15.17-s_</v>
          </cell>
          <cell r="D102" t="str">
            <v>k'/fgf] lkr ;tx dfyL dfn ;fdfg pknJw u/L 6}+s sf]6 nufpg] sfd .  -bfp/fjf6 df; js{||_ -lj6'dLg ;d]t_</v>
          </cell>
          <cell r="E102" t="str">
            <v>j=dL=</v>
          </cell>
          <cell r="G102">
            <v>27.85</v>
          </cell>
          <cell r="H102">
            <v>32.020000000000003</v>
          </cell>
          <cell r="I102" t="str">
            <v>lj^"dLg ;d]t</v>
          </cell>
        </row>
        <row r="103">
          <cell r="A103" t="str">
            <v>F4</v>
          </cell>
          <cell r="C103" t="str">
            <v>15.17-s_</v>
          </cell>
          <cell r="D103" t="str">
            <v>k'/fgf] lkr ;tx dfyL dfn ;fdfg pknJw u/L 6}+s sf]6 nufpg] sfd .  -bfp/fjf6 df; js{||_ -lj6'dLg jfx]s_</v>
          </cell>
          <cell r="E103" t="str">
            <v>j=dL=</v>
          </cell>
          <cell r="G103">
            <v>0</v>
          </cell>
          <cell r="H103">
            <v>0</v>
          </cell>
          <cell r="I103" t="str">
            <v>lj^'ldg afx]s</v>
          </cell>
        </row>
        <row r="104">
          <cell r="A104" t="str">
            <v>F5</v>
          </cell>
          <cell r="C104" t="str">
            <v>15.17-v_</v>
          </cell>
          <cell r="D104" t="str">
            <v xml:space="preserve"> a];sf];{-;tx_ dfyL dfn ;fdfg pknJw u/L 6}+s sf]6 nufpg] sfd . -bfp/fjf6 df; js{||_ -lj6'dLg ;d]t_</v>
          </cell>
          <cell r="E104" t="str">
            <v>j=dL=</v>
          </cell>
          <cell r="G104">
            <v>45.04</v>
          </cell>
          <cell r="H104">
            <v>51.79</v>
          </cell>
          <cell r="I104" t="str">
            <v>lj^'ldg ;d]t</v>
          </cell>
        </row>
        <row r="105">
          <cell r="A105" t="str">
            <v>F6</v>
          </cell>
          <cell r="C105" t="str">
            <v>15.17-v_</v>
          </cell>
          <cell r="D105" t="str">
            <v xml:space="preserve"> a];sf];{-;tx_ dfyL dfn ;fdfg pknJw u/L 6}+s sf]6 nufpg] sfd . -bfp/fjf6 df; js{||_ -lj6'dLg jfx]s_</v>
          </cell>
          <cell r="E105" t="str">
            <v>j=dL=</v>
          </cell>
          <cell r="G105">
            <v>0</v>
          </cell>
          <cell r="H105">
            <v>0</v>
          </cell>
          <cell r="I105" t="str">
            <v>lj^'ldg afx]s</v>
          </cell>
        </row>
        <row r="106">
          <cell r="A106" t="str">
            <v>F7</v>
          </cell>
          <cell r="C106" t="str">
            <v>15.18-s_</v>
          </cell>
          <cell r="D106" t="str">
            <v>k'/fgf] lkr ;tx dfyL dfn ;fdfg pknJw u/L k|fOd sf]6 nufpg] sfd .  -bfp/fjf6 df; js{|| tyf s6Jofs %) Ü_ -lj6'dLg ;d]t_</v>
          </cell>
          <cell r="E106" t="str">
            <v>j=dL=</v>
          </cell>
          <cell r="G106">
            <v>22.713043478260868</v>
          </cell>
          <cell r="H106">
            <v>26.12</v>
          </cell>
          <cell r="I106" t="str">
            <v>lj^"dLg ;d]t</v>
          </cell>
        </row>
        <row r="107">
          <cell r="A107" t="str">
            <v>F8</v>
          </cell>
          <cell r="C107" t="str">
            <v>15.18-s_</v>
          </cell>
          <cell r="D107" t="str">
            <v>k'/fgf] lkr ;tx dfyL dfn ;fdfg pknJw u/L k|fOd sf]6 nufpg] sfd .  -bfp/fjf6 df; js{|| tyf s6Jofs %) Ü_ -lj6'dLg jfx]s_</v>
          </cell>
          <cell r="E107" t="str">
            <v>j=dL=</v>
          </cell>
          <cell r="G107">
            <v>0</v>
          </cell>
          <cell r="H107">
            <v>0</v>
          </cell>
          <cell r="I107" t="str">
            <v>lj^'ldg afx]s</v>
          </cell>
        </row>
        <row r="108">
          <cell r="A108" t="str">
            <v>F9</v>
          </cell>
          <cell r="C108" t="str">
            <v>15.18-v_</v>
          </cell>
          <cell r="D108" t="str">
            <v>a];sf];{ dfly k|fOd sf]6 nufpg] sfd dfn ;fdfg pknJw u/L  -bfp/fjf6 df; js{ tyf s6Jofs %) Ü{_ . -lj6'dLg ;d]t_</v>
          </cell>
          <cell r="E108" t="str">
            <v>j=dL=</v>
          </cell>
          <cell r="G108">
            <v>51.356521739130436</v>
          </cell>
          <cell r="H108">
            <v>59.06</v>
          </cell>
          <cell r="I108" t="str">
            <v>lj^"dLg ;d]t</v>
          </cell>
        </row>
        <row r="109">
          <cell r="A109" t="str">
            <v>F10</v>
          </cell>
          <cell r="C109" t="str">
            <v>15.18-v_</v>
          </cell>
          <cell r="D109" t="str">
            <v>a];sf];{ dfly k|fOd sf]6 nufpg] sfd dfn ;fdfg pknJw u/L  -bfp/fjf6 df; js{ tyf s6Jofs %) Ü{_ . -lj6'dLg jfx]s_</v>
          </cell>
          <cell r="E109" t="str">
            <v>j=dL=</v>
          </cell>
          <cell r="G109">
            <v>0</v>
          </cell>
          <cell r="H109">
            <v>0</v>
          </cell>
          <cell r="I109" t="str">
            <v>lj^'ldg afx]s</v>
          </cell>
        </row>
        <row r="110">
          <cell r="A110" t="str">
            <v>F11</v>
          </cell>
          <cell r="C110">
            <v>15.19</v>
          </cell>
          <cell r="D110" t="str">
            <v>Pssf]6 ;km{]; 8|\]l;Ë ug{] sfd . -:6Ln JxLn /f]n/ tyf bfp/fjf6 df; js{_ -lj6'dLg ;d]t_</v>
          </cell>
          <cell r="E110" t="str">
            <v>j=dL=</v>
          </cell>
          <cell r="G110">
            <v>106</v>
          </cell>
          <cell r="H110">
            <v>121.9</v>
          </cell>
          <cell r="I110" t="str">
            <v>lj^'ldg ;d]t</v>
          </cell>
        </row>
        <row r="111">
          <cell r="A111" t="str">
            <v>F12</v>
          </cell>
          <cell r="C111">
            <v>15.19</v>
          </cell>
          <cell r="D111" t="str">
            <v>Pssf]6 ;km{]; 8|\]l;Ë ug{] sfd . -:6Ln JxLn /f]n/ tyf bfp/fjf6 df; js{_ -lj6'dLg jfx]s_</v>
          </cell>
          <cell r="E111" t="str">
            <v>j=dL=</v>
          </cell>
          <cell r="G111">
            <v>0</v>
          </cell>
          <cell r="H111">
            <v>0</v>
          </cell>
          <cell r="I111" t="str">
            <v>lj^'ldg afx]s</v>
          </cell>
        </row>
        <row r="112">
          <cell r="A112" t="str">
            <v>F13</v>
          </cell>
          <cell r="C112">
            <v>15.19</v>
          </cell>
          <cell r="D112" t="str">
            <v>Pssf]6 ;km{]; 8|\]l;Ë ug{] sfd . -Go"d]l6s /f]n/ tyf bfp/fjf6 df; js{_ -lj6'dLg ;d]t_</v>
          </cell>
          <cell r="E112" t="str">
            <v>j=dL=</v>
          </cell>
          <cell r="G112">
            <v>106</v>
          </cell>
          <cell r="H112">
            <v>121.9</v>
          </cell>
          <cell r="I112" t="str">
            <v>lj^"dLg ;d]t</v>
          </cell>
        </row>
        <row r="113">
          <cell r="A113" t="str">
            <v>F14</v>
          </cell>
          <cell r="C113">
            <v>15.19</v>
          </cell>
          <cell r="D113" t="str">
            <v>Pssf]6 ;km{]; 8|\]l;Ë ug{] sfd . -Go"d]l6s /f]n/ tyf bfp/fjf6 df; js{_ -lj6'dLg jfx]s_</v>
          </cell>
          <cell r="E113" t="str">
            <v>j=dL=</v>
          </cell>
          <cell r="G113">
            <v>0</v>
          </cell>
          <cell r="H113">
            <v>0</v>
          </cell>
          <cell r="I113" t="str">
            <v>lj^'ldg afx]s</v>
          </cell>
        </row>
        <row r="114">
          <cell r="A114" t="str">
            <v>F15</v>
          </cell>
          <cell r="C114">
            <v>15.2</v>
          </cell>
          <cell r="D114" t="str">
            <v xml:space="preserve">b'O{ sf]6 ;km{]; 8|\]l;Ë ug{] sfd . -bfp/fjf6 df; js{ tyf :6Ln JxLn /f]n/ k|of]u u/L_ -lj6'dLg ;d]t_ </v>
          </cell>
          <cell r="E114" t="str">
            <v>j=dL=</v>
          </cell>
          <cell r="G114">
            <v>173</v>
          </cell>
          <cell r="H114">
            <v>198.95</v>
          </cell>
          <cell r="I114" t="str">
            <v>lj^"dLg ;d]t</v>
          </cell>
        </row>
        <row r="115">
          <cell r="A115" t="str">
            <v>F16</v>
          </cell>
          <cell r="C115">
            <v>15.2</v>
          </cell>
          <cell r="D115" t="str">
            <v xml:space="preserve">b'O{ sf]6 ;km{]; 8|\]l;Ë ug{] sfd . -bfp/fjf6 df; js{ tyf :6Ln JxLn /f]n/ k|of]u u/L_ -lj6'dLg jfx]s_ </v>
          </cell>
          <cell r="E115" t="str">
            <v>j=dL=</v>
          </cell>
          <cell r="G115">
            <v>0</v>
          </cell>
          <cell r="H115">
            <v>0</v>
          </cell>
          <cell r="I115" t="str">
            <v>lj^'ldg afx]s</v>
          </cell>
        </row>
        <row r="116">
          <cell r="A116" t="str">
            <v>F17</v>
          </cell>
          <cell r="C116">
            <v>15.2</v>
          </cell>
          <cell r="D116" t="str">
            <v>b'O{ sf]6 ;km{]; 8|\]l;Ë ug{] sfd .  -bfp/fjf6df; js{ tyf Go"d]l6s /f]n/ /f]n/ k|of]u u/L_ -lj6'dLg ;d]t_</v>
          </cell>
          <cell r="E116" t="str">
            <v>j=dL=</v>
          </cell>
          <cell r="G116">
            <v>177.50434782608696</v>
          </cell>
          <cell r="H116">
            <v>204.13</v>
          </cell>
          <cell r="I116" t="str">
            <v>lj^'ldg ;d]t</v>
          </cell>
        </row>
        <row r="117">
          <cell r="A117" t="str">
            <v>F18</v>
          </cell>
          <cell r="C117">
            <v>15.2</v>
          </cell>
          <cell r="D117" t="str">
            <v>b'O{ sf]6 ;km{]; 8|\]l;Ë ug{] sfd .  -bfp/fjf6df; js{ tyf Go"d]l6s /f]n/ /f]n/ k|of]u u/L_ -lj6'dLg jfx]s_</v>
          </cell>
          <cell r="E117" t="str">
            <v>j=dL=</v>
          </cell>
          <cell r="G117">
            <v>0</v>
          </cell>
          <cell r="H117">
            <v>0</v>
          </cell>
          <cell r="I117" t="str">
            <v>lj^'ldg afx]s</v>
          </cell>
        </row>
        <row r="118">
          <cell r="A118" t="str">
            <v>F19</v>
          </cell>
          <cell r="C118" t="str">
            <v>15.21-s_</v>
          </cell>
          <cell r="D118" t="str">
            <v>% ;]=ld= df]6fO{df ;]dLu|fp6LË ug{] sfd -bfp/fjf6 df;js{ _ -lj6'dLg ;d]t_</v>
          </cell>
          <cell r="E118" t="str">
            <v>j=dL=</v>
          </cell>
          <cell r="G118">
            <v>229.18260869565216</v>
          </cell>
          <cell r="H118">
            <v>263.56</v>
          </cell>
          <cell r="I118" t="str">
            <v>lj^"dLg ;d]t</v>
          </cell>
        </row>
        <row r="119">
          <cell r="A119" t="str">
            <v>F20</v>
          </cell>
          <cell r="C119" t="str">
            <v>15.21-s_</v>
          </cell>
          <cell r="D119" t="str">
            <v>% ;]=ld= df]6fO{df ;]dLu|fp6LË ug{] sfd -bfp/fjf6 df;js{ _ -lj6'dLg jfx]s_</v>
          </cell>
          <cell r="E119" t="str">
            <v>j=dL=</v>
          </cell>
          <cell r="G119">
            <v>0</v>
          </cell>
          <cell r="H119">
            <v>0</v>
          </cell>
          <cell r="I119" t="str">
            <v>lj^'ldg afx]s</v>
          </cell>
        </row>
        <row r="120">
          <cell r="A120" t="str">
            <v>F21</v>
          </cell>
          <cell r="C120" t="str">
            <v>15.21-s_</v>
          </cell>
          <cell r="D120" t="str">
            <v>% ;]=ld= df]6fO{df ;]dLu|fp6LË ug{] sfd -bfp/fjf6 Kofrjs{ _ -lj6'dLg ;d]t_</v>
          </cell>
          <cell r="E120" t="str">
            <v>j=dL=</v>
          </cell>
          <cell r="G120">
            <v>243.15652173913043</v>
          </cell>
          <cell r="H120">
            <v>279.63</v>
          </cell>
          <cell r="I120" t="str">
            <v>lj^"dLg ;d]t</v>
          </cell>
        </row>
        <row r="121">
          <cell r="A121" t="str">
            <v>F22</v>
          </cell>
          <cell r="C121" t="str">
            <v>15.21-s_</v>
          </cell>
          <cell r="D121" t="str">
            <v>% ;]=ld= df]6fO{df ;]dLu|fp6LË ug{] sfd -bfp/fjf6 Kofrjs{ _ -lj6'dLg jfx]s_</v>
          </cell>
          <cell r="E121" t="str">
            <v>j=dL=</v>
          </cell>
          <cell r="G121">
            <v>0</v>
          </cell>
          <cell r="H121">
            <v>0</v>
          </cell>
          <cell r="I121" t="str">
            <v>lj^'ldg afx]s</v>
          </cell>
        </row>
        <row r="122">
          <cell r="A122" t="str">
            <v>F23</v>
          </cell>
          <cell r="C122" t="str">
            <v>15.23-s_</v>
          </cell>
          <cell r="D122" t="str">
            <v>l;nsf]6 ug{] sfd sDk]S;g ;d]t-:6LnJxLn /f]n/ tyf bfp/fjf6df; js{_ - lrkl;n _ -lj6'dLg ;d]t_</v>
          </cell>
          <cell r="E122" t="str">
            <v>j=dL=</v>
          </cell>
          <cell r="G122">
            <v>77.8</v>
          </cell>
          <cell r="H122">
            <v>89.47</v>
          </cell>
          <cell r="I122" t="str">
            <v>lj^'ldg ;d]t</v>
          </cell>
        </row>
        <row r="123">
          <cell r="A123" t="str">
            <v>F24</v>
          </cell>
          <cell r="C123" t="str">
            <v>15.23-s_</v>
          </cell>
          <cell r="D123" t="str">
            <v>l;nsf]6 ug{] sfd sDk]S;g ;d]t-:6LnJxLn /f]n/ tyf bfp/fjf6df; js{_ - lrkl;n _ -lj6'dLg jfx]s_</v>
          </cell>
          <cell r="E123" t="str">
            <v>j=dL=</v>
          </cell>
          <cell r="G123">
            <v>0</v>
          </cell>
          <cell r="H123">
            <v>0</v>
          </cell>
          <cell r="I123" t="str">
            <v>lj^'ldg afx]s</v>
          </cell>
        </row>
        <row r="124">
          <cell r="A124" t="str">
            <v>F25</v>
          </cell>
          <cell r="C124" t="str">
            <v>15.23-s_</v>
          </cell>
          <cell r="D124" t="str">
            <v>l;nsf]6 ug{] sfd sDk]S;g ;d]t -Go"d]l6s /f]n/ tyf bfp/fjf6 df; js{_  - lrkl;n _ -lj6'dLg ;d]t_</v>
          </cell>
          <cell r="E124" t="str">
            <v>j=dL=</v>
          </cell>
          <cell r="G124">
            <v>80.356521739130429</v>
          </cell>
          <cell r="H124">
            <v>92.41</v>
          </cell>
          <cell r="I124" t="str">
            <v>lj^"dLg ;d]t</v>
          </cell>
        </row>
        <row r="125">
          <cell r="A125" t="str">
            <v>F26</v>
          </cell>
          <cell r="C125" t="str">
            <v>15.23-s_</v>
          </cell>
          <cell r="D125" t="str">
            <v>l;nsf]6 ug{] sfd sDk]S;g ;d]t -Go"d]l6s /f]n/ tyf bfp/fjf6 df; js{_  - lrkl;n _ -lj6'dLg jfx]s_</v>
          </cell>
          <cell r="E125" t="str">
            <v>j=dL=</v>
          </cell>
          <cell r="G125">
            <v>0</v>
          </cell>
          <cell r="H125">
            <v>0</v>
          </cell>
          <cell r="I125" t="str">
            <v>lj^'ldg afx]s</v>
          </cell>
        </row>
        <row r="126">
          <cell r="A126" t="str">
            <v>F27</v>
          </cell>
          <cell r="C126" t="str">
            <v>15.23-v_</v>
          </cell>
          <cell r="D126" t="str">
            <v>v;|f] jfn'jfjf6  l;nsf]6 ug{] sfd sDk]S;g ;d]t -Go"d]l6s /f]n/ tyf bfp/fjf6 df;js{ _ -lj6'dLg ;d]t_</v>
          </cell>
          <cell r="E126" t="str">
            <v>j=dL=</v>
          </cell>
          <cell r="G126">
            <v>57.817391304347815</v>
          </cell>
          <cell r="H126">
            <v>66.489999999999995</v>
          </cell>
          <cell r="I126" t="str">
            <v>lj^"dLg ;d]t</v>
          </cell>
        </row>
        <row r="127">
          <cell r="A127" t="str">
            <v>F28</v>
          </cell>
          <cell r="C127" t="str">
            <v>15.23-v_</v>
          </cell>
          <cell r="D127" t="str">
            <v>v;|f] jfn'jfjf6  l;nsf]6 ug{] sfd sDk]S;g ;d]t -Go"d]l6s /f]n/ tyf bfp/fjf6 df;js{ _ -lj6'dLg jfx]s_</v>
          </cell>
          <cell r="E127" t="str">
            <v>j=dL=</v>
          </cell>
          <cell r="G127">
            <v>0</v>
          </cell>
          <cell r="H127">
            <v>0</v>
          </cell>
          <cell r="I127" t="str">
            <v>lj^'ldg afx]s</v>
          </cell>
        </row>
        <row r="128">
          <cell r="A128" t="str">
            <v>F29</v>
          </cell>
          <cell r="C128" t="str">
            <v>15.24-s_</v>
          </cell>
          <cell r="D128" t="str">
            <v>$) ld=ld= df]6fO{sf lk|ldS; sfk{]6 ug{] sfd sDk]S;g ;d]t -bfp/fjf6 df;js{ _ -lj6'dLg ;d]t_</v>
          </cell>
          <cell r="E128" t="str">
            <v>j=dL=</v>
          </cell>
          <cell r="G128">
            <v>264.17391304347825</v>
          </cell>
          <cell r="H128">
            <v>303.8</v>
          </cell>
          <cell r="I128" t="str">
            <v>lj^'ldg ;d]t</v>
          </cell>
        </row>
        <row r="129">
          <cell r="A129" t="str">
            <v>F30</v>
          </cell>
          <cell r="C129" t="str">
            <v>15.24-s_</v>
          </cell>
          <cell r="D129" t="str">
            <v>$) ld=ld= df]6fO{sf lk|ldS; sfk{]6 ug{] sfd sDk]S;g ;d]t -bfp/fjf6 df;js{ _ -lj6'dLg jfx]s_</v>
          </cell>
          <cell r="E129" t="str">
            <v>j=dL=</v>
          </cell>
          <cell r="G129">
            <v>0</v>
          </cell>
          <cell r="H129">
            <v>0</v>
          </cell>
          <cell r="I129" t="str">
            <v>lj^'ldg afx]s</v>
          </cell>
        </row>
        <row r="130">
          <cell r="A130" t="str">
            <v>F31</v>
          </cell>
          <cell r="C130" t="str">
            <v>15.24-v_</v>
          </cell>
          <cell r="D130" t="str">
            <v>@) ld=ld= df]6fO{sf lk|ldS; sfk{]6 ug{] sfd sDk]S;g ;d]t -bfp/fjf6 df; js{ tyf b'a} /f]n/ k|of]u u/L_ -lj6'dLg ;d]t_</v>
          </cell>
          <cell r="E130" t="str">
            <v>j=dL=</v>
          </cell>
          <cell r="G130">
            <v>123.87826086956522</v>
          </cell>
          <cell r="H130">
            <v>142.46</v>
          </cell>
          <cell r="I130" t="str">
            <v>lj^"dLg ;d]t</v>
          </cell>
        </row>
        <row r="131">
          <cell r="A131" t="str">
            <v>F32</v>
          </cell>
          <cell r="C131" t="str">
            <v>15.24-v_</v>
          </cell>
          <cell r="D131" t="str">
            <v>@) ld=ld= df]6fO{sf lk|ldS; sfk{]6 ug{] sfd sDk]S;g ;d]t -bfp/fjf6 df; js{ tyf b'a} /f]n/ k|of]u u/L_ -lj6'dLg jfx]s_</v>
          </cell>
          <cell r="E131" t="str">
            <v>j=dL=</v>
          </cell>
          <cell r="G131">
            <v>0</v>
          </cell>
          <cell r="H131">
            <v>0</v>
          </cell>
          <cell r="I131" t="str">
            <v>lj^'ldg afx]s</v>
          </cell>
        </row>
        <row r="132">
          <cell r="A132" t="str">
            <v>F33</v>
          </cell>
          <cell r="C132" t="str">
            <v>15.24-v_</v>
          </cell>
          <cell r="D132" t="str">
            <v>@) ld=ld= df]6fO{sf lk|ldS; sfk{]6 ug{] sfd sDk]S;g ;d]t -bfp/fjf6 df; js{ tyf :6LnJxLn /f]n/ dfq k|of]u u/L_ -lj6'dLg ;d]t_</v>
          </cell>
          <cell r="E132" t="str">
            <v>j=dL=</v>
          </cell>
          <cell r="G132">
            <v>111.87826086956522</v>
          </cell>
          <cell r="H132">
            <v>128.66</v>
          </cell>
          <cell r="I132" t="str">
            <v>lj^"dLg ;d]t</v>
          </cell>
        </row>
        <row r="133">
          <cell r="A133" t="str">
            <v>F34</v>
          </cell>
          <cell r="C133" t="str">
            <v>15.24-v_</v>
          </cell>
          <cell r="D133" t="str">
            <v>@) ld=ld= df]6fO{sf lk|ldS; sfk{]6 ug{] sfd sDk]S;g ;d]t -bfp/fjf6 df; js{ tyf :6LnJxLn /f]n/ dfq k|of]u u/L_ -lj6'dLg jfx]s_</v>
          </cell>
          <cell r="E133" t="str">
            <v>j=dL=</v>
          </cell>
          <cell r="G133">
            <v>0</v>
          </cell>
          <cell r="H133">
            <v>0</v>
          </cell>
          <cell r="I133" t="str">
            <v>lj^'ldg afx]s</v>
          </cell>
        </row>
        <row r="134">
          <cell r="A134" t="str">
            <v>F35</v>
          </cell>
          <cell r="C134" t="str">
            <v>15.24-v_</v>
          </cell>
          <cell r="D134" t="str">
            <v>@) ld=ld= df]6fO{sf lk|ldS; sfk{]6 ug{] sfd sDk]S;g ;d]t -bfp/fjf6 Kofr sfo{sf] nflu tyf :6LnJxLn /f]n/ dfq k|of]u u/L _ -lj6'dLg ;d]t_</v>
          </cell>
          <cell r="E134" t="str">
            <v>j=dL=</v>
          </cell>
          <cell r="G134">
            <v>118.85217391304347</v>
          </cell>
          <cell r="H134">
            <v>136.68</v>
          </cell>
          <cell r="I134" t="str">
            <v>lj^'ldg ;d]t</v>
          </cell>
        </row>
        <row r="135">
          <cell r="A135" t="str">
            <v>F36</v>
          </cell>
          <cell r="C135" t="str">
            <v>15.24-v_</v>
          </cell>
          <cell r="D135" t="str">
            <v>@) ld=ld= df]6fO{sf lk|ldS; sfk{]6 ug{] sfd sDk]S;g ;d]t -bfp/fjf6 Kofr sfo{sf] nflu tyf :6LnJxLn /f]n/ dfq k|of]u u/L _ -lj6'dLg jfx]s_</v>
          </cell>
          <cell r="E135" t="str">
            <v>j=dL=</v>
          </cell>
          <cell r="G135">
            <v>0</v>
          </cell>
          <cell r="H135">
            <v>0</v>
          </cell>
          <cell r="I135" t="str">
            <v>lj^'ldg afx]s</v>
          </cell>
        </row>
        <row r="136">
          <cell r="A136" t="str">
            <v>F37</v>
          </cell>
          <cell r="C136" t="str">
            <v>15.17-s_</v>
          </cell>
          <cell r="D136" t="str">
            <v>k'/fgf] lkr ;tx dfyL dfn ;fdfg pknJw u/L 6}+s sf]6 nufpg] sfd . -dl§t]njf6 df; js{||_ -lj6'dLg ;d]t_</v>
          </cell>
          <cell r="E136" t="str">
            <v>j=dL=</v>
          </cell>
          <cell r="G136">
            <v>27.878260869565217</v>
          </cell>
          <cell r="H136">
            <v>32.06</v>
          </cell>
          <cell r="I136" t="str">
            <v>lj^'ldg ;d]t</v>
          </cell>
        </row>
        <row r="137">
          <cell r="A137" t="str">
            <v>F38</v>
          </cell>
          <cell r="C137" t="str">
            <v>15.17-s_</v>
          </cell>
          <cell r="D137" t="str">
            <v>k'/fgf] lkr ;tx dfyL dfn ;fdfg pknJw u/L 6}+s sf]6 nufpg] sfd . -dl§t]njf6 df; js{||_ -lj6'dLg jfx]s_</v>
          </cell>
          <cell r="E137" t="str">
            <v>j=dL=</v>
          </cell>
          <cell r="G137">
            <v>0</v>
          </cell>
          <cell r="H137">
            <v>0</v>
          </cell>
          <cell r="I137" t="str">
            <v>lj^'ldg afx]s</v>
          </cell>
        </row>
        <row r="138">
          <cell r="A138" t="str">
            <v>F39</v>
          </cell>
          <cell r="C138" t="str">
            <v>15.17-v_</v>
          </cell>
          <cell r="D138" t="str">
            <v xml:space="preserve"> a];sf];{-;tx_ dfyL dfn ;fdfg pknJw u/L 6}+s sf]6 nufpg] sfd . -dl§t]njf6 df; js{||_ -lj6'dLg ;d]t_</v>
          </cell>
          <cell r="E138" t="str">
            <v>j=dL=</v>
          </cell>
          <cell r="G138">
            <v>0</v>
          </cell>
          <cell r="H138">
            <v>0</v>
          </cell>
          <cell r="I138" t="str">
            <v>lj^"dLg ;d]t</v>
          </cell>
        </row>
        <row r="139">
          <cell r="A139" t="str">
            <v>F40</v>
          </cell>
          <cell r="C139" t="str">
            <v>15.17-v_</v>
          </cell>
          <cell r="D139" t="str">
            <v xml:space="preserve"> a];sf];{-;tx_ dfyL dfn ;fdfg pknJw u/L 6}+s sf]6 nufpg] sfd . -dl§t]njf6 df; js{||_ -lj6'dLg jfx]s_</v>
          </cell>
          <cell r="E139" t="str">
            <v>j=dL=</v>
          </cell>
          <cell r="G139">
            <v>0</v>
          </cell>
          <cell r="H139">
            <v>0</v>
          </cell>
          <cell r="I139" t="str">
            <v>lj^'ldg afx]s</v>
          </cell>
        </row>
        <row r="140">
          <cell r="A140" t="str">
            <v>F41</v>
          </cell>
          <cell r="C140" t="str">
            <v>15.18-s_</v>
          </cell>
          <cell r="D140" t="str">
            <v>k'/fgf] lkr ;tx dfyL dfn ;fdfg pknJw u/L k|fOd sf]6 nufpg] sfd . -dl§t]njf6 df; js{|| tyf s6Jofs %) Ü_ -lj6'dLg ;d]t_</v>
          </cell>
          <cell r="E140" t="str">
            <v>j=dL=</v>
          </cell>
          <cell r="G140">
            <v>0</v>
          </cell>
          <cell r="H140">
            <v>0</v>
          </cell>
          <cell r="I140" t="str">
            <v>lj^'ldg ;d]t</v>
          </cell>
        </row>
        <row r="141">
          <cell r="A141" t="str">
            <v>F42</v>
          </cell>
          <cell r="C141" t="str">
            <v>15.18-s_</v>
          </cell>
          <cell r="D141" t="str">
            <v>k'/fgf] lkr ;tx dfyL dfn ;fdfg pknJw u/L k|fOd sf]6 nufpg] sfd . -dl§t]njf6 df; js{|| tyf s6Jofs %) Ü_ -lj6'dLg jfx]s_</v>
          </cell>
          <cell r="E141" t="str">
            <v>j=dL=</v>
          </cell>
          <cell r="G141">
            <v>0</v>
          </cell>
          <cell r="H141">
            <v>0</v>
          </cell>
          <cell r="I141" t="str">
            <v>lj^'ldg afx]s</v>
          </cell>
        </row>
        <row r="142">
          <cell r="A142" t="str">
            <v>F43</v>
          </cell>
          <cell r="C142" t="str">
            <v>15.18-v_</v>
          </cell>
          <cell r="D142" t="str">
            <v>a];sf];{ dfly k|fOd sf]6 nufpg] sfd dfn ;fdfg pknJw u/L  . -dl§t]njf6 df; js{ tyf s6Jofs %) Ü_ -lj6'dLg ;d]t_</v>
          </cell>
          <cell r="E142" t="str">
            <v>j=dL=</v>
          </cell>
          <cell r="G142">
            <v>0</v>
          </cell>
          <cell r="H142">
            <v>0</v>
          </cell>
          <cell r="I142" t="str">
            <v>lj^"dLg ;d]t</v>
          </cell>
        </row>
        <row r="143">
          <cell r="A143" t="str">
            <v>F44</v>
          </cell>
          <cell r="C143" t="str">
            <v>15.18-v_</v>
          </cell>
          <cell r="D143" t="str">
            <v>a];sf];{ dfly k|fOd sf]6 nufpg] sfd dfn ;fdfg pknJw u/L  . -dl§t]njf6 df; js{ tyf s6Jofs %) Ü_ -lj6'dLg jfx]s_</v>
          </cell>
          <cell r="E143" t="str">
            <v>j=dL=</v>
          </cell>
          <cell r="G143">
            <v>0</v>
          </cell>
          <cell r="H143">
            <v>0</v>
          </cell>
          <cell r="I143" t="str">
            <v>lj^'ldg afx]s</v>
          </cell>
        </row>
        <row r="144">
          <cell r="A144" t="str">
            <v>F45</v>
          </cell>
          <cell r="C144">
            <v>15.19</v>
          </cell>
          <cell r="D144" t="str">
            <v>Pssf]6 ;km{]; 8|\]l;Ë ug{] sfd . -dl§t]njf6 df; js{ tyf :6Ln JxLn /f]n/ k|of]u u/L_ -lj6'dLg ;d]t_</v>
          </cell>
          <cell r="E144" t="str">
            <v>j=dL=</v>
          </cell>
          <cell r="G144">
            <v>0</v>
          </cell>
          <cell r="H144">
            <v>0</v>
          </cell>
          <cell r="I144" t="str">
            <v>lj^'ldg ;d]t</v>
          </cell>
        </row>
        <row r="145">
          <cell r="A145" t="str">
            <v>F46</v>
          </cell>
          <cell r="C145">
            <v>15.19</v>
          </cell>
          <cell r="D145" t="str">
            <v>Pssf]6 ;km{]; 8|\]l;Ë ug{] sfd . -dl§t]njf6 df; js{ tyf :6Ln JxLn /f]n/ k|of]u u/L_ -lj6'dLg jfx]s_</v>
          </cell>
          <cell r="E145" t="str">
            <v>j=dL=</v>
          </cell>
          <cell r="G145">
            <v>0</v>
          </cell>
          <cell r="H145">
            <v>0</v>
          </cell>
          <cell r="I145" t="str">
            <v>lj^'ldg afx]s</v>
          </cell>
        </row>
        <row r="146">
          <cell r="A146" t="str">
            <v>F47</v>
          </cell>
          <cell r="C146">
            <v>15.19</v>
          </cell>
          <cell r="D146" t="str">
            <v>Pssf]6 ;km{]; 8|\]l;Ë ug{] sfd . -dl§t]njf6 df; js{ tyf Go'd]]l6s /f]n/ k|of]u u/L_ -lj6'dLg ;d]t_</v>
          </cell>
          <cell r="E146" t="str">
            <v>j=dL=</v>
          </cell>
          <cell r="G146">
            <v>0</v>
          </cell>
          <cell r="H146">
            <v>0</v>
          </cell>
          <cell r="I146" t="str">
            <v>lj^"dLg ;d]t</v>
          </cell>
        </row>
        <row r="147">
          <cell r="A147" t="str">
            <v>F48</v>
          </cell>
          <cell r="C147">
            <v>15.19</v>
          </cell>
          <cell r="D147" t="str">
            <v>Pssf]6 ;km{]; 8|\]l;Ë ug{] sfd . -dl§t]njf6 df; js{ tyf Go'd]]l6s /f]n/ k|of]u u/L_ -lj6'dLg jfx]s_</v>
          </cell>
          <cell r="E147" t="str">
            <v>j=dL=</v>
          </cell>
          <cell r="G147">
            <v>0</v>
          </cell>
          <cell r="H147">
            <v>0</v>
          </cell>
          <cell r="I147" t="str">
            <v>lj^'ldg afx]s</v>
          </cell>
        </row>
        <row r="148">
          <cell r="A148" t="str">
            <v>F49</v>
          </cell>
          <cell r="C148">
            <v>15.2</v>
          </cell>
          <cell r="D148" t="str">
            <v>b'O{ sf]6 ;km{]; 8|\]l;Ë ug{] sfd . -dl§t]njf6 df; js{ tyf :6Ln JxLn /f]n/ k|of]u u/L_ -lj6'dLg ;d]t_</v>
          </cell>
          <cell r="E148" t="str">
            <v>j=dL=</v>
          </cell>
          <cell r="G148">
            <v>0</v>
          </cell>
          <cell r="H148">
            <v>0</v>
          </cell>
          <cell r="I148" t="str">
            <v>lj^'ldg ;d]t</v>
          </cell>
        </row>
        <row r="149">
          <cell r="A149" t="str">
            <v>F50</v>
          </cell>
          <cell r="C149">
            <v>15.2</v>
          </cell>
          <cell r="D149" t="str">
            <v>b'O{ sf]6 ;km{]; 8|\]l;Ë ug{] sfd . -dl§t]njf6 df; js{ tyf :6Ln JxLn /f]n/ k|of]u u/L_ -lj6'dLg jfx]s_</v>
          </cell>
          <cell r="E149" t="str">
            <v>j=dL=</v>
          </cell>
          <cell r="G149">
            <v>0</v>
          </cell>
          <cell r="H149">
            <v>0</v>
          </cell>
          <cell r="I149" t="str">
            <v>lj^'ldg afx]s</v>
          </cell>
        </row>
        <row r="150">
          <cell r="A150" t="str">
            <v>F51</v>
          </cell>
          <cell r="C150">
            <v>15.2</v>
          </cell>
          <cell r="D150" t="str">
            <v>b'O{ sf]6 ;km{]; 8|\]l;Ë ug{] sfd,df; js{ .  -dl§t]njf6 df; js{ tyf Go'd]]l6s /f]n/ k|of]u u/L_ -lj6'dLg ;d]t_</v>
          </cell>
          <cell r="E150" t="str">
            <v>j=dL=</v>
          </cell>
          <cell r="G150">
            <v>0</v>
          </cell>
          <cell r="H150">
            <v>0</v>
          </cell>
          <cell r="I150" t="str">
            <v>lj^"dLg ;d]t</v>
          </cell>
        </row>
        <row r="151">
          <cell r="A151" t="str">
            <v>F52</v>
          </cell>
          <cell r="C151">
            <v>15.2</v>
          </cell>
          <cell r="D151" t="str">
            <v>b'O{ sf]6 ;km{]; 8|\]l;Ë ug{] sfd,df; js{ .  -dl§t]njf6 df; js{ tyf Go'd]]l6s /f]n/ k|of]u u/L_ -lj6'dLg jfx]s_</v>
          </cell>
          <cell r="E151" t="str">
            <v>j=dL=</v>
          </cell>
          <cell r="G151">
            <v>0</v>
          </cell>
          <cell r="H151">
            <v>0</v>
          </cell>
          <cell r="I151" t="str">
            <v>lj^'ldg afx]s</v>
          </cell>
        </row>
        <row r="152">
          <cell r="A152" t="str">
            <v>F53</v>
          </cell>
          <cell r="C152" t="str">
            <v>15.21-s_</v>
          </cell>
          <cell r="D152" t="str">
            <v>% ;]=ld= df]6fO{df ;]dLu|fp6LË ug{] sfd  -lj6'dLg ;d]t_</v>
          </cell>
          <cell r="E152" t="str">
            <v>j=dL=</v>
          </cell>
          <cell r="G152">
            <v>0</v>
          </cell>
          <cell r="H152">
            <v>0</v>
          </cell>
          <cell r="I152" t="str">
            <v>lj^'ldg ;d]t</v>
          </cell>
        </row>
        <row r="153">
          <cell r="A153" t="str">
            <v>F54</v>
          </cell>
          <cell r="C153" t="str">
            <v>15.21-s_</v>
          </cell>
          <cell r="D153" t="str">
            <v>% ;]=ld= df]6fO{df ;]dLu|fp6LË ug{] sfd  -lj6'dLg jfx]s_</v>
          </cell>
          <cell r="E153" t="str">
            <v>j=dL=</v>
          </cell>
          <cell r="G153">
            <v>0</v>
          </cell>
          <cell r="H153">
            <v>0</v>
          </cell>
          <cell r="I153" t="str">
            <v>lj^'ldg afx]s</v>
          </cell>
        </row>
        <row r="154">
          <cell r="A154" t="str">
            <v>F55</v>
          </cell>
          <cell r="C154" t="str">
            <v>15.23-s_</v>
          </cell>
          <cell r="D154" t="str">
            <v xml:space="preserve">  l;nsf]6 ug{] sfd sDk]S;g ;d]t -dl§t]njf6 df; js{  , l:6n lXjn /f]n/ tyf Dffz{n Knf06 k|of]u u/L_ -lj6'dLg ;d]t_</v>
          </cell>
          <cell r="E154" t="str">
            <v>j=dL=</v>
          </cell>
          <cell r="G154">
            <v>0</v>
          </cell>
          <cell r="H154">
            <v>0</v>
          </cell>
          <cell r="I154" t="str">
            <v>lj^'ldg ;d]t</v>
          </cell>
        </row>
        <row r="155">
          <cell r="A155" t="str">
            <v>F56</v>
          </cell>
          <cell r="C155" t="str">
            <v>15.23-s_</v>
          </cell>
          <cell r="D155" t="str">
            <v xml:space="preserve">  l;nsf]6 ug{] sfd sDk]S;g ;d]t -dl§t]njf6 df; js{  , l:6n lXjn /f]n/ tyf Dffz{n Knf06 k|of]u u/L_ -lj6'dLg jfx]s_</v>
          </cell>
          <cell r="E155" t="str">
            <v>j=dL=</v>
          </cell>
          <cell r="G155">
            <v>0</v>
          </cell>
          <cell r="H155">
            <v>0</v>
          </cell>
          <cell r="I155" t="str">
            <v>lj^'ldg afx]s</v>
          </cell>
        </row>
        <row r="156">
          <cell r="A156" t="str">
            <v>F57</v>
          </cell>
          <cell r="C156" t="str">
            <v>15.23-s_</v>
          </cell>
          <cell r="D156" t="str">
            <v xml:space="preserve">  l;nsf]6 ug{] sfd sDk]S;g ;d]t  -dl§t]njf6 df; js{  , Go"d]l6s /f]n/ tyf Dffz{n Knf06 k|of]u u/L_ -lj6'dLg ;d]t_</v>
          </cell>
          <cell r="E156" t="str">
            <v>j=dL=</v>
          </cell>
          <cell r="G156">
            <v>0</v>
          </cell>
          <cell r="H156">
            <v>0</v>
          </cell>
          <cell r="I156" t="str">
            <v>lj^"dLg ;d]t</v>
          </cell>
        </row>
        <row r="157">
          <cell r="A157" t="str">
            <v>F58</v>
          </cell>
          <cell r="C157" t="str">
            <v>15.23-s_</v>
          </cell>
          <cell r="D157" t="str">
            <v xml:space="preserve">  l;nsf]6 ug{] sfd sDk]S;g ;d]t  -dl§t]njf6 df; js{  , Go"d]l6s /f]n/ tyf Dffz{n Knf06 k|of]u u/L_ -lj6'dLg jfx]s_</v>
          </cell>
          <cell r="E157" t="str">
            <v>j=dL=</v>
          </cell>
          <cell r="G157">
            <v>0</v>
          </cell>
          <cell r="H157">
            <v>0</v>
          </cell>
          <cell r="I157" t="str">
            <v>lj^'ldg afx]s</v>
          </cell>
        </row>
        <row r="158">
          <cell r="A158" t="str">
            <v>F59</v>
          </cell>
          <cell r="C158" t="str">
            <v>15.23-v_</v>
          </cell>
          <cell r="D158" t="str">
            <v>v;|f] jfn'jfjf6  l;nsf]6 ug{] sfd sDk]S;g ;d]t -dl§t]njf6 df; js{  , Go"d]l6s /f]n/ tyf Dffz{n Knf06 k|of]u u/L_ -lj6'dLg ;d]t_</v>
          </cell>
          <cell r="E158" t="str">
            <v>j=dL=</v>
          </cell>
          <cell r="G158">
            <v>55.095652173913045</v>
          </cell>
          <cell r="H158">
            <v>63.36</v>
          </cell>
          <cell r="I158" t="str">
            <v>lj^'ldg ;d]t</v>
          </cell>
        </row>
        <row r="159">
          <cell r="A159" t="str">
            <v>F60</v>
          </cell>
          <cell r="C159" t="str">
            <v>15.23-v_</v>
          </cell>
          <cell r="D159" t="str">
            <v>v;|f] jfn'jfjf6  l;nsf]6 ug{] sfd sDk]S;g ;d]t -dl§t]njf6 df; js{  , Go"d]l6s /f]n/ tyf Dffz{n Knf06 k|of]u u/L_ -lj6'dLg jfx]s_</v>
          </cell>
          <cell r="E159" t="str">
            <v>j=dL=</v>
          </cell>
          <cell r="G159">
            <v>0</v>
          </cell>
          <cell r="H159">
            <v>0</v>
          </cell>
          <cell r="I159" t="str">
            <v>lj^'ldg afx]s</v>
          </cell>
        </row>
        <row r="160">
          <cell r="A160" t="str">
            <v>F61</v>
          </cell>
          <cell r="C160" t="str">
            <v>15.23-v_</v>
          </cell>
          <cell r="D160" t="str">
            <v>v;|f] jfn'jfjf6  l;nsf]6 ug{] sfd sDk]S;g ;d]t -dl§t]njf6 df; js{ , :6Ln /f]n/ tyf Dffz{n Knf06 k|of]u u/L_ -lj6'dLg ;d]t_</v>
          </cell>
          <cell r="E160" t="str">
            <v>j=dL=</v>
          </cell>
          <cell r="G160">
            <v>0</v>
          </cell>
          <cell r="H160">
            <v>0</v>
          </cell>
          <cell r="I160" t="str">
            <v>lj^"dLg ;d]t</v>
          </cell>
        </row>
        <row r="161">
          <cell r="A161" t="str">
            <v>F62</v>
          </cell>
          <cell r="C161" t="str">
            <v>15.23-v_</v>
          </cell>
          <cell r="D161" t="str">
            <v>v;|f] jfn'jfjf6  l;nsf]6 ug{] sfd sDk]S;g ;d]t -dl§t]njf6 df; js{ , :6Ln /f]n/ tyf Dffz{n Knf06 k|of]u u/L_ -lj6'dLg jfx]s_</v>
          </cell>
          <cell r="E161" t="str">
            <v>j=dL=</v>
          </cell>
          <cell r="G161">
            <v>0</v>
          </cell>
          <cell r="H161">
            <v>0</v>
          </cell>
          <cell r="I161" t="str">
            <v>lj^'ldg afx]s</v>
          </cell>
        </row>
        <row r="162">
          <cell r="A162" t="str">
            <v>F63</v>
          </cell>
          <cell r="C162" t="str">
            <v>15.24-s_</v>
          </cell>
          <cell r="D162" t="str">
            <v xml:space="preserve">$) ld=ld= df]6fO{sf lk|ldS; sfk{]6 ug{] sfd sDk]S;g ;d]t . -dl§t]njf6 df; js{ , b'a} /f]n/ tyf Dffz{n Knf06 k|of]u u/L_ -lj6'dLg ;d]t_                           </v>
          </cell>
          <cell r="E162" t="str">
            <v>j=dL=</v>
          </cell>
          <cell r="G162">
            <v>256.88</v>
          </cell>
          <cell r="H162">
            <v>295.41000000000003</v>
          </cell>
          <cell r="I162" t="str">
            <v>lj^'ldg ;d]t</v>
          </cell>
        </row>
        <row r="163">
          <cell r="A163" t="str">
            <v>F64</v>
          </cell>
          <cell r="C163" t="str">
            <v>15.24-s_</v>
          </cell>
          <cell r="D163" t="str">
            <v xml:space="preserve">$) ld=ld= df]6fO{sf lk|ldS; sfk{]6 ug{] sfd sDk]S;g ;d]t . -dl§t]njf6 df; js{ , b'a} /f]n/ tyf Dffz{n Knf06 k|of]u u/L_ -lj6'dLg jfx]s_                           </v>
          </cell>
          <cell r="E163" t="str">
            <v>j=dL=</v>
          </cell>
          <cell r="G163">
            <v>0</v>
          </cell>
          <cell r="H163">
            <v>0</v>
          </cell>
          <cell r="I163" t="str">
            <v>lj^'ldg afx]s</v>
          </cell>
        </row>
        <row r="164">
          <cell r="A164" t="str">
            <v>F65</v>
          </cell>
          <cell r="C164" t="str">
            <v>15.24-v_</v>
          </cell>
          <cell r="D164" t="str">
            <v>@) ld=ld= df]6fO{sf lk|ldS; sfk{]6 ug{] sfd sDk]S;g ;d]t -dl§t]njf6 df; js{ , :6Ln /f]n/ dfq tyf Dffz{n Knf06 k|of]u u/L_ -lj6'dLg ;d]t_</v>
          </cell>
          <cell r="E164" t="str">
            <v>j=dL=</v>
          </cell>
          <cell r="G164">
            <v>118.45217391304348</v>
          </cell>
          <cell r="H164">
            <v>136.22</v>
          </cell>
          <cell r="I164" t="str">
            <v>lj^"dLg ;d]t</v>
          </cell>
        </row>
        <row r="165">
          <cell r="A165" t="str">
            <v>F66</v>
          </cell>
          <cell r="C165" t="str">
            <v>15.24-v_</v>
          </cell>
          <cell r="D165" t="str">
            <v>@) ld=ld= df]6fO{sf lk|ldS; sfk{]6 ug{] sfd sDk]S;g ;d]t -dl§t]njf6 df; js{ , :6Ln /f]n/ dfq tyf Dffz{n Knf06 k|of]u u/L_ -lj6'dLg jfx]s_</v>
          </cell>
          <cell r="E165" t="str">
            <v>j=dL=</v>
          </cell>
          <cell r="G165">
            <v>0</v>
          </cell>
          <cell r="H165">
            <v>0</v>
          </cell>
          <cell r="I165" t="str">
            <v>lj^'ldg afx]s</v>
          </cell>
        </row>
        <row r="166">
          <cell r="A166" t="str">
            <v>F67</v>
          </cell>
          <cell r="C166" t="str">
            <v>15.24-v_</v>
          </cell>
          <cell r="D166" t="str">
            <v>@) ld=ld= df]6fO{sf lk|ldS; sfk{]6 ug{] sfd sDk]S;g ;d]t -dl§t]njf6 df; js{ , b'a /f]n/ tyf Dffz{n Knf06 k|of]u u/L_ -lj6'dLg ;d]t_</v>
          </cell>
          <cell r="E166" t="str">
            <v>j=dL=</v>
          </cell>
          <cell r="G166">
            <v>130.46956521739131</v>
          </cell>
          <cell r="H166">
            <v>150.04</v>
          </cell>
          <cell r="I166" t="str">
            <v>lj^'ldg ;d]t</v>
          </cell>
        </row>
        <row r="167">
          <cell r="A167" t="str">
            <v>F68</v>
          </cell>
          <cell r="C167" t="str">
            <v>15.24-v_</v>
          </cell>
          <cell r="D167" t="str">
            <v>@) ld=ld= df]6fO{sf lk|ldS; sfk{]6 ug{] sfd sDk]S;g ;d]t -dl§t]njf6 df; js{ , b'a /f]n/ tyf Dffz{n Knf06 k|of]u u/L_ -lj6'dLg jfx]s_</v>
          </cell>
          <cell r="E167" t="str">
            <v>j=dL=</v>
          </cell>
          <cell r="G167">
            <v>0</v>
          </cell>
          <cell r="H167">
            <v>0</v>
          </cell>
          <cell r="I167" t="str">
            <v>lj^'ldg afx]s</v>
          </cell>
        </row>
        <row r="168">
          <cell r="A168" t="str">
            <v>G1</v>
          </cell>
          <cell r="C168" t="str">
            <v>16.5-s_</v>
          </cell>
          <cell r="D168" t="str">
            <v>Uofljog agfpg] sfd tf/ sf6\g], a'Gg] cflb sfd ;d]t if6sf]0fLo d]; ;fOh !))Û!@) ldld, d]; tf/ !) P; 8Jn' lh ;]Nj]h tf/ * P; 8Jn' lh       -x]le lh+s sf]6]8_ afs; ;fO{h @dL=x !dL=x !dL=</v>
          </cell>
          <cell r="E168" t="str">
            <v>afs;</v>
          </cell>
          <cell r="G168">
            <v>1046.4695652173914</v>
          </cell>
          <cell r="H168">
            <v>1203.44</v>
          </cell>
        </row>
        <row r="169">
          <cell r="A169" t="str">
            <v>G2</v>
          </cell>
          <cell r="C169" t="str">
            <v>16.5-v_</v>
          </cell>
          <cell r="D169" t="str">
            <v>Uofljog agfpg] sfd tf/ sf6\g], a'Gg] cflb sfd ;d]t if6sf]0fLo d]; ;fOh !))Û!@) ldld, d]; tf/ !) P; 8Jn' lh ;]Nj]h tf/ * P; 8Jn' lh       -x]le lh+s sf]6]8_ afs; ;fO{h #dL=x !dL=x !dL=</v>
          </cell>
          <cell r="E169" t="str">
            <v>afs;</v>
          </cell>
          <cell r="G169">
            <v>1499.4695652173914</v>
          </cell>
          <cell r="H169">
            <v>1724.39</v>
          </cell>
        </row>
        <row r="170">
          <cell r="A170" t="str">
            <v>G3</v>
          </cell>
          <cell r="C170" t="str">
            <v>16.5-u_</v>
          </cell>
          <cell r="D170" t="str">
            <v>Uofljog agfpg] sfd tf/ sf6\g], a'Gg] cflb sfd ;d]t if6sf]0fLo d]; ;fOh !))Û!@) ldld, d]; tf/ !) P; 8Jn' lh ;]Nj]h tf/ * P; 8Jn' lh       -x]le lh+s sf]6]8_ afs; ;fO{h @dL=x !dL=x )=%dL=</v>
          </cell>
          <cell r="E170" t="str">
            <v>afs;</v>
          </cell>
          <cell r="G170">
            <v>726.07826086956527</v>
          </cell>
          <cell r="H170">
            <v>834.99</v>
          </cell>
        </row>
        <row r="171">
          <cell r="A171" t="str">
            <v>G4</v>
          </cell>
          <cell r="C171" t="str">
            <v>16.5-#_</v>
          </cell>
          <cell r="D171" t="str">
            <v>Uofljog agfpg] sfd tf/ sf6\g], a'Gg] cflb sfd ;d]t if6sf]0fLo d]; ;fOh !))Û!@) ldld, d]; tf/ !) P; 8Jn' lh ;]Nj]h tf/ * P; 8Jn' lh       -x]le lh+s sf]6]8_ afs; ;fO{h #dL=x !dL=x )=%dL=</v>
          </cell>
          <cell r="E171" t="str">
            <v>afs;</v>
          </cell>
          <cell r="G171">
            <v>1049.9739130434782</v>
          </cell>
          <cell r="H171">
            <v>1207.47</v>
          </cell>
        </row>
        <row r="172">
          <cell r="A172" t="str">
            <v>G5</v>
          </cell>
          <cell r="C172" t="str">
            <v>16.7-s_</v>
          </cell>
          <cell r="D172" t="str">
            <v>Uofljog lgdf{0f ug{] 7fpdf /fVg] tGsfpg] tf/4f/f jS;f jfWg], dfyLjf6 aGb ug{] lh cfO jfO08LË tf/ !@ P; 8Jn' lh -x]le lh+s sf]6]8_ .          afs; ;fO{h @dL=x !dL=x !dL=</v>
          </cell>
          <cell r="E172" t="str">
            <v>afs;</v>
          </cell>
          <cell r="G172">
            <v>78.304347826086953</v>
          </cell>
          <cell r="H172">
            <v>90.05</v>
          </cell>
        </row>
        <row r="173">
          <cell r="A173" t="str">
            <v>G6</v>
          </cell>
          <cell r="C173" t="str">
            <v>16.7-v_</v>
          </cell>
          <cell r="D173" t="str">
            <v>Uofljog lgdf{0f ug{] 7fpdf /fVg] tGsfpg] tf/4f/f jS;f jfWg], dfyLjf6 aGb ug{] lh cfO jfO08LË tf/ !@ P; 8Jn' lh -x]le lh+s sf]6]8_ .             afs; ;fO{h #dL=x !dL=x !dL=</v>
          </cell>
          <cell r="E173" t="str">
            <v>afs;</v>
          </cell>
          <cell r="G173">
            <v>112.95652173913044</v>
          </cell>
          <cell r="H173">
            <v>129.9</v>
          </cell>
        </row>
        <row r="174">
          <cell r="A174" t="str">
            <v>G7</v>
          </cell>
          <cell r="C174" t="str">
            <v>16.7-u_</v>
          </cell>
          <cell r="D174" t="str">
            <v>Uofljog lgdf{0f ug{] 7fpdf /fVg] tGsfpg] tf/4f/f jS;f jfWg], dfyLjf6 aGb ug{] lh cfO jfO08LË tf/ !@ P; 8Jn' lh -x]le lh+s sf]6]8_ .            afs; ;fO{h @dL=x !dL=x )=%dL=</v>
          </cell>
          <cell r="E174" t="str">
            <v>afs;</v>
          </cell>
          <cell r="G174">
            <v>47.278260869565216</v>
          </cell>
          <cell r="H174">
            <v>54.37</v>
          </cell>
        </row>
        <row r="175">
          <cell r="A175" t="str">
            <v>G8</v>
          </cell>
          <cell r="C175" t="str">
            <v>16.7-#_</v>
          </cell>
          <cell r="D175" t="str">
            <v>Uofljog lgdf{0f ug{] 7fpdf /fVg] tGsfpg] tf/4f/f jS;f jfWg], dfyLjf6 aGb ug{] lh cfO jfO08LË tf/ !@ P; 8Jn' lh -x]le lh+s sf]6]8_ .           afs; ;fO{h #dL=x !dL=x )=%dL=</v>
          </cell>
          <cell r="E175" t="str">
            <v>afs;</v>
          </cell>
          <cell r="G175">
            <v>67.304347826086968</v>
          </cell>
          <cell r="H175">
            <v>77.400000000000006</v>
          </cell>
        </row>
        <row r="176">
          <cell r="A176" t="str">
            <v>G9</v>
          </cell>
          <cell r="C176">
            <v>16.11</v>
          </cell>
          <cell r="D176" t="str">
            <v>Uofljog s|]6df 9'Ëf eg{] sfd #) ld= ;Dd jf]sfgL ;d]t  -x]le lh+s sf]6]8_ .</v>
          </cell>
          <cell r="E176" t="str">
            <v>#=dL=</v>
          </cell>
          <cell r="G176">
            <v>1296.0173913043479</v>
          </cell>
          <cell r="H176">
            <v>1490.42</v>
          </cell>
        </row>
        <row r="177">
          <cell r="A177" t="str">
            <v>G10</v>
          </cell>
          <cell r="C177">
            <v>16.190000000000001</v>
          </cell>
          <cell r="D177" t="str">
            <v>afF;sf] ^ dL=dL= b]lv * dL=dL= Jof;sf] kfO{n agfO{ 7f]Sg] sfd, gfkL cg';f/sf] sf6\g] / 6'Kkf ltvfg]{ ;d]t kfO{nsf] ;+Vof * hldgdf uf8\g] !=@% dL=</v>
          </cell>
          <cell r="E177" t="str">
            <v>Ps %]sf</v>
          </cell>
          <cell r="G177">
            <v>253.8782608695652</v>
          </cell>
          <cell r="H177">
            <v>291.95999999999998</v>
          </cell>
        </row>
        <row r="178">
          <cell r="A178" t="str">
            <v>G11</v>
          </cell>
          <cell r="C178">
            <v>16.23</v>
          </cell>
          <cell r="D178" t="str">
            <v>l;d]G6sf] vfnL jf]/fdf :yfgLo jfn'jf e/L To;sf] d'v l;P/ 7fpFdf /fVg] sfd   - !) dL= ;Ddsf] b'/Ldf 9'jfgL ug]{ ;d]t_ .</v>
          </cell>
          <cell r="E178" t="str">
            <v>Ps af]/f</v>
          </cell>
          <cell r="G178">
            <v>2412.4956521739132</v>
          </cell>
          <cell r="H178">
            <v>2774.37</v>
          </cell>
        </row>
        <row r="179">
          <cell r="A179" t="str">
            <v>G12</v>
          </cell>
          <cell r="C179" t="str">
            <v>16.5,     16.7,/  16.11</v>
          </cell>
          <cell r="D179" t="str">
            <v>Uofljog agfpg] sfd tf/ sf6\g], a'Gg] cflb sfd ;d]t if6sf]0fLo d]; ;fOh !))Û!@) ldld, d]; tf/ !) P; 8Jn' lh ;]Nj]h tf/ * P; 8Jn' lh afs; ;fO{h .Uofljog lgdf{0f ug{] 7fpdf /fVg] tGsfpg] tf/4f/f jS;f jfWg], dfyLjf6 aGb ug{] lh cfO jfO08LË tf/ !@ P; 8Jn' lh -</v>
          </cell>
          <cell r="E179" t="str">
            <v>#=dL+</v>
          </cell>
          <cell r="G179">
            <v>1858.4086956521739</v>
          </cell>
          <cell r="H179">
            <v>2137.17</v>
          </cell>
        </row>
        <row r="180">
          <cell r="A180" t="str">
            <v>G13</v>
          </cell>
          <cell r="C180" t="str">
            <v>16.5,     16.7,/  16.11</v>
          </cell>
          <cell r="D180" t="str">
            <v>Uofljog agfpg] sfd tf/ sf6\g], a'Gg] cflb sfd ;d]t if6sf]0fLo d]; ;fOh !))Û!@) ldld, d]; tf/ !) P; 8Jn' lh ;]Nj]h tf/ * P; 8Jn' lh afs; ;fO{h .Uofljog lgdf{0f ug{] 7fpdf /fVg] tGsfpg] tf/4f/f jS;f jfWg], dfyLjf6 aGb ug{] lh cfO jfO08LË tf/ !@ P; 8Jn' lh -</v>
          </cell>
          <cell r="E180" t="str">
            <v>#=dL+</v>
          </cell>
          <cell r="G180">
            <v>1833.4869565217393</v>
          </cell>
          <cell r="H180">
            <v>2108.5100000000002</v>
          </cell>
        </row>
        <row r="181">
          <cell r="A181" t="str">
            <v>G14</v>
          </cell>
          <cell r="C181" t="str">
            <v>16.5,     16.7,/  16.11</v>
          </cell>
          <cell r="D181" t="str">
            <v>Uofljog agfpg] sfd tf/ sf6\g], a'Gg] cflb sfd ;d]t if6sf]0fLo d]; ;fOh !))Û!@) ldld, d]; tf/ !) P; 8Jn' lh ;]Nj]h tf/ * P; 8Jn' lh afs; ;fO{h .Uofljog lgdf{0f ug{] 7fpdf /fVg] tGsfpg] tf/4f/f jS;f jfWg], dfyLjf6 aGb ug{] lh cfO jfO08LË tf/ !@ P; 8Jn' lh -</v>
          </cell>
          <cell r="E181" t="str">
            <v>#=dL+</v>
          </cell>
          <cell r="G181">
            <v>0</v>
          </cell>
          <cell r="H181">
            <v>0</v>
          </cell>
        </row>
        <row r="182">
          <cell r="A182" t="str">
            <v>G15</v>
          </cell>
          <cell r="C182" t="str">
            <v>16.5,     16.7,/  16.11</v>
          </cell>
          <cell r="D182" t="str">
            <v>Uofljog agfpg] sfd tf/ sf6\g], a'Gg] cflb sfd ;d]t if6sf]0fLo d]; ;fOh !))Û!@) ldld, d]; tf/ !) P; 8Jn' lh ;]Nj]h tf/ * P; 8Jn' lh afs; ;fO{h .Uofljog lgdf{0f ug{] 7fpdf /fVg] tGsfpg] tf/4f/f jS;f jfWg], dfyLjf6 aGb ug{] lh cfO jfO08LË tf/ !@ P; 8Jn' lh -</v>
          </cell>
          <cell r="E182" t="str">
            <v>#=dL+</v>
          </cell>
          <cell r="G182">
            <v>0</v>
          </cell>
          <cell r="H182">
            <v>0</v>
          </cell>
        </row>
        <row r="183">
          <cell r="A183" t="str">
            <v>H1</v>
          </cell>
          <cell r="C183" t="str">
            <v>17.1-s_</v>
          </cell>
          <cell r="D183" t="str">
            <v>Pg kL #÷ !% ;]=ld= Jof;sf] cf/=l;=l;= Xo"d kfO{k / To;nfO{ rflx]g] :k]lzoN; !M@ l;d]G6 jfn'jf sf] d;nfdf / h'6 cflb nufO{ lj5\ofpg] sfd !)) ld= ;Dd 9'jfgL ;d]t . -x\o'd kfOk ;d]t_</v>
          </cell>
          <cell r="E183" t="str">
            <v>/=dL=</v>
          </cell>
          <cell r="G183">
            <v>640.70000000000005</v>
          </cell>
          <cell r="H183">
            <v>23577.8</v>
          </cell>
          <cell r="I183" t="str">
            <v>kfOk ;d]t</v>
          </cell>
        </row>
        <row r="184">
          <cell r="A184" t="str">
            <v>H2</v>
          </cell>
          <cell r="C184" t="str">
            <v>17.1-s_</v>
          </cell>
          <cell r="D184" t="str">
            <v>Pg kL #÷ !% ;]=ld= Jof;sf] cf/=l;=l;= Xo"d kfO{k / To;nfO{ rflx]g] :k]lzoN; !M@ l;d]G6 jfn'jf sf] d;nfdf / h'6 cflb nufO{ lj5\ofpg] sfd !)) ld= ;Dd 9'jfgL ;d]t . -x\o'd kfOk jfx]s_</v>
          </cell>
          <cell r="E184" t="str">
            <v>/=dL=</v>
          </cell>
          <cell r="G184">
            <v>0</v>
          </cell>
          <cell r="H184">
            <v>0</v>
          </cell>
          <cell r="I184" t="str">
            <v>kfOk afx]s</v>
          </cell>
        </row>
        <row r="185">
          <cell r="A185" t="str">
            <v>H3</v>
          </cell>
          <cell r="C185" t="str">
            <v>17.1-v_</v>
          </cell>
          <cell r="D185" t="str">
            <v>Pg kL #÷ @) ;]=ld= Jof;sf] cf/=l;=l;= Xo"d kfO{k / To;nfO{ rflx]g] :k]lzoN; !M@ l;d]G6 jfn'jf sf] d;nfdf / h'6 cflb nufO{ lj5\ofpg] sfd !)) ld= ;Dd 9'jfgL ;d]t . -x\o'd kfOk ;d]t_</v>
          </cell>
          <cell r="E185" t="str">
            <v>/=dL=</v>
          </cell>
          <cell r="G185">
            <v>853.5</v>
          </cell>
          <cell r="H185">
            <v>981.52</v>
          </cell>
          <cell r="I185" t="str">
            <v>kfOk ;d]t</v>
          </cell>
        </row>
        <row r="186">
          <cell r="A186" t="str">
            <v>H4</v>
          </cell>
          <cell r="C186" t="str">
            <v>17.1-v_</v>
          </cell>
          <cell r="D186" t="str">
            <v>Pg kL #÷ @) ;]=ld= Jof;sf] cf/=l;=l;= Xo"d kfO{k / To;nfO{ rflx]g] :k]lzoN; !M@ l;d]G6 jfn'jf sf] d;nfdf / h'6 cflb nufO{ lj5\ofpg] sfd !)) ld= ;Dd 9'jfgL ;d]t . -x\o'd kfOk jfx]s_</v>
          </cell>
          <cell r="E186" t="str">
            <v>/=dL=</v>
          </cell>
          <cell r="G186">
            <v>0</v>
          </cell>
          <cell r="H186">
            <v>0</v>
          </cell>
          <cell r="I186" t="str">
            <v>kfOk afx]s</v>
          </cell>
        </row>
        <row r="187">
          <cell r="A187" t="str">
            <v>H5</v>
          </cell>
          <cell r="C187" t="str">
            <v>17.1-u_</v>
          </cell>
          <cell r="D187" t="str">
            <v>Pg kL #÷ #) ;]=ld= Jof;sf] cf/ l;=l;= Xo"d kfO{k / To;nfO{ rflx]g] :k]lzoN; !M@ l;d]G6 jfn'jf sf] d;nfdf / h'6 cflb nufO{ lj5\ofpg] sfd !)) ld= ;Dd 9'jfgL ;d]t . -x\o'd kfOk ;d]t_</v>
          </cell>
          <cell r="E187" t="str">
            <v>/=dL=</v>
          </cell>
          <cell r="G187">
            <v>1464.4782608695652</v>
          </cell>
          <cell r="H187">
            <v>1684.15</v>
          </cell>
          <cell r="I187" t="str">
            <v>kfOk ;d]t</v>
          </cell>
        </row>
        <row r="188">
          <cell r="A188" t="str">
            <v>H6</v>
          </cell>
          <cell r="C188" t="str">
            <v>17.1-u_</v>
          </cell>
          <cell r="D188" t="str">
            <v>Pg kL #÷ #) ;]=ld= Jof;sf] cf/ l;=l;= Xo"d kfO{k / To;nfO{ rflx]g] :k]lzoN; !M@ l;d]G6 jfn'jf sf] d;nfdf / h'6 cflb nufO{ lj5\ofpg] sfd !)) ld= ;Dd 9'jfgL ;d]t . -x\o'd kfOk jfx]s_</v>
          </cell>
          <cell r="E188" t="str">
            <v>/=dL=</v>
          </cell>
          <cell r="G188">
            <v>0</v>
          </cell>
          <cell r="H188">
            <v>0</v>
          </cell>
          <cell r="I188" t="str">
            <v>kfOk afx]s</v>
          </cell>
        </row>
        <row r="189">
          <cell r="A189" t="str">
            <v>H7</v>
          </cell>
          <cell r="C189" t="str">
            <v>17.1-#_/-ª_</v>
          </cell>
          <cell r="D189" t="str">
            <v>Pg kL #÷ $% ;]=ld= Jof;sf] cf/ l;=l;= Xo"d kfO{k / To;nfO{ rflx]g] :k]lzoN; !M@ l;d]G6 jfn'jf sf] d;nfdf / h'6 cflb nufO{ lj5\ofpg] sfd !)) ld= ;Dd 9'jfgL ;d]t . -x\o'd kfOk ;d]t_</v>
          </cell>
          <cell r="E189" t="str">
            <v>/=dL=</v>
          </cell>
          <cell r="G189">
            <v>2068.84</v>
          </cell>
          <cell r="H189">
            <v>2379.17</v>
          </cell>
          <cell r="I189" t="str">
            <v>kfOk ;d]t</v>
          </cell>
        </row>
        <row r="190">
          <cell r="A190" t="str">
            <v>H8</v>
          </cell>
          <cell r="C190" t="str">
            <v>17.1-#_/-ª_</v>
          </cell>
          <cell r="D190" t="str">
            <v>Pg kL #÷ $% ;]=ld= Jof;sf] cf/ l;=l;= Xo"d kfO{k / To;nfO{ rflx]g] :k]lzoN; !M@ l;d]G6 jfn'jf sf] d;nfdf / h'6 cflb nufO{ lj5\ofpg] sfd !)) ld= ;Dd 9'jfgL ;d]t . -x\o'd kfOk jfx]s_</v>
          </cell>
          <cell r="E190" t="str">
            <v>/=dL=</v>
          </cell>
          <cell r="G190">
            <v>0</v>
          </cell>
          <cell r="H190">
            <v>0</v>
          </cell>
          <cell r="I190" t="str">
            <v>kfOk afx]s</v>
          </cell>
        </row>
        <row r="191">
          <cell r="A191" t="str">
            <v>H9</v>
          </cell>
          <cell r="C191" t="str">
            <v>17.1-r_</v>
          </cell>
          <cell r="D191" t="str">
            <v>Pg kL #÷ ^) ;]=ld= Jof;sf] cf/ l;=l;= Xo"d kfO{k / To;nfO{ rflx]g] :k]lzoN; !M@ l;d]G6 jfn'jf sf] d;nfdf / h'6 cflb nufO{ lj5\ofpg] sfd !)) ld= ;Dd 9'jfgL ;d]t . -x\o'd kfOk ;d]t_</v>
          </cell>
          <cell r="E191" t="str">
            <v>/=dL=</v>
          </cell>
          <cell r="G191">
            <v>4801.3565217391306</v>
          </cell>
          <cell r="H191">
            <v>5521.56</v>
          </cell>
          <cell r="I191" t="str">
            <v>kfOk ;d]t</v>
          </cell>
        </row>
        <row r="192">
          <cell r="A192" t="str">
            <v>H10</v>
          </cell>
          <cell r="C192" t="str">
            <v>17.1-r_</v>
          </cell>
          <cell r="D192" t="str">
            <v>Pg kL #÷ ^) ;]=ld= Jof;sf] cf/ l;=l;= Xo"d kfO{k / To;nfO{ rflx]g] :k]lzoN; !M@ l;d]G6 jfn'jf sf] d;nfdf / h'6 cflb nufO{ lj5\ofpg] sfd !)) ld= ;Dd 9'jfgL ;d]t . -x\o'd kfOk jfx]s_</v>
          </cell>
          <cell r="E192" t="str">
            <v>/=dL=</v>
          </cell>
          <cell r="G192">
            <v>0</v>
          </cell>
          <cell r="H192">
            <v>0</v>
          </cell>
          <cell r="I192" t="str">
            <v>kfOk afx]s</v>
          </cell>
        </row>
        <row r="193">
          <cell r="A193" t="str">
            <v>H11</v>
          </cell>
          <cell r="C193" t="str">
            <v>17.1-h_</v>
          </cell>
          <cell r="D193" t="str">
            <v>Pg kL #÷ () ;]=ld= Jof;sf] cf/ l;=l;= Xo"d kfO{k / To;nfO{ rflx]g] :k]lzoN; !M@ l;d]G6 jfn'jf sf] d;nfdf / h'6 cflb nufO{ lj5\ofpg] sfd !)) ld= ;Dd 9'jfgL ;d]t . -x\o'd kfOk ;d]t_</v>
          </cell>
          <cell r="E193" t="str">
            <v>/=dL=</v>
          </cell>
          <cell r="G193">
            <v>153643.6</v>
          </cell>
          <cell r="H193">
            <v>176690.14</v>
          </cell>
          <cell r="I193" t="str">
            <v>kfOk ;d]t</v>
          </cell>
        </row>
        <row r="194">
          <cell r="A194" t="str">
            <v>H12</v>
          </cell>
          <cell r="C194" t="str">
            <v>17.1-h_</v>
          </cell>
          <cell r="D194" t="str">
            <v>Pg kL #÷ () ;]=ld= Jof;sf] cf/ l;=l;= Xo"d kfO{k / To;nfO{ rflx]g] :k]lzoN; !M@ l;d]G6 jfn'jf sf] d;nfdf / h'6 cflb nufO{ lj5\ofpg] sfd !)) ld= ;Dd 9'jfgL ;d]t . -x\o'd kfOk jfx]s_</v>
          </cell>
          <cell r="E194" t="str">
            <v>/=dL=</v>
          </cell>
          <cell r="G194">
            <v>0</v>
          </cell>
          <cell r="H194">
            <v>0</v>
          </cell>
          <cell r="I194" t="str">
            <v>kfOk afx]s</v>
          </cell>
        </row>
        <row r="195">
          <cell r="A195" t="str">
            <v>H13</v>
          </cell>
          <cell r="C195" t="str">
            <v>17.1-em_</v>
          </cell>
          <cell r="D195" t="str">
            <v>Pg kL #÷ !@) ;]=ld= Jof;sf] cf/ l;=l;= Xo"d kfO{k / To;nfO{ rflx]g] :k]lzoN; !M@ l;d]G6 jfn'jf sf] d;nfdf / h'6 cflb nufO{ lj5\ofpg] sfd !)) ld= ;Dd 9'jfgL ;d]t . -x\o'd kfOk ;d]t_</v>
          </cell>
          <cell r="E195" t="str">
            <v>/=dL=</v>
          </cell>
          <cell r="G195">
            <v>211040.48695652175</v>
          </cell>
          <cell r="H195">
            <v>242696.56</v>
          </cell>
          <cell r="I195" t="str">
            <v>kfOk ;d]t</v>
          </cell>
        </row>
        <row r="196">
          <cell r="A196" t="str">
            <v>H14</v>
          </cell>
          <cell r="C196" t="str">
            <v>17.1-em_</v>
          </cell>
          <cell r="D196" t="str">
            <v>Pg kL #÷ !@) ;]=ld= Jof;sf] cf/ l;=l;= Xo"d kfO{k / To;nfO{ rflx]g] :k]lzoN; !M@ l;d]G6 jfn'jf sf] d;nfdf / h'6 cflb nufO{ lj5\ofpg] sfd !)) ld= ;Dd 9'jfgL ;d]t . -x\o'd kfOk jfx]s_</v>
          </cell>
          <cell r="E196" t="str">
            <v>/=dL=</v>
          </cell>
          <cell r="G196">
            <v>0</v>
          </cell>
          <cell r="H196">
            <v>0</v>
          </cell>
          <cell r="I196" t="str">
            <v>kfOk afx]s</v>
          </cell>
        </row>
      </sheetData>
      <sheetData sheetId="190"/>
      <sheetData sheetId="191"/>
      <sheetData sheetId="192"/>
      <sheetData sheetId="193"/>
      <sheetData sheetId="194"/>
      <sheetData sheetId="195"/>
      <sheetData sheetId="196"/>
      <sheetData sheetId="197"/>
      <sheetData sheetId="198"/>
      <sheetData sheetId="199"/>
      <sheetData sheetId="200" refreshError="1"/>
      <sheetData sheetId="201" refreshError="1"/>
      <sheetData sheetId="202" refreshError="1"/>
      <sheetData sheetId="203" refreshError="1"/>
      <sheetData sheetId="204"/>
      <sheetData sheetId="205" refreshError="1">
        <row r="41">
          <cell r="N41">
            <v>68</v>
          </cell>
        </row>
        <row r="49">
          <cell r="M49">
            <v>1842</v>
          </cell>
        </row>
        <row r="57">
          <cell r="D57">
            <v>249</v>
          </cell>
        </row>
        <row r="60">
          <cell r="D60">
            <v>1918.33</v>
          </cell>
        </row>
      </sheetData>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row r="2">
          <cell r="D2" t="str">
            <v>^.)%&amp;.%*</v>
          </cell>
        </row>
        <row r="5">
          <cell r="A5" t="str">
            <v>a</v>
          </cell>
          <cell r="B5" t="str">
            <v>hf]/kf6L uf]s0f{ blIf0f 9f]sf ;8s</v>
          </cell>
        </row>
        <row r="6">
          <cell r="A6" t="str">
            <v>b</v>
          </cell>
          <cell r="B6" t="str">
            <v>zfGtLgu/ hghfu[tL gu/ ;8s</v>
          </cell>
        </row>
        <row r="7">
          <cell r="A7" t="str">
            <v>c</v>
          </cell>
          <cell r="B7" t="str">
            <v>af+;af/L a'9fgLns07 ;8s</v>
          </cell>
        </row>
        <row r="8">
          <cell r="A8" t="str">
            <v>d</v>
          </cell>
          <cell r="B8" t="str">
            <v>l;gfd+un sflndf6L8f]n vl/sf] af]6 k|sfz ;Gof; cf&gt;d ;8s</v>
          </cell>
        </row>
        <row r="9">
          <cell r="A9" t="str">
            <v>e</v>
          </cell>
          <cell r="B9" t="str">
            <v>sflGtk'/ ejg k"j{ aGbgf cfon :6f]/ ;8s</v>
          </cell>
        </row>
        <row r="10">
          <cell r="A10" t="str">
            <v>f</v>
          </cell>
          <cell r="B10" t="str">
            <v>lkkf uf]Zjf/f 36[]s'nf] lkknaf]6 ;8s</v>
          </cell>
        </row>
        <row r="11">
          <cell r="A11" t="str">
            <v>g</v>
          </cell>
          <cell r="B11" t="str">
            <v>s'df/Lufn -uf}/L3f6_ af}4 blIf0f 9f]sf ;8s</v>
          </cell>
        </row>
        <row r="12">
          <cell r="A12" t="str">
            <v>h</v>
          </cell>
          <cell r="B12" t="str">
            <v>sfnf]k'n d}lqk'n -hfkfgL k'n_ ;8s</v>
          </cell>
        </row>
        <row r="13">
          <cell r="A13" t="str">
            <v>I</v>
          </cell>
          <cell r="B13" t="str">
            <v>af0fu+uf dfu{ afg]Zj/ ;8s</v>
          </cell>
        </row>
        <row r="14">
          <cell r="A14" t="str">
            <v>j</v>
          </cell>
          <cell r="B14" t="str">
            <v>uf}zfnf /ftf] k'n blIf0f ljuj]n xf]6n gk'Ub} zfGtLky</v>
          </cell>
        </row>
        <row r="15">
          <cell r="A15" t="str">
            <v>k</v>
          </cell>
          <cell r="B15" t="str">
            <v>gof+ afg]Zj/ z+vd'n dfu{ ;'?lr 6f]n ;8s</v>
          </cell>
        </row>
        <row r="16">
          <cell r="A16" t="str">
            <v>l</v>
          </cell>
          <cell r="B16" t="str">
            <v>gLn ;/:jtL :yfg 6's'rf vf]nf k"jf]{Q/ ;8s</v>
          </cell>
        </row>
        <row r="17">
          <cell r="A17" t="str">
            <v>m</v>
          </cell>
          <cell r="B17" t="str">
            <v>d"nkfgL uf=la=;= vx/]sf] d'v v/06f/ ;8s</v>
          </cell>
        </row>
        <row r="18">
          <cell r="A18" t="str">
            <v>n</v>
          </cell>
          <cell r="B18" t="str">
            <v>s'df/Lufn d}h'axfn ;8s</v>
          </cell>
        </row>
        <row r="19">
          <cell r="A19" t="str">
            <v>o</v>
          </cell>
          <cell r="B19" t="str">
            <v>lrlgof /fhb'tfjf; pQ/ 6's'rf vf]nf ;8s</v>
          </cell>
        </row>
        <row r="20">
          <cell r="A20" t="str">
            <v>p</v>
          </cell>
          <cell r="B20" t="str">
            <v>d}tLb]jL wf]lavf]nf k'n klZrd cgfdgu/ wf]lavf]nf k'n ;8s</v>
          </cell>
        </row>
        <row r="21">
          <cell r="A21" t="str">
            <v>q</v>
          </cell>
          <cell r="B21" t="str">
            <v>6+ufn u0f]z:yfg af6 uxgfkf]v/L hfg] / jl/k/L ;8s</v>
          </cell>
        </row>
        <row r="22">
          <cell r="A22" t="str">
            <v>r</v>
          </cell>
          <cell r="B22" t="str">
            <v>sfTofogL dfu{ vl/af]6 afg]Zj/ ;8s</v>
          </cell>
        </row>
        <row r="23">
          <cell r="A23" t="str">
            <v>s</v>
          </cell>
          <cell r="B23" t="str">
            <v>hl8a'6L k]K;Lsf]nf ;8s</v>
          </cell>
        </row>
        <row r="24">
          <cell r="A24" t="str">
            <v>t</v>
          </cell>
        </row>
        <row r="25">
          <cell r="A25" t="str">
            <v>u</v>
          </cell>
        </row>
        <row r="26">
          <cell r="A26" t="str">
            <v>v</v>
          </cell>
        </row>
        <row r="27">
          <cell r="A27" t="str">
            <v>w</v>
          </cell>
        </row>
        <row r="28">
          <cell r="A28" t="str">
            <v>x</v>
          </cell>
        </row>
        <row r="29">
          <cell r="A29" t="str">
            <v>y</v>
          </cell>
        </row>
        <row r="30">
          <cell r="A30" t="str">
            <v>z</v>
          </cell>
        </row>
        <row r="31">
          <cell r="A31" t="str">
            <v>a1</v>
          </cell>
        </row>
        <row r="32">
          <cell r="A32" t="str">
            <v>b1</v>
          </cell>
        </row>
        <row r="33">
          <cell r="A33" t="str">
            <v>c1</v>
          </cell>
        </row>
        <row r="34">
          <cell r="A34" t="str">
            <v>d1</v>
          </cell>
        </row>
        <row r="38">
          <cell r="A38" t="str">
            <v>b</v>
          </cell>
          <cell r="B38" t="str">
            <v>a6</v>
          </cell>
          <cell r="C38">
            <v>9.59</v>
          </cell>
        </row>
        <row r="39">
          <cell r="A39" t="str">
            <v>b</v>
          </cell>
          <cell r="B39" t="str">
            <v>b7</v>
          </cell>
          <cell r="C39">
            <v>46.21</v>
          </cell>
        </row>
        <row r="40">
          <cell r="A40" t="str">
            <v>b</v>
          </cell>
          <cell r="B40" t="str">
            <v>b5</v>
          </cell>
          <cell r="C40">
            <v>3.82</v>
          </cell>
        </row>
        <row r="41">
          <cell r="A41" t="str">
            <v>b</v>
          </cell>
          <cell r="B41" t="str">
            <v>d2</v>
          </cell>
          <cell r="C41">
            <v>1.59</v>
          </cell>
        </row>
        <row r="42">
          <cell r="A42" t="str">
            <v>b</v>
          </cell>
          <cell r="B42" t="str">
            <v>h3</v>
          </cell>
          <cell r="C42">
            <v>7.5</v>
          </cell>
        </row>
        <row r="43">
          <cell r="A43" t="str">
            <v>b</v>
          </cell>
          <cell r="B43" t="str">
            <v>e18</v>
          </cell>
          <cell r="C43">
            <v>3</v>
          </cell>
        </row>
        <row r="44">
          <cell r="A44" t="str">
            <v>b</v>
          </cell>
          <cell r="B44" t="str">
            <v>e17</v>
          </cell>
          <cell r="C44">
            <v>3</v>
          </cell>
        </row>
        <row r="45">
          <cell r="A45" t="str">
            <v>b</v>
          </cell>
          <cell r="B45" t="str">
            <v>e1</v>
          </cell>
          <cell r="C45">
            <v>550</v>
          </cell>
        </row>
        <row r="46">
          <cell r="A46" t="str">
            <v>b</v>
          </cell>
          <cell r="B46" t="str">
            <v>e11</v>
          </cell>
          <cell r="C46">
            <v>550</v>
          </cell>
        </row>
        <row r="47">
          <cell r="A47" t="str">
            <v>b</v>
          </cell>
          <cell r="B47" t="str">
            <v>e14</v>
          </cell>
          <cell r="C47">
            <v>550</v>
          </cell>
        </row>
        <row r="48">
          <cell r="A48" t="str">
            <v>b</v>
          </cell>
          <cell r="B48" t="str">
            <v>f1</v>
          </cell>
          <cell r="C48">
            <v>550</v>
          </cell>
        </row>
        <row r="49">
          <cell r="A49" t="str">
            <v>b</v>
          </cell>
          <cell r="B49" t="str">
            <v>f5</v>
          </cell>
          <cell r="C49">
            <v>550</v>
          </cell>
        </row>
        <row r="50">
          <cell r="A50" t="str">
            <v>b</v>
          </cell>
          <cell r="B50" t="str">
            <v>f63</v>
          </cell>
          <cell r="C50">
            <v>550</v>
          </cell>
        </row>
        <row r="51">
          <cell r="A51" t="str">
            <v>d</v>
          </cell>
          <cell r="B51" t="str">
            <v>a6</v>
          </cell>
          <cell r="C51">
            <v>22.16</v>
          </cell>
        </row>
        <row r="52">
          <cell r="A52" t="str">
            <v>d</v>
          </cell>
          <cell r="B52" t="str">
            <v>b7</v>
          </cell>
          <cell r="C52">
            <v>90.95</v>
          </cell>
        </row>
        <row r="53">
          <cell r="A53" t="str">
            <v>d</v>
          </cell>
          <cell r="B53" t="str">
            <v>b5</v>
          </cell>
          <cell r="C53">
            <v>7.95</v>
          </cell>
        </row>
        <row r="54">
          <cell r="A54" t="str">
            <v>d</v>
          </cell>
          <cell r="B54" t="str">
            <v>d2</v>
          </cell>
          <cell r="C54">
            <v>3.19</v>
          </cell>
        </row>
        <row r="55">
          <cell r="A55" t="str">
            <v>d</v>
          </cell>
          <cell r="B55" t="str">
            <v>h3</v>
          </cell>
          <cell r="C55">
            <v>10</v>
          </cell>
        </row>
        <row r="56">
          <cell r="A56" t="str">
            <v>d</v>
          </cell>
          <cell r="B56" t="str">
            <v>e18</v>
          </cell>
          <cell r="C56">
            <v>4</v>
          </cell>
        </row>
        <row r="57">
          <cell r="A57" t="str">
            <v>d</v>
          </cell>
          <cell r="B57" t="str">
            <v>e17</v>
          </cell>
          <cell r="C57">
            <v>4</v>
          </cell>
        </row>
        <row r="58">
          <cell r="A58" t="str">
            <v>d</v>
          </cell>
          <cell r="B58" t="str">
            <v>e1</v>
          </cell>
          <cell r="C58">
            <v>790</v>
          </cell>
        </row>
        <row r="59">
          <cell r="A59" t="str">
            <v>d</v>
          </cell>
          <cell r="B59" t="str">
            <v>e11</v>
          </cell>
          <cell r="C59">
            <v>790</v>
          </cell>
        </row>
        <row r="60">
          <cell r="A60" t="str">
            <v>d</v>
          </cell>
          <cell r="B60" t="str">
            <v>e14</v>
          </cell>
          <cell r="C60">
            <v>790</v>
          </cell>
        </row>
        <row r="61">
          <cell r="A61" t="str">
            <v>d</v>
          </cell>
          <cell r="B61" t="str">
            <v>f1</v>
          </cell>
          <cell r="C61">
            <v>790</v>
          </cell>
        </row>
        <row r="62">
          <cell r="A62" t="str">
            <v>d</v>
          </cell>
          <cell r="B62" t="str">
            <v>f5</v>
          </cell>
          <cell r="C62">
            <v>790</v>
          </cell>
        </row>
        <row r="63">
          <cell r="A63" t="str">
            <v>d</v>
          </cell>
          <cell r="B63" t="str">
            <v>f63</v>
          </cell>
          <cell r="C63">
            <v>790</v>
          </cell>
        </row>
        <row r="64">
          <cell r="A64" t="str">
            <v>e</v>
          </cell>
          <cell r="B64" t="str">
            <v>a6</v>
          </cell>
          <cell r="C64">
            <v>10.55</v>
          </cell>
        </row>
        <row r="65">
          <cell r="A65" t="str">
            <v>e</v>
          </cell>
          <cell r="B65" t="str">
            <v>b7</v>
          </cell>
          <cell r="C65">
            <v>50.21</v>
          </cell>
        </row>
        <row r="66">
          <cell r="A66" t="str">
            <v>e</v>
          </cell>
          <cell r="B66" t="str">
            <v>b5</v>
          </cell>
          <cell r="C66">
            <v>4.07</v>
          </cell>
        </row>
        <row r="67">
          <cell r="A67" t="str">
            <v>e</v>
          </cell>
          <cell r="B67" t="str">
            <v>d2</v>
          </cell>
          <cell r="C67">
            <v>1.74</v>
          </cell>
        </row>
        <row r="68">
          <cell r="A68" t="str">
            <v>e</v>
          </cell>
          <cell r="B68" t="str">
            <v>h3</v>
          </cell>
          <cell r="C68">
            <v>7.5</v>
          </cell>
        </row>
        <row r="69">
          <cell r="A69" t="str">
            <v>e</v>
          </cell>
          <cell r="B69" t="str">
            <v>e18</v>
          </cell>
          <cell r="C69">
            <v>3</v>
          </cell>
        </row>
        <row r="70">
          <cell r="A70" t="str">
            <v>e</v>
          </cell>
          <cell r="B70" t="str">
            <v>e17</v>
          </cell>
          <cell r="C70">
            <v>3</v>
          </cell>
        </row>
        <row r="71">
          <cell r="A71" t="str">
            <v>e</v>
          </cell>
          <cell r="B71" t="str">
            <v>e1</v>
          </cell>
          <cell r="C71">
            <v>500</v>
          </cell>
        </row>
        <row r="72">
          <cell r="A72" t="str">
            <v>e</v>
          </cell>
          <cell r="B72" t="str">
            <v>e11</v>
          </cell>
          <cell r="C72">
            <v>500</v>
          </cell>
        </row>
        <row r="73">
          <cell r="A73" t="str">
            <v>e</v>
          </cell>
          <cell r="B73" t="str">
            <v>e14</v>
          </cell>
          <cell r="C73">
            <v>500</v>
          </cell>
        </row>
        <row r="74">
          <cell r="A74" t="str">
            <v>e</v>
          </cell>
          <cell r="B74" t="str">
            <v>f1</v>
          </cell>
          <cell r="C74">
            <v>500</v>
          </cell>
        </row>
        <row r="75">
          <cell r="A75" t="str">
            <v>e</v>
          </cell>
          <cell r="B75" t="str">
            <v>f5</v>
          </cell>
          <cell r="C75">
            <v>500</v>
          </cell>
        </row>
        <row r="76">
          <cell r="A76" t="str">
            <v>e</v>
          </cell>
          <cell r="B76" t="str">
            <v>f63</v>
          </cell>
          <cell r="C76">
            <v>500</v>
          </cell>
        </row>
        <row r="77">
          <cell r="A77" t="str">
            <v>g</v>
          </cell>
          <cell r="B77" t="str">
            <v>a6</v>
          </cell>
          <cell r="C77">
            <v>16.88</v>
          </cell>
        </row>
        <row r="78">
          <cell r="A78" t="str">
            <v>g</v>
          </cell>
          <cell r="B78" t="str">
            <v>b7</v>
          </cell>
          <cell r="C78">
            <v>75.69</v>
          </cell>
        </row>
        <row r="79">
          <cell r="A79" t="str">
            <v>g</v>
          </cell>
          <cell r="B79" t="str">
            <v>b5</v>
          </cell>
          <cell r="C79">
            <v>6.28</v>
          </cell>
        </row>
        <row r="80">
          <cell r="A80" t="str">
            <v>g</v>
          </cell>
          <cell r="B80" t="str">
            <v>d2</v>
          </cell>
          <cell r="C80">
            <v>2.61</v>
          </cell>
        </row>
        <row r="81">
          <cell r="A81" t="str">
            <v>g</v>
          </cell>
          <cell r="B81" t="str">
            <v>h3</v>
          </cell>
          <cell r="C81">
            <v>12.5</v>
          </cell>
        </row>
        <row r="82">
          <cell r="A82" t="str">
            <v>g</v>
          </cell>
          <cell r="B82" t="str">
            <v>e18</v>
          </cell>
          <cell r="C82">
            <v>5</v>
          </cell>
        </row>
        <row r="83">
          <cell r="A83" t="str">
            <v>g</v>
          </cell>
          <cell r="B83" t="str">
            <v>e17</v>
          </cell>
          <cell r="C83">
            <v>5</v>
          </cell>
        </row>
        <row r="84">
          <cell r="A84" t="str">
            <v>g</v>
          </cell>
          <cell r="B84" t="str">
            <v>e1</v>
          </cell>
          <cell r="C84">
            <v>780</v>
          </cell>
        </row>
        <row r="85">
          <cell r="A85" t="str">
            <v>g</v>
          </cell>
          <cell r="B85" t="str">
            <v>e11</v>
          </cell>
          <cell r="C85">
            <v>780</v>
          </cell>
        </row>
        <row r="86">
          <cell r="A86" t="str">
            <v>g</v>
          </cell>
          <cell r="B86" t="str">
            <v>e14</v>
          </cell>
          <cell r="C86">
            <v>780</v>
          </cell>
        </row>
        <row r="87">
          <cell r="A87" t="str">
            <v>g</v>
          </cell>
          <cell r="B87" t="str">
            <v>f1</v>
          </cell>
          <cell r="C87">
            <v>780</v>
          </cell>
        </row>
        <row r="88">
          <cell r="A88" t="str">
            <v>g</v>
          </cell>
          <cell r="B88" t="str">
            <v>f5</v>
          </cell>
          <cell r="C88">
            <v>780</v>
          </cell>
        </row>
        <row r="89">
          <cell r="A89" t="str">
            <v>g</v>
          </cell>
          <cell r="B89" t="str">
            <v>f63</v>
          </cell>
          <cell r="C89">
            <v>780</v>
          </cell>
        </row>
        <row r="90">
          <cell r="A90" t="str">
            <v>h</v>
          </cell>
          <cell r="B90" t="str">
            <v>a6</v>
          </cell>
          <cell r="C90">
            <v>9.81</v>
          </cell>
        </row>
        <row r="91">
          <cell r="A91" t="str">
            <v>h</v>
          </cell>
          <cell r="B91" t="str">
            <v>c3</v>
          </cell>
          <cell r="C91">
            <v>1.1100000000000001</v>
          </cell>
        </row>
        <row r="92">
          <cell r="A92" t="str">
            <v>h</v>
          </cell>
          <cell r="B92" t="str">
            <v>c1</v>
          </cell>
          <cell r="C92">
            <v>11.93</v>
          </cell>
        </row>
        <row r="93">
          <cell r="A93" t="str">
            <v>h</v>
          </cell>
          <cell r="B93" t="str">
            <v>h7</v>
          </cell>
          <cell r="C93">
            <v>7.5</v>
          </cell>
        </row>
        <row r="94">
          <cell r="A94" t="str">
            <v>h</v>
          </cell>
          <cell r="B94" t="str">
            <v>a34</v>
          </cell>
          <cell r="C94">
            <v>3.95</v>
          </cell>
        </row>
        <row r="95">
          <cell r="A95" t="str">
            <v>h</v>
          </cell>
          <cell r="B95" t="str">
            <v>e1</v>
          </cell>
          <cell r="C95">
            <v>1650</v>
          </cell>
        </row>
        <row r="96">
          <cell r="A96" t="str">
            <v>h</v>
          </cell>
          <cell r="B96" t="str">
            <v>e11</v>
          </cell>
          <cell r="C96">
            <v>1650</v>
          </cell>
        </row>
        <row r="97">
          <cell r="A97" t="str">
            <v>h</v>
          </cell>
          <cell r="B97" t="str">
            <v>e14</v>
          </cell>
          <cell r="C97">
            <v>1650</v>
          </cell>
        </row>
        <row r="98">
          <cell r="A98" t="str">
            <v>h</v>
          </cell>
          <cell r="B98" t="str">
            <v>f1</v>
          </cell>
          <cell r="C98">
            <v>1650</v>
          </cell>
        </row>
        <row r="99">
          <cell r="A99" t="str">
            <v>h</v>
          </cell>
          <cell r="B99" t="str">
            <v>f5</v>
          </cell>
          <cell r="C99">
            <v>1650</v>
          </cell>
        </row>
        <row r="100">
          <cell r="A100" t="str">
            <v>h</v>
          </cell>
          <cell r="B100" t="str">
            <v>f63</v>
          </cell>
          <cell r="C100">
            <v>1650</v>
          </cell>
        </row>
        <row r="101">
          <cell r="A101" t="str">
            <v>i</v>
          </cell>
          <cell r="B101" t="str">
            <v>a6</v>
          </cell>
          <cell r="C101">
            <v>3.35</v>
          </cell>
        </row>
        <row r="102">
          <cell r="A102" t="str">
            <v>i</v>
          </cell>
          <cell r="B102" t="str">
            <v>b5</v>
          </cell>
          <cell r="C102">
            <v>1.0429999999999999</v>
          </cell>
        </row>
        <row r="103">
          <cell r="A103" t="str">
            <v>i</v>
          </cell>
          <cell r="B103" t="str">
            <v>h3</v>
          </cell>
          <cell r="C103">
            <v>7.5</v>
          </cell>
        </row>
        <row r="104">
          <cell r="A104" t="str">
            <v>i</v>
          </cell>
          <cell r="B104" t="str">
            <v>e18</v>
          </cell>
          <cell r="C104">
            <v>3</v>
          </cell>
        </row>
        <row r="105">
          <cell r="A105" t="str">
            <v>i</v>
          </cell>
          <cell r="B105" t="str">
            <v>e1</v>
          </cell>
          <cell r="C105">
            <v>720</v>
          </cell>
        </row>
        <row r="106">
          <cell r="A106" t="str">
            <v>i</v>
          </cell>
          <cell r="B106" t="str">
            <v>e11</v>
          </cell>
          <cell r="C106">
            <v>720</v>
          </cell>
        </row>
        <row r="107">
          <cell r="A107" t="str">
            <v>j</v>
          </cell>
          <cell r="B107" t="str">
            <v>a6</v>
          </cell>
          <cell r="C107">
            <v>8.83</v>
          </cell>
        </row>
        <row r="108">
          <cell r="A108" t="str">
            <v>j</v>
          </cell>
          <cell r="B108" t="str">
            <v>b7</v>
          </cell>
          <cell r="C108">
            <v>41.47</v>
          </cell>
        </row>
        <row r="109">
          <cell r="A109" t="str">
            <v>j</v>
          </cell>
          <cell r="B109" t="str">
            <v>b5</v>
          </cell>
          <cell r="C109">
            <v>1.22</v>
          </cell>
        </row>
        <row r="110">
          <cell r="A110" t="str">
            <v>j</v>
          </cell>
          <cell r="B110" t="str">
            <v>d2</v>
          </cell>
          <cell r="C110">
            <v>1.45</v>
          </cell>
        </row>
        <row r="111">
          <cell r="A111" t="str">
            <v>j</v>
          </cell>
          <cell r="B111" t="str">
            <v>h3</v>
          </cell>
          <cell r="C111">
            <v>5</v>
          </cell>
        </row>
        <row r="112">
          <cell r="A112" t="str">
            <v>j</v>
          </cell>
          <cell r="B112" t="str">
            <v>e18</v>
          </cell>
          <cell r="C112">
            <v>2</v>
          </cell>
        </row>
        <row r="113">
          <cell r="A113" t="str">
            <v>j</v>
          </cell>
          <cell r="B113" t="str">
            <v>e17</v>
          </cell>
          <cell r="C113">
            <v>2</v>
          </cell>
        </row>
        <row r="114">
          <cell r="A114" t="str">
            <v>j</v>
          </cell>
          <cell r="B114" t="str">
            <v>e1</v>
          </cell>
          <cell r="C114">
            <v>300</v>
          </cell>
        </row>
        <row r="115">
          <cell r="A115" t="str">
            <v>j</v>
          </cell>
          <cell r="B115" t="str">
            <v>e11</v>
          </cell>
          <cell r="C115">
            <v>300</v>
          </cell>
        </row>
        <row r="116">
          <cell r="A116" t="str">
            <v>j</v>
          </cell>
          <cell r="B116" t="str">
            <v>e14</v>
          </cell>
          <cell r="C116">
            <v>300</v>
          </cell>
        </row>
        <row r="117">
          <cell r="A117" t="str">
            <v>j</v>
          </cell>
          <cell r="B117" t="str">
            <v>f1</v>
          </cell>
          <cell r="C117">
            <v>300</v>
          </cell>
        </row>
        <row r="118">
          <cell r="A118" t="str">
            <v>j</v>
          </cell>
          <cell r="B118" t="str">
            <v>f5</v>
          </cell>
          <cell r="C118">
            <v>300</v>
          </cell>
        </row>
        <row r="119">
          <cell r="A119" t="str">
            <v>j</v>
          </cell>
          <cell r="B119" t="str">
            <v>f63</v>
          </cell>
          <cell r="C119">
            <v>300</v>
          </cell>
        </row>
        <row r="120">
          <cell r="A120" t="str">
            <v>k</v>
          </cell>
          <cell r="B120" t="str">
            <v>a6</v>
          </cell>
          <cell r="C120">
            <v>8.83</v>
          </cell>
        </row>
        <row r="121">
          <cell r="A121" t="str">
            <v>k</v>
          </cell>
          <cell r="B121" t="str">
            <v>b7</v>
          </cell>
          <cell r="C121">
            <v>41.47</v>
          </cell>
        </row>
        <row r="122">
          <cell r="A122" t="str">
            <v>k</v>
          </cell>
          <cell r="B122" t="str">
            <v>b5</v>
          </cell>
          <cell r="C122">
            <v>1.22</v>
          </cell>
        </row>
        <row r="123">
          <cell r="A123" t="str">
            <v>k</v>
          </cell>
          <cell r="B123" t="str">
            <v>d2</v>
          </cell>
          <cell r="C123">
            <v>1.45</v>
          </cell>
        </row>
        <row r="124">
          <cell r="A124" t="str">
            <v>k</v>
          </cell>
          <cell r="B124" t="str">
            <v>h3</v>
          </cell>
          <cell r="C124">
            <v>5</v>
          </cell>
        </row>
        <row r="125">
          <cell r="A125" t="str">
            <v>k</v>
          </cell>
          <cell r="B125" t="str">
            <v>e18</v>
          </cell>
          <cell r="C125">
            <v>2</v>
          </cell>
        </row>
        <row r="126">
          <cell r="A126" t="str">
            <v>k</v>
          </cell>
          <cell r="B126" t="str">
            <v>e17</v>
          </cell>
          <cell r="C126">
            <v>2</v>
          </cell>
        </row>
        <row r="127">
          <cell r="A127" t="str">
            <v>k</v>
          </cell>
          <cell r="B127" t="str">
            <v>e1</v>
          </cell>
          <cell r="C127">
            <v>300</v>
          </cell>
        </row>
        <row r="128">
          <cell r="A128" t="str">
            <v>k</v>
          </cell>
          <cell r="B128" t="str">
            <v>e11</v>
          </cell>
          <cell r="C128">
            <v>300</v>
          </cell>
        </row>
        <row r="129">
          <cell r="A129" t="str">
            <v>k</v>
          </cell>
          <cell r="B129" t="str">
            <v>e14</v>
          </cell>
          <cell r="C129">
            <v>300</v>
          </cell>
        </row>
        <row r="130">
          <cell r="A130" t="str">
            <v>k</v>
          </cell>
          <cell r="B130" t="str">
            <v>f1</v>
          </cell>
          <cell r="C130">
            <v>300</v>
          </cell>
        </row>
        <row r="131">
          <cell r="A131" t="str">
            <v>k</v>
          </cell>
          <cell r="B131" t="str">
            <v>f5</v>
          </cell>
          <cell r="C131">
            <v>300</v>
          </cell>
        </row>
        <row r="132">
          <cell r="A132" t="str">
            <v>k</v>
          </cell>
          <cell r="B132" t="str">
            <v>f63</v>
          </cell>
          <cell r="C132">
            <v>300</v>
          </cell>
        </row>
        <row r="133">
          <cell r="A133" t="str">
            <v>m</v>
          </cell>
          <cell r="B133" t="str">
            <v>e1</v>
          </cell>
          <cell r="C133">
            <v>370</v>
          </cell>
        </row>
        <row r="134">
          <cell r="A134" t="str">
            <v>m</v>
          </cell>
          <cell r="B134" t="str">
            <v>e10</v>
          </cell>
          <cell r="C134">
            <v>370</v>
          </cell>
        </row>
        <row r="135">
          <cell r="A135" t="str">
            <v>m</v>
          </cell>
          <cell r="B135" t="str">
            <v>e14</v>
          </cell>
          <cell r="C135">
            <v>370</v>
          </cell>
        </row>
        <row r="136">
          <cell r="A136" t="str">
            <v>m</v>
          </cell>
          <cell r="B136" t="str">
            <v>f1</v>
          </cell>
          <cell r="C136">
            <v>370</v>
          </cell>
        </row>
        <row r="137">
          <cell r="A137" t="str">
            <v>m</v>
          </cell>
          <cell r="B137" t="str">
            <v>f5</v>
          </cell>
          <cell r="C137">
            <v>370</v>
          </cell>
        </row>
        <row r="138">
          <cell r="A138" t="str">
            <v>m</v>
          </cell>
          <cell r="B138" t="str">
            <v>f63</v>
          </cell>
          <cell r="C138">
            <v>370</v>
          </cell>
        </row>
        <row r="139">
          <cell r="A139" t="str">
            <v>n</v>
          </cell>
          <cell r="B139" t="str">
            <v>e1</v>
          </cell>
          <cell r="C139">
            <v>850</v>
          </cell>
        </row>
        <row r="140">
          <cell r="A140" t="str">
            <v>n</v>
          </cell>
          <cell r="B140" t="str">
            <v>e11</v>
          </cell>
          <cell r="C140">
            <v>850</v>
          </cell>
        </row>
        <row r="141">
          <cell r="A141" t="str">
            <v>r</v>
          </cell>
          <cell r="B141" t="str">
            <v>a6</v>
          </cell>
          <cell r="C141">
            <v>11.27</v>
          </cell>
        </row>
        <row r="142">
          <cell r="A142" t="str">
            <v>r</v>
          </cell>
          <cell r="B142" t="str">
            <v>b7</v>
          </cell>
          <cell r="C142">
            <v>50.95</v>
          </cell>
        </row>
        <row r="143">
          <cell r="A143" t="str">
            <v>r</v>
          </cell>
          <cell r="B143" t="str">
            <v>b5</v>
          </cell>
          <cell r="C143">
            <v>3.14</v>
          </cell>
        </row>
        <row r="144">
          <cell r="A144" t="str">
            <v>r</v>
          </cell>
          <cell r="B144" t="str">
            <v>d2</v>
          </cell>
          <cell r="C144">
            <v>1.74</v>
          </cell>
        </row>
        <row r="145">
          <cell r="A145" t="str">
            <v>r</v>
          </cell>
          <cell r="B145" t="str">
            <v>h3</v>
          </cell>
          <cell r="C145">
            <v>10</v>
          </cell>
        </row>
        <row r="146">
          <cell r="A146" t="str">
            <v>r</v>
          </cell>
          <cell r="B146" t="str">
            <v>e18</v>
          </cell>
          <cell r="C146">
            <v>4</v>
          </cell>
        </row>
        <row r="147">
          <cell r="A147" t="str">
            <v>r</v>
          </cell>
          <cell r="B147" t="str">
            <v>e17</v>
          </cell>
          <cell r="C147">
            <v>4</v>
          </cell>
        </row>
        <row r="148">
          <cell r="A148" t="str">
            <v>r</v>
          </cell>
          <cell r="B148" t="str">
            <v>e1</v>
          </cell>
          <cell r="C148">
            <v>552</v>
          </cell>
        </row>
        <row r="149">
          <cell r="A149" t="str">
            <v>r</v>
          </cell>
          <cell r="B149" t="str">
            <v>e11</v>
          </cell>
          <cell r="C149">
            <v>552</v>
          </cell>
        </row>
        <row r="150">
          <cell r="A150" t="str">
            <v>r</v>
          </cell>
          <cell r="B150" t="str">
            <v>e14</v>
          </cell>
          <cell r="C150">
            <v>552</v>
          </cell>
        </row>
        <row r="151">
          <cell r="A151" t="str">
            <v>r</v>
          </cell>
          <cell r="B151" t="str">
            <v>f1</v>
          </cell>
          <cell r="C151">
            <v>552</v>
          </cell>
        </row>
        <row r="152">
          <cell r="A152" t="str">
            <v>r</v>
          </cell>
          <cell r="B152" t="str">
            <v>f5</v>
          </cell>
          <cell r="C152">
            <v>552</v>
          </cell>
        </row>
        <row r="153">
          <cell r="A153" t="str">
            <v>r</v>
          </cell>
          <cell r="B153" t="str">
            <v>f63</v>
          </cell>
          <cell r="C153">
            <v>552</v>
          </cell>
        </row>
        <row r="154">
          <cell r="A154" t="str">
            <v>a</v>
          </cell>
          <cell r="B154" t="str">
            <v>c5</v>
          </cell>
          <cell r="C154">
            <v>14</v>
          </cell>
        </row>
        <row r="155">
          <cell r="A155" t="str">
            <v>a</v>
          </cell>
          <cell r="B155" t="str">
            <v>e14</v>
          </cell>
          <cell r="C155">
            <v>700</v>
          </cell>
        </row>
        <row r="156">
          <cell r="A156" t="str">
            <v>a</v>
          </cell>
          <cell r="B156" t="str">
            <v>f1</v>
          </cell>
          <cell r="C156">
            <v>700</v>
          </cell>
        </row>
        <row r="157">
          <cell r="A157" t="str">
            <v>a</v>
          </cell>
          <cell r="B157" t="str">
            <v>f5</v>
          </cell>
          <cell r="C157">
            <v>700</v>
          </cell>
        </row>
        <row r="158">
          <cell r="A158" t="str">
            <v>a</v>
          </cell>
          <cell r="B158" t="str">
            <v>f63</v>
          </cell>
          <cell r="C158">
            <v>700</v>
          </cell>
        </row>
        <row r="159">
          <cell r="A159" t="str">
            <v>c</v>
          </cell>
          <cell r="B159" t="str">
            <v>a6</v>
          </cell>
          <cell r="C159">
            <v>16</v>
          </cell>
        </row>
        <row r="160">
          <cell r="A160" t="str">
            <v>c</v>
          </cell>
          <cell r="B160" t="str">
            <v>a32</v>
          </cell>
          <cell r="C160">
            <v>16</v>
          </cell>
        </row>
        <row r="161">
          <cell r="A161" t="str">
            <v>c</v>
          </cell>
          <cell r="B161" t="str">
            <v>b7</v>
          </cell>
          <cell r="C161">
            <v>120</v>
          </cell>
        </row>
        <row r="162">
          <cell r="A162" t="str">
            <v>c</v>
          </cell>
          <cell r="B162" t="str">
            <v>d2</v>
          </cell>
          <cell r="C162">
            <v>9</v>
          </cell>
        </row>
        <row r="163">
          <cell r="A163" t="str">
            <v>c</v>
          </cell>
          <cell r="B163" t="str">
            <v>e13</v>
          </cell>
          <cell r="C163">
            <v>1000</v>
          </cell>
        </row>
        <row r="164">
          <cell r="A164" t="str">
            <v>c</v>
          </cell>
          <cell r="B164" t="str">
            <v>e16</v>
          </cell>
          <cell r="C164">
            <v>750</v>
          </cell>
        </row>
        <row r="165">
          <cell r="A165" t="str">
            <v>c</v>
          </cell>
          <cell r="B165" t="str">
            <v>e18</v>
          </cell>
          <cell r="C165">
            <v>4</v>
          </cell>
        </row>
        <row r="166">
          <cell r="A166" t="str">
            <v>c</v>
          </cell>
          <cell r="B166" t="str">
            <v>f1</v>
          </cell>
          <cell r="C166">
            <v>1750</v>
          </cell>
        </row>
        <row r="167">
          <cell r="A167" t="str">
            <v>c</v>
          </cell>
          <cell r="B167" t="str">
            <v>f3</v>
          </cell>
          <cell r="C167">
            <v>1000</v>
          </cell>
        </row>
        <row r="168">
          <cell r="A168" t="str">
            <v>c</v>
          </cell>
          <cell r="B168" t="str">
            <v>f5</v>
          </cell>
          <cell r="C168">
            <v>750</v>
          </cell>
        </row>
        <row r="169">
          <cell r="A169" t="str">
            <v>c</v>
          </cell>
          <cell r="B169" t="str">
            <v>f63</v>
          </cell>
          <cell r="C169">
            <v>1750</v>
          </cell>
        </row>
        <row r="170">
          <cell r="A170" t="str">
            <v>f</v>
          </cell>
          <cell r="B170" t="str">
            <v>a6</v>
          </cell>
          <cell r="C170">
            <v>19</v>
          </cell>
        </row>
        <row r="171">
          <cell r="A171" t="str">
            <v>f</v>
          </cell>
          <cell r="B171" t="str">
            <v>a32</v>
          </cell>
          <cell r="C171">
            <v>19</v>
          </cell>
        </row>
        <row r="172">
          <cell r="A172" t="str">
            <v>f</v>
          </cell>
          <cell r="B172" t="str">
            <v>b7</v>
          </cell>
          <cell r="C172">
            <v>142.5</v>
          </cell>
        </row>
        <row r="173">
          <cell r="A173" t="str">
            <v>f</v>
          </cell>
          <cell r="B173" t="str">
            <v>d2</v>
          </cell>
          <cell r="C173">
            <v>9.5</v>
          </cell>
        </row>
        <row r="174">
          <cell r="A174" t="str">
            <v>f</v>
          </cell>
          <cell r="B174" t="str">
            <v>e13</v>
          </cell>
          <cell r="C174">
            <v>125</v>
          </cell>
        </row>
        <row r="175">
          <cell r="A175" t="str">
            <v>f</v>
          </cell>
          <cell r="B175" t="str">
            <v>e18</v>
          </cell>
          <cell r="C175">
            <v>7</v>
          </cell>
        </row>
        <row r="176">
          <cell r="A176" t="str">
            <v>f</v>
          </cell>
          <cell r="B176" t="str">
            <v>f1</v>
          </cell>
          <cell r="C176">
            <v>500</v>
          </cell>
        </row>
        <row r="177">
          <cell r="A177" t="str">
            <v>f</v>
          </cell>
          <cell r="B177" t="str">
            <v>f5</v>
          </cell>
          <cell r="C177">
            <v>500</v>
          </cell>
        </row>
        <row r="178">
          <cell r="A178" t="str">
            <v>f</v>
          </cell>
          <cell r="B178" t="str">
            <v>f63</v>
          </cell>
          <cell r="C178">
            <v>500</v>
          </cell>
        </row>
        <row r="179">
          <cell r="A179" t="str">
            <v>l</v>
          </cell>
          <cell r="B179" t="str">
            <v>e1</v>
          </cell>
          <cell r="C179">
            <v>1200</v>
          </cell>
        </row>
        <row r="180">
          <cell r="A180" t="str">
            <v>l</v>
          </cell>
          <cell r="B180" t="str">
            <v>e11</v>
          </cell>
          <cell r="C180">
            <v>1200</v>
          </cell>
        </row>
        <row r="181">
          <cell r="A181" t="str">
            <v>o</v>
          </cell>
          <cell r="B181" t="str">
            <v>a6</v>
          </cell>
          <cell r="C181">
            <v>35</v>
          </cell>
        </row>
        <row r="182">
          <cell r="A182" t="str">
            <v>o</v>
          </cell>
          <cell r="B182" t="str">
            <v>a32</v>
          </cell>
          <cell r="C182">
            <v>35</v>
          </cell>
        </row>
        <row r="183">
          <cell r="A183" t="str">
            <v>o</v>
          </cell>
          <cell r="B183" t="str">
            <v>c1</v>
          </cell>
          <cell r="C183">
            <v>45</v>
          </cell>
        </row>
        <row r="184">
          <cell r="A184" t="str">
            <v>o</v>
          </cell>
          <cell r="B184" t="str">
            <v>e1</v>
          </cell>
          <cell r="C184">
            <v>320</v>
          </cell>
        </row>
        <row r="185">
          <cell r="A185" t="str">
            <v>o</v>
          </cell>
          <cell r="B185" t="str">
            <v>e11</v>
          </cell>
          <cell r="C185">
            <v>320</v>
          </cell>
        </row>
        <row r="186">
          <cell r="A186" t="str">
            <v>p</v>
          </cell>
          <cell r="B186" t="str">
            <v>e1</v>
          </cell>
          <cell r="C186">
            <v>1200</v>
          </cell>
        </row>
        <row r="187">
          <cell r="A187" t="str">
            <v>p</v>
          </cell>
          <cell r="B187" t="str">
            <v>e11</v>
          </cell>
          <cell r="C187">
            <v>1200</v>
          </cell>
        </row>
        <row r="188">
          <cell r="A188" t="str">
            <v>q</v>
          </cell>
          <cell r="B188" t="str">
            <v>e12</v>
          </cell>
          <cell r="C188">
            <v>350</v>
          </cell>
        </row>
        <row r="189">
          <cell r="A189" t="str">
            <v>q</v>
          </cell>
          <cell r="B189" t="str">
            <v>f1</v>
          </cell>
          <cell r="C189">
            <v>1125</v>
          </cell>
        </row>
        <row r="190">
          <cell r="A190" t="str">
            <v>q</v>
          </cell>
          <cell r="B190" t="str">
            <v>f5</v>
          </cell>
          <cell r="C190">
            <v>1125</v>
          </cell>
        </row>
        <row r="191">
          <cell r="A191" t="str">
            <v>q</v>
          </cell>
          <cell r="B191" t="str">
            <v>f63</v>
          </cell>
          <cell r="C191">
            <v>1125</v>
          </cell>
        </row>
        <row r="192">
          <cell r="A192" t="str">
            <v>s</v>
          </cell>
          <cell r="B192" t="str">
            <v>f1</v>
          </cell>
          <cell r="C192">
            <v>1900</v>
          </cell>
        </row>
        <row r="193">
          <cell r="A193" t="str">
            <v>s</v>
          </cell>
          <cell r="B193" t="str">
            <v>f5</v>
          </cell>
          <cell r="C193">
            <v>1900</v>
          </cell>
        </row>
        <row r="194">
          <cell r="A194" t="str">
            <v>s</v>
          </cell>
          <cell r="B194" t="str">
            <v>f63</v>
          </cell>
          <cell r="C194">
            <v>1900</v>
          </cell>
        </row>
        <row r="195">
          <cell r="A195" t="str">
            <v>end</v>
          </cell>
        </row>
      </sheetData>
      <sheetData sheetId="234"/>
      <sheetData sheetId="235"/>
      <sheetData sheetId="236" refreshError="1"/>
      <sheetData sheetId="237" refreshError="1"/>
      <sheetData sheetId="238" refreshError="1"/>
      <sheetData sheetId="239" refreshError="1"/>
      <sheetData sheetId="240" refreshError="1"/>
      <sheetData sheetId="241" refreshError="1"/>
      <sheetData sheetId="242"/>
      <sheetData sheetId="243"/>
      <sheetData sheetId="244"/>
      <sheetData sheetId="245">
        <row r="50">
          <cell r="N50">
            <v>3074.98</v>
          </cell>
        </row>
      </sheetData>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8"/>
      <sheetName val="Dmand 7"/>
      <sheetName val="Dmand 6"/>
      <sheetName val="Dmand 5"/>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Design"/>
    </sheetNames>
    <sheetDataSet>
      <sheetData sheetId="0"/>
      <sheetData sheetId="1"/>
      <sheetData sheetId="2">
        <row r="17">
          <cell r="C17">
            <v>6</v>
          </cell>
        </row>
      </sheetData>
      <sheetData sheetId="3">
        <row r="37">
          <cell r="C37">
            <v>37</v>
          </cell>
          <cell r="E37">
            <v>307</v>
          </cell>
          <cell r="K37">
            <v>25026</v>
          </cell>
        </row>
      </sheetData>
      <sheetData sheetId="4">
        <row r="17">
          <cell r="C17">
            <v>5</v>
          </cell>
          <cell r="E17">
            <v>40</v>
          </cell>
          <cell r="K17">
            <v>3120</v>
          </cell>
        </row>
      </sheetData>
      <sheetData sheetId="5">
        <row r="25">
          <cell r="C25">
            <v>27</v>
          </cell>
          <cell r="E25">
            <v>213</v>
          </cell>
          <cell r="K25">
            <v>16614</v>
          </cell>
        </row>
      </sheetData>
      <sheetData sheetId="6">
        <row r="20">
          <cell r="C20">
            <v>8</v>
          </cell>
          <cell r="E20">
            <v>66</v>
          </cell>
          <cell r="K20">
            <v>5148</v>
          </cell>
        </row>
      </sheetData>
      <sheetData sheetId="7">
        <row r="19">
          <cell r="C19">
            <v>10</v>
          </cell>
          <cell r="E19">
            <v>80</v>
          </cell>
          <cell r="K19">
            <v>9280</v>
          </cell>
        </row>
      </sheetData>
      <sheetData sheetId="8">
        <row r="30">
          <cell r="C30">
            <v>35</v>
          </cell>
        </row>
      </sheetData>
      <sheetData sheetId="9"/>
      <sheetData sheetId="10"/>
      <sheetData sheetId="11" refreshError="1"/>
      <sheetData sheetId="12">
        <row r="39">
          <cell r="D39">
            <v>105</v>
          </cell>
        </row>
      </sheetData>
      <sheetData sheetId="13" refreshError="1"/>
      <sheetData sheetId="14" refreshError="1"/>
      <sheetData sheetId="15" refreshError="1"/>
      <sheetData sheetId="16"/>
      <sheetData sheetId="17"/>
      <sheetData sheetId="18"/>
      <sheetData sheetId="19" refreshError="1"/>
      <sheetData sheetId="20"/>
      <sheetData sheetId="21"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Sheet1"/>
    </sheetNames>
    <sheetDataSet>
      <sheetData sheetId="0"/>
      <sheetData sheetId="1"/>
      <sheetData sheetId="2"/>
      <sheetData sheetId="3"/>
      <sheetData sheetId="4">
        <row r="38">
          <cell r="C38">
            <v>63</v>
          </cell>
        </row>
      </sheetData>
      <sheetData sheetId="5"/>
      <sheetData sheetId="6"/>
      <sheetData sheetId="7"/>
      <sheetData sheetId="8">
        <row r="364">
          <cell r="B364" t="str">
            <v>TRANSMISSION  LINE</v>
          </cell>
          <cell r="M364" t="str">
            <v>OD</v>
          </cell>
          <cell r="T364" t="str">
            <v>SOIL</v>
          </cell>
        </row>
        <row r="365">
          <cell r="A365">
            <v>1</v>
          </cell>
          <cell r="B365" t="str">
            <v>O</v>
          </cell>
          <cell r="C365">
            <v>0</v>
          </cell>
          <cell r="E365">
            <v>0</v>
          </cell>
          <cell r="F365">
            <v>0</v>
          </cell>
          <cell r="G365">
            <v>0</v>
          </cell>
          <cell r="H365" t="e">
            <v>#N/A</v>
          </cell>
          <cell r="I365" t="e">
            <v>#N/A</v>
          </cell>
          <cell r="J365">
            <v>0</v>
          </cell>
          <cell r="L365" t="e">
            <v>#N/A</v>
          </cell>
          <cell r="M365">
            <v>2.5</v>
          </cell>
          <cell r="N365" t="str">
            <v>MC</v>
          </cell>
          <cell r="O365">
            <v>63.5</v>
          </cell>
          <cell r="P365">
            <v>0</v>
          </cell>
          <cell r="Q365" t="e">
            <v>#N/A</v>
          </cell>
          <cell r="R365">
            <v>0</v>
          </cell>
          <cell r="S365" t="e">
            <v>#N/A</v>
          </cell>
          <cell r="T365" t="str">
            <v>GBM</v>
          </cell>
          <cell r="W365" t="str">
            <v>2.5MC</v>
          </cell>
          <cell r="X365">
            <v>6.1117742424110992E-2</v>
          </cell>
          <cell r="Y365" t="e">
            <v>#DIV/0!</v>
          </cell>
          <cell r="AA365">
            <v>0</v>
          </cell>
        </row>
        <row r="366">
          <cell r="A366">
            <v>2</v>
          </cell>
          <cell r="B366">
            <v>0</v>
          </cell>
          <cell r="C366">
            <v>0</v>
          </cell>
          <cell r="E366">
            <v>0</v>
          </cell>
          <cell r="F366">
            <v>0</v>
          </cell>
          <cell r="G366">
            <v>0</v>
          </cell>
          <cell r="H366" t="e">
            <v>#N/A</v>
          </cell>
          <cell r="I366" t="e">
            <v>#N/A</v>
          </cell>
          <cell r="J366">
            <v>0</v>
          </cell>
          <cell r="L366" t="e">
            <v>#N/A</v>
          </cell>
          <cell r="M366">
            <v>32</v>
          </cell>
          <cell r="N366">
            <v>6</v>
          </cell>
          <cell r="O366">
            <v>26.9</v>
          </cell>
          <cell r="P366">
            <v>0</v>
          </cell>
          <cell r="Q366" t="e">
            <v>#N/A</v>
          </cell>
          <cell r="R366">
            <v>0</v>
          </cell>
          <cell r="S366" t="e">
            <v>#N/A</v>
          </cell>
          <cell r="T366" t="str">
            <v>GBM</v>
          </cell>
          <cell r="W366" t="str">
            <v>326</v>
          </cell>
          <cell r="X366">
            <v>2.2592245817976753E-2</v>
          </cell>
          <cell r="Y366" t="e">
            <v>#DIV/0!</v>
          </cell>
          <cell r="AA366">
            <v>0</v>
          </cell>
        </row>
        <row r="368">
          <cell r="A368">
            <v>3</v>
          </cell>
          <cell r="B368" t="str">
            <v>O</v>
          </cell>
          <cell r="C368">
            <v>0</v>
          </cell>
          <cell r="E368">
            <v>0</v>
          </cell>
          <cell r="F368">
            <v>0</v>
          </cell>
          <cell r="G368">
            <v>0</v>
          </cell>
          <cell r="H368" t="e">
            <v>#N/A</v>
          </cell>
          <cell r="I368" t="e">
            <v>#N/A</v>
          </cell>
          <cell r="J368">
            <v>0</v>
          </cell>
          <cell r="L368" t="e">
            <v>#N/A</v>
          </cell>
          <cell r="M368">
            <v>0.75</v>
          </cell>
          <cell r="N368" t="str">
            <v>LC</v>
          </cell>
          <cell r="O368">
            <v>20</v>
          </cell>
          <cell r="P368">
            <v>0</v>
          </cell>
          <cell r="Q368" t="e">
            <v>#N/A</v>
          </cell>
          <cell r="R368">
            <v>0</v>
          </cell>
          <cell r="S368" t="e">
            <v>#N/A</v>
          </cell>
          <cell r="T368" t="str">
            <v>GBM</v>
          </cell>
          <cell r="W368" t="str">
            <v>0.75LC</v>
          </cell>
          <cell r="X368">
            <v>6.1117742424110992E-2</v>
          </cell>
          <cell r="Y368" t="e">
            <v>#DIV/0!</v>
          </cell>
          <cell r="AA368">
            <v>0</v>
          </cell>
        </row>
        <row r="369">
          <cell r="A369">
            <v>4</v>
          </cell>
          <cell r="B369">
            <v>0</v>
          </cell>
          <cell r="C369">
            <v>0</v>
          </cell>
          <cell r="E369">
            <v>0</v>
          </cell>
          <cell r="F369">
            <v>0</v>
          </cell>
          <cell r="G369">
            <v>0</v>
          </cell>
          <cell r="H369" t="e">
            <v>#N/A</v>
          </cell>
          <cell r="I369" t="e">
            <v>#N/A</v>
          </cell>
          <cell r="J369">
            <v>0</v>
          </cell>
          <cell r="L369" t="e">
            <v>#N/A</v>
          </cell>
          <cell r="M369">
            <v>25</v>
          </cell>
          <cell r="N369">
            <v>10</v>
          </cell>
          <cell r="O369">
            <v>18.899999999999999</v>
          </cell>
          <cell r="P369">
            <v>0</v>
          </cell>
          <cell r="Q369" t="e">
            <v>#N/A</v>
          </cell>
          <cell r="R369">
            <v>0</v>
          </cell>
          <cell r="S369" t="e">
            <v>#N/A</v>
          </cell>
          <cell r="T369" t="str">
            <v>GBM</v>
          </cell>
          <cell r="W369" t="str">
            <v>2510</v>
          </cell>
          <cell r="X369">
            <v>2.2592245817976753E-2</v>
          </cell>
          <cell r="Y369" t="e">
            <v>#DIV/0!</v>
          </cell>
          <cell r="AA369">
            <v>0</v>
          </cell>
        </row>
        <row r="371">
          <cell r="B371" t="str">
            <v>DISTRIBUTION  LINE</v>
          </cell>
          <cell r="M371" t="str">
            <v>OD</v>
          </cell>
          <cell r="T371" t="str">
            <v>SOIL</v>
          </cell>
        </row>
        <row r="372">
          <cell r="A372">
            <v>5</v>
          </cell>
          <cell r="B372" t="str">
            <v>O</v>
          </cell>
          <cell r="C372">
            <v>0</v>
          </cell>
          <cell r="E372">
            <v>0</v>
          </cell>
          <cell r="F372">
            <v>0</v>
          </cell>
          <cell r="G372">
            <v>0</v>
          </cell>
          <cell r="H372" t="e">
            <v>#N/A</v>
          </cell>
          <cell r="I372" t="e">
            <v>#N/A</v>
          </cell>
          <cell r="J372">
            <v>0</v>
          </cell>
          <cell r="L372" t="e">
            <v>#N/A</v>
          </cell>
          <cell r="M372">
            <v>63</v>
          </cell>
          <cell r="N372">
            <v>4</v>
          </cell>
          <cell r="O372">
            <v>56.5</v>
          </cell>
          <cell r="P372">
            <v>0</v>
          </cell>
          <cell r="Q372" t="e">
            <v>#N/A</v>
          </cell>
          <cell r="R372">
            <v>0</v>
          </cell>
          <cell r="S372" t="e">
            <v>#N/A</v>
          </cell>
          <cell r="T372" t="str">
            <v>HS</v>
          </cell>
          <cell r="W372" t="str">
            <v>634</v>
          </cell>
          <cell r="X372">
            <v>2.417299060949454E-2</v>
          </cell>
          <cell r="Y372" t="e">
            <v>#DIV/0!</v>
          </cell>
          <cell r="AA372">
            <v>0</v>
          </cell>
        </row>
        <row r="373">
          <cell r="A373">
            <v>6</v>
          </cell>
          <cell r="B373">
            <v>0</v>
          </cell>
          <cell r="C373">
            <v>0</v>
          </cell>
          <cell r="E373">
            <v>0</v>
          </cell>
          <cell r="F373">
            <v>0</v>
          </cell>
          <cell r="G373">
            <v>0</v>
          </cell>
          <cell r="H373" t="e">
            <v>#N/A</v>
          </cell>
          <cell r="I373" t="e">
            <v>#N/A</v>
          </cell>
          <cell r="J373">
            <v>0</v>
          </cell>
          <cell r="L373" t="e">
            <v>#N/A</v>
          </cell>
          <cell r="M373">
            <v>1.5</v>
          </cell>
          <cell r="N373" t="str">
            <v>MC</v>
          </cell>
          <cell r="O373">
            <v>38.1</v>
          </cell>
          <cell r="P373">
            <v>0</v>
          </cell>
          <cell r="Q373" t="e">
            <v>#N/A</v>
          </cell>
          <cell r="R373">
            <v>0</v>
          </cell>
          <cell r="S373" t="e">
            <v>#N/A</v>
          </cell>
          <cell r="T373" t="str">
            <v>OS</v>
          </cell>
          <cell r="W373" t="str">
            <v>1.5MC</v>
          </cell>
          <cell r="X373">
            <v>5.7210300282893534E-2</v>
          </cell>
          <cell r="Y373" t="e">
            <v>#DIV/0!</v>
          </cell>
          <cell r="AA373">
            <v>0</v>
          </cell>
        </row>
        <row r="375">
          <cell r="A375">
            <v>7</v>
          </cell>
          <cell r="B375" t="str">
            <v>O</v>
          </cell>
          <cell r="C375">
            <v>0</v>
          </cell>
          <cell r="E375">
            <v>0</v>
          </cell>
          <cell r="F375">
            <v>0</v>
          </cell>
          <cell r="G375">
            <v>0</v>
          </cell>
          <cell r="H375" t="e">
            <v>#N/A</v>
          </cell>
          <cell r="I375" t="e">
            <v>#N/A</v>
          </cell>
          <cell r="J375">
            <v>0</v>
          </cell>
          <cell r="L375" t="e">
            <v>#N/A</v>
          </cell>
          <cell r="M375">
            <v>50</v>
          </cell>
          <cell r="N375">
            <v>4</v>
          </cell>
          <cell r="O375">
            <v>44.7</v>
          </cell>
          <cell r="P375">
            <v>0</v>
          </cell>
          <cell r="Q375" t="e">
            <v>#N/A</v>
          </cell>
          <cell r="R375">
            <v>0</v>
          </cell>
          <cell r="S375" t="e">
            <v>#N/A</v>
          </cell>
          <cell r="T375" t="str">
            <v>HS</v>
          </cell>
          <cell r="W375" t="str">
            <v>504</v>
          </cell>
          <cell r="X375">
            <v>2.417299060949454E-2</v>
          </cell>
          <cell r="Y375" t="e">
            <v>#DIV/0!</v>
          </cell>
          <cell r="AA375">
            <v>0</v>
          </cell>
        </row>
        <row r="376">
          <cell r="A376">
            <v>8</v>
          </cell>
          <cell r="B376">
            <v>0</v>
          </cell>
          <cell r="C376">
            <v>0</v>
          </cell>
          <cell r="E376">
            <v>0</v>
          </cell>
          <cell r="F376">
            <v>0</v>
          </cell>
          <cell r="G376">
            <v>0</v>
          </cell>
          <cell r="H376" t="e">
            <v>#N/A</v>
          </cell>
          <cell r="I376" t="e">
            <v>#N/A</v>
          </cell>
          <cell r="J376">
            <v>0</v>
          </cell>
          <cell r="L376" t="e">
            <v>#N/A</v>
          </cell>
          <cell r="M376">
            <v>1.25</v>
          </cell>
          <cell r="N376" t="str">
            <v>LC</v>
          </cell>
          <cell r="O376">
            <v>31.8</v>
          </cell>
          <cell r="P376">
            <v>0</v>
          </cell>
          <cell r="Q376" t="e">
            <v>#N/A</v>
          </cell>
          <cell r="R376">
            <v>0</v>
          </cell>
          <cell r="S376" t="e">
            <v>#N/A</v>
          </cell>
          <cell r="T376" t="str">
            <v>OS</v>
          </cell>
          <cell r="W376" t="str">
            <v>1.25LC</v>
          </cell>
          <cell r="X376">
            <v>5.7210300282893534E-2</v>
          </cell>
          <cell r="Y376" t="e">
            <v>#DIV/0!</v>
          </cell>
          <cell r="AA376">
            <v>0</v>
          </cell>
        </row>
      </sheetData>
      <sheetData sheetId="9"/>
      <sheetData sheetId="10"/>
      <sheetData sheetId="11"/>
      <sheetData sheetId="12"/>
      <sheetData sheetId="13"/>
      <sheetData sheetId="14"/>
      <sheetData sheetId="15"/>
      <sheetData sheetId="16"/>
      <sheetData sheetId="17"/>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ump H (2)"/>
      <sheetName val="Deta fitt"/>
      <sheetName val="RtAn"/>
      <sheetName val="MRT"/>
      <sheetName val="FRT"/>
      <sheetName val="FER-SED"/>
      <sheetName val="CCDCIC"/>
      <sheetName val="StrInt2"/>
      <sheetName val="Appro."/>
      <sheetName val="OHT50"/>
      <sheetName val="SUMM Final"/>
      <sheetName val="Valve"/>
      <sheetName val="Elec Mech"/>
      <sheetName val="Salint-Feartures."/>
      <sheetName val="compwall"/>
      <sheetName val="Fence"/>
      <sheetName val="pumpH."/>
      <sheetName val="Tub drlig"/>
      <sheetName val="Rvt cal."/>
      <sheetName val="Trainings"/>
      <sheetName val="SLTS Budget Summary"/>
      <sheetName val="VCs"/>
      <sheetName val="Cabl-Des"/>
      <sheetName val="CabCros"/>
      <sheetName val="UnderCros"/>
      <sheetName val="Sheets"/>
      <sheetName val="MatCol"/>
      <sheetName val="DRates"/>
    </sheetNames>
    <sheetDataSet>
      <sheetData sheetId="0"/>
      <sheetData sheetId="1"/>
      <sheetData sheetId="2"/>
      <sheetData sheetId="3"/>
      <sheetData sheetId="4">
        <row r="87">
          <cell r="K87">
            <v>88428.790329648924</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ow r="20">
          <cell r="K20">
            <v>501.45</v>
          </cell>
        </row>
        <row r="51">
          <cell r="K51">
            <v>120.04349999999999</v>
          </cell>
        </row>
        <row r="65">
          <cell r="K65">
            <v>295.29559493670882</v>
          </cell>
        </row>
        <row r="69">
          <cell r="K69">
            <v>384.22620000000001</v>
          </cell>
        </row>
        <row r="75">
          <cell r="K75">
            <v>155.03479999999999</v>
          </cell>
        </row>
        <row r="102">
          <cell r="K102">
            <v>1800.348</v>
          </cell>
        </row>
        <row r="145">
          <cell r="K145">
            <v>1260</v>
          </cell>
        </row>
        <row r="151">
          <cell r="K151">
            <v>2100</v>
          </cell>
        </row>
        <row r="157">
          <cell r="K157">
            <v>3010</v>
          </cell>
        </row>
      </sheetData>
      <sheetData sheetId="27">
        <row r="7">
          <cell r="I7">
            <v>2.4E-2</v>
          </cell>
        </row>
      </sheetData>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Design"/>
    </sheetNames>
    <sheetDataSet>
      <sheetData sheetId="0">
        <row r="7">
          <cell r="H7">
            <v>3</v>
          </cell>
        </row>
        <row r="14">
          <cell r="H14">
            <v>1.31</v>
          </cell>
        </row>
        <row r="20">
          <cell r="D20">
            <v>5.5</v>
          </cell>
        </row>
        <row r="23">
          <cell r="C23" t="str">
            <v>Achham</v>
          </cell>
        </row>
        <row r="24">
          <cell r="C24" t="str">
            <v>Baitadi</v>
          </cell>
        </row>
        <row r="25">
          <cell r="C25" t="str">
            <v>Bajhang</v>
          </cell>
        </row>
        <row r="26">
          <cell r="C26" t="str">
            <v>Bajura</v>
          </cell>
        </row>
        <row r="27">
          <cell r="C27" t="str">
            <v>Dadeldhura</v>
          </cell>
        </row>
        <row r="28">
          <cell r="C28" t="str">
            <v>Darchula</v>
          </cell>
        </row>
        <row r="29">
          <cell r="C29" t="str">
            <v>Doti</v>
          </cell>
        </row>
        <row r="30">
          <cell r="C30" t="str">
            <v>Kailali</v>
          </cell>
        </row>
        <row r="31">
          <cell r="C31" t="str">
            <v>Kanchanpur</v>
          </cell>
        </row>
        <row r="32">
          <cell r="C32" t="str">
            <v>Mugu</v>
          </cell>
        </row>
        <row r="33">
          <cell r="C33" t="str">
            <v>Humla</v>
          </cell>
        </row>
        <row r="34">
          <cell r="C34" t="str">
            <v>Dolpa</v>
          </cell>
        </row>
        <row r="35">
          <cell r="C35" t="str">
            <v>Jumla</v>
          </cell>
        </row>
        <row r="36">
          <cell r="C36" t="str">
            <v>Kalikot</v>
          </cell>
        </row>
        <row r="37">
          <cell r="C37" t="str">
            <v>Dailekh</v>
          </cell>
        </row>
        <row r="38">
          <cell r="C38" t="str">
            <v>Jajarkot</v>
          </cell>
        </row>
        <row r="39">
          <cell r="C39" t="str">
            <v>Surkhet</v>
          </cell>
        </row>
        <row r="40">
          <cell r="C40" t="str">
            <v>Banke</v>
          </cell>
        </row>
        <row r="41">
          <cell r="C41" t="str">
            <v>Bardiya</v>
          </cell>
        </row>
        <row r="42">
          <cell r="C42" t="str">
            <v>Pyuthan</v>
          </cell>
        </row>
        <row r="43">
          <cell r="C43" t="str">
            <v>Rolpa</v>
          </cell>
        </row>
        <row r="44">
          <cell r="C44" t="str">
            <v>Rukum</v>
          </cell>
        </row>
        <row r="45">
          <cell r="C45" t="str">
            <v>Salyan</v>
          </cell>
        </row>
        <row r="46">
          <cell r="C46" t="str">
            <v>Dang</v>
          </cell>
        </row>
        <row r="47">
          <cell r="C47" t="str">
            <v>Gulmi</v>
          </cell>
        </row>
        <row r="48">
          <cell r="C48" t="str">
            <v>Arghakhanchi</v>
          </cell>
        </row>
        <row r="49">
          <cell r="C49" t="str">
            <v>Palpa</v>
          </cell>
        </row>
        <row r="50">
          <cell r="C50" t="str">
            <v>Kapilbastu</v>
          </cell>
        </row>
        <row r="51">
          <cell r="C51" t="str">
            <v>Rupandehi</v>
          </cell>
        </row>
        <row r="52">
          <cell r="C52" t="str">
            <v>Nawalparasi</v>
          </cell>
        </row>
        <row r="53">
          <cell r="C53" t="str">
            <v>Mustang</v>
          </cell>
        </row>
        <row r="54">
          <cell r="C54" t="str">
            <v>Parbat</v>
          </cell>
        </row>
        <row r="55">
          <cell r="C55" t="str">
            <v>Myagdi</v>
          </cell>
        </row>
        <row r="56">
          <cell r="C56" t="str">
            <v>Baglung</v>
          </cell>
        </row>
        <row r="57">
          <cell r="C57" t="str">
            <v>Syangja</v>
          </cell>
        </row>
        <row r="58">
          <cell r="C58" t="str">
            <v>Kaski</v>
          </cell>
        </row>
        <row r="59">
          <cell r="C59" t="str">
            <v>Tanahu</v>
          </cell>
        </row>
        <row r="60">
          <cell r="C60" t="str">
            <v>Lamjung</v>
          </cell>
        </row>
        <row r="61">
          <cell r="C61" t="str">
            <v>Gorkha</v>
          </cell>
        </row>
        <row r="62">
          <cell r="C62" t="str">
            <v>Manang</v>
          </cell>
        </row>
        <row r="63">
          <cell r="C63" t="str">
            <v>Dhading</v>
          </cell>
        </row>
        <row r="64">
          <cell r="C64" t="str">
            <v>Kathmandu</v>
          </cell>
        </row>
        <row r="65">
          <cell r="C65" t="str">
            <v>Bhaktapur</v>
          </cell>
        </row>
        <row r="66">
          <cell r="C66" t="str">
            <v>Lalitpur</v>
          </cell>
        </row>
        <row r="67">
          <cell r="C67" t="str">
            <v>Kabhre</v>
          </cell>
        </row>
        <row r="68">
          <cell r="C68" t="str">
            <v>Sindhupalchok</v>
          </cell>
        </row>
        <row r="69">
          <cell r="C69" t="str">
            <v>Nuwakot</v>
          </cell>
        </row>
        <row r="70">
          <cell r="C70" t="str">
            <v>Rasuwa</v>
          </cell>
        </row>
        <row r="71">
          <cell r="C71" t="str">
            <v>Makwanpur</v>
          </cell>
        </row>
        <row r="72">
          <cell r="C72" t="str">
            <v>Chitwan</v>
          </cell>
        </row>
        <row r="73">
          <cell r="C73" t="str">
            <v>Parsa</v>
          </cell>
        </row>
        <row r="74">
          <cell r="C74" t="str">
            <v>Bara</v>
          </cell>
        </row>
        <row r="75">
          <cell r="C75" t="str">
            <v>Rautahat</v>
          </cell>
        </row>
        <row r="76">
          <cell r="C76" t="str">
            <v>Dolakha</v>
          </cell>
        </row>
        <row r="77">
          <cell r="C77" t="str">
            <v>Ramechhap</v>
          </cell>
        </row>
        <row r="78">
          <cell r="C78" t="str">
            <v>Sindhuli</v>
          </cell>
        </row>
        <row r="79">
          <cell r="C79" t="str">
            <v>Dhanusha</v>
          </cell>
        </row>
        <row r="80">
          <cell r="C80" t="str">
            <v>Mahottari</v>
          </cell>
        </row>
        <row r="81">
          <cell r="C81" t="str">
            <v>Sarlahi</v>
          </cell>
        </row>
        <row r="82">
          <cell r="C82" t="str">
            <v>Solukhumbu</v>
          </cell>
        </row>
        <row r="83">
          <cell r="C83" t="str">
            <v>Okhaldhunga</v>
          </cell>
        </row>
        <row r="84">
          <cell r="C84" t="str">
            <v>Khotang</v>
          </cell>
        </row>
        <row r="85">
          <cell r="C85" t="str">
            <v>Udaypur</v>
          </cell>
        </row>
        <row r="86">
          <cell r="C86" t="str">
            <v>Siraha</v>
          </cell>
        </row>
        <row r="87">
          <cell r="C87" t="str">
            <v>Saptari</v>
          </cell>
        </row>
        <row r="88">
          <cell r="C88" t="str">
            <v>Sankhuwasabha</v>
          </cell>
        </row>
        <row r="89">
          <cell r="C89" t="str">
            <v>Terhathum</v>
          </cell>
        </row>
        <row r="90">
          <cell r="C90" t="str">
            <v>Bhojpur</v>
          </cell>
        </row>
        <row r="91">
          <cell r="C91" t="str">
            <v>Djankuta</v>
          </cell>
        </row>
        <row r="92">
          <cell r="C92" t="str">
            <v>Sunsari</v>
          </cell>
        </row>
        <row r="93">
          <cell r="C93" t="str">
            <v>Morang</v>
          </cell>
        </row>
        <row r="94">
          <cell r="C94" t="str">
            <v>Jhapa</v>
          </cell>
        </row>
        <row r="95">
          <cell r="C95" t="str">
            <v>Ilam</v>
          </cell>
        </row>
        <row r="96">
          <cell r="C96" t="str">
            <v>Panchthar</v>
          </cell>
        </row>
        <row r="97">
          <cell r="C97" t="str">
            <v>Taplejung</v>
          </cell>
        </row>
      </sheetData>
      <sheetData sheetId="1">
        <row r="2">
          <cell r="E2" t="str">
            <v>Department of Water Supply &amp; Sewerage</v>
          </cell>
        </row>
        <row r="3">
          <cell r="E3" t="str">
            <v>WSSSDO, Lamgung</v>
          </cell>
        </row>
        <row r="6">
          <cell r="E6">
            <v>1.2E-2</v>
          </cell>
        </row>
        <row r="17">
          <cell r="B17">
            <v>1</v>
          </cell>
          <cell r="C17" t="str">
            <v>Simalbote-sunargaun</v>
          </cell>
          <cell r="D17" t="str">
            <v>Parewadanda</v>
          </cell>
          <cell r="E17" t="str">
            <v>6,7</v>
          </cell>
          <cell r="G17" t="str">
            <v>Spring fed Stream</v>
          </cell>
          <cell r="H17">
            <v>0.3</v>
          </cell>
        </row>
        <row r="18">
          <cell r="B18">
            <v>2</v>
          </cell>
          <cell r="C18" t="str">
            <v>Purkang-simpani</v>
          </cell>
          <cell r="D18" t="str">
            <v>Parewadanda</v>
          </cell>
          <cell r="E18" t="str">
            <v>5,6,8</v>
          </cell>
          <cell r="G18" t="str">
            <v>Spring fed Stream</v>
          </cell>
          <cell r="H18">
            <v>0.8</v>
          </cell>
        </row>
        <row r="19">
          <cell r="B19">
            <v>3</v>
          </cell>
          <cell r="C19" t="str">
            <v>Deurali</v>
          </cell>
          <cell r="D19" t="str">
            <v>Parewadanda</v>
          </cell>
          <cell r="E19" t="str">
            <v>2,3,4,5</v>
          </cell>
          <cell r="G19" t="str">
            <v>Spring fed Stream</v>
          </cell>
          <cell r="H19">
            <v>1.1000000000000001</v>
          </cell>
        </row>
        <row r="20">
          <cell r="B20">
            <v>4</v>
          </cell>
          <cell r="C20" t="str">
            <v>Pumping Main for alternative source</v>
          </cell>
          <cell r="D20" t="str">
            <v>Parewadanda</v>
          </cell>
          <cell r="G20" t="str">
            <v>Ground water</v>
          </cell>
          <cell r="H20">
            <v>5</v>
          </cell>
        </row>
      </sheetData>
      <sheetData sheetId="2">
        <row r="65">
          <cell r="C65">
            <v>180</v>
          </cell>
        </row>
      </sheetData>
      <sheetData sheetId="3">
        <row r="60">
          <cell r="C60">
            <v>120</v>
          </cell>
          <cell r="D60">
            <v>673</v>
          </cell>
          <cell r="E60">
            <v>899</v>
          </cell>
          <cell r="K60">
            <v>61356.75</v>
          </cell>
        </row>
      </sheetData>
      <sheetData sheetId="4">
        <row r="10">
          <cell r="C10">
            <v>1</v>
          </cell>
        </row>
        <row r="39">
          <cell r="C39">
            <v>49</v>
          </cell>
          <cell r="D39">
            <v>276</v>
          </cell>
          <cell r="E39">
            <v>371</v>
          </cell>
          <cell r="K39">
            <v>25320.75</v>
          </cell>
        </row>
      </sheetData>
      <sheetData sheetId="5">
        <row r="102">
          <cell r="C102" t="str">
            <v>SOIL</v>
          </cell>
          <cell r="D102" t="str">
            <v>OD</v>
          </cell>
          <cell r="E102" t="str">
            <v>OD</v>
          </cell>
        </row>
        <row r="103">
          <cell r="C103" t="str">
            <v>GBM</v>
          </cell>
          <cell r="D103" t="str">
            <v>&gt;=2.5</v>
          </cell>
          <cell r="E103" t="str">
            <v>&lt;14</v>
          </cell>
        </row>
        <row r="105">
          <cell r="C105" t="str">
            <v>SOIL</v>
          </cell>
          <cell r="D105" t="str">
            <v>OD</v>
          </cell>
          <cell r="E105" t="str">
            <v>OD</v>
          </cell>
        </row>
        <row r="106">
          <cell r="C106" t="str">
            <v>GBM</v>
          </cell>
          <cell r="D106" t="str">
            <v>&gt;=.5</v>
          </cell>
          <cell r="E106" t="str">
            <v>&lt;2.5</v>
          </cell>
        </row>
        <row r="108">
          <cell r="C108" t="str">
            <v>SOIL</v>
          </cell>
          <cell r="D108" t="str">
            <v>OD</v>
          </cell>
          <cell r="E108" t="str">
            <v>OD</v>
          </cell>
        </row>
        <row r="109">
          <cell r="C109" t="str">
            <v>GBM</v>
          </cell>
          <cell r="D109" t="str">
            <v>&gt;=63</v>
          </cell>
          <cell r="E109" t="str">
            <v>&lt;500</v>
          </cell>
        </row>
        <row r="111">
          <cell r="C111" t="str">
            <v>SOIL</v>
          </cell>
          <cell r="D111" t="str">
            <v>OD</v>
          </cell>
          <cell r="E111" t="str">
            <v>OD</v>
          </cell>
        </row>
        <row r="112">
          <cell r="C112" t="str">
            <v>GBM</v>
          </cell>
          <cell r="D112" t="str">
            <v>&gt;=16</v>
          </cell>
          <cell r="E112" t="str">
            <v>&lt;63</v>
          </cell>
        </row>
        <row r="114">
          <cell r="C114" t="str">
            <v>SOIL</v>
          </cell>
          <cell r="D114" t="str">
            <v>OD</v>
          </cell>
          <cell r="E114" t="str">
            <v>OD</v>
          </cell>
        </row>
        <row r="115">
          <cell r="C115" t="str">
            <v>HS</v>
          </cell>
          <cell r="D115" t="str">
            <v>&gt;=2.5</v>
          </cell>
          <cell r="E115" t="str">
            <v>&lt;14</v>
          </cell>
        </row>
        <row r="117">
          <cell r="C117" t="str">
            <v>SOIL</v>
          </cell>
          <cell r="D117" t="str">
            <v>OD</v>
          </cell>
          <cell r="E117" t="str">
            <v>OD</v>
          </cell>
        </row>
        <row r="118">
          <cell r="C118" t="str">
            <v>HS</v>
          </cell>
          <cell r="D118" t="str">
            <v>&gt;=.5</v>
          </cell>
          <cell r="E118" t="str">
            <v>&lt;2.5</v>
          </cell>
        </row>
        <row r="120">
          <cell r="C120" t="str">
            <v>SOIL</v>
          </cell>
          <cell r="D120" t="str">
            <v>OD</v>
          </cell>
          <cell r="E120" t="str">
            <v>OD</v>
          </cell>
        </row>
        <row r="121">
          <cell r="C121" t="str">
            <v>HS</v>
          </cell>
          <cell r="D121" t="str">
            <v>&gt;=63</v>
          </cell>
          <cell r="E121" t="str">
            <v>&lt;500</v>
          </cell>
        </row>
        <row r="123">
          <cell r="C123" t="str">
            <v>SOIL</v>
          </cell>
          <cell r="D123" t="str">
            <v>OD</v>
          </cell>
          <cell r="E123" t="str">
            <v>OD</v>
          </cell>
        </row>
        <row r="124">
          <cell r="C124" t="str">
            <v>HS</v>
          </cell>
          <cell r="D124" t="str">
            <v>&gt;=16</v>
          </cell>
          <cell r="E124" t="str">
            <v>&lt;63</v>
          </cell>
        </row>
        <row r="126">
          <cell r="C126" t="str">
            <v>SOIL</v>
          </cell>
          <cell r="D126" t="str">
            <v>OD</v>
          </cell>
          <cell r="E126" t="str">
            <v>OD</v>
          </cell>
        </row>
        <row r="127">
          <cell r="C127" t="str">
            <v>OS</v>
          </cell>
          <cell r="D127" t="str">
            <v>&gt;=2.5</v>
          </cell>
          <cell r="E127" t="str">
            <v>&lt;14</v>
          </cell>
        </row>
        <row r="129">
          <cell r="C129" t="str">
            <v>SOIL</v>
          </cell>
          <cell r="D129" t="str">
            <v>OD</v>
          </cell>
          <cell r="E129" t="str">
            <v>OD</v>
          </cell>
        </row>
        <row r="130">
          <cell r="C130" t="str">
            <v>OS</v>
          </cell>
          <cell r="D130" t="str">
            <v>&gt;=.5</v>
          </cell>
          <cell r="E130" t="str">
            <v>&lt;2.5</v>
          </cell>
        </row>
        <row r="132">
          <cell r="C132" t="str">
            <v>SOIL</v>
          </cell>
          <cell r="D132" t="str">
            <v>OD</v>
          </cell>
          <cell r="E132" t="str">
            <v>OD</v>
          </cell>
        </row>
        <row r="133">
          <cell r="C133" t="str">
            <v>OS</v>
          </cell>
          <cell r="D133" t="str">
            <v>&gt;=63</v>
          </cell>
          <cell r="E133" t="str">
            <v>&lt;500</v>
          </cell>
        </row>
        <row r="135">
          <cell r="C135" t="str">
            <v>SOIL</v>
          </cell>
          <cell r="D135" t="str">
            <v>OD</v>
          </cell>
          <cell r="E135" t="str">
            <v>OD</v>
          </cell>
        </row>
        <row r="136">
          <cell r="C136" t="str">
            <v>OS</v>
          </cell>
          <cell r="D136" t="str">
            <v>&gt;=16</v>
          </cell>
          <cell r="E136" t="str">
            <v>&lt;63</v>
          </cell>
        </row>
        <row r="138">
          <cell r="C138" t="str">
            <v>SOIL</v>
          </cell>
          <cell r="D138" t="str">
            <v>OD</v>
          </cell>
          <cell r="E138" t="str">
            <v>OD</v>
          </cell>
        </row>
        <row r="139">
          <cell r="C139" t="str">
            <v>US</v>
          </cell>
          <cell r="D139" t="str">
            <v>&gt;=2.5</v>
          </cell>
          <cell r="E139" t="str">
            <v>&lt;14</v>
          </cell>
        </row>
        <row r="141">
          <cell r="C141" t="str">
            <v>SOIL</v>
          </cell>
          <cell r="D141" t="str">
            <v>OD</v>
          </cell>
          <cell r="E141" t="str">
            <v>OD</v>
          </cell>
        </row>
        <row r="142">
          <cell r="C142" t="str">
            <v>US</v>
          </cell>
          <cell r="D142" t="str">
            <v>&gt;=.5</v>
          </cell>
          <cell r="E142" t="str">
            <v>&lt;2.5</v>
          </cell>
        </row>
        <row r="144">
          <cell r="C144" t="str">
            <v>SOIL</v>
          </cell>
          <cell r="D144" t="str">
            <v>OD</v>
          </cell>
          <cell r="E144" t="str">
            <v>OD</v>
          </cell>
        </row>
        <row r="145">
          <cell r="C145" t="str">
            <v>US</v>
          </cell>
          <cell r="D145" t="str">
            <v>&gt;=63</v>
          </cell>
          <cell r="E145" t="str">
            <v>&lt;500</v>
          </cell>
        </row>
        <row r="147">
          <cell r="C147" t="str">
            <v>SOIL</v>
          </cell>
          <cell r="D147" t="str">
            <v>OD</v>
          </cell>
          <cell r="E147" t="str">
            <v>OD</v>
          </cell>
        </row>
        <row r="148">
          <cell r="C148" t="str">
            <v>US</v>
          </cell>
          <cell r="D148" t="str">
            <v>&gt;=16</v>
          </cell>
          <cell r="E148" t="str">
            <v>&lt;63</v>
          </cell>
        </row>
      </sheetData>
      <sheetData sheetId="6"/>
      <sheetData sheetId="7">
        <row r="10">
          <cell r="B10" t="str">
            <v>TRANSMISSION  LINE</v>
          </cell>
          <cell r="D10">
            <v>1130</v>
          </cell>
          <cell r="M10" t="str">
            <v>OD</v>
          </cell>
          <cell r="T10" t="str">
            <v>SOIL</v>
          </cell>
          <cell r="W10" t="str">
            <v>ODKG</v>
          </cell>
        </row>
        <row r="11">
          <cell r="A11">
            <v>1</v>
          </cell>
          <cell r="B11" t="str">
            <v>DC</v>
          </cell>
          <cell r="C11" t="str">
            <v>E1</v>
          </cell>
          <cell r="D11">
            <v>20</v>
          </cell>
          <cell r="E11">
            <v>0.3</v>
          </cell>
          <cell r="F11">
            <v>1115</v>
          </cell>
          <cell r="G11">
            <v>1112</v>
          </cell>
          <cell r="H11">
            <v>1115</v>
          </cell>
          <cell r="I11">
            <v>1115</v>
          </cell>
          <cell r="J11">
            <v>3</v>
          </cell>
          <cell r="K11">
            <v>3</v>
          </cell>
          <cell r="L11">
            <v>3</v>
          </cell>
          <cell r="M11" t="str">
            <v>63  (Ex)</v>
          </cell>
          <cell r="N11">
            <v>4</v>
          </cell>
          <cell r="O11">
            <v>56.5</v>
          </cell>
          <cell r="P11">
            <v>1.0999999999999999E-2</v>
          </cell>
          <cell r="Q11">
            <v>2.9889999999999999</v>
          </cell>
          <cell r="R11">
            <v>0.11960785709708883</v>
          </cell>
          <cell r="S11">
            <v>1114.989</v>
          </cell>
          <cell r="W11" t="str">
            <v>63  (Ex)4</v>
          </cell>
          <cell r="X11">
            <v>3.7300754687270836E-2</v>
          </cell>
          <cell r="Y11">
            <v>1.0000238850236205</v>
          </cell>
          <cell r="Z11">
            <v>0.12</v>
          </cell>
          <cell r="AA11">
            <v>5158.6594854851282</v>
          </cell>
        </row>
        <row r="12">
          <cell r="A12">
            <v>2</v>
          </cell>
          <cell r="B12" t="str">
            <v>E1</v>
          </cell>
          <cell r="C12" t="str">
            <v>E2</v>
          </cell>
          <cell r="D12">
            <v>147</v>
          </cell>
          <cell r="E12">
            <v>0.3</v>
          </cell>
          <cell r="F12">
            <v>1112</v>
          </cell>
          <cell r="G12">
            <v>1106</v>
          </cell>
          <cell r="H12">
            <v>1115</v>
          </cell>
          <cell r="I12">
            <v>1114.989</v>
          </cell>
          <cell r="J12">
            <v>6</v>
          </cell>
          <cell r="K12">
            <v>9</v>
          </cell>
          <cell r="L12">
            <v>8.9890000000000327</v>
          </cell>
          <cell r="M12" t="str">
            <v>50  (Ex)</v>
          </cell>
          <cell r="N12">
            <v>4</v>
          </cell>
          <cell r="O12">
            <v>44.700000762939453</v>
          </cell>
          <cell r="P12">
            <v>0.23599999999999999</v>
          </cell>
          <cell r="Q12">
            <v>8.7530000000000321</v>
          </cell>
          <cell r="R12">
            <v>0.19109157684810954</v>
          </cell>
          <cell r="S12">
            <v>1114.7529999999999</v>
          </cell>
          <cell r="W12" t="str">
            <v>50  (Ex)4</v>
          </cell>
          <cell r="X12">
            <v>3.5024310929289357E-2</v>
          </cell>
          <cell r="Y12">
            <v>1.000018203588251</v>
          </cell>
          <cell r="Z12">
            <v>0.12</v>
          </cell>
          <cell r="AA12">
            <v>6520.453153360153</v>
          </cell>
        </row>
        <row r="13">
          <cell r="A13">
            <v>3</v>
          </cell>
          <cell r="B13" t="str">
            <v>E2</v>
          </cell>
          <cell r="C13" t="str">
            <v>E3</v>
          </cell>
          <cell r="D13">
            <v>240</v>
          </cell>
          <cell r="E13">
            <v>0.3</v>
          </cell>
          <cell r="F13">
            <v>1106</v>
          </cell>
          <cell r="G13">
            <v>1112</v>
          </cell>
          <cell r="H13">
            <v>1115</v>
          </cell>
          <cell r="I13">
            <v>1114.7529999999999</v>
          </cell>
          <cell r="J13">
            <v>-6</v>
          </cell>
          <cell r="K13">
            <v>9</v>
          </cell>
          <cell r="L13">
            <v>2.7529999999999291</v>
          </cell>
          <cell r="M13" t="str">
            <v>50  (Ex)</v>
          </cell>
          <cell r="N13">
            <v>4</v>
          </cell>
          <cell r="O13">
            <v>44.700000762939453</v>
          </cell>
          <cell r="P13">
            <v>0.38500000000000001</v>
          </cell>
          <cell r="Q13">
            <v>2.3679999999999293</v>
          </cell>
          <cell r="R13">
            <v>0.19109157684810954</v>
          </cell>
          <cell r="S13">
            <v>1114.3679999999999</v>
          </cell>
          <cell r="W13" t="str">
            <v>50  (Ex)4</v>
          </cell>
          <cell r="X13">
            <v>3.5024310929289357E-2</v>
          </cell>
          <cell r="Y13">
            <v>1.000018203588251</v>
          </cell>
          <cell r="Z13">
            <v>0.12</v>
          </cell>
          <cell r="AA13">
            <v>6520.453153360153</v>
          </cell>
        </row>
        <row r="14">
          <cell r="A14">
            <v>4</v>
          </cell>
          <cell r="B14" t="str">
            <v>E3</v>
          </cell>
          <cell r="C14" t="str">
            <v>E4</v>
          </cell>
          <cell r="D14">
            <v>180</v>
          </cell>
          <cell r="E14">
            <v>0.3</v>
          </cell>
          <cell r="F14">
            <v>1112</v>
          </cell>
          <cell r="G14">
            <v>1109</v>
          </cell>
          <cell r="H14">
            <v>1115</v>
          </cell>
          <cell r="I14">
            <v>1114.3679999999999</v>
          </cell>
          <cell r="J14">
            <v>3</v>
          </cell>
          <cell r="K14">
            <v>6</v>
          </cell>
          <cell r="L14">
            <v>5.3679999999999382</v>
          </cell>
          <cell r="M14" t="str">
            <v>50  (Ex)</v>
          </cell>
          <cell r="N14">
            <v>4</v>
          </cell>
          <cell r="O14">
            <v>44.700000762939453</v>
          </cell>
          <cell r="P14">
            <v>0.28899999999999998</v>
          </cell>
          <cell r="Q14">
            <v>5.0789999999999385</v>
          </cell>
          <cell r="R14">
            <v>0.19109157684810954</v>
          </cell>
          <cell r="S14">
            <v>1114.079</v>
          </cell>
          <cell r="W14" t="str">
            <v>50  (Ex)4</v>
          </cell>
          <cell r="X14">
            <v>3.5024310929289357E-2</v>
          </cell>
          <cell r="Y14">
            <v>1.000018203588251</v>
          </cell>
          <cell r="Z14">
            <v>0.12</v>
          </cell>
          <cell r="AA14">
            <v>6520.453153360153</v>
          </cell>
        </row>
        <row r="15">
          <cell r="A15">
            <v>5</v>
          </cell>
          <cell r="B15" t="str">
            <v>E4</v>
          </cell>
          <cell r="C15" t="str">
            <v>RVT1</v>
          </cell>
          <cell r="D15">
            <v>170</v>
          </cell>
          <cell r="E15">
            <v>0.3</v>
          </cell>
          <cell r="F15">
            <v>1109</v>
          </cell>
          <cell r="G15">
            <v>1104</v>
          </cell>
          <cell r="H15">
            <v>1115</v>
          </cell>
          <cell r="I15">
            <v>1114.079</v>
          </cell>
          <cell r="J15">
            <v>5</v>
          </cell>
          <cell r="K15">
            <v>11</v>
          </cell>
          <cell r="L15">
            <v>10.078999999999951</v>
          </cell>
          <cell r="M15" t="str">
            <v>50  (Ex)</v>
          </cell>
          <cell r="N15">
            <v>4</v>
          </cell>
          <cell r="O15">
            <v>76.199996948242188</v>
          </cell>
          <cell r="P15">
            <v>2.1999999999999999E-2</v>
          </cell>
          <cell r="Q15">
            <v>10.056999999999951</v>
          </cell>
          <cell r="R15">
            <v>6.5757712540092897E-2</v>
          </cell>
          <cell r="S15">
            <v>1114.057</v>
          </cell>
          <cell r="W15" t="str">
            <v>50  (Ex)4</v>
          </cell>
          <cell r="X15">
            <v>4.0591437855163691E-2</v>
          </cell>
          <cell r="Y15">
            <v>0.99992559939636538</v>
          </cell>
          <cell r="Z15">
            <v>0.12</v>
          </cell>
          <cell r="AA15">
            <v>3824.9904541056994</v>
          </cell>
        </row>
        <row r="17">
          <cell r="A17">
            <v>6</v>
          </cell>
          <cell r="B17" t="str">
            <v>RVT1</v>
          </cell>
          <cell r="C17" t="str">
            <v>P1</v>
          </cell>
          <cell r="D17">
            <v>120</v>
          </cell>
          <cell r="E17">
            <v>2</v>
          </cell>
          <cell r="F17">
            <v>1104</v>
          </cell>
          <cell r="G17">
            <v>1153</v>
          </cell>
          <cell r="H17">
            <v>1104</v>
          </cell>
          <cell r="I17">
            <v>1104</v>
          </cell>
          <cell r="J17">
            <v>-49</v>
          </cell>
          <cell r="K17">
            <v>0</v>
          </cell>
          <cell r="L17">
            <v>-49</v>
          </cell>
          <cell r="M17">
            <v>50</v>
          </cell>
          <cell r="N17">
            <v>6</v>
          </cell>
          <cell r="O17">
            <v>42.2</v>
          </cell>
          <cell r="P17">
            <v>7.23</v>
          </cell>
          <cell r="Q17">
            <v>-56.230000000000004</v>
          </cell>
          <cell r="R17">
            <v>1.4293561159085293</v>
          </cell>
          <cell r="S17">
            <v>1096.77</v>
          </cell>
          <cell r="T17" t="str">
            <v>OS</v>
          </cell>
          <cell r="W17" t="str">
            <v>506</v>
          </cell>
          <cell r="X17">
            <v>2.2196986777408327E-2</v>
          </cell>
          <cell r="Y17">
            <v>0.99935746848950402</v>
          </cell>
          <cell r="Z17">
            <v>0.12</v>
          </cell>
          <cell r="AA17">
            <v>46044.906939954148</v>
          </cell>
        </row>
        <row r="18">
          <cell r="A18">
            <v>7</v>
          </cell>
          <cell r="B18" t="str">
            <v>P1</v>
          </cell>
          <cell r="C18" t="str">
            <v>P2</v>
          </cell>
          <cell r="D18">
            <v>53</v>
          </cell>
          <cell r="E18">
            <v>2</v>
          </cell>
          <cell r="F18">
            <v>1153</v>
          </cell>
          <cell r="G18">
            <v>1151</v>
          </cell>
          <cell r="H18">
            <v>1104</v>
          </cell>
          <cell r="I18">
            <v>1096.77</v>
          </cell>
          <cell r="J18">
            <v>2</v>
          </cell>
          <cell r="K18">
            <v>-47</v>
          </cell>
          <cell r="L18">
            <v>-54.230000000000018</v>
          </cell>
          <cell r="M18">
            <v>50</v>
          </cell>
          <cell r="N18">
            <v>6</v>
          </cell>
          <cell r="O18">
            <v>42.2</v>
          </cell>
          <cell r="P18">
            <v>3.1930000000000001</v>
          </cell>
          <cell r="Q18">
            <v>-57.423000000000016</v>
          </cell>
          <cell r="R18">
            <v>1.4293561159085293</v>
          </cell>
          <cell r="S18">
            <v>1093.577</v>
          </cell>
          <cell r="T18" t="str">
            <v>OS</v>
          </cell>
          <cell r="W18" t="str">
            <v>506</v>
          </cell>
          <cell r="X18">
            <v>2.2196252753065339E-2</v>
          </cell>
          <cell r="Y18">
            <v>0.9993391763964834</v>
          </cell>
          <cell r="Z18">
            <v>0.12</v>
          </cell>
          <cell r="AA18">
            <v>46044.906939954148</v>
          </cell>
        </row>
        <row r="19">
          <cell r="A19">
            <v>8</v>
          </cell>
          <cell r="B19" t="str">
            <v>P2</v>
          </cell>
          <cell r="C19" t="str">
            <v>P3</v>
          </cell>
          <cell r="D19">
            <v>60</v>
          </cell>
          <cell r="E19">
            <v>2</v>
          </cell>
          <cell r="F19">
            <v>1151</v>
          </cell>
          <cell r="G19">
            <v>1154</v>
          </cell>
          <cell r="H19">
            <v>1104</v>
          </cell>
          <cell r="I19">
            <v>1093.577</v>
          </cell>
          <cell r="J19">
            <v>-3</v>
          </cell>
          <cell r="K19">
            <v>-47</v>
          </cell>
          <cell r="L19">
            <v>-60.423000000000002</v>
          </cell>
          <cell r="M19">
            <v>50</v>
          </cell>
          <cell r="N19">
            <v>6</v>
          </cell>
          <cell r="O19">
            <v>42.2</v>
          </cell>
          <cell r="P19">
            <v>3.6150000000000002</v>
          </cell>
          <cell r="Q19">
            <v>-64.037999999999997</v>
          </cell>
          <cell r="R19">
            <v>1.4293561159085293</v>
          </cell>
          <cell r="S19">
            <v>1089.962</v>
          </cell>
          <cell r="T19" t="str">
            <v>OS</v>
          </cell>
          <cell r="W19" t="str">
            <v>506</v>
          </cell>
          <cell r="X19">
            <v>2.2196252753065339E-2</v>
          </cell>
          <cell r="Y19">
            <v>0.9993391763964834</v>
          </cell>
          <cell r="Z19">
            <v>0.12</v>
          </cell>
          <cell r="AA19">
            <v>46044.906939954148</v>
          </cell>
        </row>
        <row r="20">
          <cell r="A20">
            <v>9</v>
          </cell>
          <cell r="B20" t="str">
            <v>P3</v>
          </cell>
          <cell r="C20" t="str">
            <v>P4</v>
          </cell>
          <cell r="D20">
            <v>100</v>
          </cell>
          <cell r="E20">
            <v>2</v>
          </cell>
          <cell r="F20">
            <v>1154</v>
          </cell>
          <cell r="G20">
            <v>1169</v>
          </cell>
          <cell r="H20">
            <v>1104</v>
          </cell>
          <cell r="I20">
            <v>1089.962</v>
          </cell>
          <cell r="J20">
            <v>-15</v>
          </cell>
          <cell r="K20">
            <v>-50</v>
          </cell>
          <cell r="L20">
            <v>-79.038000000000011</v>
          </cell>
          <cell r="M20">
            <v>50</v>
          </cell>
          <cell r="N20">
            <v>10</v>
          </cell>
          <cell r="O20">
            <v>38</v>
          </cell>
          <cell r="P20">
            <v>10.034000000000001</v>
          </cell>
          <cell r="Q20">
            <v>-89.072000000000017</v>
          </cell>
          <cell r="R20">
            <v>1.7627801561319567</v>
          </cell>
          <cell r="S20">
            <v>1079.9279999999999</v>
          </cell>
          <cell r="T20" t="str">
            <v>OS</v>
          </cell>
          <cell r="W20" t="str">
            <v>5010</v>
          </cell>
          <cell r="X20">
            <v>2.188498524707571E-2</v>
          </cell>
          <cell r="Y20">
            <v>0.99995640463782309</v>
          </cell>
          <cell r="Z20">
            <v>0.12</v>
          </cell>
          <cell r="AA20">
            <v>51134.080864896452</v>
          </cell>
        </row>
        <row r="21">
          <cell r="A21">
            <v>10</v>
          </cell>
          <cell r="B21" t="str">
            <v>P4</v>
          </cell>
          <cell r="C21" t="str">
            <v>RVT2</v>
          </cell>
          <cell r="D21">
            <v>40</v>
          </cell>
          <cell r="E21">
            <v>2</v>
          </cell>
          <cell r="F21">
            <v>1169</v>
          </cell>
          <cell r="G21">
            <v>1179</v>
          </cell>
          <cell r="H21">
            <v>1104</v>
          </cell>
          <cell r="I21">
            <v>1079.9279999999999</v>
          </cell>
          <cell r="J21">
            <v>-10</v>
          </cell>
          <cell r="K21">
            <v>-65</v>
          </cell>
          <cell r="L21">
            <v>-99.072000000000116</v>
          </cell>
          <cell r="M21">
            <v>50</v>
          </cell>
          <cell r="N21">
            <v>10</v>
          </cell>
          <cell r="O21">
            <v>38</v>
          </cell>
          <cell r="P21">
            <v>4.0129999999999999</v>
          </cell>
          <cell r="Q21">
            <v>-103.08500000000012</v>
          </cell>
          <cell r="R21">
            <v>1.7627801561319567</v>
          </cell>
          <cell r="S21">
            <v>1075.915</v>
          </cell>
          <cell r="T21" t="str">
            <v>OS</v>
          </cell>
          <cell r="W21" t="str">
            <v>5010</v>
          </cell>
          <cell r="X21">
            <v>2.188498524707571E-2</v>
          </cell>
          <cell r="Y21">
            <v>0.99995640463782309</v>
          </cell>
          <cell r="Z21">
            <v>0.12</v>
          </cell>
          <cell r="AA21">
            <v>51134.080864896452</v>
          </cell>
        </row>
        <row r="23">
          <cell r="B23" t="str">
            <v>DISTRIBUTION  LINE</v>
          </cell>
          <cell r="D23">
            <v>3866</v>
          </cell>
          <cell r="M23" t="str">
            <v>OD</v>
          </cell>
          <cell r="T23" t="str">
            <v>SOIL</v>
          </cell>
        </row>
        <row r="25">
          <cell r="A25">
            <v>1</v>
          </cell>
          <cell r="B25" t="str">
            <v>RVT2</v>
          </cell>
          <cell r="C25" t="str">
            <v>J01</v>
          </cell>
          <cell r="D25">
            <v>40</v>
          </cell>
          <cell r="E25">
            <v>0.9</v>
          </cell>
          <cell r="F25">
            <v>1179</v>
          </cell>
          <cell r="G25">
            <v>1169</v>
          </cell>
          <cell r="H25">
            <v>1179</v>
          </cell>
          <cell r="I25">
            <v>1179</v>
          </cell>
          <cell r="J25">
            <v>10</v>
          </cell>
          <cell r="K25">
            <v>10</v>
          </cell>
          <cell r="L25">
            <v>10</v>
          </cell>
          <cell r="M25">
            <v>40</v>
          </cell>
          <cell r="N25">
            <v>6</v>
          </cell>
          <cell r="O25">
            <v>33.700000000000003</v>
          </cell>
          <cell r="P25">
            <v>1.704</v>
          </cell>
          <cell r="Q25">
            <v>8.2959999999999994</v>
          </cell>
          <cell r="R25">
            <v>1.0085978968332425</v>
          </cell>
          <cell r="S25">
            <v>1177.296</v>
          </cell>
          <cell r="T25" t="str">
            <v>OS</v>
          </cell>
          <cell r="W25" t="str">
            <v>406</v>
          </cell>
          <cell r="X25">
            <v>2.5166541928544704E-2</v>
          </cell>
          <cell r="Y25">
            <v>0.99980214297197689</v>
          </cell>
          <cell r="Z25">
            <v>0.12</v>
          </cell>
          <cell r="AA25">
            <v>25946.373376549829</v>
          </cell>
        </row>
        <row r="26">
          <cell r="A26">
            <v>2</v>
          </cell>
          <cell r="B26" t="str">
            <v>J01</v>
          </cell>
          <cell r="C26" t="str">
            <v>J02</v>
          </cell>
          <cell r="D26">
            <v>100</v>
          </cell>
          <cell r="E26">
            <v>0.9</v>
          </cell>
          <cell r="F26">
            <v>1169</v>
          </cell>
          <cell r="G26">
            <v>1154</v>
          </cell>
          <cell r="H26">
            <v>1179</v>
          </cell>
          <cell r="I26">
            <v>1177.296</v>
          </cell>
          <cell r="J26">
            <v>15</v>
          </cell>
          <cell r="K26">
            <v>25</v>
          </cell>
          <cell r="L26">
            <v>23.296000000000049</v>
          </cell>
          <cell r="M26">
            <v>40</v>
          </cell>
          <cell r="N26">
            <v>6</v>
          </cell>
          <cell r="O26">
            <v>33.700000000000003</v>
          </cell>
          <cell r="P26">
            <v>4.2590000000000003</v>
          </cell>
          <cell r="Q26">
            <v>19.037000000000049</v>
          </cell>
          <cell r="R26">
            <v>1.0085978968332425</v>
          </cell>
          <cell r="S26">
            <v>1173.037</v>
          </cell>
          <cell r="T26" t="str">
            <v>OS</v>
          </cell>
          <cell r="W26" t="str">
            <v>406</v>
          </cell>
          <cell r="X26">
            <v>2.5166386160612123E-2</v>
          </cell>
          <cell r="Y26">
            <v>0.99979868053057752</v>
          </cell>
          <cell r="Z26">
            <v>0.12</v>
          </cell>
          <cell r="AA26">
            <v>25946.373376549829</v>
          </cell>
        </row>
        <row r="27">
          <cell r="A27">
            <v>3</v>
          </cell>
          <cell r="B27" t="str">
            <v>J02</v>
          </cell>
          <cell r="C27" t="str">
            <v>J03</v>
          </cell>
          <cell r="D27">
            <v>60</v>
          </cell>
          <cell r="E27">
            <v>0.9</v>
          </cell>
          <cell r="F27">
            <v>1154</v>
          </cell>
          <cell r="G27">
            <v>1151</v>
          </cell>
          <cell r="H27">
            <v>1179</v>
          </cell>
          <cell r="I27">
            <v>1173.037</v>
          </cell>
          <cell r="J27">
            <v>3</v>
          </cell>
          <cell r="K27">
            <v>28</v>
          </cell>
          <cell r="L27">
            <v>22.037000000000035</v>
          </cell>
          <cell r="M27">
            <v>40</v>
          </cell>
          <cell r="N27">
            <v>6</v>
          </cell>
          <cell r="O27">
            <v>33.700000000000003</v>
          </cell>
          <cell r="P27">
            <v>2.5550000000000002</v>
          </cell>
          <cell r="Q27">
            <v>19.482000000000035</v>
          </cell>
          <cell r="R27">
            <v>1.0085978968332425</v>
          </cell>
          <cell r="S27">
            <v>1170.482</v>
          </cell>
          <cell r="T27" t="str">
            <v>OS</v>
          </cell>
          <cell r="W27" t="str">
            <v>406</v>
          </cell>
          <cell r="X27">
            <v>2.5166386160612123E-2</v>
          </cell>
          <cell r="Y27">
            <v>0.99979868053057752</v>
          </cell>
          <cell r="Z27">
            <v>0.12</v>
          </cell>
          <cell r="AA27">
            <v>25946.373376549829</v>
          </cell>
        </row>
        <row r="28">
          <cell r="A28">
            <v>4</v>
          </cell>
          <cell r="B28" t="str">
            <v>J03</v>
          </cell>
          <cell r="C28" t="str">
            <v>J04</v>
          </cell>
          <cell r="D28">
            <v>53</v>
          </cell>
          <cell r="E28">
            <v>0.3</v>
          </cell>
          <cell r="F28">
            <v>1151</v>
          </cell>
          <cell r="G28">
            <v>1153</v>
          </cell>
          <cell r="H28">
            <v>1179</v>
          </cell>
          <cell r="I28">
            <v>1170.482</v>
          </cell>
          <cell r="J28">
            <v>-2</v>
          </cell>
          <cell r="K28">
            <v>28</v>
          </cell>
          <cell r="L28">
            <v>17.481999999999971</v>
          </cell>
          <cell r="M28">
            <v>32</v>
          </cell>
          <cell r="N28">
            <v>6</v>
          </cell>
          <cell r="O28">
            <v>26.9</v>
          </cell>
          <cell r="P28">
            <v>0.95099999999999996</v>
          </cell>
          <cell r="Q28">
            <v>16.53099999999997</v>
          </cell>
          <cell r="R28">
            <v>0.52765741465455407</v>
          </cell>
          <cell r="S28">
            <v>1169.5309999999999</v>
          </cell>
          <cell r="T28" t="str">
            <v>OS</v>
          </cell>
          <cell r="W28" t="str">
            <v>326</v>
          </cell>
          <cell r="X28">
            <v>3.0936832406414046E-2</v>
          </cell>
          <cell r="Y28">
            <v>0.99987671900744568</v>
          </cell>
          <cell r="Z28">
            <v>0.12</v>
          </cell>
          <cell r="AA28">
            <v>10835.102636799622</v>
          </cell>
        </row>
        <row r="29">
          <cell r="A29">
            <v>5</v>
          </cell>
          <cell r="B29" t="str">
            <v>J04</v>
          </cell>
          <cell r="C29" t="str">
            <v>J1</v>
          </cell>
          <cell r="D29">
            <v>120</v>
          </cell>
          <cell r="E29">
            <v>0.3</v>
          </cell>
          <cell r="F29">
            <v>1153</v>
          </cell>
          <cell r="G29">
            <v>1142</v>
          </cell>
          <cell r="H29">
            <v>1179</v>
          </cell>
          <cell r="I29">
            <v>1169.5309999999999</v>
          </cell>
          <cell r="J29">
            <v>11</v>
          </cell>
          <cell r="K29">
            <v>37</v>
          </cell>
          <cell r="L29">
            <v>27.530999999999949</v>
          </cell>
          <cell r="M29">
            <v>32</v>
          </cell>
          <cell r="N29">
            <v>6</v>
          </cell>
          <cell r="O29">
            <v>26.9</v>
          </cell>
          <cell r="P29">
            <v>2.1539999999999999</v>
          </cell>
          <cell r="Q29">
            <v>25.376999999999949</v>
          </cell>
          <cell r="R29">
            <v>0.52765741465455407</v>
          </cell>
          <cell r="S29">
            <v>1167.377</v>
          </cell>
          <cell r="T29" t="str">
            <v>OS</v>
          </cell>
          <cell r="W29" t="str">
            <v>326</v>
          </cell>
          <cell r="X29">
            <v>3.0936832406414046E-2</v>
          </cell>
          <cell r="Y29">
            <v>0.99987671900744568</v>
          </cell>
          <cell r="Z29">
            <v>0.12</v>
          </cell>
          <cell r="AA29">
            <v>10835.102636799622</v>
          </cell>
        </row>
        <row r="30">
          <cell r="A30">
            <v>6</v>
          </cell>
          <cell r="B30" t="str">
            <v>J1</v>
          </cell>
          <cell r="C30" t="str">
            <v>J2</v>
          </cell>
          <cell r="D30">
            <v>275</v>
          </cell>
          <cell r="E30">
            <v>0.2</v>
          </cell>
          <cell r="F30">
            <v>1142</v>
          </cell>
          <cell r="G30">
            <v>1129</v>
          </cell>
          <cell r="H30">
            <v>1179</v>
          </cell>
          <cell r="I30">
            <v>1167.377</v>
          </cell>
          <cell r="J30">
            <v>13</v>
          </cell>
          <cell r="K30">
            <v>50</v>
          </cell>
          <cell r="L30">
            <v>38.376999999999953</v>
          </cell>
          <cell r="M30">
            <v>25</v>
          </cell>
          <cell r="N30">
            <v>10</v>
          </cell>
          <cell r="O30">
            <v>18.899999999999999</v>
          </cell>
          <cell r="P30">
            <v>12.680999999999999</v>
          </cell>
          <cell r="Q30">
            <v>25.695999999999955</v>
          </cell>
          <cell r="R30">
            <v>0.71259330518589792</v>
          </cell>
          <cell r="S30">
            <v>1154.6959999999999</v>
          </cell>
          <cell r="T30" t="str">
            <v>OS</v>
          </cell>
          <cell r="W30" t="str">
            <v>2510</v>
          </cell>
          <cell r="X30">
            <v>3.0613018051554728E-2</v>
          </cell>
          <cell r="Y30">
            <v>0.99916354214205072</v>
          </cell>
          <cell r="AA30">
            <v>10280.926311460662</v>
          </cell>
        </row>
        <row r="31">
          <cell r="A31">
            <v>7</v>
          </cell>
          <cell r="B31" t="str">
            <v>J2</v>
          </cell>
          <cell r="C31" t="str">
            <v>J3</v>
          </cell>
          <cell r="D31">
            <v>60</v>
          </cell>
          <cell r="E31">
            <v>0.1</v>
          </cell>
          <cell r="F31">
            <v>1129</v>
          </cell>
          <cell r="G31">
            <v>1124</v>
          </cell>
          <cell r="H31">
            <v>1179</v>
          </cell>
          <cell r="I31">
            <v>1154.6959999999999</v>
          </cell>
          <cell r="J31">
            <v>5</v>
          </cell>
          <cell r="K31">
            <v>55</v>
          </cell>
          <cell r="L31">
            <v>30.695999999999913</v>
          </cell>
          <cell r="M31">
            <v>20</v>
          </cell>
          <cell r="N31">
            <v>10</v>
          </cell>
          <cell r="O31">
            <v>14.9</v>
          </cell>
          <cell r="P31">
            <v>2.6469999999999998</v>
          </cell>
          <cell r="Q31">
            <v>28.048999999999914</v>
          </cell>
          <cell r="R31">
            <v>0.57327475011363127</v>
          </cell>
          <cell r="S31">
            <v>1152.049</v>
          </cell>
          <cell r="T31" t="str">
            <v>OS</v>
          </cell>
          <cell r="W31" t="str">
            <v>2010</v>
          </cell>
          <cell r="X31">
            <v>3.5678035636420746E-2</v>
          </cell>
          <cell r="Y31">
            <v>0.99986315785531421</v>
          </cell>
          <cell r="Z31">
            <v>0.12</v>
          </cell>
          <cell r="AA31">
            <v>6520.4532646512262</v>
          </cell>
        </row>
        <row r="33">
          <cell r="A33">
            <v>8</v>
          </cell>
          <cell r="B33" t="str">
            <v>J03</v>
          </cell>
          <cell r="C33" t="str">
            <v>J4</v>
          </cell>
          <cell r="D33">
            <v>60</v>
          </cell>
          <cell r="E33">
            <v>0.5</v>
          </cell>
          <cell r="F33">
            <v>1151</v>
          </cell>
          <cell r="G33">
            <v>1145</v>
          </cell>
          <cell r="H33">
            <v>1179</v>
          </cell>
          <cell r="I33">
            <v>1170.482</v>
          </cell>
          <cell r="J33">
            <v>6</v>
          </cell>
          <cell r="K33">
            <v>34</v>
          </cell>
          <cell r="L33">
            <v>25.481999999999971</v>
          </cell>
          <cell r="M33">
            <v>40</v>
          </cell>
          <cell r="N33">
            <v>6</v>
          </cell>
          <cell r="O33">
            <v>33.700000000000003</v>
          </cell>
          <cell r="P33">
            <v>0.90100000000000002</v>
          </cell>
          <cell r="Q33">
            <v>24.580999999999971</v>
          </cell>
          <cell r="R33">
            <v>0.56033216490735693</v>
          </cell>
          <cell r="S33">
            <v>1169.5809999999999</v>
          </cell>
          <cell r="T33" t="str">
            <v>OS</v>
          </cell>
          <cell r="W33" t="str">
            <v>406</v>
          </cell>
          <cell r="X33">
            <v>2.8735025192049984E-2</v>
          </cell>
          <cell r="Y33">
            <v>0.99994413701157436</v>
          </cell>
          <cell r="Z33">
            <v>0.12</v>
          </cell>
          <cell r="AA33">
            <v>14414.651875861015</v>
          </cell>
        </row>
        <row r="34">
          <cell r="A34">
            <v>9</v>
          </cell>
          <cell r="B34" t="str">
            <v>J4</v>
          </cell>
          <cell r="C34" t="str">
            <v>J5</v>
          </cell>
          <cell r="D34">
            <v>80</v>
          </cell>
          <cell r="E34">
            <v>0.4</v>
          </cell>
          <cell r="F34">
            <v>1145</v>
          </cell>
          <cell r="G34">
            <v>1141</v>
          </cell>
          <cell r="H34">
            <v>1179</v>
          </cell>
          <cell r="I34">
            <v>1169.5809999999999</v>
          </cell>
          <cell r="J34">
            <v>4</v>
          </cell>
          <cell r="K34">
            <v>38</v>
          </cell>
          <cell r="L34">
            <v>28.580999999999904</v>
          </cell>
          <cell r="M34">
            <v>25</v>
          </cell>
          <cell r="N34">
            <v>10</v>
          </cell>
          <cell r="O34">
            <v>18.899999999999999</v>
          </cell>
          <cell r="P34">
            <v>10.89</v>
          </cell>
          <cell r="Q34">
            <v>17.690999999999903</v>
          </cell>
          <cell r="R34">
            <v>1.4251866103717958</v>
          </cell>
          <cell r="S34">
            <v>1158.6909999999998</v>
          </cell>
          <cell r="T34" t="str">
            <v>OS</v>
          </cell>
          <cell r="W34" t="str">
            <v>2510</v>
          </cell>
          <cell r="X34">
            <v>2.2592245817976753E-2</v>
          </cell>
          <cell r="Y34">
            <v>0.92900901324669816</v>
          </cell>
          <cell r="AA34">
            <v>20561.852622921324</v>
          </cell>
        </row>
        <row r="35">
          <cell r="A35">
            <v>10</v>
          </cell>
          <cell r="B35" t="str">
            <v>J5</v>
          </cell>
          <cell r="C35" t="str">
            <v>J6</v>
          </cell>
          <cell r="D35">
            <v>60</v>
          </cell>
          <cell r="E35">
            <v>0.1</v>
          </cell>
          <cell r="F35">
            <v>1141</v>
          </cell>
          <cell r="G35">
            <v>1120</v>
          </cell>
          <cell r="H35">
            <v>1179</v>
          </cell>
          <cell r="I35">
            <v>1158.6909999999998</v>
          </cell>
          <cell r="J35">
            <v>21</v>
          </cell>
          <cell r="K35">
            <v>59</v>
          </cell>
          <cell r="L35">
            <v>38.690999999999804</v>
          </cell>
          <cell r="M35">
            <v>20</v>
          </cell>
          <cell r="N35">
            <v>10</v>
          </cell>
          <cell r="O35">
            <v>14.9</v>
          </cell>
          <cell r="P35">
            <v>2.6459999999999999</v>
          </cell>
          <cell r="Q35">
            <v>36.044999999999803</v>
          </cell>
          <cell r="R35">
            <v>0.57327475011363127</v>
          </cell>
          <cell r="S35">
            <v>1156.0449999999998</v>
          </cell>
          <cell r="T35" t="str">
            <v>OS</v>
          </cell>
          <cell r="W35" t="str">
            <v>2010</v>
          </cell>
          <cell r="X35">
            <v>3.5668476610953515E-2</v>
          </cell>
          <cell r="Y35">
            <v>0.9997093472032047</v>
          </cell>
          <cell r="Z35">
            <v>0.12</v>
          </cell>
          <cell r="AA35">
            <v>6520.4532646512262</v>
          </cell>
        </row>
        <row r="37">
          <cell r="A37">
            <v>11</v>
          </cell>
          <cell r="B37" t="str">
            <v>J5</v>
          </cell>
          <cell r="C37" t="str">
            <v>J7</v>
          </cell>
          <cell r="D37">
            <v>100</v>
          </cell>
          <cell r="E37">
            <v>0.2</v>
          </cell>
          <cell r="F37">
            <v>1141</v>
          </cell>
          <cell r="G37">
            <v>1126</v>
          </cell>
          <cell r="H37">
            <v>1179</v>
          </cell>
          <cell r="I37">
            <v>1158.6909999999998</v>
          </cell>
          <cell r="J37">
            <v>15</v>
          </cell>
          <cell r="K37">
            <v>53</v>
          </cell>
          <cell r="L37">
            <v>32.690999999999804</v>
          </cell>
          <cell r="M37">
            <v>25</v>
          </cell>
          <cell r="N37">
            <v>10</v>
          </cell>
          <cell r="O37">
            <v>18.899999999999999</v>
          </cell>
          <cell r="P37">
            <v>4.7619999999999996</v>
          </cell>
          <cell r="Q37">
            <v>27.928999999999803</v>
          </cell>
          <cell r="R37">
            <v>0.71259330518589792</v>
          </cell>
          <cell r="S37">
            <v>1153.9289999999999</v>
          </cell>
          <cell r="T37" t="str">
            <v>OS</v>
          </cell>
          <cell r="W37" t="str">
            <v>2510</v>
          </cell>
          <cell r="X37">
            <v>3.1615988339443464E-2</v>
          </cell>
          <cell r="Y37">
            <v>0.99970122954144258</v>
          </cell>
          <cell r="Z37">
            <v>0.12</v>
          </cell>
          <cell r="AA37">
            <v>10280.926311460662</v>
          </cell>
        </row>
        <row r="38">
          <cell r="A38">
            <v>12</v>
          </cell>
          <cell r="B38" t="str">
            <v>J7</v>
          </cell>
          <cell r="C38" t="str">
            <v>J8</v>
          </cell>
          <cell r="D38">
            <v>80</v>
          </cell>
          <cell r="E38">
            <v>0.1</v>
          </cell>
          <cell r="F38">
            <v>1126</v>
          </cell>
          <cell r="G38">
            <v>1125</v>
          </cell>
          <cell r="H38">
            <v>1179</v>
          </cell>
          <cell r="I38">
            <v>1153.9289999999999</v>
          </cell>
          <cell r="J38">
            <v>1</v>
          </cell>
          <cell r="K38">
            <v>54</v>
          </cell>
          <cell r="L38">
            <v>28.92899999999986</v>
          </cell>
          <cell r="M38">
            <v>20</v>
          </cell>
          <cell r="N38">
            <v>10</v>
          </cell>
          <cell r="O38">
            <v>14.9</v>
          </cell>
          <cell r="P38">
            <v>3.5289999999999999</v>
          </cell>
          <cell r="Q38">
            <v>25.39999999999986</v>
          </cell>
          <cell r="R38">
            <v>0.57327475011363127</v>
          </cell>
          <cell r="S38">
            <v>1150.3999999999999</v>
          </cell>
          <cell r="T38" t="str">
            <v>OS</v>
          </cell>
          <cell r="W38" t="str">
            <v>2010</v>
          </cell>
          <cell r="X38">
            <v>3.5668476610953515E-2</v>
          </cell>
          <cell r="Y38">
            <v>0.9997093472032047</v>
          </cell>
          <cell r="Z38">
            <v>0.12</v>
          </cell>
          <cell r="AA38">
            <v>6520.4532646512262</v>
          </cell>
        </row>
        <row r="40">
          <cell r="A40">
            <v>13</v>
          </cell>
          <cell r="B40" t="str">
            <v>RVT2</v>
          </cell>
          <cell r="C40" t="str">
            <v>J9</v>
          </cell>
          <cell r="D40">
            <v>120</v>
          </cell>
          <cell r="E40">
            <v>1.5</v>
          </cell>
          <cell r="F40">
            <v>1179</v>
          </cell>
          <cell r="G40">
            <v>1171</v>
          </cell>
          <cell r="H40">
            <v>1179</v>
          </cell>
          <cell r="I40">
            <v>1179</v>
          </cell>
          <cell r="J40">
            <v>8</v>
          </cell>
          <cell r="K40">
            <v>8</v>
          </cell>
          <cell r="L40">
            <v>8</v>
          </cell>
          <cell r="M40">
            <v>75</v>
          </cell>
          <cell r="N40">
            <v>4</v>
          </cell>
          <cell r="O40">
            <v>67.099999999999994</v>
          </cell>
          <cell r="P40">
            <v>0.46400000000000002</v>
          </cell>
          <cell r="Q40">
            <v>7.5359999999999996</v>
          </cell>
          <cell r="R40">
            <v>0.42401534047119421</v>
          </cell>
          <cell r="S40">
            <v>1178.5360000000001</v>
          </cell>
          <cell r="T40" t="str">
            <v>OS</v>
          </cell>
          <cell r="W40" t="str">
            <v>754</v>
          </cell>
          <cell r="X40">
            <v>2.576723050105378E-2</v>
          </cell>
          <cell r="Y40">
            <v>0.99988144592562966</v>
          </cell>
          <cell r="Z40">
            <v>0.12</v>
          </cell>
          <cell r="AA40">
            <v>21718.648355432921</v>
          </cell>
        </row>
        <row r="41">
          <cell r="A41">
            <v>14</v>
          </cell>
          <cell r="B41" t="str">
            <v>J9</v>
          </cell>
          <cell r="C41" t="str">
            <v>J10</v>
          </cell>
          <cell r="D41">
            <v>20</v>
          </cell>
          <cell r="E41">
            <v>1.5</v>
          </cell>
          <cell r="F41">
            <v>1171</v>
          </cell>
          <cell r="G41">
            <v>1166</v>
          </cell>
          <cell r="H41">
            <v>1179</v>
          </cell>
          <cell r="I41">
            <v>1178.5360000000001</v>
          </cell>
          <cell r="J41">
            <v>5</v>
          </cell>
          <cell r="K41">
            <v>13</v>
          </cell>
          <cell r="L41">
            <v>12.536000000000058</v>
          </cell>
          <cell r="M41">
            <v>63</v>
          </cell>
          <cell r="N41">
            <v>4</v>
          </cell>
          <cell r="O41">
            <v>56.5</v>
          </cell>
          <cell r="P41">
            <v>0.17599999999999999</v>
          </cell>
          <cell r="Q41">
            <v>12.360000000000058</v>
          </cell>
          <cell r="R41">
            <v>0.59803928548544416</v>
          </cell>
          <cell r="S41">
            <v>1178.3600000000001</v>
          </cell>
          <cell r="T41" t="str">
            <v>OS</v>
          </cell>
          <cell r="W41" t="str">
            <v>634</v>
          </cell>
          <cell r="X41">
            <v>2.4854185555611242E-2</v>
          </cell>
          <cell r="Y41">
            <v>0.99980263540058856</v>
          </cell>
          <cell r="Z41">
            <v>0.12</v>
          </cell>
          <cell r="AA41">
            <v>25793.297427425645</v>
          </cell>
        </row>
        <row r="42">
          <cell r="A42">
            <v>15</v>
          </cell>
          <cell r="B42" t="str">
            <v>J10</v>
          </cell>
          <cell r="C42" t="str">
            <v>J11</v>
          </cell>
          <cell r="D42">
            <v>40</v>
          </cell>
          <cell r="E42">
            <v>0.2</v>
          </cell>
          <cell r="F42">
            <v>1166</v>
          </cell>
          <cell r="G42">
            <v>1155</v>
          </cell>
          <cell r="H42">
            <v>1179</v>
          </cell>
          <cell r="I42">
            <v>1178.3600000000001</v>
          </cell>
          <cell r="J42">
            <v>11</v>
          </cell>
          <cell r="K42">
            <v>24</v>
          </cell>
          <cell r="L42">
            <v>23.360000000000127</v>
          </cell>
          <cell r="M42">
            <v>25</v>
          </cell>
          <cell r="N42">
            <v>10</v>
          </cell>
          <cell r="O42">
            <v>18.899999999999999</v>
          </cell>
          <cell r="P42">
            <v>1.9059999999999999</v>
          </cell>
          <cell r="Q42">
            <v>21.454000000000129</v>
          </cell>
          <cell r="R42">
            <v>0.71259330518589792</v>
          </cell>
          <cell r="S42">
            <v>1176.4540000000002</v>
          </cell>
          <cell r="T42" t="str">
            <v>OS</v>
          </cell>
          <cell r="W42" t="str">
            <v>2510</v>
          </cell>
          <cell r="X42">
            <v>3.1631123473668997E-2</v>
          </cell>
          <cell r="Y42">
            <v>0.99997334828417772</v>
          </cell>
          <cell r="Z42">
            <v>0.12</v>
          </cell>
          <cell r="AA42">
            <v>10280.926311460662</v>
          </cell>
        </row>
        <row r="43">
          <cell r="A43">
            <v>16</v>
          </cell>
          <cell r="B43" t="str">
            <v>J11</v>
          </cell>
          <cell r="C43" t="str">
            <v>J12</v>
          </cell>
          <cell r="D43">
            <v>70</v>
          </cell>
          <cell r="E43">
            <v>0.1</v>
          </cell>
          <cell r="F43">
            <v>1155</v>
          </cell>
          <cell r="G43">
            <v>1149</v>
          </cell>
          <cell r="H43">
            <v>1179</v>
          </cell>
          <cell r="I43">
            <v>1176.4540000000002</v>
          </cell>
          <cell r="J43">
            <v>6</v>
          </cell>
          <cell r="K43">
            <v>30</v>
          </cell>
          <cell r="L43">
            <v>27.454000000000178</v>
          </cell>
          <cell r="M43">
            <v>20</v>
          </cell>
          <cell r="N43">
            <v>10</v>
          </cell>
          <cell r="O43">
            <v>14.9</v>
          </cell>
          <cell r="P43">
            <v>3.0880000000000001</v>
          </cell>
          <cell r="Q43">
            <v>24.366000000000177</v>
          </cell>
          <cell r="R43">
            <v>0.57327475011363127</v>
          </cell>
          <cell r="S43">
            <v>1173.3660000000002</v>
          </cell>
          <cell r="T43" t="str">
            <v>OS</v>
          </cell>
          <cell r="W43" t="str">
            <v>2010</v>
          </cell>
          <cell r="X43">
            <v>3.5668476610953515E-2</v>
          </cell>
          <cell r="Y43">
            <v>0.9997093472032047</v>
          </cell>
          <cell r="Z43">
            <v>0.12</v>
          </cell>
          <cell r="AA43">
            <v>6520.4532646512262</v>
          </cell>
        </row>
        <row r="45">
          <cell r="A45">
            <v>17</v>
          </cell>
          <cell r="B45" t="str">
            <v>J10</v>
          </cell>
          <cell r="C45" t="str">
            <v>J13</v>
          </cell>
          <cell r="D45">
            <v>40</v>
          </cell>
          <cell r="E45">
            <v>1.2</v>
          </cell>
          <cell r="F45">
            <v>1166</v>
          </cell>
          <cell r="G45">
            <v>1133</v>
          </cell>
          <cell r="H45">
            <v>1179</v>
          </cell>
          <cell r="I45">
            <v>1178.3600000000001</v>
          </cell>
          <cell r="J45">
            <v>33</v>
          </cell>
          <cell r="K45">
            <v>46</v>
          </cell>
          <cell r="L45">
            <v>45.360000000000127</v>
          </cell>
          <cell r="M45">
            <v>50</v>
          </cell>
          <cell r="N45">
            <v>6</v>
          </cell>
          <cell r="O45">
            <v>42.2</v>
          </cell>
          <cell r="P45">
            <v>0.96399999999999997</v>
          </cell>
          <cell r="Q45">
            <v>44.396000000000129</v>
          </cell>
          <cell r="R45">
            <v>0.85761366954511753</v>
          </cell>
          <cell r="S45">
            <v>1177.3960000000002</v>
          </cell>
          <cell r="T45" t="str">
            <v>OS</v>
          </cell>
          <cell r="W45" t="str">
            <v>506</v>
          </cell>
          <cell r="X45">
            <v>2.4664588548831058E-2</v>
          </cell>
          <cell r="Y45">
            <v>0.99994241264453443</v>
          </cell>
          <cell r="Z45">
            <v>0.12</v>
          </cell>
          <cell r="AA45">
            <v>27626.944163972486</v>
          </cell>
        </row>
        <row r="46">
          <cell r="A46">
            <v>18</v>
          </cell>
          <cell r="B46" t="str">
            <v>J13</v>
          </cell>
          <cell r="C46" t="str">
            <v>J14</v>
          </cell>
          <cell r="D46">
            <v>30</v>
          </cell>
          <cell r="E46">
            <v>1.1000000000000001</v>
          </cell>
          <cell r="F46">
            <v>1133</v>
          </cell>
          <cell r="G46">
            <v>1156</v>
          </cell>
          <cell r="H46">
            <v>1179</v>
          </cell>
          <cell r="I46">
            <v>1177.3960000000002</v>
          </cell>
          <cell r="J46">
            <v>-23</v>
          </cell>
          <cell r="K46">
            <v>46</v>
          </cell>
          <cell r="L46">
            <v>21.396000000000186</v>
          </cell>
          <cell r="M46">
            <v>40</v>
          </cell>
          <cell r="N46">
            <v>6</v>
          </cell>
          <cell r="O46">
            <v>33.700000000000003</v>
          </cell>
          <cell r="P46">
            <v>1.83</v>
          </cell>
          <cell r="Q46">
            <v>19.566000000000187</v>
          </cell>
          <cell r="R46">
            <v>1.2327307627961854</v>
          </cell>
          <cell r="S46">
            <v>1175.5660000000003</v>
          </cell>
          <cell r="T46" t="str">
            <v>OS</v>
          </cell>
          <cell r="W46" t="str">
            <v>406</v>
          </cell>
          <cell r="X46">
            <v>2.4124528924715522E-2</v>
          </cell>
          <cell r="Y46">
            <v>0.99953644132466601</v>
          </cell>
          <cell r="Z46">
            <v>0.12</v>
          </cell>
          <cell r="AA46">
            <v>31712.234126894236</v>
          </cell>
        </row>
        <row r="47">
          <cell r="A47">
            <v>19</v>
          </cell>
          <cell r="B47" t="str">
            <v>J14</v>
          </cell>
          <cell r="C47" t="str">
            <v>J16</v>
          </cell>
          <cell r="D47">
            <v>40</v>
          </cell>
          <cell r="E47">
            <v>0.9</v>
          </cell>
          <cell r="F47">
            <v>1156</v>
          </cell>
          <cell r="G47">
            <v>1154</v>
          </cell>
          <cell r="H47">
            <v>1179</v>
          </cell>
          <cell r="I47">
            <v>1175.5660000000003</v>
          </cell>
          <cell r="J47">
            <v>2</v>
          </cell>
          <cell r="K47">
            <v>25</v>
          </cell>
          <cell r="L47">
            <v>21.566000000000258</v>
          </cell>
          <cell r="M47">
            <v>40</v>
          </cell>
          <cell r="N47">
            <v>6</v>
          </cell>
          <cell r="O47">
            <v>33.700000000000003</v>
          </cell>
          <cell r="P47">
            <v>1.704</v>
          </cell>
          <cell r="Q47">
            <v>19.862000000000258</v>
          </cell>
          <cell r="R47">
            <v>1.0085978968332425</v>
          </cell>
          <cell r="S47">
            <v>1173.8620000000003</v>
          </cell>
          <cell r="T47" t="str">
            <v>OS</v>
          </cell>
          <cell r="W47" t="str">
            <v>406</v>
          </cell>
          <cell r="X47">
            <v>2.5173305842194467E-2</v>
          </cell>
          <cell r="Y47">
            <v>0.99995248324097752</v>
          </cell>
          <cell r="Z47">
            <v>0.12</v>
          </cell>
          <cell r="AA47">
            <v>25946.373376549829</v>
          </cell>
        </row>
        <row r="48">
          <cell r="A48">
            <v>20</v>
          </cell>
          <cell r="B48" t="str">
            <v>J16</v>
          </cell>
          <cell r="C48" t="str">
            <v>J17</v>
          </cell>
          <cell r="D48">
            <v>60</v>
          </cell>
          <cell r="E48">
            <v>0.9</v>
          </cell>
          <cell r="F48">
            <v>1154</v>
          </cell>
          <cell r="G48">
            <v>1134</v>
          </cell>
          <cell r="H48">
            <v>1179</v>
          </cell>
          <cell r="I48">
            <v>1173.8620000000003</v>
          </cell>
          <cell r="J48">
            <v>20</v>
          </cell>
          <cell r="K48">
            <v>45</v>
          </cell>
          <cell r="L48">
            <v>39.862000000000307</v>
          </cell>
          <cell r="M48">
            <v>40</v>
          </cell>
          <cell r="N48">
            <v>6</v>
          </cell>
          <cell r="O48">
            <v>33.700000000000003</v>
          </cell>
          <cell r="P48">
            <v>2.556</v>
          </cell>
          <cell r="Q48">
            <v>37.30600000000031</v>
          </cell>
          <cell r="R48">
            <v>1.0085978968332425</v>
          </cell>
          <cell r="S48">
            <v>1171.3060000000003</v>
          </cell>
          <cell r="T48" t="str">
            <v>OS</v>
          </cell>
          <cell r="W48" t="str">
            <v>406</v>
          </cell>
          <cell r="X48">
            <v>2.5173305842194467E-2</v>
          </cell>
          <cell r="Y48">
            <v>0.99995248324097752</v>
          </cell>
          <cell r="Z48">
            <v>0.12</v>
          </cell>
          <cell r="AA48">
            <v>25946.373376549829</v>
          </cell>
        </row>
        <row r="49">
          <cell r="A49">
            <v>21</v>
          </cell>
          <cell r="B49" t="str">
            <v>J17</v>
          </cell>
          <cell r="C49" t="str">
            <v>J18</v>
          </cell>
          <cell r="D49">
            <v>40</v>
          </cell>
          <cell r="E49">
            <v>0.4</v>
          </cell>
          <cell r="F49">
            <v>1134</v>
          </cell>
          <cell r="G49">
            <v>1115</v>
          </cell>
          <cell r="H49">
            <v>1179</v>
          </cell>
          <cell r="I49">
            <v>1171.3060000000003</v>
          </cell>
          <cell r="J49">
            <v>19</v>
          </cell>
          <cell r="K49">
            <v>64</v>
          </cell>
          <cell r="L49">
            <v>56.306000000000267</v>
          </cell>
          <cell r="M49">
            <v>32</v>
          </cell>
          <cell r="N49">
            <v>10</v>
          </cell>
          <cell r="O49">
            <v>24.1</v>
          </cell>
          <cell r="P49">
            <v>2.02</v>
          </cell>
          <cell r="Q49">
            <v>54.286000000000264</v>
          </cell>
          <cell r="R49">
            <v>0.87651884280730197</v>
          </cell>
          <cell r="S49">
            <v>1169.2860000000003</v>
          </cell>
          <cell r="T49" t="str">
            <v>OS</v>
          </cell>
          <cell r="W49" t="str">
            <v>3210</v>
          </cell>
          <cell r="X49">
            <v>2.8252864857629938E-2</v>
          </cell>
          <cell r="Y49">
            <v>0.99992191396605268</v>
          </cell>
          <cell r="Z49">
            <v>0.12</v>
          </cell>
          <cell r="AA49">
            <v>16125.270314241205</v>
          </cell>
        </row>
        <row r="50">
          <cell r="A50">
            <v>22</v>
          </cell>
          <cell r="B50" t="str">
            <v>J18</v>
          </cell>
          <cell r="C50" t="str">
            <v>J19</v>
          </cell>
          <cell r="D50">
            <v>80</v>
          </cell>
          <cell r="E50">
            <v>0.3</v>
          </cell>
          <cell r="F50">
            <v>1115</v>
          </cell>
          <cell r="G50">
            <v>1106</v>
          </cell>
          <cell r="H50">
            <v>1179</v>
          </cell>
          <cell r="I50">
            <v>1169.2860000000003</v>
          </cell>
          <cell r="J50">
            <v>9</v>
          </cell>
          <cell r="K50">
            <v>73</v>
          </cell>
          <cell r="L50">
            <v>63.286000000000286</v>
          </cell>
          <cell r="M50">
            <v>32</v>
          </cell>
          <cell r="N50">
            <v>10</v>
          </cell>
          <cell r="O50">
            <v>24.1</v>
          </cell>
          <cell r="P50">
            <v>2.4279999999999999</v>
          </cell>
          <cell r="Q50">
            <v>60.858000000000288</v>
          </cell>
          <cell r="R50">
            <v>0.65738913210547645</v>
          </cell>
          <cell r="S50">
            <v>1166.8580000000002</v>
          </cell>
          <cell r="T50" t="str">
            <v>OS</v>
          </cell>
          <cell r="W50" t="str">
            <v>3210</v>
          </cell>
          <cell r="X50">
            <v>3.0187428799165656E-2</v>
          </cell>
          <cell r="Y50">
            <v>0.99953762496723342</v>
          </cell>
          <cell r="Z50">
            <v>0.12</v>
          </cell>
          <cell r="AA50">
            <v>12093.952735680903</v>
          </cell>
        </row>
        <row r="51">
          <cell r="A51">
            <v>23</v>
          </cell>
          <cell r="B51" t="str">
            <v>J19</v>
          </cell>
          <cell r="C51" t="str">
            <v>J20</v>
          </cell>
          <cell r="D51">
            <v>80</v>
          </cell>
          <cell r="E51">
            <v>0.2</v>
          </cell>
          <cell r="F51">
            <v>1106</v>
          </cell>
          <cell r="G51">
            <v>1075</v>
          </cell>
          <cell r="H51">
            <v>1179</v>
          </cell>
          <cell r="I51">
            <v>1166.8580000000002</v>
          </cell>
          <cell r="J51">
            <v>31</v>
          </cell>
          <cell r="K51">
            <v>104</v>
          </cell>
          <cell r="L51">
            <v>91.858000000000175</v>
          </cell>
          <cell r="M51">
            <v>25</v>
          </cell>
          <cell r="N51">
            <v>10</v>
          </cell>
          <cell r="O51">
            <v>18.899999999999999</v>
          </cell>
          <cell r="P51">
            <v>2.722</v>
          </cell>
          <cell r="Q51">
            <v>89.13600000000018</v>
          </cell>
          <cell r="R51">
            <v>0.71259330518589792</v>
          </cell>
          <cell r="S51">
            <v>1164.1360000000002</v>
          </cell>
          <cell r="T51" t="str">
            <v>OS</v>
          </cell>
          <cell r="W51" t="str">
            <v>2510</v>
          </cell>
          <cell r="X51">
            <v>2.2592245817976753E-2</v>
          </cell>
          <cell r="Y51">
            <v>0.83851507884954724</v>
          </cell>
          <cell r="AA51">
            <v>10280.926311460662</v>
          </cell>
        </row>
        <row r="52">
          <cell r="A52">
            <v>24</v>
          </cell>
          <cell r="B52" t="str">
            <v>J20</v>
          </cell>
          <cell r="C52" t="str">
            <v>J21</v>
          </cell>
          <cell r="D52">
            <v>70</v>
          </cell>
          <cell r="E52">
            <v>0.2</v>
          </cell>
          <cell r="F52">
            <v>1075</v>
          </cell>
          <cell r="G52">
            <v>1064</v>
          </cell>
          <cell r="H52">
            <v>1179</v>
          </cell>
          <cell r="I52">
            <v>1164.1360000000002</v>
          </cell>
          <cell r="J52">
            <v>11</v>
          </cell>
          <cell r="K52">
            <v>115</v>
          </cell>
          <cell r="L52">
            <v>100.13600000000019</v>
          </cell>
          <cell r="M52">
            <v>25</v>
          </cell>
          <cell r="N52">
            <v>10</v>
          </cell>
          <cell r="O52">
            <v>18.899999999999999</v>
          </cell>
          <cell r="P52">
            <v>2.3820000000000001</v>
          </cell>
          <cell r="Q52">
            <v>97.75400000000019</v>
          </cell>
          <cell r="R52">
            <v>0.71259330518589792</v>
          </cell>
          <cell r="S52">
            <v>1161.7540000000001</v>
          </cell>
          <cell r="T52" t="str">
            <v>OS</v>
          </cell>
          <cell r="W52" t="str">
            <v>2510</v>
          </cell>
          <cell r="X52">
            <v>2.2592245817976753E-2</v>
          </cell>
          <cell r="Y52">
            <v>0.83851507884954724</v>
          </cell>
          <cell r="AA52">
            <v>10280.926311460662</v>
          </cell>
        </row>
        <row r="53">
          <cell r="A53">
            <v>25</v>
          </cell>
          <cell r="B53" t="str">
            <v>J21</v>
          </cell>
          <cell r="C53" t="str">
            <v>J22</v>
          </cell>
          <cell r="D53">
            <v>80</v>
          </cell>
          <cell r="E53">
            <v>0.1</v>
          </cell>
          <cell r="F53">
            <v>1064</v>
          </cell>
          <cell r="G53">
            <v>1063</v>
          </cell>
          <cell r="H53">
            <v>1179</v>
          </cell>
          <cell r="I53">
            <v>1161.7540000000001</v>
          </cell>
          <cell r="J53">
            <v>1</v>
          </cell>
          <cell r="K53">
            <v>116</v>
          </cell>
          <cell r="L53">
            <v>98.754000000000133</v>
          </cell>
          <cell r="M53">
            <v>20</v>
          </cell>
          <cell r="N53">
            <v>10</v>
          </cell>
          <cell r="O53">
            <v>14.9</v>
          </cell>
          <cell r="P53">
            <v>3.43</v>
          </cell>
          <cell r="Q53">
            <v>95.324000000000126</v>
          </cell>
          <cell r="R53">
            <v>0.57327475011363127</v>
          </cell>
          <cell r="S53">
            <v>1158.3240000000001</v>
          </cell>
          <cell r="T53" t="str">
            <v>OS</v>
          </cell>
          <cell r="W53" t="str">
            <v>2010</v>
          </cell>
          <cell r="X53">
            <v>3.4674744750124074E-2</v>
          </cell>
          <cell r="Y53">
            <v>0.99981108866856383</v>
          </cell>
          <cell r="AA53">
            <v>6520.4532646512262</v>
          </cell>
        </row>
        <row r="55">
          <cell r="A55">
            <v>26</v>
          </cell>
          <cell r="B55" t="str">
            <v>J17</v>
          </cell>
          <cell r="C55" t="str">
            <v>J23</v>
          </cell>
          <cell r="D55">
            <v>70</v>
          </cell>
          <cell r="E55">
            <v>0.5</v>
          </cell>
          <cell r="F55">
            <v>1134</v>
          </cell>
          <cell r="G55">
            <v>1115</v>
          </cell>
          <cell r="H55">
            <v>1179</v>
          </cell>
          <cell r="I55">
            <v>1171.3060000000003</v>
          </cell>
          <cell r="J55">
            <v>19</v>
          </cell>
          <cell r="K55">
            <v>64</v>
          </cell>
          <cell r="L55">
            <v>56.306000000000267</v>
          </cell>
          <cell r="M55">
            <v>40</v>
          </cell>
          <cell r="N55">
            <v>10</v>
          </cell>
          <cell r="O55">
            <v>30.3</v>
          </cell>
          <cell r="P55">
            <v>1.7490000000000001</v>
          </cell>
          <cell r="Q55">
            <v>54.557000000000265</v>
          </cell>
          <cell r="R55">
            <v>0.69313862079277233</v>
          </cell>
          <cell r="S55">
            <v>1169.5570000000002</v>
          </cell>
          <cell r="T55" t="str">
            <v>OS</v>
          </cell>
          <cell r="W55" t="str">
            <v>4010</v>
          </cell>
          <cell r="X55">
            <v>2.8101847784664711E-2</v>
          </cell>
          <cell r="Y55">
            <v>0.99996995758353868</v>
          </cell>
          <cell r="Z55">
            <v>0.12</v>
          </cell>
          <cell r="AA55">
            <v>16032.137564901528</v>
          </cell>
        </row>
        <row r="56">
          <cell r="A56">
            <v>27</v>
          </cell>
          <cell r="B56" t="str">
            <v>J23</v>
          </cell>
          <cell r="C56" t="str">
            <v>J24</v>
          </cell>
          <cell r="D56">
            <v>50</v>
          </cell>
          <cell r="E56">
            <v>0.5</v>
          </cell>
          <cell r="F56">
            <v>1115</v>
          </cell>
          <cell r="G56">
            <v>1112</v>
          </cell>
          <cell r="H56">
            <v>1179</v>
          </cell>
          <cell r="I56">
            <v>1169.5570000000002</v>
          </cell>
          <cell r="J56">
            <v>3</v>
          </cell>
          <cell r="K56">
            <v>67</v>
          </cell>
          <cell r="L56">
            <v>57.557000000000244</v>
          </cell>
          <cell r="M56">
            <v>25</v>
          </cell>
          <cell r="N56">
            <v>10</v>
          </cell>
          <cell r="O56">
            <v>18.899999999999999</v>
          </cell>
          <cell r="P56">
            <v>10.635</v>
          </cell>
          <cell r="Q56">
            <v>46.922000000000246</v>
          </cell>
          <cell r="R56">
            <v>1.7814832629647448</v>
          </cell>
          <cell r="S56">
            <v>1158.9220000000003</v>
          </cell>
          <cell r="T56" t="str">
            <v>OS</v>
          </cell>
          <cell r="W56" t="str">
            <v>2510</v>
          </cell>
          <cell r="X56">
            <v>2.2592245817976753E-2</v>
          </cell>
          <cell r="Y56">
            <v>0.958141553146035</v>
          </cell>
          <cell r="AA56">
            <v>25702.31577865166</v>
          </cell>
        </row>
        <row r="57">
          <cell r="A57">
            <v>28</v>
          </cell>
          <cell r="B57" t="str">
            <v>J24</v>
          </cell>
          <cell r="C57" t="str">
            <v>J25</v>
          </cell>
          <cell r="D57">
            <v>50</v>
          </cell>
          <cell r="E57">
            <v>0.1</v>
          </cell>
          <cell r="F57">
            <v>1112</v>
          </cell>
          <cell r="G57">
            <v>1111</v>
          </cell>
          <cell r="H57">
            <v>1179</v>
          </cell>
          <cell r="I57">
            <v>1158.9220000000003</v>
          </cell>
          <cell r="J57">
            <v>1</v>
          </cell>
          <cell r="K57">
            <v>68</v>
          </cell>
          <cell r="L57">
            <v>47.922000000000253</v>
          </cell>
          <cell r="M57">
            <v>20</v>
          </cell>
          <cell r="N57">
            <v>10</v>
          </cell>
          <cell r="O57">
            <v>14.9</v>
          </cell>
          <cell r="P57">
            <v>2.2050000000000001</v>
          </cell>
          <cell r="Q57">
            <v>45.717000000000255</v>
          </cell>
          <cell r="R57">
            <v>0.57327475011363127</v>
          </cell>
          <cell r="S57">
            <v>1156.7170000000003</v>
          </cell>
          <cell r="T57" t="str">
            <v>OS</v>
          </cell>
          <cell r="W57" t="str">
            <v>2010</v>
          </cell>
          <cell r="X57">
            <v>3.5668476610953515E-2</v>
          </cell>
          <cell r="Y57">
            <v>0.9997093472032047</v>
          </cell>
          <cell r="Z57">
            <v>0.12</v>
          </cell>
          <cell r="AA57">
            <v>6520.4532646512262</v>
          </cell>
        </row>
        <row r="59">
          <cell r="A59">
            <v>29</v>
          </cell>
          <cell r="B59" t="str">
            <v>J24</v>
          </cell>
          <cell r="C59" t="str">
            <v>J26</v>
          </cell>
          <cell r="D59">
            <v>40</v>
          </cell>
          <cell r="E59">
            <v>0.3</v>
          </cell>
          <cell r="F59">
            <v>1112</v>
          </cell>
          <cell r="G59">
            <v>1105</v>
          </cell>
          <cell r="H59">
            <v>1179</v>
          </cell>
          <cell r="I59">
            <v>1158.9220000000003</v>
          </cell>
          <cell r="J59">
            <v>7</v>
          </cell>
          <cell r="K59">
            <v>74</v>
          </cell>
          <cell r="L59">
            <v>53.922000000000253</v>
          </cell>
          <cell r="M59">
            <v>40</v>
          </cell>
          <cell r="N59">
            <v>10</v>
          </cell>
          <cell r="O59">
            <v>30.3</v>
          </cell>
          <cell r="P59">
            <v>0.40699999999999997</v>
          </cell>
          <cell r="Q59">
            <v>53.515000000000256</v>
          </cell>
          <cell r="R59">
            <v>0.41588317247566342</v>
          </cell>
          <cell r="S59">
            <v>1158.5150000000003</v>
          </cell>
          <cell r="T59" t="str">
            <v>OS</v>
          </cell>
          <cell r="W59" t="str">
            <v>4010</v>
          </cell>
          <cell r="X59">
            <v>3.1779364644739849E-2</v>
          </cell>
          <cell r="Y59">
            <v>0.99968605428480195</v>
          </cell>
          <cell r="Z59">
            <v>0.12</v>
          </cell>
          <cell r="AA59">
            <v>9619.2825389409172</v>
          </cell>
        </row>
        <row r="60">
          <cell r="A60">
            <v>30</v>
          </cell>
          <cell r="B60" t="str">
            <v>J26</v>
          </cell>
          <cell r="C60" t="str">
            <v>J27</v>
          </cell>
          <cell r="D60">
            <v>1103</v>
          </cell>
          <cell r="E60">
            <v>0.2</v>
          </cell>
          <cell r="F60">
            <v>1105</v>
          </cell>
          <cell r="G60">
            <v>70</v>
          </cell>
          <cell r="H60">
            <v>1179</v>
          </cell>
          <cell r="I60">
            <v>1158.5150000000003</v>
          </cell>
          <cell r="J60">
            <v>1035</v>
          </cell>
          <cell r="K60">
            <v>1109</v>
          </cell>
          <cell r="L60">
            <v>1088.5150000000003</v>
          </cell>
          <cell r="M60">
            <v>25</v>
          </cell>
          <cell r="N60">
            <v>10</v>
          </cell>
          <cell r="O60">
            <v>18.899999999999999</v>
          </cell>
          <cell r="P60">
            <v>37.536000000000001</v>
          </cell>
          <cell r="Q60">
            <v>1050.9790000000003</v>
          </cell>
          <cell r="R60">
            <v>0.71259330518589792</v>
          </cell>
          <cell r="S60">
            <v>1120.9790000000003</v>
          </cell>
          <cell r="T60" t="str">
            <v>OS</v>
          </cell>
          <cell r="W60" t="str">
            <v>2510</v>
          </cell>
          <cell r="X60">
            <v>2.2592245817976753E-2</v>
          </cell>
          <cell r="Y60">
            <v>0.83851507884954724</v>
          </cell>
          <cell r="AA60">
            <v>10280.926311460662</v>
          </cell>
        </row>
        <row r="61">
          <cell r="A61">
            <v>31</v>
          </cell>
          <cell r="B61" t="str">
            <v>J27</v>
          </cell>
          <cell r="C61" t="str">
            <v>J28</v>
          </cell>
          <cell r="D61">
            <v>95</v>
          </cell>
          <cell r="E61">
            <v>0.1</v>
          </cell>
          <cell r="F61">
            <v>70</v>
          </cell>
          <cell r="G61">
            <v>1097</v>
          </cell>
          <cell r="H61">
            <v>1179</v>
          </cell>
          <cell r="I61">
            <v>1120.9790000000003</v>
          </cell>
          <cell r="J61">
            <v>-1027</v>
          </cell>
          <cell r="K61">
            <v>1109</v>
          </cell>
          <cell r="L61">
            <v>23.979000000000269</v>
          </cell>
          <cell r="M61">
            <v>20</v>
          </cell>
          <cell r="N61">
            <v>10</v>
          </cell>
          <cell r="O61">
            <v>14.9</v>
          </cell>
          <cell r="P61">
            <v>4.0739999999999998</v>
          </cell>
          <cell r="Q61">
            <v>19.905000000000271</v>
          </cell>
          <cell r="R61">
            <v>0.57327475011363127</v>
          </cell>
          <cell r="S61">
            <v>1116.9050000000002</v>
          </cell>
          <cell r="T61" t="str">
            <v>OS</v>
          </cell>
          <cell r="W61" t="str">
            <v>2010</v>
          </cell>
          <cell r="X61">
            <v>3.4674744750124074E-2</v>
          </cell>
          <cell r="Y61">
            <v>0.99981108866856383</v>
          </cell>
          <cell r="AA61">
            <v>6520.4532646512262</v>
          </cell>
        </row>
        <row r="63">
          <cell r="A63">
            <v>32</v>
          </cell>
          <cell r="B63" t="str">
            <v>O</v>
          </cell>
          <cell r="C63">
            <v>0</v>
          </cell>
          <cell r="D63">
            <v>600</v>
          </cell>
          <cell r="E63">
            <v>0</v>
          </cell>
          <cell r="F63">
            <v>0</v>
          </cell>
          <cell r="G63">
            <v>0</v>
          </cell>
          <cell r="H63" t="e">
            <v>#N/A</v>
          </cell>
          <cell r="I63" t="e">
            <v>#N/A</v>
          </cell>
          <cell r="J63">
            <v>0</v>
          </cell>
          <cell r="L63" t="e">
            <v>#N/A</v>
          </cell>
          <cell r="M63">
            <v>20</v>
          </cell>
          <cell r="N63">
            <v>10</v>
          </cell>
          <cell r="O63">
            <v>14.9</v>
          </cell>
          <cell r="P63">
            <v>0</v>
          </cell>
          <cell r="Q63" t="e">
            <v>#N/A</v>
          </cell>
          <cell r="R63">
            <v>0</v>
          </cell>
          <cell r="S63" t="e">
            <v>#N/A</v>
          </cell>
          <cell r="W63" t="str">
            <v>2010</v>
          </cell>
          <cell r="X63">
            <v>0.02</v>
          </cell>
          <cell r="Y63" t="e">
            <v>#DIV/0!</v>
          </cell>
          <cell r="Z63">
            <v>0.12</v>
          </cell>
          <cell r="AA63">
            <v>0</v>
          </cell>
        </row>
        <row r="66">
          <cell r="B66" t="str">
            <v>TRANSMISSION  LINE</v>
          </cell>
          <cell r="D66">
            <v>125</v>
          </cell>
          <cell r="M66" t="str">
            <v>OD</v>
          </cell>
          <cell r="T66" t="str">
            <v>SOIL</v>
          </cell>
        </row>
        <row r="67">
          <cell r="A67">
            <v>1</v>
          </cell>
          <cell r="B67" t="str">
            <v>DC</v>
          </cell>
          <cell r="C67" t="str">
            <v>M1</v>
          </cell>
          <cell r="D67">
            <v>25</v>
          </cell>
          <cell r="E67">
            <v>0.8</v>
          </cell>
          <cell r="F67">
            <v>1115</v>
          </cell>
          <cell r="G67">
            <v>1114</v>
          </cell>
          <cell r="H67">
            <v>1115</v>
          </cell>
          <cell r="I67">
            <v>1115</v>
          </cell>
          <cell r="J67">
            <v>1</v>
          </cell>
          <cell r="K67">
            <v>1</v>
          </cell>
          <cell r="L67">
            <v>1</v>
          </cell>
          <cell r="M67">
            <v>50</v>
          </cell>
          <cell r="N67">
            <v>4</v>
          </cell>
          <cell r="O67">
            <v>44.7</v>
          </cell>
          <cell r="P67">
            <v>0.222</v>
          </cell>
          <cell r="Q67">
            <v>0.77800000000000002</v>
          </cell>
          <cell r="R67">
            <v>0.50957755565656104</v>
          </cell>
          <cell r="S67">
            <v>1114.778</v>
          </cell>
          <cell r="T67" t="str">
            <v>OS</v>
          </cell>
          <cell r="W67" t="str">
            <v>504</v>
          </cell>
          <cell r="X67">
            <v>2.728791280540506E-2</v>
          </cell>
          <cell r="Y67">
            <v>0.99904521711502492</v>
          </cell>
          <cell r="Z67">
            <v>0.12</v>
          </cell>
          <cell r="AA67">
            <v>17387.875372403265</v>
          </cell>
        </row>
        <row r="68">
          <cell r="A68">
            <v>2</v>
          </cell>
          <cell r="B68" t="str">
            <v>M1</v>
          </cell>
          <cell r="C68" t="str">
            <v>RVT3</v>
          </cell>
          <cell r="D68">
            <v>100</v>
          </cell>
          <cell r="E68">
            <v>0.8</v>
          </cell>
          <cell r="F68">
            <v>1114</v>
          </cell>
          <cell r="G68">
            <v>1104</v>
          </cell>
          <cell r="H68">
            <v>1115</v>
          </cell>
          <cell r="I68">
            <v>1114.778</v>
          </cell>
          <cell r="J68">
            <v>10</v>
          </cell>
          <cell r="K68">
            <v>11</v>
          </cell>
          <cell r="L68">
            <v>10.77800000000002</v>
          </cell>
          <cell r="M68">
            <v>50</v>
          </cell>
          <cell r="N68">
            <v>4</v>
          </cell>
          <cell r="O68">
            <v>44.7</v>
          </cell>
          <cell r="P68">
            <v>0.88900000000000001</v>
          </cell>
          <cell r="Q68">
            <v>9.8890000000000207</v>
          </cell>
          <cell r="R68">
            <v>0.50957755565656104</v>
          </cell>
          <cell r="S68">
            <v>1113.8890000000001</v>
          </cell>
          <cell r="T68" t="str">
            <v>OS</v>
          </cell>
          <cell r="W68" t="str">
            <v>504</v>
          </cell>
          <cell r="X68">
            <v>2.7286485328981636E-2</v>
          </cell>
          <cell r="Y68">
            <v>0.99901562070794814</v>
          </cell>
          <cell r="Z68">
            <v>0.12</v>
          </cell>
          <cell r="AA68">
            <v>17387.875372403265</v>
          </cell>
        </row>
        <row r="70">
          <cell r="B70" t="str">
            <v>DISTRIBUTION  LINE</v>
          </cell>
          <cell r="D70">
            <v>7447</v>
          </cell>
          <cell r="M70" t="str">
            <v>OD</v>
          </cell>
          <cell r="T70" t="str">
            <v>SOIL</v>
          </cell>
        </row>
        <row r="71">
          <cell r="A71">
            <v>3</v>
          </cell>
          <cell r="B71" t="str">
            <v>RVT3</v>
          </cell>
          <cell r="C71" t="str">
            <v>M2</v>
          </cell>
          <cell r="D71">
            <v>280</v>
          </cell>
          <cell r="E71">
            <v>2.9</v>
          </cell>
          <cell r="F71">
            <v>1104</v>
          </cell>
          <cell r="G71">
            <v>1093</v>
          </cell>
          <cell r="H71">
            <v>1104</v>
          </cell>
          <cell r="I71">
            <v>1104</v>
          </cell>
          <cell r="J71">
            <v>11</v>
          </cell>
          <cell r="K71">
            <v>11</v>
          </cell>
          <cell r="L71">
            <v>11</v>
          </cell>
          <cell r="M71">
            <v>75</v>
          </cell>
          <cell r="N71">
            <v>4</v>
          </cell>
          <cell r="O71">
            <v>67.099999999999994</v>
          </cell>
          <cell r="P71">
            <v>3.4910000000000001</v>
          </cell>
          <cell r="Q71">
            <v>7.5090000000000003</v>
          </cell>
          <cell r="R71">
            <v>0.81976299157764221</v>
          </cell>
          <cell r="S71">
            <v>1100.509</v>
          </cell>
          <cell r="T71" t="str">
            <v>OS</v>
          </cell>
          <cell r="W71" t="str">
            <v>754</v>
          </cell>
          <cell r="X71">
            <v>2.2204809614686821E-2</v>
          </cell>
          <cell r="Y71">
            <v>0.99991627617183565</v>
          </cell>
          <cell r="Z71">
            <v>0.1</v>
          </cell>
          <cell r="AA71">
            <v>41989.386820503656</v>
          </cell>
        </row>
        <row r="72">
          <cell r="A72">
            <v>4</v>
          </cell>
          <cell r="B72" t="str">
            <v>M2</v>
          </cell>
          <cell r="C72" t="str">
            <v>M3</v>
          </cell>
          <cell r="D72">
            <v>120</v>
          </cell>
          <cell r="E72">
            <v>1</v>
          </cell>
          <cell r="F72">
            <v>1093</v>
          </cell>
          <cell r="G72">
            <v>1072</v>
          </cell>
          <cell r="H72">
            <v>1104</v>
          </cell>
          <cell r="I72">
            <v>1100.509</v>
          </cell>
          <cell r="J72">
            <v>21</v>
          </cell>
          <cell r="K72">
            <v>32</v>
          </cell>
          <cell r="L72">
            <v>28.509000000000015</v>
          </cell>
          <cell r="M72">
            <v>50</v>
          </cell>
          <cell r="N72">
            <v>4</v>
          </cell>
          <cell r="O72">
            <v>44.7</v>
          </cell>
          <cell r="P72">
            <v>1.579</v>
          </cell>
          <cell r="Q72">
            <v>26.930000000000014</v>
          </cell>
          <cell r="R72">
            <v>0.63697194457070139</v>
          </cell>
          <cell r="S72">
            <v>1098.93</v>
          </cell>
          <cell r="T72" t="str">
            <v>OS</v>
          </cell>
          <cell r="W72" t="str">
            <v>504</v>
          </cell>
          <cell r="X72">
            <v>2.5853738577083923E-2</v>
          </cell>
          <cell r="Y72">
            <v>0.99968286936103123</v>
          </cell>
          <cell r="Z72">
            <v>0.1</v>
          </cell>
          <cell r="AA72">
            <v>21734.844215504083</v>
          </cell>
        </row>
        <row r="73">
          <cell r="A73">
            <v>5</v>
          </cell>
          <cell r="B73" t="str">
            <v>M3</v>
          </cell>
          <cell r="C73" t="str">
            <v>M4</v>
          </cell>
          <cell r="D73">
            <v>120</v>
          </cell>
          <cell r="E73">
            <v>0.9</v>
          </cell>
          <cell r="F73">
            <v>1072</v>
          </cell>
          <cell r="G73">
            <v>1062</v>
          </cell>
          <cell r="H73">
            <v>1104</v>
          </cell>
          <cell r="I73">
            <v>1098.93</v>
          </cell>
          <cell r="J73">
            <v>10</v>
          </cell>
          <cell r="K73">
            <v>42</v>
          </cell>
          <cell r="L73">
            <v>36.930000000000064</v>
          </cell>
          <cell r="M73">
            <v>50</v>
          </cell>
          <cell r="N73">
            <v>6</v>
          </cell>
          <cell r="O73">
            <v>42.2</v>
          </cell>
          <cell r="P73">
            <v>1.726</v>
          </cell>
          <cell r="Q73">
            <v>35.204000000000065</v>
          </cell>
          <cell r="R73">
            <v>0.6432102521588382</v>
          </cell>
          <cell r="S73">
            <v>1097.204</v>
          </cell>
          <cell r="T73" t="str">
            <v>OS</v>
          </cell>
          <cell r="W73" t="str">
            <v>506</v>
          </cell>
          <cell r="X73">
            <v>2.6173021061285037E-2</v>
          </cell>
          <cell r="Y73">
            <v>0.99980662778098517</v>
          </cell>
          <cell r="Z73">
            <v>0.1</v>
          </cell>
          <cell r="AA73">
            <v>20720.208122979369</v>
          </cell>
        </row>
        <row r="74">
          <cell r="A74">
            <v>6</v>
          </cell>
          <cell r="B74" t="str">
            <v>M4</v>
          </cell>
          <cell r="C74" t="str">
            <v>M5</v>
          </cell>
          <cell r="D74">
            <v>40</v>
          </cell>
          <cell r="E74">
            <v>0.8</v>
          </cell>
          <cell r="F74">
            <v>1062</v>
          </cell>
          <cell r="G74">
            <v>1052</v>
          </cell>
          <cell r="H74">
            <v>1104</v>
          </cell>
          <cell r="I74">
            <v>1097.204</v>
          </cell>
          <cell r="J74">
            <v>10</v>
          </cell>
          <cell r="K74">
            <v>52</v>
          </cell>
          <cell r="L74">
            <v>45.203999999999951</v>
          </cell>
          <cell r="M74" t="str">
            <v>40  (Ex)</v>
          </cell>
          <cell r="N74">
            <v>6</v>
          </cell>
          <cell r="O74">
            <v>33.700000762939453</v>
          </cell>
          <cell r="P74">
            <v>1.3740000000000001</v>
          </cell>
          <cell r="Q74">
            <v>43.829999999999949</v>
          </cell>
          <cell r="R74">
            <v>0.89653142325834689</v>
          </cell>
          <cell r="S74">
            <v>1095.83</v>
          </cell>
          <cell r="W74" t="str">
            <v>40  (Ex)6</v>
          </cell>
          <cell r="X74">
            <v>2.5689343112989434E-2</v>
          </cell>
          <cell r="Y74">
            <v>1.0000257432494648</v>
          </cell>
          <cell r="Z74">
            <v>0.1</v>
          </cell>
          <cell r="AA74">
            <v>23063.442479240828</v>
          </cell>
        </row>
        <row r="75">
          <cell r="A75">
            <v>7</v>
          </cell>
          <cell r="B75" t="str">
            <v>M5</v>
          </cell>
          <cell r="C75" t="str">
            <v>M6</v>
          </cell>
          <cell r="D75">
            <v>80</v>
          </cell>
          <cell r="E75">
            <v>0.7</v>
          </cell>
          <cell r="F75">
            <v>1052</v>
          </cell>
          <cell r="G75">
            <v>1049</v>
          </cell>
          <cell r="H75">
            <v>1104</v>
          </cell>
          <cell r="I75">
            <v>1095.83</v>
          </cell>
          <cell r="J75">
            <v>3</v>
          </cell>
          <cell r="K75">
            <v>55</v>
          </cell>
          <cell r="L75">
            <v>46.829999999999927</v>
          </cell>
          <cell r="M75" t="str">
            <v>40  (Ex)</v>
          </cell>
          <cell r="N75">
            <v>6</v>
          </cell>
          <cell r="O75">
            <v>33.700000762939453</v>
          </cell>
          <cell r="P75">
            <v>2.1680000000000001</v>
          </cell>
          <cell r="Q75">
            <v>44.661999999999928</v>
          </cell>
          <cell r="R75">
            <v>0.78446499535105352</v>
          </cell>
          <cell r="S75">
            <v>1093.662</v>
          </cell>
          <cell r="W75" t="str">
            <v>40  (Ex)6</v>
          </cell>
          <cell r="X75">
            <v>2.6469945123860836E-2</v>
          </cell>
          <cell r="Y75">
            <v>1.0000294629323025</v>
          </cell>
          <cell r="Z75">
            <v>0.1</v>
          </cell>
          <cell r="AA75">
            <v>20180.512169335725</v>
          </cell>
        </row>
        <row r="76">
          <cell r="A76">
            <v>8</v>
          </cell>
          <cell r="B76" t="str">
            <v>M6</v>
          </cell>
          <cell r="C76" t="str">
            <v>M7</v>
          </cell>
          <cell r="D76">
            <v>60</v>
          </cell>
          <cell r="E76">
            <v>0.7</v>
          </cell>
          <cell r="F76">
            <v>1049</v>
          </cell>
          <cell r="G76">
            <v>1033</v>
          </cell>
          <cell r="H76">
            <v>1104</v>
          </cell>
          <cell r="I76">
            <v>1093.662</v>
          </cell>
          <cell r="J76">
            <v>16</v>
          </cell>
          <cell r="K76">
            <v>71</v>
          </cell>
          <cell r="L76">
            <v>60.662000000000035</v>
          </cell>
          <cell r="M76" t="str">
            <v>40  (Ex)</v>
          </cell>
          <cell r="N76">
            <v>10</v>
          </cell>
          <cell r="O76">
            <v>30.299999237060547</v>
          </cell>
          <cell r="P76">
            <v>2.7090000000000001</v>
          </cell>
          <cell r="Q76">
            <v>57.953000000000031</v>
          </cell>
          <cell r="R76">
            <v>0.97039411797799668</v>
          </cell>
          <cell r="S76">
            <v>1090.953</v>
          </cell>
          <cell r="W76" t="str">
            <v>40  (Ex)10</v>
          </cell>
          <cell r="X76">
            <v>2.5910768038020678E-2</v>
          </cell>
          <cell r="Y76">
            <v>0.99984621204248347</v>
          </cell>
          <cell r="Z76">
            <v>0.1</v>
          </cell>
          <cell r="AA76">
            <v>22444.993156016291</v>
          </cell>
        </row>
        <row r="77">
          <cell r="A77">
            <v>9</v>
          </cell>
          <cell r="B77" t="str">
            <v>M7</v>
          </cell>
          <cell r="C77" t="str">
            <v>M8</v>
          </cell>
          <cell r="D77">
            <v>25</v>
          </cell>
          <cell r="E77">
            <v>0.5</v>
          </cell>
          <cell r="F77">
            <v>1033</v>
          </cell>
          <cell r="G77">
            <v>1015</v>
          </cell>
          <cell r="H77">
            <v>1104</v>
          </cell>
          <cell r="I77">
            <v>1090.953</v>
          </cell>
          <cell r="J77">
            <v>18</v>
          </cell>
          <cell r="K77">
            <v>89</v>
          </cell>
          <cell r="L77">
            <v>75.952999999999975</v>
          </cell>
          <cell r="M77">
            <v>40</v>
          </cell>
          <cell r="N77">
            <v>10</v>
          </cell>
          <cell r="O77">
            <v>30.3</v>
          </cell>
          <cell r="P77">
            <v>0.621</v>
          </cell>
          <cell r="Q77">
            <v>75.331999999999979</v>
          </cell>
          <cell r="R77">
            <v>0.69313862079277233</v>
          </cell>
          <cell r="S77">
            <v>1090.3319999999999</v>
          </cell>
          <cell r="T77" t="str">
            <v>OS</v>
          </cell>
          <cell r="W77" t="str">
            <v>4010</v>
          </cell>
          <cell r="X77">
            <v>2.7960518511447773E-2</v>
          </cell>
          <cell r="Y77">
            <v>0.99962864807155805</v>
          </cell>
          <cell r="Z77">
            <v>0.1</v>
          </cell>
          <cell r="AA77">
            <v>16032.137564901528</v>
          </cell>
        </row>
        <row r="78">
          <cell r="A78">
            <v>10</v>
          </cell>
          <cell r="B78" t="str">
            <v>M8</v>
          </cell>
          <cell r="C78" t="str">
            <v>M9</v>
          </cell>
          <cell r="D78">
            <v>110</v>
          </cell>
          <cell r="E78">
            <v>0.2</v>
          </cell>
          <cell r="F78">
            <v>1015</v>
          </cell>
          <cell r="G78">
            <v>993</v>
          </cell>
          <cell r="H78">
            <v>1104</v>
          </cell>
          <cell r="I78">
            <v>1090.3319999999999</v>
          </cell>
          <cell r="J78">
            <v>22</v>
          </cell>
          <cell r="K78">
            <v>111</v>
          </cell>
          <cell r="L78">
            <v>97.33199999999988</v>
          </cell>
          <cell r="M78">
            <v>32</v>
          </cell>
          <cell r="N78">
            <v>10</v>
          </cell>
          <cell r="O78">
            <v>24.1</v>
          </cell>
          <cell r="P78">
            <v>1.6080000000000001</v>
          </cell>
          <cell r="Q78">
            <v>95.723999999999876</v>
          </cell>
          <cell r="R78">
            <v>0.43825942140365098</v>
          </cell>
          <cell r="S78">
            <v>1088.7239999999999</v>
          </cell>
          <cell r="T78" t="str">
            <v>OS</v>
          </cell>
          <cell r="W78" t="str">
            <v>3210</v>
          </cell>
          <cell r="X78">
            <v>3.2725352455315368E-2</v>
          </cell>
          <cell r="Y78">
            <v>1.0001122937838955</v>
          </cell>
          <cell r="AA78">
            <v>8062.6351571206023</v>
          </cell>
        </row>
        <row r="79">
          <cell r="A79">
            <v>11</v>
          </cell>
          <cell r="B79" t="str">
            <v>M9</v>
          </cell>
          <cell r="C79" t="str">
            <v>M10</v>
          </cell>
          <cell r="D79">
            <v>60</v>
          </cell>
          <cell r="E79">
            <v>0.1</v>
          </cell>
          <cell r="F79">
            <v>993</v>
          </cell>
          <cell r="G79">
            <v>990</v>
          </cell>
          <cell r="H79">
            <v>1104</v>
          </cell>
          <cell r="I79">
            <v>1088.7239999999999</v>
          </cell>
          <cell r="J79">
            <v>3</v>
          </cell>
          <cell r="K79">
            <v>114</v>
          </cell>
          <cell r="L79">
            <v>98.723999999999933</v>
          </cell>
          <cell r="M79">
            <v>25</v>
          </cell>
          <cell r="N79">
            <v>10</v>
          </cell>
          <cell r="O79">
            <v>18.899999999999999</v>
          </cell>
          <cell r="P79">
            <v>0.83799999999999997</v>
          </cell>
          <cell r="Q79">
            <v>97.885999999999939</v>
          </cell>
          <cell r="R79">
            <v>0.35629665259294896</v>
          </cell>
          <cell r="S79">
            <v>1087.886</v>
          </cell>
          <cell r="T79" t="str">
            <v>OS</v>
          </cell>
          <cell r="W79" t="str">
            <v>2510</v>
          </cell>
          <cell r="X79">
            <v>3.7092988399382056E-2</v>
          </cell>
          <cell r="Y79">
            <v>0.99994547575220949</v>
          </cell>
          <cell r="AA79">
            <v>5140.463155730331</v>
          </cell>
        </row>
        <row r="80">
          <cell r="A80">
            <v>12</v>
          </cell>
          <cell r="B80" t="str">
            <v>M10</v>
          </cell>
          <cell r="C80" t="str">
            <v>M11</v>
          </cell>
          <cell r="D80">
            <v>60</v>
          </cell>
          <cell r="E80">
            <v>0.1</v>
          </cell>
          <cell r="F80">
            <v>990</v>
          </cell>
          <cell r="G80">
            <v>981</v>
          </cell>
          <cell r="H80">
            <v>1104</v>
          </cell>
          <cell r="I80">
            <v>1087.886</v>
          </cell>
          <cell r="J80">
            <v>9</v>
          </cell>
          <cell r="K80">
            <v>123</v>
          </cell>
          <cell r="L80">
            <v>106.88599999999997</v>
          </cell>
          <cell r="M80">
            <v>20</v>
          </cell>
          <cell r="N80">
            <v>10</v>
          </cell>
          <cell r="O80">
            <v>14.9</v>
          </cell>
          <cell r="P80">
            <v>2.57</v>
          </cell>
          <cell r="Q80">
            <v>104.31599999999997</v>
          </cell>
          <cell r="R80">
            <v>0.57327475011363127</v>
          </cell>
          <cell r="S80">
            <v>1085.316</v>
          </cell>
          <cell r="T80" t="str">
            <v>OS</v>
          </cell>
          <cell r="W80" t="str">
            <v>2010</v>
          </cell>
          <cell r="X80">
            <v>3.4641391945740146E-2</v>
          </cell>
          <cell r="Y80">
            <v>0.99925233830855209</v>
          </cell>
          <cell r="AA80">
            <v>6520.4532646512262</v>
          </cell>
        </row>
        <row r="82">
          <cell r="A82">
            <v>13</v>
          </cell>
          <cell r="B82" t="str">
            <v>M8</v>
          </cell>
          <cell r="C82" t="str">
            <v>M13</v>
          </cell>
          <cell r="D82">
            <v>110</v>
          </cell>
          <cell r="E82">
            <v>0.2</v>
          </cell>
          <cell r="F82">
            <v>1015</v>
          </cell>
          <cell r="G82">
            <v>989</v>
          </cell>
          <cell r="H82">
            <v>1104</v>
          </cell>
          <cell r="I82">
            <v>1090.3319999999999</v>
          </cell>
          <cell r="J82">
            <v>26</v>
          </cell>
          <cell r="K82">
            <v>115</v>
          </cell>
          <cell r="L82">
            <v>101.33199999999988</v>
          </cell>
          <cell r="M82">
            <v>25</v>
          </cell>
          <cell r="N82">
            <v>10</v>
          </cell>
          <cell r="O82">
            <v>18.899999999999999</v>
          </cell>
          <cell r="P82">
            <v>5.0810000000000004</v>
          </cell>
          <cell r="Q82">
            <v>96.250999999999877</v>
          </cell>
          <cell r="R82">
            <v>0.71259330518589792</v>
          </cell>
          <cell r="S82">
            <v>1085.251</v>
          </cell>
          <cell r="T82" t="str">
            <v>OS</v>
          </cell>
          <cell r="W82" t="str">
            <v>2510</v>
          </cell>
          <cell r="X82">
            <v>3.0663047675930619E-2</v>
          </cell>
          <cell r="Y82">
            <v>1.0001038371794926</v>
          </cell>
          <cell r="AA82">
            <v>10280.926311460662</v>
          </cell>
        </row>
        <row r="83">
          <cell r="A83">
            <v>14</v>
          </cell>
          <cell r="B83" t="str">
            <v>M13</v>
          </cell>
          <cell r="C83" t="str">
            <v>M14</v>
          </cell>
          <cell r="D83">
            <v>120</v>
          </cell>
          <cell r="E83">
            <v>0.2</v>
          </cell>
          <cell r="F83">
            <v>989</v>
          </cell>
          <cell r="G83">
            <v>975</v>
          </cell>
          <cell r="H83">
            <v>1104</v>
          </cell>
          <cell r="I83">
            <v>1085.251</v>
          </cell>
          <cell r="J83">
            <v>14</v>
          </cell>
          <cell r="K83">
            <v>129</v>
          </cell>
          <cell r="L83">
            <v>110.25099999999998</v>
          </cell>
          <cell r="M83">
            <v>25</v>
          </cell>
          <cell r="N83">
            <v>10</v>
          </cell>
          <cell r="O83">
            <v>18.899999999999999</v>
          </cell>
          <cell r="P83">
            <v>5.5369999999999999</v>
          </cell>
          <cell r="Q83">
            <v>104.71399999999997</v>
          </cell>
          <cell r="R83">
            <v>0.71259330518589792</v>
          </cell>
          <cell r="S83">
            <v>1079.7139999999999</v>
          </cell>
          <cell r="T83" t="str">
            <v>OS</v>
          </cell>
          <cell r="W83" t="str">
            <v>2510</v>
          </cell>
          <cell r="X83">
            <v>3.0634725369355874E-2</v>
          </cell>
          <cell r="Y83">
            <v>0.99957160792464828</v>
          </cell>
          <cell r="AA83">
            <v>10280.926311460662</v>
          </cell>
        </row>
        <row r="84">
          <cell r="A84">
            <v>15</v>
          </cell>
          <cell r="B84" t="str">
            <v>M14</v>
          </cell>
          <cell r="C84" t="str">
            <v>M15</v>
          </cell>
          <cell r="D84">
            <v>110</v>
          </cell>
          <cell r="E84">
            <v>0.1</v>
          </cell>
          <cell r="F84">
            <v>975</v>
          </cell>
          <cell r="G84">
            <v>970</v>
          </cell>
          <cell r="H84">
            <v>1104</v>
          </cell>
          <cell r="I84">
            <v>1079.7139999999999</v>
          </cell>
          <cell r="J84">
            <v>5</v>
          </cell>
          <cell r="K84">
            <v>134</v>
          </cell>
          <cell r="L84">
            <v>109.71399999999994</v>
          </cell>
          <cell r="M84">
            <v>20</v>
          </cell>
          <cell r="N84">
            <v>10</v>
          </cell>
          <cell r="O84">
            <v>14.9</v>
          </cell>
          <cell r="P84">
            <v>4.7190000000000003</v>
          </cell>
          <cell r="Q84">
            <v>104.99499999999995</v>
          </cell>
          <cell r="R84">
            <v>0.57327475011363127</v>
          </cell>
          <cell r="S84">
            <v>1074.9949999999999</v>
          </cell>
          <cell r="T84" t="str">
            <v>OS</v>
          </cell>
          <cell r="W84" t="str">
            <v>2010</v>
          </cell>
          <cell r="X84">
            <v>3.4690053955551955E-2</v>
          </cell>
          <cell r="Y84">
            <v>1.000067482121862</v>
          </cell>
          <cell r="AA84">
            <v>6520.4532646512262</v>
          </cell>
        </row>
        <row r="86">
          <cell r="A86">
            <v>16</v>
          </cell>
          <cell r="B86" t="str">
            <v>M7</v>
          </cell>
          <cell r="C86" t="str">
            <v>M16</v>
          </cell>
          <cell r="D86">
            <v>20</v>
          </cell>
          <cell r="E86">
            <v>0.1</v>
          </cell>
          <cell r="F86">
            <v>1033</v>
          </cell>
          <cell r="G86">
            <v>1025</v>
          </cell>
          <cell r="H86">
            <v>1104</v>
          </cell>
          <cell r="I86">
            <v>1090.953</v>
          </cell>
          <cell r="J86">
            <v>8</v>
          </cell>
          <cell r="K86">
            <v>79</v>
          </cell>
          <cell r="L86">
            <v>65.952999999999975</v>
          </cell>
          <cell r="M86">
            <v>20</v>
          </cell>
          <cell r="N86">
            <v>10</v>
          </cell>
          <cell r="O86">
            <v>14.9</v>
          </cell>
          <cell r="P86">
            <v>0.879</v>
          </cell>
          <cell r="Q86">
            <v>65.07399999999997</v>
          </cell>
          <cell r="R86">
            <v>0.57327475011363127</v>
          </cell>
          <cell r="S86">
            <v>1090.0740000000001</v>
          </cell>
          <cell r="T86" t="str">
            <v>OS</v>
          </cell>
          <cell r="W86" t="str">
            <v>2010</v>
          </cell>
          <cell r="X86">
            <v>3.5543001662657336E-2</v>
          </cell>
          <cell r="Y86">
            <v>1.0003392134008497</v>
          </cell>
          <cell r="Z86">
            <v>0.1</v>
          </cell>
          <cell r="AA86">
            <v>6520.4532646512262</v>
          </cell>
        </row>
        <row r="88">
          <cell r="A88">
            <v>17</v>
          </cell>
          <cell r="B88" t="str">
            <v>M5</v>
          </cell>
          <cell r="C88" t="str">
            <v>M17</v>
          </cell>
          <cell r="D88">
            <v>80</v>
          </cell>
          <cell r="E88">
            <v>0.1</v>
          </cell>
          <cell r="F88">
            <v>1052</v>
          </cell>
          <cell r="G88">
            <v>1042</v>
          </cell>
          <cell r="H88">
            <v>1104</v>
          </cell>
          <cell r="I88">
            <v>1095.83</v>
          </cell>
          <cell r="J88">
            <v>10</v>
          </cell>
          <cell r="L88">
            <v>53.829999999999927</v>
          </cell>
          <cell r="M88">
            <v>20</v>
          </cell>
          <cell r="N88">
            <v>10</v>
          </cell>
          <cell r="O88">
            <v>14.9</v>
          </cell>
          <cell r="P88">
            <v>3.516</v>
          </cell>
          <cell r="Q88">
            <v>50.313999999999929</v>
          </cell>
          <cell r="R88">
            <v>0.57327475011363127</v>
          </cell>
          <cell r="S88">
            <v>1092.3139999999999</v>
          </cell>
          <cell r="T88" t="str">
            <v>OS</v>
          </cell>
          <cell r="W88" t="str">
            <v>2010</v>
          </cell>
          <cell r="X88">
            <v>3.5543001662657336E-2</v>
          </cell>
          <cell r="Y88">
            <v>1.0003392134008497</v>
          </cell>
          <cell r="Z88">
            <v>0.1</v>
          </cell>
          <cell r="AA88">
            <v>6520.4532646512262</v>
          </cell>
        </row>
        <row r="90">
          <cell r="A90">
            <v>18</v>
          </cell>
          <cell r="B90" t="str">
            <v>M4</v>
          </cell>
          <cell r="C90" t="str">
            <v>M18</v>
          </cell>
          <cell r="D90">
            <v>100</v>
          </cell>
          <cell r="E90">
            <v>0.1</v>
          </cell>
          <cell r="F90">
            <v>1062</v>
          </cell>
          <cell r="G90">
            <v>1062</v>
          </cell>
          <cell r="H90">
            <v>1104</v>
          </cell>
          <cell r="I90">
            <v>1097.204</v>
          </cell>
          <cell r="J90">
            <v>0</v>
          </cell>
          <cell r="K90">
            <v>42</v>
          </cell>
          <cell r="L90">
            <v>35.203999999999951</v>
          </cell>
          <cell r="M90">
            <v>20</v>
          </cell>
          <cell r="N90">
            <v>10</v>
          </cell>
          <cell r="O90">
            <v>14.9</v>
          </cell>
          <cell r="P90">
            <v>4.3949999999999996</v>
          </cell>
          <cell r="Q90">
            <v>30.808999999999951</v>
          </cell>
          <cell r="R90">
            <v>0.57327475011363127</v>
          </cell>
          <cell r="S90">
            <v>1092.809</v>
          </cell>
          <cell r="T90" t="str">
            <v>OS</v>
          </cell>
          <cell r="W90" t="str">
            <v>2010</v>
          </cell>
          <cell r="X90">
            <v>3.5543001662657336E-2</v>
          </cell>
          <cell r="Y90">
            <v>1.0003392134008497</v>
          </cell>
          <cell r="Z90">
            <v>0.1</v>
          </cell>
          <cell r="AA90">
            <v>6520.4532646512262</v>
          </cell>
        </row>
        <row r="92">
          <cell r="A92">
            <v>19</v>
          </cell>
          <cell r="B92" t="str">
            <v>M2</v>
          </cell>
          <cell r="C92" t="str">
            <v>M19</v>
          </cell>
          <cell r="D92">
            <v>60</v>
          </cell>
          <cell r="E92">
            <v>1.9</v>
          </cell>
          <cell r="F92">
            <v>1093</v>
          </cell>
          <cell r="G92">
            <v>1074</v>
          </cell>
          <cell r="H92">
            <v>1104</v>
          </cell>
          <cell r="I92">
            <v>1100.509</v>
          </cell>
          <cell r="J92">
            <v>19</v>
          </cell>
          <cell r="K92">
            <v>30</v>
          </cell>
          <cell r="L92">
            <v>26.509000000000015</v>
          </cell>
          <cell r="M92" t="str">
            <v>63  (Ex)</v>
          </cell>
          <cell r="N92">
            <v>4</v>
          </cell>
          <cell r="O92">
            <v>56.5</v>
          </cell>
          <cell r="P92">
            <v>0.80300000000000005</v>
          </cell>
          <cell r="Q92">
            <v>25.706000000000014</v>
          </cell>
          <cell r="R92">
            <v>0.75751642828156263</v>
          </cell>
          <cell r="S92">
            <v>1099.7059999999999</v>
          </cell>
          <cell r="W92" t="str">
            <v>63  (Ex)4</v>
          </cell>
          <cell r="X92">
            <v>2.3507808519460268E-2</v>
          </cell>
          <cell r="Y92">
            <v>0.99981718077321113</v>
          </cell>
          <cell r="Z92">
            <v>0.1</v>
          </cell>
          <cell r="AA92">
            <v>32671.510074739152</v>
          </cell>
        </row>
        <row r="93">
          <cell r="A93">
            <v>20</v>
          </cell>
          <cell r="B93" t="str">
            <v>M19</v>
          </cell>
          <cell r="C93" t="str">
            <v>M20</v>
          </cell>
          <cell r="D93">
            <v>160</v>
          </cell>
          <cell r="E93">
            <v>1.9</v>
          </cell>
          <cell r="F93">
            <v>1074</v>
          </cell>
          <cell r="G93">
            <v>1084</v>
          </cell>
          <cell r="H93">
            <v>1104</v>
          </cell>
          <cell r="I93">
            <v>1099.7059999999999</v>
          </cell>
          <cell r="J93">
            <v>-10</v>
          </cell>
          <cell r="K93">
            <v>30</v>
          </cell>
          <cell r="L93">
            <v>15.705999999999904</v>
          </cell>
          <cell r="M93" t="str">
            <v>63  (Ex)</v>
          </cell>
          <cell r="N93">
            <v>4</v>
          </cell>
          <cell r="O93">
            <v>56.5</v>
          </cell>
          <cell r="P93">
            <v>2.1419999999999999</v>
          </cell>
          <cell r="Q93">
            <v>13.563999999999904</v>
          </cell>
          <cell r="R93">
            <v>0.75751642828156263</v>
          </cell>
          <cell r="S93">
            <v>1097.5639999999999</v>
          </cell>
          <cell r="W93" t="str">
            <v>63  (Ex)4</v>
          </cell>
          <cell r="X93">
            <v>2.3507897688953457E-2</v>
          </cell>
          <cell r="Y93">
            <v>0.99981930758379722</v>
          </cell>
          <cell r="Z93">
            <v>0.1</v>
          </cell>
          <cell r="AA93">
            <v>32671.510074739152</v>
          </cell>
        </row>
        <row r="94">
          <cell r="A94">
            <v>21</v>
          </cell>
          <cell r="B94" t="str">
            <v>M20</v>
          </cell>
          <cell r="C94" t="str">
            <v>M21</v>
          </cell>
          <cell r="D94">
            <v>140</v>
          </cell>
          <cell r="E94">
            <v>1.9</v>
          </cell>
          <cell r="F94">
            <v>1084</v>
          </cell>
          <cell r="G94">
            <v>1084</v>
          </cell>
          <cell r="H94">
            <v>1104</v>
          </cell>
          <cell r="I94">
            <v>1097.5639999999999</v>
          </cell>
          <cell r="J94">
            <v>0</v>
          </cell>
          <cell r="K94">
            <v>20</v>
          </cell>
          <cell r="L94">
            <v>13.563999999999851</v>
          </cell>
          <cell r="M94" t="str">
            <v>63  (Ex)</v>
          </cell>
          <cell r="N94">
            <v>4</v>
          </cell>
          <cell r="O94">
            <v>56.5</v>
          </cell>
          <cell r="P94">
            <v>1.8740000000000001</v>
          </cell>
          <cell r="Q94">
            <v>11.68999999999985</v>
          </cell>
          <cell r="R94">
            <v>0.75751642828156263</v>
          </cell>
          <cell r="S94">
            <v>1095.6899999999998</v>
          </cell>
          <cell r="W94" t="str">
            <v>63  (Ex)4</v>
          </cell>
          <cell r="X94">
            <v>2.3507897688953457E-2</v>
          </cell>
          <cell r="Y94">
            <v>0.99981930758379722</v>
          </cell>
          <cell r="Z94">
            <v>0.1</v>
          </cell>
          <cell r="AA94">
            <v>32671.510074739152</v>
          </cell>
        </row>
        <row r="95">
          <cell r="A95">
            <v>22</v>
          </cell>
          <cell r="B95" t="str">
            <v>M21</v>
          </cell>
          <cell r="C95" t="str">
            <v>M22</v>
          </cell>
          <cell r="D95">
            <v>100</v>
          </cell>
          <cell r="E95">
            <v>1.8</v>
          </cell>
          <cell r="F95">
            <v>1084</v>
          </cell>
          <cell r="G95">
            <v>1076</v>
          </cell>
          <cell r="H95">
            <v>1104</v>
          </cell>
          <cell r="I95">
            <v>1095.6899999999998</v>
          </cell>
          <cell r="J95">
            <v>8</v>
          </cell>
          <cell r="K95">
            <v>28</v>
          </cell>
          <cell r="L95">
            <v>19.689999999999827</v>
          </cell>
          <cell r="M95" t="str">
            <v>63  (Ex)</v>
          </cell>
          <cell r="N95">
            <v>4</v>
          </cell>
          <cell r="O95">
            <v>56.5</v>
          </cell>
          <cell r="P95">
            <v>1.216</v>
          </cell>
          <cell r="Q95">
            <v>18.473999999999826</v>
          </cell>
          <cell r="R95">
            <v>0.71764714258253293</v>
          </cell>
          <cell r="S95">
            <v>1094.4739999999999</v>
          </cell>
          <cell r="W95" t="str">
            <v>63  (Ex)4</v>
          </cell>
          <cell r="X95">
            <v>2.3786076821446393E-2</v>
          </cell>
          <cell r="Y95">
            <v>0.99981297138697112</v>
          </cell>
          <cell r="Z95">
            <v>0.1</v>
          </cell>
          <cell r="AA95">
            <v>30951.956912910769</v>
          </cell>
        </row>
        <row r="96">
          <cell r="A96">
            <v>23</v>
          </cell>
          <cell r="B96" t="str">
            <v>M22</v>
          </cell>
          <cell r="C96" t="str">
            <v>M23</v>
          </cell>
          <cell r="D96">
            <v>52</v>
          </cell>
          <cell r="E96">
            <v>0.9</v>
          </cell>
          <cell r="F96">
            <v>1076</v>
          </cell>
          <cell r="G96">
            <v>1060</v>
          </cell>
          <cell r="H96">
            <v>1104</v>
          </cell>
          <cell r="I96">
            <v>1094.4739999999999</v>
          </cell>
          <cell r="J96">
            <v>16</v>
          </cell>
          <cell r="K96">
            <v>44</v>
          </cell>
          <cell r="L96">
            <v>34.473999999999933</v>
          </cell>
          <cell r="M96">
            <v>50</v>
          </cell>
          <cell r="N96">
            <v>6</v>
          </cell>
          <cell r="O96">
            <v>42.2</v>
          </cell>
          <cell r="P96">
            <v>0.747</v>
          </cell>
          <cell r="Q96">
            <v>33.726999999999933</v>
          </cell>
          <cell r="R96">
            <v>0.6432102521588382</v>
          </cell>
          <cell r="S96">
            <v>1093.7269999999999</v>
          </cell>
          <cell r="T96" t="str">
            <v>OS</v>
          </cell>
          <cell r="W96" t="str">
            <v>506</v>
          </cell>
          <cell r="X96">
            <v>2.6143126741489785E-2</v>
          </cell>
          <cell r="Y96">
            <v>0.99916155606649282</v>
          </cell>
          <cell r="Z96">
            <v>0.1</v>
          </cell>
          <cell r="AA96">
            <v>20720.208122979369</v>
          </cell>
        </row>
        <row r="97">
          <cell r="A97">
            <v>24</v>
          </cell>
          <cell r="B97" t="str">
            <v>M23</v>
          </cell>
          <cell r="C97" t="str">
            <v>M24</v>
          </cell>
          <cell r="D97">
            <v>40</v>
          </cell>
          <cell r="E97">
            <v>0.7</v>
          </cell>
          <cell r="F97">
            <v>1060</v>
          </cell>
          <cell r="G97">
            <v>1040</v>
          </cell>
          <cell r="H97">
            <v>1104</v>
          </cell>
          <cell r="I97">
            <v>1093.7269999999999</v>
          </cell>
          <cell r="J97">
            <v>20</v>
          </cell>
          <cell r="K97">
            <v>64</v>
          </cell>
          <cell r="L97">
            <v>53.726999999999862</v>
          </cell>
          <cell r="M97">
            <v>40</v>
          </cell>
          <cell r="N97">
            <v>10</v>
          </cell>
          <cell r="O97">
            <v>30.3</v>
          </cell>
          <cell r="P97">
            <v>1.806</v>
          </cell>
          <cell r="Q97">
            <v>51.920999999999864</v>
          </cell>
          <cell r="R97">
            <v>0.97039406910988135</v>
          </cell>
          <cell r="S97">
            <v>1091.9209999999998</v>
          </cell>
          <cell r="T97" t="str">
            <v>OS</v>
          </cell>
          <cell r="W97" t="str">
            <v>4010</v>
          </cell>
          <cell r="X97">
            <v>2.5917033336576922E-2</v>
          </cell>
          <cell r="Y97">
            <v>0.99998206523755218</v>
          </cell>
          <cell r="Z97">
            <v>0.1</v>
          </cell>
          <cell r="AA97">
            <v>22444.992590862141</v>
          </cell>
        </row>
        <row r="98">
          <cell r="A98">
            <v>25</v>
          </cell>
          <cell r="B98" t="str">
            <v>M24</v>
          </cell>
          <cell r="C98" t="str">
            <v>M25</v>
          </cell>
          <cell r="D98">
            <v>40</v>
          </cell>
          <cell r="E98">
            <v>0.6</v>
          </cell>
          <cell r="F98">
            <v>1040</v>
          </cell>
          <cell r="G98">
            <v>1052</v>
          </cell>
          <cell r="H98">
            <v>1104</v>
          </cell>
          <cell r="I98">
            <v>1091.9209999999998</v>
          </cell>
          <cell r="J98">
            <v>-12</v>
          </cell>
          <cell r="K98">
            <v>64</v>
          </cell>
          <cell r="L98">
            <v>39.920999999999822</v>
          </cell>
          <cell r="M98">
            <v>40</v>
          </cell>
          <cell r="N98">
            <v>10</v>
          </cell>
          <cell r="O98">
            <v>30.3</v>
          </cell>
          <cell r="P98">
            <v>1.3740000000000001</v>
          </cell>
          <cell r="Q98">
            <v>38.546999999999819</v>
          </cell>
          <cell r="R98">
            <v>0.83176634495132684</v>
          </cell>
          <cell r="S98">
            <v>1090.5469999999998</v>
          </cell>
          <cell r="T98" t="str">
            <v>OS</v>
          </cell>
          <cell r="W98" t="str">
            <v>4010</v>
          </cell>
          <cell r="X98">
            <v>2.6826748865192981E-2</v>
          </cell>
          <cell r="Y98">
            <v>0.99999120176088996</v>
          </cell>
          <cell r="Z98">
            <v>0.1</v>
          </cell>
          <cell r="AA98">
            <v>19238.565077881834</v>
          </cell>
        </row>
        <row r="99">
          <cell r="A99">
            <v>26</v>
          </cell>
          <cell r="B99" t="str">
            <v>M25</v>
          </cell>
          <cell r="C99" t="str">
            <v>M26</v>
          </cell>
          <cell r="D99">
            <v>140</v>
          </cell>
          <cell r="E99">
            <v>0.5</v>
          </cell>
          <cell r="F99">
            <v>1052</v>
          </cell>
          <cell r="G99">
            <v>1033</v>
          </cell>
          <cell r="H99">
            <v>1104</v>
          </cell>
          <cell r="I99">
            <v>1090.5469999999998</v>
          </cell>
          <cell r="J99">
            <v>19</v>
          </cell>
          <cell r="K99">
            <v>71</v>
          </cell>
          <cell r="L99">
            <v>57.546999999999798</v>
          </cell>
          <cell r="M99">
            <v>40</v>
          </cell>
          <cell r="N99">
            <v>10</v>
          </cell>
          <cell r="O99">
            <v>30.3</v>
          </cell>
          <cell r="P99">
            <v>3.4790000000000001</v>
          </cell>
          <cell r="Q99">
            <v>54.067999999999799</v>
          </cell>
          <cell r="R99">
            <v>0.69313862079277233</v>
          </cell>
          <cell r="S99">
            <v>1087.0679999999998</v>
          </cell>
          <cell r="T99" t="str">
            <v>OS</v>
          </cell>
          <cell r="W99" t="str">
            <v>4010</v>
          </cell>
          <cell r="X99">
            <v>2.7953993609892574E-2</v>
          </cell>
          <cell r="Y99">
            <v>0.99949653121868298</v>
          </cell>
          <cell r="Z99">
            <v>0.1</v>
          </cell>
          <cell r="AA99">
            <v>16032.137564901528</v>
          </cell>
        </row>
        <row r="100">
          <cell r="A100">
            <v>27</v>
          </cell>
          <cell r="B100" t="str">
            <v>M26</v>
          </cell>
          <cell r="C100" t="str">
            <v>M27</v>
          </cell>
          <cell r="D100">
            <v>120</v>
          </cell>
          <cell r="E100">
            <v>0.3</v>
          </cell>
          <cell r="F100">
            <v>1033</v>
          </cell>
          <cell r="G100">
            <v>998</v>
          </cell>
          <cell r="H100">
            <v>1104</v>
          </cell>
          <cell r="I100">
            <v>1087.0679999999998</v>
          </cell>
          <cell r="J100">
            <v>35</v>
          </cell>
          <cell r="K100">
            <v>106</v>
          </cell>
          <cell r="L100">
            <v>89.067999999999756</v>
          </cell>
          <cell r="M100">
            <v>32</v>
          </cell>
          <cell r="N100">
            <v>10</v>
          </cell>
          <cell r="O100">
            <v>24.1</v>
          </cell>
          <cell r="P100">
            <v>3.5409999999999999</v>
          </cell>
          <cell r="Q100">
            <v>85.526999999999759</v>
          </cell>
          <cell r="R100">
            <v>0.65738913210547645</v>
          </cell>
          <cell r="S100">
            <v>1083.5269999999998</v>
          </cell>
          <cell r="T100" t="str">
            <v>OS</v>
          </cell>
          <cell r="W100" t="str">
            <v>3210</v>
          </cell>
          <cell r="X100">
            <v>2.935237293740418E-2</v>
          </cell>
          <cell r="Y100">
            <v>0.9994147873090794</v>
          </cell>
          <cell r="AA100">
            <v>12093.952735680903</v>
          </cell>
        </row>
        <row r="101">
          <cell r="A101">
            <v>28</v>
          </cell>
          <cell r="B101" t="str">
            <v>M27</v>
          </cell>
          <cell r="C101" t="str">
            <v>M28</v>
          </cell>
          <cell r="D101">
            <v>80</v>
          </cell>
          <cell r="E101">
            <v>0.2</v>
          </cell>
          <cell r="F101">
            <v>998</v>
          </cell>
          <cell r="G101">
            <v>982</v>
          </cell>
          <cell r="H101">
            <v>1104</v>
          </cell>
          <cell r="I101">
            <v>1083.5269999999998</v>
          </cell>
          <cell r="J101">
            <v>16</v>
          </cell>
          <cell r="K101">
            <v>122</v>
          </cell>
          <cell r="L101">
            <v>101.52699999999982</v>
          </cell>
          <cell r="M101">
            <v>25</v>
          </cell>
          <cell r="N101">
            <v>10</v>
          </cell>
          <cell r="O101">
            <v>18.899999999999999</v>
          </cell>
          <cell r="P101">
            <v>3.6920000000000002</v>
          </cell>
          <cell r="Q101">
            <v>97.834999999999809</v>
          </cell>
          <cell r="R101">
            <v>0.71259330518589792</v>
          </cell>
          <cell r="S101">
            <v>1079.8349999999998</v>
          </cell>
          <cell r="T101" t="str">
            <v>OS</v>
          </cell>
          <cell r="W101" t="str">
            <v>2510</v>
          </cell>
          <cell r="X101">
            <v>3.0634725369355874E-2</v>
          </cell>
          <cell r="Y101">
            <v>0.99957160792464828</v>
          </cell>
          <cell r="AA101">
            <v>10280.926311460662</v>
          </cell>
        </row>
        <row r="102">
          <cell r="A102">
            <v>29</v>
          </cell>
          <cell r="B102" t="str">
            <v>M28</v>
          </cell>
          <cell r="C102" t="str">
            <v>M29</v>
          </cell>
          <cell r="D102">
            <v>60</v>
          </cell>
          <cell r="E102">
            <v>0.2</v>
          </cell>
          <cell r="F102">
            <v>982</v>
          </cell>
          <cell r="G102">
            <v>978</v>
          </cell>
          <cell r="H102">
            <v>1104</v>
          </cell>
          <cell r="I102">
            <v>1079.8349999999998</v>
          </cell>
          <cell r="J102">
            <v>4</v>
          </cell>
          <cell r="K102">
            <v>126</v>
          </cell>
          <cell r="L102">
            <v>101.83499999999981</v>
          </cell>
          <cell r="M102">
            <v>25</v>
          </cell>
          <cell r="N102">
            <v>10</v>
          </cell>
          <cell r="O102">
            <v>18.899999999999999</v>
          </cell>
          <cell r="P102">
            <v>2.7690000000000001</v>
          </cell>
          <cell r="Q102">
            <v>99.065999999999804</v>
          </cell>
          <cell r="R102">
            <v>0.71259330518589792</v>
          </cell>
          <cell r="S102">
            <v>1077.0659999999998</v>
          </cell>
          <cell r="T102" t="str">
            <v>OS</v>
          </cell>
          <cell r="W102" t="str">
            <v>2510</v>
          </cell>
          <cell r="X102">
            <v>3.0634725369355874E-2</v>
          </cell>
          <cell r="Y102">
            <v>0.99957160792464828</v>
          </cell>
          <cell r="AA102">
            <v>10280.926311460662</v>
          </cell>
        </row>
        <row r="103">
          <cell r="A103">
            <v>30</v>
          </cell>
          <cell r="B103" t="str">
            <v>M29</v>
          </cell>
          <cell r="C103" t="str">
            <v>M30</v>
          </cell>
          <cell r="D103">
            <v>140</v>
          </cell>
          <cell r="E103">
            <v>0.2</v>
          </cell>
          <cell r="F103">
            <v>978</v>
          </cell>
          <cell r="G103">
            <v>965</v>
          </cell>
          <cell r="H103">
            <v>1104</v>
          </cell>
          <cell r="I103">
            <v>1077.0659999999998</v>
          </cell>
          <cell r="J103">
            <v>13</v>
          </cell>
          <cell r="K103">
            <v>139</v>
          </cell>
          <cell r="L103">
            <v>112.0659999999998</v>
          </cell>
          <cell r="M103">
            <v>20</v>
          </cell>
          <cell r="N103">
            <v>10</v>
          </cell>
          <cell r="O103">
            <v>14.9</v>
          </cell>
          <cell r="P103">
            <v>19.957000000000001</v>
          </cell>
          <cell r="Q103">
            <v>92.10899999999981</v>
          </cell>
          <cell r="R103">
            <v>1.1465495002272625</v>
          </cell>
          <cell r="S103">
            <v>1057.1089999999997</v>
          </cell>
          <cell r="T103" t="str">
            <v>OS</v>
          </cell>
          <cell r="W103" t="str">
            <v>2010</v>
          </cell>
          <cell r="X103">
            <v>2.881835235167127E-2</v>
          </cell>
          <cell r="Y103">
            <v>1.0000436845221634</v>
          </cell>
          <cell r="AA103">
            <v>13040.906529302452</v>
          </cell>
        </row>
        <row r="104">
          <cell r="A104">
            <v>31</v>
          </cell>
          <cell r="B104" t="str">
            <v>M30</v>
          </cell>
          <cell r="C104" t="str">
            <v>M31</v>
          </cell>
          <cell r="D104">
            <v>180</v>
          </cell>
          <cell r="E104">
            <v>0.1</v>
          </cell>
          <cell r="F104">
            <v>965</v>
          </cell>
          <cell r="G104">
            <v>951</v>
          </cell>
          <cell r="H104">
            <v>1104</v>
          </cell>
          <cell r="I104">
            <v>1057.1089999999997</v>
          </cell>
          <cell r="J104">
            <v>14</v>
          </cell>
          <cell r="K104">
            <v>153</v>
          </cell>
          <cell r="L104">
            <v>106.1089999999997</v>
          </cell>
          <cell r="M104">
            <v>20</v>
          </cell>
          <cell r="N104">
            <v>10</v>
          </cell>
          <cell r="O104">
            <v>14.9</v>
          </cell>
          <cell r="P104">
            <v>7.7220000000000004</v>
          </cell>
          <cell r="Q104">
            <v>98.386999999999702</v>
          </cell>
          <cell r="R104">
            <v>0.57327475011363127</v>
          </cell>
          <cell r="S104">
            <v>1049.3869999999997</v>
          </cell>
          <cell r="T104" t="str">
            <v>OS</v>
          </cell>
          <cell r="W104" t="str">
            <v>2010</v>
          </cell>
          <cell r="X104">
            <v>3.4690053955551955E-2</v>
          </cell>
          <cell r="Y104">
            <v>1.000067482121862</v>
          </cell>
          <cell r="AA104">
            <v>6520.4532646512262</v>
          </cell>
        </row>
        <row r="106">
          <cell r="A106">
            <v>32</v>
          </cell>
          <cell r="B106" t="str">
            <v>M26</v>
          </cell>
          <cell r="C106" t="str">
            <v>M34</v>
          </cell>
          <cell r="D106">
            <v>140</v>
          </cell>
          <cell r="E106">
            <v>0.1</v>
          </cell>
          <cell r="F106">
            <v>1033</v>
          </cell>
          <cell r="G106">
            <v>1005</v>
          </cell>
          <cell r="H106">
            <v>1104</v>
          </cell>
          <cell r="I106">
            <v>1087.0679999999998</v>
          </cell>
          <cell r="J106">
            <v>28</v>
          </cell>
          <cell r="K106">
            <v>99</v>
          </cell>
          <cell r="L106">
            <v>82.067999999999756</v>
          </cell>
          <cell r="M106">
            <v>20</v>
          </cell>
          <cell r="N106">
            <v>10</v>
          </cell>
          <cell r="O106">
            <v>14.9</v>
          </cell>
          <cell r="P106">
            <v>6.1529999999999996</v>
          </cell>
          <cell r="Q106">
            <v>75.91499999999975</v>
          </cell>
          <cell r="R106">
            <v>0.57327475011363127</v>
          </cell>
          <cell r="S106">
            <v>1080.9149999999997</v>
          </cell>
          <cell r="T106" t="str">
            <v>OS</v>
          </cell>
          <cell r="W106" t="str">
            <v>2010</v>
          </cell>
          <cell r="X106">
            <v>3.5543001662657336E-2</v>
          </cell>
          <cell r="Y106">
            <v>1.0003392134008497</v>
          </cell>
          <cell r="Z106">
            <v>0.1</v>
          </cell>
          <cell r="AA106">
            <v>6520.4532646512262</v>
          </cell>
        </row>
        <row r="108">
          <cell r="A108">
            <v>33</v>
          </cell>
          <cell r="B108" t="str">
            <v>M26</v>
          </cell>
          <cell r="C108" t="str">
            <v>M35</v>
          </cell>
          <cell r="D108">
            <v>175</v>
          </cell>
          <cell r="E108">
            <v>0.1</v>
          </cell>
          <cell r="F108">
            <v>1033</v>
          </cell>
          <cell r="G108">
            <v>1010</v>
          </cell>
          <cell r="H108">
            <v>1104</v>
          </cell>
          <cell r="I108">
            <v>1087.0679999999998</v>
          </cell>
          <cell r="J108">
            <v>23</v>
          </cell>
          <cell r="K108">
            <v>94</v>
          </cell>
          <cell r="L108">
            <v>77.067999999999756</v>
          </cell>
          <cell r="M108">
            <v>20</v>
          </cell>
          <cell r="N108">
            <v>10</v>
          </cell>
          <cell r="O108">
            <v>14.9</v>
          </cell>
          <cell r="P108">
            <v>7.6920000000000002</v>
          </cell>
          <cell r="Q108">
            <v>69.375999999999749</v>
          </cell>
          <cell r="R108">
            <v>0.57327475011363127</v>
          </cell>
          <cell r="S108">
            <v>1079.3759999999997</v>
          </cell>
          <cell r="T108" t="str">
            <v>OS</v>
          </cell>
          <cell r="W108" t="str">
            <v>2010</v>
          </cell>
          <cell r="X108">
            <v>3.5543001662657336E-2</v>
          </cell>
          <cell r="Y108">
            <v>1.0003392134008497</v>
          </cell>
          <cell r="Z108">
            <v>0.1</v>
          </cell>
          <cell r="AA108">
            <v>6520.4532646512262</v>
          </cell>
        </row>
        <row r="110">
          <cell r="A110">
            <v>34</v>
          </cell>
          <cell r="B110" t="str">
            <v>M25</v>
          </cell>
          <cell r="C110" t="str">
            <v>M36</v>
          </cell>
          <cell r="D110">
            <v>30</v>
          </cell>
          <cell r="E110">
            <v>0.1</v>
          </cell>
          <cell r="F110">
            <v>1052</v>
          </cell>
          <cell r="G110">
            <v>1055</v>
          </cell>
          <cell r="H110">
            <v>1104</v>
          </cell>
          <cell r="I110">
            <v>1090.5469999999998</v>
          </cell>
          <cell r="J110">
            <v>-3</v>
          </cell>
          <cell r="K110">
            <v>52</v>
          </cell>
          <cell r="L110">
            <v>35.546999999999798</v>
          </cell>
          <cell r="M110">
            <v>20</v>
          </cell>
          <cell r="N110">
            <v>10</v>
          </cell>
          <cell r="O110">
            <v>14.9</v>
          </cell>
          <cell r="P110">
            <v>1.319</v>
          </cell>
          <cell r="Q110">
            <v>34.227999999999795</v>
          </cell>
          <cell r="R110">
            <v>0.57327475011363127</v>
          </cell>
          <cell r="S110">
            <v>1089.2279999999998</v>
          </cell>
          <cell r="T110" t="str">
            <v>OS</v>
          </cell>
          <cell r="W110" t="str">
            <v>2010</v>
          </cell>
          <cell r="X110">
            <v>3.5543001662657336E-2</v>
          </cell>
          <cell r="Y110">
            <v>1.0003392134008497</v>
          </cell>
          <cell r="Z110">
            <v>0.1</v>
          </cell>
          <cell r="AA110">
            <v>6520.4532646512262</v>
          </cell>
        </row>
        <row r="112">
          <cell r="A112">
            <v>35</v>
          </cell>
          <cell r="B112" t="str">
            <v>M23</v>
          </cell>
          <cell r="C112" t="str">
            <v>M37</v>
          </cell>
          <cell r="D112">
            <v>80</v>
          </cell>
          <cell r="E112">
            <v>0.1</v>
          </cell>
          <cell r="F112">
            <v>1060</v>
          </cell>
          <cell r="G112">
            <v>1050</v>
          </cell>
          <cell r="H112">
            <v>1104</v>
          </cell>
          <cell r="I112">
            <v>1093.7269999999999</v>
          </cell>
          <cell r="J112">
            <v>10</v>
          </cell>
          <cell r="K112">
            <v>54</v>
          </cell>
          <cell r="L112">
            <v>43.726999999999862</v>
          </cell>
          <cell r="M112">
            <v>20</v>
          </cell>
          <cell r="N112">
            <v>10</v>
          </cell>
          <cell r="O112">
            <v>14.9</v>
          </cell>
          <cell r="P112">
            <v>3.516</v>
          </cell>
          <cell r="Q112">
            <v>40.210999999999864</v>
          </cell>
          <cell r="R112">
            <v>0.57327475011363127</v>
          </cell>
          <cell r="S112">
            <v>1090.2109999999998</v>
          </cell>
          <cell r="T112" t="str">
            <v>OS</v>
          </cell>
          <cell r="W112" t="str">
            <v>2010</v>
          </cell>
          <cell r="X112">
            <v>3.5543001662657336E-2</v>
          </cell>
          <cell r="Y112">
            <v>1.0003392134008497</v>
          </cell>
          <cell r="Z112">
            <v>0.1</v>
          </cell>
          <cell r="AA112">
            <v>6520.4532646512262</v>
          </cell>
        </row>
        <row r="114">
          <cell r="A114">
            <v>36</v>
          </cell>
          <cell r="B114" t="str">
            <v>M22</v>
          </cell>
          <cell r="C114" t="str">
            <v>M38</v>
          </cell>
          <cell r="D114">
            <v>40</v>
          </cell>
          <cell r="E114">
            <v>0.8</v>
          </cell>
          <cell r="F114">
            <v>1076</v>
          </cell>
          <cell r="G114">
            <v>1074</v>
          </cell>
          <cell r="H114">
            <v>1104</v>
          </cell>
          <cell r="I114">
            <v>1094.4739999999999</v>
          </cell>
          <cell r="J114">
            <v>2</v>
          </cell>
          <cell r="K114">
            <v>30</v>
          </cell>
          <cell r="L114">
            <v>20.473999999999933</v>
          </cell>
          <cell r="M114">
            <v>50</v>
          </cell>
          <cell r="N114">
            <v>4</v>
          </cell>
          <cell r="O114">
            <v>44.7</v>
          </cell>
          <cell r="P114">
            <v>0.34899999999999998</v>
          </cell>
          <cell r="Q114">
            <v>20.124999999999932</v>
          </cell>
          <cell r="R114">
            <v>0.50957755565656104</v>
          </cell>
          <cell r="S114">
            <v>1094.125</v>
          </cell>
          <cell r="T114" t="str">
            <v>OS</v>
          </cell>
          <cell r="W114" t="str">
            <v>504</v>
          </cell>
          <cell r="X114">
            <v>2.679272647154167E-2</v>
          </cell>
          <cell r="Y114">
            <v>0.99997728015706977</v>
          </cell>
          <cell r="AA114">
            <v>17387.875372403265</v>
          </cell>
        </row>
        <row r="115">
          <cell r="A115">
            <v>37</v>
          </cell>
          <cell r="B115" t="str">
            <v>M38</v>
          </cell>
          <cell r="C115" t="str">
            <v>M39</v>
          </cell>
          <cell r="D115">
            <v>80</v>
          </cell>
          <cell r="E115">
            <v>0.8</v>
          </cell>
          <cell r="F115">
            <v>1074</v>
          </cell>
          <cell r="G115">
            <v>1070</v>
          </cell>
          <cell r="H115">
            <v>1104</v>
          </cell>
          <cell r="I115">
            <v>1094.125</v>
          </cell>
          <cell r="J115">
            <v>4</v>
          </cell>
          <cell r="K115">
            <v>34</v>
          </cell>
          <cell r="L115">
            <v>24.125</v>
          </cell>
          <cell r="M115">
            <v>50</v>
          </cell>
          <cell r="N115">
            <v>4</v>
          </cell>
          <cell r="O115">
            <v>44.7</v>
          </cell>
          <cell r="P115">
            <v>0.71</v>
          </cell>
          <cell r="Q115">
            <v>23.414999999999999</v>
          </cell>
          <cell r="R115">
            <v>0.50957755565656104</v>
          </cell>
          <cell r="S115">
            <v>1093.415</v>
          </cell>
          <cell r="T115" t="str">
            <v>OS</v>
          </cell>
          <cell r="W115" t="str">
            <v>504</v>
          </cell>
          <cell r="X115">
            <v>2.724409561024484E-2</v>
          </cell>
          <cell r="Y115">
            <v>0.9999786978881452</v>
          </cell>
          <cell r="Z115">
            <v>0.1</v>
          </cell>
          <cell r="AA115">
            <v>17387.875372403265</v>
          </cell>
        </row>
        <row r="116">
          <cell r="A116">
            <v>38</v>
          </cell>
          <cell r="B116" t="str">
            <v>M39</v>
          </cell>
          <cell r="C116" t="str">
            <v>M40</v>
          </cell>
          <cell r="D116">
            <v>40</v>
          </cell>
          <cell r="E116">
            <v>0.7</v>
          </cell>
          <cell r="F116">
            <v>1070</v>
          </cell>
          <cell r="G116">
            <v>1059</v>
          </cell>
          <cell r="H116">
            <v>1104</v>
          </cell>
          <cell r="I116">
            <v>1093.415</v>
          </cell>
          <cell r="J116">
            <v>11</v>
          </cell>
          <cell r="K116">
            <v>45</v>
          </cell>
          <cell r="L116">
            <v>34.414999999999964</v>
          </cell>
          <cell r="M116">
            <v>50</v>
          </cell>
          <cell r="N116">
            <v>6</v>
          </cell>
          <cell r="O116">
            <v>42.2</v>
          </cell>
          <cell r="P116">
            <v>0.36899999999999999</v>
          </cell>
          <cell r="Q116">
            <v>34.045999999999964</v>
          </cell>
          <cell r="R116">
            <v>0.50027464056798521</v>
          </cell>
          <cell r="S116">
            <v>1093.046</v>
          </cell>
          <cell r="T116" t="str">
            <v>OS</v>
          </cell>
          <cell r="W116" t="str">
            <v>506</v>
          </cell>
          <cell r="X116">
            <v>2.7727812750310207E-2</v>
          </cell>
          <cell r="Y116">
            <v>0.99919019830802069</v>
          </cell>
          <cell r="Z116">
            <v>0.1</v>
          </cell>
          <cell r="AA116">
            <v>16115.717428983951</v>
          </cell>
        </row>
        <row r="117">
          <cell r="A117">
            <v>39</v>
          </cell>
          <cell r="B117" t="str">
            <v>M40</v>
          </cell>
          <cell r="C117" t="str">
            <v>M41</v>
          </cell>
          <cell r="D117">
            <v>100</v>
          </cell>
          <cell r="E117">
            <v>0.6</v>
          </cell>
          <cell r="F117">
            <v>1059</v>
          </cell>
          <cell r="G117">
            <v>1049</v>
          </cell>
          <cell r="H117">
            <v>1104</v>
          </cell>
          <cell r="I117">
            <v>1093.046</v>
          </cell>
          <cell r="J117">
            <v>10</v>
          </cell>
          <cell r="K117">
            <v>55</v>
          </cell>
          <cell r="L117">
            <v>44.046000000000049</v>
          </cell>
          <cell r="M117">
            <v>40</v>
          </cell>
          <cell r="N117">
            <v>6</v>
          </cell>
          <cell r="O117">
            <v>33.700000000000003</v>
          </cell>
          <cell r="P117">
            <v>2.0619999999999998</v>
          </cell>
          <cell r="Q117">
            <v>41.984000000000052</v>
          </cell>
          <cell r="R117">
            <v>0.67239859788882828</v>
          </cell>
          <cell r="S117">
            <v>1090.9840000000002</v>
          </cell>
          <cell r="T117" t="str">
            <v>OS</v>
          </cell>
          <cell r="W117" t="str">
            <v>406</v>
          </cell>
          <cell r="X117">
            <v>2.7417209629877797E-2</v>
          </cell>
          <cell r="Y117">
            <v>0.99987791467016296</v>
          </cell>
          <cell r="Z117">
            <v>0.1</v>
          </cell>
          <cell r="AA117">
            <v>17297.582251033215</v>
          </cell>
        </row>
        <row r="118">
          <cell r="A118">
            <v>40</v>
          </cell>
          <cell r="B118" t="str">
            <v>M41</v>
          </cell>
          <cell r="C118" t="str">
            <v>M42</v>
          </cell>
          <cell r="D118">
            <v>120</v>
          </cell>
          <cell r="E118">
            <v>0.5</v>
          </cell>
          <cell r="F118">
            <v>1049</v>
          </cell>
          <cell r="G118">
            <v>1032</v>
          </cell>
          <cell r="H118">
            <v>1104</v>
          </cell>
          <cell r="I118">
            <v>1090.9840000000002</v>
          </cell>
          <cell r="J118">
            <v>17</v>
          </cell>
          <cell r="K118">
            <v>72</v>
          </cell>
          <cell r="L118">
            <v>58.984000000000151</v>
          </cell>
          <cell r="M118">
            <v>40</v>
          </cell>
          <cell r="N118">
            <v>10</v>
          </cell>
          <cell r="O118">
            <v>30.3</v>
          </cell>
          <cell r="P118">
            <v>2.98</v>
          </cell>
          <cell r="Q118">
            <v>56.004000000000154</v>
          </cell>
          <cell r="R118">
            <v>0.69313862079277233</v>
          </cell>
          <cell r="S118">
            <v>1088.0040000000001</v>
          </cell>
          <cell r="T118" t="str">
            <v>OS</v>
          </cell>
          <cell r="W118" t="str">
            <v>4010</v>
          </cell>
          <cell r="X118">
            <v>2.7938114729512256E-2</v>
          </cell>
          <cell r="Y118">
            <v>0.99917495653271482</v>
          </cell>
          <cell r="Z118">
            <v>0.1</v>
          </cell>
          <cell r="AA118">
            <v>16032.137564901528</v>
          </cell>
        </row>
        <row r="119">
          <cell r="A119">
            <v>41</v>
          </cell>
          <cell r="B119" t="str">
            <v>M42</v>
          </cell>
          <cell r="C119" t="str">
            <v>M43</v>
          </cell>
          <cell r="D119">
            <v>120</v>
          </cell>
          <cell r="E119">
            <v>0.4</v>
          </cell>
          <cell r="F119">
            <v>1032</v>
          </cell>
          <cell r="G119">
            <v>1016</v>
          </cell>
          <cell r="H119">
            <v>1104</v>
          </cell>
          <cell r="I119">
            <v>1088.0040000000001</v>
          </cell>
          <cell r="J119">
            <v>16</v>
          </cell>
          <cell r="K119">
            <v>88</v>
          </cell>
          <cell r="L119">
            <v>72.004000000000133</v>
          </cell>
          <cell r="M119">
            <v>40</v>
          </cell>
          <cell r="N119">
            <v>10</v>
          </cell>
          <cell r="O119">
            <v>30.3</v>
          </cell>
          <cell r="P119">
            <v>2.0150000000000001</v>
          </cell>
          <cell r="Q119">
            <v>69.989000000000132</v>
          </cell>
          <cell r="R119">
            <v>0.55451089663421793</v>
          </cell>
          <cell r="S119">
            <v>1085.989</v>
          </cell>
          <cell r="T119" t="str">
            <v>OS</v>
          </cell>
          <cell r="W119" t="str">
            <v>4010</v>
          </cell>
          <cell r="X119">
            <v>2.9509483729453903E-2</v>
          </cell>
          <cell r="Y119">
            <v>1.0000018723848423</v>
          </cell>
          <cell r="Z119">
            <v>0.1</v>
          </cell>
          <cell r="AA119">
            <v>12825.710051921225</v>
          </cell>
        </row>
        <row r="120">
          <cell r="A120">
            <v>42</v>
          </cell>
          <cell r="B120" t="str">
            <v>M43</v>
          </cell>
          <cell r="C120" t="str">
            <v>M44</v>
          </cell>
          <cell r="D120">
            <v>80</v>
          </cell>
          <cell r="E120">
            <v>0.3</v>
          </cell>
          <cell r="F120">
            <v>1016</v>
          </cell>
          <cell r="G120">
            <v>1010</v>
          </cell>
          <cell r="H120">
            <v>1104</v>
          </cell>
          <cell r="I120">
            <v>1085.989</v>
          </cell>
          <cell r="J120">
            <v>6</v>
          </cell>
          <cell r="K120">
            <v>94</v>
          </cell>
          <cell r="L120">
            <v>75.989000000000033</v>
          </cell>
          <cell r="M120">
            <v>25</v>
          </cell>
          <cell r="N120">
            <v>10</v>
          </cell>
          <cell r="O120">
            <v>18.899999999999999</v>
          </cell>
          <cell r="P120">
            <v>7.7510000000000003</v>
          </cell>
          <cell r="Q120">
            <v>68.238000000000028</v>
          </cell>
          <cell r="R120">
            <v>1.0688899577788469</v>
          </cell>
          <cell r="S120">
            <v>1078.2380000000001</v>
          </cell>
          <cell r="T120" t="str">
            <v>OS</v>
          </cell>
          <cell r="W120" t="str">
            <v>2510</v>
          </cell>
          <cell r="X120">
            <v>2.8588509702367274E-2</v>
          </cell>
          <cell r="Y120">
            <v>0.99974243989096456</v>
          </cell>
          <cell r="Z120">
            <v>0.1</v>
          </cell>
          <cell r="AA120">
            <v>15421.389467190995</v>
          </cell>
        </row>
        <row r="121">
          <cell r="A121">
            <v>43</v>
          </cell>
          <cell r="B121" t="str">
            <v>M44</v>
          </cell>
          <cell r="C121" t="str">
            <v>M45</v>
          </cell>
          <cell r="D121">
            <v>80</v>
          </cell>
          <cell r="E121">
            <v>0.3</v>
          </cell>
          <cell r="F121">
            <v>1010</v>
          </cell>
          <cell r="G121">
            <v>1004</v>
          </cell>
          <cell r="H121">
            <v>1104</v>
          </cell>
          <cell r="I121">
            <v>1078.2380000000001</v>
          </cell>
          <cell r="J121">
            <v>6</v>
          </cell>
          <cell r="K121">
            <v>100</v>
          </cell>
          <cell r="L121">
            <v>74.238000000000056</v>
          </cell>
          <cell r="M121">
            <v>25</v>
          </cell>
          <cell r="N121">
            <v>10</v>
          </cell>
          <cell r="O121">
            <v>18.899999999999999</v>
          </cell>
          <cell r="P121">
            <v>7.7549999999999999</v>
          </cell>
          <cell r="Q121">
            <v>66.483000000000061</v>
          </cell>
          <cell r="R121">
            <v>1.0688899577788469</v>
          </cell>
          <cell r="S121">
            <v>1070.4829999999999</v>
          </cell>
          <cell r="T121" t="str">
            <v>OS</v>
          </cell>
          <cell r="W121" t="str">
            <v>2510</v>
          </cell>
          <cell r="X121">
            <v>2.8602808509893492E-2</v>
          </cell>
          <cell r="Y121">
            <v>1.0000244002993366</v>
          </cell>
          <cell r="Z121">
            <v>0.1</v>
          </cell>
          <cell r="AA121">
            <v>15421.389467190995</v>
          </cell>
        </row>
        <row r="122">
          <cell r="A122">
            <v>44</v>
          </cell>
          <cell r="B122" t="str">
            <v>M45</v>
          </cell>
          <cell r="C122" t="str">
            <v>M46</v>
          </cell>
          <cell r="D122">
            <v>180</v>
          </cell>
          <cell r="E122">
            <v>0.1</v>
          </cell>
          <cell r="F122">
            <v>1004</v>
          </cell>
          <cell r="G122">
            <v>975</v>
          </cell>
          <cell r="H122">
            <v>1104</v>
          </cell>
          <cell r="I122">
            <v>1070.4829999999999</v>
          </cell>
          <cell r="J122">
            <v>29</v>
          </cell>
          <cell r="K122">
            <v>129</v>
          </cell>
          <cell r="L122">
            <v>95.482999999999947</v>
          </cell>
          <cell r="M122">
            <v>20</v>
          </cell>
          <cell r="N122">
            <v>10</v>
          </cell>
          <cell r="O122">
            <v>14.9</v>
          </cell>
          <cell r="P122">
            <v>7.7220000000000004</v>
          </cell>
          <cell r="Q122">
            <v>87.760999999999953</v>
          </cell>
          <cell r="R122">
            <v>0.57327475011363127</v>
          </cell>
          <cell r="S122">
            <v>1062.761</v>
          </cell>
          <cell r="T122" t="str">
            <v>OS</v>
          </cell>
          <cell r="W122" t="str">
            <v>2010</v>
          </cell>
          <cell r="X122">
            <v>3.4690053955551955E-2</v>
          </cell>
          <cell r="Y122">
            <v>1.000067482121862</v>
          </cell>
          <cell r="AA122">
            <v>6520.4532646512262</v>
          </cell>
        </row>
        <row r="124">
          <cell r="A124">
            <v>45</v>
          </cell>
          <cell r="B124" t="str">
            <v>M45</v>
          </cell>
          <cell r="C124" t="str">
            <v>M47</v>
          </cell>
          <cell r="D124">
            <v>40</v>
          </cell>
          <cell r="E124">
            <v>0.1</v>
          </cell>
          <cell r="F124">
            <v>1004</v>
          </cell>
          <cell r="G124">
            <v>1000</v>
          </cell>
          <cell r="H124">
            <v>1104</v>
          </cell>
          <cell r="I124">
            <v>1070.4829999999999</v>
          </cell>
          <cell r="J124">
            <v>4</v>
          </cell>
          <cell r="K124">
            <v>104</v>
          </cell>
          <cell r="L124">
            <v>70.482999999999947</v>
          </cell>
          <cell r="M124">
            <v>20</v>
          </cell>
          <cell r="N124">
            <v>10</v>
          </cell>
          <cell r="O124">
            <v>14.9</v>
          </cell>
          <cell r="P124">
            <v>1.714</v>
          </cell>
          <cell r="Q124">
            <v>68.768999999999949</v>
          </cell>
          <cell r="R124">
            <v>0.57327475011363127</v>
          </cell>
          <cell r="S124">
            <v>1068.769</v>
          </cell>
          <cell r="T124" t="str">
            <v>OS</v>
          </cell>
          <cell r="W124" t="str">
            <v>2010</v>
          </cell>
          <cell r="X124">
            <v>3.4641391945740146E-2</v>
          </cell>
          <cell r="Y124">
            <v>0.99925233830855209</v>
          </cell>
          <cell r="AA124">
            <v>6520.4532646512262</v>
          </cell>
        </row>
        <row r="126">
          <cell r="A126">
            <v>46</v>
          </cell>
          <cell r="B126" t="str">
            <v>M43</v>
          </cell>
          <cell r="C126" t="str">
            <v>M48</v>
          </cell>
          <cell r="D126">
            <v>80</v>
          </cell>
          <cell r="E126">
            <v>0.1</v>
          </cell>
          <cell r="F126">
            <v>1016</v>
          </cell>
          <cell r="G126">
            <v>1010</v>
          </cell>
          <cell r="H126">
            <v>1104</v>
          </cell>
          <cell r="I126">
            <v>1085.989</v>
          </cell>
          <cell r="J126">
            <v>6</v>
          </cell>
          <cell r="K126">
            <v>94</v>
          </cell>
          <cell r="L126">
            <v>75.989000000000033</v>
          </cell>
          <cell r="M126">
            <v>20</v>
          </cell>
          <cell r="N126">
            <v>10</v>
          </cell>
          <cell r="O126">
            <v>14.9</v>
          </cell>
          <cell r="P126">
            <v>3.516</v>
          </cell>
          <cell r="Q126">
            <v>72.473000000000027</v>
          </cell>
          <cell r="R126">
            <v>0.57327475011363127</v>
          </cell>
          <cell r="S126">
            <v>1082.473</v>
          </cell>
          <cell r="T126" t="str">
            <v>OS</v>
          </cell>
          <cell r="W126" t="str">
            <v>2010</v>
          </cell>
          <cell r="X126">
            <v>3.5543001662657336E-2</v>
          </cell>
          <cell r="Y126">
            <v>1.0003392134008497</v>
          </cell>
          <cell r="Z126">
            <v>0.1</v>
          </cell>
          <cell r="AA126">
            <v>6520.4532646512262</v>
          </cell>
        </row>
        <row r="128">
          <cell r="A128">
            <v>47</v>
          </cell>
          <cell r="B128" t="str">
            <v>M42</v>
          </cell>
          <cell r="C128" t="str">
            <v>M49</v>
          </cell>
          <cell r="D128">
            <v>100</v>
          </cell>
          <cell r="E128">
            <v>0.2</v>
          </cell>
          <cell r="F128">
            <v>1032</v>
          </cell>
          <cell r="G128">
            <v>990</v>
          </cell>
          <cell r="H128">
            <v>1104</v>
          </cell>
          <cell r="I128">
            <v>1088.0040000000001</v>
          </cell>
          <cell r="J128">
            <v>42</v>
          </cell>
          <cell r="K128">
            <v>114</v>
          </cell>
          <cell r="L128">
            <v>98.004000000000133</v>
          </cell>
          <cell r="M128">
            <v>32</v>
          </cell>
          <cell r="N128">
            <v>10</v>
          </cell>
          <cell r="O128">
            <v>24.1</v>
          </cell>
          <cell r="P128">
            <v>1.462</v>
          </cell>
          <cell r="Q128">
            <v>96.542000000000129</v>
          </cell>
          <cell r="R128">
            <v>0.43825942140365098</v>
          </cell>
          <cell r="S128">
            <v>1086.5420000000001</v>
          </cell>
          <cell r="T128" t="str">
            <v>OS</v>
          </cell>
          <cell r="W128" t="str">
            <v>3210</v>
          </cell>
          <cell r="X128">
            <v>3.2719869601956823E-2</v>
          </cell>
          <cell r="Y128">
            <v>1.0000153473221327</v>
          </cell>
          <cell r="AA128">
            <v>8062.6351571206023</v>
          </cell>
        </row>
        <row r="129">
          <cell r="A129">
            <v>48</v>
          </cell>
          <cell r="B129" t="str">
            <v>M49</v>
          </cell>
          <cell r="C129" t="str">
            <v>M50</v>
          </cell>
          <cell r="D129">
            <v>120</v>
          </cell>
          <cell r="E129">
            <v>0.1</v>
          </cell>
          <cell r="F129">
            <v>990</v>
          </cell>
          <cell r="G129">
            <v>988</v>
          </cell>
          <cell r="H129">
            <v>1104</v>
          </cell>
          <cell r="I129">
            <v>1086.5420000000001</v>
          </cell>
          <cell r="J129">
            <v>2</v>
          </cell>
          <cell r="K129">
            <v>116</v>
          </cell>
          <cell r="L129">
            <v>98.542000000000144</v>
          </cell>
          <cell r="M129">
            <v>25</v>
          </cell>
          <cell r="N129">
            <v>10</v>
          </cell>
          <cell r="O129">
            <v>18.899999999999999</v>
          </cell>
          <cell r="P129">
            <v>1.6739999999999999</v>
          </cell>
          <cell r="Q129">
            <v>96.868000000000137</v>
          </cell>
          <cell r="R129">
            <v>0.35629665259294896</v>
          </cell>
          <cell r="S129">
            <v>1084.8680000000002</v>
          </cell>
          <cell r="T129" t="str">
            <v>OS</v>
          </cell>
          <cell r="W129" t="str">
            <v>2510</v>
          </cell>
          <cell r="X129">
            <v>3.7053039508961341E-2</v>
          </cell>
          <cell r="Y129">
            <v>0.99931678047906369</v>
          </cell>
          <cell r="AA129">
            <v>5140.463155730331</v>
          </cell>
        </row>
        <row r="131">
          <cell r="A131">
            <v>49</v>
          </cell>
          <cell r="B131" t="str">
            <v>M41</v>
          </cell>
          <cell r="C131" t="str">
            <v>M51</v>
          </cell>
          <cell r="D131">
            <v>150</v>
          </cell>
          <cell r="E131">
            <v>0.1</v>
          </cell>
          <cell r="F131">
            <v>1049</v>
          </cell>
          <cell r="G131">
            <v>1033</v>
          </cell>
          <cell r="H131">
            <v>1104</v>
          </cell>
          <cell r="I131">
            <v>1090.9840000000002</v>
          </cell>
          <cell r="J131">
            <v>16</v>
          </cell>
          <cell r="K131">
            <v>71</v>
          </cell>
          <cell r="L131">
            <v>57.984000000000151</v>
          </cell>
          <cell r="M131">
            <v>20</v>
          </cell>
          <cell r="N131">
            <v>10</v>
          </cell>
          <cell r="O131">
            <v>14.9</v>
          </cell>
          <cell r="P131">
            <v>6.5890000000000004</v>
          </cell>
          <cell r="Q131">
            <v>51.395000000000152</v>
          </cell>
          <cell r="R131">
            <v>0.57327475011363127</v>
          </cell>
          <cell r="S131">
            <v>1084.3950000000002</v>
          </cell>
          <cell r="T131" t="str">
            <v>OS</v>
          </cell>
          <cell r="W131" t="str">
            <v>2010</v>
          </cell>
          <cell r="X131">
            <v>3.5521363165356264E-2</v>
          </cell>
          <cell r="Y131">
            <v>0.99998888481952097</v>
          </cell>
          <cell r="Z131">
            <v>0.1</v>
          </cell>
          <cell r="AA131">
            <v>6520.4532646512262</v>
          </cell>
        </row>
        <row r="133">
          <cell r="A133">
            <v>50</v>
          </cell>
          <cell r="B133" t="str">
            <v>M40</v>
          </cell>
          <cell r="C133" t="str">
            <v>M52</v>
          </cell>
          <cell r="D133">
            <v>310</v>
          </cell>
          <cell r="E133">
            <v>0.1</v>
          </cell>
          <cell r="F133">
            <v>1059</v>
          </cell>
          <cell r="G133">
            <v>1040</v>
          </cell>
          <cell r="H133">
            <v>1104</v>
          </cell>
          <cell r="I133">
            <v>1093.046</v>
          </cell>
          <cell r="J133">
            <v>19</v>
          </cell>
          <cell r="K133">
            <v>64</v>
          </cell>
          <cell r="L133">
            <v>53.046000000000049</v>
          </cell>
          <cell r="M133">
            <v>20</v>
          </cell>
          <cell r="N133">
            <v>10</v>
          </cell>
          <cell r="O133">
            <v>14.9</v>
          </cell>
          <cell r="P133">
            <v>13.625</v>
          </cell>
          <cell r="Q133">
            <v>39.421000000000049</v>
          </cell>
          <cell r="R133">
            <v>0.57327475011363127</v>
          </cell>
          <cell r="S133">
            <v>1079.421</v>
          </cell>
          <cell r="T133" t="str">
            <v>OS</v>
          </cell>
          <cell r="W133" t="str">
            <v>2010</v>
          </cell>
          <cell r="X133">
            <v>3.5543001662657336E-2</v>
          </cell>
          <cell r="Y133">
            <v>1.0003392134008497</v>
          </cell>
          <cell r="Z133">
            <v>0.1</v>
          </cell>
          <cell r="AA133">
            <v>6520.4532646512262</v>
          </cell>
        </row>
        <row r="135">
          <cell r="A135">
            <v>51</v>
          </cell>
          <cell r="B135" t="str">
            <v>M39</v>
          </cell>
          <cell r="C135" t="str">
            <v>M53</v>
          </cell>
          <cell r="D135">
            <v>60</v>
          </cell>
          <cell r="E135">
            <v>0.1</v>
          </cell>
          <cell r="F135">
            <v>1070</v>
          </cell>
          <cell r="G135">
            <v>1068</v>
          </cell>
          <cell r="H135">
            <v>1104</v>
          </cell>
          <cell r="I135">
            <v>1093.415</v>
          </cell>
          <cell r="J135">
            <v>2</v>
          </cell>
          <cell r="K135">
            <v>36</v>
          </cell>
          <cell r="L135">
            <v>25.414999999999964</v>
          </cell>
          <cell r="M135">
            <v>20</v>
          </cell>
          <cell r="N135">
            <v>10</v>
          </cell>
          <cell r="O135">
            <v>14.9</v>
          </cell>
          <cell r="P135">
            <v>2.637</v>
          </cell>
          <cell r="Q135">
            <v>22.777999999999963</v>
          </cell>
          <cell r="R135">
            <v>0.57327475011363127</v>
          </cell>
          <cell r="S135">
            <v>1090.778</v>
          </cell>
          <cell r="T135" t="str">
            <v>OS</v>
          </cell>
          <cell r="W135" t="str">
            <v>2010</v>
          </cell>
          <cell r="X135">
            <v>3.5543001662657336E-2</v>
          </cell>
          <cell r="Y135">
            <v>1.0003392134008497</v>
          </cell>
          <cell r="Z135">
            <v>0.1</v>
          </cell>
          <cell r="AA135">
            <v>6520.4532646512262</v>
          </cell>
        </row>
        <row r="137">
          <cell r="A137">
            <v>52</v>
          </cell>
          <cell r="B137" t="str">
            <v>RVT3</v>
          </cell>
          <cell r="C137" t="str">
            <v>M54</v>
          </cell>
          <cell r="D137">
            <v>300</v>
          </cell>
          <cell r="E137">
            <v>1.4</v>
          </cell>
          <cell r="F137">
            <v>1104</v>
          </cell>
          <cell r="G137">
            <v>1067</v>
          </cell>
          <cell r="H137">
            <v>1104</v>
          </cell>
          <cell r="I137">
            <v>1104</v>
          </cell>
          <cell r="J137">
            <v>37</v>
          </cell>
          <cell r="K137">
            <v>37</v>
          </cell>
          <cell r="L137">
            <v>37</v>
          </cell>
          <cell r="M137">
            <v>50</v>
          </cell>
          <cell r="N137">
            <v>4</v>
          </cell>
          <cell r="O137">
            <v>44.7</v>
          </cell>
          <cell r="P137">
            <v>7.18</v>
          </cell>
          <cell r="Q137">
            <v>29.82</v>
          </cell>
          <cell r="R137">
            <v>0.89176072239898185</v>
          </cell>
          <cell r="S137">
            <v>1096.82</v>
          </cell>
          <cell r="T137" t="str">
            <v>OS</v>
          </cell>
          <cell r="W137" t="str">
            <v>504</v>
          </cell>
          <cell r="X137">
            <v>2.3995392708202379E-2</v>
          </cell>
          <cell r="Y137">
            <v>0.99974326152722404</v>
          </cell>
          <cell r="Z137">
            <v>0.1</v>
          </cell>
          <cell r="AA137">
            <v>30428.781901705719</v>
          </cell>
        </row>
        <row r="138">
          <cell r="A138">
            <v>53</v>
          </cell>
          <cell r="B138" t="str">
            <v>M54</v>
          </cell>
          <cell r="C138" t="str">
            <v>M55</v>
          </cell>
          <cell r="D138">
            <v>80</v>
          </cell>
          <cell r="E138">
            <v>1.2</v>
          </cell>
          <cell r="F138">
            <v>1067</v>
          </cell>
          <cell r="G138">
            <v>1055</v>
          </cell>
          <cell r="H138">
            <v>1104</v>
          </cell>
          <cell r="I138">
            <v>1096.82</v>
          </cell>
          <cell r="J138">
            <v>12</v>
          </cell>
          <cell r="K138">
            <v>49</v>
          </cell>
          <cell r="L138">
            <v>41.819999999999936</v>
          </cell>
          <cell r="M138">
            <v>50</v>
          </cell>
          <cell r="N138">
            <v>6</v>
          </cell>
          <cell r="O138">
            <v>42.2</v>
          </cell>
          <cell r="P138">
            <v>1.9159999999999999</v>
          </cell>
          <cell r="Q138">
            <v>39.90399999999994</v>
          </cell>
          <cell r="R138">
            <v>0.85761366954511753</v>
          </cell>
          <cell r="S138">
            <v>1094.904</v>
          </cell>
          <cell r="T138" t="str">
            <v>OS</v>
          </cell>
          <cell r="W138" t="str">
            <v>506</v>
          </cell>
          <cell r="X138">
            <v>2.4509869319506286E-2</v>
          </cell>
          <cell r="Y138">
            <v>0.99910005836309679</v>
          </cell>
          <cell r="Z138">
            <v>0.1</v>
          </cell>
          <cell r="AA138">
            <v>27626.944163972486</v>
          </cell>
        </row>
        <row r="139">
          <cell r="A139">
            <v>54</v>
          </cell>
          <cell r="B139" t="str">
            <v>M55</v>
          </cell>
          <cell r="C139" t="str">
            <v>M56</v>
          </cell>
          <cell r="D139">
            <v>245</v>
          </cell>
          <cell r="E139">
            <v>1.2</v>
          </cell>
          <cell r="F139">
            <v>1055</v>
          </cell>
          <cell r="G139">
            <v>1014</v>
          </cell>
          <cell r="H139">
            <v>1104</v>
          </cell>
          <cell r="I139">
            <v>1094.904</v>
          </cell>
          <cell r="J139">
            <v>41</v>
          </cell>
          <cell r="K139">
            <v>90</v>
          </cell>
          <cell r="L139">
            <v>80.903999999999996</v>
          </cell>
          <cell r="M139">
            <v>50</v>
          </cell>
          <cell r="N139">
            <v>10</v>
          </cell>
          <cell r="O139">
            <v>38</v>
          </cell>
          <cell r="P139">
            <v>9.7230000000000008</v>
          </cell>
          <cell r="Q139">
            <v>71.180999999999997</v>
          </cell>
          <cell r="R139">
            <v>1.057668093679174</v>
          </cell>
          <cell r="S139">
            <v>1085.181</v>
          </cell>
          <cell r="T139" t="str">
            <v>OS</v>
          </cell>
          <cell r="W139" t="str">
            <v>5010</v>
          </cell>
          <cell r="X139">
            <v>2.4044319271852511E-2</v>
          </cell>
          <cell r="Y139">
            <v>0.99946112561597789</v>
          </cell>
          <cell r="Z139">
            <v>0.1</v>
          </cell>
          <cell r="AA139">
            <v>30680.448518937868</v>
          </cell>
        </row>
        <row r="140">
          <cell r="A140">
            <v>55</v>
          </cell>
          <cell r="B140" t="str">
            <v>M56</v>
          </cell>
          <cell r="C140" t="str">
            <v>M57</v>
          </cell>
          <cell r="D140">
            <v>260</v>
          </cell>
          <cell r="E140">
            <v>1.2</v>
          </cell>
          <cell r="F140">
            <v>1014</v>
          </cell>
          <cell r="G140">
            <v>990</v>
          </cell>
          <cell r="H140">
            <v>1104</v>
          </cell>
          <cell r="I140">
            <v>1085.181</v>
          </cell>
          <cell r="J140">
            <v>24</v>
          </cell>
          <cell r="K140">
            <v>114</v>
          </cell>
          <cell r="L140">
            <v>95.18100000000004</v>
          </cell>
          <cell r="M140">
            <v>50</v>
          </cell>
          <cell r="N140">
            <v>10</v>
          </cell>
          <cell r="O140">
            <v>38</v>
          </cell>
          <cell r="P140">
            <v>10.021000000000001</v>
          </cell>
          <cell r="Q140">
            <v>85.160000000000039</v>
          </cell>
          <cell r="R140">
            <v>1.057668093679174</v>
          </cell>
          <cell r="S140">
            <v>1075.1600000000001</v>
          </cell>
          <cell r="T140" t="str">
            <v>OS</v>
          </cell>
          <cell r="W140" t="str">
            <v>5010</v>
          </cell>
          <cell r="X140">
            <v>2.335302402933661E-2</v>
          </cell>
          <cell r="Y140">
            <v>0.99983845813782113</v>
          </cell>
          <cell r="AA140">
            <v>30680.448518937868</v>
          </cell>
        </row>
        <row r="141">
          <cell r="A141">
            <v>56</v>
          </cell>
          <cell r="B141" t="str">
            <v>M57</v>
          </cell>
          <cell r="C141" t="str">
            <v>M58</v>
          </cell>
          <cell r="D141">
            <v>60</v>
          </cell>
          <cell r="E141">
            <v>0.6</v>
          </cell>
          <cell r="F141">
            <v>990</v>
          </cell>
          <cell r="G141">
            <v>956</v>
          </cell>
          <cell r="H141">
            <v>1104</v>
          </cell>
          <cell r="I141">
            <v>1075.1600000000001</v>
          </cell>
          <cell r="J141">
            <v>34</v>
          </cell>
          <cell r="K141">
            <v>148</v>
          </cell>
          <cell r="L141">
            <v>119.16000000000008</v>
          </cell>
          <cell r="M141">
            <v>40</v>
          </cell>
          <cell r="N141">
            <v>10</v>
          </cell>
          <cell r="O141">
            <v>30.3</v>
          </cell>
          <cell r="P141">
            <v>2.0099999999999998</v>
          </cell>
          <cell r="Q141">
            <v>117.15000000000008</v>
          </cell>
          <cell r="R141">
            <v>0.83176634495132684</v>
          </cell>
          <cell r="S141">
            <v>1073.1500000000001</v>
          </cell>
          <cell r="T141" t="str">
            <v>OS</v>
          </cell>
          <cell r="W141" t="str">
            <v>4010</v>
          </cell>
          <cell r="X141">
            <v>2.6171328730243165E-2</v>
          </cell>
          <cell r="Y141">
            <v>1.0008768069944485</v>
          </cell>
          <cell r="AA141">
            <v>19238.565077881834</v>
          </cell>
        </row>
        <row r="142">
          <cell r="A142">
            <v>57</v>
          </cell>
          <cell r="B142" t="str">
            <v>M58</v>
          </cell>
          <cell r="C142" t="str">
            <v>M59</v>
          </cell>
          <cell r="D142">
            <v>40</v>
          </cell>
          <cell r="E142">
            <v>0.5</v>
          </cell>
          <cell r="F142">
            <v>956</v>
          </cell>
          <cell r="G142">
            <v>946</v>
          </cell>
          <cell r="H142">
            <v>1104</v>
          </cell>
          <cell r="I142">
            <v>1073.1500000000001</v>
          </cell>
          <cell r="J142">
            <v>10</v>
          </cell>
          <cell r="K142">
            <v>158</v>
          </cell>
          <cell r="L142">
            <v>127.15000000000009</v>
          </cell>
          <cell r="M142">
            <v>32</v>
          </cell>
          <cell r="N142">
            <v>10</v>
          </cell>
          <cell r="O142">
            <v>24.1</v>
          </cell>
          <cell r="P142">
            <v>2.883</v>
          </cell>
          <cell r="Q142">
            <v>124.2670000000001</v>
          </cell>
          <cell r="R142">
            <v>1.0956485535091274</v>
          </cell>
          <cell r="S142">
            <v>1070.2670000000001</v>
          </cell>
          <cell r="T142" t="str">
            <v>OS</v>
          </cell>
          <cell r="W142" t="str">
            <v>3210</v>
          </cell>
          <cell r="X142">
            <v>2.5809918712001226E-2</v>
          </cell>
          <cell r="Y142">
            <v>0.99947651438224816</v>
          </cell>
          <cell r="AA142">
            <v>20156.587892801504</v>
          </cell>
        </row>
        <row r="143">
          <cell r="A143">
            <v>58</v>
          </cell>
          <cell r="B143" t="str">
            <v>M59</v>
          </cell>
          <cell r="C143" t="str">
            <v>M60</v>
          </cell>
          <cell r="D143">
            <v>40</v>
          </cell>
          <cell r="E143">
            <v>0.3</v>
          </cell>
          <cell r="F143">
            <v>946</v>
          </cell>
          <cell r="G143">
            <v>942</v>
          </cell>
          <cell r="H143">
            <v>1104</v>
          </cell>
          <cell r="I143">
            <v>1070.2670000000001</v>
          </cell>
          <cell r="J143">
            <v>4</v>
          </cell>
          <cell r="K143">
            <v>162</v>
          </cell>
          <cell r="L143">
            <v>128.26700000000005</v>
          </cell>
          <cell r="M143">
            <v>25</v>
          </cell>
          <cell r="N143">
            <v>10</v>
          </cell>
          <cell r="O143">
            <v>18.899999999999999</v>
          </cell>
          <cell r="P143">
            <v>3.7410000000000001</v>
          </cell>
          <cell r="Q143">
            <v>124.52600000000005</v>
          </cell>
          <cell r="R143">
            <v>1.0688899577788469</v>
          </cell>
          <cell r="S143">
            <v>1066.5260000000001</v>
          </cell>
          <cell r="T143" t="str">
            <v>OS</v>
          </cell>
          <cell r="W143" t="str">
            <v>2510</v>
          </cell>
          <cell r="X143">
            <v>2.7597789477806112E-2</v>
          </cell>
          <cell r="Y143">
            <v>0.99970764343125385</v>
          </cell>
          <cell r="AA143">
            <v>15421.389467190995</v>
          </cell>
        </row>
        <row r="144">
          <cell r="A144">
            <v>59</v>
          </cell>
          <cell r="B144" t="str">
            <v>M60</v>
          </cell>
          <cell r="C144" t="str">
            <v>M61</v>
          </cell>
          <cell r="D144">
            <v>40</v>
          </cell>
          <cell r="E144">
            <v>0.2</v>
          </cell>
          <cell r="F144">
            <v>942</v>
          </cell>
          <cell r="G144">
            <v>941</v>
          </cell>
          <cell r="H144">
            <v>1104</v>
          </cell>
          <cell r="I144">
            <v>1066.5260000000001</v>
          </cell>
          <cell r="J144">
            <v>1</v>
          </cell>
          <cell r="K144">
            <v>163</v>
          </cell>
          <cell r="L144">
            <v>125.52600000000007</v>
          </cell>
          <cell r="M144">
            <v>25</v>
          </cell>
          <cell r="N144">
            <v>10</v>
          </cell>
          <cell r="O144">
            <v>18.899999999999999</v>
          </cell>
          <cell r="P144">
            <v>1.8460000000000001</v>
          </cell>
          <cell r="Q144">
            <v>123.68000000000006</v>
          </cell>
          <cell r="R144">
            <v>0.71259330518589792</v>
          </cell>
          <cell r="S144">
            <v>1064.68</v>
          </cell>
          <cell r="T144" t="str">
            <v>OS</v>
          </cell>
          <cell r="W144" t="str">
            <v>2510</v>
          </cell>
          <cell r="X144">
            <v>3.0634725369355874E-2</v>
          </cell>
          <cell r="Y144">
            <v>0.99957160792464828</v>
          </cell>
          <cell r="AA144">
            <v>10280.926311460662</v>
          </cell>
        </row>
        <row r="145">
          <cell r="A145">
            <v>60</v>
          </cell>
          <cell r="B145" t="str">
            <v>M61</v>
          </cell>
          <cell r="C145" t="str">
            <v>M62</v>
          </cell>
          <cell r="D145">
            <v>50</v>
          </cell>
          <cell r="E145">
            <v>0.1</v>
          </cell>
          <cell r="F145">
            <v>941</v>
          </cell>
          <cell r="G145">
            <v>936</v>
          </cell>
          <cell r="H145">
            <v>1104</v>
          </cell>
          <cell r="I145">
            <v>1064.68</v>
          </cell>
          <cell r="J145">
            <v>5</v>
          </cell>
          <cell r="K145">
            <v>168</v>
          </cell>
          <cell r="L145">
            <v>128.68000000000006</v>
          </cell>
          <cell r="M145">
            <v>20</v>
          </cell>
          <cell r="N145">
            <v>10</v>
          </cell>
          <cell r="O145">
            <v>14.9</v>
          </cell>
          <cell r="P145">
            <v>2.145</v>
          </cell>
          <cell r="Q145">
            <v>126.53500000000007</v>
          </cell>
          <cell r="R145">
            <v>0.57327475011363127</v>
          </cell>
          <cell r="S145">
            <v>1062.5350000000001</v>
          </cell>
          <cell r="T145" t="str">
            <v>OS</v>
          </cell>
          <cell r="W145" t="str">
            <v>2010</v>
          </cell>
          <cell r="X145">
            <v>3.4690053955551955E-2</v>
          </cell>
          <cell r="Y145">
            <v>1.000067482121862</v>
          </cell>
          <cell r="AA145">
            <v>6520.4532646512262</v>
          </cell>
        </row>
        <row r="147">
          <cell r="A147">
            <v>61</v>
          </cell>
          <cell r="B147" t="str">
            <v>M57</v>
          </cell>
          <cell r="C147" t="str">
            <v>M64</v>
          </cell>
          <cell r="D147">
            <v>60</v>
          </cell>
          <cell r="E147">
            <v>0.6</v>
          </cell>
          <cell r="F147">
            <v>990</v>
          </cell>
          <cell r="G147">
            <v>970</v>
          </cell>
          <cell r="H147">
            <v>1104</v>
          </cell>
          <cell r="I147">
            <v>1075.1600000000001</v>
          </cell>
          <cell r="J147">
            <v>20</v>
          </cell>
          <cell r="K147">
            <v>134</v>
          </cell>
          <cell r="L147">
            <v>105.16000000000008</v>
          </cell>
          <cell r="M147">
            <v>40</v>
          </cell>
          <cell r="N147">
            <v>10</v>
          </cell>
          <cell r="O147">
            <v>30.3</v>
          </cell>
          <cell r="P147">
            <v>2.0070000000000001</v>
          </cell>
          <cell r="Q147">
            <v>103.15300000000008</v>
          </cell>
          <cell r="R147">
            <v>0.83176634495132684</v>
          </cell>
          <cell r="S147">
            <v>1073.153</v>
          </cell>
          <cell r="T147" t="str">
            <v>OS</v>
          </cell>
          <cell r="W147" t="str">
            <v>4010</v>
          </cell>
          <cell r="X147">
            <v>2.6132143476611094E-2</v>
          </cell>
          <cell r="Y147">
            <v>1.0000220457403044</v>
          </cell>
          <cell r="AA147">
            <v>19238.565077881834</v>
          </cell>
        </row>
        <row r="148">
          <cell r="A148">
            <v>62</v>
          </cell>
          <cell r="B148" t="str">
            <v>M64</v>
          </cell>
          <cell r="C148" t="str">
            <v>M65</v>
          </cell>
          <cell r="D148">
            <v>60</v>
          </cell>
          <cell r="E148">
            <v>0.5</v>
          </cell>
          <cell r="F148">
            <v>970</v>
          </cell>
          <cell r="G148">
            <v>963</v>
          </cell>
          <cell r="H148">
            <v>1104</v>
          </cell>
          <cell r="I148">
            <v>1073.153</v>
          </cell>
          <cell r="J148">
            <v>7</v>
          </cell>
          <cell r="K148">
            <v>141</v>
          </cell>
          <cell r="L148">
            <v>110.15300000000002</v>
          </cell>
          <cell r="M148">
            <v>40</v>
          </cell>
          <cell r="N148">
            <v>10</v>
          </cell>
          <cell r="O148">
            <v>30.3</v>
          </cell>
          <cell r="P148">
            <v>1.458</v>
          </cell>
          <cell r="Q148">
            <v>108.69500000000002</v>
          </cell>
          <cell r="R148">
            <v>0.69313862079277233</v>
          </cell>
          <cell r="S148">
            <v>1071.6949999999999</v>
          </cell>
          <cell r="T148" t="str">
            <v>OS</v>
          </cell>
          <cell r="W148" t="str">
            <v>4010</v>
          </cell>
          <cell r="X148">
            <v>2.7343108211407618E-2</v>
          </cell>
          <cell r="Y148">
            <v>0.99999681855878253</v>
          </cell>
          <cell r="AA148">
            <v>16032.137564901528</v>
          </cell>
        </row>
        <row r="149">
          <cell r="A149">
            <v>63</v>
          </cell>
          <cell r="B149" t="str">
            <v>M65</v>
          </cell>
          <cell r="C149" t="str">
            <v>M66</v>
          </cell>
          <cell r="D149">
            <v>80</v>
          </cell>
          <cell r="E149">
            <v>0.4</v>
          </cell>
          <cell r="F149">
            <v>963</v>
          </cell>
          <cell r="G149">
            <v>851</v>
          </cell>
          <cell r="H149">
            <v>1104</v>
          </cell>
          <cell r="I149">
            <v>1071.6949999999999</v>
          </cell>
          <cell r="J149">
            <v>112</v>
          </cell>
          <cell r="K149">
            <v>253</v>
          </cell>
          <cell r="L149">
            <v>220.69499999999994</v>
          </cell>
          <cell r="M149">
            <v>32</v>
          </cell>
          <cell r="N149">
            <v>10</v>
          </cell>
          <cell r="O149">
            <v>24.1</v>
          </cell>
          <cell r="P149">
            <v>3.9</v>
          </cell>
          <cell r="Q149">
            <v>216.79499999999993</v>
          </cell>
          <cell r="R149">
            <v>0.87651884280730197</v>
          </cell>
          <cell r="S149">
            <v>1067.7949999999998</v>
          </cell>
          <cell r="T149" t="str">
            <v>OS</v>
          </cell>
          <cell r="W149" t="str">
            <v>3210</v>
          </cell>
          <cell r="X149">
            <v>2.7277233508029443E-2</v>
          </cell>
          <cell r="Y149">
            <v>0.99944942366490153</v>
          </cell>
          <cell r="AA149">
            <v>16125.270314241205</v>
          </cell>
        </row>
        <row r="150">
          <cell r="A150">
            <v>64</v>
          </cell>
          <cell r="B150" t="str">
            <v>M66</v>
          </cell>
          <cell r="C150" t="str">
            <v>M67</v>
          </cell>
          <cell r="D150">
            <v>40</v>
          </cell>
          <cell r="E150">
            <v>0.3</v>
          </cell>
          <cell r="F150">
            <v>851</v>
          </cell>
          <cell r="G150">
            <v>941</v>
          </cell>
          <cell r="H150">
            <v>1104</v>
          </cell>
          <cell r="I150">
            <v>1067.7949999999998</v>
          </cell>
          <cell r="J150">
            <v>-90</v>
          </cell>
          <cell r="K150">
            <v>253</v>
          </cell>
          <cell r="L150">
            <v>126.79499999999985</v>
          </cell>
          <cell r="M150">
            <v>32</v>
          </cell>
          <cell r="N150">
            <v>10</v>
          </cell>
          <cell r="O150">
            <v>24.1</v>
          </cell>
          <cell r="P150">
            <v>1.18</v>
          </cell>
          <cell r="Q150">
            <v>125.61499999999984</v>
          </cell>
          <cell r="R150">
            <v>0.65738913210547645</v>
          </cell>
          <cell r="S150">
            <v>1066.6149999999998</v>
          </cell>
          <cell r="T150" t="str">
            <v>OS</v>
          </cell>
          <cell r="W150" t="str">
            <v>3210</v>
          </cell>
          <cell r="X150">
            <v>2.935237293740418E-2</v>
          </cell>
          <cell r="Y150">
            <v>0.9994147873090794</v>
          </cell>
          <cell r="AA150">
            <v>12093.952735680903</v>
          </cell>
        </row>
        <row r="151">
          <cell r="A151">
            <v>65</v>
          </cell>
          <cell r="B151" t="str">
            <v>M67</v>
          </cell>
          <cell r="C151" t="str">
            <v>M68</v>
          </cell>
          <cell r="D151">
            <v>60</v>
          </cell>
          <cell r="E151">
            <v>0.2</v>
          </cell>
          <cell r="F151">
            <v>941</v>
          </cell>
          <cell r="G151">
            <v>935</v>
          </cell>
          <cell r="H151">
            <v>1104</v>
          </cell>
          <cell r="I151">
            <v>1066.6149999999998</v>
          </cell>
          <cell r="J151">
            <v>6</v>
          </cell>
          <cell r="K151">
            <v>169</v>
          </cell>
          <cell r="L151">
            <v>131.61499999999978</v>
          </cell>
          <cell r="M151">
            <v>25</v>
          </cell>
          <cell r="N151">
            <v>10</v>
          </cell>
          <cell r="O151">
            <v>18.899999999999999</v>
          </cell>
          <cell r="P151">
            <v>2.7690000000000001</v>
          </cell>
          <cell r="Q151">
            <v>128.84599999999978</v>
          </cell>
          <cell r="R151">
            <v>0.71259330518589792</v>
          </cell>
          <cell r="S151">
            <v>1063.8459999999998</v>
          </cell>
          <cell r="T151" t="str">
            <v>OS</v>
          </cell>
          <cell r="W151" t="str">
            <v>2510</v>
          </cell>
          <cell r="X151">
            <v>3.0634725369355874E-2</v>
          </cell>
          <cell r="Y151">
            <v>0.99957160792464828</v>
          </cell>
          <cell r="AA151">
            <v>10280.926311460662</v>
          </cell>
        </row>
        <row r="152">
          <cell r="A152">
            <v>66</v>
          </cell>
          <cell r="B152" t="str">
            <v>M68</v>
          </cell>
          <cell r="C152" t="str">
            <v>M69</v>
          </cell>
          <cell r="D152">
            <v>100</v>
          </cell>
          <cell r="E152">
            <v>0.1</v>
          </cell>
          <cell r="F152">
            <v>935</v>
          </cell>
          <cell r="G152">
            <v>927</v>
          </cell>
          <cell r="H152">
            <v>1104</v>
          </cell>
          <cell r="I152">
            <v>1063.8459999999998</v>
          </cell>
          <cell r="J152">
            <v>8</v>
          </cell>
          <cell r="K152">
            <v>177</v>
          </cell>
          <cell r="L152">
            <v>136.84599999999978</v>
          </cell>
          <cell r="M152">
            <v>25</v>
          </cell>
          <cell r="N152">
            <v>10</v>
          </cell>
          <cell r="O152">
            <v>18.899999999999999</v>
          </cell>
          <cell r="P152">
            <v>1.395</v>
          </cell>
          <cell r="Q152">
            <v>135.45099999999977</v>
          </cell>
          <cell r="R152">
            <v>0.35629665259294896</v>
          </cell>
          <cell r="S152">
            <v>1062.4509999999998</v>
          </cell>
          <cell r="T152" t="str">
            <v>OS</v>
          </cell>
          <cell r="W152" t="str">
            <v>2510</v>
          </cell>
          <cell r="X152">
            <v>3.7053039508961341E-2</v>
          </cell>
          <cell r="Y152">
            <v>0.99931678047906369</v>
          </cell>
          <cell r="AA152">
            <v>5140.463155730331</v>
          </cell>
        </row>
        <row r="154">
          <cell r="A154">
            <v>67</v>
          </cell>
          <cell r="B154" t="str">
            <v>M54</v>
          </cell>
          <cell r="C154" t="str">
            <v>M70</v>
          </cell>
          <cell r="D154">
            <v>90</v>
          </cell>
          <cell r="E154">
            <v>0.2</v>
          </cell>
          <cell r="F154">
            <v>1067</v>
          </cell>
          <cell r="G154">
            <v>1048</v>
          </cell>
          <cell r="H154">
            <v>1104</v>
          </cell>
          <cell r="I154">
            <v>1096.82</v>
          </cell>
          <cell r="J154">
            <v>19</v>
          </cell>
          <cell r="K154">
            <v>56</v>
          </cell>
          <cell r="L154">
            <v>48.819999999999936</v>
          </cell>
          <cell r="M154">
            <v>25</v>
          </cell>
          <cell r="N154">
            <v>10</v>
          </cell>
          <cell r="O154">
            <v>18.899999999999999</v>
          </cell>
          <cell r="P154">
            <v>4.2670000000000003</v>
          </cell>
          <cell r="Q154">
            <v>44.552999999999933</v>
          </cell>
          <cell r="R154">
            <v>0.71259330518589792</v>
          </cell>
          <cell r="S154">
            <v>1092.5529999999999</v>
          </cell>
          <cell r="T154" t="str">
            <v>OS</v>
          </cell>
          <cell r="W154" t="str">
            <v>2510</v>
          </cell>
          <cell r="X154">
            <v>3.1476103983078957E-2</v>
          </cell>
          <cell r="Y154">
            <v>1.00005772200632</v>
          </cell>
          <cell r="Z154">
            <v>0.1</v>
          </cell>
          <cell r="AA154">
            <v>10280.926311460662</v>
          </cell>
        </row>
        <row r="155">
          <cell r="A155">
            <v>68</v>
          </cell>
          <cell r="B155" t="str">
            <v>M70</v>
          </cell>
          <cell r="C155" t="str">
            <v>M71</v>
          </cell>
          <cell r="D155">
            <v>80</v>
          </cell>
          <cell r="E155">
            <v>0.1</v>
          </cell>
          <cell r="F155">
            <v>1048</v>
          </cell>
          <cell r="G155">
            <v>1032</v>
          </cell>
          <cell r="H155">
            <v>1104</v>
          </cell>
          <cell r="I155">
            <v>1092.5529999999999</v>
          </cell>
          <cell r="J155">
            <v>16</v>
          </cell>
          <cell r="K155">
            <v>72</v>
          </cell>
          <cell r="L155">
            <v>60.552999999999884</v>
          </cell>
          <cell r="M155">
            <v>25</v>
          </cell>
          <cell r="N155">
            <v>10</v>
          </cell>
          <cell r="O155">
            <v>18.899999999999999</v>
          </cell>
          <cell r="P155">
            <v>1.135</v>
          </cell>
          <cell r="Q155">
            <v>59.417999999999886</v>
          </cell>
          <cell r="R155">
            <v>0.35629665259294896</v>
          </cell>
          <cell r="S155">
            <v>1091.4179999999999</v>
          </cell>
          <cell r="T155" t="str">
            <v>OS</v>
          </cell>
          <cell r="W155" t="str">
            <v>2510</v>
          </cell>
          <cell r="X155">
            <v>3.766885564238185E-2</v>
          </cell>
          <cell r="Y155">
            <v>0.99965648611640701</v>
          </cell>
          <cell r="Z155">
            <v>0.1</v>
          </cell>
          <cell r="AA155">
            <v>5140.463155730331</v>
          </cell>
        </row>
        <row r="157">
          <cell r="A157">
            <v>69</v>
          </cell>
          <cell r="B157" t="str">
            <v>M70</v>
          </cell>
          <cell r="C157" t="str">
            <v>M72</v>
          </cell>
          <cell r="D157">
            <v>230</v>
          </cell>
          <cell r="E157">
            <v>0.1</v>
          </cell>
          <cell r="F157">
            <v>1048</v>
          </cell>
          <cell r="G157">
            <v>1014</v>
          </cell>
          <cell r="H157">
            <v>1104</v>
          </cell>
          <cell r="I157">
            <v>1092.5529999999999</v>
          </cell>
          <cell r="J157">
            <v>34</v>
          </cell>
          <cell r="K157">
            <v>90</v>
          </cell>
          <cell r="L157">
            <v>78.552999999999884</v>
          </cell>
          <cell r="M157">
            <v>20</v>
          </cell>
          <cell r="N157">
            <v>10</v>
          </cell>
          <cell r="O157">
            <v>14.9</v>
          </cell>
          <cell r="P157">
            <v>10.109</v>
          </cell>
          <cell r="Q157">
            <v>68.443999999999889</v>
          </cell>
          <cell r="R157">
            <v>0.57327475011363127</v>
          </cell>
          <cell r="S157">
            <v>1082.444</v>
          </cell>
          <cell r="T157" t="str">
            <v>OS</v>
          </cell>
          <cell r="W157" t="str">
            <v>2010</v>
          </cell>
          <cell r="X157">
            <v>3.5543001662657336E-2</v>
          </cell>
          <cell r="Y157">
            <v>1.0003392134008497</v>
          </cell>
          <cell r="Z157">
            <v>0.1</v>
          </cell>
          <cell r="AA157">
            <v>6520.4532646512262</v>
          </cell>
        </row>
        <row r="159">
          <cell r="A159">
            <v>70</v>
          </cell>
          <cell r="B159" t="str">
            <v>O</v>
          </cell>
          <cell r="C159">
            <v>0</v>
          </cell>
          <cell r="D159">
            <v>600</v>
          </cell>
          <cell r="E159">
            <v>0</v>
          </cell>
          <cell r="F159">
            <v>0</v>
          </cell>
          <cell r="G159">
            <v>0</v>
          </cell>
          <cell r="H159" t="e">
            <v>#N/A</v>
          </cell>
          <cell r="I159" t="e">
            <v>#N/A</v>
          </cell>
          <cell r="J159">
            <v>0</v>
          </cell>
          <cell r="L159" t="e">
            <v>#N/A</v>
          </cell>
          <cell r="M159">
            <v>20</v>
          </cell>
          <cell r="N159">
            <v>10</v>
          </cell>
          <cell r="O159">
            <v>14.9</v>
          </cell>
          <cell r="P159">
            <v>0</v>
          </cell>
          <cell r="Q159" t="e">
            <v>#N/A</v>
          </cell>
          <cell r="R159">
            <v>0</v>
          </cell>
          <cell r="S159" t="e">
            <v>#N/A</v>
          </cell>
          <cell r="W159" t="str">
            <v>2010</v>
          </cell>
          <cell r="X159">
            <v>2.417299060949454E-2</v>
          </cell>
          <cell r="Y159" t="e">
            <v>#DIV/0!</v>
          </cell>
          <cell r="Z159">
            <v>0.1</v>
          </cell>
          <cell r="AA159">
            <v>0</v>
          </cell>
        </row>
        <row r="162">
          <cell r="B162" t="str">
            <v>TRANSMISSION  LINE</v>
          </cell>
          <cell r="D162">
            <v>785</v>
          </cell>
          <cell r="M162" t="str">
            <v>OD</v>
          </cell>
          <cell r="T162" t="str">
            <v>SOIL</v>
          </cell>
        </row>
        <row r="163">
          <cell r="A163">
            <v>1</v>
          </cell>
          <cell r="B163" t="str">
            <v>DC</v>
          </cell>
          <cell r="C163" t="str">
            <v>E10</v>
          </cell>
          <cell r="D163">
            <v>300</v>
          </cell>
          <cell r="E163">
            <v>1.1000000000000001</v>
          </cell>
          <cell r="F163">
            <v>1115</v>
          </cell>
          <cell r="G163">
            <v>1067</v>
          </cell>
          <cell r="H163">
            <v>1115</v>
          </cell>
          <cell r="I163">
            <v>1115</v>
          </cell>
          <cell r="J163">
            <v>48</v>
          </cell>
          <cell r="K163">
            <v>48</v>
          </cell>
          <cell r="L163">
            <v>48</v>
          </cell>
          <cell r="M163">
            <v>40</v>
          </cell>
          <cell r="N163">
            <v>6</v>
          </cell>
          <cell r="O163">
            <v>33.700000000000003</v>
          </cell>
          <cell r="P163">
            <v>18.306999999999999</v>
          </cell>
          <cell r="Q163">
            <v>29.693000000000001</v>
          </cell>
          <cell r="R163">
            <v>1.2327307627961854</v>
          </cell>
          <cell r="S163">
            <v>1096.693</v>
          </cell>
          <cell r="T163" t="str">
            <v>OS</v>
          </cell>
          <cell r="W163" t="str">
            <v>406</v>
          </cell>
          <cell r="X163">
            <v>2.4137740424519036E-2</v>
          </cell>
          <cell r="Y163">
            <v>0.99984116766712883</v>
          </cell>
          <cell r="Z163">
            <v>0.12</v>
          </cell>
          <cell r="AA163">
            <v>31712.234126894236</v>
          </cell>
        </row>
        <row r="164">
          <cell r="A164">
            <v>2</v>
          </cell>
          <cell r="B164" t="str">
            <v>E10</v>
          </cell>
          <cell r="C164" t="str">
            <v>E11</v>
          </cell>
          <cell r="D164">
            <v>80</v>
          </cell>
          <cell r="E164">
            <v>1.1000000000000001</v>
          </cell>
          <cell r="F164">
            <v>1067</v>
          </cell>
          <cell r="G164">
            <v>1055</v>
          </cell>
          <cell r="H164">
            <v>1115</v>
          </cell>
          <cell r="I164">
            <v>1096.693</v>
          </cell>
          <cell r="J164">
            <v>12</v>
          </cell>
          <cell r="K164">
            <v>60</v>
          </cell>
          <cell r="L164">
            <v>41.692999999999984</v>
          </cell>
          <cell r="M164">
            <v>40</v>
          </cell>
          <cell r="N164">
            <v>6</v>
          </cell>
          <cell r="O164">
            <v>33.700000000000003</v>
          </cell>
          <cell r="P164">
            <v>4.8860000000000001</v>
          </cell>
          <cell r="Q164">
            <v>36.806999999999981</v>
          </cell>
          <cell r="R164">
            <v>1.2327307627961854</v>
          </cell>
          <cell r="S164">
            <v>1091.807</v>
          </cell>
          <cell r="T164" t="str">
            <v>OS</v>
          </cell>
          <cell r="W164" t="str">
            <v>406</v>
          </cell>
          <cell r="X164">
            <v>2.4157603453835164E-2</v>
          </cell>
          <cell r="Y164">
            <v>1.0002991696505867</v>
          </cell>
          <cell r="Z164">
            <v>0.12</v>
          </cell>
          <cell r="AA164">
            <v>31712.234126894236</v>
          </cell>
        </row>
        <row r="165">
          <cell r="A165">
            <v>3</v>
          </cell>
          <cell r="B165" t="str">
            <v>E11</v>
          </cell>
          <cell r="C165" t="str">
            <v>E12</v>
          </cell>
          <cell r="D165">
            <v>100</v>
          </cell>
          <cell r="E165">
            <v>1.1000000000000001</v>
          </cell>
          <cell r="F165">
            <v>1055</v>
          </cell>
          <cell r="G165">
            <v>1034</v>
          </cell>
          <cell r="H165">
            <v>1115</v>
          </cell>
          <cell r="I165">
            <v>1091.807</v>
          </cell>
          <cell r="J165">
            <v>21</v>
          </cell>
          <cell r="K165">
            <v>81</v>
          </cell>
          <cell r="L165">
            <v>57.807000000000016</v>
          </cell>
          <cell r="M165">
            <v>40</v>
          </cell>
          <cell r="N165">
            <v>10</v>
          </cell>
          <cell r="O165">
            <v>30.3</v>
          </cell>
          <cell r="P165">
            <v>10.223000000000001</v>
          </cell>
          <cell r="Q165">
            <v>47.584000000000017</v>
          </cell>
          <cell r="R165">
            <v>1.5249049657440994</v>
          </cell>
          <cell r="S165">
            <v>1081.5840000000001</v>
          </cell>
          <cell r="T165" t="str">
            <v>OS</v>
          </cell>
          <cell r="W165" t="str">
            <v>4010</v>
          </cell>
          <cell r="X165">
            <v>2.3758697842742559E-2</v>
          </cell>
          <cell r="Y165">
            <v>1.0003893141704148</v>
          </cell>
          <cell r="Z165">
            <v>0.12</v>
          </cell>
          <cell r="AA165">
            <v>35270.70264278337</v>
          </cell>
        </row>
        <row r="166">
          <cell r="A166">
            <v>4</v>
          </cell>
          <cell r="B166" t="str">
            <v>E12</v>
          </cell>
          <cell r="C166" t="str">
            <v>E13</v>
          </cell>
          <cell r="D166">
            <v>140</v>
          </cell>
          <cell r="E166">
            <v>1.1000000000000001</v>
          </cell>
          <cell r="F166">
            <v>1034</v>
          </cell>
          <cell r="G166">
            <v>1013</v>
          </cell>
          <cell r="H166">
            <v>1115</v>
          </cell>
          <cell r="I166">
            <v>1081.5840000000001</v>
          </cell>
          <cell r="J166">
            <v>21</v>
          </cell>
          <cell r="K166">
            <v>102</v>
          </cell>
          <cell r="L166">
            <v>68.58400000000006</v>
          </cell>
          <cell r="M166">
            <v>40</v>
          </cell>
          <cell r="N166">
            <v>10</v>
          </cell>
          <cell r="O166">
            <v>30.3</v>
          </cell>
          <cell r="P166">
            <v>14.308</v>
          </cell>
          <cell r="Q166">
            <v>54.27600000000006</v>
          </cell>
          <cell r="R166">
            <v>1.5249049657440994</v>
          </cell>
          <cell r="S166">
            <v>1067.2760000000001</v>
          </cell>
          <cell r="T166" t="str">
            <v>OS</v>
          </cell>
          <cell r="W166" t="str">
            <v>4010</v>
          </cell>
          <cell r="X166">
            <v>2.3753468861637324E-2</v>
          </cell>
          <cell r="Y166">
            <v>1.0002672615101511</v>
          </cell>
          <cell r="Z166">
            <v>0.12</v>
          </cell>
          <cell r="AA166">
            <v>35270.70264278337</v>
          </cell>
        </row>
        <row r="167">
          <cell r="A167">
            <v>5</v>
          </cell>
          <cell r="B167" t="str">
            <v>E13</v>
          </cell>
          <cell r="C167" t="str">
            <v>E14</v>
          </cell>
          <cell r="D167">
            <v>80</v>
          </cell>
          <cell r="E167">
            <v>1.1000000000000001</v>
          </cell>
          <cell r="F167">
            <v>1013</v>
          </cell>
          <cell r="G167">
            <v>1005</v>
          </cell>
          <cell r="H167">
            <v>1115</v>
          </cell>
          <cell r="I167">
            <v>1067.2760000000001</v>
          </cell>
          <cell r="J167">
            <v>8</v>
          </cell>
          <cell r="K167">
            <v>110</v>
          </cell>
          <cell r="L167">
            <v>62.276000000000067</v>
          </cell>
          <cell r="M167">
            <v>40</v>
          </cell>
          <cell r="N167">
            <v>10</v>
          </cell>
          <cell r="O167">
            <v>30.3</v>
          </cell>
          <cell r="P167">
            <v>8.1760000000000002</v>
          </cell>
          <cell r="Q167">
            <v>54.100000000000065</v>
          </cell>
          <cell r="R167">
            <v>1.5249049657440994</v>
          </cell>
          <cell r="S167">
            <v>1059.1000000000001</v>
          </cell>
          <cell r="T167" t="str">
            <v>OS</v>
          </cell>
          <cell r="W167" t="str">
            <v>4010</v>
          </cell>
          <cell r="X167">
            <v>2.3753468861637324E-2</v>
          </cell>
          <cell r="Y167">
            <v>1.0002672615101511</v>
          </cell>
          <cell r="Z167">
            <v>0.12</v>
          </cell>
          <cell r="AA167">
            <v>35270.70264278337</v>
          </cell>
        </row>
        <row r="168">
          <cell r="A168">
            <v>6</v>
          </cell>
          <cell r="B168" t="str">
            <v>E14</v>
          </cell>
          <cell r="C168" t="str">
            <v>RVT4</v>
          </cell>
          <cell r="D168">
            <v>85</v>
          </cell>
          <cell r="E168">
            <v>1.1000000000000001</v>
          </cell>
          <cell r="F168">
            <v>1005</v>
          </cell>
          <cell r="G168">
            <v>1007</v>
          </cell>
          <cell r="H168">
            <v>1115</v>
          </cell>
          <cell r="I168">
            <v>1059.1000000000001</v>
          </cell>
          <cell r="J168">
            <v>-2</v>
          </cell>
          <cell r="K168">
            <v>110</v>
          </cell>
          <cell r="L168">
            <v>52.100000000000136</v>
          </cell>
          <cell r="M168">
            <v>40</v>
          </cell>
          <cell r="N168">
            <v>10</v>
          </cell>
          <cell r="O168">
            <v>30.3</v>
          </cell>
          <cell r="P168">
            <v>8.6869999999999994</v>
          </cell>
          <cell r="Q168">
            <v>43.413000000000139</v>
          </cell>
          <cell r="R168">
            <v>1.5249049657440994</v>
          </cell>
          <cell r="S168">
            <v>1050.4130000000002</v>
          </cell>
          <cell r="T168" t="str">
            <v>OS</v>
          </cell>
          <cell r="W168" t="str">
            <v>4010</v>
          </cell>
          <cell r="X168">
            <v>2.3753468861637324E-2</v>
          </cell>
          <cell r="Y168">
            <v>1.0002672615101511</v>
          </cell>
          <cell r="Z168">
            <v>0.12</v>
          </cell>
          <cell r="AA168">
            <v>35270.70264278337</v>
          </cell>
        </row>
        <row r="170">
          <cell r="B170" t="str">
            <v>DISTRIBUTION  LINE</v>
          </cell>
          <cell r="D170">
            <v>8824</v>
          </cell>
          <cell r="M170" t="str">
            <v>OD</v>
          </cell>
          <cell r="T170" t="str">
            <v>SOIL</v>
          </cell>
        </row>
        <row r="171">
          <cell r="A171">
            <v>7</v>
          </cell>
          <cell r="B171" t="str">
            <v>RVT4</v>
          </cell>
          <cell r="C171" t="str">
            <v>N6</v>
          </cell>
          <cell r="D171">
            <v>140</v>
          </cell>
          <cell r="E171">
            <v>5.0999999999999996</v>
          </cell>
          <cell r="F171">
            <v>1007</v>
          </cell>
          <cell r="G171">
            <v>992</v>
          </cell>
          <cell r="H171">
            <v>1007</v>
          </cell>
          <cell r="I171">
            <v>1007</v>
          </cell>
          <cell r="J171">
            <v>15</v>
          </cell>
          <cell r="K171">
            <v>15</v>
          </cell>
          <cell r="L171">
            <v>15</v>
          </cell>
          <cell r="M171">
            <v>110</v>
          </cell>
          <cell r="N171">
            <v>4</v>
          </cell>
          <cell r="O171">
            <v>98.7</v>
          </cell>
          <cell r="P171">
            <v>0.75</v>
          </cell>
          <cell r="Q171">
            <v>14.25</v>
          </cell>
          <cell r="R171">
            <v>0.66630216019079747</v>
          </cell>
          <cell r="S171">
            <v>1006.25</v>
          </cell>
          <cell r="T171" t="str">
            <v>OS</v>
          </cell>
          <cell r="U171" t="str">
            <v>L</v>
          </cell>
          <cell r="W171" t="str">
            <v>1104</v>
          </cell>
          <cell r="X171">
            <v>2.1229606860865731E-2</v>
          </cell>
          <cell r="Y171">
            <v>0.99986969355083954</v>
          </cell>
          <cell r="Z171">
            <v>0.1</v>
          </cell>
          <cell r="AA171">
            <v>50201.544435749398</v>
          </cell>
        </row>
        <row r="172">
          <cell r="A172">
            <v>8</v>
          </cell>
          <cell r="B172" t="str">
            <v>N6</v>
          </cell>
          <cell r="C172" t="str">
            <v>N7</v>
          </cell>
          <cell r="D172">
            <v>140</v>
          </cell>
          <cell r="E172">
            <v>5.0999999999999996</v>
          </cell>
          <cell r="F172">
            <v>992</v>
          </cell>
          <cell r="G172">
            <v>976</v>
          </cell>
          <cell r="H172">
            <v>1007</v>
          </cell>
          <cell r="I172">
            <v>1006.25</v>
          </cell>
          <cell r="J172">
            <v>16</v>
          </cell>
          <cell r="K172">
            <v>31</v>
          </cell>
          <cell r="L172">
            <v>30.25</v>
          </cell>
          <cell r="M172">
            <v>110</v>
          </cell>
          <cell r="N172">
            <v>4</v>
          </cell>
          <cell r="O172">
            <v>98.7</v>
          </cell>
          <cell r="P172">
            <v>0.75</v>
          </cell>
          <cell r="Q172">
            <v>29.5</v>
          </cell>
          <cell r="R172">
            <v>0.66630216019079747</v>
          </cell>
          <cell r="S172">
            <v>1005.5</v>
          </cell>
          <cell r="T172" t="str">
            <v>OS</v>
          </cell>
          <cell r="U172" t="str">
            <v>L</v>
          </cell>
          <cell r="W172" t="str">
            <v>1104</v>
          </cell>
          <cell r="X172">
            <v>2.1229574090239185E-2</v>
          </cell>
          <cell r="Y172">
            <v>0.99986883137711946</v>
          </cell>
          <cell r="Z172">
            <v>0.1</v>
          </cell>
          <cell r="AA172">
            <v>50201.544435749398</v>
          </cell>
        </row>
        <row r="173">
          <cell r="A173">
            <v>9</v>
          </cell>
          <cell r="B173" t="str">
            <v>N7</v>
          </cell>
          <cell r="C173" t="str">
            <v>N8</v>
          </cell>
          <cell r="D173">
            <v>140</v>
          </cell>
          <cell r="E173">
            <v>5</v>
          </cell>
          <cell r="F173">
            <v>976</v>
          </cell>
          <cell r="G173">
            <v>962</v>
          </cell>
          <cell r="H173">
            <v>1007</v>
          </cell>
          <cell r="I173">
            <v>1005.5</v>
          </cell>
          <cell r="J173">
            <v>14</v>
          </cell>
          <cell r="K173">
            <v>45</v>
          </cell>
          <cell r="L173">
            <v>43.5</v>
          </cell>
          <cell r="M173">
            <v>110</v>
          </cell>
          <cell r="N173">
            <v>6</v>
          </cell>
          <cell r="O173">
            <v>93.4</v>
          </cell>
          <cell r="P173">
            <v>0.94299999999999995</v>
          </cell>
          <cell r="Q173">
            <v>42.557000000000002</v>
          </cell>
          <cell r="R173">
            <v>0.72947699833971025</v>
          </cell>
          <cell r="S173">
            <v>1004.557</v>
          </cell>
          <cell r="T173" t="str">
            <v>OS</v>
          </cell>
          <cell r="U173" t="str">
            <v>L</v>
          </cell>
          <cell r="W173" t="str">
            <v>1106</v>
          </cell>
          <cell r="X173">
            <v>2.1093764540094536E-2</v>
          </cell>
          <cell r="Y173">
            <v>0.99987696818138572</v>
          </cell>
          <cell r="Z173">
            <v>0.1</v>
          </cell>
          <cell r="AA173">
            <v>52010.03942360988</v>
          </cell>
        </row>
        <row r="174">
          <cell r="A174">
            <v>10</v>
          </cell>
          <cell r="B174" t="str">
            <v>N8</v>
          </cell>
          <cell r="C174" t="str">
            <v>N9</v>
          </cell>
          <cell r="D174">
            <v>180</v>
          </cell>
          <cell r="E174">
            <v>0.35</v>
          </cell>
          <cell r="F174">
            <v>962</v>
          </cell>
          <cell r="G174">
            <v>934</v>
          </cell>
          <cell r="H174">
            <v>1007</v>
          </cell>
          <cell r="I174">
            <v>1004.557</v>
          </cell>
          <cell r="J174">
            <v>28</v>
          </cell>
          <cell r="K174">
            <v>73</v>
          </cell>
          <cell r="L174">
            <v>70.557000000000016</v>
          </cell>
          <cell r="M174">
            <v>32</v>
          </cell>
          <cell r="N174">
            <v>10</v>
          </cell>
          <cell r="O174">
            <v>24.1</v>
          </cell>
          <cell r="P174">
            <v>7.1379999999999999</v>
          </cell>
          <cell r="Q174">
            <v>63.419000000000018</v>
          </cell>
          <cell r="R174">
            <v>0.76695398745638921</v>
          </cell>
          <cell r="S174">
            <v>997.41899999999998</v>
          </cell>
          <cell r="T174" t="str">
            <v>OS</v>
          </cell>
          <cell r="U174" t="str">
            <v>L</v>
          </cell>
          <cell r="W174" t="str">
            <v>3210</v>
          </cell>
          <cell r="X174">
            <v>2.8977499435469904E-2</v>
          </cell>
          <cell r="Y174">
            <v>0.99978228853031548</v>
          </cell>
          <cell r="Z174">
            <v>0.1</v>
          </cell>
          <cell r="AA174">
            <v>14109.611524961052</v>
          </cell>
        </row>
        <row r="175">
          <cell r="A175">
            <v>11</v>
          </cell>
          <cell r="B175" t="str">
            <v>N9</v>
          </cell>
          <cell r="C175" t="str">
            <v>N10</v>
          </cell>
          <cell r="D175">
            <v>40</v>
          </cell>
          <cell r="E175">
            <v>0.1</v>
          </cell>
          <cell r="F175">
            <v>934</v>
          </cell>
          <cell r="G175">
            <v>931</v>
          </cell>
          <cell r="H175">
            <v>1007</v>
          </cell>
          <cell r="I175">
            <v>997.41899999999998</v>
          </cell>
          <cell r="J175">
            <v>3</v>
          </cell>
          <cell r="K175">
            <v>76</v>
          </cell>
          <cell r="L175">
            <v>66.418999999999983</v>
          </cell>
          <cell r="M175">
            <v>25</v>
          </cell>
          <cell r="N175">
            <v>10</v>
          </cell>
          <cell r="O175">
            <v>18.899999999999999</v>
          </cell>
          <cell r="P175">
            <v>0.56799999999999995</v>
          </cell>
          <cell r="Q175">
            <v>65.850999999999985</v>
          </cell>
          <cell r="R175">
            <v>0.35629665259294896</v>
          </cell>
          <cell r="S175">
            <v>996.851</v>
          </cell>
          <cell r="T175" t="str">
            <v>OS</v>
          </cell>
          <cell r="U175" t="str">
            <v>L</v>
          </cell>
          <cell r="W175" t="str">
            <v>2510</v>
          </cell>
          <cell r="X175">
            <v>3.7685244600161399E-2</v>
          </cell>
          <cell r="Y175">
            <v>0.99990862787894186</v>
          </cell>
          <cell r="Z175">
            <v>0.1</v>
          </cell>
          <cell r="AA175">
            <v>5140.463155730331</v>
          </cell>
        </row>
        <row r="176">
          <cell r="A176">
            <v>12</v>
          </cell>
          <cell r="B176" t="str">
            <v>N10</v>
          </cell>
          <cell r="C176" t="str">
            <v>N11</v>
          </cell>
          <cell r="D176">
            <v>100</v>
          </cell>
          <cell r="E176">
            <v>0.1</v>
          </cell>
          <cell r="F176">
            <v>931</v>
          </cell>
          <cell r="G176">
            <v>939</v>
          </cell>
          <cell r="H176">
            <v>1007</v>
          </cell>
          <cell r="I176">
            <v>996.851</v>
          </cell>
          <cell r="J176">
            <v>-8</v>
          </cell>
          <cell r="K176">
            <v>76</v>
          </cell>
          <cell r="L176">
            <v>57.850999999999999</v>
          </cell>
          <cell r="M176">
            <v>25</v>
          </cell>
          <cell r="N176">
            <v>10</v>
          </cell>
          <cell r="O176">
            <v>18.899999999999999</v>
          </cell>
          <cell r="P176">
            <v>1.4179999999999999</v>
          </cell>
          <cell r="Q176">
            <v>56.433</v>
          </cell>
          <cell r="R176">
            <v>0.35629665259294896</v>
          </cell>
          <cell r="S176">
            <v>995.43299999999999</v>
          </cell>
          <cell r="T176" t="str">
            <v>OS</v>
          </cell>
          <cell r="U176" t="str">
            <v>L</v>
          </cell>
          <cell r="W176" t="str">
            <v>2510</v>
          </cell>
          <cell r="X176">
            <v>3.7667835086417252E-2</v>
          </cell>
          <cell r="Y176">
            <v>0.99964078343162721</v>
          </cell>
          <cell r="Z176">
            <v>0.1</v>
          </cell>
          <cell r="AA176">
            <v>5140.463155730331</v>
          </cell>
        </row>
        <row r="177">
          <cell r="A177">
            <v>13</v>
          </cell>
          <cell r="B177" t="str">
            <v>N11</v>
          </cell>
          <cell r="C177" t="str">
            <v>N12</v>
          </cell>
          <cell r="D177">
            <v>130</v>
          </cell>
          <cell r="E177">
            <v>0.1</v>
          </cell>
          <cell r="F177">
            <v>939</v>
          </cell>
          <cell r="G177">
            <v>942</v>
          </cell>
          <cell r="H177">
            <v>1007</v>
          </cell>
          <cell r="I177">
            <v>995.43299999999999</v>
          </cell>
          <cell r="J177">
            <v>-3</v>
          </cell>
          <cell r="K177">
            <v>68</v>
          </cell>
          <cell r="L177">
            <v>53.432999999999993</v>
          </cell>
          <cell r="M177">
            <v>25</v>
          </cell>
          <cell r="N177">
            <v>10</v>
          </cell>
          <cell r="O177">
            <v>18.899999999999999</v>
          </cell>
          <cell r="P177">
            <v>1.8440000000000001</v>
          </cell>
          <cell r="Q177">
            <v>51.588999999999992</v>
          </cell>
          <cell r="R177">
            <v>0.35629665259294896</v>
          </cell>
          <cell r="S177">
            <v>993.58899999999994</v>
          </cell>
          <cell r="T177" t="str">
            <v>OS</v>
          </cell>
          <cell r="U177" t="str">
            <v>L</v>
          </cell>
          <cell r="W177" t="str">
            <v>2510</v>
          </cell>
          <cell r="X177">
            <v>3.7667835086417252E-2</v>
          </cell>
          <cell r="Y177">
            <v>0.99964078343162721</v>
          </cell>
          <cell r="Z177">
            <v>0.1</v>
          </cell>
          <cell r="AA177">
            <v>5140.463155730331</v>
          </cell>
        </row>
        <row r="179">
          <cell r="A179">
            <v>14</v>
          </cell>
          <cell r="B179" t="str">
            <v>N9</v>
          </cell>
          <cell r="C179" t="str">
            <v>N13</v>
          </cell>
          <cell r="D179">
            <v>60</v>
          </cell>
          <cell r="E179">
            <v>0.25</v>
          </cell>
          <cell r="F179">
            <v>934</v>
          </cell>
          <cell r="G179">
            <v>926</v>
          </cell>
          <cell r="H179">
            <v>1007</v>
          </cell>
          <cell r="I179">
            <v>997.41899999999998</v>
          </cell>
          <cell r="J179">
            <v>8</v>
          </cell>
          <cell r="K179">
            <v>81</v>
          </cell>
          <cell r="L179">
            <v>71.418999999999983</v>
          </cell>
          <cell r="M179">
            <v>32</v>
          </cell>
          <cell r="N179">
            <v>10</v>
          </cell>
          <cell r="O179">
            <v>24.1</v>
          </cell>
          <cell r="P179">
            <v>1.3169999999999999</v>
          </cell>
          <cell r="Q179">
            <v>70.10199999999999</v>
          </cell>
          <cell r="R179">
            <v>0.54782427675456369</v>
          </cell>
          <cell r="S179">
            <v>996.10199999999998</v>
          </cell>
          <cell r="T179" t="str">
            <v>OS</v>
          </cell>
          <cell r="W179" t="str">
            <v>3210</v>
          </cell>
          <cell r="X179">
            <v>3.1439658350712746E-2</v>
          </cell>
          <cell r="Y179">
            <v>0.99971942238595102</v>
          </cell>
          <cell r="Z179">
            <v>0.1</v>
          </cell>
          <cell r="AA179">
            <v>10078.293946400752</v>
          </cell>
        </row>
        <row r="180">
          <cell r="A180">
            <v>15</v>
          </cell>
          <cell r="B180" t="str">
            <v>N13</v>
          </cell>
          <cell r="C180" t="str">
            <v>N14</v>
          </cell>
          <cell r="D180">
            <v>60</v>
          </cell>
          <cell r="E180">
            <v>0.15</v>
          </cell>
          <cell r="F180">
            <v>926</v>
          </cell>
          <cell r="G180">
            <v>919</v>
          </cell>
          <cell r="H180">
            <v>1007</v>
          </cell>
          <cell r="I180">
            <v>996.10199999999998</v>
          </cell>
          <cell r="J180">
            <v>7</v>
          </cell>
          <cell r="K180">
            <v>88</v>
          </cell>
          <cell r="L180">
            <v>77.101999999999975</v>
          </cell>
          <cell r="M180">
            <v>25</v>
          </cell>
          <cell r="N180">
            <v>10</v>
          </cell>
          <cell r="O180">
            <v>18.899999999999999</v>
          </cell>
          <cell r="P180">
            <v>1.7190000000000001</v>
          </cell>
          <cell r="Q180">
            <v>75.382999999999981</v>
          </cell>
          <cell r="R180">
            <v>0.53444497888942344</v>
          </cell>
          <cell r="S180">
            <v>994.38299999999992</v>
          </cell>
          <cell r="T180" t="str">
            <v>OS</v>
          </cell>
          <cell r="W180" t="str">
            <v>2510</v>
          </cell>
          <cell r="X180">
            <v>3.3815474099042661E-2</v>
          </cell>
          <cell r="Y180">
            <v>0.99971325507917796</v>
          </cell>
          <cell r="Z180">
            <v>0.1</v>
          </cell>
          <cell r="AA180">
            <v>7710.6947335954974</v>
          </cell>
        </row>
        <row r="182">
          <cell r="A182">
            <v>16</v>
          </cell>
          <cell r="B182" t="str">
            <v>N8</v>
          </cell>
          <cell r="C182" t="str">
            <v>N76</v>
          </cell>
          <cell r="D182">
            <v>100</v>
          </cell>
          <cell r="E182">
            <v>0.1</v>
          </cell>
          <cell r="F182">
            <v>962</v>
          </cell>
          <cell r="G182">
            <v>969</v>
          </cell>
          <cell r="H182">
            <v>1007</v>
          </cell>
          <cell r="I182">
            <v>1004.557</v>
          </cell>
          <cell r="J182">
            <v>-7</v>
          </cell>
          <cell r="K182">
            <v>45</v>
          </cell>
          <cell r="L182">
            <v>35.557000000000016</v>
          </cell>
          <cell r="M182">
            <v>20</v>
          </cell>
          <cell r="N182">
            <v>10</v>
          </cell>
          <cell r="O182">
            <v>14.9</v>
          </cell>
          <cell r="P182">
            <v>4.3899999999999997</v>
          </cell>
          <cell r="Q182">
            <v>31.167000000000016</v>
          </cell>
          <cell r="R182">
            <v>0.57327475011363127</v>
          </cell>
          <cell r="S182">
            <v>1000.167</v>
          </cell>
          <cell r="T182" t="str">
            <v>HS</v>
          </cell>
          <cell r="W182" t="str">
            <v>2010</v>
          </cell>
          <cell r="X182">
            <v>3.5499162771003311E-2</v>
          </cell>
          <cell r="Y182">
            <v>0.99962936149240311</v>
          </cell>
          <cell r="Z182">
            <v>0.1</v>
          </cell>
          <cell r="AA182">
            <v>6520.4532646512262</v>
          </cell>
        </row>
        <row r="184">
          <cell r="A184">
            <v>17</v>
          </cell>
          <cell r="B184" t="str">
            <v>N8</v>
          </cell>
          <cell r="C184" t="str">
            <v>N15</v>
          </cell>
          <cell r="D184">
            <v>180</v>
          </cell>
          <cell r="E184">
            <v>4.6500000000000004</v>
          </cell>
          <cell r="F184">
            <v>962</v>
          </cell>
          <cell r="G184">
            <v>934</v>
          </cell>
          <cell r="H184">
            <v>1007</v>
          </cell>
          <cell r="I184">
            <v>1004.557</v>
          </cell>
          <cell r="J184">
            <v>28</v>
          </cell>
          <cell r="K184">
            <v>73</v>
          </cell>
          <cell r="L184">
            <v>70.557000000000016</v>
          </cell>
          <cell r="M184">
            <v>90</v>
          </cell>
          <cell r="N184">
            <v>10</v>
          </cell>
          <cell r="O184">
            <v>68.5</v>
          </cell>
          <cell r="P184">
            <v>4.7469999999999999</v>
          </cell>
          <cell r="Q184">
            <v>65.810000000000016</v>
          </cell>
          <cell r="R184">
            <v>1.2612673702769075</v>
          </cell>
          <cell r="S184">
            <v>999.81000000000006</v>
          </cell>
          <cell r="T184" t="str">
            <v>OS</v>
          </cell>
          <cell r="W184" t="str">
            <v>9010</v>
          </cell>
          <cell r="X184">
            <v>2.025424693561919E-2</v>
          </cell>
          <cell r="Y184">
            <v>0.99993406776206684</v>
          </cell>
          <cell r="Z184">
            <v>0.1</v>
          </cell>
          <cell r="AA184">
            <v>65951.767071731418</v>
          </cell>
        </row>
        <row r="185">
          <cell r="A185">
            <v>18</v>
          </cell>
          <cell r="B185" t="str">
            <v>N15</v>
          </cell>
          <cell r="C185" t="str">
            <v>N16</v>
          </cell>
          <cell r="D185">
            <v>40</v>
          </cell>
          <cell r="E185">
            <v>4.6500000000000004</v>
          </cell>
          <cell r="F185">
            <v>934</v>
          </cell>
          <cell r="G185">
            <v>931</v>
          </cell>
          <cell r="H185">
            <v>1007</v>
          </cell>
          <cell r="I185">
            <v>999.81000000000006</v>
          </cell>
          <cell r="J185">
            <v>3</v>
          </cell>
          <cell r="K185">
            <v>76</v>
          </cell>
          <cell r="L185">
            <v>68.810000000000059</v>
          </cell>
          <cell r="M185">
            <v>90</v>
          </cell>
          <cell r="N185">
            <v>10</v>
          </cell>
          <cell r="O185">
            <v>68.5</v>
          </cell>
          <cell r="P185">
            <v>1.0549999999999999</v>
          </cell>
          <cell r="Q185">
            <v>67.755000000000052</v>
          </cell>
          <cell r="R185">
            <v>1.2612673702769075</v>
          </cell>
          <cell r="S185">
            <v>998.75500000000011</v>
          </cell>
          <cell r="T185" t="str">
            <v>OS</v>
          </cell>
          <cell r="W185" t="str">
            <v>9010</v>
          </cell>
          <cell r="X185">
            <v>2.0254254886392785E-2</v>
          </cell>
          <cell r="Y185">
            <v>0.99993428516634442</v>
          </cell>
          <cell r="Z185">
            <v>0.1</v>
          </cell>
          <cell r="AA185">
            <v>65951.767071731418</v>
          </cell>
        </row>
        <row r="186">
          <cell r="A186">
            <v>19</v>
          </cell>
          <cell r="B186" t="str">
            <v>N16</v>
          </cell>
          <cell r="C186" t="str">
            <v>N17</v>
          </cell>
          <cell r="D186">
            <v>100</v>
          </cell>
          <cell r="E186">
            <v>4.55</v>
          </cell>
          <cell r="F186">
            <v>931</v>
          </cell>
          <cell r="G186">
            <v>939</v>
          </cell>
          <cell r="H186">
            <v>1007</v>
          </cell>
          <cell r="I186">
            <v>998.75500000000011</v>
          </cell>
          <cell r="J186">
            <v>-8</v>
          </cell>
          <cell r="K186">
            <v>76</v>
          </cell>
          <cell r="L186">
            <v>59.755000000000109</v>
          </cell>
          <cell r="M186">
            <v>90</v>
          </cell>
          <cell r="N186">
            <v>10</v>
          </cell>
          <cell r="O186">
            <v>68.5</v>
          </cell>
          <cell r="P186">
            <v>2.536</v>
          </cell>
          <cell r="Q186">
            <v>57.219000000000108</v>
          </cell>
          <cell r="R186">
            <v>1.2341433408085867</v>
          </cell>
          <cell r="S186">
            <v>996.21900000000016</v>
          </cell>
          <cell r="T186" t="str">
            <v>OS</v>
          </cell>
          <cell r="W186" t="str">
            <v>9010</v>
          </cell>
          <cell r="X186">
            <v>2.0340208207160586E-2</v>
          </cell>
          <cell r="Y186">
            <v>0.99993283517741038</v>
          </cell>
          <cell r="Z186">
            <v>0.1</v>
          </cell>
          <cell r="AA186">
            <v>64533.449500296323</v>
          </cell>
        </row>
        <row r="187">
          <cell r="A187">
            <v>20</v>
          </cell>
          <cell r="B187" t="str">
            <v>N17</v>
          </cell>
          <cell r="C187" t="str">
            <v>N18</v>
          </cell>
          <cell r="D187">
            <v>80</v>
          </cell>
          <cell r="E187">
            <v>4.55</v>
          </cell>
          <cell r="F187">
            <v>939</v>
          </cell>
          <cell r="G187">
            <v>948</v>
          </cell>
          <cell r="H187">
            <v>1007</v>
          </cell>
          <cell r="I187">
            <v>996.21900000000016</v>
          </cell>
          <cell r="J187">
            <v>-9</v>
          </cell>
          <cell r="K187">
            <v>68</v>
          </cell>
          <cell r="L187">
            <v>48.219000000000165</v>
          </cell>
          <cell r="M187" t="str">
            <v>75  (Ex)</v>
          </cell>
          <cell r="N187">
            <v>10</v>
          </cell>
          <cell r="O187">
            <v>57.099998474121094</v>
          </cell>
          <cell r="P187">
            <v>4.8979999999999997</v>
          </cell>
          <cell r="Q187">
            <v>43.321000000000168</v>
          </cell>
          <cell r="R187">
            <v>1.7761291986005254</v>
          </cell>
          <cell r="S187">
            <v>991.32100000000014</v>
          </cell>
          <cell r="W187" t="str">
            <v>75  (Ex)10</v>
          </cell>
          <cell r="X187">
            <v>1.9767142834646624E-2</v>
          </cell>
          <cell r="Y187">
            <v>0.99993261685460477</v>
          </cell>
          <cell r="Z187">
            <v>0.1</v>
          </cell>
          <cell r="AA187">
            <v>77417.537809108326</v>
          </cell>
        </row>
        <row r="188">
          <cell r="A188">
            <v>21</v>
          </cell>
          <cell r="B188" t="str">
            <v>N18</v>
          </cell>
          <cell r="C188" t="str">
            <v>N19</v>
          </cell>
          <cell r="D188">
            <v>80</v>
          </cell>
          <cell r="E188">
            <v>4.55</v>
          </cell>
          <cell r="F188">
            <v>948</v>
          </cell>
          <cell r="G188">
            <v>953</v>
          </cell>
          <cell r="H188">
            <v>1007</v>
          </cell>
          <cell r="I188">
            <v>991.32100000000014</v>
          </cell>
          <cell r="J188">
            <v>-5</v>
          </cell>
          <cell r="K188">
            <v>59</v>
          </cell>
          <cell r="L188">
            <v>38.32100000000014</v>
          </cell>
          <cell r="M188" t="str">
            <v>75  (Ex)</v>
          </cell>
          <cell r="N188">
            <v>6</v>
          </cell>
          <cell r="O188">
            <v>63.599998474121094</v>
          </cell>
          <cell r="P188">
            <v>2.9049999999999998</v>
          </cell>
          <cell r="Q188">
            <v>35.416000000000139</v>
          </cell>
          <cell r="R188">
            <v>1.4316357562937196</v>
          </cell>
          <cell r="S188">
            <v>988.41600000000017</v>
          </cell>
          <cell r="W188" t="str">
            <v>75  (Ex)6</v>
          </cell>
          <cell r="X188">
            <v>2.0095012202366078E-2</v>
          </cell>
          <cell r="Y188">
            <v>0.99992111487431967</v>
          </cell>
          <cell r="Z188">
            <v>0.1</v>
          </cell>
          <cell r="AA188">
            <v>69505.367874639502</v>
          </cell>
        </row>
        <row r="189">
          <cell r="A189">
            <v>22</v>
          </cell>
          <cell r="B189" t="str">
            <v>N19</v>
          </cell>
          <cell r="C189" t="str">
            <v>N20</v>
          </cell>
          <cell r="D189">
            <v>100</v>
          </cell>
          <cell r="E189">
            <v>4.55</v>
          </cell>
          <cell r="F189">
            <v>953</v>
          </cell>
          <cell r="G189">
            <v>962</v>
          </cell>
          <cell r="H189">
            <v>1007</v>
          </cell>
          <cell r="I189">
            <v>988.41600000000017</v>
          </cell>
          <cell r="J189">
            <v>-9</v>
          </cell>
          <cell r="K189">
            <v>54</v>
          </cell>
          <cell r="L189">
            <v>26.416000000000167</v>
          </cell>
          <cell r="M189" t="str">
            <v>75  (Ex)</v>
          </cell>
          <cell r="N189">
            <v>6</v>
          </cell>
          <cell r="O189">
            <v>63.599998474121094</v>
          </cell>
          <cell r="P189">
            <v>3.6309999999999998</v>
          </cell>
          <cell r="Q189">
            <v>22.785000000000167</v>
          </cell>
          <cell r="R189">
            <v>1.4316357562937196</v>
          </cell>
          <cell r="S189">
            <v>984.7850000000002</v>
          </cell>
          <cell r="W189" t="str">
            <v>75  (Ex)6</v>
          </cell>
          <cell r="X189">
            <v>2.0095012202366078E-2</v>
          </cell>
          <cell r="Y189">
            <v>0.99992111487431967</v>
          </cell>
          <cell r="Z189">
            <v>0.1</v>
          </cell>
          <cell r="AA189">
            <v>69505.367874639502</v>
          </cell>
        </row>
        <row r="190">
          <cell r="A190">
            <v>23</v>
          </cell>
          <cell r="B190" t="str">
            <v>N20</v>
          </cell>
          <cell r="C190" t="str">
            <v>N21</v>
          </cell>
          <cell r="D190">
            <v>100</v>
          </cell>
          <cell r="E190">
            <v>4.1500000000000004</v>
          </cell>
          <cell r="F190">
            <v>962</v>
          </cell>
          <cell r="G190">
            <v>966</v>
          </cell>
          <cell r="H190">
            <v>1007</v>
          </cell>
          <cell r="I190">
            <v>984.7850000000002</v>
          </cell>
          <cell r="J190">
            <v>-4</v>
          </cell>
          <cell r="K190">
            <v>45</v>
          </cell>
          <cell r="L190">
            <v>18.785000000000196</v>
          </cell>
          <cell r="M190" t="str">
            <v>75  (Ex)</v>
          </cell>
          <cell r="N190">
            <v>6</v>
          </cell>
          <cell r="O190">
            <v>57.099998474121094</v>
          </cell>
          <cell r="P190">
            <v>5.1820000000000004</v>
          </cell>
          <cell r="Q190">
            <v>13.603000000000195</v>
          </cell>
          <cell r="R190">
            <v>1.6199859723499301</v>
          </cell>
          <cell r="S190">
            <v>979.60300000000018</v>
          </cell>
          <cell r="W190" t="str">
            <v>75  (Ex)6</v>
          </cell>
          <cell r="X190">
            <v>2.011009149305194E-2</v>
          </cell>
          <cell r="Y190">
            <v>0.99998480482663543</v>
          </cell>
          <cell r="Z190">
            <v>0.1</v>
          </cell>
          <cell r="AA190">
            <v>70611.600419296621</v>
          </cell>
        </row>
        <row r="191">
          <cell r="A191">
            <v>24</v>
          </cell>
          <cell r="B191" t="str">
            <v>N21</v>
          </cell>
          <cell r="C191" t="str">
            <v>N22</v>
          </cell>
          <cell r="D191">
            <v>180</v>
          </cell>
          <cell r="E191">
            <v>3.55</v>
          </cell>
          <cell r="F191">
            <v>966</v>
          </cell>
          <cell r="G191">
            <v>963</v>
          </cell>
          <cell r="H191">
            <v>1007</v>
          </cell>
          <cell r="I191">
            <v>979.60300000000018</v>
          </cell>
          <cell r="J191">
            <v>3</v>
          </cell>
          <cell r="K191">
            <v>44</v>
          </cell>
          <cell r="L191">
            <v>16.603000000000179</v>
          </cell>
          <cell r="M191" t="str">
            <v>75  (Ex)</v>
          </cell>
          <cell r="N191">
            <v>6</v>
          </cell>
          <cell r="O191">
            <v>57.099998474121094</v>
          </cell>
          <cell r="P191">
            <v>7.032</v>
          </cell>
          <cell r="Q191">
            <v>9.5710000000001791</v>
          </cell>
          <cell r="R191">
            <v>1.3857711329740363</v>
          </cell>
          <cell r="S191">
            <v>972.57100000000014</v>
          </cell>
          <cell r="W191" t="str">
            <v>75  (Ex)6</v>
          </cell>
          <cell r="X191">
            <v>2.0718482356563223E-2</v>
          </cell>
          <cell r="Y191">
            <v>0.99998148712167412</v>
          </cell>
          <cell r="Z191">
            <v>0.1</v>
          </cell>
          <cell r="AA191">
            <v>60402.694334579028</v>
          </cell>
        </row>
        <row r="192">
          <cell r="A192">
            <v>25</v>
          </cell>
          <cell r="B192" t="str">
            <v>N22</v>
          </cell>
          <cell r="C192" t="str">
            <v>N23</v>
          </cell>
          <cell r="D192">
            <v>140</v>
          </cell>
          <cell r="E192">
            <v>3.2</v>
          </cell>
          <cell r="F192">
            <v>963</v>
          </cell>
          <cell r="G192">
            <v>957</v>
          </cell>
          <cell r="H192">
            <v>1007</v>
          </cell>
          <cell r="I192">
            <v>972.57100000000014</v>
          </cell>
          <cell r="J192">
            <v>6</v>
          </cell>
          <cell r="K192">
            <v>50</v>
          </cell>
          <cell r="L192">
            <v>15.57100000000014</v>
          </cell>
          <cell r="M192" t="str">
            <v>75  (Ex)</v>
          </cell>
          <cell r="N192">
            <v>6</v>
          </cell>
          <cell r="O192">
            <v>57.099998474121094</v>
          </cell>
          <cell r="P192">
            <v>4.5350000000000001</v>
          </cell>
          <cell r="Q192">
            <v>11.03600000000014</v>
          </cell>
          <cell r="R192">
            <v>1.2491458100047652</v>
          </cell>
          <cell r="S192">
            <v>968.03600000000017</v>
          </cell>
          <cell r="W192" t="str">
            <v>75  (Ex)6</v>
          </cell>
          <cell r="X192">
            <v>2.1144254815133066E-2</v>
          </cell>
          <cell r="Y192">
            <v>0.99997928325185015</v>
          </cell>
          <cell r="Z192">
            <v>0.1</v>
          </cell>
          <cell r="AA192">
            <v>54447.499118493775</v>
          </cell>
        </row>
        <row r="193">
          <cell r="A193">
            <v>26</v>
          </cell>
          <cell r="B193" t="str">
            <v>N23</v>
          </cell>
          <cell r="C193" t="str">
            <v>N24</v>
          </cell>
          <cell r="D193">
            <v>100</v>
          </cell>
          <cell r="E193">
            <v>3</v>
          </cell>
          <cell r="F193">
            <v>957</v>
          </cell>
          <cell r="G193">
            <v>957</v>
          </cell>
          <cell r="H193">
            <v>1007</v>
          </cell>
          <cell r="I193">
            <v>968.03600000000017</v>
          </cell>
          <cell r="J193">
            <v>0</v>
          </cell>
          <cell r="K193">
            <v>50</v>
          </cell>
          <cell r="L193">
            <v>11.036000000000172</v>
          </cell>
          <cell r="M193" t="str">
            <v>75  (Ex)</v>
          </cell>
          <cell r="N193">
            <v>6</v>
          </cell>
          <cell r="O193">
            <v>57.099998474121094</v>
          </cell>
          <cell r="P193">
            <v>2.8839999999999999</v>
          </cell>
          <cell r="Q193">
            <v>8.1520000000001716</v>
          </cell>
          <cell r="R193">
            <v>1.1710741968794673</v>
          </cell>
          <cell r="S193">
            <v>965.15200000000016</v>
          </cell>
          <cell r="W193" t="str">
            <v>75  (Ex)6</v>
          </cell>
          <cell r="X193">
            <v>2.1417885676595656E-2</v>
          </cell>
          <cell r="Y193">
            <v>0.99997790033740563</v>
          </cell>
          <cell r="Z193">
            <v>0.1</v>
          </cell>
          <cell r="AA193">
            <v>51044.530423587916</v>
          </cell>
        </row>
        <row r="194">
          <cell r="A194">
            <v>27</v>
          </cell>
          <cell r="B194" t="str">
            <v>N24</v>
          </cell>
          <cell r="C194" t="str">
            <v>N25</v>
          </cell>
          <cell r="D194">
            <v>100</v>
          </cell>
          <cell r="E194">
            <v>2.9</v>
          </cell>
          <cell r="F194">
            <v>957</v>
          </cell>
          <cell r="G194">
            <v>949</v>
          </cell>
          <cell r="H194">
            <v>1007</v>
          </cell>
          <cell r="I194">
            <v>965.15200000000016</v>
          </cell>
          <cell r="J194">
            <v>8</v>
          </cell>
          <cell r="K194">
            <v>58</v>
          </cell>
          <cell r="L194">
            <v>16.152000000000157</v>
          </cell>
          <cell r="M194" t="str">
            <v>75  (Ex)</v>
          </cell>
          <cell r="N194">
            <v>6</v>
          </cell>
          <cell r="O194">
            <v>57.099998474121094</v>
          </cell>
          <cell r="P194">
            <v>2.7130000000000001</v>
          </cell>
          <cell r="Q194">
            <v>13.439000000000156</v>
          </cell>
          <cell r="R194">
            <v>1.1320383903168185</v>
          </cell>
          <cell r="S194">
            <v>962.43900000000019</v>
          </cell>
          <cell r="W194" t="str">
            <v>75  (Ex)6</v>
          </cell>
          <cell r="X194">
            <v>2.1564411445089873E-2</v>
          </cell>
          <cell r="Y194">
            <v>0.99997716454250962</v>
          </cell>
          <cell r="Z194">
            <v>0.1</v>
          </cell>
          <cell r="AA194">
            <v>49343.046076134982</v>
          </cell>
        </row>
        <row r="195">
          <cell r="A195">
            <v>28</v>
          </cell>
          <cell r="B195" t="str">
            <v>N25</v>
          </cell>
          <cell r="C195" t="str">
            <v>N26</v>
          </cell>
          <cell r="D195">
            <v>120</v>
          </cell>
          <cell r="E195">
            <v>2.4</v>
          </cell>
          <cell r="F195">
            <v>949</v>
          </cell>
          <cell r="G195">
            <v>930</v>
          </cell>
          <cell r="H195">
            <v>1007</v>
          </cell>
          <cell r="I195">
            <v>962.43900000000019</v>
          </cell>
          <cell r="J195">
            <v>19</v>
          </cell>
          <cell r="K195">
            <v>77</v>
          </cell>
          <cell r="L195">
            <v>32.439000000000192</v>
          </cell>
          <cell r="M195" t="str">
            <v>75  (Ex)</v>
          </cell>
          <cell r="N195">
            <v>10</v>
          </cell>
          <cell r="O195">
            <v>57.099998474121094</v>
          </cell>
          <cell r="P195">
            <v>2.3149999999999999</v>
          </cell>
          <cell r="Q195">
            <v>30.124000000000191</v>
          </cell>
          <cell r="R195">
            <v>0.93685935750357385</v>
          </cell>
          <cell r="S195">
            <v>960.12400000000014</v>
          </cell>
          <cell r="W195" t="str">
            <v>75  (Ex)10</v>
          </cell>
          <cell r="X195">
            <v>2.2384518150044767E-2</v>
          </cell>
          <cell r="Y195">
            <v>0.99912053890480756</v>
          </cell>
          <cell r="Z195">
            <v>0.1</v>
          </cell>
          <cell r="AA195">
            <v>40835.62433887033</v>
          </cell>
        </row>
        <row r="196">
          <cell r="A196">
            <v>29</v>
          </cell>
          <cell r="B196" t="str">
            <v>N26</v>
          </cell>
          <cell r="C196" t="str">
            <v>N27</v>
          </cell>
          <cell r="D196">
            <v>20</v>
          </cell>
          <cell r="E196">
            <v>2.2999999999999998</v>
          </cell>
          <cell r="F196">
            <v>930</v>
          </cell>
          <cell r="G196">
            <v>925</v>
          </cell>
          <cell r="H196">
            <v>1007</v>
          </cell>
          <cell r="I196">
            <v>960.12400000000014</v>
          </cell>
          <cell r="J196">
            <v>5</v>
          </cell>
          <cell r="K196">
            <v>82</v>
          </cell>
          <cell r="L196">
            <v>35.124000000000137</v>
          </cell>
          <cell r="M196" t="str">
            <v>75  (Ex)</v>
          </cell>
          <cell r="N196">
            <v>10</v>
          </cell>
          <cell r="O196">
            <v>57.099998474121094</v>
          </cell>
          <cell r="P196">
            <v>0.35799999999999998</v>
          </cell>
          <cell r="Q196">
            <v>34.76600000000014</v>
          </cell>
          <cell r="R196">
            <v>0.89782355094092492</v>
          </cell>
          <cell r="S196">
            <v>959.76600000000019</v>
          </cell>
          <cell r="W196" t="str">
            <v>75  (Ex)10</v>
          </cell>
          <cell r="X196">
            <v>2.2585537876739302E-2</v>
          </cell>
          <cell r="Y196">
            <v>0.99912965045533764</v>
          </cell>
          <cell r="Z196">
            <v>0.1</v>
          </cell>
          <cell r="AA196">
            <v>39134.139991417404</v>
          </cell>
        </row>
        <row r="197">
          <cell r="A197">
            <v>30</v>
          </cell>
          <cell r="B197" t="str">
            <v>N27</v>
          </cell>
          <cell r="C197" t="str">
            <v>N28</v>
          </cell>
          <cell r="D197">
            <v>100</v>
          </cell>
          <cell r="E197">
            <v>2.1</v>
          </cell>
          <cell r="F197">
            <v>925</v>
          </cell>
          <cell r="G197">
            <v>924</v>
          </cell>
          <cell r="H197">
            <v>1007</v>
          </cell>
          <cell r="I197">
            <v>959.76600000000019</v>
          </cell>
          <cell r="J197">
            <v>1</v>
          </cell>
          <cell r="K197">
            <v>83</v>
          </cell>
          <cell r="L197">
            <v>35.76600000000019</v>
          </cell>
          <cell r="M197" t="str">
            <v>75  (Ex)</v>
          </cell>
          <cell r="N197">
            <v>10</v>
          </cell>
          <cell r="O197">
            <v>57.099998474121094</v>
          </cell>
          <cell r="P197">
            <v>1.5189999999999999</v>
          </cell>
          <cell r="Q197">
            <v>34.247000000000192</v>
          </cell>
          <cell r="R197">
            <v>0.81975193781562716</v>
          </cell>
          <cell r="S197">
            <v>958.24700000000018</v>
          </cell>
          <cell r="W197" t="str">
            <v>75  (Ex)10</v>
          </cell>
          <cell r="X197">
            <v>2.3027369787764766E-2</v>
          </cell>
          <cell r="Y197">
            <v>0.9991725566483638</v>
          </cell>
          <cell r="Z197">
            <v>0.1</v>
          </cell>
          <cell r="AA197">
            <v>35731.171296511544</v>
          </cell>
        </row>
        <row r="198">
          <cell r="A198">
            <v>31</v>
          </cell>
          <cell r="B198" t="str">
            <v>N28</v>
          </cell>
          <cell r="C198" t="str">
            <v>N29</v>
          </cell>
          <cell r="D198">
            <v>40</v>
          </cell>
          <cell r="E198">
            <v>2</v>
          </cell>
          <cell r="F198">
            <v>924</v>
          </cell>
          <cell r="G198">
            <v>921</v>
          </cell>
          <cell r="H198">
            <v>1007</v>
          </cell>
          <cell r="I198">
            <v>958.24700000000018</v>
          </cell>
          <cell r="J198">
            <v>3</v>
          </cell>
          <cell r="K198">
            <v>86</v>
          </cell>
          <cell r="L198">
            <v>37.247000000000185</v>
          </cell>
          <cell r="M198" t="str">
            <v>75  (Ex)</v>
          </cell>
          <cell r="N198">
            <v>10</v>
          </cell>
          <cell r="O198">
            <v>57.099998474121094</v>
          </cell>
          <cell r="P198">
            <v>0.55700000000000005</v>
          </cell>
          <cell r="Q198">
            <v>36.690000000000182</v>
          </cell>
          <cell r="R198">
            <v>0.78071613125297823</v>
          </cell>
          <cell r="S198">
            <v>957.69000000000017</v>
          </cell>
          <cell r="W198" t="str">
            <v>75  (Ex)10</v>
          </cell>
          <cell r="X198">
            <v>2.3269418107743672E-2</v>
          </cell>
          <cell r="Y198">
            <v>0.99916326928182664</v>
          </cell>
          <cell r="Z198">
            <v>0.1</v>
          </cell>
          <cell r="AA198">
            <v>34029.686949058603</v>
          </cell>
        </row>
        <row r="199">
          <cell r="A199">
            <v>32</v>
          </cell>
          <cell r="B199" t="str">
            <v>N29</v>
          </cell>
          <cell r="C199" t="str">
            <v>N30</v>
          </cell>
          <cell r="D199">
            <v>120</v>
          </cell>
          <cell r="E199">
            <v>1.7</v>
          </cell>
          <cell r="F199">
            <v>921</v>
          </cell>
          <cell r="G199">
            <v>910</v>
          </cell>
          <cell r="H199">
            <v>1007</v>
          </cell>
          <cell r="I199">
            <v>957.69000000000017</v>
          </cell>
          <cell r="J199">
            <v>11</v>
          </cell>
          <cell r="K199">
            <v>97</v>
          </cell>
          <cell r="L199">
            <v>47.690000000000168</v>
          </cell>
          <cell r="M199" t="str">
            <v>75  (Ex)</v>
          </cell>
          <cell r="N199">
            <v>10</v>
          </cell>
          <cell r="O199">
            <v>57.099998474121094</v>
          </cell>
          <cell r="P199">
            <v>1.2509999999999999</v>
          </cell>
          <cell r="Q199">
            <v>46.439000000000171</v>
          </cell>
          <cell r="R199">
            <v>0.66360871156503154</v>
          </cell>
          <cell r="S199">
            <v>956.43900000000019</v>
          </cell>
          <cell r="W199" t="str">
            <v>75  (Ex)10</v>
          </cell>
          <cell r="X199">
            <v>2.4109858398992285E-2</v>
          </cell>
          <cell r="Y199">
            <v>0.99915154953626728</v>
          </cell>
          <cell r="Z199">
            <v>0.1</v>
          </cell>
          <cell r="AA199">
            <v>28925.233906699821</v>
          </cell>
        </row>
        <row r="200">
          <cell r="A200">
            <v>33</v>
          </cell>
          <cell r="B200" t="str">
            <v>N30</v>
          </cell>
          <cell r="C200" t="str">
            <v>N31</v>
          </cell>
          <cell r="D200">
            <v>60</v>
          </cell>
          <cell r="E200">
            <v>1.7</v>
          </cell>
          <cell r="F200">
            <v>910</v>
          </cell>
          <cell r="G200">
            <v>906</v>
          </cell>
          <cell r="H200">
            <v>1007</v>
          </cell>
          <cell r="I200">
            <v>956.43900000000019</v>
          </cell>
          <cell r="J200">
            <v>4</v>
          </cell>
          <cell r="K200">
            <v>101</v>
          </cell>
          <cell r="L200">
            <v>50.439000000000192</v>
          </cell>
          <cell r="M200" t="str">
            <v>50  (Ex)</v>
          </cell>
          <cell r="N200">
            <v>10</v>
          </cell>
          <cell r="O200">
            <v>38</v>
          </cell>
          <cell r="P200">
            <v>4.2839999999999998</v>
          </cell>
          <cell r="Q200">
            <v>46.155000000000193</v>
          </cell>
          <cell r="R200">
            <v>1.4983631327121631</v>
          </cell>
          <cell r="S200">
            <v>952.1550000000002</v>
          </cell>
          <cell r="W200" t="str">
            <v>50  (Ex)10</v>
          </cell>
          <cell r="X200">
            <v>2.1553522447759502E-2</v>
          </cell>
          <cell r="Y200">
            <v>0.99984719893190421</v>
          </cell>
          <cell r="AA200">
            <v>43463.968735161987</v>
          </cell>
        </row>
        <row r="201">
          <cell r="A201">
            <v>34</v>
          </cell>
          <cell r="B201" t="str">
            <v>N31</v>
          </cell>
          <cell r="C201" t="str">
            <v>N32</v>
          </cell>
          <cell r="D201">
            <v>140</v>
          </cell>
          <cell r="E201">
            <v>1.3</v>
          </cell>
          <cell r="F201">
            <v>906</v>
          </cell>
          <cell r="G201">
            <v>905</v>
          </cell>
          <cell r="H201">
            <v>1007</v>
          </cell>
          <cell r="I201">
            <v>952.1550000000002</v>
          </cell>
          <cell r="J201">
            <v>1</v>
          </cell>
          <cell r="K201">
            <v>102</v>
          </cell>
          <cell r="L201">
            <v>47.1550000000002</v>
          </cell>
          <cell r="M201" t="str">
            <v>50  (Ex)</v>
          </cell>
          <cell r="N201">
            <v>10</v>
          </cell>
          <cell r="O201">
            <v>38</v>
          </cell>
          <cell r="P201">
            <v>6.2160000000000002</v>
          </cell>
          <cell r="Q201">
            <v>40.939000000000199</v>
          </cell>
          <cell r="R201">
            <v>1.1458071014857718</v>
          </cell>
          <cell r="S201">
            <v>945.93900000000019</v>
          </cell>
          <cell r="W201" t="str">
            <v>50  (Ex)10</v>
          </cell>
          <cell r="X201">
            <v>2.2920699378691185E-2</v>
          </cell>
          <cell r="Y201">
            <v>0.9998374909708122</v>
          </cell>
          <cell r="AA201">
            <v>33237.152562182695</v>
          </cell>
        </row>
        <row r="202">
          <cell r="A202">
            <v>35</v>
          </cell>
          <cell r="B202" t="str">
            <v>N32</v>
          </cell>
          <cell r="C202" t="str">
            <v>N33</v>
          </cell>
          <cell r="D202">
            <v>100</v>
          </cell>
          <cell r="E202">
            <v>1</v>
          </cell>
          <cell r="F202">
            <v>905</v>
          </cell>
          <cell r="G202">
            <v>908</v>
          </cell>
          <cell r="H202">
            <v>1007</v>
          </cell>
          <cell r="I202">
            <v>945.93900000000019</v>
          </cell>
          <cell r="J202">
            <v>-3</v>
          </cell>
          <cell r="K202">
            <v>102</v>
          </cell>
          <cell r="L202">
            <v>37.939000000000192</v>
          </cell>
          <cell r="M202" t="str">
            <v>50  (Ex)</v>
          </cell>
          <cell r="N202">
            <v>10</v>
          </cell>
          <cell r="O202">
            <v>38</v>
          </cell>
          <cell r="P202">
            <v>2.7949999999999999</v>
          </cell>
          <cell r="Q202">
            <v>35.14400000000019</v>
          </cell>
          <cell r="R202">
            <v>0.88139007806597836</v>
          </cell>
          <cell r="S202">
            <v>943.14400000000023</v>
          </cell>
          <cell r="W202" t="str">
            <v>50  (Ex)10</v>
          </cell>
          <cell r="X202">
            <v>2.4382315583286362E-2</v>
          </cell>
          <cell r="Y202">
            <v>0.99983186366729349</v>
          </cell>
          <cell r="AA202">
            <v>25567.040432448226</v>
          </cell>
        </row>
        <row r="203">
          <cell r="A203">
            <v>36</v>
          </cell>
          <cell r="B203" t="str">
            <v>N33</v>
          </cell>
          <cell r="C203" t="str">
            <v>N34</v>
          </cell>
          <cell r="D203">
            <v>60</v>
          </cell>
          <cell r="E203">
            <v>0.6</v>
          </cell>
          <cell r="F203">
            <v>908</v>
          </cell>
          <cell r="G203">
            <v>907</v>
          </cell>
          <cell r="H203">
            <v>1007</v>
          </cell>
          <cell r="I203">
            <v>943.14400000000023</v>
          </cell>
          <cell r="J203">
            <v>1</v>
          </cell>
          <cell r="K203">
            <v>100</v>
          </cell>
          <cell r="L203">
            <v>36.144000000000233</v>
          </cell>
          <cell r="M203">
            <v>40</v>
          </cell>
          <cell r="N203">
            <v>10</v>
          </cell>
          <cell r="O203">
            <v>30.3</v>
          </cell>
          <cell r="P203">
            <v>2.0609999999999999</v>
          </cell>
          <cell r="Q203">
            <v>34.083000000000233</v>
          </cell>
          <cell r="R203">
            <v>0.83176634495132684</v>
          </cell>
          <cell r="S203">
            <v>941.0830000000002</v>
          </cell>
          <cell r="T203" t="str">
            <v>OS</v>
          </cell>
          <cell r="W203" t="str">
            <v>4010</v>
          </cell>
          <cell r="X203">
            <v>2.6826791598190479E-2</v>
          </cell>
          <cell r="Y203">
            <v>0.99999210011431516</v>
          </cell>
          <cell r="Z203">
            <v>0.1</v>
          </cell>
          <cell r="AA203">
            <v>19238.565077881834</v>
          </cell>
        </row>
        <row r="204">
          <cell r="A204">
            <v>37</v>
          </cell>
          <cell r="B204" t="str">
            <v>N34</v>
          </cell>
          <cell r="C204" t="str">
            <v>N35</v>
          </cell>
          <cell r="D204">
            <v>130</v>
          </cell>
          <cell r="E204">
            <v>0.3</v>
          </cell>
          <cell r="F204">
            <v>907</v>
          </cell>
          <cell r="G204">
            <v>908</v>
          </cell>
          <cell r="H204">
            <v>1007</v>
          </cell>
          <cell r="I204">
            <v>941.0830000000002</v>
          </cell>
          <cell r="J204">
            <v>-1</v>
          </cell>
          <cell r="K204">
            <v>100</v>
          </cell>
          <cell r="L204">
            <v>33.083000000000197</v>
          </cell>
          <cell r="M204">
            <v>32</v>
          </cell>
          <cell r="N204">
            <v>10</v>
          </cell>
          <cell r="O204">
            <v>24.1</v>
          </cell>
          <cell r="P204">
            <v>3.9289999999999998</v>
          </cell>
          <cell r="Q204">
            <v>29.154000000000199</v>
          </cell>
          <cell r="R204">
            <v>0.65738913210547645</v>
          </cell>
          <cell r="S204">
            <v>937.15400000000022</v>
          </cell>
          <cell r="T204" t="str">
            <v>OS</v>
          </cell>
          <cell r="W204" t="str">
            <v>3210</v>
          </cell>
          <cell r="X204">
            <v>3.0062500335956997E-2</v>
          </cell>
          <cell r="Y204">
            <v>0.9997448761089659</v>
          </cell>
          <cell r="Z204">
            <v>0.1</v>
          </cell>
          <cell r="AA204">
            <v>12093.952735680903</v>
          </cell>
        </row>
        <row r="205">
          <cell r="A205">
            <v>38</v>
          </cell>
          <cell r="B205" t="str">
            <v>N35</v>
          </cell>
          <cell r="C205" t="str">
            <v>N36</v>
          </cell>
          <cell r="D205">
            <v>140</v>
          </cell>
          <cell r="E205">
            <v>0.15</v>
          </cell>
          <cell r="F205">
            <v>908</v>
          </cell>
          <cell r="G205">
            <v>870</v>
          </cell>
          <cell r="H205">
            <v>1007</v>
          </cell>
          <cell r="I205">
            <v>937.15400000000022</v>
          </cell>
          <cell r="J205">
            <v>38</v>
          </cell>
          <cell r="K205">
            <v>137</v>
          </cell>
          <cell r="L205">
            <v>67.154000000000224</v>
          </cell>
          <cell r="M205">
            <v>25</v>
          </cell>
          <cell r="N205">
            <v>10</v>
          </cell>
          <cell r="O205">
            <v>18.899999999999999</v>
          </cell>
          <cell r="P205">
            <v>3.9249999999999998</v>
          </cell>
          <cell r="Q205">
            <v>63.229000000000227</v>
          </cell>
          <cell r="R205">
            <v>0.53444497888942344</v>
          </cell>
          <cell r="S205">
            <v>933.22900000000027</v>
          </cell>
          <cell r="T205" t="str">
            <v>OS</v>
          </cell>
          <cell r="W205" t="str">
            <v>2510</v>
          </cell>
          <cell r="X205">
            <v>3.3088760697448802E-2</v>
          </cell>
          <cell r="Y205">
            <v>0.99947058117124066</v>
          </cell>
          <cell r="AA205">
            <v>7710.6947335954974</v>
          </cell>
        </row>
        <row r="207">
          <cell r="A207">
            <v>39</v>
          </cell>
          <cell r="B207" t="str">
            <v>N34</v>
          </cell>
          <cell r="C207" t="str">
            <v>N37</v>
          </cell>
          <cell r="D207">
            <v>60</v>
          </cell>
          <cell r="E207">
            <v>0.2</v>
          </cell>
          <cell r="F207">
            <v>907</v>
          </cell>
          <cell r="G207">
            <v>900</v>
          </cell>
          <cell r="H207">
            <v>1007</v>
          </cell>
          <cell r="I207">
            <v>941.0830000000002</v>
          </cell>
          <cell r="J207">
            <v>7</v>
          </cell>
          <cell r="K207">
            <v>107</v>
          </cell>
          <cell r="L207">
            <v>41.083000000000197</v>
          </cell>
          <cell r="M207">
            <v>25</v>
          </cell>
          <cell r="N207">
            <v>10</v>
          </cell>
          <cell r="O207">
            <v>18.899999999999999</v>
          </cell>
          <cell r="P207">
            <v>2.7709999999999999</v>
          </cell>
          <cell r="Q207">
            <v>38.312000000000197</v>
          </cell>
          <cell r="R207">
            <v>0.71259330518589792</v>
          </cell>
          <cell r="S207">
            <v>938.31200000000024</v>
          </cell>
          <cell r="T207" t="str">
            <v>HS</v>
          </cell>
          <cell r="W207" t="str">
            <v>2510</v>
          </cell>
          <cell r="X207">
            <v>3.0663047675930619E-2</v>
          </cell>
          <cell r="Y207">
            <v>1.0001038371794926</v>
          </cell>
          <cell r="AA207">
            <v>10280.926311460662</v>
          </cell>
        </row>
        <row r="208">
          <cell r="A208">
            <v>40</v>
          </cell>
          <cell r="B208" t="str">
            <v>N37</v>
          </cell>
          <cell r="C208" t="str">
            <v>N38</v>
          </cell>
          <cell r="D208">
            <v>80</v>
          </cell>
          <cell r="E208">
            <v>0.2</v>
          </cell>
          <cell r="F208">
            <v>900</v>
          </cell>
          <cell r="G208">
            <v>892</v>
          </cell>
          <cell r="H208">
            <v>1007</v>
          </cell>
          <cell r="I208">
            <v>938.31200000000024</v>
          </cell>
          <cell r="J208">
            <v>8</v>
          </cell>
          <cell r="K208">
            <v>115</v>
          </cell>
          <cell r="L208">
            <v>46.312000000000239</v>
          </cell>
          <cell r="M208">
            <v>25</v>
          </cell>
          <cell r="N208">
            <v>10</v>
          </cell>
          <cell r="O208">
            <v>18.899999999999999</v>
          </cell>
          <cell r="P208">
            <v>3.6920000000000002</v>
          </cell>
          <cell r="Q208">
            <v>42.620000000000239</v>
          </cell>
          <cell r="R208">
            <v>0.71259330518589792</v>
          </cell>
          <cell r="S208">
            <v>934.62000000000023</v>
          </cell>
          <cell r="T208" t="str">
            <v>OS</v>
          </cell>
          <cell r="W208" t="str">
            <v>2510</v>
          </cell>
          <cell r="X208">
            <v>3.0634725369355874E-2</v>
          </cell>
          <cell r="Y208">
            <v>0.99957160792464828</v>
          </cell>
          <cell r="AA208">
            <v>10280.926311460662</v>
          </cell>
        </row>
        <row r="209">
          <cell r="A209">
            <v>41</v>
          </cell>
          <cell r="B209" t="str">
            <v>N38</v>
          </cell>
          <cell r="C209" t="str">
            <v>N39</v>
          </cell>
          <cell r="D209">
            <v>130</v>
          </cell>
          <cell r="E209">
            <v>0.1</v>
          </cell>
          <cell r="F209">
            <v>892</v>
          </cell>
          <cell r="G209">
            <v>870</v>
          </cell>
          <cell r="H209">
            <v>1007</v>
          </cell>
          <cell r="I209">
            <v>934.62000000000023</v>
          </cell>
          <cell r="J209">
            <v>22</v>
          </cell>
          <cell r="K209">
            <v>137</v>
          </cell>
          <cell r="L209">
            <v>64.620000000000232</v>
          </cell>
          <cell r="M209">
            <v>20</v>
          </cell>
          <cell r="N209">
            <v>10</v>
          </cell>
          <cell r="O209">
            <v>14.9</v>
          </cell>
          <cell r="P209">
            <v>5.577</v>
          </cell>
          <cell r="Q209">
            <v>59.043000000000234</v>
          </cell>
          <cell r="R209">
            <v>0.57327475011363127</v>
          </cell>
          <cell r="S209">
            <v>929.04300000000023</v>
          </cell>
          <cell r="T209" t="str">
            <v>OS</v>
          </cell>
          <cell r="W209" t="str">
            <v>2010</v>
          </cell>
          <cell r="X209">
            <v>3.4690053955551955E-2</v>
          </cell>
          <cell r="Y209">
            <v>1.000067482121862</v>
          </cell>
          <cell r="AA209">
            <v>6520.4532646512262</v>
          </cell>
        </row>
        <row r="211">
          <cell r="A211">
            <v>42</v>
          </cell>
          <cell r="B211" t="str">
            <v>N33</v>
          </cell>
          <cell r="C211" t="str">
            <v>N40</v>
          </cell>
          <cell r="D211">
            <v>90</v>
          </cell>
          <cell r="E211">
            <v>0.3</v>
          </cell>
          <cell r="F211">
            <v>908</v>
          </cell>
          <cell r="G211">
            <v>900</v>
          </cell>
          <cell r="H211">
            <v>1007</v>
          </cell>
          <cell r="I211">
            <v>943.14400000000023</v>
          </cell>
          <cell r="J211">
            <v>8</v>
          </cell>
          <cell r="K211">
            <v>107</v>
          </cell>
          <cell r="L211">
            <v>43.144000000000233</v>
          </cell>
          <cell r="M211">
            <v>32</v>
          </cell>
          <cell r="N211">
            <v>10</v>
          </cell>
          <cell r="O211">
            <v>24.1</v>
          </cell>
          <cell r="P211">
            <v>2.6589999999999998</v>
          </cell>
          <cell r="Q211">
            <v>40.485000000000234</v>
          </cell>
          <cell r="R211">
            <v>0.65738913210547645</v>
          </cell>
          <cell r="S211">
            <v>940.48500000000024</v>
          </cell>
          <cell r="T211" t="str">
            <v>OS</v>
          </cell>
          <cell r="W211" t="str">
            <v>3210</v>
          </cell>
          <cell r="X211">
            <v>2.9382860706079986E-2</v>
          </cell>
          <cell r="Y211">
            <v>1.0000109732328837</v>
          </cell>
          <cell r="AA211">
            <v>12093.952735680903</v>
          </cell>
        </row>
        <row r="212">
          <cell r="A212">
            <v>43</v>
          </cell>
          <cell r="B212" t="str">
            <v>N40</v>
          </cell>
          <cell r="C212" t="str">
            <v>N41</v>
          </cell>
          <cell r="D212">
            <v>50</v>
          </cell>
          <cell r="E212">
            <v>0.2</v>
          </cell>
          <cell r="F212">
            <v>900</v>
          </cell>
          <cell r="G212">
            <v>889</v>
          </cell>
          <cell r="H212">
            <v>1007</v>
          </cell>
          <cell r="I212">
            <v>940.48500000000024</v>
          </cell>
          <cell r="J212">
            <v>11</v>
          </cell>
          <cell r="K212">
            <v>118</v>
          </cell>
          <cell r="L212">
            <v>51.485000000000241</v>
          </cell>
          <cell r="M212">
            <v>25</v>
          </cell>
          <cell r="N212">
            <v>10</v>
          </cell>
          <cell r="O212">
            <v>18.899999999999999</v>
          </cell>
          <cell r="P212">
            <v>2.3069999999999999</v>
          </cell>
          <cell r="Q212">
            <v>49.178000000000239</v>
          </cell>
          <cell r="R212">
            <v>0.71259330518589792</v>
          </cell>
          <cell r="S212">
            <v>938.17800000000022</v>
          </cell>
          <cell r="T212" t="str">
            <v>OS</v>
          </cell>
          <cell r="W212" t="str">
            <v>2510</v>
          </cell>
          <cell r="X212">
            <v>3.0634725369355874E-2</v>
          </cell>
          <cell r="Y212">
            <v>0.99957160792464828</v>
          </cell>
          <cell r="AA212">
            <v>10280.926311460662</v>
          </cell>
        </row>
        <row r="213">
          <cell r="A213">
            <v>44</v>
          </cell>
          <cell r="B213" t="str">
            <v>N41</v>
          </cell>
          <cell r="C213" t="str">
            <v>N42</v>
          </cell>
          <cell r="D213">
            <v>250</v>
          </cell>
          <cell r="E213">
            <v>0.1</v>
          </cell>
          <cell r="F213">
            <v>889</v>
          </cell>
          <cell r="G213">
            <v>864</v>
          </cell>
          <cell r="H213">
            <v>1007</v>
          </cell>
          <cell r="I213">
            <v>938.17800000000022</v>
          </cell>
          <cell r="J213">
            <v>25</v>
          </cell>
          <cell r="K213">
            <v>143</v>
          </cell>
          <cell r="L213">
            <v>74.178000000000225</v>
          </cell>
          <cell r="M213">
            <v>20</v>
          </cell>
          <cell r="N213">
            <v>10</v>
          </cell>
          <cell r="O213">
            <v>14.9</v>
          </cell>
          <cell r="P213">
            <v>10.725</v>
          </cell>
          <cell r="Q213">
            <v>63.453000000000223</v>
          </cell>
          <cell r="R213">
            <v>0.57327475011363127</v>
          </cell>
          <cell r="S213">
            <v>927.4530000000002</v>
          </cell>
          <cell r="T213" t="str">
            <v>OS</v>
          </cell>
          <cell r="W213" t="str">
            <v>2010</v>
          </cell>
          <cell r="X213">
            <v>3.4690053955551955E-2</v>
          </cell>
          <cell r="Y213">
            <v>1.000067482121862</v>
          </cell>
          <cell r="AA213">
            <v>6520.4532646512262</v>
          </cell>
        </row>
        <row r="215">
          <cell r="A215">
            <v>45</v>
          </cell>
          <cell r="B215" t="str">
            <v>N32</v>
          </cell>
          <cell r="C215" t="str">
            <v>N43</v>
          </cell>
          <cell r="D215">
            <v>90</v>
          </cell>
          <cell r="E215">
            <v>0.2</v>
          </cell>
          <cell r="F215">
            <v>905</v>
          </cell>
          <cell r="G215">
            <v>892</v>
          </cell>
          <cell r="H215">
            <v>1007</v>
          </cell>
          <cell r="I215">
            <v>945.93900000000019</v>
          </cell>
          <cell r="J215">
            <v>13</v>
          </cell>
          <cell r="K215">
            <v>115</v>
          </cell>
          <cell r="L215">
            <v>53.939000000000192</v>
          </cell>
          <cell r="M215">
            <v>25</v>
          </cell>
          <cell r="N215">
            <v>10</v>
          </cell>
          <cell r="O215">
            <v>18.899999999999999</v>
          </cell>
          <cell r="P215">
            <v>4.157</v>
          </cell>
          <cell r="Q215">
            <v>49.782000000000195</v>
          </cell>
          <cell r="R215">
            <v>0.71259330518589792</v>
          </cell>
          <cell r="S215">
            <v>941.78200000000015</v>
          </cell>
          <cell r="T215" t="str">
            <v>OS</v>
          </cell>
          <cell r="W215" t="str">
            <v>2510</v>
          </cell>
          <cell r="X215">
            <v>3.0663047675930619E-2</v>
          </cell>
          <cell r="Y215">
            <v>1.0001038371794926</v>
          </cell>
          <cell r="AA215">
            <v>10280.926311460662</v>
          </cell>
        </row>
        <row r="216">
          <cell r="A216">
            <v>46</v>
          </cell>
          <cell r="B216" t="str">
            <v>N43</v>
          </cell>
          <cell r="C216" t="str">
            <v>N44</v>
          </cell>
          <cell r="D216">
            <v>180</v>
          </cell>
          <cell r="E216">
            <v>0.1</v>
          </cell>
          <cell r="F216">
            <v>892</v>
          </cell>
          <cell r="G216">
            <v>871</v>
          </cell>
          <cell r="H216">
            <v>1007</v>
          </cell>
          <cell r="I216">
            <v>941.78200000000015</v>
          </cell>
          <cell r="J216">
            <v>21</v>
          </cell>
          <cell r="K216">
            <v>136</v>
          </cell>
          <cell r="L216">
            <v>70.782000000000153</v>
          </cell>
          <cell r="M216">
            <v>20</v>
          </cell>
          <cell r="N216">
            <v>10</v>
          </cell>
          <cell r="O216">
            <v>14.9</v>
          </cell>
          <cell r="P216">
            <v>7.7220000000000004</v>
          </cell>
          <cell r="Q216">
            <v>63.060000000000151</v>
          </cell>
          <cell r="R216">
            <v>0.57327475011363127</v>
          </cell>
          <cell r="S216">
            <v>934.06000000000017</v>
          </cell>
          <cell r="T216" t="str">
            <v>OS</v>
          </cell>
          <cell r="W216" t="str">
            <v>2010</v>
          </cell>
          <cell r="X216">
            <v>3.4690053955551955E-2</v>
          </cell>
          <cell r="Y216">
            <v>1.000067482121862</v>
          </cell>
          <cell r="AA216">
            <v>6520.4532646512262</v>
          </cell>
        </row>
        <row r="218">
          <cell r="A218">
            <v>47</v>
          </cell>
          <cell r="B218" t="str">
            <v>N31</v>
          </cell>
          <cell r="C218" t="str">
            <v>N45</v>
          </cell>
          <cell r="D218">
            <v>80</v>
          </cell>
          <cell r="E218">
            <v>0.4</v>
          </cell>
          <cell r="F218">
            <v>906</v>
          </cell>
          <cell r="G218">
            <v>885</v>
          </cell>
          <cell r="H218">
            <v>1007</v>
          </cell>
          <cell r="I218">
            <v>952.1550000000002</v>
          </cell>
          <cell r="J218">
            <v>21</v>
          </cell>
          <cell r="K218">
            <v>122</v>
          </cell>
          <cell r="L218">
            <v>67.1550000000002</v>
          </cell>
          <cell r="M218">
            <v>32</v>
          </cell>
          <cell r="N218">
            <v>10</v>
          </cell>
          <cell r="O218">
            <v>24.1</v>
          </cell>
          <cell r="P218">
            <v>3.8980000000000001</v>
          </cell>
          <cell r="Q218">
            <v>63.257000000000197</v>
          </cell>
          <cell r="R218">
            <v>0.87651884280730197</v>
          </cell>
          <cell r="S218">
            <v>948.25700000000018</v>
          </cell>
          <cell r="T218" t="str">
            <v>OS</v>
          </cell>
          <cell r="W218" t="str">
            <v>3210</v>
          </cell>
          <cell r="X218">
            <v>2.7262606182237994E-2</v>
          </cell>
          <cell r="Y218">
            <v>0.99914294848976337</v>
          </cell>
          <cell r="AA218">
            <v>16125.270314241205</v>
          </cell>
        </row>
        <row r="219">
          <cell r="A219">
            <v>48</v>
          </cell>
          <cell r="B219" t="str">
            <v>N45</v>
          </cell>
          <cell r="C219" t="str">
            <v>N46</v>
          </cell>
          <cell r="D219">
            <v>70</v>
          </cell>
          <cell r="E219">
            <v>0.3</v>
          </cell>
          <cell r="F219">
            <v>885</v>
          </cell>
          <cell r="G219">
            <v>872</v>
          </cell>
          <cell r="H219">
            <v>1007</v>
          </cell>
          <cell r="I219">
            <v>948.25700000000018</v>
          </cell>
          <cell r="J219">
            <v>13</v>
          </cell>
          <cell r="K219">
            <v>135</v>
          </cell>
          <cell r="L219">
            <v>76.257000000000176</v>
          </cell>
          <cell r="M219">
            <v>32</v>
          </cell>
          <cell r="N219">
            <v>10</v>
          </cell>
          <cell r="O219">
            <v>24.1</v>
          </cell>
          <cell r="P219">
            <v>2.0659999999999998</v>
          </cell>
          <cell r="Q219">
            <v>74.191000000000173</v>
          </cell>
          <cell r="R219">
            <v>0.65738913210547645</v>
          </cell>
          <cell r="S219">
            <v>946.19100000000014</v>
          </cell>
          <cell r="T219" t="str">
            <v>OS</v>
          </cell>
          <cell r="W219" t="str">
            <v>3210</v>
          </cell>
          <cell r="X219">
            <v>2.935237293740418E-2</v>
          </cell>
          <cell r="Y219">
            <v>0.9994147873090794</v>
          </cell>
          <cell r="AA219">
            <v>12093.952735680903</v>
          </cell>
        </row>
        <row r="220">
          <cell r="A220">
            <v>49</v>
          </cell>
          <cell r="B220" t="str">
            <v>N46</v>
          </cell>
          <cell r="C220" t="str">
            <v>N47</v>
          </cell>
          <cell r="D220">
            <v>120</v>
          </cell>
          <cell r="E220">
            <v>0.2</v>
          </cell>
          <cell r="F220">
            <v>872</v>
          </cell>
          <cell r="G220">
            <v>863</v>
          </cell>
          <cell r="H220">
            <v>1007</v>
          </cell>
          <cell r="I220">
            <v>946.19100000000014</v>
          </cell>
          <cell r="J220">
            <v>9</v>
          </cell>
          <cell r="K220">
            <v>144</v>
          </cell>
          <cell r="L220">
            <v>83.191000000000145</v>
          </cell>
          <cell r="M220">
            <v>25</v>
          </cell>
          <cell r="N220">
            <v>10</v>
          </cell>
          <cell r="O220">
            <v>18.899999999999999</v>
          </cell>
          <cell r="P220">
            <v>5.5369999999999999</v>
          </cell>
          <cell r="Q220">
            <v>77.654000000000138</v>
          </cell>
          <cell r="R220">
            <v>0.71259330518589792</v>
          </cell>
          <cell r="S220">
            <v>940.65400000000011</v>
          </cell>
          <cell r="T220" t="str">
            <v>OS</v>
          </cell>
          <cell r="W220" t="str">
            <v>2510</v>
          </cell>
          <cell r="X220">
            <v>3.0634725369355874E-2</v>
          </cell>
          <cell r="Y220">
            <v>0.99957160792464828</v>
          </cell>
          <cell r="AA220">
            <v>10280.926311460662</v>
          </cell>
        </row>
        <row r="221">
          <cell r="A221">
            <v>50</v>
          </cell>
          <cell r="B221" t="str">
            <v>N47</v>
          </cell>
          <cell r="C221" t="str">
            <v>N48</v>
          </cell>
          <cell r="D221">
            <v>100</v>
          </cell>
          <cell r="E221">
            <v>0.1</v>
          </cell>
          <cell r="F221">
            <v>863</v>
          </cell>
          <cell r="G221">
            <v>836</v>
          </cell>
          <cell r="H221">
            <v>1007</v>
          </cell>
          <cell r="I221">
            <v>940.65400000000011</v>
          </cell>
          <cell r="J221">
            <v>27</v>
          </cell>
          <cell r="K221">
            <v>171</v>
          </cell>
          <cell r="L221">
            <v>104.65400000000011</v>
          </cell>
          <cell r="M221">
            <v>20</v>
          </cell>
          <cell r="N221">
            <v>10</v>
          </cell>
          <cell r="O221">
            <v>14.9</v>
          </cell>
          <cell r="P221">
            <v>4.29</v>
          </cell>
          <cell r="Q221">
            <v>100.3640000000001</v>
          </cell>
          <cell r="R221">
            <v>0.57327475011363127</v>
          </cell>
          <cell r="S221">
            <v>936.36400000000015</v>
          </cell>
          <cell r="T221" t="str">
            <v>OS</v>
          </cell>
          <cell r="W221" t="str">
            <v>2010</v>
          </cell>
          <cell r="X221">
            <v>3.4690053955551955E-2</v>
          </cell>
          <cell r="Y221">
            <v>1.000067482121862</v>
          </cell>
          <cell r="AA221">
            <v>6520.4532646512262</v>
          </cell>
        </row>
        <row r="223">
          <cell r="A223">
            <v>51</v>
          </cell>
          <cell r="B223" t="str">
            <v>N46</v>
          </cell>
          <cell r="C223" t="str">
            <v>N49</v>
          </cell>
          <cell r="D223">
            <v>70</v>
          </cell>
          <cell r="E223">
            <v>0.2</v>
          </cell>
          <cell r="F223">
            <v>872</v>
          </cell>
          <cell r="G223">
            <v>872</v>
          </cell>
          <cell r="H223">
            <v>1007</v>
          </cell>
          <cell r="I223">
            <v>946.19100000000014</v>
          </cell>
          <cell r="J223">
            <v>0</v>
          </cell>
          <cell r="K223">
            <v>135</v>
          </cell>
          <cell r="L223">
            <v>74.191000000000145</v>
          </cell>
          <cell r="M223">
            <v>25</v>
          </cell>
          <cell r="N223">
            <v>10</v>
          </cell>
          <cell r="O223">
            <v>18.899999999999999</v>
          </cell>
          <cell r="P223">
            <v>3.2330000000000001</v>
          </cell>
          <cell r="Q223">
            <v>70.958000000000141</v>
          </cell>
          <cell r="R223">
            <v>0.71259330518589792</v>
          </cell>
          <cell r="S223">
            <v>942.9580000000002</v>
          </cell>
          <cell r="T223" t="str">
            <v>OS</v>
          </cell>
          <cell r="W223" t="str">
            <v>2510</v>
          </cell>
          <cell r="X223">
            <v>3.0663047675930619E-2</v>
          </cell>
          <cell r="Y223">
            <v>1.0001038371794926</v>
          </cell>
          <cell r="AA223">
            <v>10280.926311460662</v>
          </cell>
        </row>
        <row r="224">
          <cell r="A224">
            <v>52</v>
          </cell>
          <cell r="B224" t="str">
            <v>N49</v>
          </cell>
          <cell r="C224" t="str">
            <v>N50</v>
          </cell>
          <cell r="D224">
            <v>50</v>
          </cell>
          <cell r="E224">
            <v>0.1</v>
          </cell>
          <cell r="F224">
            <v>872</v>
          </cell>
          <cell r="G224">
            <v>867</v>
          </cell>
          <cell r="H224">
            <v>1007</v>
          </cell>
          <cell r="I224">
            <v>942.9580000000002</v>
          </cell>
          <cell r="J224">
            <v>5</v>
          </cell>
          <cell r="K224">
            <v>140</v>
          </cell>
          <cell r="L224">
            <v>75.958000000000197</v>
          </cell>
          <cell r="M224">
            <v>20</v>
          </cell>
          <cell r="N224">
            <v>10</v>
          </cell>
          <cell r="O224">
            <v>14.9</v>
          </cell>
          <cell r="P224">
            <v>2.145</v>
          </cell>
          <cell r="Q224">
            <v>73.813000000000201</v>
          </cell>
          <cell r="R224">
            <v>0.57327475011363127</v>
          </cell>
          <cell r="S224">
            <v>940.81300000000022</v>
          </cell>
          <cell r="T224" t="str">
            <v>OS</v>
          </cell>
          <cell r="W224" t="str">
            <v>2010</v>
          </cell>
          <cell r="X224">
            <v>3.4690053955551955E-2</v>
          </cell>
          <cell r="Y224">
            <v>1.000067482121862</v>
          </cell>
          <cell r="AA224">
            <v>6520.4532646512262</v>
          </cell>
        </row>
        <row r="226">
          <cell r="A226">
            <v>53</v>
          </cell>
          <cell r="B226" t="str">
            <v>N45</v>
          </cell>
          <cell r="C226" t="str">
            <v>N51</v>
          </cell>
          <cell r="D226">
            <v>50</v>
          </cell>
          <cell r="E226">
            <v>0.1</v>
          </cell>
          <cell r="F226">
            <v>885</v>
          </cell>
          <cell r="G226">
            <v>878</v>
          </cell>
          <cell r="H226">
            <v>1007</v>
          </cell>
          <cell r="I226">
            <v>948.25700000000018</v>
          </cell>
          <cell r="J226">
            <v>7</v>
          </cell>
          <cell r="K226">
            <v>129</v>
          </cell>
          <cell r="L226">
            <v>70.257000000000176</v>
          </cell>
          <cell r="M226">
            <v>20</v>
          </cell>
          <cell r="N226">
            <v>10</v>
          </cell>
          <cell r="O226">
            <v>14.9</v>
          </cell>
          <cell r="P226">
            <v>2.1459999999999999</v>
          </cell>
          <cell r="Q226">
            <v>68.111000000000175</v>
          </cell>
          <cell r="R226">
            <v>0.57327475011363127</v>
          </cell>
          <cell r="S226">
            <v>946.11100000000022</v>
          </cell>
          <cell r="T226" t="str">
            <v>OS</v>
          </cell>
          <cell r="W226" t="str">
            <v>2010</v>
          </cell>
          <cell r="X226">
            <v>3.4713334992990598E-2</v>
          </cell>
          <cell r="Y226">
            <v>1.0004572918347221</v>
          </cell>
          <cell r="AA226">
            <v>6520.4532646512262</v>
          </cell>
        </row>
        <row r="228">
          <cell r="A228">
            <v>54</v>
          </cell>
          <cell r="B228" t="str">
            <v>N29</v>
          </cell>
          <cell r="C228" t="str">
            <v>N52</v>
          </cell>
          <cell r="D228">
            <v>160</v>
          </cell>
          <cell r="E228">
            <v>0.3</v>
          </cell>
          <cell r="F228">
            <v>921</v>
          </cell>
          <cell r="G228">
            <v>906</v>
          </cell>
          <cell r="H228">
            <v>1007</v>
          </cell>
          <cell r="I228">
            <v>957.69000000000017</v>
          </cell>
          <cell r="J228">
            <v>15</v>
          </cell>
          <cell r="K228">
            <v>101</v>
          </cell>
          <cell r="L228">
            <v>51.690000000000168</v>
          </cell>
          <cell r="M228">
            <v>32</v>
          </cell>
          <cell r="N228">
            <v>10</v>
          </cell>
          <cell r="O228">
            <v>24.1</v>
          </cell>
          <cell r="P228">
            <v>4.726</v>
          </cell>
          <cell r="Q228">
            <v>46.964000000000169</v>
          </cell>
          <cell r="R228">
            <v>0.65738913210547645</v>
          </cell>
          <cell r="S228">
            <v>952.96400000000017</v>
          </cell>
          <cell r="T228" t="str">
            <v>OS</v>
          </cell>
          <cell r="W228" t="str">
            <v>3210</v>
          </cell>
          <cell r="X228">
            <v>2.9382860706079986E-2</v>
          </cell>
          <cell r="Y228">
            <v>1.0000109732328837</v>
          </cell>
          <cell r="AA228">
            <v>12093.952735680903</v>
          </cell>
        </row>
        <row r="229">
          <cell r="A229">
            <v>55</v>
          </cell>
          <cell r="B229" t="str">
            <v>N52</v>
          </cell>
          <cell r="C229" t="str">
            <v>N53</v>
          </cell>
          <cell r="D229">
            <v>110</v>
          </cell>
          <cell r="E229">
            <v>0.3</v>
          </cell>
          <cell r="F229">
            <v>906</v>
          </cell>
          <cell r="G229">
            <v>893</v>
          </cell>
          <cell r="H229">
            <v>1007</v>
          </cell>
          <cell r="I229">
            <v>952.96400000000017</v>
          </cell>
          <cell r="J229">
            <v>13</v>
          </cell>
          <cell r="K229">
            <v>114</v>
          </cell>
          <cell r="L229">
            <v>59.964000000000169</v>
          </cell>
          <cell r="M229">
            <v>32</v>
          </cell>
          <cell r="N229">
            <v>10</v>
          </cell>
          <cell r="O229">
            <v>24.1</v>
          </cell>
          <cell r="P229">
            <v>3.246</v>
          </cell>
          <cell r="Q229">
            <v>56.718000000000167</v>
          </cell>
          <cell r="R229">
            <v>0.65738913210547645</v>
          </cell>
          <cell r="S229">
            <v>949.71800000000019</v>
          </cell>
          <cell r="T229" t="str">
            <v>OS</v>
          </cell>
          <cell r="W229" t="str">
            <v>3210</v>
          </cell>
          <cell r="X229">
            <v>2.935237293740418E-2</v>
          </cell>
          <cell r="Y229">
            <v>0.9994147873090794</v>
          </cell>
          <cell r="AA229">
            <v>12093.952735680903</v>
          </cell>
        </row>
        <row r="230">
          <cell r="A230">
            <v>56</v>
          </cell>
          <cell r="B230" t="str">
            <v>N53</v>
          </cell>
          <cell r="C230" t="str">
            <v>N54</v>
          </cell>
          <cell r="D230">
            <v>80</v>
          </cell>
          <cell r="E230">
            <v>0.2</v>
          </cell>
          <cell r="F230">
            <v>893</v>
          </cell>
          <cell r="G230">
            <v>882</v>
          </cell>
          <cell r="H230">
            <v>1007</v>
          </cell>
          <cell r="I230">
            <v>949.71800000000019</v>
          </cell>
          <cell r="J230">
            <v>11</v>
          </cell>
          <cell r="K230">
            <v>125</v>
          </cell>
          <cell r="L230">
            <v>67.718000000000188</v>
          </cell>
          <cell r="M230">
            <v>25</v>
          </cell>
          <cell r="N230">
            <v>10</v>
          </cell>
          <cell r="O230">
            <v>18.899999999999999</v>
          </cell>
          <cell r="P230">
            <v>3.6920000000000002</v>
          </cell>
          <cell r="Q230">
            <v>64.026000000000181</v>
          </cell>
          <cell r="R230">
            <v>0.71259330518589792</v>
          </cell>
          <cell r="S230">
            <v>946.02600000000018</v>
          </cell>
          <cell r="T230" t="str">
            <v>OS</v>
          </cell>
          <cell r="W230" t="str">
            <v>2510</v>
          </cell>
          <cell r="X230">
            <v>3.0634725369355874E-2</v>
          </cell>
          <cell r="Y230">
            <v>0.99957160792464828</v>
          </cell>
          <cell r="AA230">
            <v>10280.926311460662</v>
          </cell>
        </row>
        <row r="231">
          <cell r="A231">
            <v>57</v>
          </cell>
          <cell r="B231" t="str">
            <v>N54</v>
          </cell>
          <cell r="C231" t="str">
            <v>N55</v>
          </cell>
          <cell r="D231">
            <v>310</v>
          </cell>
          <cell r="E231">
            <v>0.1</v>
          </cell>
          <cell r="F231">
            <v>882</v>
          </cell>
          <cell r="G231">
            <v>869</v>
          </cell>
          <cell r="H231">
            <v>1007</v>
          </cell>
          <cell r="I231">
            <v>946.02600000000018</v>
          </cell>
          <cell r="J231">
            <v>13</v>
          </cell>
          <cell r="K231">
            <v>138</v>
          </cell>
          <cell r="L231">
            <v>77.026000000000181</v>
          </cell>
          <cell r="M231">
            <v>20</v>
          </cell>
          <cell r="N231">
            <v>10</v>
          </cell>
          <cell r="O231">
            <v>14.9</v>
          </cell>
          <cell r="P231">
            <v>13.298</v>
          </cell>
          <cell r="Q231">
            <v>63.728000000000179</v>
          </cell>
          <cell r="R231">
            <v>0.57327475011363127</v>
          </cell>
          <cell r="S231">
            <v>932.72800000000018</v>
          </cell>
          <cell r="T231" t="str">
            <v>OS</v>
          </cell>
          <cell r="W231" t="str">
            <v>2010</v>
          </cell>
          <cell r="X231">
            <v>3.4690053955551955E-2</v>
          </cell>
          <cell r="Y231">
            <v>1.000067482121862</v>
          </cell>
          <cell r="AA231">
            <v>6520.4532646512262</v>
          </cell>
        </row>
        <row r="233">
          <cell r="A233">
            <v>58</v>
          </cell>
          <cell r="B233" t="str">
            <v>N27</v>
          </cell>
          <cell r="C233" t="str">
            <v>N56</v>
          </cell>
          <cell r="D233">
            <v>110</v>
          </cell>
          <cell r="E233">
            <v>0.1</v>
          </cell>
          <cell r="F233">
            <v>925</v>
          </cell>
          <cell r="G233">
            <v>912</v>
          </cell>
          <cell r="H233">
            <v>1007</v>
          </cell>
          <cell r="I233">
            <v>959.76600000000019</v>
          </cell>
          <cell r="J233">
            <v>13</v>
          </cell>
          <cell r="K233">
            <v>95</v>
          </cell>
          <cell r="L233">
            <v>47.76600000000019</v>
          </cell>
          <cell r="M233">
            <v>20</v>
          </cell>
          <cell r="N233">
            <v>10</v>
          </cell>
          <cell r="O233">
            <v>14.9</v>
          </cell>
          <cell r="P233">
            <v>4.835</v>
          </cell>
          <cell r="Q233">
            <v>42.931000000000189</v>
          </cell>
          <cell r="R233">
            <v>0.57327475011363127</v>
          </cell>
          <cell r="S233">
            <v>954.93100000000015</v>
          </cell>
          <cell r="T233" t="str">
            <v>OS</v>
          </cell>
          <cell r="W233" t="str">
            <v>2010</v>
          </cell>
          <cell r="X233">
            <v>3.5543001662657336E-2</v>
          </cell>
          <cell r="Y233">
            <v>1.0003392134008497</v>
          </cell>
          <cell r="Z233">
            <v>0.1</v>
          </cell>
          <cell r="AA233">
            <v>6520.4532646512262</v>
          </cell>
        </row>
        <row r="235">
          <cell r="A235">
            <v>59</v>
          </cell>
          <cell r="B235" t="str">
            <v>N25</v>
          </cell>
          <cell r="C235" t="str">
            <v>N57</v>
          </cell>
          <cell r="D235">
            <v>210</v>
          </cell>
          <cell r="E235">
            <v>0.4</v>
          </cell>
          <cell r="F235">
            <v>949</v>
          </cell>
          <cell r="G235">
            <v>924</v>
          </cell>
          <cell r="H235">
            <v>1007</v>
          </cell>
          <cell r="I235">
            <v>962.43900000000019</v>
          </cell>
          <cell r="J235">
            <v>25</v>
          </cell>
          <cell r="K235">
            <v>83</v>
          </cell>
          <cell r="L235">
            <v>38.439000000000192</v>
          </cell>
          <cell r="M235">
            <v>40</v>
          </cell>
          <cell r="N235">
            <v>10</v>
          </cell>
          <cell r="O235">
            <v>30.3</v>
          </cell>
          <cell r="P235">
            <v>3.5209999999999999</v>
          </cell>
          <cell r="Q235">
            <v>34.918000000000191</v>
          </cell>
          <cell r="R235">
            <v>0.55451089663421793</v>
          </cell>
          <cell r="S235">
            <v>958.91800000000023</v>
          </cell>
          <cell r="T235" t="str">
            <v>OS</v>
          </cell>
          <cell r="W235" t="str">
            <v>4010</v>
          </cell>
          <cell r="X235">
            <v>2.9468829577005244E-2</v>
          </cell>
          <cell r="Y235">
            <v>0.99921748238515939</v>
          </cell>
          <cell r="Z235">
            <v>0.1</v>
          </cell>
          <cell r="AA235">
            <v>12825.710051921225</v>
          </cell>
        </row>
        <row r="236">
          <cell r="A236">
            <v>60</v>
          </cell>
          <cell r="B236" t="str">
            <v>N57</v>
          </cell>
          <cell r="C236" t="str">
            <v>N58</v>
          </cell>
          <cell r="D236">
            <v>80</v>
          </cell>
          <cell r="E236">
            <v>0.3</v>
          </cell>
          <cell r="F236">
            <v>924</v>
          </cell>
          <cell r="G236">
            <v>915</v>
          </cell>
          <cell r="H236">
            <v>1007</v>
          </cell>
          <cell r="I236">
            <v>958.91800000000023</v>
          </cell>
          <cell r="J236">
            <v>9</v>
          </cell>
          <cell r="K236">
            <v>92</v>
          </cell>
          <cell r="L236">
            <v>43.918000000000234</v>
          </cell>
          <cell r="M236">
            <v>32</v>
          </cell>
          <cell r="N236">
            <v>10</v>
          </cell>
          <cell r="O236">
            <v>24.1</v>
          </cell>
          <cell r="P236">
            <v>2.4180000000000001</v>
          </cell>
          <cell r="Q236">
            <v>41.500000000000234</v>
          </cell>
          <cell r="R236">
            <v>0.65738913210547645</v>
          </cell>
          <cell r="S236">
            <v>956.50000000000023</v>
          </cell>
          <cell r="T236" t="str">
            <v>OS</v>
          </cell>
          <cell r="W236" t="str">
            <v>3210</v>
          </cell>
          <cell r="X236">
            <v>3.0062835714980231E-2</v>
          </cell>
          <cell r="Y236">
            <v>0.99975122079262335</v>
          </cell>
          <cell r="Z236">
            <v>0.1</v>
          </cell>
          <cell r="AA236">
            <v>12093.952735680903</v>
          </cell>
        </row>
        <row r="237">
          <cell r="A237">
            <v>61</v>
          </cell>
          <cell r="B237" t="str">
            <v>N58</v>
          </cell>
          <cell r="C237" t="str">
            <v>N59</v>
          </cell>
          <cell r="D237">
            <v>60</v>
          </cell>
          <cell r="E237">
            <v>0.2</v>
          </cell>
          <cell r="F237">
            <v>915</v>
          </cell>
          <cell r="G237">
            <v>906</v>
          </cell>
          <cell r="H237">
            <v>1007</v>
          </cell>
          <cell r="I237">
            <v>956.50000000000023</v>
          </cell>
          <cell r="J237">
            <v>9</v>
          </cell>
          <cell r="K237">
            <v>101</v>
          </cell>
          <cell r="L237">
            <v>50.500000000000227</v>
          </cell>
          <cell r="M237">
            <v>25</v>
          </cell>
          <cell r="N237">
            <v>10</v>
          </cell>
          <cell r="O237">
            <v>18.899999999999999</v>
          </cell>
          <cell r="P237">
            <v>2.7690000000000001</v>
          </cell>
          <cell r="Q237">
            <v>47.731000000000229</v>
          </cell>
          <cell r="R237">
            <v>0.71259330518589792</v>
          </cell>
          <cell r="S237">
            <v>953.73100000000022</v>
          </cell>
          <cell r="T237" t="str">
            <v>OS</v>
          </cell>
          <cell r="W237" t="str">
            <v>2510</v>
          </cell>
          <cell r="X237">
            <v>3.0634725369355874E-2</v>
          </cell>
          <cell r="Y237">
            <v>0.99957160792464828</v>
          </cell>
          <cell r="AA237">
            <v>10280.926311460662</v>
          </cell>
        </row>
        <row r="238">
          <cell r="A238">
            <v>62</v>
          </cell>
          <cell r="B238" t="str">
            <v>N59</v>
          </cell>
          <cell r="C238" t="str">
            <v>N60</v>
          </cell>
          <cell r="D238">
            <v>90</v>
          </cell>
          <cell r="E238">
            <v>0.1</v>
          </cell>
          <cell r="F238">
            <v>906</v>
          </cell>
          <cell r="G238">
            <v>893</v>
          </cell>
          <cell r="H238">
            <v>1007</v>
          </cell>
          <cell r="I238">
            <v>953.73100000000022</v>
          </cell>
          <cell r="J238">
            <v>13</v>
          </cell>
          <cell r="K238">
            <v>114</v>
          </cell>
          <cell r="L238">
            <v>60.731000000000222</v>
          </cell>
          <cell r="M238">
            <v>20</v>
          </cell>
          <cell r="N238">
            <v>10</v>
          </cell>
          <cell r="O238">
            <v>14.9</v>
          </cell>
          <cell r="P238">
            <v>3.8610000000000002</v>
          </cell>
          <cell r="Q238">
            <v>56.870000000000225</v>
          </cell>
          <cell r="R238">
            <v>0.57327475011363127</v>
          </cell>
          <cell r="S238">
            <v>949.87000000000023</v>
          </cell>
          <cell r="T238" t="str">
            <v>OS</v>
          </cell>
          <cell r="W238" t="str">
            <v>2010</v>
          </cell>
          <cell r="X238">
            <v>3.4690053955551955E-2</v>
          </cell>
          <cell r="Y238">
            <v>1.000067482121862</v>
          </cell>
          <cell r="AA238">
            <v>6520.4532646512262</v>
          </cell>
        </row>
        <row r="240">
          <cell r="A240">
            <v>63</v>
          </cell>
          <cell r="B240" t="str">
            <v>N23</v>
          </cell>
          <cell r="C240" t="str">
            <v>N61</v>
          </cell>
          <cell r="D240">
            <v>120</v>
          </cell>
          <cell r="E240">
            <v>0.1</v>
          </cell>
          <cell r="F240">
            <v>957</v>
          </cell>
          <cell r="G240">
            <v>942</v>
          </cell>
          <cell r="H240">
            <v>1007</v>
          </cell>
          <cell r="I240">
            <v>968.03600000000017</v>
          </cell>
          <cell r="J240">
            <v>15</v>
          </cell>
          <cell r="K240">
            <v>65</v>
          </cell>
          <cell r="L240">
            <v>26.036000000000172</v>
          </cell>
          <cell r="M240">
            <v>20</v>
          </cell>
          <cell r="N240">
            <v>10</v>
          </cell>
          <cell r="O240">
            <v>14.9</v>
          </cell>
          <cell r="P240">
            <v>5.274</v>
          </cell>
          <cell r="Q240">
            <v>20.762000000000171</v>
          </cell>
          <cell r="R240">
            <v>0.57327475011363127</v>
          </cell>
          <cell r="S240">
            <v>962.76200000000017</v>
          </cell>
          <cell r="T240" t="str">
            <v>OS</v>
          </cell>
          <cell r="W240" t="str">
            <v>2010</v>
          </cell>
          <cell r="X240">
            <v>3.5543001662657336E-2</v>
          </cell>
          <cell r="Y240">
            <v>1.0003392134008497</v>
          </cell>
          <cell r="Z240">
            <v>0.1</v>
          </cell>
          <cell r="AA240">
            <v>6520.4532646512262</v>
          </cell>
        </row>
        <row r="242">
          <cell r="A242">
            <v>64</v>
          </cell>
          <cell r="B242" t="str">
            <v>N22</v>
          </cell>
          <cell r="C242" t="str">
            <v>N62</v>
          </cell>
          <cell r="D242">
            <v>120</v>
          </cell>
          <cell r="E242">
            <v>0.1</v>
          </cell>
          <cell r="F242">
            <v>963</v>
          </cell>
          <cell r="G242">
            <v>949</v>
          </cell>
          <cell r="H242">
            <v>1007</v>
          </cell>
          <cell r="I242">
            <v>972.57100000000014</v>
          </cell>
          <cell r="J242">
            <v>14</v>
          </cell>
          <cell r="K242">
            <v>58</v>
          </cell>
          <cell r="L242">
            <v>23.57100000000014</v>
          </cell>
          <cell r="M242">
            <v>20</v>
          </cell>
          <cell r="N242">
            <v>10</v>
          </cell>
          <cell r="O242">
            <v>14.9</v>
          </cell>
          <cell r="P242">
            <v>5.274</v>
          </cell>
          <cell r="Q242">
            <v>18.297000000000139</v>
          </cell>
          <cell r="R242">
            <v>0.57327475011363127</v>
          </cell>
          <cell r="S242">
            <v>967.29700000000014</v>
          </cell>
          <cell r="T242" t="str">
            <v>OS</v>
          </cell>
          <cell r="W242" t="str">
            <v>2010</v>
          </cell>
          <cell r="X242">
            <v>3.5543001662657336E-2</v>
          </cell>
          <cell r="Y242">
            <v>1.0003392134008497</v>
          </cell>
          <cell r="Z242">
            <v>0.1</v>
          </cell>
          <cell r="AA242">
            <v>6520.4532646512262</v>
          </cell>
        </row>
        <row r="244">
          <cell r="A244">
            <v>65</v>
          </cell>
          <cell r="B244" t="str">
            <v>N21</v>
          </cell>
          <cell r="C244" t="str">
            <v>N63</v>
          </cell>
          <cell r="D244">
            <v>60</v>
          </cell>
          <cell r="E244">
            <v>0.5</v>
          </cell>
          <cell r="F244">
            <v>966</v>
          </cell>
          <cell r="G244">
            <v>962</v>
          </cell>
          <cell r="H244">
            <v>1007</v>
          </cell>
          <cell r="I244">
            <v>979.60300000000018</v>
          </cell>
          <cell r="J244">
            <v>4</v>
          </cell>
          <cell r="K244">
            <v>45</v>
          </cell>
          <cell r="L244">
            <v>17.603000000000179</v>
          </cell>
          <cell r="M244">
            <v>40</v>
          </cell>
          <cell r="N244">
            <v>6</v>
          </cell>
          <cell r="O244">
            <v>33.700000000000003</v>
          </cell>
          <cell r="P244">
            <v>0.89700000000000002</v>
          </cell>
          <cell r="Q244">
            <v>16.706000000000181</v>
          </cell>
          <cell r="R244">
            <v>0.56033216490735693</v>
          </cell>
          <cell r="S244">
            <v>978.70600000000013</v>
          </cell>
          <cell r="T244" t="str">
            <v>OS</v>
          </cell>
          <cell r="W244" t="str">
            <v>406</v>
          </cell>
          <cell r="X244">
            <v>2.8615817983297816E-2</v>
          </cell>
          <cell r="Y244">
            <v>0.9996974276676438</v>
          </cell>
          <cell r="Z244">
            <v>0.1</v>
          </cell>
          <cell r="AA244">
            <v>14414.651875861015</v>
          </cell>
        </row>
        <row r="245">
          <cell r="A245">
            <v>66</v>
          </cell>
          <cell r="B245" t="str">
            <v>N63</v>
          </cell>
          <cell r="C245" t="str">
            <v>N64</v>
          </cell>
          <cell r="D245">
            <v>60</v>
          </cell>
          <cell r="E245">
            <v>0.4</v>
          </cell>
          <cell r="F245">
            <v>962</v>
          </cell>
          <cell r="G245">
            <v>962</v>
          </cell>
          <cell r="H245">
            <v>1007</v>
          </cell>
          <cell r="I245">
            <v>978.70600000000013</v>
          </cell>
          <cell r="J245">
            <v>0</v>
          </cell>
          <cell r="K245">
            <v>45</v>
          </cell>
          <cell r="L245">
            <v>16.706000000000131</v>
          </cell>
          <cell r="M245">
            <v>40</v>
          </cell>
          <cell r="N245">
            <v>6</v>
          </cell>
          <cell r="O245">
            <v>33.700000000000003</v>
          </cell>
          <cell r="P245">
            <v>0.60599999999999998</v>
          </cell>
          <cell r="Q245">
            <v>16.100000000000129</v>
          </cell>
          <cell r="R245">
            <v>0.44826573192588554</v>
          </cell>
          <cell r="S245">
            <v>978.10000000000014</v>
          </cell>
          <cell r="T245" t="str">
            <v>OS</v>
          </cell>
          <cell r="W245" t="str">
            <v>406</v>
          </cell>
          <cell r="X245">
            <v>3.0230634024787276E-2</v>
          </cell>
          <cell r="Y245">
            <v>0.99991580022792126</v>
          </cell>
          <cell r="Z245">
            <v>0.1</v>
          </cell>
          <cell r="AA245">
            <v>11531.721500688811</v>
          </cell>
        </row>
        <row r="246">
          <cell r="A246">
            <v>67</v>
          </cell>
          <cell r="B246" t="str">
            <v>N64</v>
          </cell>
          <cell r="C246" t="str">
            <v>N65</v>
          </cell>
          <cell r="D246">
            <v>60</v>
          </cell>
          <cell r="E246">
            <v>0.3</v>
          </cell>
          <cell r="F246">
            <v>962</v>
          </cell>
          <cell r="G246">
            <v>948</v>
          </cell>
          <cell r="H246">
            <v>1007</v>
          </cell>
          <cell r="I246">
            <v>978.10000000000014</v>
          </cell>
          <cell r="J246">
            <v>14</v>
          </cell>
          <cell r="K246">
            <v>59</v>
          </cell>
          <cell r="L246">
            <v>30.100000000000136</v>
          </cell>
          <cell r="M246">
            <v>32</v>
          </cell>
          <cell r="N246">
            <v>6</v>
          </cell>
          <cell r="O246">
            <v>26.9</v>
          </cell>
          <cell r="P246">
            <v>1.073</v>
          </cell>
          <cell r="Q246">
            <v>29.027000000000136</v>
          </cell>
          <cell r="R246">
            <v>0.52765741465455407</v>
          </cell>
          <cell r="S246">
            <v>977.02700000000016</v>
          </cell>
          <cell r="T246" t="str">
            <v>OS</v>
          </cell>
          <cell r="W246" t="str">
            <v>326</v>
          </cell>
          <cell r="X246">
            <v>3.0824834630560936E-2</v>
          </cell>
          <cell r="Y246">
            <v>0.99995483785398842</v>
          </cell>
          <cell r="Z246">
            <v>0.1</v>
          </cell>
          <cell r="AA246">
            <v>10835.102636799622</v>
          </cell>
        </row>
        <row r="247">
          <cell r="A247">
            <v>68</v>
          </cell>
          <cell r="B247" t="str">
            <v>N65</v>
          </cell>
          <cell r="C247" t="str">
            <v>N67</v>
          </cell>
          <cell r="D247">
            <v>80</v>
          </cell>
          <cell r="E247">
            <v>0.2</v>
          </cell>
          <cell r="F247">
            <v>948</v>
          </cell>
          <cell r="G247">
            <v>933</v>
          </cell>
          <cell r="H247">
            <v>1007</v>
          </cell>
          <cell r="I247">
            <v>977.02700000000016</v>
          </cell>
          <cell r="J247">
            <v>15</v>
          </cell>
          <cell r="K247">
            <v>74</v>
          </cell>
          <cell r="L247">
            <v>44.027000000000157</v>
          </cell>
          <cell r="M247">
            <v>25</v>
          </cell>
          <cell r="N247">
            <v>10</v>
          </cell>
          <cell r="O247">
            <v>18.899999999999999</v>
          </cell>
          <cell r="P247">
            <v>3.7879999999999998</v>
          </cell>
          <cell r="Q247">
            <v>40.239000000000161</v>
          </cell>
          <cell r="R247">
            <v>0.71259330518589792</v>
          </cell>
          <cell r="S247">
            <v>973.23900000000015</v>
          </cell>
          <cell r="T247" t="str">
            <v>OS</v>
          </cell>
          <cell r="W247" t="str">
            <v>2510</v>
          </cell>
          <cell r="X247">
            <v>3.1435896227811365E-2</v>
          </cell>
          <cell r="Y247">
            <v>0.99932961604976422</v>
          </cell>
          <cell r="Z247">
            <v>0.1</v>
          </cell>
          <cell r="AA247">
            <v>10280.926311460662</v>
          </cell>
        </row>
        <row r="248">
          <cell r="A248">
            <v>69</v>
          </cell>
          <cell r="B248" t="str">
            <v>N67</v>
          </cell>
          <cell r="C248" t="str">
            <v>N68</v>
          </cell>
          <cell r="D248">
            <v>300</v>
          </cell>
          <cell r="E248">
            <v>0.1</v>
          </cell>
          <cell r="F248">
            <v>933</v>
          </cell>
          <cell r="G248">
            <v>849</v>
          </cell>
          <cell r="H248">
            <v>1007</v>
          </cell>
          <cell r="I248">
            <v>973.23900000000015</v>
          </cell>
          <cell r="J248">
            <v>84</v>
          </cell>
          <cell r="K248">
            <v>158</v>
          </cell>
          <cell r="L248">
            <v>124.23900000000015</v>
          </cell>
          <cell r="M248" t="str">
            <v>20  (Ex)</v>
          </cell>
          <cell r="N248">
            <v>10</v>
          </cell>
          <cell r="O248">
            <v>14.899999618530273</v>
          </cell>
          <cell r="P248">
            <v>12.869</v>
          </cell>
          <cell r="Q248">
            <v>111.37000000000015</v>
          </cell>
          <cell r="R248">
            <v>0.57327477946758698</v>
          </cell>
          <cell r="S248">
            <v>960.37000000000012</v>
          </cell>
          <cell r="W248" t="str">
            <v>20  (Ex)10</v>
          </cell>
          <cell r="X248">
            <v>3.4690053955551955E-2</v>
          </cell>
          <cell r="Y248">
            <v>1.0000674862636763</v>
          </cell>
          <cell r="AA248">
            <v>6520.4534315878409</v>
          </cell>
        </row>
        <row r="250">
          <cell r="A250">
            <v>70</v>
          </cell>
          <cell r="B250" t="str">
            <v>N67</v>
          </cell>
          <cell r="C250" t="str">
            <v>N69</v>
          </cell>
          <cell r="D250">
            <v>234</v>
          </cell>
          <cell r="E250">
            <v>0.15</v>
          </cell>
          <cell r="F250">
            <v>933</v>
          </cell>
          <cell r="G250">
            <v>883</v>
          </cell>
          <cell r="H250">
            <v>1007</v>
          </cell>
          <cell r="I250">
            <v>973.23900000000015</v>
          </cell>
          <cell r="J250">
            <v>50</v>
          </cell>
          <cell r="K250">
            <v>124</v>
          </cell>
          <cell r="L250">
            <v>90.239000000000146</v>
          </cell>
          <cell r="M250">
            <v>25</v>
          </cell>
          <cell r="N250">
            <v>10</v>
          </cell>
          <cell r="O250">
            <v>18.899999999999999</v>
          </cell>
          <cell r="P250">
            <v>6.5679999999999996</v>
          </cell>
          <cell r="Q250">
            <v>83.671000000000149</v>
          </cell>
          <cell r="R250">
            <v>0.53444497888942344</v>
          </cell>
          <cell r="S250">
            <v>966.67100000000016</v>
          </cell>
          <cell r="T250" t="str">
            <v>OS</v>
          </cell>
          <cell r="W250" t="str">
            <v>2510</v>
          </cell>
          <cell r="X250">
            <v>3.3125965641069496E-2</v>
          </cell>
          <cell r="Y250">
            <v>1.0001211517181536</v>
          </cell>
          <cell r="AA250">
            <v>7710.6947335954974</v>
          </cell>
        </row>
        <row r="251">
          <cell r="A251">
            <v>71</v>
          </cell>
          <cell r="B251" t="str">
            <v>N69</v>
          </cell>
          <cell r="C251" t="str">
            <v>N70</v>
          </cell>
          <cell r="D251">
            <v>80</v>
          </cell>
          <cell r="E251">
            <v>0.15</v>
          </cell>
          <cell r="F251">
            <v>883</v>
          </cell>
          <cell r="G251">
            <v>849</v>
          </cell>
          <cell r="H251">
            <v>1007</v>
          </cell>
          <cell r="I251">
            <v>966.67100000000016</v>
          </cell>
          <cell r="J251">
            <v>34</v>
          </cell>
          <cell r="K251">
            <v>158</v>
          </cell>
          <cell r="L251">
            <v>117.67100000000016</v>
          </cell>
          <cell r="M251">
            <v>20</v>
          </cell>
          <cell r="N251">
            <v>10</v>
          </cell>
          <cell r="O251">
            <v>14.9</v>
          </cell>
          <cell r="P251">
            <v>6.915</v>
          </cell>
          <cell r="Q251">
            <v>110.75600000000016</v>
          </cell>
          <cell r="R251">
            <v>0.85991212517044679</v>
          </cell>
          <cell r="S251">
            <v>959.7560000000002</v>
          </cell>
          <cell r="T251" t="str">
            <v>OS</v>
          </cell>
          <cell r="W251" t="str">
            <v>2010</v>
          </cell>
          <cell r="X251">
            <v>3.1067942707552781E-2</v>
          </cell>
          <cell r="Y251">
            <v>1.0000526314330178</v>
          </cell>
          <cell r="AA251">
            <v>9780.679896976837</v>
          </cell>
        </row>
        <row r="253">
          <cell r="A253">
            <v>72</v>
          </cell>
          <cell r="B253" t="str">
            <v>N64</v>
          </cell>
          <cell r="C253" t="str">
            <v>N71</v>
          </cell>
          <cell r="D253">
            <v>60</v>
          </cell>
          <cell r="E253">
            <v>0.1</v>
          </cell>
          <cell r="F253">
            <v>962</v>
          </cell>
          <cell r="G253">
            <v>950</v>
          </cell>
          <cell r="H253">
            <v>1007</v>
          </cell>
          <cell r="I253">
            <v>978.10000000000014</v>
          </cell>
          <cell r="J253">
            <v>12</v>
          </cell>
          <cell r="K253">
            <v>57</v>
          </cell>
          <cell r="L253">
            <v>28.100000000000136</v>
          </cell>
          <cell r="M253">
            <v>20</v>
          </cell>
          <cell r="N253">
            <v>10</v>
          </cell>
          <cell r="O253">
            <v>14.9</v>
          </cell>
          <cell r="P253">
            <v>2.637</v>
          </cell>
          <cell r="Q253">
            <v>25.463000000000136</v>
          </cell>
          <cell r="R253">
            <v>0.57327475011363127</v>
          </cell>
          <cell r="S253">
            <v>975.46300000000019</v>
          </cell>
          <cell r="T253" t="str">
            <v>OS</v>
          </cell>
          <cell r="W253" t="str">
            <v>2010</v>
          </cell>
          <cell r="X253">
            <v>3.5543001662657336E-2</v>
          </cell>
          <cell r="Y253">
            <v>1.0003392134008497</v>
          </cell>
          <cell r="Z253">
            <v>0.1</v>
          </cell>
          <cell r="AA253">
            <v>6520.4532646512262</v>
          </cell>
        </row>
        <row r="254">
          <cell r="A254">
            <v>73</v>
          </cell>
          <cell r="B254" t="str">
            <v>N71</v>
          </cell>
          <cell r="C254" t="str">
            <v>N72</v>
          </cell>
          <cell r="D254">
            <v>60</v>
          </cell>
          <cell r="E254">
            <v>0.1</v>
          </cell>
          <cell r="F254">
            <v>950</v>
          </cell>
          <cell r="G254">
            <v>945</v>
          </cell>
          <cell r="H254">
            <v>1007</v>
          </cell>
          <cell r="I254">
            <v>975.46300000000019</v>
          </cell>
          <cell r="J254">
            <v>5</v>
          </cell>
          <cell r="K254">
            <v>62</v>
          </cell>
          <cell r="L254">
            <v>30.463000000000193</v>
          </cell>
          <cell r="M254">
            <v>20</v>
          </cell>
          <cell r="N254">
            <v>10</v>
          </cell>
          <cell r="O254">
            <v>14.9</v>
          </cell>
          <cell r="P254">
            <v>2.6360000000000001</v>
          </cell>
          <cell r="Q254">
            <v>27.827000000000194</v>
          </cell>
          <cell r="R254">
            <v>0.57327475011363127</v>
          </cell>
          <cell r="S254">
            <v>972.82700000000023</v>
          </cell>
          <cell r="T254" t="str">
            <v>OS</v>
          </cell>
          <cell r="W254" t="str">
            <v>2010</v>
          </cell>
          <cell r="X254">
            <v>3.5524282795390237E-2</v>
          </cell>
          <cell r="Y254">
            <v>1.0000361592853213</v>
          </cell>
          <cell r="Z254">
            <v>0.1</v>
          </cell>
          <cell r="AA254">
            <v>6520.4532646512262</v>
          </cell>
        </row>
        <row r="256">
          <cell r="A256">
            <v>74</v>
          </cell>
          <cell r="B256" t="str">
            <v>N20</v>
          </cell>
          <cell r="C256" t="str">
            <v>N74</v>
          </cell>
          <cell r="D256">
            <v>80</v>
          </cell>
          <cell r="E256">
            <v>0.1</v>
          </cell>
          <cell r="F256">
            <v>962</v>
          </cell>
          <cell r="G256">
            <v>943</v>
          </cell>
          <cell r="H256">
            <v>1007</v>
          </cell>
          <cell r="I256">
            <v>984.7850000000002</v>
          </cell>
          <cell r="J256">
            <v>19</v>
          </cell>
          <cell r="K256">
            <v>64</v>
          </cell>
          <cell r="L256">
            <v>41.785000000000196</v>
          </cell>
          <cell r="M256">
            <v>20</v>
          </cell>
          <cell r="N256">
            <v>10</v>
          </cell>
          <cell r="O256">
            <v>14.9</v>
          </cell>
          <cell r="P256">
            <v>3.516</v>
          </cell>
          <cell r="Q256">
            <v>38.269000000000197</v>
          </cell>
          <cell r="R256">
            <v>0.57327475011363127</v>
          </cell>
          <cell r="S256">
            <v>981.26900000000023</v>
          </cell>
          <cell r="T256" t="str">
            <v>OS</v>
          </cell>
          <cell r="W256" t="str">
            <v>2010</v>
          </cell>
          <cell r="X256">
            <v>3.5543001662657336E-2</v>
          </cell>
          <cell r="Y256">
            <v>1.0003392134008497</v>
          </cell>
          <cell r="Z256">
            <v>0.1</v>
          </cell>
          <cell r="AA256">
            <v>6520.4532646512262</v>
          </cell>
        </row>
        <row r="258">
          <cell r="A258">
            <v>75</v>
          </cell>
          <cell r="B258" t="str">
            <v>N7</v>
          </cell>
          <cell r="C258" t="str">
            <v>N75</v>
          </cell>
          <cell r="D258">
            <v>0</v>
          </cell>
          <cell r="E258">
            <v>0.1</v>
          </cell>
          <cell r="F258">
            <v>976</v>
          </cell>
          <cell r="G258">
            <v>929</v>
          </cell>
          <cell r="H258">
            <v>1007</v>
          </cell>
          <cell r="I258">
            <v>1005.5</v>
          </cell>
          <cell r="J258">
            <v>47</v>
          </cell>
          <cell r="K258">
            <v>78</v>
          </cell>
          <cell r="L258">
            <v>76.5</v>
          </cell>
          <cell r="M258">
            <v>20</v>
          </cell>
          <cell r="N258">
            <v>10</v>
          </cell>
          <cell r="O258">
            <v>14.9</v>
          </cell>
          <cell r="P258">
            <v>0</v>
          </cell>
          <cell r="Q258">
            <v>76.5</v>
          </cell>
          <cell r="R258">
            <v>0.57327475011363127</v>
          </cell>
          <cell r="S258">
            <v>1005.5</v>
          </cell>
          <cell r="T258" t="str">
            <v>OS</v>
          </cell>
          <cell r="W258" t="str">
            <v>2010</v>
          </cell>
          <cell r="X258">
            <v>3.5543001662657336E-2</v>
          </cell>
          <cell r="Y258">
            <v>1.0003392134008497</v>
          </cell>
          <cell r="Z258">
            <v>0.1</v>
          </cell>
          <cell r="AA258">
            <v>6520.4532646512262</v>
          </cell>
        </row>
        <row r="260">
          <cell r="A260">
            <v>76</v>
          </cell>
          <cell r="B260" t="str">
            <v>RVT4</v>
          </cell>
          <cell r="C260" t="str">
            <v>N1</v>
          </cell>
          <cell r="D260">
            <v>60</v>
          </cell>
          <cell r="E260">
            <v>0.4</v>
          </cell>
          <cell r="F260">
            <v>1007</v>
          </cell>
          <cell r="G260">
            <v>976</v>
          </cell>
          <cell r="H260">
            <v>1007</v>
          </cell>
          <cell r="I260">
            <v>1007</v>
          </cell>
          <cell r="J260">
            <v>31</v>
          </cell>
          <cell r="K260">
            <v>31</v>
          </cell>
          <cell r="L260">
            <v>31</v>
          </cell>
          <cell r="M260">
            <v>40</v>
          </cell>
          <cell r="N260">
            <v>6</v>
          </cell>
          <cell r="O260">
            <v>33.700000000000003</v>
          </cell>
          <cell r="P260">
            <v>0.60599999999999998</v>
          </cell>
          <cell r="Q260">
            <v>30.393999999999998</v>
          </cell>
          <cell r="R260">
            <v>0.44826573192588554</v>
          </cell>
          <cell r="S260">
            <v>1006.394</v>
          </cell>
          <cell r="T260" t="str">
            <v>OS</v>
          </cell>
          <cell r="W260" t="str">
            <v>406</v>
          </cell>
          <cell r="X260">
            <v>3.0215949207381996E-2</v>
          </cell>
          <cell r="Y260">
            <v>0.99963843956985454</v>
          </cell>
          <cell r="Z260">
            <v>0.1</v>
          </cell>
          <cell r="AA260">
            <v>11531.721500688811</v>
          </cell>
        </row>
        <row r="261">
          <cell r="A261">
            <v>77</v>
          </cell>
          <cell r="B261" t="str">
            <v>N1</v>
          </cell>
          <cell r="C261" t="str">
            <v>N2</v>
          </cell>
          <cell r="D261">
            <v>150</v>
          </cell>
          <cell r="E261">
            <v>0.1</v>
          </cell>
          <cell r="F261">
            <v>976</v>
          </cell>
          <cell r="G261">
            <v>968</v>
          </cell>
          <cell r="H261">
            <v>1007</v>
          </cell>
          <cell r="I261">
            <v>1006.394</v>
          </cell>
          <cell r="J261">
            <v>8</v>
          </cell>
          <cell r="K261">
            <v>39</v>
          </cell>
          <cell r="L261">
            <v>38.394000000000005</v>
          </cell>
          <cell r="M261">
            <v>25</v>
          </cell>
          <cell r="N261">
            <v>10</v>
          </cell>
          <cell r="O261">
            <v>18.899999999999999</v>
          </cell>
          <cell r="P261">
            <v>2.1280000000000001</v>
          </cell>
          <cell r="Q261">
            <v>36.266000000000005</v>
          </cell>
          <cell r="R261">
            <v>0.35629665259294896</v>
          </cell>
          <cell r="S261">
            <v>1004.266</v>
          </cell>
          <cell r="T261" t="str">
            <v>OS</v>
          </cell>
          <cell r="W261" t="str">
            <v>2510</v>
          </cell>
          <cell r="X261">
            <v>3.766885564238185E-2</v>
          </cell>
          <cell r="Y261">
            <v>0.99965648611640701</v>
          </cell>
          <cell r="Z261">
            <v>0.1</v>
          </cell>
          <cell r="AA261">
            <v>5140.463155730331</v>
          </cell>
        </row>
        <row r="263">
          <cell r="A263">
            <v>78</v>
          </cell>
          <cell r="B263" t="str">
            <v>N1</v>
          </cell>
          <cell r="C263" t="str">
            <v>N3</v>
          </cell>
          <cell r="D263">
            <v>150</v>
          </cell>
          <cell r="E263">
            <v>0.3</v>
          </cell>
          <cell r="F263">
            <v>976</v>
          </cell>
          <cell r="G263">
            <v>953</v>
          </cell>
          <cell r="H263">
            <v>1007</v>
          </cell>
          <cell r="I263">
            <v>1006.394</v>
          </cell>
          <cell r="J263">
            <v>23</v>
          </cell>
          <cell r="K263">
            <v>54</v>
          </cell>
          <cell r="L263">
            <v>53.394000000000005</v>
          </cell>
          <cell r="M263">
            <v>32</v>
          </cell>
          <cell r="N263">
            <v>6</v>
          </cell>
          <cell r="O263">
            <v>26.9</v>
          </cell>
          <cell r="P263">
            <v>2.6869999999999998</v>
          </cell>
          <cell r="Q263">
            <v>50.707000000000008</v>
          </cell>
          <cell r="R263">
            <v>0.52765741465455407</v>
          </cell>
          <cell r="S263">
            <v>1003.707</v>
          </cell>
          <cell r="T263" t="str">
            <v>OS</v>
          </cell>
          <cell r="W263" t="str">
            <v>326</v>
          </cell>
          <cell r="X263">
            <v>3.0867818974466017E-2</v>
          </cell>
          <cell r="Y263">
            <v>1.0007506001525497</v>
          </cell>
          <cell r="Z263">
            <v>0.1</v>
          </cell>
          <cell r="AA263">
            <v>10835.102636799622</v>
          </cell>
        </row>
        <row r="264">
          <cell r="A264">
            <v>79</v>
          </cell>
          <cell r="B264" t="str">
            <v>N3</v>
          </cell>
          <cell r="C264" t="str">
            <v>N4</v>
          </cell>
          <cell r="D264">
            <v>150</v>
          </cell>
          <cell r="E264">
            <v>0.2</v>
          </cell>
          <cell r="F264">
            <v>953</v>
          </cell>
          <cell r="G264">
            <v>942</v>
          </cell>
          <cell r="H264">
            <v>1007</v>
          </cell>
          <cell r="I264">
            <v>1003.707</v>
          </cell>
          <cell r="J264">
            <v>11</v>
          </cell>
          <cell r="K264">
            <v>65</v>
          </cell>
          <cell r="L264">
            <v>61.706999999999994</v>
          </cell>
          <cell r="M264">
            <v>25</v>
          </cell>
          <cell r="N264">
            <v>10</v>
          </cell>
          <cell r="O264">
            <v>18.899999999999999</v>
          </cell>
          <cell r="P264">
            <v>7.1029999999999998</v>
          </cell>
          <cell r="Q264">
            <v>54.603999999999992</v>
          </cell>
          <cell r="R264">
            <v>0.71259330518589792</v>
          </cell>
          <cell r="S264">
            <v>996.60400000000004</v>
          </cell>
          <cell r="T264" t="str">
            <v>OS</v>
          </cell>
          <cell r="W264" t="str">
            <v>2510</v>
          </cell>
          <cell r="X264">
            <v>3.1435896227811365E-2</v>
          </cell>
          <cell r="Y264">
            <v>0.99932961604976422</v>
          </cell>
          <cell r="Z264">
            <v>0.1</v>
          </cell>
          <cell r="AA264">
            <v>10280.926311460662</v>
          </cell>
        </row>
        <row r="265">
          <cell r="A265">
            <v>80</v>
          </cell>
          <cell r="B265" t="str">
            <v>N4</v>
          </cell>
          <cell r="C265" t="str">
            <v>N5</v>
          </cell>
          <cell r="D265">
            <v>100</v>
          </cell>
          <cell r="E265">
            <v>0.1</v>
          </cell>
          <cell r="F265">
            <v>942</v>
          </cell>
          <cell r="G265">
            <v>930</v>
          </cell>
          <cell r="H265">
            <v>1007</v>
          </cell>
          <cell r="I265">
            <v>996.60400000000004</v>
          </cell>
          <cell r="J265">
            <v>12</v>
          </cell>
          <cell r="K265">
            <v>77</v>
          </cell>
          <cell r="L265">
            <v>66.604000000000042</v>
          </cell>
          <cell r="M265">
            <v>25</v>
          </cell>
          <cell r="N265">
            <v>10</v>
          </cell>
          <cell r="O265">
            <v>18.899999999999999</v>
          </cell>
          <cell r="P265">
            <v>1.419</v>
          </cell>
          <cell r="Q265">
            <v>65.185000000000045</v>
          </cell>
          <cell r="R265">
            <v>0.35629665259294896</v>
          </cell>
          <cell r="S265">
            <v>995.18500000000006</v>
          </cell>
          <cell r="T265" t="str">
            <v>OS</v>
          </cell>
          <cell r="W265" t="str">
            <v>2510</v>
          </cell>
          <cell r="X265">
            <v>3.766885564238185E-2</v>
          </cell>
          <cell r="Y265">
            <v>0.99965648611640701</v>
          </cell>
          <cell r="Z265">
            <v>0.1</v>
          </cell>
          <cell r="AA265">
            <v>5140.463155730331</v>
          </cell>
        </row>
        <row r="267">
          <cell r="A267">
            <v>81</v>
          </cell>
          <cell r="B267" t="str">
            <v>O</v>
          </cell>
          <cell r="C267">
            <v>0</v>
          </cell>
          <cell r="D267">
            <v>900</v>
          </cell>
          <cell r="E267">
            <v>0</v>
          </cell>
          <cell r="F267">
            <v>0</v>
          </cell>
          <cell r="G267">
            <v>0</v>
          </cell>
          <cell r="H267" t="e">
            <v>#N/A</v>
          </cell>
          <cell r="I267" t="e">
            <v>#N/A</v>
          </cell>
          <cell r="J267">
            <v>0</v>
          </cell>
          <cell r="L267" t="e">
            <v>#N/A</v>
          </cell>
          <cell r="M267">
            <v>20</v>
          </cell>
          <cell r="N267">
            <v>10</v>
          </cell>
          <cell r="O267">
            <v>14.9</v>
          </cell>
          <cell r="P267">
            <v>0</v>
          </cell>
          <cell r="Q267" t="e">
            <v>#N/A</v>
          </cell>
          <cell r="R267">
            <v>0</v>
          </cell>
          <cell r="S267" t="e">
            <v>#N/A</v>
          </cell>
          <cell r="W267" t="str">
            <v>2010</v>
          </cell>
          <cell r="X267">
            <v>2.417299060949454E-2</v>
          </cell>
          <cell r="Y267" t="e">
            <v>#DIV/0!</v>
          </cell>
          <cell r="Z267">
            <v>0.1</v>
          </cell>
          <cell r="AA267">
            <v>0</v>
          </cell>
        </row>
        <row r="271">
          <cell r="C271" t="str">
            <v>PM1</v>
          </cell>
          <cell r="D271">
            <v>90</v>
          </cell>
          <cell r="E271">
            <v>5</v>
          </cell>
          <cell r="F271">
            <v>792</v>
          </cell>
          <cell r="G271">
            <v>820</v>
          </cell>
          <cell r="H271" t="e">
            <v>#N/A</v>
          </cell>
          <cell r="I271" t="e">
            <v>#N/A</v>
          </cell>
          <cell r="J271">
            <v>-28</v>
          </cell>
          <cell r="L271" t="e">
            <v>#N/A</v>
          </cell>
          <cell r="M271">
            <v>2</v>
          </cell>
          <cell r="N271" t="str">
            <v>HC</v>
          </cell>
          <cell r="O271">
            <v>50.8</v>
          </cell>
          <cell r="P271">
            <v>15.44</v>
          </cell>
          <cell r="Q271" t="e">
            <v>#N/A</v>
          </cell>
          <cell r="R271">
            <v>2.4659140227371368</v>
          </cell>
          <cell r="S271" t="e">
            <v>#N/A</v>
          </cell>
          <cell r="T271" t="str">
            <v>OS</v>
          </cell>
          <cell r="W271" t="str">
            <v>2HC</v>
          </cell>
          <cell r="X271">
            <v>2.5563890780694456E-2</v>
          </cell>
          <cell r="Y271">
            <v>0.99938615430524091</v>
          </cell>
          <cell r="Z271">
            <v>1.1000000000000001</v>
          </cell>
          <cell r="AA271">
            <v>95624.757522936299</v>
          </cell>
        </row>
        <row r="272">
          <cell r="C272" t="str">
            <v>PM2</v>
          </cell>
          <cell r="D272">
            <v>70</v>
          </cell>
          <cell r="E272">
            <v>5</v>
          </cell>
          <cell r="F272">
            <v>820</v>
          </cell>
          <cell r="G272">
            <v>848</v>
          </cell>
          <cell r="H272" t="e">
            <v>#N/A</v>
          </cell>
          <cell r="I272" t="e">
            <v>#N/A</v>
          </cell>
          <cell r="J272">
            <v>-28</v>
          </cell>
          <cell r="L272" t="e">
            <v>#N/A</v>
          </cell>
          <cell r="M272">
            <v>2</v>
          </cell>
          <cell r="N272" t="str">
            <v>HC</v>
          </cell>
          <cell r="O272">
            <v>50.8</v>
          </cell>
          <cell r="P272">
            <v>12.016999999999999</v>
          </cell>
          <cell r="Q272" t="e">
            <v>#N/A</v>
          </cell>
          <cell r="R272">
            <v>2.4659140227371368</v>
          </cell>
          <cell r="S272" t="e">
            <v>#N/A</v>
          </cell>
          <cell r="T272" t="str">
            <v>OS</v>
          </cell>
          <cell r="W272" t="str">
            <v>2HC</v>
          </cell>
          <cell r="X272">
            <v>2.5579976841305935E-2</v>
          </cell>
          <cell r="Y272">
            <v>0.99971010708106645</v>
          </cell>
          <cell r="Z272">
            <v>1.1000000000000001</v>
          </cell>
          <cell r="AA272">
            <v>95624.757522936299</v>
          </cell>
        </row>
        <row r="273">
          <cell r="C273" t="str">
            <v>PM3</v>
          </cell>
          <cell r="D273">
            <v>110</v>
          </cell>
          <cell r="E273">
            <v>5</v>
          </cell>
          <cell r="F273">
            <v>848</v>
          </cell>
          <cell r="G273">
            <v>945</v>
          </cell>
          <cell r="H273" t="e">
            <v>#N/A</v>
          </cell>
          <cell r="I273" t="e">
            <v>#N/A</v>
          </cell>
          <cell r="J273">
            <v>-97</v>
          </cell>
          <cell r="L273" t="e">
            <v>#N/A</v>
          </cell>
          <cell r="M273">
            <v>2</v>
          </cell>
          <cell r="N273" t="str">
            <v>MC</v>
          </cell>
          <cell r="O273">
            <v>50.8</v>
          </cell>
          <cell r="P273">
            <v>18.882999999999999</v>
          </cell>
          <cell r="Q273" t="e">
            <v>#N/A</v>
          </cell>
          <cell r="R273">
            <v>2.4659140227371368</v>
          </cell>
          <cell r="S273" t="e">
            <v>#N/A</v>
          </cell>
          <cell r="T273" t="str">
            <v>OS</v>
          </cell>
          <cell r="W273" t="str">
            <v>2MC</v>
          </cell>
          <cell r="X273">
            <v>2.5579976841305935E-2</v>
          </cell>
          <cell r="Y273">
            <v>0.99971010708106645</v>
          </cell>
          <cell r="Z273">
            <v>1.1000000000000001</v>
          </cell>
          <cell r="AA273">
            <v>95624.757522936299</v>
          </cell>
        </row>
        <row r="274">
          <cell r="C274" t="str">
            <v>PM4</v>
          </cell>
          <cell r="D274">
            <v>110</v>
          </cell>
          <cell r="E274">
            <v>5</v>
          </cell>
          <cell r="F274">
            <v>945</v>
          </cell>
          <cell r="G274">
            <v>978</v>
          </cell>
          <cell r="H274" t="e">
            <v>#N/A</v>
          </cell>
          <cell r="I274" t="e">
            <v>#N/A</v>
          </cell>
          <cell r="J274">
            <v>-33</v>
          </cell>
          <cell r="L274" t="e">
            <v>#N/A</v>
          </cell>
          <cell r="M274">
            <v>75</v>
          </cell>
          <cell r="N274">
            <v>10</v>
          </cell>
          <cell r="O274">
            <v>57.1</v>
          </cell>
          <cell r="P274">
            <v>8.0589999999999993</v>
          </cell>
          <cell r="Q274" t="e">
            <v>#N/A</v>
          </cell>
          <cell r="R274">
            <v>1.9517902238173614</v>
          </cell>
          <cell r="S274" t="e">
            <v>#N/A</v>
          </cell>
          <cell r="T274" t="str">
            <v>OS</v>
          </cell>
          <cell r="W274" t="str">
            <v>7510</v>
          </cell>
          <cell r="X274">
            <v>1.9586892592823191E-2</v>
          </cell>
          <cell r="Y274">
            <v>0.99996471411118915</v>
          </cell>
          <cell r="Z274">
            <v>0.12</v>
          </cell>
          <cell r="AA274">
            <v>85074.215099214765</v>
          </cell>
        </row>
        <row r="275">
          <cell r="C275" t="str">
            <v>RVT4</v>
          </cell>
          <cell r="D275">
            <v>100</v>
          </cell>
          <cell r="E275">
            <v>5</v>
          </cell>
          <cell r="F275">
            <v>978</v>
          </cell>
          <cell r="G275">
            <v>1007</v>
          </cell>
          <cell r="H275" t="e">
            <v>#N/A</v>
          </cell>
          <cell r="I275" t="e">
            <v>#N/A</v>
          </cell>
          <cell r="J275">
            <v>-29</v>
          </cell>
          <cell r="L275" t="e">
            <v>#N/A</v>
          </cell>
          <cell r="M275">
            <v>75</v>
          </cell>
          <cell r="N275">
            <v>10</v>
          </cell>
          <cell r="O275">
            <v>57.1</v>
          </cell>
          <cell r="P275">
            <v>7.3259999999999996</v>
          </cell>
          <cell r="Q275" t="e">
            <v>#N/A</v>
          </cell>
          <cell r="R275">
            <v>1.9517902238173614</v>
          </cell>
          <cell r="S275" t="e">
            <v>#N/A</v>
          </cell>
          <cell r="T275" t="str">
            <v>OS</v>
          </cell>
          <cell r="W275" t="str">
            <v>7510</v>
          </cell>
          <cell r="X275">
            <v>1.9586894972563881E-2</v>
          </cell>
          <cell r="Y275">
            <v>0.99996478067463979</v>
          </cell>
          <cell r="Z275">
            <v>0.12</v>
          </cell>
          <cell r="AA275">
            <v>85074.215099214765</v>
          </cell>
        </row>
        <row r="277">
          <cell r="D277">
            <v>0</v>
          </cell>
          <cell r="M277" t="str">
            <v>OD</v>
          </cell>
          <cell r="T277" t="str">
            <v>SOIL</v>
          </cell>
        </row>
        <row r="278">
          <cell r="C278">
            <v>0</v>
          </cell>
          <cell r="D278">
            <v>0</v>
          </cell>
          <cell r="E278">
            <v>0</v>
          </cell>
          <cell r="F278">
            <v>0</v>
          </cell>
          <cell r="G278">
            <v>0</v>
          </cell>
          <cell r="H278" t="e">
            <v>#N/A</v>
          </cell>
          <cell r="I278" t="e">
            <v>#N/A</v>
          </cell>
          <cell r="J278">
            <v>0</v>
          </cell>
          <cell r="L278" t="e">
            <v>#N/A</v>
          </cell>
          <cell r="M278">
            <v>63</v>
          </cell>
          <cell r="N278">
            <v>4</v>
          </cell>
          <cell r="O278">
            <v>56.5</v>
          </cell>
          <cell r="P278">
            <v>0</v>
          </cell>
          <cell r="Q278" t="e">
            <v>#N/A</v>
          </cell>
          <cell r="R278">
            <v>0</v>
          </cell>
          <cell r="S278" t="e">
            <v>#N/A</v>
          </cell>
          <cell r="W278" t="str">
            <v>634</v>
          </cell>
          <cell r="X278">
            <v>2.417299060949454E-2</v>
          </cell>
          <cell r="Y278" t="e">
            <v>#DIV/0!</v>
          </cell>
          <cell r="AA278">
            <v>0</v>
          </cell>
        </row>
      </sheetData>
      <sheetData sheetId="8"/>
      <sheetData sheetId="9"/>
      <sheetData sheetId="10"/>
      <sheetData sheetId="11">
        <row r="9">
          <cell r="A9" t="str">
            <v>3556</v>
          </cell>
          <cell r="B9">
            <v>355</v>
          </cell>
          <cell r="C9">
            <v>6</v>
          </cell>
          <cell r="D9">
            <v>302</v>
          </cell>
        </row>
        <row r="10">
          <cell r="A10" t="str">
            <v>3554</v>
          </cell>
          <cell r="B10">
            <v>355</v>
          </cell>
          <cell r="C10">
            <v>4</v>
          </cell>
          <cell r="D10">
            <v>318.8</v>
          </cell>
        </row>
        <row r="11">
          <cell r="A11" t="str">
            <v>3552.5</v>
          </cell>
          <cell r="B11">
            <v>355</v>
          </cell>
          <cell r="C11">
            <v>2.5</v>
          </cell>
          <cell r="D11">
            <v>331.9</v>
          </cell>
        </row>
        <row r="12">
          <cell r="A12" t="str">
            <v>3156</v>
          </cell>
          <cell r="B12">
            <v>315</v>
          </cell>
          <cell r="C12">
            <v>6</v>
          </cell>
          <cell r="D12">
            <v>267.89999999999998</v>
          </cell>
        </row>
        <row r="13">
          <cell r="A13" t="str">
            <v>3154</v>
          </cell>
          <cell r="B13">
            <v>315</v>
          </cell>
          <cell r="C13">
            <v>4</v>
          </cell>
          <cell r="D13">
            <v>282.8</v>
          </cell>
        </row>
        <row r="14">
          <cell r="A14" t="str">
            <v>3152.5</v>
          </cell>
          <cell r="B14">
            <v>315</v>
          </cell>
          <cell r="C14">
            <v>2.5</v>
          </cell>
          <cell r="D14">
            <v>294.5</v>
          </cell>
        </row>
        <row r="15">
          <cell r="A15" t="str">
            <v>2806</v>
          </cell>
          <cell r="B15">
            <v>280</v>
          </cell>
          <cell r="C15">
            <v>6</v>
          </cell>
          <cell r="D15">
            <v>238.2</v>
          </cell>
        </row>
        <row r="16">
          <cell r="A16" t="str">
            <v>2804</v>
          </cell>
          <cell r="B16">
            <v>280</v>
          </cell>
          <cell r="C16">
            <v>4</v>
          </cell>
          <cell r="D16">
            <v>251.4</v>
          </cell>
        </row>
        <row r="17">
          <cell r="A17" t="str">
            <v>2802.5</v>
          </cell>
          <cell r="B17">
            <v>280</v>
          </cell>
          <cell r="C17">
            <v>2.5</v>
          </cell>
          <cell r="D17">
            <v>261.7</v>
          </cell>
        </row>
        <row r="18">
          <cell r="A18" t="str">
            <v>25010</v>
          </cell>
          <cell r="B18">
            <v>250</v>
          </cell>
          <cell r="C18">
            <v>10</v>
          </cell>
          <cell r="D18">
            <v>192.8</v>
          </cell>
        </row>
        <row r="19">
          <cell r="A19" t="str">
            <v>2506</v>
          </cell>
          <cell r="B19">
            <v>250</v>
          </cell>
          <cell r="C19">
            <v>6</v>
          </cell>
          <cell r="D19">
            <v>212.6</v>
          </cell>
        </row>
        <row r="20">
          <cell r="A20" t="str">
            <v>2504</v>
          </cell>
          <cell r="B20">
            <v>250</v>
          </cell>
          <cell r="C20">
            <v>4</v>
          </cell>
          <cell r="D20">
            <v>224.3</v>
          </cell>
        </row>
        <row r="21">
          <cell r="A21" t="str">
            <v>2502.5</v>
          </cell>
          <cell r="B21">
            <v>250</v>
          </cell>
          <cell r="C21">
            <v>2.5</v>
          </cell>
          <cell r="D21">
            <v>233.5</v>
          </cell>
        </row>
        <row r="22">
          <cell r="A22" t="str">
            <v>22510</v>
          </cell>
          <cell r="B22">
            <v>225</v>
          </cell>
          <cell r="C22">
            <v>10</v>
          </cell>
          <cell r="D22">
            <v>173.4</v>
          </cell>
        </row>
        <row r="23">
          <cell r="A23" t="str">
            <v>2256</v>
          </cell>
          <cell r="B23">
            <v>225</v>
          </cell>
          <cell r="C23">
            <v>6</v>
          </cell>
          <cell r="D23">
            <v>191.4</v>
          </cell>
        </row>
        <row r="24">
          <cell r="A24" t="str">
            <v>2254</v>
          </cell>
          <cell r="B24">
            <v>225</v>
          </cell>
          <cell r="C24">
            <v>4</v>
          </cell>
          <cell r="D24">
            <v>201.9</v>
          </cell>
        </row>
        <row r="25">
          <cell r="A25" t="str">
            <v>2252.5</v>
          </cell>
          <cell r="B25">
            <v>225</v>
          </cell>
          <cell r="C25">
            <v>2.5</v>
          </cell>
          <cell r="D25">
            <v>210.3</v>
          </cell>
        </row>
        <row r="26">
          <cell r="A26" t="str">
            <v>20010</v>
          </cell>
          <cell r="B26">
            <v>200</v>
          </cell>
          <cell r="C26">
            <v>10</v>
          </cell>
          <cell r="D26">
            <v>154.30000000000001</v>
          </cell>
        </row>
        <row r="27">
          <cell r="A27" t="str">
            <v>2006</v>
          </cell>
          <cell r="B27">
            <v>200</v>
          </cell>
          <cell r="C27">
            <v>6</v>
          </cell>
          <cell r="D27">
            <v>169.9</v>
          </cell>
        </row>
        <row r="28">
          <cell r="A28" t="str">
            <v>2004</v>
          </cell>
          <cell r="B28">
            <v>200</v>
          </cell>
          <cell r="C28">
            <v>4</v>
          </cell>
          <cell r="D28">
            <v>179.4</v>
          </cell>
        </row>
        <row r="29">
          <cell r="A29" t="str">
            <v>2002.5</v>
          </cell>
          <cell r="B29">
            <v>200</v>
          </cell>
          <cell r="C29">
            <v>2.5</v>
          </cell>
          <cell r="D29">
            <v>186.7</v>
          </cell>
        </row>
        <row r="30">
          <cell r="A30" t="str">
            <v>18010</v>
          </cell>
          <cell r="B30">
            <v>180</v>
          </cell>
          <cell r="C30">
            <v>10</v>
          </cell>
          <cell r="D30">
            <v>137.1</v>
          </cell>
        </row>
        <row r="31">
          <cell r="A31" t="str">
            <v>1806</v>
          </cell>
          <cell r="B31">
            <v>180</v>
          </cell>
          <cell r="C31">
            <v>6</v>
          </cell>
          <cell r="D31">
            <v>153.19999999999999</v>
          </cell>
        </row>
        <row r="32">
          <cell r="A32" t="str">
            <v>1804</v>
          </cell>
          <cell r="B32">
            <v>180</v>
          </cell>
          <cell r="C32">
            <v>4</v>
          </cell>
          <cell r="D32">
            <v>161.5</v>
          </cell>
        </row>
        <row r="33">
          <cell r="A33" t="str">
            <v>1802.5</v>
          </cell>
          <cell r="B33">
            <v>180</v>
          </cell>
          <cell r="C33">
            <v>2.5</v>
          </cell>
          <cell r="D33">
            <v>168</v>
          </cell>
        </row>
        <row r="34">
          <cell r="A34" t="str">
            <v>16010</v>
          </cell>
          <cell r="B34">
            <v>160</v>
          </cell>
          <cell r="C34">
            <v>10</v>
          </cell>
          <cell r="D34">
            <v>122</v>
          </cell>
        </row>
        <row r="35">
          <cell r="A35" t="str">
            <v>1606</v>
          </cell>
          <cell r="B35">
            <v>160</v>
          </cell>
          <cell r="C35">
            <v>6</v>
          </cell>
          <cell r="D35">
            <v>136</v>
          </cell>
        </row>
        <row r="36">
          <cell r="A36" t="str">
            <v>1604</v>
          </cell>
          <cell r="B36">
            <v>160</v>
          </cell>
          <cell r="C36">
            <v>4</v>
          </cell>
          <cell r="D36">
            <v>143.4</v>
          </cell>
        </row>
        <row r="37">
          <cell r="A37" t="str">
            <v>1602.5</v>
          </cell>
          <cell r="B37">
            <v>160</v>
          </cell>
          <cell r="C37">
            <v>2.5</v>
          </cell>
          <cell r="D37">
            <v>149.5</v>
          </cell>
        </row>
        <row r="38">
          <cell r="A38" t="str">
            <v>14010</v>
          </cell>
          <cell r="B38">
            <v>140</v>
          </cell>
          <cell r="C38">
            <v>10</v>
          </cell>
          <cell r="D38">
            <v>106.6</v>
          </cell>
        </row>
        <row r="39">
          <cell r="A39" t="str">
            <v>1406</v>
          </cell>
          <cell r="B39">
            <v>140</v>
          </cell>
          <cell r="C39">
            <v>6</v>
          </cell>
          <cell r="D39">
            <v>119</v>
          </cell>
        </row>
        <row r="40">
          <cell r="A40" t="str">
            <v>1404</v>
          </cell>
          <cell r="B40">
            <v>140</v>
          </cell>
          <cell r="C40">
            <v>4</v>
          </cell>
          <cell r="D40">
            <v>125.5</v>
          </cell>
        </row>
        <row r="41">
          <cell r="A41" t="str">
            <v>1402.5</v>
          </cell>
          <cell r="B41">
            <v>140</v>
          </cell>
          <cell r="C41">
            <v>2.5</v>
          </cell>
          <cell r="D41">
            <v>130.69999999999999</v>
          </cell>
        </row>
        <row r="42">
          <cell r="A42" t="str">
            <v>12510</v>
          </cell>
          <cell r="B42">
            <v>125</v>
          </cell>
          <cell r="C42">
            <v>10</v>
          </cell>
          <cell r="D42">
            <v>95.1</v>
          </cell>
        </row>
        <row r="43">
          <cell r="A43" t="str">
            <v>1256</v>
          </cell>
          <cell r="B43">
            <v>125</v>
          </cell>
          <cell r="C43">
            <v>6</v>
          </cell>
          <cell r="D43">
            <v>106</v>
          </cell>
        </row>
        <row r="44">
          <cell r="A44" t="str">
            <v>1254</v>
          </cell>
          <cell r="B44">
            <v>125</v>
          </cell>
          <cell r="C44">
            <v>4</v>
          </cell>
          <cell r="D44">
            <v>112.2</v>
          </cell>
        </row>
        <row r="45">
          <cell r="A45" t="str">
            <v>1252.5</v>
          </cell>
          <cell r="B45">
            <v>125</v>
          </cell>
          <cell r="C45">
            <v>2.5</v>
          </cell>
          <cell r="D45">
            <v>116.6</v>
          </cell>
        </row>
        <row r="46">
          <cell r="A46" t="str">
            <v>11010</v>
          </cell>
          <cell r="B46">
            <v>110</v>
          </cell>
          <cell r="C46">
            <v>10</v>
          </cell>
          <cell r="D46">
            <v>83.7</v>
          </cell>
        </row>
        <row r="47">
          <cell r="A47" t="str">
            <v>1106</v>
          </cell>
          <cell r="B47">
            <v>110</v>
          </cell>
          <cell r="C47">
            <v>6</v>
          </cell>
          <cell r="D47">
            <v>93.4</v>
          </cell>
        </row>
        <row r="48">
          <cell r="A48" t="str">
            <v>1104</v>
          </cell>
          <cell r="B48">
            <v>110</v>
          </cell>
          <cell r="C48">
            <v>4</v>
          </cell>
          <cell r="D48">
            <v>98.7</v>
          </cell>
        </row>
        <row r="49">
          <cell r="A49" t="str">
            <v>1102.5</v>
          </cell>
          <cell r="B49">
            <v>110</v>
          </cell>
          <cell r="C49">
            <v>2.5</v>
          </cell>
          <cell r="D49">
            <v>102.6</v>
          </cell>
        </row>
        <row r="50">
          <cell r="A50" t="str">
            <v>9010</v>
          </cell>
          <cell r="B50">
            <v>90</v>
          </cell>
          <cell r="C50">
            <v>10</v>
          </cell>
          <cell r="D50">
            <v>68.5</v>
          </cell>
        </row>
        <row r="51">
          <cell r="A51" t="str">
            <v>906</v>
          </cell>
          <cell r="B51">
            <v>90</v>
          </cell>
          <cell r="C51">
            <v>6</v>
          </cell>
          <cell r="D51">
            <v>76.3</v>
          </cell>
        </row>
        <row r="52">
          <cell r="A52" t="str">
            <v>904</v>
          </cell>
          <cell r="B52">
            <v>90</v>
          </cell>
          <cell r="C52">
            <v>4</v>
          </cell>
          <cell r="D52">
            <v>80.5</v>
          </cell>
        </row>
        <row r="53">
          <cell r="A53" t="str">
            <v>7510</v>
          </cell>
          <cell r="B53">
            <v>75</v>
          </cell>
          <cell r="C53">
            <v>10</v>
          </cell>
          <cell r="D53">
            <v>57.1</v>
          </cell>
        </row>
        <row r="54">
          <cell r="A54" t="str">
            <v>756</v>
          </cell>
          <cell r="B54">
            <v>75</v>
          </cell>
          <cell r="C54">
            <v>6</v>
          </cell>
          <cell r="D54">
            <v>63.6</v>
          </cell>
        </row>
        <row r="55">
          <cell r="A55" t="str">
            <v>754</v>
          </cell>
          <cell r="B55">
            <v>75</v>
          </cell>
          <cell r="C55">
            <v>4</v>
          </cell>
          <cell r="D55">
            <v>67.099999999999994</v>
          </cell>
        </row>
        <row r="56">
          <cell r="A56" t="str">
            <v>6310</v>
          </cell>
          <cell r="B56">
            <v>63</v>
          </cell>
          <cell r="C56">
            <v>10</v>
          </cell>
          <cell r="D56">
            <v>47.8</v>
          </cell>
        </row>
        <row r="57">
          <cell r="A57" t="str">
            <v>636</v>
          </cell>
          <cell r="B57">
            <v>63</v>
          </cell>
          <cell r="C57">
            <v>6</v>
          </cell>
          <cell r="D57">
            <v>53.3</v>
          </cell>
        </row>
        <row r="58">
          <cell r="A58" t="str">
            <v>634</v>
          </cell>
          <cell r="B58">
            <v>63</v>
          </cell>
          <cell r="C58">
            <v>4</v>
          </cell>
          <cell r="D58">
            <v>56.5</v>
          </cell>
        </row>
        <row r="59">
          <cell r="A59" t="str">
            <v>5010</v>
          </cell>
          <cell r="B59">
            <v>50</v>
          </cell>
          <cell r="C59">
            <v>10</v>
          </cell>
          <cell r="D59">
            <v>38</v>
          </cell>
        </row>
        <row r="60">
          <cell r="A60" t="str">
            <v>506</v>
          </cell>
          <cell r="B60">
            <v>50</v>
          </cell>
          <cell r="C60">
            <v>6</v>
          </cell>
          <cell r="D60">
            <v>42.2</v>
          </cell>
        </row>
        <row r="61">
          <cell r="A61" t="str">
            <v>504</v>
          </cell>
          <cell r="B61">
            <v>50</v>
          </cell>
          <cell r="C61">
            <v>4</v>
          </cell>
          <cell r="D61">
            <v>44.7</v>
          </cell>
        </row>
        <row r="62">
          <cell r="A62" t="str">
            <v>4010</v>
          </cell>
          <cell r="B62">
            <v>40</v>
          </cell>
          <cell r="C62">
            <v>10</v>
          </cell>
          <cell r="D62">
            <v>30.3</v>
          </cell>
        </row>
        <row r="63">
          <cell r="A63" t="str">
            <v>406</v>
          </cell>
          <cell r="B63">
            <v>40</v>
          </cell>
          <cell r="C63">
            <v>6</v>
          </cell>
          <cell r="D63">
            <v>33.700000000000003</v>
          </cell>
        </row>
        <row r="64">
          <cell r="A64" t="str">
            <v>404</v>
          </cell>
          <cell r="B64">
            <v>40</v>
          </cell>
          <cell r="C64">
            <v>4</v>
          </cell>
          <cell r="D64">
            <v>35.6</v>
          </cell>
        </row>
        <row r="65">
          <cell r="A65" t="str">
            <v>3210</v>
          </cell>
          <cell r="B65">
            <v>32</v>
          </cell>
          <cell r="C65">
            <v>10</v>
          </cell>
          <cell r="D65">
            <v>24.1</v>
          </cell>
        </row>
        <row r="66">
          <cell r="A66" t="str">
            <v>326</v>
          </cell>
          <cell r="B66">
            <v>32</v>
          </cell>
          <cell r="C66">
            <v>6</v>
          </cell>
          <cell r="D66">
            <v>26.9</v>
          </cell>
        </row>
        <row r="67">
          <cell r="A67" t="str">
            <v>2510</v>
          </cell>
          <cell r="B67">
            <v>25</v>
          </cell>
          <cell r="C67">
            <v>10</v>
          </cell>
          <cell r="D67">
            <v>18.899999999999999</v>
          </cell>
        </row>
        <row r="68">
          <cell r="A68" t="str">
            <v>2010</v>
          </cell>
          <cell r="B68">
            <v>20</v>
          </cell>
          <cell r="C68">
            <v>10</v>
          </cell>
          <cell r="D68">
            <v>14.9</v>
          </cell>
        </row>
        <row r="69">
          <cell r="A69" t="str">
            <v>1610</v>
          </cell>
          <cell r="B69">
            <v>16</v>
          </cell>
          <cell r="C69">
            <v>10</v>
          </cell>
          <cell r="D69">
            <v>11.6</v>
          </cell>
        </row>
        <row r="70">
          <cell r="B70" t="str">
            <v>Total of HDP  Pipe Procurement</v>
          </cell>
          <cell r="D70" t="str">
            <v>Length (m)</v>
          </cell>
        </row>
        <row r="71">
          <cell r="D71" t="str">
            <v>Weight (Kg)</v>
          </cell>
        </row>
        <row r="72">
          <cell r="D72" t="str">
            <v>Basic Cost (Rs.)</v>
          </cell>
        </row>
        <row r="73">
          <cell r="D73" t="str">
            <v>Transp. upto Buffer</v>
          </cell>
        </row>
        <row r="74">
          <cell r="D74" t="str">
            <v>Sub-Total Cost (Rs.)</v>
          </cell>
        </row>
        <row r="75">
          <cell r="B75" t="str">
            <v>GI PIPES - Transportation Cost upto Roadhead &gt;&gt;&gt;</v>
          </cell>
        </row>
        <row r="76">
          <cell r="A76" t="str">
            <v>0.5LC</v>
          </cell>
          <cell r="B76">
            <v>0.5</v>
          </cell>
          <cell r="C76" t="str">
            <v>LC</v>
          </cell>
          <cell r="D76">
            <v>14.4</v>
          </cell>
        </row>
        <row r="77">
          <cell r="A77" t="str">
            <v>0.75LC</v>
          </cell>
          <cell r="B77">
            <v>0.75</v>
          </cell>
          <cell r="C77" t="str">
            <v>LC</v>
          </cell>
          <cell r="D77">
            <v>20</v>
          </cell>
        </row>
        <row r="78">
          <cell r="A78" t="str">
            <v>1LC</v>
          </cell>
          <cell r="B78">
            <v>1</v>
          </cell>
          <cell r="C78" t="str">
            <v>LC</v>
          </cell>
          <cell r="D78">
            <v>25.4</v>
          </cell>
        </row>
        <row r="79">
          <cell r="A79" t="str">
            <v>1.25LC</v>
          </cell>
          <cell r="B79">
            <v>1.25</v>
          </cell>
          <cell r="C79" t="str">
            <v>LC</v>
          </cell>
          <cell r="D79">
            <v>31.8</v>
          </cell>
        </row>
        <row r="80">
          <cell r="A80" t="str">
            <v>1.5LC</v>
          </cell>
          <cell r="B80">
            <v>1.5</v>
          </cell>
          <cell r="C80" t="str">
            <v>LC</v>
          </cell>
          <cell r="D80">
            <v>38.1</v>
          </cell>
        </row>
        <row r="81">
          <cell r="A81" t="str">
            <v>2LC</v>
          </cell>
          <cell r="B81">
            <v>2</v>
          </cell>
          <cell r="C81" t="str">
            <v>LC</v>
          </cell>
          <cell r="D81">
            <v>50.8</v>
          </cell>
        </row>
        <row r="82">
          <cell r="A82" t="str">
            <v>2.5LC</v>
          </cell>
          <cell r="B82">
            <v>2.5</v>
          </cell>
          <cell r="C82" t="str">
            <v>LC</v>
          </cell>
          <cell r="D82">
            <v>63.5</v>
          </cell>
        </row>
        <row r="83">
          <cell r="A83" t="str">
            <v>3LC</v>
          </cell>
          <cell r="B83">
            <v>3</v>
          </cell>
          <cell r="C83" t="str">
            <v>LC</v>
          </cell>
          <cell r="D83">
            <v>76.2</v>
          </cell>
        </row>
        <row r="84">
          <cell r="A84" t="str">
            <v>4LC</v>
          </cell>
          <cell r="B84">
            <v>4</v>
          </cell>
          <cell r="C84" t="str">
            <v>LC</v>
          </cell>
          <cell r="D84">
            <v>100</v>
          </cell>
        </row>
        <row r="85">
          <cell r="A85" t="str">
            <v>0.5MC</v>
          </cell>
          <cell r="B85">
            <v>0.5</v>
          </cell>
          <cell r="C85" t="str">
            <v>MC</v>
          </cell>
          <cell r="D85">
            <v>14.4</v>
          </cell>
        </row>
        <row r="86">
          <cell r="A86" t="str">
            <v>0.75MC</v>
          </cell>
          <cell r="B86">
            <v>0.75</v>
          </cell>
          <cell r="C86" t="str">
            <v>MC</v>
          </cell>
          <cell r="D86">
            <v>20</v>
          </cell>
        </row>
        <row r="87">
          <cell r="A87" t="str">
            <v>1MC</v>
          </cell>
          <cell r="B87">
            <v>1</v>
          </cell>
          <cell r="C87" t="str">
            <v>MC</v>
          </cell>
          <cell r="D87">
            <v>25.4</v>
          </cell>
        </row>
        <row r="88">
          <cell r="A88" t="str">
            <v>1.25MC</v>
          </cell>
          <cell r="B88">
            <v>1.25</v>
          </cell>
          <cell r="C88" t="str">
            <v>MC</v>
          </cell>
          <cell r="D88">
            <v>31.8</v>
          </cell>
        </row>
        <row r="89">
          <cell r="A89" t="str">
            <v>1.5MC</v>
          </cell>
          <cell r="B89">
            <v>1.5</v>
          </cell>
          <cell r="C89" t="str">
            <v>MC</v>
          </cell>
          <cell r="D89">
            <v>38.1</v>
          </cell>
        </row>
        <row r="90">
          <cell r="A90" t="str">
            <v>2MC</v>
          </cell>
          <cell r="B90">
            <v>2</v>
          </cell>
          <cell r="C90" t="str">
            <v>MC</v>
          </cell>
          <cell r="D90">
            <v>50.8</v>
          </cell>
        </row>
        <row r="91">
          <cell r="A91" t="str">
            <v>2.5MC</v>
          </cell>
          <cell r="B91">
            <v>2.5</v>
          </cell>
          <cell r="C91" t="str">
            <v>MC</v>
          </cell>
          <cell r="D91">
            <v>63.5</v>
          </cell>
        </row>
        <row r="92">
          <cell r="A92" t="str">
            <v>3MC</v>
          </cell>
          <cell r="B92">
            <v>3</v>
          </cell>
          <cell r="C92" t="str">
            <v>MC</v>
          </cell>
          <cell r="D92">
            <v>76.2</v>
          </cell>
        </row>
        <row r="93">
          <cell r="A93" t="str">
            <v>4MC</v>
          </cell>
          <cell r="B93">
            <v>4</v>
          </cell>
          <cell r="C93" t="str">
            <v>MC</v>
          </cell>
          <cell r="D93">
            <v>100</v>
          </cell>
        </row>
        <row r="94">
          <cell r="A94" t="str">
            <v>5MC</v>
          </cell>
          <cell r="B94">
            <v>5</v>
          </cell>
          <cell r="C94" t="str">
            <v>MC</v>
          </cell>
          <cell r="D94">
            <v>125</v>
          </cell>
        </row>
        <row r="95">
          <cell r="A95" t="str">
            <v>6MC</v>
          </cell>
          <cell r="B95">
            <v>6</v>
          </cell>
          <cell r="C95" t="str">
            <v>MC</v>
          </cell>
          <cell r="D95">
            <v>150</v>
          </cell>
        </row>
        <row r="96">
          <cell r="A96" t="str">
            <v>8MC</v>
          </cell>
          <cell r="B96">
            <v>8</v>
          </cell>
          <cell r="C96" t="str">
            <v>MC</v>
          </cell>
          <cell r="D96">
            <v>200</v>
          </cell>
        </row>
        <row r="97">
          <cell r="A97" t="str">
            <v>0.5HC</v>
          </cell>
          <cell r="B97">
            <v>0.5</v>
          </cell>
          <cell r="C97" t="str">
            <v>HC</v>
          </cell>
          <cell r="D97">
            <v>14.4</v>
          </cell>
        </row>
        <row r="98">
          <cell r="A98" t="str">
            <v>0.75HC</v>
          </cell>
          <cell r="B98">
            <v>0.75</v>
          </cell>
          <cell r="C98" t="str">
            <v>HC</v>
          </cell>
          <cell r="D98">
            <v>20</v>
          </cell>
        </row>
        <row r="99">
          <cell r="A99" t="str">
            <v>1HC</v>
          </cell>
          <cell r="B99">
            <v>1</v>
          </cell>
          <cell r="C99" t="str">
            <v>HC</v>
          </cell>
          <cell r="D99">
            <v>25.4</v>
          </cell>
        </row>
        <row r="100">
          <cell r="A100" t="str">
            <v>1.25HC</v>
          </cell>
          <cell r="B100">
            <v>1.25</v>
          </cell>
          <cell r="C100" t="str">
            <v>HC</v>
          </cell>
          <cell r="D100">
            <v>31.8</v>
          </cell>
        </row>
        <row r="101">
          <cell r="A101" t="str">
            <v>1.5HC</v>
          </cell>
          <cell r="B101">
            <v>1.5</v>
          </cell>
          <cell r="C101" t="str">
            <v>HC</v>
          </cell>
          <cell r="D101">
            <v>38.1</v>
          </cell>
        </row>
        <row r="102">
          <cell r="A102" t="str">
            <v>2HC</v>
          </cell>
          <cell r="B102">
            <v>2</v>
          </cell>
          <cell r="C102" t="str">
            <v>HC</v>
          </cell>
          <cell r="D102">
            <v>50.8</v>
          </cell>
        </row>
        <row r="103">
          <cell r="A103" t="str">
            <v>2.5HC</v>
          </cell>
          <cell r="B103">
            <v>2.5</v>
          </cell>
          <cell r="C103" t="str">
            <v>HC</v>
          </cell>
          <cell r="D103">
            <v>63.5</v>
          </cell>
        </row>
        <row r="104">
          <cell r="A104" t="str">
            <v>3HC</v>
          </cell>
          <cell r="B104">
            <v>3</v>
          </cell>
          <cell r="C104" t="str">
            <v>HC</v>
          </cell>
          <cell r="D104">
            <v>76.2</v>
          </cell>
        </row>
        <row r="105">
          <cell r="A105" t="str">
            <v>4HC</v>
          </cell>
          <cell r="B105">
            <v>4</v>
          </cell>
          <cell r="C105" t="str">
            <v>HC</v>
          </cell>
          <cell r="D105">
            <v>100</v>
          </cell>
        </row>
        <row r="106">
          <cell r="A106" t="str">
            <v>5HC</v>
          </cell>
          <cell r="B106">
            <v>5</v>
          </cell>
          <cell r="C106" t="str">
            <v>HC</v>
          </cell>
          <cell r="D106">
            <v>125</v>
          </cell>
        </row>
        <row r="107">
          <cell r="A107" t="str">
            <v>6HC</v>
          </cell>
          <cell r="B107">
            <v>6</v>
          </cell>
          <cell r="C107" t="str">
            <v>HC</v>
          </cell>
          <cell r="D107">
            <v>150</v>
          </cell>
        </row>
        <row r="108">
          <cell r="A108" t="str">
            <v>8HC</v>
          </cell>
          <cell r="B108">
            <v>8</v>
          </cell>
          <cell r="C108" t="str">
            <v>HC</v>
          </cell>
          <cell r="D108">
            <v>200</v>
          </cell>
        </row>
        <row r="109">
          <cell r="B109" t="str">
            <v>Total of GI  Pipe Procurement (Including for Fittings)</v>
          </cell>
          <cell r="D109" t="str">
            <v>Length (m)</v>
          </cell>
        </row>
        <row r="110">
          <cell r="D110" t="str">
            <v>Weight (Kg)</v>
          </cell>
        </row>
        <row r="111">
          <cell r="D111" t="str">
            <v>Basic Cost (Rs.)</v>
          </cell>
        </row>
        <row r="112">
          <cell r="D112" t="str">
            <v>Transp. upto Buffer</v>
          </cell>
        </row>
        <row r="113">
          <cell r="D113" t="str">
            <v>Sub-Total Cost (Rs.)</v>
          </cell>
        </row>
        <row r="114">
          <cell r="B114" t="str">
            <v>USER DEFINED CATEGORY OF PIPES ( one of DI, CI, RCC etc. )</v>
          </cell>
        </row>
        <row r="115">
          <cell r="A115" t="str">
            <v>1.25UC</v>
          </cell>
          <cell r="B115">
            <v>1.25</v>
          </cell>
          <cell r="C115" t="str">
            <v>UC</v>
          </cell>
          <cell r="D115">
            <v>31.8</v>
          </cell>
        </row>
        <row r="116">
          <cell r="A116" t="str">
            <v>1.5UC</v>
          </cell>
          <cell r="B116">
            <v>1.5</v>
          </cell>
          <cell r="C116" t="str">
            <v>UC</v>
          </cell>
          <cell r="D116">
            <v>38.1</v>
          </cell>
        </row>
        <row r="117">
          <cell r="A117" t="str">
            <v>2UC</v>
          </cell>
          <cell r="B117">
            <v>2</v>
          </cell>
          <cell r="C117" t="str">
            <v>UC</v>
          </cell>
          <cell r="D117">
            <v>50.8</v>
          </cell>
        </row>
        <row r="118">
          <cell r="A118" t="str">
            <v>2.5UC</v>
          </cell>
          <cell r="B118">
            <v>2.5</v>
          </cell>
          <cell r="C118" t="str">
            <v>UC</v>
          </cell>
          <cell r="D118">
            <v>63.5</v>
          </cell>
        </row>
        <row r="119">
          <cell r="A119" t="str">
            <v>3UC</v>
          </cell>
          <cell r="B119">
            <v>3</v>
          </cell>
          <cell r="C119" t="str">
            <v>UC</v>
          </cell>
          <cell r="D119">
            <v>76.2</v>
          </cell>
        </row>
        <row r="120">
          <cell r="A120" t="str">
            <v>4UC</v>
          </cell>
          <cell r="B120">
            <v>4</v>
          </cell>
          <cell r="C120" t="str">
            <v>UC</v>
          </cell>
          <cell r="D120">
            <v>100</v>
          </cell>
        </row>
        <row r="121">
          <cell r="A121" t="str">
            <v>5UC</v>
          </cell>
          <cell r="B121">
            <v>5</v>
          </cell>
          <cell r="C121" t="str">
            <v>UC</v>
          </cell>
          <cell r="D121">
            <v>125</v>
          </cell>
        </row>
        <row r="122">
          <cell r="A122" t="str">
            <v>6UC</v>
          </cell>
          <cell r="B122">
            <v>6</v>
          </cell>
          <cell r="C122" t="str">
            <v>UC</v>
          </cell>
          <cell r="D122">
            <v>150</v>
          </cell>
        </row>
        <row r="123">
          <cell r="A123" t="str">
            <v>8UC</v>
          </cell>
          <cell r="B123">
            <v>8</v>
          </cell>
          <cell r="C123" t="str">
            <v>UC</v>
          </cell>
          <cell r="D123">
            <v>200</v>
          </cell>
        </row>
        <row r="124">
          <cell r="A124" t="str">
            <v>10UC</v>
          </cell>
          <cell r="B124">
            <v>10</v>
          </cell>
          <cell r="C124" t="str">
            <v>UC</v>
          </cell>
          <cell r="D124">
            <v>250</v>
          </cell>
        </row>
        <row r="125">
          <cell r="A125" t="str">
            <v>12UC</v>
          </cell>
          <cell r="B125">
            <v>12</v>
          </cell>
          <cell r="C125" t="str">
            <v>UC</v>
          </cell>
          <cell r="D125">
            <v>300</v>
          </cell>
        </row>
        <row r="126">
          <cell r="A126" t="str">
            <v>14UC</v>
          </cell>
          <cell r="B126">
            <v>14</v>
          </cell>
          <cell r="C126" t="str">
            <v>UC</v>
          </cell>
          <cell r="D126">
            <v>350</v>
          </cell>
        </row>
        <row r="132">
          <cell r="G132">
            <v>4674.7299999999996</v>
          </cell>
          <cell r="I132">
            <v>7625.2000000000007</v>
          </cell>
          <cell r="K132">
            <v>8501.9</v>
          </cell>
          <cell r="M132">
            <v>528</v>
          </cell>
        </row>
        <row r="134">
          <cell r="G134">
            <v>255722.61414999998</v>
          </cell>
          <cell r="I134">
            <v>472781.14048</v>
          </cell>
          <cell r="K134">
            <v>716200.70675999997</v>
          </cell>
          <cell r="M134">
            <v>339741.54610000004</v>
          </cell>
        </row>
      </sheetData>
      <sheetData sheetId="12">
        <row r="9">
          <cell r="O9">
            <v>704758.23899999994</v>
          </cell>
        </row>
        <row r="37">
          <cell r="C37">
            <v>16</v>
          </cell>
        </row>
        <row r="38">
          <cell r="C38">
            <v>20</v>
          </cell>
        </row>
        <row r="39">
          <cell r="C39">
            <v>25</v>
          </cell>
        </row>
        <row r="40">
          <cell r="C40">
            <v>32</v>
          </cell>
        </row>
        <row r="41">
          <cell r="C41">
            <v>40</v>
          </cell>
        </row>
        <row r="42">
          <cell r="C42">
            <v>50</v>
          </cell>
        </row>
        <row r="43">
          <cell r="C43">
            <v>63</v>
          </cell>
        </row>
        <row r="44">
          <cell r="C44">
            <v>75</v>
          </cell>
        </row>
        <row r="45">
          <cell r="C45">
            <v>90</v>
          </cell>
        </row>
        <row r="46">
          <cell r="C46">
            <v>110</v>
          </cell>
        </row>
        <row r="47">
          <cell r="C47">
            <v>125</v>
          </cell>
        </row>
        <row r="48">
          <cell r="C48">
            <v>140</v>
          </cell>
        </row>
        <row r="49">
          <cell r="C49">
            <v>160</v>
          </cell>
        </row>
        <row r="50">
          <cell r="C50">
            <v>180</v>
          </cell>
        </row>
        <row r="51">
          <cell r="C51">
            <v>200</v>
          </cell>
        </row>
        <row r="52">
          <cell r="C52">
            <v>225</v>
          </cell>
        </row>
        <row r="53">
          <cell r="C53">
            <v>250</v>
          </cell>
        </row>
        <row r="54">
          <cell r="C54">
            <v>0.5</v>
          </cell>
        </row>
        <row r="55">
          <cell r="C55">
            <v>0.75</v>
          </cell>
        </row>
        <row r="56">
          <cell r="C56">
            <v>1</v>
          </cell>
        </row>
        <row r="57">
          <cell r="C57">
            <v>1.25</v>
          </cell>
        </row>
        <row r="58">
          <cell r="C58">
            <v>1.5</v>
          </cell>
        </row>
        <row r="59">
          <cell r="C59">
            <v>2</v>
          </cell>
        </row>
        <row r="60">
          <cell r="C60">
            <v>2.5</v>
          </cell>
        </row>
        <row r="61">
          <cell r="C61">
            <v>3</v>
          </cell>
        </row>
        <row r="62">
          <cell r="C62">
            <v>4</v>
          </cell>
        </row>
        <row r="63">
          <cell r="C63">
            <v>5</v>
          </cell>
        </row>
        <row r="64">
          <cell r="C64">
            <v>6</v>
          </cell>
        </row>
        <row r="65">
          <cell r="C65" t="str">
            <v>1.25UC</v>
          </cell>
        </row>
        <row r="66">
          <cell r="C66" t="str">
            <v>1.5UC</v>
          </cell>
        </row>
        <row r="67">
          <cell r="C67" t="str">
            <v>2UC</v>
          </cell>
        </row>
        <row r="68">
          <cell r="C68" t="str">
            <v>2.5UC</v>
          </cell>
        </row>
        <row r="69">
          <cell r="C69" t="str">
            <v>3UC</v>
          </cell>
        </row>
        <row r="70">
          <cell r="C70" t="str">
            <v>4UC</v>
          </cell>
        </row>
        <row r="71">
          <cell r="C71" t="str">
            <v>5UC</v>
          </cell>
        </row>
        <row r="72">
          <cell r="C72" t="str">
            <v>6UC</v>
          </cell>
        </row>
        <row r="73">
          <cell r="C73" t="str">
            <v>8UC</v>
          </cell>
        </row>
        <row r="74">
          <cell r="C74" t="str">
            <v>10UC</v>
          </cell>
        </row>
        <row r="75">
          <cell r="C75" t="str">
            <v>12UC</v>
          </cell>
        </row>
        <row r="76">
          <cell r="C76" t="str">
            <v>14UC</v>
          </cell>
        </row>
        <row r="77">
          <cell r="I77">
            <v>80473.846875599993</v>
          </cell>
          <cell r="O77">
            <v>716644.73859994987</v>
          </cell>
        </row>
        <row r="79">
          <cell r="O79">
            <v>1340376.4920000001</v>
          </cell>
        </row>
        <row r="107">
          <cell r="C107">
            <v>16</v>
          </cell>
        </row>
        <row r="108">
          <cell r="C108">
            <v>20</v>
          </cell>
        </row>
        <row r="109">
          <cell r="C109">
            <v>25</v>
          </cell>
        </row>
        <row r="110">
          <cell r="C110">
            <v>32</v>
          </cell>
        </row>
        <row r="111">
          <cell r="C111">
            <v>40</v>
          </cell>
        </row>
        <row r="112">
          <cell r="C112">
            <v>50</v>
          </cell>
        </row>
        <row r="113">
          <cell r="C113">
            <v>63</v>
          </cell>
        </row>
        <row r="114">
          <cell r="C114">
            <v>75</v>
          </cell>
        </row>
        <row r="115">
          <cell r="C115">
            <v>90</v>
          </cell>
        </row>
        <row r="116">
          <cell r="C116">
            <v>110</v>
          </cell>
        </row>
        <row r="117">
          <cell r="C117">
            <v>125</v>
          </cell>
        </row>
        <row r="118">
          <cell r="C118">
            <v>140</v>
          </cell>
        </row>
        <row r="119">
          <cell r="C119">
            <v>160</v>
          </cell>
        </row>
        <row r="120">
          <cell r="C120">
            <v>180</v>
          </cell>
        </row>
        <row r="121">
          <cell r="C121">
            <v>200</v>
          </cell>
        </row>
        <row r="122">
          <cell r="C122">
            <v>225</v>
          </cell>
        </row>
        <row r="123">
          <cell r="C123">
            <v>250</v>
          </cell>
        </row>
        <row r="124">
          <cell r="C124">
            <v>0.5</v>
          </cell>
        </row>
        <row r="125">
          <cell r="C125">
            <v>0.75</v>
          </cell>
        </row>
        <row r="126">
          <cell r="C126">
            <v>1</v>
          </cell>
        </row>
        <row r="127">
          <cell r="C127">
            <v>1.25</v>
          </cell>
        </row>
        <row r="128">
          <cell r="C128">
            <v>1.5</v>
          </cell>
        </row>
        <row r="129">
          <cell r="C129">
            <v>2</v>
          </cell>
        </row>
        <row r="130">
          <cell r="C130">
            <v>2.5</v>
          </cell>
        </row>
        <row r="131">
          <cell r="C131">
            <v>3</v>
          </cell>
        </row>
        <row r="132">
          <cell r="C132">
            <v>4</v>
          </cell>
        </row>
        <row r="133">
          <cell r="C133">
            <v>5</v>
          </cell>
        </row>
        <row r="134">
          <cell r="C134">
            <v>6</v>
          </cell>
        </row>
        <row r="135">
          <cell r="C135" t="str">
            <v>1.25UC</v>
          </cell>
        </row>
        <row r="136">
          <cell r="C136" t="str">
            <v>1.5UC</v>
          </cell>
        </row>
        <row r="137">
          <cell r="C137" t="str">
            <v>2UC</v>
          </cell>
        </row>
        <row r="138">
          <cell r="C138" t="str">
            <v>2.5UC</v>
          </cell>
        </row>
        <row r="139">
          <cell r="C139" t="str">
            <v>3UC</v>
          </cell>
        </row>
        <row r="140">
          <cell r="C140" t="str">
            <v>4UC</v>
          </cell>
        </row>
        <row r="141">
          <cell r="C141" t="str">
            <v>5UC</v>
          </cell>
        </row>
        <row r="142">
          <cell r="C142" t="str">
            <v>6UC</v>
          </cell>
        </row>
        <row r="147">
          <cell r="I147">
            <v>26970.193649999997</v>
          </cell>
          <cell r="O147">
            <v>1363864.8693791502</v>
          </cell>
        </row>
        <row r="149">
          <cell r="O149">
            <v>1343990.5560000001</v>
          </cell>
        </row>
        <row r="177">
          <cell r="C177">
            <v>16</v>
          </cell>
        </row>
        <row r="178">
          <cell r="C178">
            <v>20</v>
          </cell>
        </row>
        <row r="179">
          <cell r="C179">
            <v>25</v>
          </cell>
        </row>
        <row r="180">
          <cell r="C180">
            <v>32</v>
          </cell>
        </row>
        <row r="181">
          <cell r="C181">
            <v>40</v>
          </cell>
        </row>
        <row r="182">
          <cell r="C182">
            <v>50</v>
          </cell>
        </row>
        <row r="183">
          <cell r="C183">
            <v>63</v>
          </cell>
        </row>
        <row r="184">
          <cell r="C184">
            <v>75</v>
          </cell>
        </row>
        <row r="185">
          <cell r="C185">
            <v>90</v>
          </cell>
        </row>
        <row r="186">
          <cell r="C186">
            <v>110</v>
          </cell>
        </row>
        <row r="187">
          <cell r="C187">
            <v>125</v>
          </cell>
        </row>
        <row r="188">
          <cell r="C188">
            <v>140</v>
          </cell>
        </row>
        <row r="189">
          <cell r="C189">
            <v>160</v>
          </cell>
        </row>
        <row r="190">
          <cell r="C190">
            <v>180</v>
          </cell>
        </row>
        <row r="191">
          <cell r="C191">
            <v>200</v>
          </cell>
        </row>
        <row r="192">
          <cell r="C192">
            <v>225</v>
          </cell>
        </row>
        <row r="193">
          <cell r="C193">
            <v>250</v>
          </cell>
        </row>
        <row r="194">
          <cell r="C194">
            <v>0.5</v>
          </cell>
        </row>
        <row r="195">
          <cell r="C195">
            <v>0.75</v>
          </cell>
        </row>
        <row r="196">
          <cell r="C196">
            <v>1</v>
          </cell>
        </row>
        <row r="197">
          <cell r="C197">
            <v>1.25</v>
          </cell>
        </row>
        <row r="198">
          <cell r="C198">
            <v>1.5</v>
          </cell>
        </row>
        <row r="199">
          <cell r="C199">
            <v>2</v>
          </cell>
        </row>
        <row r="200">
          <cell r="C200">
            <v>2.5</v>
          </cell>
        </row>
        <row r="201">
          <cell r="C201">
            <v>3</v>
          </cell>
        </row>
        <row r="202">
          <cell r="C202">
            <v>4</v>
          </cell>
        </row>
        <row r="203">
          <cell r="C203">
            <v>5</v>
          </cell>
        </row>
        <row r="204">
          <cell r="C204">
            <v>6</v>
          </cell>
        </row>
        <row r="205">
          <cell r="C205" t="str">
            <v>1.25UC</v>
          </cell>
        </row>
        <row r="206">
          <cell r="C206" t="str">
            <v>1.5UC</v>
          </cell>
        </row>
        <row r="207">
          <cell r="C207" t="str">
            <v>2UC</v>
          </cell>
        </row>
        <row r="208">
          <cell r="C208" t="str">
            <v>2.5UC</v>
          </cell>
        </row>
        <row r="209">
          <cell r="C209" t="str">
            <v>3UC</v>
          </cell>
        </row>
        <row r="210">
          <cell r="C210" t="str">
            <v>4UC</v>
          </cell>
        </row>
        <row r="211">
          <cell r="C211" t="str">
            <v>5UC</v>
          </cell>
        </row>
        <row r="212">
          <cell r="C212" t="str">
            <v>6UC</v>
          </cell>
        </row>
        <row r="217">
          <cell r="I217">
            <v>169358.948202</v>
          </cell>
          <cell r="O217">
            <v>1387690.9791610001</v>
          </cell>
        </row>
      </sheetData>
      <sheetData sheetId="13">
        <row r="18">
          <cell r="B18" t="str">
            <v>Spring Intake1</v>
          </cell>
        </row>
      </sheetData>
      <sheetData sheetId="14"/>
      <sheetData sheetId="15">
        <row r="7">
          <cell r="E7" t="str">
            <v>Amount (Rs)</v>
          </cell>
          <cell r="F7" t="str">
            <v>Quantt</v>
          </cell>
          <cell r="G7" t="str">
            <v>Amount (Rs)</v>
          </cell>
          <cell r="H7" t="str">
            <v>Quantt</v>
          </cell>
          <cell r="I7" t="str">
            <v>Amount (Rs)</v>
          </cell>
          <cell r="J7" t="str">
            <v>Quantt</v>
          </cell>
          <cell r="K7" t="str">
            <v>Amount (Rs)</v>
          </cell>
        </row>
      </sheetData>
      <sheetData sheetId="1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tro-mech"/>
      <sheetName val="CostSummary"/>
      <sheetName val="Trainings"/>
      <sheetName val="SW"/>
      <sheetName val="Panera"/>
      <sheetName val="SprInt1"/>
      <sheetName val="SprInt2"/>
      <sheetName val="StrInt1"/>
      <sheetName val="StrInt2"/>
      <sheetName val="StrInt3"/>
      <sheetName val="CCDCIC"/>
      <sheetName val="SedTank"/>
      <sheetName val="RtAn"/>
      <sheetName val="FER-SED"/>
      <sheetName val="FRT"/>
      <sheetName val="RCT"/>
      <sheetName val="BarSchedule"/>
      <sheetName val="Fence"/>
      <sheetName val="RCC VC"/>
      <sheetName val="Rcc DC,IC,BPC"/>
      <sheetName val="PBPC"/>
      <sheetName val="VCs"/>
      <sheetName val="Cabl-Des"/>
      <sheetName val="CabCros"/>
      <sheetName val="UnderCros"/>
      <sheetName val="Piprot"/>
      <sheetName val="Miscel"/>
      <sheetName val="PSP1"/>
      <sheetName val="PSP2"/>
      <sheetName val="VIP1"/>
      <sheetName val="VIP2"/>
      <sheetName val="VIP3"/>
      <sheetName val="DP Lat"/>
      <sheetName val="MRT"/>
      <sheetName val="Sheets"/>
      <sheetName val="MatCol"/>
      <sheetName val="D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row r="97">
          <cell r="K97">
            <v>477029.31055666687</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PipeLineWork"/>
      <sheetName val="PipeList"/>
      <sheetName val="Wat.dem (2)"/>
      <sheetName val="Pop fst"/>
      <sheetName val="Salient"/>
      <sheetName val="Sum cost"/>
      <sheetName val="OHT50"/>
      <sheetName val="Trans"/>
      <sheetName val="RA"/>
      <sheetName val="M"/>
      <sheetName val="Pop fst (2)"/>
      <sheetName val="Cover"/>
      <sheetName val="Appro."/>
      <sheetName val="Rvt cal."/>
      <sheetName val="Tub drlig"/>
      <sheetName val="OHT225"/>
      <sheetName val="pumpH."/>
      <sheetName val="valve"/>
      <sheetName val="Road s box"/>
      <sheetName val="Air valve"/>
      <sheetName val="compwall"/>
      <sheetName val="pump &amp; electr."/>
      <sheetName val="Sheet1"/>
      <sheetName val="Iner dia of pip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Final "/>
      <sheetName val="Salint-Feartures."/>
      <sheetName val="Trainings"/>
      <sheetName val="Appro."/>
      <sheetName val="CostSummary"/>
      <sheetName val="SLTS Budget Summary"/>
      <sheetName val="Pipe"/>
      <sheetName val="Intake Repairs"/>
      <sheetName val="Panera"/>
      <sheetName val="HRF"/>
      <sheetName val="Sheet1"/>
      <sheetName val="repairs of structures"/>
      <sheetName val="RT Repair"/>
      <sheetName val="SprInt1"/>
      <sheetName val="SprInt2"/>
      <sheetName val="StrInt1"/>
      <sheetName val="StrInt2"/>
      <sheetName val="StrInt3"/>
      <sheetName val="CCDCIC"/>
      <sheetName val="SedTank"/>
      <sheetName val="ConCh"/>
      <sheetName val="FER-SED"/>
      <sheetName val="FRT"/>
      <sheetName val="RCT"/>
      <sheetName val="BarSchedule"/>
      <sheetName val="Fence"/>
      <sheetName val="RCC VC"/>
      <sheetName val="Rcc DC,IC,BPC"/>
      <sheetName val="PBPC"/>
      <sheetName val="VCs"/>
      <sheetName val="Cabl-Des"/>
      <sheetName val="CabCros"/>
      <sheetName val="Valve"/>
      <sheetName val="UnderCros"/>
      <sheetName val="Piprot"/>
      <sheetName val="Miscel"/>
      <sheetName val="PSP1"/>
      <sheetName val="PSP2"/>
      <sheetName val="MRT (1)"/>
      <sheetName val="PSP III"/>
      <sheetName val="VIP1"/>
      <sheetName val="VIP2"/>
      <sheetName val="VIP3"/>
      <sheetName val="DP Lat"/>
      <sheetName val="MRT"/>
      <sheetName val="Sheets"/>
      <sheetName val="RtAn"/>
      <sheetName val="MatCol"/>
      <sheetName val="D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row r="87">
          <cell r="K87">
            <v>123494.13685921871</v>
          </cell>
        </row>
      </sheetData>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55">
          <cell r="K55">
            <v>96.25</v>
          </cell>
        </row>
      </sheetData>
      <sheetData sheetId="48"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Criteria"/>
      <sheetName val="CheckList"/>
      <sheetName val="Dmand 2"/>
      <sheetName val="Dmand 1"/>
      <sheetName val="PipeDesign"/>
      <sheetName val="ProfileData"/>
      <sheetName val="PD-TMPLT"/>
      <sheetName val="FlowDiagram"/>
      <sheetName val="Plot"/>
      <sheetName val="Profile"/>
      <sheetName val="PipeList"/>
      <sheetName val="PipeLineWork"/>
      <sheetName val="PFdata"/>
      <sheetName val="Features"/>
      <sheetName val="FitData"/>
      <sheetName val="Fittings"/>
      <sheetName val="T&amp;P"/>
      <sheetName val="Summary"/>
      <sheetName val="Sheet1"/>
    </sheetNames>
    <sheetDataSet>
      <sheetData sheetId="0">
        <row r="3">
          <cell r="H3">
            <v>5</v>
          </cell>
        </row>
      </sheetData>
      <sheetData sheetId="1">
        <row r="2">
          <cell r="E2" t="str">
            <v>DWSS</v>
          </cell>
        </row>
      </sheetData>
      <sheetData sheetId="2">
        <row r="25">
          <cell r="C25">
            <v>64</v>
          </cell>
        </row>
      </sheetData>
      <sheetData sheetId="3"/>
      <sheetData sheetId="4"/>
      <sheetData sheetId="5"/>
      <sheetData sheetId="6">
        <row r="2">
          <cell r="D2">
            <v>0</v>
          </cell>
          <cell r="G2" t="str">
            <v>SCHEME NO:</v>
          </cell>
          <cell r="I2" t="e">
            <v>#N/A</v>
          </cell>
        </row>
        <row r="3">
          <cell r="B3" t="str">
            <v>TRANSMISSION  LINE</v>
          </cell>
          <cell r="D3">
            <v>0</v>
          </cell>
          <cell r="M3" t="str">
            <v>OD</v>
          </cell>
          <cell r="T3" t="str">
            <v>SOIL</v>
          </cell>
        </row>
        <row r="4">
          <cell r="A4">
            <v>1</v>
          </cell>
          <cell r="B4" t="str">
            <v>O</v>
          </cell>
          <cell r="C4">
            <v>0</v>
          </cell>
          <cell r="D4">
            <v>0</v>
          </cell>
          <cell r="E4">
            <v>0</v>
          </cell>
          <cell r="F4">
            <v>0</v>
          </cell>
          <cell r="G4">
            <v>0</v>
          </cell>
          <cell r="J4">
            <v>0</v>
          </cell>
          <cell r="L4">
            <v>0</v>
          </cell>
          <cell r="M4">
            <v>2.5</v>
          </cell>
          <cell r="N4" t="str">
            <v>MC</v>
          </cell>
          <cell r="O4" t="e">
            <v>#N/A</v>
          </cell>
          <cell r="P4" t="e">
            <v>#NAME?</v>
          </cell>
          <cell r="Q4" t="e">
            <v>#NAME?</v>
          </cell>
          <cell r="R4" t="e">
            <v>#NAME?</v>
          </cell>
          <cell r="S4" t="e">
            <v>#NAME?</v>
          </cell>
          <cell r="T4" t="str">
            <v>GBM</v>
          </cell>
          <cell r="W4" t="str">
            <v>2.5MC</v>
          </cell>
          <cell r="X4">
            <v>6.1117742424110992E-2</v>
          </cell>
          <cell r="Y4" t="e">
            <v>#NAME?</v>
          </cell>
          <cell r="AA4" t="e">
            <v>#NAME?</v>
          </cell>
        </row>
        <row r="5">
          <cell r="A5">
            <v>1</v>
          </cell>
          <cell r="B5">
            <v>0</v>
          </cell>
          <cell r="C5">
            <v>0</v>
          </cell>
          <cell r="D5">
            <v>0</v>
          </cell>
          <cell r="E5">
            <v>0</v>
          </cell>
          <cell r="F5">
            <v>0</v>
          </cell>
          <cell r="G5">
            <v>0</v>
          </cell>
          <cell r="J5">
            <v>0</v>
          </cell>
          <cell r="L5">
            <v>0</v>
          </cell>
          <cell r="M5">
            <v>32</v>
          </cell>
          <cell r="N5">
            <v>6</v>
          </cell>
          <cell r="O5" t="e">
            <v>#N/A</v>
          </cell>
          <cell r="P5" t="e">
            <v>#NAME?</v>
          </cell>
          <cell r="Q5" t="e">
            <v>#NAME?</v>
          </cell>
          <cell r="R5" t="e">
            <v>#NAME?</v>
          </cell>
          <cell r="S5" t="e">
            <v>#NAME?</v>
          </cell>
          <cell r="T5" t="str">
            <v>GBM</v>
          </cell>
          <cell r="W5" t="str">
            <v>326</v>
          </cell>
          <cell r="X5">
            <v>2.2592245817976753E-2</v>
          </cell>
          <cell r="Y5" t="e">
            <v>#NAME?</v>
          </cell>
          <cell r="AA5" t="e">
            <v>#NAME?</v>
          </cell>
        </row>
        <row r="7">
          <cell r="A7">
            <v>1</v>
          </cell>
          <cell r="B7" t="str">
            <v>O</v>
          </cell>
          <cell r="C7">
            <v>0</v>
          </cell>
          <cell r="D7">
            <v>0</v>
          </cell>
          <cell r="E7">
            <v>0</v>
          </cell>
          <cell r="F7">
            <v>0</v>
          </cell>
          <cell r="G7">
            <v>0</v>
          </cell>
          <cell r="J7">
            <v>0</v>
          </cell>
          <cell r="L7">
            <v>0</v>
          </cell>
          <cell r="M7">
            <v>0.75</v>
          </cell>
          <cell r="N7" t="str">
            <v>LC</v>
          </cell>
          <cell r="O7" t="e">
            <v>#N/A</v>
          </cell>
          <cell r="P7" t="e">
            <v>#NAME?</v>
          </cell>
          <cell r="Q7" t="e">
            <v>#NAME?</v>
          </cell>
          <cell r="R7" t="e">
            <v>#NAME?</v>
          </cell>
          <cell r="S7" t="e">
            <v>#NAME?</v>
          </cell>
          <cell r="T7" t="str">
            <v>GBM</v>
          </cell>
          <cell r="W7" t="str">
            <v>0.75LC</v>
          </cell>
          <cell r="X7">
            <v>6.1117742424110992E-2</v>
          </cell>
          <cell r="Y7" t="e">
            <v>#NAME?</v>
          </cell>
          <cell r="AA7" t="e">
            <v>#NAME?</v>
          </cell>
        </row>
        <row r="8">
          <cell r="A8">
            <v>0</v>
          </cell>
          <cell r="B8">
            <v>0</v>
          </cell>
          <cell r="C8">
            <v>0</v>
          </cell>
          <cell r="D8">
            <v>0</v>
          </cell>
          <cell r="E8">
            <v>0</v>
          </cell>
          <cell r="F8">
            <v>0</v>
          </cell>
          <cell r="G8">
            <v>0</v>
          </cell>
          <cell r="J8">
            <v>0</v>
          </cell>
          <cell r="L8">
            <v>0</v>
          </cell>
          <cell r="M8">
            <v>25</v>
          </cell>
          <cell r="N8">
            <v>10</v>
          </cell>
          <cell r="O8" t="e">
            <v>#N/A</v>
          </cell>
          <cell r="P8" t="e">
            <v>#NAME?</v>
          </cell>
          <cell r="Q8" t="e">
            <v>#NAME?</v>
          </cell>
          <cell r="R8" t="e">
            <v>#NAME?</v>
          </cell>
          <cell r="S8" t="e">
            <v>#NAME?</v>
          </cell>
          <cell r="T8" t="str">
            <v>GBM</v>
          </cell>
          <cell r="W8" t="str">
            <v>2510</v>
          </cell>
          <cell r="X8">
            <v>2.2592245817976753E-2</v>
          </cell>
          <cell r="Y8" t="e">
            <v>#NAME?</v>
          </cell>
          <cell r="AA8" t="e">
            <v>#NAME?</v>
          </cell>
        </row>
        <row r="10">
          <cell r="B10" t="str">
            <v>DISTRIBUTION  LINE</v>
          </cell>
          <cell r="D10">
            <v>0</v>
          </cell>
          <cell r="M10" t="str">
            <v>OD</v>
          </cell>
          <cell r="T10" t="str">
            <v>SOIL</v>
          </cell>
        </row>
        <row r="11">
          <cell r="A11">
            <v>1</v>
          </cell>
          <cell r="B11" t="str">
            <v>O</v>
          </cell>
          <cell r="C11">
            <v>0</v>
          </cell>
          <cell r="D11">
            <v>0</v>
          </cell>
          <cell r="E11">
            <v>0</v>
          </cell>
          <cell r="F11">
            <v>0</v>
          </cell>
          <cell r="G11">
            <v>0</v>
          </cell>
          <cell r="J11">
            <v>0</v>
          </cell>
          <cell r="L11">
            <v>0</v>
          </cell>
          <cell r="M11">
            <v>63</v>
          </cell>
          <cell r="N11">
            <v>4</v>
          </cell>
          <cell r="O11">
            <v>26.9</v>
          </cell>
          <cell r="P11" t="e">
            <v>#NAME?</v>
          </cell>
          <cell r="Q11" t="e">
            <v>#NAME?</v>
          </cell>
          <cell r="R11" t="e">
            <v>#NAME?</v>
          </cell>
          <cell r="S11" t="e">
            <v>#NAME?</v>
          </cell>
          <cell r="T11" t="str">
            <v>HS</v>
          </cell>
          <cell r="W11" t="str">
            <v>634</v>
          </cell>
          <cell r="X11">
            <v>2.417299060949454E-2</v>
          </cell>
          <cell r="Y11" t="e">
            <v>#NAME?</v>
          </cell>
          <cell r="AA11" t="e">
            <v>#NAME?</v>
          </cell>
        </row>
        <row r="12">
          <cell r="A12">
            <v>0</v>
          </cell>
          <cell r="B12">
            <v>0</v>
          </cell>
          <cell r="C12">
            <v>0</v>
          </cell>
          <cell r="D12">
            <v>0</v>
          </cell>
          <cell r="E12">
            <v>0</v>
          </cell>
          <cell r="F12">
            <v>0</v>
          </cell>
          <cell r="G12">
            <v>0</v>
          </cell>
          <cell r="J12">
            <v>0</v>
          </cell>
          <cell r="L12">
            <v>0</v>
          </cell>
          <cell r="M12">
            <v>1.5</v>
          </cell>
          <cell r="N12" t="str">
            <v>MC</v>
          </cell>
          <cell r="O12" t="e">
            <v>#N/A</v>
          </cell>
          <cell r="P12" t="e">
            <v>#NAME?</v>
          </cell>
          <cell r="Q12" t="e">
            <v>#NAME?</v>
          </cell>
          <cell r="R12" t="e">
            <v>#NAME?</v>
          </cell>
          <cell r="S12" t="e">
            <v>#NAME?</v>
          </cell>
          <cell r="T12" t="str">
            <v>OS</v>
          </cell>
          <cell r="W12" t="str">
            <v>1.5MC</v>
          </cell>
          <cell r="X12">
            <v>5.7210300282893534E-2</v>
          </cell>
          <cell r="Y12" t="e">
            <v>#NAME?</v>
          </cell>
          <cell r="AA12" t="e">
            <v>#NAME?</v>
          </cell>
        </row>
        <row r="14">
          <cell r="A14">
            <v>0</v>
          </cell>
          <cell r="B14" t="str">
            <v>O</v>
          </cell>
          <cell r="C14">
            <v>0</v>
          </cell>
          <cell r="D14">
            <v>0</v>
          </cell>
          <cell r="E14">
            <v>0</v>
          </cell>
          <cell r="F14">
            <v>0</v>
          </cell>
          <cell r="G14">
            <v>0</v>
          </cell>
          <cell r="J14">
            <v>0</v>
          </cell>
          <cell r="L14">
            <v>0</v>
          </cell>
          <cell r="M14">
            <v>50</v>
          </cell>
          <cell r="N14">
            <v>4</v>
          </cell>
          <cell r="O14" t="e">
            <v>#N/A</v>
          </cell>
          <cell r="P14" t="e">
            <v>#NAME?</v>
          </cell>
          <cell r="Q14" t="e">
            <v>#NAME?</v>
          </cell>
          <cell r="R14" t="e">
            <v>#NAME?</v>
          </cell>
          <cell r="S14" t="e">
            <v>#NAME?</v>
          </cell>
          <cell r="T14" t="str">
            <v>HS</v>
          </cell>
          <cell r="W14" t="str">
            <v>504</v>
          </cell>
          <cell r="X14">
            <v>2.417299060949454E-2</v>
          </cell>
          <cell r="Y14" t="e">
            <v>#NAME?</v>
          </cell>
          <cell r="AA14" t="e">
            <v>#NAME?</v>
          </cell>
        </row>
        <row r="15">
          <cell r="A15">
            <v>3</v>
          </cell>
          <cell r="B15">
            <v>0</v>
          </cell>
          <cell r="C15">
            <v>0</v>
          </cell>
          <cell r="D15">
            <v>0</v>
          </cell>
          <cell r="E15">
            <v>0</v>
          </cell>
          <cell r="F15">
            <v>0</v>
          </cell>
          <cell r="G15">
            <v>0</v>
          </cell>
          <cell r="J15">
            <v>0</v>
          </cell>
          <cell r="L15">
            <v>0</v>
          </cell>
          <cell r="M15">
            <v>1.25</v>
          </cell>
          <cell r="N15" t="str">
            <v>LC</v>
          </cell>
          <cell r="O15">
            <v>42.2</v>
          </cell>
          <cell r="P15" t="e">
            <v>#NAME?</v>
          </cell>
          <cell r="Q15" t="e">
            <v>#NAME?</v>
          </cell>
          <cell r="R15" t="e">
            <v>#NAME?</v>
          </cell>
          <cell r="S15" t="e">
            <v>#NAME?</v>
          </cell>
          <cell r="T15" t="str">
            <v>OS</v>
          </cell>
          <cell r="W15" t="str">
            <v>1.25LC</v>
          </cell>
          <cell r="X15">
            <v>5.7210300282893534E-2</v>
          </cell>
          <cell r="Y15" t="e">
            <v>#NAME?</v>
          </cell>
          <cell r="AA15" t="e">
            <v>#NAME?</v>
          </cell>
        </row>
      </sheetData>
      <sheetData sheetId="7"/>
      <sheetData sheetId="8"/>
      <sheetData sheetId="9"/>
      <sheetData sheetId="10">
        <row r="9">
          <cell r="A9" t="str">
            <v>2506</v>
          </cell>
        </row>
        <row r="117">
          <cell r="O117">
            <v>220</v>
          </cell>
          <cell r="Q117">
            <v>368.5</v>
          </cell>
          <cell r="S117">
            <v>1353</v>
          </cell>
          <cell r="U117">
            <v>140.80000000000001</v>
          </cell>
          <cell r="W117">
            <v>676.5</v>
          </cell>
          <cell r="Y117">
            <v>2772</v>
          </cell>
          <cell r="AA117">
            <v>132</v>
          </cell>
          <cell r="AC117">
            <v>462.00000000000006</v>
          </cell>
          <cell r="AE117">
            <v>1021.9000000000001</v>
          </cell>
          <cell r="AG117">
            <v>419.1</v>
          </cell>
          <cell r="AI117">
            <v>2324.3000000000002</v>
          </cell>
          <cell r="AK117">
            <v>1843.6000000000001</v>
          </cell>
          <cell r="AM117">
            <v>695.2</v>
          </cell>
          <cell r="AO117">
            <v>1501.5</v>
          </cell>
          <cell r="AQ117">
            <v>1177.0000000000002</v>
          </cell>
          <cell r="AS117">
            <v>1249.5999999999999</v>
          </cell>
          <cell r="AU117">
            <v>1518</v>
          </cell>
          <cell r="AW117">
            <v>858</v>
          </cell>
          <cell r="AY117">
            <v>2079</v>
          </cell>
          <cell r="BA117">
            <v>5398.7999999999993</v>
          </cell>
          <cell r="BC117">
            <v>1056</v>
          </cell>
          <cell r="BE117">
            <v>115.50000000000001</v>
          </cell>
          <cell r="BG117">
            <v>1406.9</v>
          </cell>
        </row>
        <row r="118">
          <cell r="G118">
            <v>914.29140000000007</v>
          </cell>
          <cell r="I118">
            <v>274.43239999999997</v>
          </cell>
          <cell r="K118">
            <v>486.387</v>
          </cell>
          <cell r="M118">
            <v>522.22500000000002</v>
          </cell>
          <cell r="O118">
            <v>40.040000000000006</v>
          </cell>
          <cell r="Q118">
            <v>76.241</v>
          </cell>
          <cell r="S118">
            <v>279.67500000000001</v>
          </cell>
          <cell r="U118">
            <v>24.1648</v>
          </cell>
          <cell r="W118">
            <v>138.80900000000003</v>
          </cell>
          <cell r="Y118">
            <v>729.16800000000012</v>
          </cell>
          <cell r="AA118">
            <v>24.420000000000005</v>
          </cell>
          <cell r="AC118">
            <v>61.908000000000008</v>
          </cell>
          <cell r="AE118">
            <v>189.76540000000006</v>
          </cell>
          <cell r="AG118">
            <v>81.158000000000001</v>
          </cell>
          <cell r="AI118">
            <v>885.92240000000004</v>
          </cell>
          <cell r="AK118">
            <v>854.8341999999999</v>
          </cell>
          <cell r="AM118">
            <v>196.6096</v>
          </cell>
          <cell r="AO118">
            <v>313.14800000000002</v>
          </cell>
          <cell r="AQ118">
            <v>313.3768</v>
          </cell>
          <cell r="AS118">
            <v>229.59200000000004</v>
          </cell>
          <cell r="AU118">
            <v>343.13400000000001</v>
          </cell>
          <cell r="AW118">
            <v>180.37800000000001</v>
          </cell>
          <cell r="AY118">
            <v>636.63600000000019</v>
          </cell>
          <cell r="BA118">
            <v>2649.3533000000007</v>
          </cell>
          <cell r="BC118">
            <v>217.47</v>
          </cell>
          <cell r="BE118">
            <v>15.477000000000002</v>
          </cell>
          <cell r="BG118">
            <v>1516.6822000000004</v>
          </cell>
        </row>
        <row r="119">
          <cell r="O119">
            <v>9691.6819999999989</v>
          </cell>
          <cell r="Q119">
            <v>18454.473949999996</v>
          </cell>
          <cell r="S119">
            <v>67696.183499999999</v>
          </cell>
          <cell r="U119">
            <v>5849.0898399999987</v>
          </cell>
          <cell r="W119">
            <v>33599.398249999998</v>
          </cell>
          <cell r="Y119">
            <v>176495.11440000002</v>
          </cell>
          <cell r="AA119">
            <v>5910.8610000000008</v>
          </cell>
          <cell r="AC119">
            <v>14984.831400000001</v>
          </cell>
          <cell r="AE119">
            <v>45932.715070000006</v>
          </cell>
          <cell r="AG119">
            <v>19644.690449999998</v>
          </cell>
          <cell r="AI119">
            <v>214438.70656999998</v>
          </cell>
          <cell r="AK119">
            <v>206919.40477999998</v>
          </cell>
          <cell r="AM119">
            <v>47590.248749999999</v>
          </cell>
          <cell r="AO119">
            <v>75798.663050000003</v>
          </cell>
          <cell r="AQ119">
            <v>75852.854439999996</v>
          </cell>
          <cell r="AS119">
            <v>55572.743600000002</v>
          </cell>
          <cell r="AU119">
            <v>83055.924599999998</v>
          </cell>
          <cell r="AW119">
            <v>43660.834799999997</v>
          </cell>
          <cell r="AY119">
            <v>154102.16250000001</v>
          </cell>
          <cell r="BA119">
            <v>580790.83358999994</v>
          </cell>
          <cell r="BC119">
            <v>52638.953399999999</v>
          </cell>
          <cell r="BE119">
            <v>3746.2078500000002</v>
          </cell>
          <cell r="BG119">
            <v>249452.80550666671</v>
          </cell>
        </row>
      </sheetData>
      <sheetData sheetId="11">
        <row r="9">
          <cell r="O9">
            <v>676114.63424999989</v>
          </cell>
        </row>
        <row r="207">
          <cell r="O207">
            <v>0</v>
          </cell>
        </row>
        <row r="235">
          <cell r="C235">
            <v>16</v>
          </cell>
        </row>
        <row r="236">
          <cell r="C236">
            <v>20</v>
          </cell>
        </row>
        <row r="237">
          <cell r="C237">
            <v>25</v>
          </cell>
        </row>
        <row r="238">
          <cell r="C238">
            <v>32</v>
          </cell>
        </row>
        <row r="239">
          <cell r="C239">
            <v>40</v>
          </cell>
        </row>
        <row r="240">
          <cell r="C240">
            <v>50</v>
          </cell>
        </row>
        <row r="241">
          <cell r="C241">
            <v>63</v>
          </cell>
        </row>
        <row r="242">
          <cell r="C242">
            <v>75</v>
          </cell>
        </row>
        <row r="243">
          <cell r="C243">
            <v>90</v>
          </cell>
        </row>
        <row r="244">
          <cell r="C244">
            <v>110</v>
          </cell>
        </row>
        <row r="245">
          <cell r="C245">
            <v>125</v>
          </cell>
        </row>
        <row r="246">
          <cell r="C246">
            <v>140</v>
          </cell>
        </row>
        <row r="247">
          <cell r="C247">
            <v>160</v>
          </cell>
        </row>
        <row r="248">
          <cell r="C248">
            <v>180</v>
          </cell>
        </row>
        <row r="249">
          <cell r="C249">
            <v>200</v>
          </cell>
        </row>
        <row r="250">
          <cell r="C250">
            <v>225</v>
          </cell>
        </row>
        <row r="251">
          <cell r="C251">
            <v>250</v>
          </cell>
        </row>
        <row r="252">
          <cell r="C252">
            <v>0.5</v>
          </cell>
        </row>
        <row r="253">
          <cell r="C253">
            <v>0.75</v>
          </cell>
        </row>
        <row r="254">
          <cell r="C254">
            <v>1</v>
          </cell>
        </row>
        <row r="255">
          <cell r="C255">
            <v>1.25</v>
          </cell>
        </row>
        <row r="256">
          <cell r="C256">
            <v>1.5</v>
          </cell>
        </row>
        <row r="257">
          <cell r="C257">
            <v>2</v>
          </cell>
        </row>
        <row r="258">
          <cell r="C258">
            <v>2.5</v>
          </cell>
        </row>
        <row r="259">
          <cell r="C259">
            <v>3</v>
          </cell>
        </row>
        <row r="260">
          <cell r="C260">
            <v>4</v>
          </cell>
        </row>
        <row r="261">
          <cell r="C261">
            <v>5</v>
          </cell>
        </row>
        <row r="262">
          <cell r="C262">
            <v>6</v>
          </cell>
        </row>
        <row r="263">
          <cell r="C263">
            <v>3</v>
          </cell>
        </row>
        <row r="264">
          <cell r="C264">
            <v>4</v>
          </cell>
        </row>
        <row r="265">
          <cell r="C265">
            <v>5</v>
          </cell>
        </row>
        <row r="266">
          <cell r="C266">
            <v>6</v>
          </cell>
        </row>
        <row r="267">
          <cell r="C267">
            <v>8</v>
          </cell>
        </row>
        <row r="268">
          <cell r="C268">
            <v>10</v>
          </cell>
        </row>
        <row r="269">
          <cell r="C269">
            <v>12</v>
          </cell>
        </row>
        <row r="270">
          <cell r="C270">
            <v>14</v>
          </cell>
        </row>
        <row r="271">
          <cell r="I271">
            <v>0</v>
          </cell>
          <cell r="O271">
            <v>0</v>
          </cell>
        </row>
        <row r="273">
          <cell r="O273">
            <v>0</v>
          </cell>
        </row>
        <row r="301">
          <cell r="C301">
            <v>16</v>
          </cell>
        </row>
        <row r="302">
          <cell r="C302">
            <v>20</v>
          </cell>
        </row>
        <row r="303">
          <cell r="C303">
            <v>25</v>
          </cell>
        </row>
        <row r="304">
          <cell r="C304">
            <v>32</v>
          </cell>
        </row>
        <row r="305">
          <cell r="C305">
            <v>40</v>
          </cell>
        </row>
        <row r="306">
          <cell r="C306">
            <v>50</v>
          </cell>
        </row>
        <row r="307">
          <cell r="C307">
            <v>63</v>
          </cell>
        </row>
        <row r="308">
          <cell r="C308">
            <v>75</v>
          </cell>
        </row>
        <row r="309">
          <cell r="C309">
            <v>90</v>
          </cell>
        </row>
        <row r="310">
          <cell r="C310">
            <v>110</v>
          </cell>
        </row>
        <row r="311">
          <cell r="C311">
            <v>125</v>
          </cell>
        </row>
        <row r="312">
          <cell r="C312">
            <v>140</v>
          </cell>
        </row>
        <row r="313">
          <cell r="C313">
            <v>160</v>
          </cell>
        </row>
        <row r="314">
          <cell r="C314">
            <v>180</v>
          </cell>
        </row>
        <row r="315">
          <cell r="C315">
            <v>200</v>
          </cell>
        </row>
        <row r="316">
          <cell r="C316">
            <v>225</v>
          </cell>
        </row>
        <row r="317">
          <cell r="C317">
            <v>250</v>
          </cell>
        </row>
        <row r="318">
          <cell r="C318">
            <v>0.5</v>
          </cell>
        </row>
        <row r="319">
          <cell r="C319">
            <v>0.75</v>
          </cell>
        </row>
        <row r="320">
          <cell r="C320">
            <v>1</v>
          </cell>
        </row>
        <row r="321">
          <cell r="C321">
            <v>1.25</v>
          </cell>
        </row>
        <row r="322">
          <cell r="C322">
            <v>1.5</v>
          </cell>
        </row>
        <row r="323">
          <cell r="C323">
            <v>2</v>
          </cell>
        </row>
        <row r="324">
          <cell r="C324">
            <v>2.5</v>
          </cell>
        </row>
        <row r="325">
          <cell r="C325">
            <v>3</v>
          </cell>
        </row>
        <row r="326">
          <cell r="C326">
            <v>4</v>
          </cell>
        </row>
        <row r="327">
          <cell r="C327">
            <v>5</v>
          </cell>
        </row>
        <row r="328">
          <cell r="C328">
            <v>6</v>
          </cell>
        </row>
        <row r="329">
          <cell r="C329">
            <v>3</v>
          </cell>
        </row>
        <row r="330">
          <cell r="C330">
            <v>4</v>
          </cell>
        </row>
        <row r="331">
          <cell r="C331">
            <v>5</v>
          </cell>
        </row>
        <row r="332">
          <cell r="C332">
            <v>6</v>
          </cell>
        </row>
        <row r="333">
          <cell r="C333">
            <v>8</v>
          </cell>
        </row>
        <row r="334">
          <cell r="C334">
            <v>10</v>
          </cell>
        </row>
        <row r="335">
          <cell r="C335">
            <v>12</v>
          </cell>
        </row>
        <row r="336">
          <cell r="C336">
            <v>14</v>
          </cell>
        </row>
        <row r="337">
          <cell r="I337">
            <v>0</v>
          </cell>
          <cell r="O337">
            <v>0</v>
          </cell>
        </row>
        <row r="339">
          <cell r="O339">
            <v>0</v>
          </cell>
        </row>
        <row r="367">
          <cell r="C367">
            <v>16</v>
          </cell>
        </row>
        <row r="368">
          <cell r="C368">
            <v>20</v>
          </cell>
        </row>
        <row r="369">
          <cell r="C369">
            <v>25</v>
          </cell>
        </row>
        <row r="370">
          <cell r="C370">
            <v>32</v>
          </cell>
        </row>
        <row r="371">
          <cell r="C371">
            <v>40</v>
          </cell>
        </row>
        <row r="372">
          <cell r="C372">
            <v>50</v>
          </cell>
        </row>
        <row r="373">
          <cell r="C373">
            <v>63</v>
          </cell>
        </row>
        <row r="374">
          <cell r="C374">
            <v>75</v>
          </cell>
        </row>
        <row r="375">
          <cell r="C375">
            <v>90</v>
          </cell>
        </row>
        <row r="376">
          <cell r="C376">
            <v>110</v>
          </cell>
        </row>
        <row r="377">
          <cell r="C377">
            <v>125</v>
          </cell>
        </row>
        <row r="378">
          <cell r="C378">
            <v>140</v>
          </cell>
        </row>
        <row r="379">
          <cell r="C379">
            <v>160</v>
          </cell>
        </row>
        <row r="380">
          <cell r="C380">
            <v>180</v>
          </cell>
        </row>
        <row r="381">
          <cell r="C381">
            <v>200</v>
          </cell>
        </row>
        <row r="382">
          <cell r="C382">
            <v>225</v>
          </cell>
        </row>
        <row r="383">
          <cell r="C383">
            <v>250</v>
          </cell>
        </row>
        <row r="384">
          <cell r="C384">
            <v>0.5</v>
          </cell>
        </row>
        <row r="385">
          <cell r="C385">
            <v>0.75</v>
          </cell>
        </row>
        <row r="386">
          <cell r="C386">
            <v>1</v>
          </cell>
        </row>
        <row r="387">
          <cell r="C387">
            <v>1.25</v>
          </cell>
        </row>
        <row r="388">
          <cell r="C388">
            <v>1.5</v>
          </cell>
        </row>
        <row r="389">
          <cell r="C389">
            <v>2</v>
          </cell>
        </row>
        <row r="390">
          <cell r="C390">
            <v>2.5</v>
          </cell>
        </row>
        <row r="391">
          <cell r="C391">
            <v>3</v>
          </cell>
        </row>
        <row r="392">
          <cell r="C392">
            <v>4</v>
          </cell>
        </row>
        <row r="393">
          <cell r="C393">
            <v>5</v>
          </cell>
        </row>
        <row r="394">
          <cell r="C394">
            <v>6</v>
          </cell>
        </row>
        <row r="395">
          <cell r="C395">
            <v>3</v>
          </cell>
        </row>
        <row r="396">
          <cell r="C396">
            <v>4</v>
          </cell>
        </row>
        <row r="397">
          <cell r="C397">
            <v>5</v>
          </cell>
        </row>
        <row r="398">
          <cell r="C398">
            <v>6</v>
          </cell>
        </row>
        <row r="399">
          <cell r="C399">
            <v>8</v>
          </cell>
        </row>
        <row r="400">
          <cell r="C400">
            <v>10</v>
          </cell>
        </row>
        <row r="401">
          <cell r="C401">
            <v>12</v>
          </cell>
        </row>
        <row r="402">
          <cell r="C402">
            <v>14</v>
          </cell>
        </row>
        <row r="403">
          <cell r="I403">
            <v>0</v>
          </cell>
          <cell r="O403">
            <v>0</v>
          </cell>
        </row>
        <row r="405">
          <cell r="O405">
            <v>0</v>
          </cell>
        </row>
        <row r="433">
          <cell r="C433">
            <v>16</v>
          </cell>
        </row>
        <row r="434">
          <cell r="C434">
            <v>20</v>
          </cell>
        </row>
        <row r="435">
          <cell r="C435">
            <v>25</v>
          </cell>
        </row>
        <row r="436">
          <cell r="C436">
            <v>32</v>
          </cell>
        </row>
        <row r="437">
          <cell r="C437">
            <v>40</v>
          </cell>
        </row>
        <row r="438">
          <cell r="C438">
            <v>50</v>
          </cell>
        </row>
        <row r="439">
          <cell r="C439">
            <v>63</v>
          </cell>
        </row>
        <row r="440">
          <cell r="C440">
            <v>75</v>
          </cell>
        </row>
        <row r="441">
          <cell r="C441">
            <v>90</v>
          </cell>
        </row>
        <row r="442">
          <cell r="C442">
            <v>110</v>
          </cell>
        </row>
        <row r="443">
          <cell r="C443">
            <v>125</v>
          </cell>
        </row>
        <row r="444">
          <cell r="C444">
            <v>140</v>
          </cell>
        </row>
        <row r="445">
          <cell r="C445">
            <v>160</v>
          </cell>
        </row>
        <row r="446">
          <cell r="C446">
            <v>180</v>
          </cell>
        </row>
        <row r="447">
          <cell r="C447">
            <v>200</v>
          </cell>
        </row>
        <row r="448">
          <cell r="C448">
            <v>225</v>
          </cell>
        </row>
        <row r="449">
          <cell r="C449">
            <v>250</v>
          </cell>
        </row>
        <row r="450">
          <cell r="C450">
            <v>0.5</v>
          </cell>
        </row>
        <row r="451">
          <cell r="C451">
            <v>0.75</v>
          </cell>
        </row>
        <row r="452">
          <cell r="C452">
            <v>1</v>
          </cell>
        </row>
        <row r="453">
          <cell r="C453">
            <v>1.25</v>
          </cell>
        </row>
        <row r="454">
          <cell r="C454">
            <v>1.5</v>
          </cell>
        </row>
        <row r="455">
          <cell r="C455">
            <v>2</v>
          </cell>
        </row>
        <row r="456">
          <cell r="C456">
            <v>2.5</v>
          </cell>
        </row>
        <row r="457">
          <cell r="C457">
            <v>3</v>
          </cell>
        </row>
        <row r="458">
          <cell r="C458">
            <v>4</v>
          </cell>
        </row>
        <row r="459">
          <cell r="C459">
            <v>5</v>
          </cell>
        </row>
        <row r="460">
          <cell r="C460">
            <v>6</v>
          </cell>
        </row>
        <row r="461">
          <cell r="C461">
            <v>3</v>
          </cell>
        </row>
        <row r="462">
          <cell r="C462">
            <v>4</v>
          </cell>
        </row>
        <row r="463">
          <cell r="C463">
            <v>5</v>
          </cell>
        </row>
        <row r="464">
          <cell r="C464">
            <v>6</v>
          </cell>
        </row>
        <row r="465">
          <cell r="C465">
            <v>8</v>
          </cell>
        </row>
        <row r="466">
          <cell r="C466">
            <v>10</v>
          </cell>
        </row>
        <row r="467">
          <cell r="C467">
            <v>12</v>
          </cell>
        </row>
        <row r="468">
          <cell r="C468">
            <v>14</v>
          </cell>
        </row>
        <row r="469">
          <cell r="I469">
            <v>0</v>
          </cell>
          <cell r="O469">
            <v>0</v>
          </cell>
        </row>
        <row r="471">
          <cell r="O471">
            <v>0</v>
          </cell>
        </row>
        <row r="499">
          <cell r="C499">
            <v>16</v>
          </cell>
        </row>
        <row r="500">
          <cell r="C500">
            <v>20</v>
          </cell>
        </row>
        <row r="501">
          <cell r="C501">
            <v>25</v>
          </cell>
        </row>
        <row r="502">
          <cell r="C502">
            <v>32</v>
          </cell>
        </row>
        <row r="503">
          <cell r="C503">
            <v>40</v>
          </cell>
        </row>
        <row r="504">
          <cell r="C504">
            <v>50</v>
          </cell>
        </row>
        <row r="505">
          <cell r="C505">
            <v>63</v>
          </cell>
        </row>
        <row r="506">
          <cell r="C506">
            <v>75</v>
          </cell>
        </row>
        <row r="507">
          <cell r="C507">
            <v>90</v>
          </cell>
        </row>
        <row r="508">
          <cell r="C508">
            <v>110</v>
          </cell>
        </row>
        <row r="509">
          <cell r="C509">
            <v>125</v>
          </cell>
        </row>
        <row r="510">
          <cell r="C510">
            <v>140</v>
          </cell>
        </row>
        <row r="511">
          <cell r="C511">
            <v>160</v>
          </cell>
        </row>
        <row r="512">
          <cell r="C512">
            <v>180</v>
          </cell>
        </row>
        <row r="513">
          <cell r="C513">
            <v>200</v>
          </cell>
        </row>
        <row r="514">
          <cell r="C514">
            <v>225</v>
          </cell>
        </row>
        <row r="515">
          <cell r="C515">
            <v>250</v>
          </cell>
        </row>
        <row r="516">
          <cell r="C516">
            <v>0.5</v>
          </cell>
        </row>
        <row r="517">
          <cell r="C517">
            <v>0.75</v>
          </cell>
        </row>
        <row r="518">
          <cell r="C518">
            <v>1</v>
          </cell>
        </row>
        <row r="519">
          <cell r="C519">
            <v>1.25</v>
          </cell>
        </row>
        <row r="520">
          <cell r="C520">
            <v>1.5</v>
          </cell>
        </row>
        <row r="521">
          <cell r="C521">
            <v>2</v>
          </cell>
        </row>
        <row r="522">
          <cell r="C522">
            <v>2.5</v>
          </cell>
        </row>
        <row r="523">
          <cell r="C523">
            <v>3</v>
          </cell>
        </row>
        <row r="524">
          <cell r="C524">
            <v>4</v>
          </cell>
        </row>
        <row r="525">
          <cell r="C525">
            <v>5</v>
          </cell>
        </row>
        <row r="526">
          <cell r="C526">
            <v>6</v>
          </cell>
        </row>
        <row r="527">
          <cell r="C527">
            <v>3</v>
          </cell>
        </row>
        <row r="528">
          <cell r="C528">
            <v>4</v>
          </cell>
        </row>
        <row r="529">
          <cell r="C529">
            <v>5</v>
          </cell>
        </row>
        <row r="530">
          <cell r="C530">
            <v>6</v>
          </cell>
        </row>
        <row r="531">
          <cell r="C531">
            <v>8</v>
          </cell>
        </row>
        <row r="532">
          <cell r="C532">
            <v>10</v>
          </cell>
        </row>
        <row r="533">
          <cell r="C533">
            <v>12</v>
          </cell>
        </row>
        <row r="534">
          <cell r="C534">
            <v>14</v>
          </cell>
        </row>
        <row r="535">
          <cell r="I535">
            <v>0</v>
          </cell>
          <cell r="O535">
            <v>0</v>
          </cell>
        </row>
        <row r="537">
          <cell r="O537">
            <v>0</v>
          </cell>
        </row>
        <row r="565">
          <cell r="C565">
            <v>16</v>
          </cell>
        </row>
        <row r="566">
          <cell r="C566">
            <v>20</v>
          </cell>
        </row>
        <row r="567">
          <cell r="C567">
            <v>25</v>
          </cell>
        </row>
        <row r="568">
          <cell r="C568">
            <v>32</v>
          </cell>
        </row>
        <row r="569">
          <cell r="C569">
            <v>40</v>
          </cell>
        </row>
        <row r="570">
          <cell r="C570">
            <v>50</v>
          </cell>
        </row>
        <row r="571">
          <cell r="C571">
            <v>63</v>
          </cell>
        </row>
        <row r="572">
          <cell r="C572">
            <v>75</v>
          </cell>
        </row>
        <row r="573">
          <cell r="C573">
            <v>90</v>
          </cell>
        </row>
        <row r="574">
          <cell r="C574">
            <v>110</v>
          </cell>
        </row>
        <row r="575">
          <cell r="C575">
            <v>125</v>
          </cell>
        </row>
        <row r="576">
          <cell r="C576">
            <v>140</v>
          </cell>
        </row>
        <row r="577">
          <cell r="C577">
            <v>160</v>
          </cell>
        </row>
        <row r="578">
          <cell r="C578">
            <v>180</v>
          </cell>
        </row>
        <row r="579">
          <cell r="C579">
            <v>200</v>
          </cell>
        </row>
        <row r="580">
          <cell r="C580">
            <v>225</v>
          </cell>
        </row>
        <row r="581">
          <cell r="C581">
            <v>250</v>
          </cell>
        </row>
        <row r="582">
          <cell r="C582">
            <v>0.5</v>
          </cell>
        </row>
        <row r="583">
          <cell r="C583">
            <v>0.75</v>
          </cell>
        </row>
        <row r="584">
          <cell r="C584">
            <v>1</v>
          </cell>
        </row>
        <row r="585">
          <cell r="C585">
            <v>1.25</v>
          </cell>
        </row>
        <row r="586">
          <cell r="C586">
            <v>1.5</v>
          </cell>
        </row>
        <row r="587">
          <cell r="C587">
            <v>2</v>
          </cell>
        </row>
        <row r="588">
          <cell r="C588">
            <v>2.5</v>
          </cell>
        </row>
        <row r="589">
          <cell r="C589">
            <v>3</v>
          </cell>
        </row>
        <row r="590">
          <cell r="C590">
            <v>4</v>
          </cell>
        </row>
        <row r="591">
          <cell r="C591">
            <v>5</v>
          </cell>
        </row>
        <row r="592">
          <cell r="C592">
            <v>6</v>
          </cell>
        </row>
        <row r="593">
          <cell r="C593">
            <v>3</v>
          </cell>
        </row>
        <row r="594">
          <cell r="C594">
            <v>4</v>
          </cell>
        </row>
        <row r="595">
          <cell r="C595">
            <v>5</v>
          </cell>
        </row>
        <row r="596">
          <cell r="C596">
            <v>6</v>
          </cell>
        </row>
        <row r="597">
          <cell r="C597">
            <v>8</v>
          </cell>
        </row>
        <row r="598">
          <cell r="C598">
            <v>10</v>
          </cell>
        </row>
        <row r="599">
          <cell r="C599">
            <v>12</v>
          </cell>
        </row>
        <row r="600">
          <cell r="C600">
            <v>14</v>
          </cell>
        </row>
        <row r="601">
          <cell r="I601">
            <v>0</v>
          </cell>
          <cell r="O601">
            <v>0</v>
          </cell>
        </row>
        <row r="603">
          <cell r="O603">
            <v>0</v>
          </cell>
        </row>
        <row r="631">
          <cell r="C631">
            <v>16</v>
          </cell>
        </row>
        <row r="632">
          <cell r="C632">
            <v>20</v>
          </cell>
        </row>
        <row r="633">
          <cell r="C633">
            <v>25</v>
          </cell>
        </row>
        <row r="634">
          <cell r="C634">
            <v>32</v>
          </cell>
        </row>
        <row r="635">
          <cell r="C635">
            <v>40</v>
          </cell>
        </row>
        <row r="636">
          <cell r="C636">
            <v>50</v>
          </cell>
        </row>
        <row r="637">
          <cell r="C637">
            <v>63</v>
          </cell>
        </row>
        <row r="638">
          <cell r="C638">
            <v>75</v>
          </cell>
        </row>
        <row r="639">
          <cell r="C639">
            <v>90</v>
          </cell>
        </row>
        <row r="640">
          <cell r="C640">
            <v>110</v>
          </cell>
        </row>
        <row r="641">
          <cell r="C641">
            <v>125</v>
          </cell>
        </row>
        <row r="642">
          <cell r="C642">
            <v>140</v>
          </cell>
        </row>
        <row r="643">
          <cell r="C643">
            <v>160</v>
          </cell>
        </row>
        <row r="644">
          <cell r="C644">
            <v>180</v>
          </cell>
        </row>
        <row r="645">
          <cell r="C645">
            <v>200</v>
          </cell>
        </row>
        <row r="646">
          <cell r="C646">
            <v>225</v>
          </cell>
        </row>
        <row r="647">
          <cell r="C647">
            <v>250</v>
          </cell>
        </row>
        <row r="648">
          <cell r="C648">
            <v>0.5</v>
          </cell>
        </row>
        <row r="649">
          <cell r="C649">
            <v>0.75</v>
          </cell>
        </row>
        <row r="650">
          <cell r="C650">
            <v>1</v>
          </cell>
        </row>
        <row r="651">
          <cell r="C651">
            <v>1.25</v>
          </cell>
        </row>
        <row r="652">
          <cell r="C652">
            <v>1.5</v>
          </cell>
        </row>
        <row r="653">
          <cell r="C653">
            <v>2</v>
          </cell>
        </row>
        <row r="654">
          <cell r="C654">
            <v>2.5</v>
          </cell>
        </row>
        <row r="655">
          <cell r="C655">
            <v>3</v>
          </cell>
        </row>
        <row r="656">
          <cell r="C656">
            <v>4</v>
          </cell>
        </row>
        <row r="657">
          <cell r="C657">
            <v>5</v>
          </cell>
        </row>
        <row r="658">
          <cell r="C658">
            <v>6</v>
          </cell>
        </row>
        <row r="659">
          <cell r="C659">
            <v>3</v>
          </cell>
        </row>
        <row r="660">
          <cell r="C660">
            <v>4</v>
          </cell>
        </row>
        <row r="661">
          <cell r="C661">
            <v>5</v>
          </cell>
        </row>
        <row r="662">
          <cell r="C662">
            <v>6</v>
          </cell>
        </row>
        <row r="663">
          <cell r="C663">
            <v>8</v>
          </cell>
        </row>
        <row r="664">
          <cell r="C664">
            <v>10</v>
          </cell>
        </row>
        <row r="665">
          <cell r="C665">
            <v>12</v>
          </cell>
        </row>
        <row r="666">
          <cell r="C666">
            <v>14</v>
          </cell>
        </row>
        <row r="667">
          <cell r="I667">
            <v>0</v>
          </cell>
          <cell r="O667">
            <v>0</v>
          </cell>
        </row>
        <row r="669">
          <cell r="O669">
            <v>0</v>
          </cell>
        </row>
        <row r="697">
          <cell r="C697">
            <v>16</v>
          </cell>
        </row>
        <row r="698">
          <cell r="C698">
            <v>20</v>
          </cell>
        </row>
        <row r="699">
          <cell r="C699">
            <v>25</v>
          </cell>
        </row>
        <row r="700">
          <cell r="C700">
            <v>32</v>
          </cell>
        </row>
        <row r="701">
          <cell r="C701">
            <v>40</v>
          </cell>
        </row>
        <row r="702">
          <cell r="C702">
            <v>50</v>
          </cell>
        </row>
        <row r="703">
          <cell r="C703">
            <v>63</v>
          </cell>
        </row>
        <row r="704">
          <cell r="C704">
            <v>75</v>
          </cell>
        </row>
        <row r="705">
          <cell r="C705">
            <v>90</v>
          </cell>
        </row>
        <row r="706">
          <cell r="C706">
            <v>110</v>
          </cell>
        </row>
        <row r="707">
          <cell r="C707">
            <v>125</v>
          </cell>
        </row>
        <row r="708">
          <cell r="C708">
            <v>140</v>
          </cell>
        </row>
        <row r="709">
          <cell r="C709">
            <v>160</v>
          </cell>
        </row>
        <row r="710">
          <cell r="C710">
            <v>180</v>
          </cell>
        </row>
        <row r="711">
          <cell r="C711">
            <v>200</v>
          </cell>
        </row>
        <row r="712">
          <cell r="C712">
            <v>225</v>
          </cell>
        </row>
        <row r="713">
          <cell r="C713">
            <v>250</v>
          </cell>
        </row>
        <row r="714">
          <cell r="C714">
            <v>0.5</v>
          </cell>
        </row>
        <row r="715">
          <cell r="C715">
            <v>0.75</v>
          </cell>
        </row>
        <row r="716">
          <cell r="C716">
            <v>1</v>
          </cell>
        </row>
        <row r="717">
          <cell r="C717">
            <v>1.25</v>
          </cell>
        </row>
        <row r="718">
          <cell r="C718">
            <v>1.5</v>
          </cell>
        </row>
        <row r="719">
          <cell r="C719">
            <v>2</v>
          </cell>
        </row>
        <row r="720">
          <cell r="C720">
            <v>2.5</v>
          </cell>
        </row>
        <row r="721">
          <cell r="C721">
            <v>3</v>
          </cell>
        </row>
        <row r="722">
          <cell r="C722">
            <v>4</v>
          </cell>
        </row>
        <row r="723">
          <cell r="C723">
            <v>5</v>
          </cell>
        </row>
        <row r="724">
          <cell r="C724">
            <v>6</v>
          </cell>
        </row>
        <row r="725">
          <cell r="C725">
            <v>3</v>
          </cell>
        </row>
        <row r="726">
          <cell r="C726">
            <v>4</v>
          </cell>
        </row>
        <row r="727">
          <cell r="C727">
            <v>5</v>
          </cell>
        </row>
        <row r="728">
          <cell r="C728">
            <v>6</v>
          </cell>
        </row>
        <row r="729">
          <cell r="C729">
            <v>8</v>
          </cell>
        </row>
        <row r="730">
          <cell r="C730">
            <v>10</v>
          </cell>
        </row>
        <row r="731">
          <cell r="C731">
            <v>12</v>
          </cell>
        </row>
        <row r="732">
          <cell r="C732">
            <v>14</v>
          </cell>
        </row>
        <row r="733">
          <cell r="I733">
            <v>0</v>
          </cell>
          <cell r="O733">
            <v>0</v>
          </cell>
        </row>
        <row r="735">
          <cell r="O735">
            <v>0</v>
          </cell>
        </row>
        <row r="763">
          <cell r="C763">
            <v>16</v>
          </cell>
        </row>
        <row r="764">
          <cell r="C764">
            <v>20</v>
          </cell>
        </row>
        <row r="765">
          <cell r="C765">
            <v>25</v>
          </cell>
        </row>
        <row r="766">
          <cell r="C766">
            <v>32</v>
          </cell>
        </row>
        <row r="767">
          <cell r="C767">
            <v>40</v>
          </cell>
        </row>
        <row r="768">
          <cell r="C768">
            <v>50</v>
          </cell>
        </row>
        <row r="769">
          <cell r="C769">
            <v>63</v>
          </cell>
        </row>
        <row r="770">
          <cell r="C770">
            <v>75</v>
          </cell>
        </row>
        <row r="771">
          <cell r="C771">
            <v>90</v>
          </cell>
        </row>
        <row r="772">
          <cell r="C772">
            <v>110</v>
          </cell>
        </row>
        <row r="773">
          <cell r="C773">
            <v>125</v>
          </cell>
        </row>
        <row r="774">
          <cell r="C774">
            <v>140</v>
          </cell>
        </row>
        <row r="775">
          <cell r="C775">
            <v>160</v>
          </cell>
        </row>
        <row r="776">
          <cell r="C776">
            <v>180</v>
          </cell>
        </row>
        <row r="777">
          <cell r="C777">
            <v>200</v>
          </cell>
        </row>
        <row r="778">
          <cell r="C778">
            <v>225</v>
          </cell>
        </row>
        <row r="779">
          <cell r="C779">
            <v>250</v>
          </cell>
        </row>
        <row r="780">
          <cell r="C780">
            <v>0.5</v>
          </cell>
        </row>
        <row r="781">
          <cell r="C781">
            <v>0.75</v>
          </cell>
        </row>
        <row r="782">
          <cell r="C782">
            <v>1</v>
          </cell>
        </row>
        <row r="783">
          <cell r="C783">
            <v>1.25</v>
          </cell>
        </row>
        <row r="784">
          <cell r="C784">
            <v>1.5</v>
          </cell>
        </row>
        <row r="785">
          <cell r="C785">
            <v>2</v>
          </cell>
        </row>
        <row r="786">
          <cell r="C786">
            <v>2.5</v>
          </cell>
        </row>
        <row r="787">
          <cell r="C787">
            <v>3</v>
          </cell>
        </row>
        <row r="788">
          <cell r="C788">
            <v>4</v>
          </cell>
        </row>
        <row r="789">
          <cell r="C789">
            <v>5</v>
          </cell>
        </row>
        <row r="790">
          <cell r="C790">
            <v>6</v>
          </cell>
        </row>
        <row r="791">
          <cell r="C791">
            <v>3</v>
          </cell>
        </row>
        <row r="792">
          <cell r="C792">
            <v>4</v>
          </cell>
        </row>
        <row r="793">
          <cell r="C793">
            <v>5</v>
          </cell>
        </row>
        <row r="794">
          <cell r="C794">
            <v>6</v>
          </cell>
        </row>
        <row r="795">
          <cell r="C795">
            <v>8</v>
          </cell>
        </row>
        <row r="796">
          <cell r="C796">
            <v>10</v>
          </cell>
        </row>
        <row r="797">
          <cell r="C797">
            <v>12</v>
          </cell>
        </row>
        <row r="798">
          <cell r="C798">
            <v>14</v>
          </cell>
        </row>
        <row r="799">
          <cell r="I799">
            <v>0</v>
          </cell>
          <cell r="O799">
            <v>0</v>
          </cell>
        </row>
        <row r="801">
          <cell r="O801">
            <v>0</v>
          </cell>
        </row>
        <row r="829">
          <cell r="C829">
            <v>16</v>
          </cell>
        </row>
        <row r="830">
          <cell r="C830">
            <v>20</v>
          </cell>
        </row>
        <row r="831">
          <cell r="C831">
            <v>25</v>
          </cell>
        </row>
        <row r="832">
          <cell r="C832">
            <v>32</v>
          </cell>
        </row>
        <row r="833">
          <cell r="C833">
            <v>40</v>
          </cell>
        </row>
        <row r="834">
          <cell r="C834">
            <v>50</v>
          </cell>
        </row>
        <row r="835">
          <cell r="C835">
            <v>63</v>
          </cell>
        </row>
        <row r="836">
          <cell r="C836">
            <v>75</v>
          </cell>
        </row>
        <row r="837">
          <cell r="C837">
            <v>90</v>
          </cell>
        </row>
        <row r="838">
          <cell r="C838">
            <v>110</v>
          </cell>
        </row>
        <row r="839">
          <cell r="C839">
            <v>125</v>
          </cell>
        </row>
        <row r="840">
          <cell r="C840">
            <v>140</v>
          </cell>
        </row>
        <row r="841">
          <cell r="C841">
            <v>160</v>
          </cell>
        </row>
        <row r="842">
          <cell r="C842">
            <v>180</v>
          </cell>
        </row>
        <row r="843">
          <cell r="C843">
            <v>200</v>
          </cell>
        </row>
        <row r="844">
          <cell r="C844">
            <v>225</v>
          </cell>
        </row>
        <row r="845">
          <cell r="C845">
            <v>250</v>
          </cell>
        </row>
        <row r="846">
          <cell r="C846">
            <v>0.5</v>
          </cell>
        </row>
        <row r="847">
          <cell r="C847">
            <v>0.75</v>
          </cell>
        </row>
        <row r="848">
          <cell r="C848">
            <v>1</v>
          </cell>
        </row>
        <row r="849">
          <cell r="C849">
            <v>1.25</v>
          </cell>
        </row>
        <row r="850">
          <cell r="C850">
            <v>1.5</v>
          </cell>
        </row>
        <row r="851">
          <cell r="C851">
            <v>2</v>
          </cell>
        </row>
        <row r="852">
          <cell r="C852">
            <v>2.5</v>
          </cell>
        </row>
        <row r="853">
          <cell r="C853">
            <v>3</v>
          </cell>
        </row>
        <row r="854">
          <cell r="C854">
            <v>4</v>
          </cell>
        </row>
        <row r="855">
          <cell r="C855">
            <v>5</v>
          </cell>
        </row>
        <row r="856">
          <cell r="C856">
            <v>6</v>
          </cell>
        </row>
        <row r="857">
          <cell r="C857">
            <v>3</v>
          </cell>
        </row>
        <row r="858">
          <cell r="C858">
            <v>4</v>
          </cell>
        </row>
        <row r="859">
          <cell r="C859">
            <v>5</v>
          </cell>
        </row>
        <row r="860">
          <cell r="C860">
            <v>6</v>
          </cell>
        </row>
        <row r="861">
          <cell r="C861">
            <v>8</v>
          </cell>
        </row>
        <row r="862">
          <cell r="C862">
            <v>10</v>
          </cell>
        </row>
        <row r="863">
          <cell r="C863">
            <v>12</v>
          </cell>
        </row>
        <row r="864">
          <cell r="C864">
            <v>14</v>
          </cell>
        </row>
        <row r="865">
          <cell r="I865">
            <v>0</v>
          </cell>
          <cell r="O865">
            <v>0</v>
          </cell>
        </row>
        <row r="867">
          <cell r="O867">
            <v>0</v>
          </cell>
        </row>
        <row r="895">
          <cell r="C895">
            <v>16</v>
          </cell>
        </row>
        <row r="896">
          <cell r="C896">
            <v>20</v>
          </cell>
        </row>
        <row r="897">
          <cell r="C897">
            <v>25</v>
          </cell>
        </row>
        <row r="898">
          <cell r="C898">
            <v>32</v>
          </cell>
        </row>
        <row r="899">
          <cell r="C899">
            <v>40</v>
          </cell>
        </row>
        <row r="900">
          <cell r="C900">
            <v>50</v>
          </cell>
        </row>
        <row r="901">
          <cell r="C901">
            <v>63</v>
          </cell>
        </row>
        <row r="902">
          <cell r="C902">
            <v>75</v>
          </cell>
        </row>
        <row r="903">
          <cell r="C903">
            <v>90</v>
          </cell>
        </row>
        <row r="904">
          <cell r="C904">
            <v>110</v>
          </cell>
        </row>
        <row r="905">
          <cell r="C905">
            <v>125</v>
          </cell>
        </row>
        <row r="906">
          <cell r="C906">
            <v>140</v>
          </cell>
        </row>
        <row r="907">
          <cell r="C907">
            <v>160</v>
          </cell>
        </row>
        <row r="908">
          <cell r="C908">
            <v>180</v>
          </cell>
        </row>
        <row r="909">
          <cell r="C909">
            <v>200</v>
          </cell>
        </row>
        <row r="910">
          <cell r="C910">
            <v>225</v>
          </cell>
        </row>
        <row r="911">
          <cell r="C911">
            <v>250</v>
          </cell>
        </row>
        <row r="912">
          <cell r="C912">
            <v>0.5</v>
          </cell>
        </row>
        <row r="913">
          <cell r="C913">
            <v>0.75</v>
          </cell>
        </row>
        <row r="914">
          <cell r="C914">
            <v>1</v>
          </cell>
        </row>
        <row r="915">
          <cell r="C915">
            <v>1.25</v>
          </cell>
        </row>
        <row r="916">
          <cell r="C916">
            <v>1.5</v>
          </cell>
        </row>
        <row r="917">
          <cell r="C917">
            <v>2</v>
          </cell>
        </row>
        <row r="918">
          <cell r="C918">
            <v>2.5</v>
          </cell>
        </row>
        <row r="919">
          <cell r="C919">
            <v>3</v>
          </cell>
        </row>
        <row r="920">
          <cell r="C920">
            <v>4</v>
          </cell>
        </row>
        <row r="921">
          <cell r="C921">
            <v>5</v>
          </cell>
        </row>
        <row r="922">
          <cell r="C922">
            <v>6</v>
          </cell>
        </row>
        <row r="923">
          <cell r="C923">
            <v>3</v>
          </cell>
        </row>
        <row r="924">
          <cell r="C924">
            <v>4</v>
          </cell>
        </row>
        <row r="925">
          <cell r="C925">
            <v>5</v>
          </cell>
        </row>
        <row r="926">
          <cell r="C926">
            <v>6</v>
          </cell>
        </row>
        <row r="927">
          <cell r="C927">
            <v>8</v>
          </cell>
        </row>
        <row r="928">
          <cell r="C928">
            <v>10</v>
          </cell>
        </row>
        <row r="929">
          <cell r="C929">
            <v>12</v>
          </cell>
        </row>
        <row r="930">
          <cell r="C930">
            <v>14</v>
          </cell>
        </row>
        <row r="931">
          <cell r="I931">
            <v>0</v>
          </cell>
          <cell r="O931">
            <v>0</v>
          </cell>
        </row>
        <row r="933">
          <cell r="O933">
            <v>0</v>
          </cell>
        </row>
        <row r="961">
          <cell r="C961">
            <v>16</v>
          </cell>
        </row>
        <row r="962">
          <cell r="C962">
            <v>20</v>
          </cell>
        </row>
        <row r="963">
          <cell r="C963">
            <v>25</v>
          </cell>
        </row>
        <row r="964">
          <cell r="C964">
            <v>32</v>
          </cell>
        </row>
        <row r="965">
          <cell r="C965">
            <v>40</v>
          </cell>
        </row>
        <row r="966">
          <cell r="C966">
            <v>50</v>
          </cell>
        </row>
        <row r="967">
          <cell r="C967">
            <v>63</v>
          </cell>
        </row>
        <row r="968">
          <cell r="C968">
            <v>75</v>
          </cell>
        </row>
        <row r="969">
          <cell r="C969">
            <v>90</v>
          </cell>
        </row>
        <row r="970">
          <cell r="C970">
            <v>110</v>
          </cell>
        </row>
        <row r="971">
          <cell r="C971">
            <v>125</v>
          </cell>
        </row>
        <row r="972">
          <cell r="C972">
            <v>140</v>
          </cell>
        </row>
        <row r="973">
          <cell r="C973">
            <v>160</v>
          </cell>
        </row>
        <row r="974">
          <cell r="C974">
            <v>180</v>
          </cell>
        </row>
        <row r="975">
          <cell r="C975">
            <v>200</v>
          </cell>
        </row>
        <row r="976">
          <cell r="C976">
            <v>225</v>
          </cell>
        </row>
        <row r="977">
          <cell r="C977">
            <v>250</v>
          </cell>
        </row>
        <row r="978">
          <cell r="C978">
            <v>0.5</v>
          </cell>
        </row>
        <row r="979">
          <cell r="C979">
            <v>0.75</v>
          </cell>
        </row>
        <row r="980">
          <cell r="C980">
            <v>1</v>
          </cell>
        </row>
        <row r="981">
          <cell r="C981">
            <v>1.25</v>
          </cell>
        </row>
        <row r="982">
          <cell r="C982">
            <v>1.5</v>
          </cell>
        </row>
        <row r="983">
          <cell r="C983">
            <v>2</v>
          </cell>
        </row>
        <row r="984">
          <cell r="C984">
            <v>2.5</v>
          </cell>
        </row>
        <row r="985">
          <cell r="C985">
            <v>3</v>
          </cell>
        </row>
        <row r="986">
          <cell r="C986">
            <v>4</v>
          </cell>
        </row>
        <row r="987">
          <cell r="C987">
            <v>5</v>
          </cell>
        </row>
        <row r="988">
          <cell r="C988">
            <v>6</v>
          </cell>
        </row>
        <row r="989">
          <cell r="C989">
            <v>3</v>
          </cell>
        </row>
        <row r="990">
          <cell r="C990">
            <v>4</v>
          </cell>
        </row>
        <row r="991">
          <cell r="C991">
            <v>5</v>
          </cell>
        </row>
        <row r="992">
          <cell r="C992">
            <v>6</v>
          </cell>
        </row>
        <row r="993">
          <cell r="C993">
            <v>8</v>
          </cell>
        </row>
        <row r="994">
          <cell r="C994">
            <v>10</v>
          </cell>
        </row>
        <row r="995">
          <cell r="C995">
            <v>12</v>
          </cell>
        </row>
        <row r="996">
          <cell r="C996">
            <v>14</v>
          </cell>
        </row>
        <row r="997">
          <cell r="I997">
            <v>0</v>
          </cell>
          <cell r="O997">
            <v>0</v>
          </cell>
        </row>
        <row r="999">
          <cell r="O999">
            <v>0</v>
          </cell>
        </row>
        <row r="1027">
          <cell r="C1027">
            <v>16</v>
          </cell>
        </row>
        <row r="1028">
          <cell r="C1028">
            <v>20</v>
          </cell>
        </row>
        <row r="1029">
          <cell r="C1029">
            <v>25</v>
          </cell>
        </row>
        <row r="1030">
          <cell r="C1030">
            <v>32</v>
          </cell>
        </row>
        <row r="1031">
          <cell r="C1031">
            <v>40</v>
          </cell>
        </row>
        <row r="1032">
          <cell r="C1032">
            <v>50</v>
          </cell>
        </row>
        <row r="1033">
          <cell r="C1033">
            <v>63</v>
          </cell>
        </row>
        <row r="1034">
          <cell r="C1034">
            <v>75</v>
          </cell>
        </row>
        <row r="1035">
          <cell r="C1035">
            <v>90</v>
          </cell>
        </row>
        <row r="1036">
          <cell r="C1036">
            <v>110</v>
          </cell>
        </row>
        <row r="1037">
          <cell r="C1037">
            <v>125</v>
          </cell>
        </row>
        <row r="1038">
          <cell r="C1038">
            <v>140</v>
          </cell>
        </row>
        <row r="1039">
          <cell r="C1039">
            <v>160</v>
          </cell>
        </row>
        <row r="1040">
          <cell r="C1040">
            <v>180</v>
          </cell>
        </row>
        <row r="1041">
          <cell r="C1041">
            <v>200</v>
          </cell>
        </row>
        <row r="1042">
          <cell r="C1042">
            <v>225</v>
          </cell>
        </row>
        <row r="1043">
          <cell r="C1043">
            <v>250</v>
          </cell>
        </row>
        <row r="1044">
          <cell r="C1044">
            <v>0.5</v>
          </cell>
        </row>
        <row r="1045">
          <cell r="C1045">
            <v>0.75</v>
          </cell>
        </row>
        <row r="1046">
          <cell r="C1046">
            <v>1</v>
          </cell>
        </row>
        <row r="1047">
          <cell r="C1047">
            <v>1.25</v>
          </cell>
        </row>
        <row r="1048">
          <cell r="C1048">
            <v>1.5</v>
          </cell>
        </row>
        <row r="1049">
          <cell r="C1049">
            <v>2</v>
          </cell>
        </row>
        <row r="1050">
          <cell r="C1050">
            <v>2.5</v>
          </cell>
        </row>
        <row r="1051">
          <cell r="C1051">
            <v>3</v>
          </cell>
        </row>
        <row r="1052">
          <cell r="C1052">
            <v>4</v>
          </cell>
        </row>
        <row r="1053">
          <cell r="C1053">
            <v>5</v>
          </cell>
        </row>
        <row r="1054">
          <cell r="C1054">
            <v>6</v>
          </cell>
        </row>
        <row r="1055">
          <cell r="C1055">
            <v>3</v>
          </cell>
        </row>
        <row r="1056">
          <cell r="C1056">
            <v>4</v>
          </cell>
        </row>
        <row r="1057">
          <cell r="C1057">
            <v>5</v>
          </cell>
        </row>
        <row r="1058">
          <cell r="C1058">
            <v>6</v>
          </cell>
        </row>
        <row r="1059">
          <cell r="C1059">
            <v>8</v>
          </cell>
        </row>
        <row r="1060">
          <cell r="C1060">
            <v>10</v>
          </cell>
        </row>
        <row r="1061">
          <cell r="C1061">
            <v>12</v>
          </cell>
        </row>
        <row r="1062">
          <cell r="C1062">
            <v>14</v>
          </cell>
        </row>
        <row r="1063">
          <cell r="I1063">
            <v>0</v>
          </cell>
          <cell r="O1063">
            <v>0</v>
          </cell>
        </row>
        <row r="1065">
          <cell r="O1065">
            <v>0</v>
          </cell>
        </row>
        <row r="1093">
          <cell r="C1093">
            <v>16</v>
          </cell>
        </row>
        <row r="1094">
          <cell r="C1094">
            <v>20</v>
          </cell>
        </row>
        <row r="1095">
          <cell r="C1095">
            <v>25</v>
          </cell>
        </row>
        <row r="1096">
          <cell r="C1096">
            <v>32</v>
          </cell>
        </row>
        <row r="1097">
          <cell r="C1097">
            <v>40</v>
          </cell>
        </row>
        <row r="1098">
          <cell r="C1098">
            <v>50</v>
          </cell>
        </row>
        <row r="1099">
          <cell r="C1099">
            <v>63</v>
          </cell>
        </row>
        <row r="1100">
          <cell r="C1100">
            <v>75</v>
          </cell>
        </row>
        <row r="1101">
          <cell r="C1101">
            <v>90</v>
          </cell>
        </row>
        <row r="1102">
          <cell r="C1102">
            <v>110</v>
          </cell>
        </row>
        <row r="1103">
          <cell r="C1103">
            <v>125</v>
          </cell>
        </row>
        <row r="1104">
          <cell r="C1104">
            <v>140</v>
          </cell>
        </row>
        <row r="1105">
          <cell r="C1105">
            <v>160</v>
          </cell>
        </row>
        <row r="1106">
          <cell r="C1106">
            <v>180</v>
          </cell>
        </row>
        <row r="1107">
          <cell r="C1107">
            <v>200</v>
          </cell>
        </row>
        <row r="1108">
          <cell r="C1108">
            <v>225</v>
          </cell>
        </row>
        <row r="1109">
          <cell r="C1109">
            <v>250</v>
          </cell>
        </row>
        <row r="1110">
          <cell r="C1110">
            <v>0.5</v>
          </cell>
        </row>
        <row r="1111">
          <cell r="C1111">
            <v>0.75</v>
          </cell>
        </row>
        <row r="1112">
          <cell r="C1112">
            <v>1</v>
          </cell>
        </row>
        <row r="1113">
          <cell r="C1113">
            <v>1.25</v>
          </cell>
        </row>
        <row r="1114">
          <cell r="C1114">
            <v>1.5</v>
          </cell>
        </row>
        <row r="1115">
          <cell r="C1115">
            <v>2</v>
          </cell>
        </row>
        <row r="1116">
          <cell r="C1116">
            <v>2.5</v>
          </cell>
        </row>
        <row r="1117">
          <cell r="C1117">
            <v>3</v>
          </cell>
        </row>
        <row r="1118">
          <cell r="C1118">
            <v>4</v>
          </cell>
        </row>
        <row r="1119">
          <cell r="C1119">
            <v>5</v>
          </cell>
        </row>
        <row r="1120">
          <cell r="C1120">
            <v>6</v>
          </cell>
        </row>
        <row r="1121">
          <cell r="C1121">
            <v>3</v>
          </cell>
        </row>
        <row r="1122">
          <cell r="C1122">
            <v>4</v>
          </cell>
        </row>
        <row r="1123">
          <cell r="C1123">
            <v>5</v>
          </cell>
        </row>
        <row r="1124">
          <cell r="C1124">
            <v>6</v>
          </cell>
        </row>
        <row r="1125">
          <cell r="C1125">
            <v>8</v>
          </cell>
        </row>
        <row r="1126">
          <cell r="C1126">
            <v>10</v>
          </cell>
        </row>
        <row r="1127">
          <cell r="C1127">
            <v>12</v>
          </cell>
        </row>
        <row r="1128">
          <cell r="C1128">
            <v>14</v>
          </cell>
        </row>
        <row r="1129">
          <cell r="I1129">
            <v>0</v>
          </cell>
          <cell r="O1129">
            <v>0</v>
          </cell>
        </row>
        <row r="1131">
          <cell r="O1131">
            <v>0</v>
          </cell>
        </row>
        <row r="1159">
          <cell r="C1159">
            <v>16</v>
          </cell>
        </row>
        <row r="1160">
          <cell r="C1160">
            <v>20</v>
          </cell>
        </row>
        <row r="1161">
          <cell r="C1161">
            <v>25</v>
          </cell>
        </row>
        <row r="1162">
          <cell r="C1162">
            <v>32</v>
          </cell>
        </row>
        <row r="1163">
          <cell r="C1163">
            <v>40</v>
          </cell>
        </row>
        <row r="1164">
          <cell r="C1164">
            <v>50</v>
          </cell>
        </row>
        <row r="1165">
          <cell r="C1165">
            <v>63</v>
          </cell>
        </row>
        <row r="1166">
          <cell r="C1166">
            <v>75</v>
          </cell>
        </row>
        <row r="1167">
          <cell r="C1167">
            <v>90</v>
          </cell>
        </row>
        <row r="1168">
          <cell r="C1168">
            <v>110</v>
          </cell>
        </row>
        <row r="1169">
          <cell r="C1169">
            <v>125</v>
          </cell>
        </row>
        <row r="1170">
          <cell r="C1170">
            <v>140</v>
          </cell>
        </row>
        <row r="1171">
          <cell r="C1171">
            <v>160</v>
          </cell>
        </row>
        <row r="1172">
          <cell r="C1172">
            <v>180</v>
          </cell>
        </row>
        <row r="1173">
          <cell r="C1173">
            <v>200</v>
          </cell>
        </row>
        <row r="1174">
          <cell r="C1174">
            <v>225</v>
          </cell>
        </row>
        <row r="1175">
          <cell r="C1175">
            <v>250</v>
          </cell>
        </row>
        <row r="1176">
          <cell r="C1176">
            <v>0.5</v>
          </cell>
        </row>
        <row r="1177">
          <cell r="C1177">
            <v>0.75</v>
          </cell>
        </row>
        <row r="1178">
          <cell r="C1178">
            <v>1</v>
          </cell>
        </row>
        <row r="1179">
          <cell r="C1179">
            <v>1.25</v>
          </cell>
        </row>
        <row r="1180">
          <cell r="C1180">
            <v>1.5</v>
          </cell>
        </row>
        <row r="1181">
          <cell r="C1181">
            <v>2</v>
          </cell>
        </row>
        <row r="1182">
          <cell r="C1182">
            <v>2.5</v>
          </cell>
        </row>
        <row r="1183">
          <cell r="C1183">
            <v>3</v>
          </cell>
        </row>
        <row r="1184">
          <cell r="C1184">
            <v>4</v>
          </cell>
        </row>
        <row r="1185">
          <cell r="C1185">
            <v>5</v>
          </cell>
        </row>
        <row r="1186">
          <cell r="C1186">
            <v>6</v>
          </cell>
        </row>
        <row r="1187">
          <cell r="C1187">
            <v>3</v>
          </cell>
        </row>
        <row r="1188">
          <cell r="C1188">
            <v>4</v>
          </cell>
        </row>
        <row r="1189">
          <cell r="C1189">
            <v>5</v>
          </cell>
        </row>
        <row r="1190">
          <cell r="C1190">
            <v>6</v>
          </cell>
        </row>
        <row r="1191">
          <cell r="C1191">
            <v>8</v>
          </cell>
        </row>
        <row r="1192">
          <cell r="C1192">
            <v>10</v>
          </cell>
        </row>
        <row r="1193">
          <cell r="C1193">
            <v>12</v>
          </cell>
        </row>
        <row r="1194">
          <cell r="C1194">
            <v>14</v>
          </cell>
        </row>
        <row r="1195">
          <cell r="I1195">
            <v>0</v>
          </cell>
          <cell r="O1195">
            <v>0</v>
          </cell>
        </row>
        <row r="1197">
          <cell r="O1197">
            <v>0</v>
          </cell>
        </row>
        <row r="1225">
          <cell r="C1225">
            <v>16</v>
          </cell>
        </row>
        <row r="1226">
          <cell r="C1226">
            <v>20</v>
          </cell>
        </row>
        <row r="1227">
          <cell r="C1227">
            <v>25</v>
          </cell>
        </row>
        <row r="1228">
          <cell r="C1228">
            <v>32</v>
          </cell>
        </row>
        <row r="1229">
          <cell r="C1229">
            <v>40</v>
          </cell>
        </row>
        <row r="1230">
          <cell r="C1230">
            <v>50</v>
          </cell>
        </row>
        <row r="1231">
          <cell r="C1231">
            <v>63</v>
          </cell>
        </row>
        <row r="1232">
          <cell r="C1232">
            <v>75</v>
          </cell>
        </row>
        <row r="1233">
          <cell r="C1233">
            <v>90</v>
          </cell>
        </row>
        <row r="1234">
          <cell r="C1234">
            <v>110</v>
          </cell>
        </row>
        <row r="1235">
          <cell r="C1235">
            <v>125</v>
          </cell>
        </row>
        <row r="1236">
          <cell r="C1236">
            <v>140</v>
          </cell>
        </row>
        <row r="1237">
          <cell r="C1237">
            <v>160</v>
          </cell>
        </row>
        <row r="1238">
          <cell r="C1238">
            <v>180</v>
          </cell>
        </row>
        <row r="1239">
          <cell r="C1239">
            <v>200</v>
          </cell>
        </row>
        <row r="1240">
          <cell r="C1240">
            <v>225</v>
          </cell>
        </row>
        <row r="1241">
          <cell r="C1241">
            <v>250</v>
          </cell>
        </row>
        <row r="1242">
          <cell r="C1242">
            <v>0.5</v>
          </cell>
        </row>
        <row r="1243">
          <cell r="C1243">
            <v>0.75</v>
          </cell>
        </row>
        <row r="1244">
          <cell r="C1244">
            <v>1</v>
          </cell>
        </row>
        <row r="1245">
          <cell r="C1245">
            <v>1.25</v>
          </cell>
        </row>
        <row r="1246">
          <cell r="C1246">
            <v>1.5</v>
          </cell>
        </row>
        <row r="1247">
          <cell r="C1247">
            <v>2</v>
          </cell>
        </row>
        <row r="1248">
          <cell r="C1248">
            <v>2.5</v>
          </cell>
        </row>
        <row r="1249">
          <cell r="C1249">
            <v>3</v>
          </cell>
        </row>
        <row r="1250">
          <cell r="C1250">
            <v>4</v>
          </cell>
        </row>
        <row r="1251">
          <cell r="C1251">
            <v>5</v>
          </cell>
        </row>
        <row r="1252">
          <cell r="C1252">
            <v>6</v>
          </cell>
        </row>
        <row r="1253">
          <cell r="C1253">
            <v>3</v>
          </cell>
        </row>
        <row r="1254">
          <cell r="C1254">
            <v>4</v>
          </cell>
        </row>
        <row r="1255">
          <cell r="C1255">
            <v>5</v>
          </cell>
        </row>
        <row r="1256">
          <cell r="C1256">
            <v>6</v>
          </cell>
        </row>
        <row r="1257">
          <cell r="C1257">
            <v>8</v>
          </cell>
        </row>
        <row r="1258">
          <cell r="C1258">
            <v>10</v>
          </cell>
        </row>
        <row r="1259">
          <cell r="C1259">
            <v>12</v>
          </cell>
        </row>
        <row r="1260">
          <cell r="C1260">
            <v>14</v>
          </cell>
        </row>
        <row r="1261">
          <cell r="I1261">
            <v>0</v>
          </cell>
          <cell r="O1261">
            <v>0</v>
          </cell>
        </row>
        <row r="1263">
          <cell r="O1263">
            <v>0</v>
          </cell>
        </row>
        <row r="1291">
          <cell r="C1291">
            <v>16</v>
          </cell>
        </row>
        <row r="1292">
          <cell r="C1292">
            <v>20</v>
          </cell>
        </row>
        <row r="1293">
          <cell r="C1293">
            <v>25</v>
          </cell>
        </row>
        <row r="1294">
          <cell r="C1294">
            <v>32</v>
          </cell>
        </row>
        <row r="1295">
          <cell r="C1295">
            <v>40</v>
          </cell>
        </row>
        <row r="1296">
          <cell r="C1296">
            <v>50</v>
          </cell>
        </row>
        <row r="1297">
          <cell r="C1297">
            <v>63</v>
          </cell>
        </row>
        <row r="1298">
          <cell r="C1298">
            <v>75</v>
          </cell>
        </row>
        <row r="1299">
          <cell r="C1299">
            <v>90</v>
          </cell>
        </row>
        <row r="1300">
          <cell r="C1300">
            <v>110</v>
          </cell>
        </row>
        <row r="1301">
          <cell r="C1301">
            <v>125</v>
          </cell>
        </row>
        <row r="1302">
          <cell r="C1302">
            <v>140</v>
          </cell>
        </row>
        <row r="1303">
          <cell r="C1303">
            <v>160</v>
          </cell>
        </row>
        <row r="1304">
          <cell r="C1304">
            <v>180</v>
          </cell>
        </row>
        <row r="1305">
          <cell r="C1305">
            <v>200</v>
          </cell>
        </row>
        <row r="1306">
          <cell r="C1306">
            <v>225</v>
          </cell>
        </row>
        <row r="1307">
          <cell r="C1307">
            <v>250</v>
          </cell>
        </row>
        <row r="1308">
          <cell r="C1308">
            <v>0.5</v>
          </cell>
        </row>
        <row r="1309">
          <cell r="C1309">
            <v>0.75</v>
          </cell>
        </row>
        <row r="1310">
          <cell r="C1310">
            <v>1</v>
          </cell>
        </row>
        <row r="1311">
          <cell r="C1311">
            <v>1.25</v>
          </cell>
        </row>
        <row r="1312">
          <cell r="C1312">
            <v>1.5</v>
          </cell>
        </row>
        <row r="1313">
          <cell r="C1313">
            <v>2</v>
          </cell>
        </row>
        <row r="1314">
          <cell r="C1314">
            <v>2.5</v>
          </cell>
        </row>
        <row r="1315">
          <cell r="C1315">
            <v>3</v>
          </cell>
        </row>
        <row r="1316">
          <cell r="C1316">
            <v>4</v>
          </cell>
        </row>
        <row r="1317">
          <cell r="C1317">
            <v>5</v>
          </cell>
        </row>
        <row r="1318">
          <cell r="C1318">
            <v>6</v>
          </cell>
        </row>
        <row r="1319">
          <cell r="C1319">
            <v>3</v>
          </cell>
        </row>
        <row r="1320">
          <cell r="C1320">
            <v>4</v>
          </cell>
        </row>
        <row r="1321">
          <cell r="C1321">
            <v>5</v>
          </cell>
        </row>
        <row r="1322">
          <cell r="C1322">
            <v>6</v>
          </cell>
        </row>
        <row r="1323">
          <cell r="C1323">
            <v>8</v>
          </cell>
        </row>
        <row r="1324">
          <cell r="C1324">
            <v>10</v>
          </cell>
        </row>
        <row r="1325">
          <cell r="C1325">
            <v>12</v>
          </cell>
        </row>
        <row r="1326">
          <cell r="C1326">
            <v>14</v>
          </cell>
        </row>
        <row r="1327">
          <cell r="I1327">
            <v>0</v>
          </cell>
          <cell r="O1327">
            <v>0</v>
          </cell>
        </row>
        <row r="1329">
          <cell r="O1329">
            <v>0</v>
          </cell>
        </row>
        <row r="1357">
          <cell r="C1357">
            <v>16</v>
          </cell>
        </row>
        <row r="1358">
          <cell r="C1358">
            <v>20</v>
          </cell>
        </row>
        <row r="1359">
          <cell r="C1359">
            <v>25</v>
          </cell>
        </row>
        <row r="1360">
          <cell r="C1360">
            <v>32</v>
          </cell>
        </row>
        <row r="1361">
          <cell r="C1361">
            <v>40</v>
          </cell>
        </row>
        <row r="1362">
          <cell r="C1362">
            <v>50</v>
          </cell>
        </row>
        <row r="1363">
          <cell r="C1363">
            <v>63</v>
          </cell>
        </row>
        <row r="1364">
          <cell r="C1364">
            <v>75</v>
          </cell>
        </row>
        <row r="1365">
          <cell r="C1365">
            <v>90</v>
          </cell>
        </row>
        <row r="1366">
          <cell r="C1366">
            <v>110</v>
          </cell>
        </row>
        <row r="1367">
          <cell r="C1367">
            <v>125</v>
          </cell>
        </row>
        <row r="1368">
          <cell r="C1368">
            <v>140</v>
          </cell>
        </row>
        <row r="1369">
          <cell r="C1369">
            <v>160</v>
          </cell>
        </row>
        <row r="1370">
          <cell r="C1370">
            <v>180</v>
          </cell>
        </row>
        <row r="1371">
          <cell r="C1371">
            <v>200</v>
          </cell>
        </row>
        <row r="1372">
          <cell r="C1372">
            <v>225</v>
          </cell>
        </row>
        <row r="1373">
          <cell r="C1373">
            <v>250</v>
          </cell>
        </row>
        <row r="1374">
          <cell r="C1374">
            <v>0.5</v>
          </cell>
        </row>
        <row r="1375">
          <cell r="C1375">
            <v>0.75</v>
          </cell>
        </row>
        <row r="1376">
          <cell r="C1376">
            <v>1</v>
          </cell>
        </row>
        <row r="1377">
          <cell r="C1377">
            <v>1.25</v>
          </cell>
        </row>
        <row r="1378">
          <cell r="C1378">
            <v>1.5</v>
          </cell>
        </row>
        <row r="1379">
          <cell r="C1379">
            <v>2</v>
          </cell>
        </row>
        <row r="1380">
          <cell r="C1380">
            <v>2.5</v>
          </cell>
        </row>
        <row r="1381">
          <cell r="C1381">
            <v>3</v>
          </cell>
        </row>
        <row r="1382">
          <cell r="C1382">
            <v>4</v>
          </cell>
        </row>
        <row r="1383">
          <cell r="C1383">
            <v>5</v>
          </cell>
        </row>
        <row r="1384">
          <cell r="C1384">
            <v>6</v>
          </cell>
        </row>
        <row r="1385">
          <cell r="C1385">
            <v>3</v>
          </cell>
        </row>
        <row r="1386">
          <cell r="C1386">
            <v>4</v>
          </cell>
        </row>
        <row r="1387">
          <cell r="C1387">
            <v>5</v>
          </cell>
        </row>
        <row r="1388">
          <cell r="C1388">
            <v>6</v>
          </cell>
        </row>
        <row r="1389">
          <cell r="C1389">
            <v>8</v>
          </cell>
        </row>
        <row r="1390">
          <cell r="C1390">
            <v>10</v>
          </cell>
        </row>
        <row r="1391">
          <cell r="C1391">
            <v>12</v>
          </cell>
        </row>
        <row r="1392">
          <cell r="C1392">
            <v>14</v>
          </cell>
        </row>
        <row r="1393">
          <cell r="I1393">
            <v>0</v>
          </cell>
          <cell r="O1393">
            <v>0</v>
          </cell>
        </row>
        <row r="1395">
          <cell r="O1395">
            <v>0</v>
          </cell>
        </row>
        <row r="1423">
          <cell r="C1423">
            <v>16</v>
          </cell>
        </row>
        <row r="1424">
          <cell r="C1424">
            <v>20</v>
          </cell>
        </row>
        <row r="1425">
          <cell r="C1425">
            <v>25</v>
          </cell>
        </row>
        <row r="1426">
          <cell r="C1426">
            <v>32</v>
          </cell>
        </row>
        <row r="1427">
          <cell r="C1427">
            <v>40</v>
          </cell>
        </row>
        <row r="1428">
          <cell r="C1428">
            <v>50</v>
          </cell>
        </row>
        <row r="1429">
          <cell r="C1429">
            <v>63</v>
          </cell>
        </row>
        <row r="1430">
          <cell r="C1430">
            <v>75</v>
          </cell>
        </row>
        <row r="1431">
          <cell r="C1431">
            <v>90</v>
          </cell>
        </row>
        <row r="1432">
          <cell r="C1432">
            <v>110</v>
          </cell>
        </row>
        <row r="1433">
          <cell r="C1433">
            <v>125</v>
          </cell>
        </row>
        <row r="1434">
          <cell r="C1434">
            <v>140</v>
          </cell>
        </row>
        <row r="1435">
          <cell r="C1435">
            <v>160</v>
          </cell>
        </row>
        <row r="1436">
          <cell r="C1436">
            <v>180</v>
          </cell>
        </row>
        <row r="1437">
          <cell r="C1437">
            <v>200</v>
          </cell>
        </row>
        <row r="1438">
          <cell r="C1438">
            <v>225</v>
          </cell>
        </row>
        <row r="1439">
          <cell r="C1439">
            <v>250</v>
          </cell>
        </row>
        <row r="1440">
          <cell r="C1440">
            <v>0.5</v>
          </cell>
        </row>
        <row r="1441">
          <cell r="C1441">
            <v>0.75</v>
          </cell>
        </row>
        <row r="1442">
          <cell r="C1442">
            <v>1</v>
          </cell>
        </row>
        <row r="1443">
          <cell r="C1443">
            <v>1.25</v>
          </cell>
        </row>
        <row r="1444">
          <cell r="C1444">
            <v>1.5</v>
          </cell>
        </row>
        <row r="1445">
          <cell r="C1445">
            <v>2</v>
          </cell>
        </row>
        <row r="1446">
          <cell r="C1446">
            <v>2.5</v>
          </cell>
        </row>
        <row r="1447">
          <cell r="C1447">
            <v>3</v>
          </cell>
        </row>
        <row r="1448">
          <cell r="C1448">
            <v>4</v>
          </cell>
        </row>
        <row r="1449">
          <cell r="C1449">
            <v>5</v>
          </cell>
        </row>
        <row r="1450">
          <cell r="C1450">
            <v>6</v>
          </cell>
        </row>
        <row r="1451">
          <cell r="C1451">
            <v>3</v>
          </cell>
        </row>
        <row r="1452">
          <cell r="C1452">
            <v>4</v>
          </cell>
        </row>
        <row r="1453">
          <cell r="C1453">
            <v>5</v>
          </cell>
        </row>
        <row r="1454">
          <cell r="C1454">
            <v>6</v>
          </cell>
        </row>
        <row r="1455">
          <cell r="C1455">
            <v>8</v>
          </cell>
        </row>
        <row r="1456">
          <cell r="C1456">
            <v>10</v>
          </cell>
        </row>
        <row r="1457">
          <cell r="C1457">
            <v>12</v>
          </cell>
        </row>
        <row r="1458">
          <cell r="C1458">
            <v>14</v>
          </cell>
        </row>
        <row r="1459">
          <cell r="I1459">
            <v>0</v>
          </cell>
          <cell r="O1459">
            <v>0</v>
          </cell>
        </row>
        <row r="1461">
          <cell r="O1461">
            <v>0</v>
          </cell>
        </row>
        <row r="1489">
          <cell r="C1489">
            <v>16</v>
          </cell>
        </row>
        <row r="1490">
          <cell r="C1490">
            <v>20</v>
          </cell>
        </row>
        <row r="1491">
          <cell r="C1491">
            <v>25</v>
          </cell>
        </row>
        <row r="1492">
          <cell r="C1492">
            <v>32</v>
          </cell>
        </row>
        <row r="1493">
          <cell r="C1493">
            <v>40</v>
          </cell>
        </row>
        <row r="1494">
          <cell r="C1494">
            <v>50</v>
          </cell>
        </row>
        <row r="1495">
          <cell r="C1495">
            <v>63</v>
          </cell>
        </row>
        <row r="1496">
          <cell r="C1496">
            <v>75</v>
          </cell>
        </row>
        <row r="1497">
          <cell r="C1497">
            <v>90</v>
          </cell>
        </row>
        <row r="1498">
          <cell r="C1498">
            <v>110</v>
          </cell>
        </row>
        <row r="1499">
          <cell r="C1499">
            <v>125</v>
          </cell>
        </row>
        <row r="1500">
          <cell r="C1500">
            <v>140</v>
          </cell>
        </row>
        <row r="1501">
          <cell r="C1501">
            <v>160</v>
          </cell>
        </row>
        <row r="1502">
          <cell r="C1502">
            <v>180</v>
          </cell>
        </row>
        <row r="1503">
          <cell r="C1503">
            <v>200</v>
          </cell>
        </row>
        <row r="1504">
          <cell r="C1504">
            <v>225</v>
          </cell>
        </row>
        <row r="1505">
          <cell r="C1505">
            <v>250</v>
          </cell>
        </row>
        <row r="1506">
          <cell r="C1506">
            <v>0.5</v>
          </cell>
        </row>
        <row r="1507">
          <cell r="C1507">
            <v>0.75</v>
          </cell>
        </row>
        <row r="1508">
          <cell r="C1508">
            <v>1</v>
          </cell>
        </row>
        <row r="1509">
          <cell r="C1509">
            <v>1.25</v>
          </cell>
        </row>
        <row r="1510">
          <cell r="C1510">
            <v>1.5</v>
          </cell>
        </row>
        <row r="1511">
          <cell r="C1511">
            <v>2</v>
          </cell>
        </row>
        <row r="1512">
          <cell r="C1512">
            <v>2.5</v>
          </cell>
        </row>
        <row r="1513">
          <cell r="C1513">
            <v>3</v>
          </cell>
        </row>
        <row r="1514">
          <cell r="C1514">
            <v>4</v>
          </cell>
        </row>
        <row r="1515">
          <cell r="C1515">
            <v>5</v>
          </cell>
        </row>
        <row r="1516">
          <cell r="C1516">
            <v>6</v>
          </cell>
        </row>
        <row r="1517">
          <cell r="C1517">
            <v>3</v>
          </cell>
        </row>
        <row r="1518">
          <cell r="C1518">
            <v>4</v>
          </cell>
        </row>
        <row r="1519">
          <cell r="C1519">
            <v>5</v>
          </cell>
        </row>
        <row r="1520">
          <cell r="C1520">
            <v>6</v>
          </cell>
        </row>
        <row r="1521">
          <cell r="C1521">
            <v>8</v>
          </cell>
        </row>
        <row r="1522">
          <cell r="C1522">
            <v>10</v>
          </cell>
        </row>
        <row r="1523">
          <cell r="C1523">
            <v>12</v>
          </cell>
        </row>
        <row r="1524">
          <cell r="C1524">
            <v>14</v>
          </cell>
        </row>
        <row r="1525">
          <cell r="I1525">
            <v>0</v>
          </cell>
          <cell r="O1525">
            <v>0</v>
          </cell>
        </row>
        <row r="1527">
          <cell r="O1527">
            <v>0</v>
          </cell>
        </row>
        <row r="1555">
          <cell r="C1555">
            <v>16</v>
          </cell>
        </row>
        <row r="1556">
          <cell r="C1556">
            <v>20</v>
          </cell>
        </row>
        <row r="1557">
          <cell r="C1557">
            <v>25</v>
          </cell>
        </row>
        <row r="1558">
          <cell r="C1558">
            <v>32</v>
          </cell>
        </row>
        <row r="1559">
          <cell r="C1559">
            <v>40</v>
          </cell>
        </row>
        <row r="1560">
          <cell r="C1560">
            <v>50</v>
          </cell>
        </row>
        <row r="1561">
          <cell r="C1561">
            <v>63</v>
          </cell>
        </row>
        <row r="1562">
          <cell r="C1562">
            <v>75</v>
          </cell>
        </row>
        <row r="1563">
          <cell r="C1563">
            <v>90</v>
          </cell>
        </row>
        <row r="1564">
          <cell r="C1564">
            <v>110</v>
          </cell>
        </row>
        <row r="1565">
          <cell r="C1565">
            <v>125</v>
          </cell>
        </row>
        <row r="1566">
          <cell r="C1566">
            <v>140</v>
          </cell>
        </row>
        <row r="1567">
          <cell r="C1567">
            <v>160</v>
          </cell>
        </row>
        <row r="1568">
          <cell r="C1568">
            <v>180</v>
          </cell>
        </row>
        <row r="1569">
          <cell r="C1569">
            <v>200</v>
          </cell>
        </row>
        <row r="1570">
          <cell r="C1570">
            <v>225</v>
          </cell>
        </row>
        <row r="1571">
          <cell r="C1571">
            <v>250</v>
          </cell>
        </row>
        <row r="1572">
          <cell r="C1572">
            <v>0.5</v>
          </cell>
        </row>
        <row r="1573">
          <cell r="C1573">
            <v>0.75</v>
          </cell>
        </row>
        <row r="1574">
          <cell r="C1574">
            <v>1</v>
          </cell>
        </row>
        <row r="1575">
          <cell r="C1575">
            <v>1.25</v>
          </cell>
        </row>
        <row r="1576">
          <cell r="C1576">
            <v>1.5</v>
          </cell>
        </row>
        <row r="1577">
          <cell r="C1577">
            <v>2</v>
          </cell>
        </row>
        <row r="1578">
          <cell r="C1578">
            <v>2.5</v>
          </cell>
        </row>
        <row r="1579">
          <cell r="C1579">
            <v>3</v>
          </cell>
        </row>
        <row r="1580">
          <cell r="C1580">
            <v>4</v>
          </cell>
        </row>
        <row r="1581">
          <cell r="C1581">
            <v>5</v>
          </cell>
        </row>
        <row r="1582">
          <cell r="C1582">
            <v>6</v>
          </cell>
        </row>
        <row r="1583">
          <cell r="C1583">
            <v>3</v>
          </cell>
        </row>
        <row r="1584">
          <cell r="C1584">
            <v>4</v>
          </cell>
        </row>
        <row r="1585">
          <cell r="C1585">
            <v>5</v>
          </cell>
        </row>
        <row r="1586">
          <cell r="C1586">
            <v>6</v>
          </cell>
        </row>
        <row r="1587">
          <cell r="C1587">
            <v>8</v>
          </cell>
        </row>
        <row r="1588">
          <cell r="C1588">
            <v>10</v>
          </cell>
        </row>
        <row r="1589">
          <cell r="C1589">
            <v>12</v>
          </cell>
        </row>
        <row r="1590">
          <cell r="C1590">
            <v>14</v>
          </cell>
        </row>
        <row r="1591">
          <cell r="I1591">
            <v>0</v>
          </cell>
          <cell r="O1591">
            <v>0</v>
          </cell>
        </row>
        <row r="1593">
          <cell r="O1593">
            <v>0</v>
          </cell>
        </row>
        <row r="1621">
          <cell r="C1621">
            <v>16</v>
          </cell>
        </row>
        <row r="1622">
          <cell r="C1622">
            <v>20</v>
          </cell>
        </row>
        <row r="1623">
          <cell r="C1623">
            <v>25</v>
          </cell>
        </row>
        <row r="1624">
          <cell r="C1624">
            <v>32</v>
          </cell>
        </row>
        <row r="1625">
          <cell r="C1625">
            <v>40</v>
          </cell>
        </row>
        <row r="1626">
          <cell r="C1626">
            <v>50</v>
          </cell>
        </row>
        <row r="1627">
          <cell r="C1627">
            <v>63</v>
          </cell>
        </row>
        <row r="1628">
          <cell r="C1628">
            <v>75</v>
          </cell>
        </row>
        <row r="1629">
          <cell r="C1629">
            <v>90</v>
          </cell>
        </row>
        <row r="1630">
          <cell r="C1630">
            <v>110</v>
          </cell>
        </row>
        <row r="1631">
          <cell r="C1631">
            <v>125</v>
          </cell>
        </row>
        <row r="1632">
          <cell r="C1632">
            <v>140</v>
          </cell>
        </row>
        <row r="1633">
          <cell r="C1633">
            <v>160</v>
          </cell>
        </row>
        <row r="1634">
          <cell r="C1634">
            <v>180</v>
          </cell>
        </row>
        <row r="1635">
          <cell r="C1635">
            <v>200</v>
          </cell>
        </row>
        <row r="1636">
          <cell r="C1636">
            <v>225</v>
          </cell>
        </row>
        <row r="1637">
          <cell r="C1637">
            <v>250</v>
          </cell>
        </row>
        <row r="1638">
          <cell r="C1638">
            <v>0.5</v>
          </cell>
        </row>
        <row r="1639">
          <cell r="C1639">
            <v>0.75</v>
          </cell>
        </row>
        <row r="1640">
          <cell r="C1640">
            <v>1</v>
          </cell>
        </row>
        <row r="1641">
          <cell r="C1641">
            <v>1.25</v>
          </cell>
        </row>
        <row r="1642">
          <cell r="C1642">
            <v>1.5</v>
          </cell>
        </row>
        <row r="1643">
          <cell r="C1643">
            <v>2</v>
          </cell>
        </row>
        <row r="1644">
          <cell r="C1644">
            <v>2.5</v>
          </cell>
        </row>
        <row r="1645">
          <cell r="C1645">
            <v>3</v>
          </cell>
        </row>
        <row r="1646">
          <cell r="C1646">
            <v>4</v>
          </cell>
        </row>
        <row r="1647">
          <cell r="C1647">
            <v>5</v>
          </cell>
        </row>
        <row r="1648">
          <cell r="C1648">
            <v>6</v>
          </cell>
        </row>
        <row r="1649">
          <cell r="C1649">
            <v>3</v>
          </cell>
        </row>
        <row r="1650">
          <cell r="C1650">
            <v>4</v>
          </cell>
        </row>
        <row r="1651">
          <cell r="C1651">
            <v>5</v>
          </cell>
        </row>
        <row r="1652">
          <cell r="C1652">
            <v>6</v>
          </cell>
        </row>
        <row r="1653">
          <cell r="C1653">
            <v>8</v>
          </cell>
        </row>
        <row r="1654">
          <cell r="C1654">
            <v>10</v>
          </cell>
        </row>
        <row r="1655">
          <cell r="C1655">
            <v>12</v>
          </cell>
        </row>
        <row r="1656">
          <cell r="C1656">
            <v>14</v>
          </cell>
        </row>
        <row r="1657">
          <cell r="I1657">
            <v>0</v>
          </cell>
          <cell r="O1657">
            <v>0</v>
          </cell>
        </row>
        <row r="1659">
          <cell r="O1659">
            <v>0</v>
          </cell>
        </row>
        <row r="1687">
          <cell r="C1687">
            <v>16</v>
          </cell>
        </row>
        <row r="1688">
          <cell r="C1688">
            <v>20</v>
          </cell>
        </row>
        <row r="1689">
          <cell r="C1689">
            <v>25</v>
          </cell>
        </row>
        <row r="1690">
          <cell r="C1690">
            <v>32</v>
          </cell>
        </row>
        <row r="1691">
          <cell r="C1691">
            <v>40</v>
          </cell>
        </row>
        <row r="1692">
          <cell r="C1692">
            <v>50</v>
          </cell>
        </row>
        <row r="1693">
          <cell r="C1693">
            <v>63</v>
          </cell>
        </row>
        <row r="1694">
          <cell r="C1694">
            <v>75</v>
          </cell>
        </row>
        <row r="1695">
          <cell r="C1695">
            <v>90</v>
          </cell>
        </row>
        <row r="1696">
          <cell r="C1696">
            <v>110</v>
          </cell>
        </row>
        <row r="1697">
          <cell r="C1697">
            <v>125</v>
          </cell>
        </row>
        <row r="1698">
          <cell r="C1698">
            <v>140</v>
          </cell>
        </row>
        <row r="1699">
          <cell r="C1699">
            <v>160</v>
          </cell>
        </row>
        <row r="1700">
          <cell r="C1700">
            <v>180</v>
          </cell>
        </row>
        <row r="1701">
          <cell r="C1701">
            <v>200</v>
          </cell>
        </row>
        <row r="1702">
          <cell r="C1702">
            <v>225</v>
          </cell>
        </row>
        <row r="1703">
          <cell r="C1703">
            <v>250</v>
          </cell>
        </row>
        <row r="1704">
          <cell r="C1704">
            <v>0.5</v>
          </cell>
        </row>
        <row r="1705">
          <cell r="C1705">
            <v>0.75</v>
          </cell>
        </row>
        <row r="1706">
          <cell r="C1706">
            <v>1</v>
          </cell>
        </row>
        <row r="1707">
          <cell r="C1707">
            <v>1.25</v>
          </cell>
        </row>
        <row r="1708">
          <cell r="C1708">
            <v>1.5</v>
          </cell>
        </row>
        <row r="1709">
          <cell r="C1709">
            <v>2</v>
          </cell>
        </row>
        <row r="1710">
          <cell r="C1710">
            <v>2.5</v>
          </cell>
        </row>
        <row r="1711">
          <cell r="C1711">
            <v>3</v>
          </cell>
        </row>
        <row r="1712">
          <cell r="C1712">
            <v>4</v>
          </cell>
        </row>
        <row r="1713">
          <cell r="C1713">
            <v>5</v>
          </cell>
        </row>
        <row r="1714">
          <cell r="C1714">
            <v>6</v>
          </cell>
        </row>
        <row r="1715">
          <cell r="C1715">
            <v>3</v>
          </cell>
        </row>
        <row r="1716">
          <cell r="C1716">
            <v>4</v>
          </cell>
        </row>
        <row r="1717">
          <cell r="C1717">
            <v>5</v>
          </cell>
        </row>
        <row r="1718">
          <cell r="C1718">
            <v>6</v>
          </cell>
        </row>
        <row r="1719">
          <cell r="C1719">
            <v>8</v>
          </cell>
        </row>
        <row r="1720">
          <cell r="C1720">
            <v>10</v>
          </cell>
        </row>
        <row r="1721">
          <cell r="C1721">
            <v>12</v>
          </cell>
        </row>
        <row r="1722">
          <cell r="C1722">
            <v>14</v>
          </cell>
        </row>
        <row r="1723">
          <cell r="I1723">
            <v>0</v>
          </cell>
          <cell r="O1723">
            <v>0</v>
          </cell>
        </row>
        <row r="1725">
          <cell r="O1725">
            <v>0</v>
          </cell>
        </row>
        <row r="1753">
          <cell r="C1753">
            <v>16</v>
          </cell>
        </row>
        <row r="1754">
          <cell r="C1754">
            <v>20</v>
          </cell>
        </row>
        <row r="1755">
          <cell r="C1755">
            <v>25</v>
          </cell>
        </row>
        <row r="1756">
          <cell r="C1756">
            <v>32</v>
          </cell>
        </row>
        <row r="1757">
          <cell r="C1757">
            <v>40</v>
          </cell>
        </row>
        <row r="1758">
          <cell r="C1758">
            <v>50</v>
          </cell>
        </row>
        <row r="1759">
          <cell r="C1759">
            <v>63</v>
          </cell>
        </row>
        <row r="1760">
          <cell r="C1760">
            <v>75</v>
          </cell>
        </row>
        <row r="1761">
          <cell r="C1761">
            <v>90</v>
          </cell>
        </row>
        <row r="1762">
          <cell r="C1762">
            <v>110</v>
          </cell>
        </row>
        <row r="1763">
          <cell r="C1763">
            <v>125</v>
          </cell>
        </row>
        <row r="1764">
          <cell r="C1764">
            <v>140</v>
          </cell>
        </row>
        <row r="1765">
          <cell r="C1765">
            <v>160</v>
          </cell>
        </row>
        <row r="1766">
          <cell r="C1766">
            <v>180</v>
          </cell>
        </row>
        <row r="1767">
          <cell r="C1767">
            <v>200</v>
          </cell>
        </row>
        <row r="1768">
          <cell r="C1768">
            <v>225</v>
          </cell>
        </row>
        <row r="1769">
          <cell r="C1769">
            <v>250</v>
          </cell>
        </row>
        <row r="1770">
          <cell r="C1770">
            <v>0.5</v>
          </cell>
        </row>
        <row r="1771">
          <cell r="C1771">
            <v>0.75</v>
          </cell>
        </row>
        <row r="1772">
          <cell r="C1772">
            <v>1</v>
          </cell>
        </row>
        <row r="1773">
          <cell r="C1773">
            <v>1.25</v>
          </cell>
        </row>
        <row r="1774">
          <cell r="C1774">
            <v>1.5</v>
          </cell>
        </row>
        <row r="1775">
          <cell r="C1775">
            <v>2</v>
          </cell>
        </row>
        <row r="1776">
          <cell r="C1776">
            <v>2.5</v>
          </cell>
        </row>
        <row r="1777">
          <cell r="C1777">
            <v>3</v>
          </cell>
        </row>
        <row r="1778">
          <cell r="C1778">
            <v>4</v>
          </cell>
        </row>
        <row r="1779">
          <cell r="C1779">
            <v>5</v>
          </cell>
        </row>
        <row r="1780">
          <cell r="C1780">
            <v>6</v>
          </cell>
        </row>
        <row r="1781">
          <cell r="C1781">
            <v>3</v>
          </cell>
        </row>
        <row r="1782">
          <cell r="C1782">
            <v>4</v>
          </cell>
        </row>
        <row r="1783">
          <cell r="C1783">
            <v>5</v>
          </cell>
        </row>
        <row r="1784">
          <cell r="C1784">
            <v>6</v>
          </cell>
        </row>
        <row r="1785">
          <cell r="C1785">
            <v>8</v>
          </cell>
        </row>
        <row r="1786">
          <cell r="C1786">
            <v>10</v>
          </cell>
        </row>
        <row r="1787">
          <cell r="C1787">
            <v>12</v>
          </cell>
        </row>
        <row r="1788">
          <cell r="C1788">
            <v>14</v>
          </cell>
        </row>
        <row r="1789">
          <cell r="I1789">
            <v>0</v>
          </cell>
          <cell r="O1789">
            <v>0</v>
          </cell>
        </row>
      </sheetData>
      <sheetData sheetId="12">
        <row r="4">
          <cell r="H4">
            <v>1</v>
          </cell>
          <cell r="I4">
            <v>2</v>
          </cell>
          <cell r="J4">
            <v>3</v>
          </cell>
          <cell r="K4">
            <v>4</v>
          </cell>
          <cell r="L4">
            <v>5</v>
          </cell>
          <cell r="M4">
            <v>6</v>
          </cell>
          <cell r="N4">
            <v>7</v>
          </cell>
          <cell r="O4">
            <v>8</v>
          </cell>
          <cell r="P4">
            <v>9</v>
          </cell>
          <cell r="Q4">
            <v>10</v>
          </cell>
          <cell r="R4">
            <v>12</v>
          </cell>
          <cell r="S4">
            <v>14</v>
          </cell>
          <cell r="T4">
            <v>16</v>
          </cell>
          <cell r="U4">
            <v>18</v>
          </cell>
          <cell r="V4">
            <v>20</v>
          </cell>
        </row>
        <row r="5">
          <cell r="A5" t="str">
            <v>Size</v>
          </cell>
          <cell r="B5" t="str">
            <v>Size</v>
          </cell>
          <cell r="C5" t="str">
            <v>Size</v>
          </cell>
          <cell r="D5" t="str">
            <v>Size</v>
          </cell>
          <cell r="E5" t="str">
            <v>Size</v>
          </cell>
          <cell r="H5">
            <v>0.61</v>
          </cell>
          <cell r="I5">
            <v>1.1100000000000001</v>
          </cell>
          <cell r="J5">
            <v>0.91</v>
          </cell>
          <cell r="K5">
            <v>1.21</v>
          </cell>
          <cell r="L5">
            <v>1.01</v>
          </cell>
          <cell r="M5">
            <v>1.21</v>
          </cell>
          <cell r="N5">
            <v>1.36</v>
          </cell>
          <cell r="O5">
            <v>1.56</v>
          </cell>
          <cell r="P5">
            <v>1.21</v>
          </cell>
          <cell r="Q5">
            <v>1.36</v>
          </cell>
          <cell r="R5">
            <v>1.61</v>
          </cell>
          <cell r="S5">
            <v>1.41</v>
          </cell>
          <cell r="T5">
            <v>1.61</v>
          </cell>
          <cell r="U5">
            <v>1.36</v>
          </cell>
          <cell r="V5">
            <v>1.51</v>
          </cell>
        </row>
        <row r="6">
          <cell r="H6">
            <v>0.66</v>
          </cell>
          <cell r="I6">
            <v>1.1599999999999999</v>
          </cell>
          <cell r="J6">
            <v>0.96</v>
          </cell>
          <cell r="K6">
            <v>1.26</v>
          </cell>
          <cell r="L6">
            <v>1.06</v>
          </cell>
          <cell r="M6">
            <v>1.26</v>
          </cell>
          <cell r="N6">
            <v>1.41</v>
          </cell>
          <cell r="O6">
            <v>1.61</v>
          </cell>
          <cell r="P6">
            <v>1.26</v>
          </cell>
          <cell r="Q6">
            <v>1.41</v>
          </cell>
          <cell r="R6">
            <v>1.66</v>
          </cell>
          <cell r="S6">
            <v>1.46</v>
          </cell>
          <cell r="T6">
            <v>1.66</v>
          </cell>
          <cell r="U6">
            <v>1.41</v>
          </cell>
          <cell r="V6">
            <v>1.56</v>
          </cell>
        </row>
        <row r="7">
          <cell r="A7">
            <v>0.5</v>
          </cell>
          <cell r="B7">
            <v>1</v>
          </cell>
          <cell r="C7">
            <v>0.5</v>
          </cell>
          <cell r="E7">
            <v>0.75</v>
          </cell>
          <cell r="H7">
            <v>1.61</v>
          </cell>
          <cell r="I7">
            <v>2.1100000000000003</v>
          </cell>
          <cell r="J7">
            <v>2.06</v>
          </cell>
          <cell r="K7">
            <v>2.46</v>
          </cell>
          <cell r="L7">
            <v>2.5100000000000002</v>
          </cell>
          <cell r="M7">
            <v>2.71</v>
          </cell>
          <cell r="N7">
            <v>2.8600000000000003</v>
          </cell>
          <cell r="O7">
            <v>3.06</v>
          </cell>
          <cell r="P7">
            <v>2.96</v>
          </cell>
          <cell r="Q7">
            <v>3.1100000000000003</v>
          </cell>
          <cell r="R7">
            <v>3.3600000000000003</v>
          </cell>
          <cell r="S7">
            <v>3.41</v>
          </cell>
          <cell r="T7">
            <v>3.6100000000000003</v>
          </cell>
          <cell r="U7">
            <v>3.6100000000000003</v>
          </cell>
          <cell r="V7">
            <v>3.76</v>
          </cell>
        </row>
        <row r="8">
          <cell r="A8">
            <v>0.75</v>
          </cell>
          <cell r="B8">
            <v>1.25</v>
          </cell>
          <cell r="C8">
            <v>0.75</v>
          </cell>
          <cell r="D8">
            <v>0.5</v>
          </cell>
          <cell r="E8">
            <v>1</v>
          </cell>
        </row>
        <row r="9">
          <cell r="A9">
            <v>1</v>
          </cell>
          <cell r="B9">
            <v>1.5</v>
          </cell>
          <cell r="C9">
            <v>1</v>
          </cell>
          <cell r="D9">
            <v>0.75</v>
          </cell>
          <cell r="E9">
            <v>1.25</v>
          </cell>
        </row>
        <row r="10">
          <cell r="A10">
            <v>1.25</v>
          </cell>
          <cell r="B10">
            <v>2</v>
          </cell>
          <cell r="C10">
            <v>1.25</v>
          </cell>
          <cell r="D10">
            <v>1</v>
          </cell>
          <cell r="E10">
            <v>1.5</v>
          </cell>
        </row>
        <row r="11">
          <cell r="A11">
            <v>1.5</v>
          </cell>
          <cell r="B11">
            <v>2.5</v>
          </cell>
          <cell r="C11">
            <v>1.5</v>
          </cell>
          <cell r="D11">
            <v>1.25</v>
          </cell>
          <cell r="E11">
            <v>2</v>
          </cell>
          <cell r="H11" t="e">
            <v>#NAME?</v>
          </cell>
          <cell r="I11" t="e">
            <v>#NAME?</v>
          </cell>
          <cell r="J11" t="e">
            <v>#NAME?</v>
          </cell>
          <cell r="K11" t="e">
            <v>#NAME?</v>
          </cell>
          <cell r="L11" t="e">
            <v>#NAME?</v>
          </cell>
          <cell r="M11" t="e">
            <v>#NAME?</v>
          </cell>
          <cell r="N11" t="e">
            <v>#NAME?</v>
          </cell>
          <cell r="O11" t="e">
            <v>#NAME?</v>
          </cell>
          <cell r="P11" t="e">
            <v>#NAME?</v>
          </cell>
          <cell r="Q11" t="e">
            <v>#NAME?</v>
          </cell>
          <cell r="R11" t="e">
            <v>#NAME?</v>
          </cell>
          <cell r="S11" t="e">
            <v>#NAME?</v>
          </cell>
        </row>
        <row r="12">
          <cell r="A12">
            <v>2</v>
          </cell>
          <cell r="B12">
            <v>3</v>
          </cell>
          <cell r="C12">
            <v>2</v>
          </cell>
          <cell r="D12">
            <v>1.5</v>
          </cell>
          <cell r="E12">
            <v>2.5</v>
          </cell>
          <cell r="H12" t="e">
            <v>#NAME?</v>
          </cell>
          <cell r="I12" t="e">
            <v>#NAME?</v>
          </cell>
          <cell r="J12" t="e">
            <v>#NAME?</v>
          </cell>
          <cell r="K12" t="e">
            <v>#NAME?</v>
          </cell>
          <cell r="L12" t="e">
            <v>#NAME?</v>
          </cell>
          <cell r="M12" t="e">
            <v>#NAME?</v>
          </cell>
          <cell r="N12" t="e">
            <v>#NAME?</v>
          </cell>
          <cell r="O12" t="e">
            <v>#NAME?</v>
          </cell>
          <cell r="P12" t="e">
            <v>#NAME?</v>
          </cell>
          <cell r="Q12" t="e">
            <v>#NAME?</v>
          </cell>
          <cell r="R12" t="e">
            <v>#NAME?</v>
          </cell>
          <cell r="S12" t="e">
            <v>#NAME?</v>
          </cell>
        </row>
        <row r="13">
          <cell r="A13">
            <v>2.5</v>
          </cell>
          <cell r="B13">
            <v>4</v>
          </cell>
          <cell r="C13">
            <v>2.5</v>
          </cell>
          <cell r="D13">
            <v>2</v>
          </cell>
          <cell r="E13">
            <v>3</v>
          </cell>
          <cell r="H13" t="e">
            <v>#NAME?</v>
          </cell>
          <cell r="I13" t="e">
            <v>#NAME?</v>
          </cell>
          <cell r="J13" t="e">
            <v>#NAME?</v>
          </cell>
          <cell r="K13" t="e">
            <v>#NAME?</v>
          </cell>
          <cell r="L13" t="e">
            <v>#NAME?</v>
          </cell>
          <cell r="M13" t="e">
            <v>#NAME?</v>
          </cell>
          <cell r="N13" t="e">
            <v>#NAME?</v>
          </cell>
          <cell r="O13" t="e">
            <v>#NAME?</v>
          </cell>
          <cell r="P13" t="e">
            <v>#NAME?</v>
          </cell>
          <cell r="Q13" t="e">
            <v>#NAME?</v>
          </cell>
          <cell r="R13" t="e">
            <v>#NAME?</v>
          </cell>
          <cell r="S13" t="e">
            <v>#NAME?</v>
          </cell>
        </row>
        <row r="14">
          <cell r="A14">
            <v>3</v>
          </cell>
          <cell r="B14">
            <v>5</v>
          </cell>
          <cell r="C14">
            <v>3</v>
          </cell>
          <cell r="D14">
            <v>2.5</v>
          </cell>
          <cell r="E14">
            <v>4</v>
          </cell>
          <cell r="H14" t="e">
            <v>#NAME?</v>
          </cell>
          <cell r="I14" t="e">
            <v>#NAME?</v>
          </cell>
          <cell r="J14" t="e">
            <v>#NAME?</v>
          </cell>
          <cell r="K14" t="e">
            <v>#NAME?</v>
          </cell>
          <cell r="L14" t="e">
            <v>#NAME?</v>
          </cell>
          <cell r="M14" t="e">
            <v>#NAME?</v>
          </cell>
          <cell r="N14" t="e">
            <v>#NAME?</v>
          </cell>
          <cell r="O14" t="e">
            <v>#NAME?</v>
          </cell>
          <cell r="P14" t="e">
            <v>#NAME?</v>
          </cell>
          <cell r="Q14" t="e">
            <v>#NAME?</v>
          </cell>
          <cell r="R14" t="e">
            <v>#NAME?</v>
          </cell>
          <cell r="S14" t="e">
            <v>#NAME?</v>
          </cell>
        </row>
        <row r="15">
          <cell r="A15">
            <v>4</v>
          </cell>
          <cell r="B15">
            <v>6</v>
          </cell>
          <cell r="C15">
            <v>4</v>
          </cell>
          <cell r="D15">
            <v>3</v>
          </cell>
          <cell r="E15">
            <v>5</v>
          </cell>
        </row>
        <row r="16">
          <cell r="A16">
            <v>5</v>
          </cell>
          <cell r="B16">
            <v>8</v>
          </cell>
          <cell r="C16">
            <v>5</v>
          </cell>
          <cell r="D16">
            <v>4</v>
          </cell>
          <cell r="E16">
            <v>6</v>
          </cell>
        </row>
        <row r="17">
          <cell r="A17">
            <v>6</v>
          </cell>
          <cell r="B17">
            <v>8</v>
          </cell>
          <cell r="C17">
            <v>6</v>
          </cell>
          <cell r="D17">
            <v>5</v>
          </cell>
          <cell r="E17">
            <v>8</v>
          </cell>
        </row>
        <row r="20">
          <cell r="A20">
            <v>16</v>
          </cell>
          <cell r="B20">
            <v>0.75</v>
          </cell>
          <cell r="E20">
            <v>0.5</v>
          </cell>
        </row>
        <row r="21">
          <cell r="A21">
            <v>20</v>
          </cell>
          <cell r="B21">
            <v>1</v>
          </cell>
          <cell r="C21">
            <v>0.5</v>
          </cell>
          <cell r="E21">
            <v>0.75</v>
          </cell>
        </row>
        <row r="22">
          <cell r="A22">
            <v>25</v>
          </cell>
          <cell r="B22">
            <v>1.25</v>
          </cell>
          <cell r="C22">
            <v>0.75</v>
          </cell>
          <cell r="D22">
            <v>0.5</v>
          </cell>
          <cell r="E22">
            <v>1</v>
          </cell>
        </row>
        <row r="23">
          <cell r="A23">
            <v>32</v>
          </cell>
          <cell r="B23">
            <v>1.5</v>
          </cell>
          <cell r="C23">
            <v>1</v>
          </cell>
          <cell r="D23">
            <v>0.75</v>
          </cell>
          <cell r="E23">
            <v>1.25</v>
          </cell>
        </row>
        <row r="24">
          <cell r="A24">
            <v>40</v>
          </cell>
          <cell r="B24">
            <v>2</v>
          </cell>
          <cell r="C24">
            <v>1.25</v>
          </cell>
          <cell r="D24">
            <v>1</v>
          </cell>
          <cell r="E24">
            <v>1.5</v>
          </cell>
          <cell r="H24">
            <v>1</v>
          </cell>
          <cell r="I24">
            <v>2</v>
          </cell>
          <cell r="J24">
            <v>3</v>
          </cell>
        </row>
        <row r="25">
          <cell r="A25">
            <v>50</v>
          </cell>
          <cell r="B25">
            <v>2.5</v>
          </cell>
          <cell r="C25">
            <v>1.5</v>
          </cell>
          <cell r="D25">
            <v>1.25</v>
          </cell>
          <cell r="E25">
            <v>2</v>
          </cell>
          <cell r="H25">
            <v>1.3</v>
          </cell>
          <cell r="I25">
            <v>1.9</v>
          </cell>
          <cell r="J25">
            <v>2.1</v>
          </cell>
        </row>
        <row r="26">
          <cell r="A26">
            <v>63</v>
          </cell>
          <cell r="B26">
            <v>3</v>
          </cell>
          <cell r="C26">
            <v>2</v>
          </cell>
          <cell r="D26">
            <v>1.5</v>
          </cell>
          <cell r="E26">
            <v>2.5</v>
          </cell>
          <cell r="H26">
            <v>4.6500000000000004</v>
          </cell>
          <cell r="I26">
            <v>5.9</v>
          </cell>
          <cell r="J26">
            <v>6.45</v>
          </cell>
        </row>
        <row r="27">
          <cell r="A27">
            <v>75</v>
          </cell>
          <cell r="B27">
            <v>4</v>
          </cell>
          <cell r="C27">
            <v>2.5</v>
          </cell>
          <cell r="D27">
            <v>2</v>
          </cell>
          <cell r="E27">
            <v>3</v>
          </cell>
        </row>
        <row r="28">
          <cell r="A28">
            <v>90</v>
          </cell>
          <cell r="B28">
            <v>5</v>
          </cell>
          <cell r="C28">
            <v>3</v>
          </cell>
          <cell r="D28">
            <v>2.5</v>
          </cell>
          <cell r="E28">
            <v>4</v>
          </cell>
        </row>
        <row r="29">
          <cell r="A29">
            <v>110</v>
          </cell>
          <cell r="B29">
            <v>6</v>
          </cell>
          <cell r="C29">
            <v>4</v>
          </cell>
          <cell r="D29">
            <v>3</v>
          </cell>
          <cell r="E29">
            <v>5</v>
          </cell>
        </row>
        <row r="30">
          <cell r="A30">
            <v>125</v>
          </cell>
          <cell r="B30">
            <v>8</v>
          </cell>
          <cell r="C30">
            <v>5</v>
          </cell>
          <cell r="D30">
            <v>4</v>
          </cell>
          <cell r="E30">
            <v>6</v>
          </cell>
        </row>
        <row r="31">
          <cell r="A31">
            <v>140</v>
          </cell>
          <cell r="B31">
            <v>8</v>
          </cell>
          <cell r="C31">
            <v>6</v>
          </cell>
          <cell r="D31">
            <v>5</v>
          </cell>
          <cell r="E31">
            <v>8</v>
          </cell>
        </row>
        <row r="32">
          <cell r="A32">
            <v>150</v>
          </cell>
          <cell r="C32">
            <v>6</v>
          </cell>
          <cell r="D32">
            <v>6</v>
          </cell>
          <cell r="E32">
            <v>8</v>
          </cell>
        </row>
        <row r="33">
          <cell r="A33">
            <v>88</v>
          </cell>
        </row>
        <row r="34">
          <cell r="A34">
            <v>0</v>
          </cell>
        </row>
      </sheetData>
      <sheetData sheetId="13">
        <row r="18">
          <cell r="B18" t="str">
            <v>Spring Intake1</v>
          </cell>
        </row>
      </sheetData>
      <sheetData sheetId="14">
        <row r="11">
          <cell r="H11">
            <v>7</v>
          </cell>
          <cell r="L11">
            <v>11</v>
          </cell>
          <cell r="N11">
            <v>13</v>
          </cell>
          <cell r="P11">
            <v>15</v>
          </cell>
          <cell r="S11">
            <v>18</v>
          </cell>
          <cell r="W11">
            <v>22</v>
          </cell>
          <cell r="AA11">
            <v>26</v>
          </cell>
          <cell r="AE11">
            <v>30</v>
          </cell>
          <cell r="AI11">
            <v>34</v>
          </cell>
          <cell r="AM11">
            <v>38</v>
          </cell>
          <cell r="AQ11">
            <v>42</v>
          </cell>
          <cell r="AT11">
            <v>45</v>
          </cell>
          <cell r="AY11">
            <v>50</v>
          </cell>
          <cell r="BA11">
            <v>52</v>
          </cell>
          <cell r="BC11">
            <v>54</v>
          </cell>
          <cell r="BG11">
            <v>58</v>
          </cell>
          <cell r="BK11">
            <v>62</v>
          </cell>
          <cell r="BO11">
            <v>66</v>
          </cell>
          <cell r="BS11">
            <v>70</v>
          </cell>
        </row>
      </sheetData>
      <sheetData sheetId="15">
        <row r="162">
          <cell r="Y162">
            <v>3167.5990999999995</v>
          </cell>
        </row>
      </sheetData>
      <sheetData sheetId="16"/>
      <sheetData sheetId="17">
        <row r="7">
          <cell r="D7" t="str">
            <v>Quantt</v>
          </cell>
        </row>
      </sheetData>
      <sheetData sheetId="18"/>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 Final"/>
      <sheetName val="Appro."/>
      <sheetName val="Salint-Feartures."/>
      <sheetName val="SW"/>
      <sheetName val="CostSummary"/>
      <sheetName val="Trainings"/>
      <sheetName val="Panera"/>
      <sheetName val="SLTS Budget Summary"/>
      <sheetName val="Int Repair"/>
      <sheetName val="SprInt1"/>
      <sheetName val="SprInt2"/>
      <sheetName val="StrInt1"/>
      <sheetName val="StrInt2"/>
      <sheetName val="StrInt3"/>
      <sheetName val="Eletro-mech"/>
      <sheetName val="CCDCIC"/>
      <sheetName val="SedTank"/>
      <sheetName val="ConCh"/>
      <sheetName val="RCT"/>
      <sheetName val="BarSchedule"/>
      <sheetName val="PSP III"/>
      <sheetName val="Fence"/>
      <sheetName val="RCC VC"/>
      <sheetName val="Rcc DC,IC,BPC"/>
      <sheetName val="PBPC"/>
      <sheetName val="VCs"/>
      <sheetName val="Cabl-Des"/>
      <sheetName val="CabCros"/>
      <sheetName val="UnderCros"/>
      <sheetName val="Piprot"/>
      <sheetName val="Miscel"/>
      <sheetName val="PSP1"/>
      <sheetName val="PSP2"/>
      <sheetName val="VIP1"/>
      <sheetName val="VIP2"/>
      <sheetName val="VIP3"/>
      <sheetName val="DP Lat"/>
      <sheetName val="MRT"/>
      <sheetName val="Sheets"/>
      <sheetName val="RtAn"/>
      <sheetName val="MatCol"/>
      <sheetName val="DRates"/>
    </sheetNames>
    <sheetDataSet>
      <sheetData sheetId="0"/>
      <sheetData sheetId="1"/>
      <sheetData sheetId="2"/>
      <sheetData sheetId="3"/>
      <sheetData sheetId="4">
        <row r="7">
          <cell r="C7">
            <v>63135.741048740012</v>
          </cell>
        </row>
        <row r="8">
          <cell r="C8">
            <v>41800.779487033353</v>
          </cell>
        </row>
        <row r="9">
          <cell r="C9">
            <v>29888.248777881556</v>
          </cell>
        </row>
        <row r="10">
          <cell r="C10">
            <v>68145.171677571896</v>
          </cell>
        </row>
        <row r="11">
          <cell r="C11">
            <v>205665.88637897422</v>
          </cell>
        </row>
        <row r="12">
          <cell r="C12">
            <v>19326.529842092776</v>
          </cell>
        </row>
        <row r="13">
          <cell r="C13">
            <v>170947.95084868083</v>
          </cell>
        </row>
        <row r="14">
          <cell r="C14">
            <v>48586.295555431665</v>
          </cell>
        </row>
        <row r="15">
          <cell r="C15">
            <v>71227.656235082046</v>
          </cell>
        </row>
        <row r="16">
          <cell r="C16">
            <v>85192.227084252969</v>
          </cell>
        </row>
        <row r="17">
          <cell r="C17">
            <v>19326.529842092776</v>
          </cell>
        </row>
        <row r="18">
          <cell r="C18">
            <v>834.86721349557524</v>
          </cell>
        </row>
        <row r="19">
          <cell r="C19">
            <v>19326.529842092776</v>
          </cell>
        </row>
        <row r="20">
          <cell r="C20">
            <v>9222.5308557492172</v>
          </cell>
        </row>
        <row r="21">
          <cell r="C21">
            <v>5136.874128413936</v>
          </cell>
        </row>
        <row r="22">
          <cell r="C22">
            <v>10921.781666861561</v>
          </cell>
        </row>
        <row r="23">
          <cell r="C23">
            <v>7829.4778097345143</v>
          </cell>
        </row>
        <row r="24">
          <cell r="C24">
            <v>739.06501756349758</v>
          </cell>
        </row>
        <row r="25">
          <cell r="C25">
            <v>19326.529842092776</v>
          </cell>
        </row>
        <row r="26">
          <cell r="C26">
            <v>1</v>
          </cell>
        </row>
        <row r="27">
          <cell r="C27">
            <v>52305.870999498184</v>
          </cell>
        </row>
        <row r="28">
          <cell r="C28" t="e">
            <v>#NAME?</v>
          </cell>
        </row>
        <row r="29">
          <cell r="C29" t="e">
            <v>#NAME?</v>
          </cell>
        </row>
        <row r="30">
          <cell r="C30" t="e">
            <v>#REF!</v>
          </cell>
        </row>
        <row r="31">
          <cell r="C31">
            <v>6</v>
          </cell>
        </row>
        <row r="32">
          <cell r="C32">
            <v>7</v>
          </cell>
        </row>
        <row r="33">
          <cell r="C33" t="e">
            <v>#NAME?</v>
          </cell>
        </row>
        <row r="34">
          <cell r="C34">
            <v>101253.67782951532</v>
          </cell>
        </row>
        <row r="35">
          <cell r="C35">
            <v>10</v>
          </cell>
        </row>
        <row r="36">
          <cell r="C36" t="e">
            <v>#REF!</v>
          </cell>
        </row>
        <row r="37">
          <cell r="C37" t="e">
            <v>#NAME?</v>
          </cell>
        </row>
        <row r="38">
          <cell r="C38">
            <v>131001.52475930807</v>
          </cell>
        </row>
        <row r="39">
          <cell r="C39" t="e">
            <v>#NAME?</v>
          </cell>
        </row>
        <row r="40">
          <cell r="C40">
            <v>88468.72703483286</v>
          </cell>
        </row>
        <row r="41">
          <cell r="C41">
            <v>16815.807898969317</v>
          </cell>
        </row>
        <row r="42">
          <cell r="C42">
            <v>760477.56338980561</v>
          </cell>
        </row>
        <row r="43">
          <cell r="C43" t="e">
            <v>#REF!</v>
          </cell>
        </row>
        <row r="44">
          <cell r="C44" t="e">
            <v>#REF!</v>
          </cell>
        </row>
        <row r="45">
          <cell r="C45" t="e">
            <v>#REF!</v>
          </cell>
        </row>
        <row r="46">
          <cell r="C46" t="e">
            <v>#REF!</v>
          </cell>
        </row>
        <row r="47">
          <cell r="C47" t="e">
            <v>#REF!</v>
          </cell>
        </row>
        <row r="48">
          <cell r="C48" t="e">
            <v>#REF!</v>
          </cell>
        </row>
        <row r="49">
          <cell r="C49" t="e">
            <v>#REF!</v>
          </cell>
        </row>
        <row r="50">
          <cell r="C50" t="e">
            <v>#REF!</v>
          </cell>
        </row>
        <row r="51">
          <cell r="C51" t="e">
            <v>#REF!</v>
          </cell>
        </row>
        <row r="52">
          <cell r="C52" t="e">
            <v>#REF!</v>
          </cell>
        </row>
        <row r="53">
          <cell r="C53" t="e">
            <v>#REF!</v>
          </cell>
        </row>
        <row r="54">
          <cell r="C54">
            <v>353702.8571208567</v>
          </cell>
        </row>
        <row r="55">
          <cell r="C55" t="e">
            <v>#DIV/0!</v>
          </cell>
        </row>
        <row r="56">
          <cell r="C56" t="e">
            <v>#NAME?</v>
          </cell>
        </row>
        <row r="57">
          <cell r="C57" t="e">
            <v>#NAME?</v>
          </cell>
        </row>
        <row r="58">
          <cell r="C58" t="e">
            <v>#NAME?</v>
          </cell>
        </row>
        <row r="59">
          <cell r="C59">
            <v>1035.4316950758723</v>
          </cell>
        </row>
        <row r="60">
          <cell r="C60">
            <v>1179.146149729801</v>
          </cell>
        </row>
        <row r="61">
          <cell r="C61">
            <v>9278.5368493163733</v>
          </cell>
        </row>
        <row r="62">
          <cell r="C62">
            <v>18778.219755753351</v>
          </cell>
        </row>
        <row r="63">
          <cell r="C63">
            <v>20940.209129853891</v>
          </cell>
        </row>
        <row r="64">
          <cell r="C64">
            <v>11056.558629774103</v>
          </cell>
        </row>
        <row r="65">
          <cell r="C65" t="e">
            <v>#DIV/0!</v>
          </cell>
        </row>
        <row r="66">
          <cell r="C66">
            <v>84101.199865096554</v>
          </cell>
        </row>
        <row r="67">
          <cell r="C67" t="e">
            <v>#DIV/0!</v>
          </cell>
        </row>
        <row r="68">
          <cell r="C68">
            <v>19799.592663024356</v>
          </cell>
        </row>
        <row r="69">
          <cell r="C69">
            <v>65286.969152741876</v>
          </cell>
        </row>
        <row r="70">
          <cell r="C70">
            <v>80215.678906987741</v>
          </cell>
        </row>
        <row r="71">
          <cell r="C71">
            <v>20689.743075197021</v>
          </cell>
        </row>
        <row r="72">
          <cell r="C72">
            <v>251015</v>
          </cell>
        </row>
        <row r="73">
          <cell r="C73" t="e">
            <v>#DIV/0!</v>
          </cell>
        </row>
        <row r="74">
          <cell r="C74">
            <v>2283.9782181941373</v>
          </cell>
        </row>
        <row r="75">
          <cell r="C75" t="str">
            <v>-</v>
          </cell>
        </row>
        <row r="76">
          <cell r="C76" t="str">
            <v>-</v>
          </cell>
        </row>
        <row r="77">
          <cell r="C77" t="str">
            <v>-</v>
          </cell>
        </row>
        <row r="78">
          <cell r="C78" t="str">
            <v>-</v>
          </cell>
        </row>
        <row r="79">
          <cell r="C79">
            <v>0</v>
          </cell>
        </row>
      </sheetData>
      <sheetData sheetId="5"/>
      <sheetData sheetId="6"/>
      <sheetData sheetId="7"/>
      <sheetData sheetId="8"/>
      <sheetData sheetId="9"/>
      <sheetData sheetId="10"/>
      <sheetData sheetId="11"/>
      <sheetData sheetId="12"/>
      <sheetData sheetId="13"/>
      <sheetData sheetId="14"/>
      <sheetData sheetId="15"/>
      <sheetData sheetId="16">
        <row r="3">
          <cell r="K3">
            <v>1</v>
          </cell>
        </row>
        <row r="4">
          <cell r="B4">
            <v>3.05</v>
          </cell>
          <cell r="K4">
            <v>3</v>
          </cell>
        </row>
      </sheetData>
      <sheetData sheetId="17"/>
      <sheetData sheetId="18">
        <row r="6">
          <cell r="B6" t="str">
            <v>Wall Height  =</v>
          </cell>
          <cell r="C6">
            <v>2</v>
          </cell>
          <cell r="F6">
            <v>25</v>
          </cell>
          <cell r="K6" t="str">
            <v>Wall Thickness   =</v>
          </cell>
          <cell r="L6">
            <v>0.12</v>
          </cell>
        </row>
        <row r="7">
          <cell r="B7" t="str">
            <v>Inside Dia.  =</v>
          </cell>
          <cell r="C7">
            <v>4</v>
          </cell>
          <cell r="K7" t="str">
            <v>Dome Height   =</v>
          </cell>
          <cell r="L7">
            <v>0.75</v>
          </cell>
        </row>
        <row r="9">
          <cell r="A9">
            <v>1</v>
          </cell>
          <cell r="B9" t="str">
            <v>Site Clearance</v>
          </cell>
          <cell r="C9">
            <v>1</v>
          </cell>
          <cell r="H9">
            <v>1</v>
          </cell>
          <cell r="I9" t="str">
            <v>job</v>
          </cell>
          <cell r="J9">
            <v>1000</v>
          </cell>
          <cell r="K9">
            <v>1000</v>
          </cell>
          <cell r="L9" t="str">
            <v>LS</v>
          </cell>
        </row>
        <row r="11">
          <cell r="A11">
            <v>2</v>
          </cell>
          <cell r="B11" t="str">
            <v>Excavation work in GBM soils</v>
          </cell>
        </row>
        <row r="12">
          <cell r="B12" t="str">
            <v>VC</v>
          </cell>
          <cell r="C12">
            <v>1</v>
          </cell>
          <cell r="E12">
            <v>1.7</v>
          </cell>
          <cell r="F12">
            <v>1.5</v>
          </cell>
          <cell r="G12">
            <v>1.3</v>
          </cell>
          <cell r="H12">
            <v>3.3149999999999999</v>
          </cell>
        </row>
        <row r="13">
          <cell r="B13" t="str">
            <v>Tank</v>
          </cell>
          <cell r="C13">
            <v>1</v>
          </cell>
          <cell r="D13">
            <v>2.62</v>
          </cell>
          <cell r="G13">
            <v>1.5</v>
          </cell>
          <cell r="H13">
            <v>32.347722916952669</v>
          </cell>
        </row>
        <row r="14">
          <cell r="B14" t="str">
            <v>washout pipe trench</v>
          </cell>
          <cell r="C14">
            <v>1</v>
          </cell>
          <cell r="E14">
            <v>10</v>
          </cell>
          <cell r="F14">
            <v>0.6</v>
          </cell>
          <cell r="G14">
            <v>0.9</v>
          </cell>
          <cell r="H14">
            <v>5.4</v>
          </cell>
        </row>
        <row r="15">
          <cell r="H15">
            <v>41.062722916952666</v>
          </cell>
          <cell r="I15" t="str">
            <v>m3</v>
          </cell>
          <cell r="J15">
            <v>204.71250000000001</v>
          </cell>
          <cell r="K15">
            <v>8406.0526651366727</v>
          </cell>
          <cell r="L15">
            <v>2.14</v>
          </cell>
        </row>
        <row r="16">
          <cell r="A16">
            <v>3</v>
          </cell>
          <cell r="B16" t="str">
            <v>Back filling with loose soils</v>
          </cell>
          <cell r="C16">
            <v>1</v>
          </cell>
          <cell r="G16">
            <v>1.2</v>
          </cell>
          <cell r="H16">
            <v>13.713051932919443</v>
          </cell>
          <cell r="I16" t="str">
            <v>m3</v>
          </cell>
          <cell r="J16">
            <v>64.375</v>
          </cell>
          <cell r="K16">
            <v>882.77771818168912</v>
          </cell>
          <cell r="L16" t="str">
            <v>2.39a</v>
          </cell>
        </row>
        <row r="18">
          <cell r="A18">
            <v>4</v>
          </cell>
          <cell r="B18" t="str">
            <v>Boulder Soling with sand</v>
          </cell>
        </row>
        <row r="19">
          <cell r="B19" t="str">
            <v>VC</v>
          </cell>
          <cell r="C19">
            <v>1</v>
          </cell>
          <cell r="E19">
            <v>1.7</v>
          </cell>
          <cell r="F19">
            <v>1.5</v>
          </cell>
          <cell r="G19">
            <v>0.15</v>
          </cell>
          <cell r="H19">
            <v>0.38249999999999995</v>
          </cell>
        </row>
        <row r="20">
          <cell r="B20" t="str">
            <v>Tank</v>
          </cell>
          <cell r="C20">
            <v>1</v>
          </cell>
          <cell r="D20">
            <v>2.62</v>
          </cell>
          <cell r="G20">
            <v>0.2</v>
          </cell>
          <cell r="H20">
            <v>4.3130297222603557</v>
          </cell>
        </row>
        <row r="21">
          <cell r="B21" t="str">
            <v>deduction for VC portion</v>
          </cell>
          <cell r="C21">
            <v>1</v>
          </cell>
          <cell r="E21">
            <v>1.7</v>
          </cell>
          <cell r="F21">
            <v>0.4</v>
          </cell>
          <cell r="G21">
            <v>0.2</v>
          </cell>
          <cell r="H21">
            <v>-0.13600000000000001</v>
          </cell>
        </row>
        <row r="22">
          <cell r="H22">
            <v>4.5595297222603559</v>
          </cell>
          <cell r="I22" t="str">
            <v>m3</v>
          </cell>
          <cell r="J22">
            <v>3143.1312499999999</v>
          </cell>
          <cell r="K22">
            <v>14331.200355340345</v>
          </cell>
          <cell r="L22" t="str">
            <v>6.5a</v>
          </cell>
        </row>
        <row r="24">
          <cell r="A24">
            <v>5</v>
          </cell>
          <cell r="B24" t="str">
            <v>RRM  in 1:6 c/s mortar in VC</v>
          </cell>
          <cell r="C24">
            <v>1</v>
          </cell>
          <cell r="E24">
            <v>5</v>
          </cell>
          <cell r="F24">
            <v>0.35</v>
          </cell>
          <cell r="G24">
            <v>1.1499999999999999</v>
          </cell>
          <cell r="H24">
            <v>2.0124999999999997</v>
          </cell>
          <cell r="I24" t="str">
            <v>m3</v>
          </cell>
          <cell r="J24">
            <v>5352.2093473451332</v>
          </cell>
          <cell r="K24">
            <v>10771.32131153208</v>
          </cell>
          <cell r="L24" t="str">
            <v>6.1c</v>
          </cell>
        </row>
        <row r="26">
          <cell r="A26">
            <v>6</v>
          </cell>
          <cell r="B26" t="str">
            <v xml:space="preserve">PCC(1:3:6) work as Lean Concrete for floor </v>
          </cell>
          <cell r="C26">
            <v>1</v>
          </cell>
          <cell r="D26">
            <v>2.42</v>
          </cell>
          <cell r="G26">
            <v>0.1</v>
          </cell>
          <cell r="H26">
            <v>1.8398423216483264</v>
          </cell>
          <cell r="I26" t="str">
            <v>m3</v>
          </cell>
          <cell r="J26">
            <v>8912.6401548672584</v>
          </cell>
          <cell r="K26">
            <v>16397.852554547077</v>
          </cell>
          <cell r="L26" t="str">
            <v>7.2c</v>
          </cell>
        </row>
        <row r="28">
          <cell r="A28">
            <v>7</v>
          </cell>
          <cell r="B28" t="str">
            <v>PCC (1:2:4) in RCC components</v>
          </cell>
        </row>
        <row r="29">
          <cell r="B29" t="str">
            <v>cover slab of VC</v>
          </cell>
          <cell r="C29">
            <v>1</v>
          </cell>
          <cell r="E29">
            <v>1.7</v>
          </cell>
          <cell r="F29">
            <v>1.5</v>
          </cell>
          <cell r="G29">
            <v>0.08</v>
          </cell>
          <cell r="H29">
            <v>0.20399999999999999</v>
          </cell>
        </row>
        <row r="30">
          <cell r="B30" t="str">
            <v>pipe embedment blocks</v>
          </cell>
          <cell r="C30">
            <v>2</v>
          </cell>
          <cell r="E30">
            <v>1</v>
          </cell>
          <cell r="F30">
            <v>0.35</v>
          </cell>
          <cell r="G30">
            <v>0.2</v>
          </cell>
          <cell r="H30">
            <v>0.13999999999999999</v>
          </cell>
        </row>
        <row r="31">
          <cell r="B31" t="str">
            <v>manhole cover</v>
          </cell>
          <cell r="C31">
            <v>2</v>
          </cell>
          <cell r="D31">
            <v>0.3</v>
          </cell>
          <cell r="G31">
            <v>0.05</v>
          </cell>
          <cell r="H31">
            <v>2.8274333882308142E-2</v>
          </cell>
        </row>
        <row r="32">
          <cell r="B32" t="str">
            <v>deduction for MH opening</v>
          </cell>
          <cell r="C32">
            <v>1</v>
          </cell>
          <cell r="D32">
            <v>0.3</v>
          </cell>
          <cell r="G32">
            <v>0.1</v>
          </cell>
          <cell r="H32">
            <v>-2.8274333882308142E-2</v>
          </cell>
        </row>
        <row r="33">
          <cell r="H33">
            <v>0.34399999999999997</v>
          </cell>
          <cell r="I33" t="str">
            <v>m3</v>
          </cell>
          <cell r="J33">
            <v>8912.6401548672584</v>
          </cell>
          <cell r="K33">
            <v>3065.9482132743365</v>
          </cell>
          <cell r="L33" t="str">
            <v>7.2c</v>
          </cell>
        </row>
        <row r="34">
          <cell r="A34">
            <v>8</v>
          </cell>
          <cell r="B34" t="str">
            <v>PCC (1:1.5:3) for RCC components</v>
          </cell>
        </row>
        <row r="35">
          <cell r="B35" t="str">
            <v>Base slab</v>
          </cell>
          <cell r="C35">
            <v>1</v>
          </cell>
          <cell r="D35">
            <v>2.42</v>
          </cell>
          <cell r="G35">
            <v>0.18</v>
          </cell>
          <cell r="H35">
            <v>3.3117161789669871</v>
          </cell>
        </row>
        <row r="36">
          <cell r="B36" t="str">
            <v>Circular wall</v>
          </cell>
          <cell r="C36">
            <v>1</v>
          </cell>
          <cell r="D36">
            <v>2.12</v>
          </cell>
          <cell r="G36">
            <v>2</v>
          </cell>
          <cell r="H36">
            <v>3.1968846842929737</v>
          </cell>
        </row>
        <row r="37">
          <cell r="B37" t="str">
            <v>Haunch at base</v>
          </cell>
          <cell r="C37">
            <v>0.5</v>
          </cell>
          <cell r="E37">
            <v>1.8</v>
          </cell>
          <cell r="F37">
            <v>0.2</v>
          </cell>
          <cell r="G37">
            <v>0.2</v>
          </cell>
          <cell r="H37">
            <v>3.6000000000000004E-2</v>
          </cell>
        </row>
        <row r="38">
          <cell r="B38" t="str">
            <v>Circular dome beam</v>
          </cell>
          <cell r="C38">
            <v>1</v>
          </cell>
          <cell r="E38">
            <v>2.12</v>
          </cell>
          <cell r="F38">
            <v>0.3</v>
          </cell>
          <cell r="G38">
            <v>0.2</v>
          </cell>
          <cell r="H38">
            <v>0.12720000000000001</v>
          </cell>
        </row>
        <row r="39">
          <cell r="B39" t="str">
            <v>Conical roof slab</v>
          </cell>
          <cell r="C39">
            <v>1</v>
          </cell>
          <cell r="D39">
            <v>2.12</v>
          </cell>
          <cell r="H39">
            <v>1.797252773370243</v>
          </cell>
        </row>
        <row r="40">
          <cell r="B40" t="str">
            <v>Deduction for Manhole cover</v>
          </cell>
          <cell r="C40">
            <v>1</v>
          </cell>
          <cell r="D40">
            <v>0.3</v>
          </cell>
          <cell r="H40">
            <v>-3.3929200658769768E-2</v>
          </cell>
        </row>
        <row r="41">
          <cell r="H41">
            <v>8.4351244359714332</v>
          </cell>
          <cell r="I41" t="str">
            <v>m3</v>
          </cell>
          <cell r="J41">
            <v>14276.06675884956</v>
          </cell>
          <cell r="K41">
            <v>120420.39956713142</v>
          </cell>
          <cell r="L41" t="str">
            <v>7.4b1</v>
          </cell>
        </row>
        <row r="42">
          <cell r="A42">
            <v>9</v>
          </cell>
          <cell r="B42" t="str">
            <v>Formwork for concreting work</v>
          </cell>
        </row>
        <row r="43">
          <cell r="B43" t="str">
            <v>bottom of cover slab of VC</v>
          </cell>
          <cell r="C43">
            <v>1</v>
          </cell>
          <cell r="E43">
            <v>1</v>
          </cell>
          <cell r="F43">
            <v>0.8</v>
          </cell>
          <cell r="H43">
            <v>0.8</v>
          </cell>
        </row>
        <row r="44">
          <cell r="B44" t="str">
            <v>sides of cover slab of VC</v>
          </cell>
          <cell r="C44">
            <v>1</v>
          </cell>
          <cell r="E44">
            <v>6.4</v>
          </cell>
          <cell r="G44">
            <v>0.1</v>
          </cell>
          <cell r="H44">
            <v>0.64000000000000012</v>
          </cell>
        </row>
        <row r="45">
          <cell r="B45" t="str">
            <v>sides of base slab of tank</v>
          </cell>
          <cell r="C45">
            <v>1</v>
          </cell>
          <cell r="D45">
            <v>2.42</v>
          </cell>
          <cell r="E45">
            <v>15.205308443374598</v>
          </cell>
          <cell r="G45">
            <v>0.18</v>
          </cell>
          <cell r="H45">
            <v>2.7369555198074274</v>
          </cell>
        </row>
        <row r="46">
          <cell r="B46" t="str">
            <v>tank walls</v>
          </cell>
          <cell r="C46">
            <v>2</v>
          </cell>
          <cell r="D46">
            <v>2.42</v>
          </cell>
          <cell r="E46">
            <v>15.205308443374598</v>
          </cell>
          <cell r="G46">
            <v>2</v>
          </cell>
          <cell r="H46">
            <v>60.821233773498392</v>
          </cell>
        </row>
        <row r="47">
          <cell r="B47" t="str">
            <v>soffit of conical roof slab</v>
          </cell>
          <cell r="C47">
            <v>1</v>
          </cell>
          <cell r="D47">
            <v>2</v>
          </cell>
          <cell r="H47">
            <v>13.420889699266615</v>
          </cell>
        </row>
        <row r="48">
          <cell r="B48" t="str">
            <v>deduction for MH cover</v>
          </cell>
          <cell r="C48">
            <v>1</v>
          </cell>
          <cell r="D48">
            <v>0.3</v>
          </cell>
          <cell r="H48">
            <v>-0.28274333882308139</v>
          </cell>
        </row>
        <row r="49">
          <cell r="H49">
            <v>78.136335653749342</v>
          </cell>
          <cell r="I49" t="str">
            <v>m2</v>
          </cell>
          <cell r="J49">
            <v>215.99086900648965</v>
          </cell>
          <cell r="K49">
            <v>16876.735038836079</v>
          </cell>
          <cell r="L49" t="str">
            <v>8.2a</v>
          </cell>
        </row>
        <row r="51">
          <cell r="A51">
            <v>10</v>
          </cell>
          <cell r="B51" t="str">
            <v>Scafolding work</v>
          </cell>
          <cell r="H51">
            <v>1</v>
          </cell>
          <cell r="I51" t="str">
            <v>job</v>
          </cell>
          <cell r="J51">
            <v>1000</v>
          </cell>
          <cell r="K51">
            <v>1000</v>
          </cell>
          <cell r="L51" t="str">
            <v>LS</v>
          </cell>
        </row>
        <row r="53">
          <cell r="A53">
            <v>11</v>
          </cell>
          <cell r="B53" t="str">
            <v>Reinforcement work in RCC components</v>
          </cell>
          <cell r="G53" t="str">
            <v>kg/m</v>
          </cell>
        </row>
        <row r="54">
          <cell r="A54" t="str">
            <v>a</v>
          </cell>
          <cell r="B54" t="str">
            <v>6mm @ 10cm c/c both ways for VC</v>
          </cell>
          <cell r="C54">
            <v>11</v>
          </cell>
          <cell r="E54">
            <v>1.5</v>
          </cell>
          <cell r="G54">
            <v>0.22</v>
          </cell>
          <cell r="H54">
            <v>3.63</v>
          </cell>
        </row>
        <row r="55">
          <cell r="A55" t="str">
            <v>b</v>
          </cell>
          <cell r="B55" t="str">
            <v>8mm @ 400 c/c radially b/s  for base slab</v>
          </cell>
          <cell r="C55">
            <v>62</v>
          </cell>
          <cell r="E55">
            <v>2.17</v>
          </cell>
          <cell r="G55">
            <v>0.89</v>
          </cell>
          <cell r="H55">
            <v>119.7406</v>
          </cell>
        </row>
        <row r="56">
          <cell r="A56" t="str">
            <v>c</v>
          </cell>
          <cell r="B56" t="str">
            <v>8mm @ 400 c/c radially b/s  for base slab</v>
          </cell>
          <cell r="C56">
            <v>62</v>
          </cell>
          <cell r="E56">
            <v>1.21</v>
          </cell>
          <cell r="G56">
            <v>0.89</v>
          </cell>
          <cell r="H56">
            <v>66.767799999999994</v>
          </cell>
        </row>
        <row r="57">
          <cell r="A57" t="str">
            <v>d</v>
          </cell>
          <cell r="B57" t="str">
            <v>8mm @ 200 c/c b/s circular  for base slab</v>
          </cell>
          <cell r="C57">
            <v>20</v>
          </cell>
          <cell r="E57">
            <v>7.2871675440411376</v>
          </cell>
          <cell r="G57">
            <v>0.89</v>
          </cell>
          <cell r="H57">
            <v>129.71158228393224</v>
          </cell>
        </row>
        <row r="58">
          <cell r="A58" t="str">
            <v>e</v>
          </cell>
          <cell r="B58" t="str">
            <v>8mmf @ 200 c/c b/s  for walls(upto roof)</v>
          </cell>
          <cell r="C58">
            <v>120</v>
          </cell>
          <cell r="E58">
            <v>2.7</v>
          </cell>
          <cell r="G58">
            <v>0.89</v>
          </cell>
          <cell r="H58">
            <v>288.36</v>
          </cell>
        </row>
        <row r="59">
          <cell r="A59" t="str">
            <v>f</v>
          </cell>
          <cell r="B59" t="str">
            <v>10mm 200 c/c b/s  for walls upto 1m</v>
          </cell>
          <cell r="C59">
            <v>120</v>
          </cell>
          <cell r="E59">
            <v>1.2</v>
          </cell>
          <cell r="G59">
            <v>0.89</v>
          </cell>
          <cell r="H59">
            <v>128.16</v>
          </cell>
        </row>
        <row r="60">
          <cell r="A60" t="str">
            <v>g</v>
          </cell>
          <cell r="B60" t="str">
            <v>8mm @ 200 c/c  for base haunch</v>
          </cell>
          <cell r="C60">
            <v>62</v>
          </cell>
          <cell r="E60">
            <v>0.9</v>
          </cell>
          <cell r="G60">
            <v>0.89</v>
          </cell>
          <cell r="H60">
            <v>49.662000000000006</v>
          </cell>
        </row>
        <row r="61">
          <cell r="A61" t="str">
            <v>h</v>
          </cell>
          <cell r="B61" t="str">
            <v>10mm @ 300 c/c b/s radially for conical roofslab</v>
          </cell>
          <cell r="C61">
            <v>82</v>
          </cell>
          <cell r="E61">
            <v>2.1360009363293826</v>
          </cell>
          <cell r="G61">
            <v>0.89</v>
          </cell>
          <cell r="H61">
            <v>155.88534833331835</v>
          </cell>
        </row>
        <row r="62">
          <cell r="A62" t="str">
            <v>I</v>
          </cell>
          <cell r="B62" t="str">
            <v>8mm @ 200 c/c b/s circular  for conical roof slab</v>
          </cell>
          <cell r="C62">
            <v>20</v>
          </cell>
          <cell r="E62">
            <v>6.9101764256103619</v>
          </cell>
          <cell r="G62">
            <v>0.89</v>
          </cell>
          <cell r="H62">
            <v>123.00114037586445</v>
          </cell>
        </row>
        <row r="63">
          <cell r="A63" t="str">
            <v>j</v>
          </cell>
          <cell r="B63" t="str">
            <v>8mm  Spacer bars(seperators)</v>
          </cell>
          <cell r="C63">
            <v>24</v>
          </cell>
          <cell r="E63">
            <v>0.5</v>
          </cell>
          <cell r="G63">
            <v>0.89</v>
          </cell>
          <cell r="H63">
            <v>10.68</v>
          </cell>
        </row>
        <row r="64">
          <cell r="H64">
            <v>1075.5984709931151</v>
          </cell>
          <cell r="I64" t="str">
            <v>Kg</v>
          </cell>
          <cell r="J64">
            <v>102.76771238938052</v>
          </cell>
          <cell r="K64">
            <v>110536.79431347791</v>
          </cell>
          <cell r="L64">
            <v>7.5</v>
          </cell>
        </row>
        <row r="65">
          <cell r="A65">
            <v>12</v>
          </cell>
          <cell r="B65" t="str">
            <v>12.5mm plaster in 1:2 c/s mortar</v>
          </cell>
        </row>
        <row r="66">
          <cell r="B66" t="str">
            <v>inner face of tank wall</v>
          </cell>
          <cell r="C66">
            <v>1</v>
          </cell>
          <cell r="D66">
            <v>2</v>
          </cell>
          <cell r="G66">
            <v>2</v>
          </cell>
          <cell r="H66">
            <v>25.132741228718345</v>
          </cell>
        </row>
        <row r="67">
          <cell r="B67" t="str">
            <v>floor</v>
          </cell>
          <cell r="C67">
            <v>1</v>
          </cell>
          <cell r="D67">
            <v>2</v>
          </cell>
          <cell r="H67">
            <v>12.566370614359172</v>
          </cell>
        </row>
        <row r="68">
          <cell r="H68">
            <v>37.699111843077517</v>
          </cell>
          <cell r="I68" t="str">
            <v>m2</v>
          </cell>
          <cell r="J68">
            <v>307.98176769911504</v>
          </cell>
          <cell r="K68">
            <v>11610.639106117656</v>
          </cell>
          <cell r="L68" t="str">
            <v>12.1a</v>
          </cell>
        </row>
        <row r="69">
          <cell r="A69">
            <v>13</v>
          </cell>
          <cell r="B69" t="str">
            <v>12.5mm outside plaster in 1:4 c/m</v>
          </cell>
        </row>
        <row r="70">
          <cell r="B70" t="str">
            <v>outer face of tank wall</v>
          </cell>
          <cell r="C70">
            <v>1</v>
          </cell>
          <cell r="D70">
            <v>2.2400000000000002</v>
          </cell>
          <cell r="G70">
            <v>2</v>
          </cell>
          <cell r="H70">
            <v>28.148670176164551</v>
          </cell>
        </row>
        <row r="71">
          <cell r="B71" t="str">
            <v>conical roof, both faces</v>
          </cell>
          <cell r="C71">
            <v>2</v>
          </cell>
          <cell r="D71">
            <v>2.12</v>
          </cell>
          <cell r="H71">
            <v>29.954212889504053</v>
          </cell>
        </row>
        <row r="72">
          <cell r="B72" t="str">
            <v>deduction for MH opening</v>
          </cell>
          <cell r="C72">
            <v>2</v>
          </cell>
          <cell r="D72">
            <v>0.3</v>
          </cell>
          <cell r="H72">
            <v>-0.56548667764616278</v>
          </cell>
        </row>
        <row r="73">
          <cell r="H73">
            <v>57.537396388022444</v>
          </cell>
          <cell r="I73" t="str">
            <v>m2</v>
          </cell>
          <cell r="J73">
            <v>224.78186946902656</v>
          </cell>
          <cell r="K73">
            <v>12933.363524480101</v>
          </cell>
          <cell r="L73" t="str">
            <v>12.1c</v>
          </cell>
        </row>
        <row r="74">
          <cell r="A74">
            <v>14</v>
          </cell>
          <cell r="B74" t="str">
            <v>3mm punning with 1:1 c/s mortar</v>
          </cell>
        </row>
        <row r="75">
          <cell r="B75" t="str">
            <v xml:space="preserve">floor portion </v>
          </cell>
          <cell r="C75">
            <v>1</v>
          </cell>
          <cell r="D75">
            <v>2</v>
          </cell>
          <cell r="H75">
            <v>12.566370614359172</v>
          </cell>
        </row>
        <row r="76">
          <cell r="B76" t="str">
            <v>inner face of wall</v>
          </cell>
          <cell r="C76">
            <v>1</v>
          </cell>
          <cell r="D76">
            <v>2</v>
          </cell>
          <cell r="G76">
            <v>2</v>
          </cell>
          <cell r="H76">
            <v>25.132741228718345</v>
          </cell>
        </row>
        <row r="77">
          <cell r="H77">
            <v>37.699111843077517</v>
          </cell>
          <cell r="I77" t="str">
            <v>m2</v>
          </cell>
          <cell r="J77">
            <v>166.63064601769915</v>
          </cell>
          <cell r="K77">
            <v>6281.8273607054998</v>
          </cell>
          <cell r="L77" t="str">
            <v>11.20</v>
          </cell>
        </row>
        <row r="78">
          <cell r="A78">
            <v>15</v>
          </cell>
          <cell r="B78" t="str">
            <v>Double coat Snowcem paint on exposed surface</v>
          </cell>
        </row>
        <row r="79">
          <cell r="B79" t="str">
            <v>outer face of wall</v>
          </cell>
          <cell r="C79">
            <v>1</v>
          </cell>
          <cell r="D79">
            <v>2.2400000000000002</v>
          </cell>
          <cell r="G79">
            <v>0.5</v>
          </cell>
          <cell r="H79">
            <v>7.0371675440411376</v>
          </cell>
        </row>
        <row r="80">
          <cell r="B80" t="str">
            <v>conical roof</v>
          </cell>
          <cell r="C80">
            <v>1</v>
          </cell>
          <cell r="D80">
            <v>2.2400000000000002</v>
          </cell>
          <cell r="G80">
            <v>0.8</v>
          </cell>
          <cell r="H80">
            <v>16.623362748617371</v>
          </cell>
        </row>
        <row r="81">
          <cell r="H81">
            <v>23.660530292658507</v>
          </cell>
          <cell r="I81" t="str">
            <v>m2</v>
          </cell>
          <cell r="J81">
            <v>51.527397123893806</v>
          </cell>
          <cell r="K81">
            <v>1219.1655405517342</v>
          </cell>
          <cell r="L81" t="str">
            <v>13.4b</v>
          </cell>
        </row>
        <row r="82">
          <cell r="A82">
            <v>16</v>
          </cell>
          <cell r="B82" t="str">
            <v>2 coats bitumen painting over unexposed surface</v>
          </cell>
        </row>
        <row r="83">
          <cell r="B83" t="str">
            <v xml:space="preserve">floor portion </v>
          </cell>
          <cell r="C83">
            <v>1</v>
          </cell>
          <cell r="D83">
            <v>2</v>
          </cell>
          <cell r="H83">
            <v>12.566370614359172</v>
          </cell>
        </row>
        <row r="84">
          <cell r="B84" t="str">
            <v>inner face of wall</v>
          </cell>
          <cell r="C84">
            <v>1</v>
          </cell>
          <cell r="D84">
            <v>2</v>
          </cell>
          <cell r="G84">
            <v>2</v>
          </cell>
          <cell r="H84">
            <v>25.132741228718345</v>
          </cell>
        </row>
        <row r="85">
          <cell r="H85">
            <v>37.699111843077517</v>
          </cell>
          <cell r="I85" t="str">
            <v>m2</v>
          </cell>
          <cell r="J85">
            <v>28.663270796460179</v>
          </cell>
          <cell r="K85">
            <v>1080.57985154417</v>
          </cell>
          <cell r="L85" t="str">
            <v>13.10b</v>
          </cell>
        </row>
        <row r="87">
          <cell r="A87">
            <v>17</v>
          </cell>
          <cell r="B87" t="str">
            <v>Supply and installation of outer and inner steel</v>
          </cell>
          <cell r="C87">
            <v>2</v>
          </cell>
          <cell r="H87">
            <v>2</v>
          </cell>
          <cell r="I87" t="str">
            <v>set</v>
          </cell>
          <cell r="J87">
            <v>2000</v>
          </cell>
          <cell r="K87">
            <v>4000</v>
          </cell>
          <cell r="L87" t="str">
            <v>LS</v>
          </cell>
        </row>
        <row r="88">
          <cell r="B88" t="str">
            <v>pipe ladders as directed by site Engineer</v>
          </cell>
        </row>
        <row r="90">
          <cell r="A90">
            <v>18</v>
          </cell>
          <cell r="B90" t="str">
            <v>Supply and installation of water level indicator</v>
          </cell>
          <cell r="C90">
            <v>1</v>
          </cell>
          <cell r="H90">
            <v>1</v>
          </cell>
          <cell r="I90" t="str">
            <v>set</v>
          </cell>
          <cell r="J90">
            <v>5000</v>
          </cell>
          <cell r="K90">
            <v>5000</v>
          </cell>
          <cell r="L90" t="str">
            <v>LS</v>
          </cell>
        </row>
        <row r="91">
          <cell r="B91" t="str">
            <v>as directed by site Engineer</v>
          </cell>
        </row>
        <row r="93">
          <cell r="A93">
            <v>19</v>
          </cell>
          <cell r="B93" t="str">
            <v>60 cm dia. MS MH cover including procuring</v>
          </cell>
          <cell r="C93">
            <v>2</v>
          </cell>
          <cell r="H93">
            <v>2</v>
          </cell>
          <cell r="I93" t="str">
            <v>set</v>
          </cell>
          <cell r="J93">
            <v>1694.1</v>
          </cell>
          <cell r="K93">
            <v>3388.2</v>
          </cell>
          <cell r="L93" t="str">
            <v>mh60</v>
          </cell>
        </row>
        <row r="94">
          <cell r="B94" t="str">
            <v>transporting and fixing at place,</v>
          </cell>
        </row>
        <row r="95">
          <cell r="A95">
            <v>20</v>
          </cell>
          <cell r="B95" t="str">
            <v>Installation of Pipe fittings</v>
          </cell>
          <cell r="C95">
            <v>1</v>
          </cell>
          <cell r="H95">
            <v>1</v>
          </cell>
          <cell r="I95" t="str">
            <v>job</v>
          </cell>
          <cell r="J95">
            <v>1500</v>
          </cell>
          <cell r="K95">
            <v>1500</v>
          </cell>
          <cell r="L95" t="str">
            <v>LS</v>
          </cell>
        </row>
        <row r="97">
          <cell r="A97">
            <v>21</v>
          </cell>
          <cell r="B97" t="str">
            <v>Construction site cleareance,  leak proof test</v>
          </cell>
          <cell r="C97">
            <v>1</v>
          </cell>
          <cell r="H97">
            <v>1</v>
          </cell>
          <cell r="I97" t="str">
            <v>job</v>
          </cell>
          <cell r="J97">
            <v>3000</v>
          </cell>
          <cell r="K97">
            <v>3000</v>
          </cell>
          <cell r="L97" t="str">
            <v>LS</v>
          </cell>
        </row>
        <row r="98">
          <cell r="B98" t="str">
            <v>and disinfection of reservoir all complete</v>
          </cell>
        </row>
        <row r="99">
          <cell r="B99" t="str">
            <v xml:space="preserve">Total  Basic Cost </v>
          </cell>
          <cell r="K99">
            <v>353702.8571208567</v>
          </cell>
        </row>
      </sheetData>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refreshError="1"/>
      <sheetData sheetId="1"/>
      <sheetData sheetId="2" refreshError="1"/>
      <sheetData sheetId="3" refreshError="1"/>
      <sheetData sheetId="4">
        <row r="8">
          <cell r="H8">
            <v>250</v>
          </cell>
        </row>
        <row r="9">
          <cell r="H9">
            <v>300</v>
          </cell>
        </row>
        <row r="10">
          <cell r="H10">
            <v>300</v>
          </cell>
        </row>
        <row r="14">
          <cell r="H14">
            <v>200</v>
          </cell>
        </row>
        <row r="16">
          <cell r="H16">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sheetName val="Nodal Flow Cal"/>
      <sheetName val="Nodal Flow Cal1"/>
      <sheetName val="Pop Density"/>
      <sheetName val="Syphon_Dhobi"/>
      <sheetName val="CD_Design"/>
      <sheetName val="Invt Lev"/>
      <sheetName val="Finish Level"/>
    </sheetNames>
    <sheetDataSet>
      <sheetData sheetId="0"/>
      <sheetData sheetId="1"/>
      <sheetData sheetId="2"/>
      <sheetData sheetId="3"/>
      <sheetData sheetId="4"/>
      <sheetData sheetId="5"/>
      <sheetData sheetId="6"/>
      <sheetData sheetId="7"/>
      <sheetData sheetId="8"/>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sheetData sheetId="1">
        <row r="4">
          <cell r="D4">
            <v>350</v>
          </cell>
        </row>
        <row r="42">
          <cell r="G42">
            <v>285</v>
          </cell>
        </row>
      </sheetData>
      <sheetData sheetId="2"/>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 (new)"/>
      <sheetName val="PD_Design"/>
      <sheetName val="Nodal Flow Cal"/>
      <sheetName val="Nodal Flow Cal1"/>
      <sheetName val="Pop Density"/>
      <sheetName val="Syphon_Dhobi"/>
      <sheetName val="CD_Design"/>
      <sheetName val="Finish Level-T2"/>
    </sheetNames>
    <sheetDataSet>
      <sheetData sheetId="0"/>
      <sheetData sheetId="1"/>
      <sheetData sheetId="2"/>
      <sheetData sheetId="3"/>
      <sheetData sheetId="4"/>
      <sheetData sheetId="5">
        <row r="6">
          <cell r="H6">
            <v>119.1</v>
          </cell>
        </row>
        <row r="7">
          <cell r="H7">
            <v>121.42</v>
          </cell>
        </row>
        <row r="11">
          <cell r="H11">
            <v>101.32</v>
          </cell>
        </row>
        <row r="16">
          <cell r="H16">
            <v>203.23</v>
          </cell>
        </row>
        <row r="17">
          <cell r="H17">
            <v>137.66</v>
          </cell>
        </row>
      </sheetData>
      <sheetData sheetId="6"/>
      <sheetData sheetId="7"/>
      <sheetData sheetId="8"/>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kaski D.Rate"/>
      <sheetName val="rate"/>
      <sheetName val="Abst-final"/>
      <sheetName val="est_Anpu"/>
      <sheetName val="Collection"/>
      <sheetName val="transportation"/>
      <sheetName val="BarBending"/>
      <sheetName val="BarBending (2)"/>
      <sheetName val="Rate analysis"/>
      <sheetName val="BOQ"/>
      <sheetName val="Work Scedule"/>
      <sheetName val="Heading"/>
      <sheetName val="Q_road"/>
      <sheetName val="Sheet1"/>
      <sheetName val="Sheet2"/>
    </sheetNames>
    <sheetDataSet>
      <sheetData sheetId="0" refreshError="1"/>
      <sheetData sheetId="1">
        <row r="6">
          <cell r="M6">
            <v>720</v>
          </cell>
        </row>
        <row r="7">
          <cell r="M7">
            <v>500</v>
          </cell>
        </row>
        <row r="15">
          <cell r="M15">
            <v>80</v>
          </cell>
        </row>
        <row r="16">
          <cell r="M16">
            <v>80</v>
          </cell>
        </row>
        <row r="17">
          <cell r="M17">
            <v>110</v>
          </cell>
        </row>
        <row r="24">
          <cell r="M24">
            <v>800</v>
          </cell>
        </row>
        <row r="26">
          <cell r="M26">
            <v>1600</v>
          </cell>
        </row>
        <row r="27">
          <cell r="M27">
            <v>200</v>
          </cell>
        </row>
        <row r="28">
          <cell r="M28">
            <v>1100</v>
          </cell>
        </row>
        <row r="30">
          <cell r="D30">
            <v>1100</v>
          </cell>
          <cell r="M30">
            <v>1100</v>
          </cell>
        </row>
        <row r="31">
          <cell r="H31">
            <v>1534.8</v>
          </cell>
          <cell r="M31">
            <v>550</v>
          </cell>
        </row>
        <row r="32">
          <cell r="D32">
            <v>14000</v>
          </cell>
          <cell r="M32">
            <v>1100</v>
          </cell>
        </row>
        <row r="34">
          <cell r="H34">
            <v>0.09</v>
          </cell>
          <cell r="M34">
            <v>180</v>
          </cell>
        </row>
        <row r="35">
          <cell r="H35">
            <v>98.02</v>
          </cell>
          <cell r="M35">
            <v>1300</v>
          </cell>
        </row>
        <row r="36">
          <cell r="M36">
            <v>250</v>
          </cell>
        </row>
        <row r="37">
          <cell r="M37">
            <v>260</v>
          </cell>
        </row>
        <row r="38">
          <cell r="M38">
            <v>300</v>
          </cell>
        </row>
        <row r="39">
          <cell r="M39">
            <v>1200</v>
          </cell>
        </row>
        <row r="40">
          <cell r="M40">
            <v>470</v>
          </cell>
        </row>
        <row r="41">
          <cell r="M41">
            <v>100</v>
          </cell>
        </row>
        <row r="43">
          <cell r="M43">
            <v>150</v>
          </cell>
        </row>
        <row r="45">
          <cell r="H45">
            <v>84966.5</v>
          </cell>
        </row>
        <row r="46">
          <cell r="H46">
            <v>82466.5</v>
          </cell>
          <cell r="M46">
            <v>130</v>
          </cell>
        </row>
        <row r="47">
          <cell r="M47">
            <v>300</v>
          </cell>
        </row>
        <row r="48">
          <cell r="M48">
            <v>300</v>
          </cell>
        </row>
        <row r="50">
          <cell r="H50">
            <v>97.72</v>
          </cell>
        </row>
        <row r="53">
          <cell r="H53">
            <v>97.47</v>
          </cell>
        </row>
        <row r="54">
          <cell r="H54">
            <v>97.47</v>
          </cell>
        </row>
        <row r="55">
          <cell r="H55">
            <v>99.47</v>
          </cell>
        </row>
        <row r="62">
          <cell r="H62">
            <v>2951.21</v>
          </cell>
        </row>
        <row r="63">
          <cell r="H63">
            <v>5830.43</v>
          </cell>
        </row>
        <row r="64">
          <cell r="D64">
            <v>6930</v>
          </cell>
        </row>
        <row r="67">
          <cell r="H67">
            <v>93.47</v>
          </cell>
        </row>
        <row r="71">
          <cell r="D71">
            <v>624.08000000000004</v>
          </cell>
        </row>
        <row r="76">
          <cell r="D76">
            <v>346.5</v>
          </cell>
        </row>
        <row r="81">
          <cell r="D81">
            <v>1767.76</v>
          </cell>
        </row>
        <row r="82">
          <cell r="D82">
            <v>6529.37</v>
          </cell>
        </row>
        <row r="83">
          <cell r="D83">
            <v>13029.37</v>
          </cell>
        </row>
        <row r="84">
          <cell r="D84">
            <v>9529.3700000000008</v>
          </cell>
        </row>
      </sheetData>
      <sheetData sheetId="2" refreshError="1"/>
      <sheetData sheetId="3" refreshError="1"/>
      <sheetData sheetId="4" refreshError="1"/>
      <sheetData sheetId="5" refreshError="1"/>
      <sheetData sheetId="6" refreshError="1"/>
      <sheetData sheetId="7" refreshError="1"/>
      <sheetData sheetId="8">
        <row r="868">
          <cell r="F868">
            <v>9315.02</v>
          </cell>
        </row>
        <row r="881">
          <cell r="F881">
            <v>2357.13</v>
          </cell>
        </row>
        <row r="1375">
          <cell r="F1375">
            <v>9273.49</v>
          </cell>
        </row>
        <row r="1390">
          <cell r="F1390">
            <v>2110</v>
          </cell>
        </row>
        <row r="1438">
          <cell r="F1438">
            <v>11567.51</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1"/>
      <sheetName val="PD-TMPLT"/>
      <sheetName val="ProfileData"/>
      <sheetName val="PipeDesign"/>
      <sheetName val="PLOT"/>
      <sheetName val="Profile"/>
      <sheetName val="FlowDiagram"/>
      <sheetName val="PipeList"/>
      <sheetName val="PipeLineWork"/>
      <sheetName val="Features"/>
      <sheetName val="T&amp;P"/>
      <sheetName val="Summary"/>
      <sheetName val="Design"/>
      <sheetName val="Dmand 2"/>
    </sheetNames>
    <sheetDataSet>
      <sheetData sheetId="0"/>
      <sheetData sheetId="1"/>
      <sheetData sheetId="2">
        <row r="106">
          <cell r="C106">
            <v>162</v>
          </cell>
        </row>
      </sheetData>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PD_Design-Old"/>
      <sheetName val="PD_Design"/>
      <sheetName val="Nodal Flow Cal"/>
      <sheetName val="Pop Density"/>
      <sheetName val="Syphon_Dhobi"/>
      <sheetName val="CD_Design"/>
      <sheetName val="Invt Lev"/>
      <sheetName val="Finish Level"/>
    </sheetNames>
    <sheetDataSet>
      <sheetData sheetId="0" refreshError="1"/>
      <sheetData sheetId="1"/>
      <sheetData sheetId="2" refreshError="1"/>
      <sheetData sheetId="3"/>
      <sheetData sheetId="4">
        <row r="4">
          <cell r="H4">
            <v>200</v>
          </cell>
        </row>
        <row r="5">
          <cell r="H5">
            <v>200</v>
          </cell>
        </row>
        <row r="8">
          <cell r="H8">
            <v>250</v>
          </cell>
        </row>
        <row r="9">
          <cell r="H9">
            <v>300</v>
          </cell>
        </row>
        <row r="10">
          <cell r="H10">
            <v>300</v>
          </cell>
        </row>
        <row r="11">
          <cell r="H11">
            <v>300</v>
          </cell>
        </row>
        <row r="12">
          <cell r="H12">
            <v>300</v>
          </cell>
        </row>
        <row r="13">
          <cell r="H13">
            <v>200</v>
          </cell>
        </row>
        <row r="14">
          <cell r="H14">
            <v>200</v>
          </cell>
        </row>
        <row r="15">
          <cell r="H15">
            <v>300</v>
          </cell>
        </row>
        <row r="16">
          <cell r="H16">
            <v>300</v>
          </cell>
        </row>
        <row r="17">
          <cell r="H17">
            <v>300</v>
          </cell>
        </row>
        <row r="18">
          <cell r="H18">
            <v>300</v>
          </cell>
        </row>
        <row r="19">
          <cell r="H19">
            <v>300</v>
          </cell>
        </row>
        <row r="20">
          <cell r="H20">
            <v>250</v>
          </cell>
        </row>
      </sheetData>
      <sheetData sheetId="5" refreshError="1"/>
      <sheetData sheetId="6" refreshError="1"/>
      <sheetData sheetId="7" refreshError="1"/>
      <sheetData sheetId="8"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BOQ"/>
      <sheetName val="Boq Check"/>
      <sheetName val="Estimate Summary"/>
      <sheetName val="Steel Cal"/>
      <sheetName val="electricity"/>
      <sheetName val="Furniture"/>
      <sheetName val="Cost_Sanitary"/>
      <sheetName val="Septic_tank"/>
      <sheetName val="Water Tank"/>
      <sheetName val="Rate Analysis"/>
      <sheetName val="RA_Sanitary"/>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Rate"/>
      <sheetName val="Update Descrip"/>
      <sheetName val="Table of Content"/>
      <sheetName val="Update Descrip (Final)"/>
    </sheetNames>
    <sheetDataSet>
      <sheetData sheetId="0">
        <row r="91">
          <cell r="E91">
            <v>304.31</v>
          </cell>
        </row>
        <row r="92">
          <cell r="E92">
            <v>231.57</v>
          </cell>
        </row>
        <row r="93">
          <cell r="E93">
            <v>194.27</v>
          </cell>
        </row>
      </sheetData>
      <sheetData sheetId="1"/>
      <sheetData sheetId="2"/>
      <sheetData sheetId="3"/>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ate-cvl"/>
    </sheetNames>
    <sheetDataSet>
      <sheetData sheetId="0"/>
      <sheetData sheetId="1" refreshError="1"/>
      <sheetData sheetId="2" refreshError="1"/>
      <sheetData sheetId="3"/>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Summary"/>
      <sheetName val="Trainings"/>
      <sheetName val="SprInt1"/>
      <sheetName val="SprInt2"/>
      <sheetName val="StrInt1"/>
      <sheetName val="CCDCIC"/>
      <sheetName val="VCs"/>
      <sheetName val="Sheets"/>
      <sheetName val="FRT 1"/>
      <sheetName val="MRT1"/>
      <sheetName val="Fence"/>
      <sheetName val="PSP2"/>
      <sheetName val="S-toilet"/>
      <sheetName val="Pump-house"/>
      <sheetName val="T &amp; P"/>
      <sheetName val="RtAn"/>
      <sheetName val="MatCol"/>
      <sheetName val="DRates"/>
    </sheetNames>
    <sheetDataSet>
      <sheetData sheetId="0"/>
      <sheetData sheetId="1"/>
      <sheetData sheetId="2"/>
      <sheetData sheetId="3"/>
      <sheetData sheetId="4"/>
      <sheetData sheetId="5"/>
      <sheetData sheetId="6"/>
      <sheetData sheetId="7" refreshError="1">
        <row r="63">
          <cell r="L63">
            <v>1</v>
          </cell>
          <cell r="M63">
            <v>1.5</v>
          </cell>
          <cell r="N63">
            <v>0.9</v>
          </cell>
          <cell r="O63">
            <v>0.3</v>
          </cell>
        </row>
        <row r="64">
          <cell r="L64">
            <v>2</v>
          </cell>
          <cell r="M64">
            <v>1.5</v>
          </cell>
          <cell r="N64">
            <v>1.4</v>
          </cell>
          <cell r="O64">
            <v>0.3</v>
          </cell>
        </row>
        <row r="65">
          <cell r="L65">
            <v>3</v>
          </cell>
          <cell r="M65">
            <v>2</v>
          </cell>
          <cell r="N65">
            <v>1.2</v>
          </cell>
          <cell r="O65">
            <v>0.4</v>
          </cell>
        </row>
        <row r="66">
          <cell r="L66">
            <v>4</v>
          </cell>
          <cell r="M66">
            <v>2</v>
          </cell>
          <cell r="N66">
            <v>1.5</v>
          </cell>
          <cell r="O66">
            <v>0.4</v>
          </cell>
        </row>
        <row r="67">
          <cell r="L67">
            <v>5</v>
          </cell>
          <cell r="M67">
            <v>2.5</v>
          </cell>
          <cell r="N67">
            <v>1.3</v>
          </cell>
          <cell r="O67">
            <v>0.4</v>
          </cell>
        </row>
        <row r="68">
          <cell r="L68">
            <v>6</v>
          </cell>
          <cell r="M68">
            <v>2.5</v>
          </cell>
          <cell r="N68">
            <v>1.5</v>
          </cell>
          <cell r="O68">
            <v>0.4</v>
          </cell>
        </row>
        <row r="69">
          <cell r="L69">
            <v>7</v>
          </cell>
          <cell r="M69">
            <v>2.5</v>
          </cell>
          <cell r="N69">
            <v>1.65</v>
          </cell>
          <cell r="O69">
            <v>0.4</v>
          </cell>
        </row>
        <row r="70">
          <cell r="L70">
            <v>8</v>
          </cell>
          <cell r="M70">
            <v>2.5</v>
          </cell>
          <cell r="N70">
            <v>1.85</v>
          </cell>
          <cell r="O70">
            <v>0.4</v>
          </cell>
        </row>
        <row r="71">
          <cell r="L71">
            <v>9</v>
          </cell>
          <cell r="M71">
            <v>3</v>
          </cell>
          <cell r="N71">
            <v>1.5</v>
          </cell>
          <cell r="O71">
            <v>0.5</v>
          </cell>
        </row>
        <row r="72">
          <cell r="L72">
            <v>10</v>
          </cell>
          <cell r="M72">
            <v>3</v>
          </cell>
          <cell r="N72">
            <v>1.65</v>
          </cell>
          <cell r="O72">
            <v>0.5</v>
          </cell>
        </row>
        <row r="73">
          <cell r="L73">
            <v>12</v>
          </cell>
          <cell r="M73">
            <v>3</v>
          </cell>
          <cell r="N73">
            <v>1.9</v>
          </cell>
          <cell r="O73">
            <v>0.5</v>
          </cell>
        </row>
        <row r="74">
          <cell r="L74">
            <v>14</v>
          </cell>
          <cell r="M74">
            <v>3.5</v>
          </cell>
          <cell r="N74">
            <v>1.7</v>
          </cell>
          <cell r="O74">
            <v>0.6</v>
          </cell>
        </row>
        <row r="75">
          <cell r="L75">
            <v>16</v>
          </cell>
          <cell r="M75">
            <v>3.5</v>
          </cell>
          <cell r="N75">
            <v>1.9</v>
          </cell>
          <cell r="O75">
            <v>0.6</v>
          </cell>
        </row>
        <row r="76">
          <cell r="L76">
            <v>18</v>
          </cell>
          <cell r="M76">
            <v>4</v>
          </cell>
          <cell r="N76">
            <v>1.65</v>
          </cell>
          <cell r="O76">
            <v>0.7</v>
          </cell>
        </row>
        <row r="77">
          <cell r="L77">
            <v>20</v>
          </cell>
          <cell r="M77">
            <v>4</v>
          </cell>
          <cell r="N77">
            <v>1.8</v>
          </cell>
          <cell r="O77">
            <v>0.7</v>
          </cell>
        </row>
      </sheetData>
      <sheetData sheetId="8"/>
      <sheetData sheetId="9"/>
      <sheetData sheetId="10"/>
      <sheetData sheetId="11"/>
      <sheetData sheetId="12"/>
      <sheetData sheetId="13"/>
      <sheetData sheetId="14" refreshError="1">
        <row r="8">
          <cell r="D8" t="str">
            <v>1_3</v>
          </cell>
          <cell r="E8" t="str">
            <v>3_5</v>
          </cell>
          <cell r="F8" t="str">
            <v>5_8</v>
          </cell>
          <cell r="G8" t="str">
            <v>8_15</v>
          </cell>
          <cell r="H8" t="str">
            <v>&gt;15</v>
          </cell>
        </row>
        <row r="9">
          <cell r="D9">
            <v>3</v>
          </cell>
          <cell r="E9">
            <v>6</v>
          </cell>
          <cell r="F9">
            <v>8</v>
          </cell>
          <cell r="G9">
            <v>10</v>
          </cell>
          <cell r="H9">
            <v>10</v>
          </cell>
        </row>
        <row r="10">
          <cell r="D10">
            <v>4</v>
          </cell>
          <cell r="E10">
            <v>6</v>
          </cell>
          <cell r="F10">
            <v>8</v>
          </cell>
          <cell r="G10">
            <v>10</v>
          </cell>
          <cell r="H10">
            <v>10</v>
          </cell>
        </row>
        <row r="11">
          <cell r="D11">
            <v>1</v>
          </cell>
          <cell r="E11">
            <v>1</v>
          </cell>
          <cell r="F11">
            <v>1</v>
          </cell>
          <cell r="G11">
            <v>1</v>
          </cell>
          <cell r="H11">
            <v>1</v>
          </cell>
        </row>
        <row r="12">
          <cell r="D12">
            <v>1</v>
          </cell>
          <cell r="E12">
            <v>1</v>
          </cell>
          <cell r="F12">
            <v>1</v>
          </cell>
          <cell r="G12">
            <v>1</v>
          </cell>
          <cell r="H12">
            <v>1</v>
          </cell>
        </row>
        <row r="13">
          <cell r="D13">
            <v>0.5</v>
          </cell>
          <cell r="E13">
            <v>0.5</v>
          </cell>
          <cell r="F13">
            <v>0.5</v>
          </cell>
          <cell r="G13">
            <v>0.5</v>
          </cell>
          <cell r="H13">
            <v>0.5</v>
          </cell>
        </row>
        <row r="14">
          <cell r="D14">
            <v>1</v>
          </cell>
          <cell r="E14">
            <v>1</v>
          </cell>
          <cell r="F14">
            <v>1</v>
          </cell>
          <cell r="G14">
            <v>2</v>
          </cell>
          <cell r="H14">
            <v>2</v>
          </cell>
        </row>
        <row r="15">
          <cell r="D15">
            <v>1</v>
          </cell>
          <cell r="E15">
            <v>1</v>
          </cell>
          <cell r="F15">
            <v>1</v>
          </cell>
          <cell r="G15">
            <v>1</v>
          </cell>
          <cell r="H15">
            <v>1</v>
          </cell>
        </row>
        <row r="16">
          <cell r="D16">
            <v>1</v>
          </cell>
          <cell r="E16">
            <v>1</v>
          </cell>
          <cell r="F16">
            <v>1</v>
          </cell>
          <cell r="G16">
            <v>1</v>
          </cell>
          <cell r="H16">
            <v>1</v>
          </cell>
        </row>
        <row r="17">
          <cell r="D17">
            <v>1</v>
          </cell>
          <cell r="E17">
            <v>1</v>
          </cell>
          <cell r="F17">
            <v>1</v>
          </cell>
          <cell r="G17">
            <v>1</v>
          </cell>
          <cell r="H17">
            <v>1</v>
          </cell>
        </row>
        <row r="18">
          <cell r="D18">
            <v>1</v>
          </cell>
          <cell r="E18">
            <v>2</v>
          </cell>
          <cell r="F18">
            <v>3</v>
          </cell>
          <cell r="G18">
            <v>4</v>
          </cell>
          <cell r="H18">
            <v>5</v>
          </cell>
        </row>
        <row r="19">
          <cell r="D19">
            <v>5</v>
          </cell>
          <cell r="E19">
            <v>5</v>
          </cell>
          <cell r="F19">
            <v>5</v>
          </cell>
          <cell r="G19">
            <v>5</v>
          </cell>
          <cell r="H19">
            <v>5</v>
          </cell>
        </row>
        <row r="20">
          <cell r="D20">
            <v>1</v>
          </cell>
          <cell r="E20">
            <v>1</v>
          </cell>
          <cell r="F20">
            <v>1</v>
          </cell>
          <cell r="G20">
            <v>1</v>
          </cell>
          <cell r="H20">
            <v>1</v>
          </cell>
        </row>
        <row r="21">
          <cell r="D21">
            <v>1</v>
          </cell>
          <cell r="E21">
            <v>1</v>
          </cell>
          <cell r="F21">
            <v>1</v>
          </cell>
          <cell r="G21">
            <v>1</v>
          </cell>
          <cell r="H21">
            <v>1</v>
          </cell>
        </row>
      </sheetData>
      <sheetData sheetId="15" refreshError="1">
        <row r="1">
          <cell r="B1">
            <v>15</v>
          </cell>
        </row>
        <row r="8">
          <cell r="A8">
            <v>1.8</v>
          </cell>
          <cell r="B8" t="str">
            <v>Site clearance with removing 15-20cm top soil</v>
          </cell>
          <cell r="D8" t="str">
            <v>Coolies</v>
          </cell>
          <cell r="E8">
            <v>0.16</v>
          </cell>
          <cell r="F8">
            <v>275</v>
          </cell>
          <cell r="G8">
            <v>44</v>
          </cell>
          <cell r="I8" t="str">
            <v>3% of T&amp;P</v>
          </cell>
          <cell r="L8">
            <v>1.32</v>
          </cell>
          <cell r="M8">
            <v>45.32</v>
          </cell>
          <cell r="N8">
            <v>6.8</v>
          </cell>
          <cell r="O8">
            <v>52.12</v>
          </cell>
        </row>
        <row r="9">
          <cell r="B9" t="str">
            <v>disposal beyond construction site  for  1sqm.</v>
          </cell>
        </row>
        <row r="11">
          <cell r="B11" t="str">
            <v>EW in excavation in foundation trench including</v>
          </cell>
        </row>
        <row r="12">
          <cell r="B12" t="str">
            <v>disposal upto 10 m.,  for 1cu.m.</v>
          </cell>
        </row>
        <row r="13">
          <cell r="A13">
            <v>2.9</v>
          </cell>
          <cell r="B13" t="str">
            <v>Soft soil</v>
          </cell>
          <cell r="D13" t="str">
            <v>Coolies</v>
          </cell>
          <cell r="E13">
            <v>1</v>
          </cell>
          <cell r="F13">
            <v>275</v>
          </cell>
          <cell r="G13">
            <v>275</v>
          </cell>
          <cell r="I13" t="str">
            <v>3% of T&amp;P</v>
          </cell>
          <cell r="L13">
            <v>8.25</v>
          </cell>
          <cell r="M13">
            <v>283.25</v>
          </cell>
          <cell r="N13">
            <v>42.49</v>
          </cell>
          <cell r="O13">
            <v>325.74</v>
          </cell>
        </row>
        <row r="15">
          <cell r="A15">
            <v>2.12</v>
          </cell>
          <cell r="B15" t="str">
            <v>Hard soil</v>
          </cell>
          <cell r="D15" t="str">
            <v>Coolies</v>
          </cell>
          <cell r="E15">
            <v>1.25</v>
          </cell>
          <cell r="F15">
            <v>275</v>
          </cell>
          <cell r="G15">
            <v>343.75</v>
          </cell>
          <cell r="I15" t="str">
            <v>3% of T&amp;P</v>
          </cell>
          <cell r="L15">
            <v>10.31</v>
          </cell>
          <cell r="M15">
            <v>354.06</v>
          </cell>
          <cell r="N15">
            <v>53.11</v>
          </cell>
          <cell r="O15">
            <v>407.17</v>
          </cell>
        </row>
        <row r="17">
          <cell r="A17">
            <v>2.14</v>
          </cell>
          <cell r="B17" t="str">
            <v>Gravel &amp; boulder mixed soil</v>
          </cell>
          <cell r="D17" t="str">
            <v>Coolies</v>
          </cell>
          <cell r="E17">
            <v>1.59</v>
          </cell>
          <cell r="F17">
            <v>275</v>
          </cell>
          <cell r="G17">
            <v>437.25</v>
          </cell>
          <cell r="I17" t="str">
            <v>3% of T&amp;P</v>
          </cell>
          <cell r="L17">
            <v>13.12</v>
          </cell>
          <cell r="M17">
            <v>450.37</v>
          </cell>
          <cell r="N17">
            <v>67.56</v>
          </cell>
          <cell r="O17">
            <v>517.92999999999995</v>
          </cell>
        </row>
        <row r="19">
          <cell r="B19" t="str">
            <v>Refilling of foundation trench in layers of 20cm</v>
          </cell>
        </row>
        <row r="20">
          <cell r="B20" t="str">
            <v>with compaction including lead 10m, for 1cum.</v>
          </cell>
        </row>
        <row r="21">
          <cell r="A21" t="str">
            <v>2.39a</v>
          </cell>
          <cell r="B21" t="str">
            <v>a) Soft soil</v>
          </cell>
          <cell r="D21" t="str">
            <v>Coolies</v>
          </cell>
          <cell r="E21">
            <v>0.5</v>
          </cell>
          <cell r="F21">
            <v>275</v>
          </cell>
          <cell r="G21">
            <v>137.5</v>
          </cell>
          <cell r="I21" t="str">
            <v>3% of T&amp;P</v>
          </cell>
          <cell r="L21">
            <v>4.13</v>
          </cell>
          <cell r="M21">
            <v>141.63</v>
          </cell>
          <cell r="N21">
            <v>21.24</v>
          </cell>
          <cell r="O21">
            <v>162.87</v>
          </cell>
        </row>
        <row r="23">
          <cell r="A23" t="str">
            <v>2.39c</v>
          </cell>
          <cell r="B23" t="str">
            <v>c) Hard soil</v>
          </cell>
          <cell r="D23" t="str">
            <v>Coolies</v>
          </cell>
          <cell r="E23">
            <v>0.63</v>
          </cell>
          <cell r="F23">
            <v>275</v>
          </cell>
          <cell r="G23">
            <v>173.25</v>
          </cell>
          <cell r="I23" t="str">
            <v>3% of T&amp;P</v>
          </cell>
          <cell r="L23">
            <v>5.2</v>
          </cell>
          <cell r="M23">
            <v>178.45</v>
          </cell>
          <cell r="N23">
            <v>26.77</v>
          </cell>
          <cell r="O23">
            <v>205.22</v>
          </cell>
        </row>
        <row r="25">
          <cell r="A25" t="str">
            <v>2.39d</v>
          </cell>
          <cell r="B25" t="str">
            <v>d) Gravel &amp; boulder mixed soil</v>
          </cell>
          <cell r="D25" t="str">
            <v>Coolies</v>
          </cell>
          <cell r="E25">
            <v>0.6</v>
          </cell>
          <cell r="F25">
            <v>275</v>
          </cell>
          <cell r="G25">
            <v>165</v>
          </cell>
          <cell r="I25" t="str">
            <v>3% of T&amp;P</v>
          </cell>
          <cell r="L25">
            <v>4.95</v>
          </cell>
          <cell r="M25">
            <v>169.95</v>
          </cell>
          <cell r="N25">
            <v>25.49</v>
          </cell>
          <cell r="O25">
            <v>195.44</v>
          </cell>
        </row>
        <row r="27">
          <cell r="A27" t="str">
            <v>2.42</v>
          </cell>
          <cell r="B27" t="str">
            <v>Sand filling with water sprinkling for 1 cu.m.</v>
          </cell>
          <cell r="D27" t="str">
            <v>Coolies</v>
          </cell>
          <cell r="E27">
            <v>0.7</v>
          </cell>
          <cell r="F27">
            <v>275</v>
          </cell>
          <cell r="G27">
            <v>192.5</v>
          </cell>
          <cell r="H27" t="str">
            <v>sand</v>
          </cell>
          <cell r="I27">
            <v>1.1000000000000001</v>
          </cell>
          <cell r="J27" t="str">
            <v>cu.m.</v>
          </cell>
          <cell r="K27">
            <v>2261.75</v>
          </cell>
          <cell r="L27">
            <v>2487.9299999999998</v>
          </cell>
          <cell r="M27">
            <v>2680.43</v>
          </cell>
          <cell r="N27">
            <v>402.06</v>
          </cell>
          <cell r="O27">
            <v>3082.49</v>
          </cell>
        </row>
        <row r="29">
          <cell r="A29" t="str">
            <v>gravel</v>
          </cell>
          <cell r="B29" t="str">
            <v>Gravel packing for 1 cu.m.</v>
          </cell>
          <cell r="D29" t="str">
            <v>Coolies</v>
          </cell>
          <cell r="E29">
            <v>0.7</v>
          </cell>
          <cell r="F29">
            <v>275</v>
          </cell>
          <cell r="G29">
            <v>192.5</v>
          </cell>
          <cell r="H29" t="str">
            <v>gravel</v>
          </cell>
          <cell r="I29">
            <v>1.1000000000000001</v>
          </cell>
          <cell r="J29" t="str">
            <v>cu.m.</v>
          </cell>
          <cell r="K29">
            <v>2485</v>
          </cell>
          <cell r="L29">
            <v>2733.5</v>
          </cell>
          <cell r="M29">
            <v>2926</v>
          </cell>
          <cell r="N29">
            <v>438.9</v>
          </cell>
          <cell r="O29">
            <v>3364.9</v>
          </cell>
        </row>
        <row r="31">
          <cell r="B31" t="str">
            <v>Random rubble masonry work for 1 cu.m.</v>
          </cell>
        </row>
        <row r="32">
          <cell r="B32" t="str">
            <v>including 30m haulage, and 5 m height</v>
          </cell>
        </row>
        <row r="33">
          <cell r="A33" t="str">
            <v>6.1a</v>
          </cell>
          <cell r="B33" t="str">
            <v>(1:3) cement sand mortar</v>
          </cell>
          <cell r="D33" t="str">
            <v>Mason</v>
          </cell>
          <cell r="E33">
            <v>1.5</v>
          </cell>
          <cell r="F33">
            <v>400</v>
          </cell>
          <cell r="G33">
            <v>600</v>
          </cell>
          <cell r="H33" t="str">
            <v>Blockstone</v>
          </cell>
          <cell r="I33">
            <v>1</v>
          </cell>
          <cell r="J33" t="str">
            <v>cu.m.</v>
          </cell>
          <cell r="K33">
            <v>1155</v>
          </cell>
          <cell r="L33">
            <v>1155</v>
          </cell>
          <cell r="M33">
            <v>6601.55</v>
          </cell>
          <cell r="N33">
            <v>990.23</v>
          </cell>
          <cell r="O33">
            <v>7591.78</v>
          </cell>
        </row>
        <row r="34">
          <cell r="D34" t="str">
            <v>Coolies</v>
          </cell>
          <cell r="E34">
            <v>4.2</v>
          </cell>
          <cell r="F34">
            <v>275</v>
          </cell>
          <cell r="G34">
            <v>1155</v>
          </cell>
          <cell r="H34" t="str">
            <v>Bondstone</v>
          </cell>
          <cell r="I34">
            <v>0.1</v>
          </cell>
          <cell r="J34" t="str">
            <v>cu.m.</v>
          </cell>
          <cell r="K34">
            <v>3418.25</v>
          </cell>
          <cell r="L34">
            <v>341.83</v>
          </cell>
        </row>
        <row r="35">
          <cell r="H35" t="str">
            <v>cement</v>
          </cell>
          <cell r="I35">
            <v>0.19400000000000001</v>
          </cell>
          <cell r="J35" t="str">
            <v>mt</v>
          </cell>
          <cell r="K35">
            <v>12370</v>
          </cell>
          <cell r="L35">
            <v>2399.7800000000002</v>
          </cell>
        </row>
        <row r="36">
          <cell r="H36" t="str">
            <v>sand</v>
          </cell>
          <cell r="I36">
            <v>0.42</v>
          </cell>
          <cell r="J36" t="str">
            <v>cu.m.</v>
          </cell>
          <cell r="K36">
            <v>2261.75</v>
          </cell>
          <cell r="L36">
            <v>949.94</v>
          </cell>
        </row>
        <row r="38">
          <cell r="A38" t="str">
            <v>6.1b</v>
          </cell>
          <cell r="B38" t="str">
            <v>(1:4) cement sand mortar</v>
          </cell>
          <cell r="D38" t="str">
            <v>Mason</v>
          </cell>
          <cell r="E38">
            <v>1.5</v>
          </cell>
          <cell r="F38">
            <v>400</v>
          </cell>
          <cell r="G38">
            <v>600</v>
          </cell>
          <cell r="H38" t="str">
            <v>Blockstone</v>
          </cell>
          <cell r="I38">
            <v>1</v>
          </cell>
          <cell r="J38" t="str">
            <v>cu.m.</v>
          </cell>
          <cell r="K38">
            <v>1155</v>
          </cell>
          <cell r="L38">
            <v>1155</v>
          </cell>
          <cell r="M38">
            <v>6236.45</v>
          </cell>
          <cell r="N38">
            <v>935.47</v>
          </cell>
          <cell r="O38">
            <v>7171.92</v>
          </cell>
        </row>
        <row r="39">
          <cell r="D39" t="str">
            <v>Coolies</v>
          </cell>
          <cell r="E39">
            <v>4.2</v>
          </cell>
          <cell r="F39">
            <v>275</v>
          </cell>
          <cell r="G39">
            <v>1155</v>
          </cell>
          <cell r="H39" t="str">
            <v>Bondstone</v>
          </cell>
          <cell r="I39">
            <v>0.1</v>
          </cell>
          <cell r="J39" t="str">
            <v>cu.m.</v>
          </cell>
          <cell r="K39">
            <v>3418.25</v>
          </cell>
          <cell r="L39">
            <v>341.83</v>
          </cell>
        </row>
        <row r="40">
          <cell r="H40" t="str">
            <v>cement</v>
          </cell>
          <cell r="I40">
            <v>0.159</v>
          </cell>
          <cell r="J40" t="str">
            <v>mt</v>
          </cell>
          <cell r="K40">
            <v>12370</v>
          </cell>
          <cell r="L40">
            <v>1966.83</v>
          </cell>
        </row>
        <row r="41">
          <cell r="H41" t="str">
            <v>sand</v>
          </cell>
          <cell r="I41">
            <v>0.45</v>
          </cell>
          <cell r="J41" t="str">
            <v>cu.m.</v>
          </cell>
          <cell r="K41">
            <v>2261.75</v>
          </cell>
          <cell r="L41">
            <v>1017.79</v>
          </cell>
        </row>
        <row r="43">
          <cell r="A43" t="str">
            <v>6.1c</v>
          </cell>
          <cell r="B43" t="str">
            <v>(1:6) cement sand mortar</v>
          </cell>
          <cell r="D43" t="str">
            <v>Mason</v>
          </cell>
          <cell r="E43">
            <v>1.5</v>
          </cell>
          <cell r="F43">
            <v>400</v>
          </cell>
          <cell r="G43">
            <v>600</v>
          </cell>
          <cell r="H43" t="str">
            <v>Blockstone</v>
          </cell>
          <cell r="I43">
            <v>1</v>
          </cell>
          <cell r="J43" t="str">
            <v>cu.m.</v>
          </cell>
          <cell r="K43">
            <v>1155</v>
          </cell>
          <cell r="L43">
            <v>1155</v>
          </cell>
          <cell r="M43">
            <v>5626.07</v>
          </cell>
          <cell r="N43">
            <v>843.91</v>
          </cell>
          <cell r="O43">
            <v>6469.98</v>
          </cell>
        </row>
        <row r="44">
          <cell r="D44" t="str">
            <v>Coolies</v>
          </cell>
          <cell r="E44">
            <v>4.2</v>
          </cell>
          <cell r="F44">
            <v>275</v>
          </cell>
          <cell r="G44">
            <v>1155</v>
          </cell>
          <cell r="H44" t="str">
            <v>Bondstone</v>
          </cell>
          <cell r="I44">
            <v>0.1</v>
          </cell>
          <cell r="J44" t="str">
            <v>cu.m.</v>
          </cell>
          <cell r="K44">
            <v>3418.25</v>
          </cell>
          <cell r="L44">
            <v>341.83</v>
          </cell>
        </row>
        <row r="45">
          <cell r="H45" t="str">
            <v>cement</v>
          </cell>
          <cell r="I45">
            <v>0.106</v>
          </cell>
          <cell r="J45" t="str">
            <v>mt</v>
          </cell>
          <cell r="K45">
            <v>12370</v>
          </cell>
          <cell r="L45">
            <v>1311.22</v>
          </cell>
        </row>
        <row r="46">
          <cell r="H46" t="str">
            <v>sand</v>
          </cell>
          <cell r="I46">
            <v>0.47</v>
          </cell>
          <cell r="J46" t="str">
            <v>cu.m.</v>
          </cell>
          <cell r="K46">
            <v>2261.75</v>
          </cell>
          <cell r="L46">
            <v>1063.02</v>
          </cell>
        </row>
        <row r="48">
          <cell r="A48" t="str">
            <v>6.2a</v>
          </cell>
          <cell r="B48" t="str">
            <v>a</v>
          </cell>
          <cell r="C48" t="str">
            <v>Dry masonry</v>
          </cell>
          <cell r="D48" t="str">
            <v>Mason</v>
          </cell>
          <cell r="E48">
            <v>1</v>
          </cell>
          <cell r="F48">
            <v>400</v>
          </cell>
          <cell r="G48">
            <v>400</v>
          </cell>
          <cell r="H48" t="str">
            <v>Blockstone</v>
          </cell>
          <cell r="I48">
            <v>1</v>
          </cell>
          <cell r="J48" t="str">
            <v>cu.m.</v>
          </cell>
          <cell r="K48">
            <v>1155</v>
          </cell>
          <cell r="L48">
            <v>1155</v>
          </cell>
          <cell r="M48">
            <v>2446.83</v>
          </cell>
          <cell r="N48">
            <v>367.02</v>
          </cell>
          <cell r="O48">
            <v>2813.85</v>
          </cell>
        </row>
        <row r="49">
          <cell r="D49" t="str">
            <v>Coolies</v>
          </cell>
          <cell r="E49">
            <v>2</v>
          </cell>
          <cell r="F49">
            <v>275</v>
          </cell>
          <cell r="G49">
            <v>550</v>
          </cell>
          <cell r="H49" t="str">
            <v>Bondstone</v>
          </cell>
          <cell r="I49">
            <v>0.1</v>
          </cell>
          <cell r="J49" t="str">
            <v>cu.m.</v>
          </cell>
          <cell r="K49">
            <v>3418.25</v>
          </cell>
          <cell r="L49">
            <v>341.83</v>
          </cell>
        </row>
        <row r="51">
          <cell r="B51" t="str">
            <v>Boulder soling per 1 cu.m.</v>
          </cell>
        </row>
        <row r="52">
          <cell r="A52" t="str">
            <v>6.5a</v>
          </cell>
          <cell r="B52" t="str">
            <v>a) With sand packing</v>
          </cell>
          <cell r="D52" t="str">
            <v>Mason</v>
          </cell>
          <cell r="E52">
            <v>1</v>
          </cell>
          <cell r="F52">
            <v>400</v>
          </cell>
          <cell r="G52">
            <v>400</v>
          </cell>
          <cell r="H52" t="str">
            <v>Blockstone</v>
          </cell>
          <cell r="I52">
            <v>1.1000000000000001</v>
          </cell>
          <cell r="J52" t="str">
            <v>cu.m.</v>
          </cell>
          <cell r="K52">
            <v>1155</v>
          </cell>
          <cell r="L52">
            <v>1270.5</v>
          </cell>
          <cell r="M52">
            <v>4238.84</v>
          </cell>
          <cell r="N52">
            <v>635.83000000000004</v>
          </cell>
          <cell r="O52">
            <v>4874.67</v>
          </cell>
        </row>
        <row r="53">
          <cell r="D53" t="str">
            <v>Coolies</v>
          </cell>
          <cell r="E53">
            <v>3.5</v>
          </cell>
          <cell r="F53">
            <v>275</v>
          </cell>
          <cell r="G53">
            <v>962.5</v>
          </cell>
          <cell r="H53" t="str">
            <v>sand</v>
          </cell>
          <cell r="I53">
            <v>0.71</v>
          </cell>
          <cell r="J53" t="str">
            <v>cu.m.</v>
          </cell>
          <cell r="K53">
            <v>2261.75</v>
          </cell>
          <cell r="L53">
            <v>1605.84</v>
          </cell>
        </row>
        <row r="55">
          <cell r="A55" t="str">
            <v>6.5b</v>
          </cell>
          <cell r="B55" t="str">
            <v>b) without sand packing</v>
          </cell>
          <cell r="D55" t="str">
            <v>Mason</v>
          </cell>
          <cell r="E55">
            <v>1</v>
          </cell>
          <cell r="F55">
            <v>400</v>
          </cell>
          <cell r="G55">
            <v>400</v>
          </cell>
          <cell r="H55" t="str">
            <v>Blockstone</v>
          </cell>
          <cell r="I55">
            <v>1.1000000000000001</v>
          </cell>
          <cell r="J55" t="str">
            <v>cu.m.</v>
          </cell>
          <cell r="K55">
            <v>1155</v>
          </cell>
          <cell r="L55">
            <v>1270.5</v>
          </cell>
          <cell r="M55">
            <v>2633</v>
          </cell>
          <cell r="N55">
            <v>394.95</v>
          </cell>
          <cell r="O55">
            <v>3027.95</v>
          </cell>
        </row>
        <row r="56">
          <cell r="D56" t="str">
            <v>Coolies</v>
          </cell>
          <cell r="E56">
            <v>3.5</v>
          </cell>
          <cell r="F56">
            <v>275</v>
          </cell>
          <cell r="G56">
            <v>962.5</v>
          </cell>
        </row>
        <row r="58">
          <cell r="A58">
            <v>6.4</v>
          </cell>
          <cell r="B58" t="str">
            <v>Stone fillng in foundation  for  1 cu.m.</v>
          </cell>
          <cell r="D58" t="str">
            <v>Coolies</v>
          </cell>
          <cell r="E58">
            <v>1.5</v>
          </cell>
          <cell r="F58">
            <v>275</v>
          </cell>
          <cell r="G58">
            <v>412.5</v>
          </cell>
          <cell r="H58" t="str">
            <v>Blockstone</v>
          </cell>
          <cell r="I58">
            <v>1.1000000000000001</v>
          </cell>
          <cell r="J58" t="str">
            <v>cu.m.</v>
          </cell>
          <cell r="K58">
            <v>1155</v>
          </cell>
          <cell r="L58">
            <v>1270.5</v>
          </cell>
          <cell r="M58">
            <v>1683</v>
          </cell>
          <cell r="N58">
            <v>252.45</v>
          </cell>
          <cell r="O58">
            <v>1935.45</v>
          </cell>
        </row>
        <row r="60">
          <cell r="B60" t="str">
            <v>PCC for sub-structure concreting,  for 1 cum.</v>
          </cell>
        </row>
        <row r="61">
          <cell r="A61" t="str">
            <v>7.2c</v>
          </cell>
          <cell r="B61" t="str">
            <v>(a) P.C.C. (1:3:6)</v>
          </cell>
          <cell r="D61" t="str">
            <v>Mason</v>
          </cell>
          <cell r="E61">
            <v>1</v>
          </cell>
          <cell r="F61">
            <v>400</v>
          </cell>
          <cell r="G61">
            <v>400</v>
          </cell>
          <cell r="H61" t="str">
            <v>40mm agg</v>
          </cell>
          <cell r="I61">
            <v>0.65</v>
          </cell>
          <cell r="J61" t="str">
            <v>cu.m.</v>
          </cell>
          <cell r="K61">
            <v>3035</v>
          </cell>
          <cell r="L61">
            <v>1972.75</v>
          </cell>
          <cell r="M61">
            <v>8381.57</v>
          </cell>
          <cell r="N61">
            <v>1257.24</v>
          </cell>
          <cell r="O61">
            <v>9638.81</v>
          </cell>
        </row>
        <row r="62">
          <cell r="D62" t="str">
            <v>Coolies</v>
          </cell>
          <cell r="E62">
            <v>4</v>
          </cell>
          <cell r="F62">
            <v>275</v>
          </cell>
          <cell r="G62">
            <v>1100</v>
          </cell>
          <cell r="H62" t="str">
            <v>20mm agg</v>
          </cell>
          <cell r="I62">
            <v>0.24</v>
          </cell>
          <cell r="J62" t="str">
            <v>cu.m.</v>
          </cell>
          <cell r="K62">
            <v>4685</v>
          </cell>
          <cell r="L62">
            <v>1124.4000000000001</v>
          </cell>
        </row>
        <row r="63">
          <cell r="H63" t="str">
            <v>cement</v>
          </cell>
          <cell r="I63">
            <v>0.22</v>
          </cell>
          <cell r="J63" t="str">
            <v>mt</v>
          </cell>
          <cell r="K63">
            <v>12370</v>
          </cell>
          <cell r="L63">
            <v>2721.4</v>
          </cell>
        </row>
        <row r="64">
          <cell r="H64" t="str">
            <v>coarsesand</v>
          </cell>
          <cell r="I64">
            <v>0.47</v>
          </cell>
          <cell r="J64" t="str">
            <v>cu.m.</v>
          </cell>
          <cell r="K64">
            <v>2261.75</v>
          </cell>
          <cell r="L64">
            <v>1063.02</v>
          </cell>
        </row>
        <row r="66">
          <cell r="A66" t="str">
            <v>7.2d</v>
          </cell>
          <cell r="B66" t="str">
            <v>(b)  PCC (1:2:4)</v>
          </cell>
          <cell r="D66" t="str">
            <v>Mason</v>
          </cell>
          <cell r="E66">
            <v>1</v>
          </cell>
          <cell r="F66">
            <v>400</v>
          </cell>
          <cell r="G66">
            <v>400</v>
          </cell>
          <cell r="H66" t="str">
            <v>40mm agg</v>
          </cell>
          <cell r="I66">
            <v>0.52</v>
          </cell>
          <cell r="J66" t="str">
            <v>cu.m.</v>
          </cell>
          <cell r="K66">
            <v>3035</v>
          </cell>
          <cell r="L66">
            <v>1578.2</v>
          </cell>
          <cell r="M66">
            <v>9785.76</v>
          </cell>
          <cell r="N66">
            <v>1467.86</v>
          </cell>
          <cell r="O66">
            <v>11253.62</v>
          </cell>
        </row>
        <row r="67">
          <cell r="D67" t="str">
            <v>Coolies</v>
          </cell>
          <cell r="E67">
            <v>4</v>
          </cell>
          <cell r="F67">
            <v>275</v>
          </cell>
          <cell r="G67">
            <v>1100</v>
          </cell>
          <cell r="H67" t="str">
            <v>20mm agg</v>
          </cell>
          <cell r="I67">
            <v>0.22</v>
          </cell>
          <cell r="J67" t="str">
            <v>cu.m.</v>
          </cell>
          <cell r="K67">
            <v>4685</v>
          </cell>
          <cell r="L67">
            <v>1030.7</v>
          </cell>
        </row>
        <row r="68">
          <cell r="H68" t="str">
            <v>10mm agg</v>
          </cell>
          <cell r="I68">
            <v>0.11</v>
          </cell>
          <cell r="J68" t="str">
            <v>cu.m.</v>
          </cell>
          <cell r="K68">
            <v>6472.5</v>
          </cell>
          <cell r="L68">
            <v>711.98</v>
          </cell>
        </row>
        <row r="69">
          <cell r="H69" t="str">
            <v>cement</v>
          </cell>
          <cell r="I69">
            <v>0.32</v>
          </cell>
          <cell r="J69" t="str">
            <v>mt</v>
          </cell>
          <cell r="K69">
            <v>12370</v>
          </cell>
          <cell r="L69">
            <v>3958.4</v>
          </cell>
        </row>
        <row r="70">
          <cell r="H70" t="str">
            <v>coarsesand</v>
          </cell>
          <cell r="I70">
            <v>0.44500000000000001</v>
          </cell>
          <cell r="J70" t="str">
            <v>cu.m.</v>
          </cell>
          <cell r="K70">
            <v>2261.75</v>
          </cell>
          <cell r="L70">
            <v>1006.48</v>
          </cell>
        </row>
        <row r="72">
          <cell r="B72" t="str">
            <v>PCC for RCC in superstructure,  for 1 cum.</v>
          </cell>
        </row>
        <row r="73">
          <cell r="A73" t="str">
            <v>7.4a</v>
          </cell>
          <cell r="B73" t="str">
            <v>(a)  PCC (1:2:4)</v>
          </cell>
          <cell r="D73" t="str">
            <v>Mason</v>
          </cell>
          <cell r="E73">
            <v>0.8</v>
          </cell>
          <cell r="F73">
            <v>400</v>
          </cell>
          <cell r="G73">
            <v>320</v>
          </cell>
          <cell r="H73" t="str">
            <v>40mm agg</v>
          </cell>
          <cell r="I73">
            <v>0.52</v>
          </cell>
          <cell r="J73" t="str">
            <v>cu.m.</v>
          </cell>
          <cell r="K73">
            <v>3035</v>
          </cell>
          <cell r="L73">
            <v>1578.2</v>
          </cell>
          <cell r="M73">
            <v>10530.76</v>
          </cell>
          <cell r="N73">
            <v>1579.61</v>
          </cell>
          <cell r="O73">
            <v>12110.37</v>
          </cell>
        </row>
        <row r="74">
          <cell r="D74" t="str">
            <v>Coolies</v>
          </cell>
          <cell r="E74">
            <v>7</v>
          </cell>
          <cell r="F74">
            <v>275</v>
          </cell>
          <cell r="G74">
            <v>1925</v>
          </cell>
          <cell r="H74" t="str">
            <v>20mm agg</v>
          </cell>
          <cell r="I74">
            <v>0.22</v>
          </cell>
          <cell r="J74" t="str">
            <v>cu.m.</v>
          </cell>
          <cell r="K74">
            <v>4685</v>
          </cell>
          <cell r="L74">
            <v>1030.7</v>
          </cell>
        </row>
        <row r="75">
          <cell r="H75" t="str">
            <v>10mm agg</v>
          </cell>
          <cell r="I75">
            <v>0.11</v>
          </cell>
          <cell r="J75" t="str">
            <v>cu.m.</v>
          </cell>
          <cell r="K75">
            <v>6472.5</v>
          </cell>
          <cell r="L75">
            <v>711.98</v>
          </cell>
        </row>
        <row r="76">
          <cell r="H76" t="str">
            <v>cement</v>
          </cell>
          <cell r="I76">
            <v>0.32</v>
          </cell>
          <cell r="J76" t="str">
            <v>mt</v>
          </cell>
          <cell r="K76">
            <v>12370</v>
          </cell>
          <cell r="L76">
            <v>3958.4</v>
          </cell>
        </row>
        <row r="77">
          <cell r="H77" t="str">
            <v>coarsesand</v>
          </cell>
          <cell r="I77">
            <v>0.44500000000000001</v>
          </cell>
          <cell r="J77" t="str">
            <v>cu.m.</v>
          </cell>
          <cell r="K77">
            <v>2261.75</v>
          </cell>
          <cell r="L77">
            <v>1006.48</v>
          </cell>
        </row>
        <row r="79">
          <cell r="A79" t="str">
            <v>7.4b1</v>
          </cell>
          <cell r="B79" t="str">
            <v>(b) P.C.C. (1:1.5:3)</v>
          </cell>
          <cell r="D79" t="str">
            <v>Mason</v>
          </cell>
          <cell r="E79">
            <v>0.8</v>
          </cell>
          <cell r="F79">
            <v>400</v>
          </cell>
          <cell r="G79">
            <v>320</v>
          </cell>
          <cell r="H79" t="str">
            <v>20mm agg</v>
          </cell>
          <cell r="I79">
            <v>0.56999999999999995</v>
          </cell>
          <cell r="J79" t="str">
            <v>cu.m.</v>
          </cell>
          <cell r="K79">
            <v>4685</v>
          </cell>
          <cell r="L79">
            <v>2670.45</v>
          </cell>
          <cell r="M79">
            <v>12701.72</v>
          </cell>
          <cell r="N79">
            <v>1905.26</v>
          </cell>
          <cell r="O79">
            <v>14606.98</v>
          </cell>
        </row>
        <row r="80">
          <cell r="D80" t="str">
            <v>Coolies</v>
          </cell>
          <cell r="E80">
            <v>7</v>
          </cell>
          <cell r="F80">
            <v>275</v>
          </cell>
          <cell r="G80">
            <v>1925</v>
          </cell>
          <cell r="H80" t="str">
            <v>10mm agg</v>
          </cell>
          <cell r="I80">
            <v>0.28999999999999998</v>
          </cell>
          <cell r="J80" t="str">
            <v>cu.m.</v>
          </cell>
          <cell r="K80">
            <v>6472.5</v>
          </cell>
          <cell r="L80">
            <v>1877.03</v>
          </cell>
        </row>
        <row r="81">
          <cell r="H81" t="str">
            <v>cement</v>
          </cell>
          <cell r="I81">
            <v>0.4</v>
          </cell>
          <cell r="J81" t="str">
            <v>mt</v>
          </cell>
          <cell r="K81">
            <v>12370</v>
          </cell>
          <cell r="L81">
            <v>4948</v>
          </cell>
        </row>
        <row r="82">
          <cell r="H82" t="str">
            <v>coarsesand</v>
          </cell>
          <cell r="I82">
            <v>0.42499999999999999</v>
          </cell>
          <cell r="J82" t="str">
            <v>cu.m.</v>
          </cell>
          <cell r="K82">
            <v>2261.75</v>
          </cell>
          <cell r="L82">
            <v>961.24</v>
          </cell>
        </row>
        <row r="84">
          <cell r="A84" t="str">
            <v>7.4b2</v>
          </cell>
          <cell r="B84" t="str">
            <v>(b) P.C.C. (1:1.5:3) with 2% WPC</v>
          </cell>
          <cell r="D84" t="str">
            <v>Mason</v>
          </cell>
          <cell r="E84">
            <v>0.8</v>
          </cell>
          <cell r="F84">
            <v>400</v>
          </cell>
          <cell r="G84">
            <v>320</v>
          </cell>
          <cell r="H84" t="str">
            <v>20mm agg</v>
          </cell>
          <cell r="I84">
            <v>0.56999999999999995</v>
          </cell>
          <cell r="J84" t="str">
            <v>cu.m.</v>
          </cell>
          <cell r="K84">
            <v>4685</v>
          </cell>
          <cell r="L84">
            <v>2670.45</v>
          </cell>
          <cell r="M84">
            <v>13101.72</v>
          </cell>
          <cell r="N84">
            <v>1965.26</v>
          </cell>
          <cell r="O84">
            <v>15066.98</v>
          </cell>
        </row>
        <row r="85">
          <cell r="D85" t="str">
            <v>Coolies</v>
          </cell>
          <cell r="E85">
            <v>7</v>
          </cell>
          <cell r="F85">
            <v>275</v>
          </cell>
          <cell r="G85">
            <v>1925</v>
          </cell>
          <cell r="H85" t="str">
            <v>10mm agg</v>
          </cell>
          <cell r="I85">
            <v>0.28999999999999998</v>
          </cell>
          <cell r="J85" t="str">
            <v>cu.m.</v>
          </cell>
          <cell r="K85">
            <v>6472.5</v>
          </cell>
          <cell r="L85">
            <v>1877.03</v>
          </cell>
        </row>
        <row r="86">
          <cell r="H86" t="str">
            <v>cement</v>
          </cell>
          <cell r="I86">
            <v>0.4</v>
          </cell>
          <cell r="J86" t="str">
            <v>mt</v>
          </cell>
          <cell r="K86">
            <v>12370</v>
          </cell>
          <cell r="L86">
            <v>4948</v>
          </cell>
        </row>
        <row r="87">
          <cell r="H87" t="str">
            <v>coarsesand</v>
          </cell>
          <cell r="I87">
            <v>0.42499999999999999</v>
          </cell>
          <cell r="J87" t="str">
            <v>cu.m.</v>
          </cell>
          <cell r="K87">
            <v>2261.75</v>
          </cell>
          <cell r="L87">
            <v>961.24</v>
          </cell>
        </row>
        <row r="88">
          <cell r="H88" t="str">
            <v>WPC</v>
          </cell>
          <cell r="I88">
            <v>8</v>
          </cell>
          <cell r="J88" t="str">
            <v>kg</v>
          </cell>
          <cell r="K88">
            <v>50</v>
          </cell>
          <cell r="L88">
            <v>400</v>
          </cell>
        </row>
        <row r="90">
          <cell r="A90">
            <v>7.5</v>
          </cell>
          <cell r="B90" t="str">
            <v>Mild steel reinforcement works for RCC,</v>
          </cell>
          <cell r="D90" t="str">
            <v>Mason</v>
          </cell>
          <cell r="E90">
            <v>1.2E-2</v>
          </cell>
          <cell r="F90">
            <v>400</v>
          </cell>
          <cell r="G90">
            <v>4.8</v>
          </cell>
          <cell r="H90" t="str">
            <v>M.S. Bar</v>
          </cell>
          <cell r="I90">
            <v>1.0499999999999999E-3</v>
          </cell>
          <cell r="J90" t="str">
            <v>M.T.</v>
          </cell>
          <cell r="K90">
            <v>69770</v>
          </cell>
          <cell r="L90">
            <v>73.260000000000005</v>
          </cell>
          <cell r="M90">
            <v>82.28</v>
          </cell>
          <cell r="N90">
            <v>12.34</v>
          </cell>
          <cell r="O90">
            <v>94.62</v>
          </cell>
        </row>
        <row r="91">
          <cell r="B91" t="str">
            <v>including bending and 30m haulage, for 1 Kg</v>
          </cell>
          <cell r="D91" t="str">
            <v>Helper</v>
          </cell>
          <cell r="E91">
            <v>1.2E-2</v>
          </cell>
          <cell r="F91">
            <v>275</v>
          </cell>
          <cell r="G91">
            <v>3.3</v>
          </cell>
          <cell r="H91" t="str">
            <v>Binding wire</v>
          </cell>
          <cell r="I91">
            <v>0.01</v>
          </cell>
          <cell r="J91" t="str">
            <v>kg</v>
          </cell>
          <cell r="K91">
            <v>91.77</v>
          </cell>
          <cell r="L91">
            <v>0.92</v>
          </cell>
        </row>
        <row r="93">
          <cell r="A93" t="str">
            <v>8.2a</v>
          </cell>
          <cell r="B93" t="str">
            <v xml:space="preserve">Centering/shuttering works, </v>
          </cell>
          <cell r="D93" t="str">
            <v>Mason</v>
          </cell>
          <cell r="E93">
            <v>0.17199999999999999</v>
          </cell>
          <cell r="F93">
            <v>400</v>
          </cell>
          <cell r="G93">
            <v>68.8</v>
          </cell>
          <cell r="H93" t="str">
            <v>Local wood</v>
          </cell>
          <cell r="I93">
            <v>5.2600000000000001E-2</v>
          </cell>
          <cell r="J93" t="str">
            <v>cu.m.</v>
          </cell>
          <cell r="K93">
            <v>26000</v>
          </cell>
          <cell r="L93">
            <v>227.93</v>
          </cell>
          <cell r="M93">
            <v>390.35</v>
          </cell>
          <cell r="N93">
            <v>58.55</v>
          </cell>
          <cell r="O93">
            <v>448.9</v>
          </cell>
        </row>
        <row r="94">
          <cell r="B94" t="str">
            <v>haulage 30m  for 1sqm.</v>
          </cell>
          <cell r="D94" t="str">
            <v>Coolies</v>
          </cell>
          <cell r="E94">
            <v>0.25700000000000001</v>
          </cell>
          <cell r="F94">
            <v>275</v>
          </cell>
          <cell r="G94">
            <v>70.680000000000007</v>
          </cell>
          <cell r="H94" t="str">
            <v>Nails</v>
          </cell>
          <cell r="I94">
            <v>0.25</v>
          </cell>
          <cell r="J94" t="str">
            <v>kg</v>
          </cell>
          <cell r="K94">
            <v>91.77</v>
          </cell>
          <cell r="L94">
            <v>22.94</v>
          </cell>
        </row>
        <row r="97">
          <cell r="A97">
            <v>9.1</v>
          </cell>
          <cell r="B97" t="str">
            <v xml:space="preserve">CGI sheet roofing work including procuring </v>
          </cell>
          <cell r="D97" t="str">
            <v>Mason</v>
          </cell>
          <cell r="E97">
            <v>0.2</v>
          </cell>
          <cell r="F97">
            <v>400</v>
          </cell>
          <cell r="G97">
            <v>80</v>
          </cell>
          <cell r="H97" t="str">
            <v>CGI sheet 24-26swg</v>
          </cell>
          <cell r="I97">
            <v>1.2</v>
          </cell>
          <cell r="J97" t="str">
            <v>sqm</v>
          </cell>
          <cell r="K97">
            <v>7475</v>
          </cell>
          <cell r="L97">
            <v>1338.81</v>
          </cell>
          <cell r="M97">
            <v>2911.45</v>
          </cell>
          <cell r="N97">
            <v>436.72</v>
          </cell>
          <cell r="O97">
            <v>3348.17</v>
          </cell>
        </row>
        <row r="98">
          <cell r="B98" t="str">
            <v>of materials for 1m2:</v>
          </cell>
          <cell r="D98" t="str">
            <v>Coolies</v>
          </cell>
          <cell r="E98">
            <v>0.25</v>
          </cell>
          <cell r="F98">
            <v>275</v>
          </cell>
          <cell r="G98">
            <v>68.75</v>
          </cell>
          <cell r="H98" t="str">
            <v>8mm nut/bolt</v>
          </cell>
          <cell r="I98">
            <v>3</v>
          </cell>
          <cell r="J98" t="str">
            <v>no</v>
          </cell>
          <cell r="K98">
            <v>14.18</v>
          </cell>
          <cell r="L98">
            <v>42.54</v>
          </cell>
        </row>
        <row r="99">
          <cell r="G99">
            <v>148.75</v>
          </cell>
          <cell r="H99" t="str">
            <v>J-hook+ bitu-washer</v>
          </cell>
          <cell r="I99">
            <v>2.5</v>
          </cell>
          <cell r="J99" t="str">
            <v>no</v>
          </cell>
          <cell r="K99">
            <v>9.4499999999999993</v>
          </cell>
          <cell r="L99">
            <v>1381.35</v>
          </cell>
        </row>
        <row r="102">
          <cell r="A102">
            <v>9.1999999999999993</v>
          </cell>
          <cell r="B102" t="str">
            <v>GI plainsheet ridge fixing work</v>
          </cell>
          <cell r="D102" t="str">
            <v>Mason</v>
          </cell>
          <cell r="E102">
            <v>0.2</v>
          </cell>
          <cell r="F102">
            <v>400</v>
          </cell>
          <cell r="G102">
            <v>80</v>
          </cell>
          <cell r="H102" t="str">
            <v>GI plainsheet 28swg</v>
          </cell>
          <cell r="I102">
            <v>1.2</v>
          </cell>
          <cell r="J102" t="str">
            <v>sqm</v>
          </cell>
          <cell r="K102">
            <v>310</v>
          </cell>
          <cell r="L102">
            <v>62</v>
          </cell>
          <cell r="M102">
            <v>267.47000000000003</v>
          </cell>
          <cell r="N102">
            <v>40.119999999999997</v>
          </cell>
          <cell r="O102">
            <v>307.58999999999997</v>
          </cell>
        </row>
        <row r="103">
          <cell r="B103" t="str">
            <v>all complete, for 1 rm.</v>
          </cell>
          <cell r="D103" t="str">
            <v>Coolies</v>
          </cell>
          <cell r="E103">
            <v>0.25</v>
          </cell>
          <cell r="F103">
            <v>275</v>
          </cell>
          <cell r="G103">
            <v>68.75</v>
          </cell>
          <cell r="H103" t="str">
            <v>8mm nut/bolt</v>
          </cell>
          <cell r="I103">
            <v>4</v>
          </cell>
          <cell r="J103" t="str">
            <v>no</v>
          </cell>
          <cell r="K103">
            <v>14.18</v>
          </cell>
          <cell r="L103">
            <v>56.72</v>
          </cell>
        </row>
        <row r="105">
          <cell r="B105" t="str">
            <v>Salwood work for doors &amp; windows:</v>
          </cell>
        </row>
        <row r="106">
          <cell r="A106" t="str">
            <v>10.1a</v>
          </cell>
          <cell r="B106" t="str">
            <v>Frames (Chaukhat ) for 1cum.</v>
          </cell>
          <cell r="D106" t="str">
            <v>Carpenter</v>
          </cell>
          <cell r="E106">
            <v>34</v>
          </cell>
          <cell r="F106">
            <v>400</v>
          </cell>
          <cell r="G106">
            <v>13600</v>
          </cell>
          <cell r="H106" t="str">
            <v>Salwood</v>
          </cell>
          <cell r="I106">
            <v>1.1000000000000001</v>
          </cell>
          <cell r="J106" t="str">
            <v>cum.</v>
          </cell>
          <cell r="K106">
            <v>81522.2</v>
          </cell>
          <cell r="L106">
            <v>89674.42</v>
          </cell>
          <cell r="M106">
            <v>106665.82</v>
          </cell>
          <cell r="N106">
            <v>15999.87</v>
          </cell>
          <cell r="O106">
            <v>122665.69</v>
          </cell>
        </row>
        <row r="107">
          <cell r="B107" t="str">
            <v>(wood size 75 x 100 mm)</v>
          </cell>
          <cell r="D107" t="str">
            <v>Laborer</v>
          </cell>
          <cell r="E107">
            <v>3.4</v>
          </cell>
          <cell r="F107">
            <v>275</v>
          </cell>
          <cell r="G107">
            <v>935</v>
          </cell>
          <cell r="H107" t="str">
            <v>Holdfast</v>
          </cell>
          <cell r="I107">
            <v>92</v>
          </cell>
          <cell r="J107" t="str">
            <v>no</v>
          </cell>
          <cell r="K107">
            <v>25</v>
          </cell>
          <cell r="L107">
            <v>2300</v>
          </cell>
        </row>
        <row r="108">
          <cell r="H108" t="str">
            <v>nails/screws</v>
          </cell>
          <cell r="I108">
            <v>184</v>
          </cell>
          <cell r="J108" t="str">
            <v>no</v>
          </cell>
          <cell r="K108">
            <v>0.85</v>
          </cell>
          <cell r="L108">
            <v>156.4</v>
          </cell>
        </row>
        <row r="110">
          <cell r="A110" t="str">
            <v>10.1b</v>
          </cell>
          <cell r="B110" t="str">
            <v>For one Frame (chaukat) of size (900x2100 mm)</v>
          </cell>
          <cell r="M110">
            <v>4079.97</v>
          </cell>
          <cell r="O110">
            <v>4691.9629999999997</v>
          </cell>
        </row>
        <row r="112">
          <cell r="A112" t="str">
            <v>10.2a</v>
          </cell>
          <cell r="B112" t="str">
            <v>Making and fixing panelled door shutter with</v>
          </cell>
          <cell r="D112" t="str">
            <v>Carpenter</v>
          </cell>
          <cell r="E112">
            <v>10</v>
          </cell>
          <cell r="F112">
            <v>400</v>
          </cell>
          <cell r="G112">
            <v>4000</v>
          </cell>
          <cell r="H112" t="str">
            <v>Salwood</v>
          </cell>
          <cell r="I112">
            <v>8.4000000000000005E-2</v>
          </cell>
          <cell r="J112" t="str">
            <v>cum.</v>
          </cell>
          <cell r="K112">
            <v>81522.2</v>
          </cell>
          <cell r="L112">
            <v>6847.86</v>
          </cell>
          <cell r="M112">
            <v>11704.29</v>
          </cell>
          <cell r="N112">
            <v>1755.64</v>
          </cell>
          <cell r="O112">
            <v>13459.93</v>
          </cell>
        </row>
        <row r="113">
          <cell r="B113" t="str">
            <v>38mm thick frame for one shutter</v>
          </cell>
          <cell r="D113" t="str">
            <v>Laborer</v>
          </cell>
          <cell r="E113">
            <v>1</v>
          </cell>
          <cell r="F113">
            <v>275</v>
          </cell>
          <cell r="G113">
            <v>275</v>
          </cell>
          <cell r="H113" t="str">
            <v xml:space="preserve"> Hinge 6"</v>
          </cell>
          <cell r="I113">
            <v>6</v>
          </cell>
          <cell r="J113" t="str">
            <v>no</v>
          </cell>
          <cell r="K113">
            <v>40</v>
          </cell>
          <cell r="L113">
            <v>240</v>
          </cell>
        </row>
        <row r="114">
          <cell r="B114" t="str">
            <v xml:space="preserve">     (Shutter size : 1.07x1.982 = 2.123 sqm)</v>
          </cell>
          <cell r="H114" t="str">
            <v xml:space="preserve"> Tower bolt 6"</v>
          </cell>
          <cell r="I114">
            <v>1</v>
          </cell>
          <cell r="J114" t="str">
            <v>no</v>
          </cell>
          <cell r="K114">
            <v>39</v>
          </cell>
          <cell r="L114">
            <v>39</v>
          </cell>
        </row>
        <row r="115">
          <cell r="H115" t="str">
            <v xml:space="preserve"> Tower bolt 12"</v>
          </cell>
          <cell r="I115">
            <v>1</v>
          </cell>
          <cell r="J115" t="str">
            <v>no</v>
          </cell>
          <cell r="K115">
            <v>52</v>
          </cell>
          <cell r="L115">
            <v>52</v>
          </cell>
        </row>
        <row r="116">
          <cell r="H116" t="str">
            <v xml:space="preserve"> Lockset 250mm</v>
          </cell>
          <cell r="I116">
            <v>1</v>
          </cell>
          <cell r="J116" t="str">
            <v>no</v>
          </cell>
          <cell r="K116">
            <v>160</v>
          </cell>
          <cell r="L116">
            <v>160</v>
          </cell>
        </row>
        <row r="117">
          <cell r="H117" t="str">
            <v xml:space="preserve"> Handle</v>
          </cell>
          <cell r="I117">
            <v>2</v>
          </cell>
          <cell r="J117" t="str">
            <v>no</v>
          </cell>
          <cell r="K117">
            <v>45</v>
          </cell>
          <cell r="L117">
            <v>90</v>
          </cell>
        </row>
        <row r="118">
          <cell r="H118" t="str">
            <v xml:space="preserve"> Screw</v>
          </cell>
          <cell r="I118">
            <v>0.5</v>
          </cell>
          <cell r="J118" t="str">
            <v>kg</v>
          </cell>
          <cell r="K118">
            <v>0.85</v>
          </cell>
          <cell r="L118">
            <v>0.43</v>
          </cell>
        </row>
        <row r="120">
          <cell r="A120" t="str">
            <v>10.2b</v>
          </cell>
          <cell r="B120" t="str">
            <v>Rate for 1 sqm.</v>
          </cell>
          <cell r="M120">
            <v>6340.05</v>
          </cell>
          <cell r="N120">
            <v>951.01</v>
          </cell>
          <cell r="O120">
            <v>7291.06</v>
          </cell>
        </row>
        <row r="122">
          <cell r="A122">
            <v>11.2</v>
          </cell>
          <cell r="B122" t="str">
            <v>3 mm thick cement punning for 1sqm.</v>
          </cell>
          <cell r="D122" t="str">
            <v>Mason</v>
          </cell>
          <cell r="E122">
            <v>0.1</v>
          </cell>
          <cell r="F122">
            <v>400</v>
          </cell>
          <cell r="G122">
            <v>40</v>
          </cell>
          <cell r="H122" t="str">
            <v>cement</v>
          </cell>
          <cell r="I122">
            <v>5.3200000000000001E-3</v>
          </cell>
          <cell r="J122" t="str">
            <v>mt</v>
          </cell>
          <cell r="K122">
            <v>12370</v>
          </cell>
          <cell r="L122">
            <v>65.81</v>
          </cell>
          <cell r="M122">
            <v>133.31</v>
          </cell>
          <cell r="N122">
            <v>20</v>
          </cell>
          <cell r="O122">
            <v>153.31</v>
          </cell>
        </row>
        <row r="123">
          <cell r="D123" t="str">
            <v>Coolies</v>
          </cell>
          <cell r="E123">
            <v>0.1</v>
          </cell>
          <cell r="F123">
            <v>275</v>
          </cell>
          <cell r="G123">
            <v>27.5</v>
          </cell>
        </row>
        <row r="125">
          <cell r="B125" t="str">
            <v>12.5 mm thick c/s plaster for  1sqm.</v>
          </cell>
        </row>
        <row r="126">
          <cell r="A126" t="str">
            <v>12.1a</v>
          </cell>
          <cell r="B126" t="str">
            <v>in (1:2)  c/s mortar</v>
          </cell>
          <cell r="D126" t="str">
            <v>Mason</v>
          </cell>
          <cell r="E126">
            <v>0.12</v>
          </cell>
          <cell r="F126">
            <v>400</v>
          </cell>
          <cell r="G126">
            <v>48</v>
          </cell>
          <cell r="H126" t="str">
            <v>cement</v>
          </cell>
          <cell r="I126">
            <v>8.9999999999999993E-3</v>
          </cell>
          <cell r="J126" t="str">
            <v>MT</v>
          </cell>
          <cell r="K126">
            <v>12370</v>
          </cell>
          <cell r="L126">
            <v>111.33</v>
          </cell>
          <cell r="M126">
            <v>230.92</v>
          </cell>
          <cell r="N126">
            <v>34.64</v>
          </cell>
          <cell r="O126">
            <v>265.56</v>
          </cell>
        </row>
        <row r="127">
          <cell r="D127" t="str">
            <v>Labor</v>
          </cell>
          <cell r="E127">
            <v>0.16</v>
          </cell>
          <cell r="F127">
            <v>275</v>
          </cell>
          <cell r="G127">
            <v>44</v>
          </cell>
          <cell r="H127" t="str">
            <v>sand</v>
          </cell>
          <cell r="I127">
            <v>1.2200000000000001E-2</v>
          </cell>
          <cell r="J127" t="str">
            <v>cu.m.</v>
          </cell>
          <cell r="K127">
            <v>2261.75</v>
          </cell>
          <cell r="L127">
            <v>27.59</v>
          </cell>
        </row>
        <row r="129">
          <cell r="A129" t="str">
            <v>12.1b</v>
          </cell>
          <cell r="B129" t="str">
            <v>in (1:3) c/s mortar</v>
          </cell>
          <cell r="D129" t="str">
            <v>Mason</v>
          </cell>
          <cell r="E129">
            <v>0.12</v>
          </cell>
          <cell r="F129">
            <v>400</v>
          </cell>
          <cell r="G129">
            <v>48</v>
          </cell>
          <cell r="H129" t="str">
            <v>cement</v>
          </cell>
          <cell r="I129">
            <v>6.1999999999999998E-3</v>
          </cell>
          <cell r="J129" t="str">
            <v>MT</v>
          </cell>
          <cell r="K129">
            <v>12370</v>
          </cell>
          <cell r="L129">
            <v>76.69</v>
          </cell>
          <cell r="M129">
            <v>197.64</v>
          </cell>
          <cell r="N129">
            <v>29.65</v>
          </cell>
          <cell r="O129">
            <v>227.29</v>
          </cell>
        </row>
        <row r="130">
          <cell r="D130" t="str">
            <v>Labor</v>
          </cell>
          <cell r="E130">
            <v>0.16</v>
          </cell>
          <cell r="F130">
            <v>275</v>
          </cell>
          <cell r="G130">
            <v>44</v>
          </cell>
          <cell r="H130" t="str">
            <v>sand</v>
          </cell>
          <cell r="I130">
            <v>1.2800000000000001E-2</v>
          </cell>
          <cell r="J130" t="str">
            <v>cu.m.</v>
          </cell>
          <cell r="K130">
            <v>2261.75</v>
          </cell>
          <cell r="L130">
            <v>28.95</v>
          </cell>
        </row>
        <row r="132">
          <cell r="A132" t="str">
            <v>12.1c</v>
          </cell>
          <cell r="B132" t="str">
            <v>in (1:4) c/s mortar</v>
          </cell>
          <cell r="D132" t="str">
            <v>Mason</v>
          </cell>
          <cell r="E132">
            <v>0.12</v>
          </cell>
          <cell r="F132">
            <v>400</v>
          </cell>
          <cell r="G132">
            <v>48</v>
          </cell>
          <cell r="H132" t="str">
            <v>cement</v>
          </cell>
          <cell r="I132">
            <v>5.3800000000000002E-3</v>
          </cell>
          <cell r="J132" t="str">
            <v>MT</v>
          </cell>
          <cell r="K132">
            <v>12370</v>
          </cell>
          <cell r="L132">
            <v>66.55</v>
          </cell>
          <cell r="M132">
            <v>191.57</v>
          </cell>
          <cell r="N132">
            <v>28.74</v>
          </cell>
          <cell r="O132">
            <v>220.31</v>
          </cell>
        </row>
        <row r="133">
          <cell r="D133" t="str">
            <v>Labor</v>
          </cell>
          <cell r="E133">
            <v>0.16</v>
          </cell>
          <cell r="F133">
            <v>275</v>
          </cell>
          <cell r="G133">
            <v>44</v>
          </cell>
          <cell r="H133" t="str">
            <v>sand</v>
          </cell>
          <cell r="I133">
            <v>1.46E-2</v>
          </cell>
          <cell r="J133" t="str">
            <v>cu.m.</v>
          </cell>
          <cell r="K133">
            <v>2261.75</v>
          </cell>
          <cell r="L133">
            <v>33.020000000000003</v>
          </cell>
        </row>
        <row r="135">
          <cell r="B135" t="str">
            <v>20 mm thick c/s plaster for 1sqm.</v>
          </cell>
        </row>
        <row r="136">
          <cell r="A136" t="str">
            <v>12.4a1</v>
          </cell>
          <cell r="B136" t="str">
            <v>in (1:3) c/s mortar</v>
          </cell>
          <cell r="D136" t="str">
            <v>Mason</v>
          </cell>
          <cell r="E136">
            <v>0.14000000000000001</v>
          </cell>
          <cell r="F136">
            <v>400</v>
          </cell>
          <cell r="G136">
            <v>56</v>
          </cell>
          <cell r="H136" t="str">
            <v>cement</v>
          </cell>
          <cell r="I136">
            <v>9.5999999999999992E-3</v>
          </cell>
          <cell r="J136" t="str">
            <v>MT</v>
          </cell>
          <cell r="K136">
            <v>12370</v>
          </cell>
          <cell r="L136">
            <v>118.75</v>
          </cell>
          <cell r="M136">
            <v>271.10000000000002</v>
          </cell>
          <cell r="N136">
            <v>40.67</v>
          </cell>
          <cell r="O136">
            <v>311.77</v>
          </cell>
        </row>
        <row r="137">
          <cell r="D137" t="str">
            <v>Labor</v>
          </cell>
          <cell r="E137">
            <v>0.19</v>
          </cell>
          <cell r="F137">
            <v>275</v>
          </cell>
          <cell r="G137">
            <v>52.25</v>
          </cell>
          <cell r="H137" t="str">
            <v>sand</v>
          </cell>
          <cell r="I137">
            <v>1.95E-2</v>
          </cell>
          <cell r="J137" t="str">
            <v>cu.m.</v>
          </cell>
          <cell r="K137">
            <v>2261.75</v>
          </cell>
          <cell r="L137">
            <v>44.1</v>
          </cell>
        </row>
        <row r="139">
          <cell r="A139" t="str">
            <v>12.4a2</v>
          </cell>
          <cell r="B139" t="str">
            <v>in (1:3) c/s mortar with 2% WPC</v>
          </cell>
          <cell r="D139" t="str">
            <v>Mason</v>
          </cell>
          <cell r="E139">
            <v>0.14000000000000001</v>
          </cell>
          <cell r="F139">
            <v>400</v>
          </cell>
          <cell r="G139">
            <v>56</v>
          </cell>
          <cell r="H139" t="str">
            <v>cement</v>
          </cell>
          <cell r="I139">
            <v>9.5999999999999992E-3</v>
          </cell>
          <cell r="J139" t="str">
            <v>MT</v>
          </cell>
          <cell r="K139">
            <v>12370</v>
          </cell>
          <cell r="L139">
            <v>118.75</v>
          </cell>
          <cell r="M139">
            <v>281.10000000000002</v>
          </cell>
          <cell r="N139">
            <v>42.17</v>
          </cell>
          <cell r="O139">
            <v>323.27</v>
          </cell>
        </row>
        <row r="140">
          <cell r="D140" t="str">
            <v>Labor</v>
          </cell>
          <cell r="E140">
            <v>0.19</v>
          </cell>
          <cell r="F140">
            <v>275</v>
          </cell>
          <cell r="G140">
            <v>52.25</v>
          </cell>
          <cell r="H140" t="str">
            <v>sand</v>
          </cell>
          <cell r="I140">
            <v>1.95E-2</v>
          </cell>
          <cell r="J140" t="str">
            <v>cu.m.</v>
          </cell>
          <cell r="K140">
            <v>2261.75</v>
          </cell>
          <cell r="L140">
            <v>44.1</v>
          </cell>
        </row>
        <row r="141">
          <cell r="H141" t="str">
            <v>WPC</v>
          </cell>
          <cell r="I141">
            <v>0.2</v>
          </cell>
          <cell r="J141" t="str">
            <v>kg</v>
          </cell>
          <cell r="K141">
            <v>50</v>
          </cell>
          <cell r="L141">
            <v>10</v>
          </cell>
        </row>
        <row r="143">
          <cell r="A143" t="str">
            <v>12.4b</v>
          </cell>
          <cell r="B143" t="str">
            <v>in (1:4) c/s mortar</v>
          </cell>
          <cell r="D143" t="str">
            <v>Mason</v>
          </cell>
          <cell r="E143">
            <v>0.14000000000000001</v>
          </cell>
          <cell r="F143">
            <v>400</v>
          </cell>
          <cell r="G143">
            <v>56</v>
          </cell>
          <cell r="H143" t="str">
            <v>cement</v>
          </cell>
          <cell r="I143">
            <v>8.0999999999999996E-3</v>
          </cell>
          <cell r="J143" t="str">
            <v>MT</v>
          </cell>
          <cell r="K143">
            <v>12370</v>
          </cell>
          <cell r="L143">
            <v>100.2</v>
          </cell>
          <cell r="M143">
            <v>258.20999999999998</v>
          </cell>
          <cell r="N143">
            <v>38.729999999999997</v>
          </cell>
          <cell r="O143">
            <v>296.94</v>
          </cell>
        </row>
        <row r="144">
          <cell r="D144" t="str">
            <v>Labor</v>
          </cell>
          <cell r="E144">
            <v>0.19</v>
          </cell>
          <cell r="F144">
            <v>275</v>
          </cell>
          <cell r="G144">
            <v>52.25</v>
          </cell>
          <cell r="H144" t="str">
            <v>sand</v>
          </cell>
          <cell r="I144">
            <v>2.1999999999999999E-2</v>
          </cell>
          <cell r="J144" t="str">
            <v>cu.m.</v>
          </cell>
          <cell r="K144">
            <v>2261.75</v>
          </cell>
          <cell r="L144">
            <v>49.76</v>
          </cell>
        </row>
        <row r="146">
          <cell r="A146" t="str">
            <v>12.4c</v>
          </cell>
          <cell r="B146" t="str">
            <v>in (1:6) c/s mortar</v>
          </cell>
          <cell r="D146" t="str">
            <v>Mason</v>
          </cell>
          <cell r="E146">
            <v>0.14000000000000001</v>
          </cell>
          <cell r="F146">
            <v>400</v>
          </cell>
          <cell r="G146">
            <v>56</v>
          </cell>
          <cell r="H146" t="str">
            <v>cement</v>
          </cell>
          <cell r="I146">
            <v>5.7000000000000002E-3</v>
          </cell>
          <cell r="J146" t="str">
            <v>MT</v>
          </cell>
          <cell r="K146">
            <v>12370</v>
          </cell>
          <cell r="L146">
            <v>70.510000000000005</v>
          </cell>
          <cell r="M146">
            <v>231.91</v>
          </cell>
          <cell r="N146">
            <v>34.79</v>
          </cell>
          <cell r="O146">
            <v>266.7</v>
          </cell>
        </row>
        <row r="147">
          <cell r="D147" t="str">
            <v>Labor</v>
          </cell>
          <cell r="E147">
            <v>0.19</v>
          </cell>
          <cell r="F147">
            <v>275</v>
          </cell>
          <cell r="G147">
            <v>52.25</v>
          </cell>
          <cell r="H147" t="str">
            <v>sand</v>
          </cell>
          <cell r="I147">
            <v>2.35E-2</v>
          </cell>
          <cell r="J147" t="str">
            <v>cu.m.</v>
          </cell>
          <cell r="K147">
            <v>2261.75</v>
          </cell>
          <cell r="L147">
            <v>53.15</v>
          </cell>
        </row>
        <row r="149">
          <cell r="B149" t="str">
            <v>Cement (snowcem) paint for 1sqm.</v>
          </cell>
        </row>
        <row r="150">
          <cell r="A150" t="str">
            <v>13.4a</v>
          </cell>
          <cell r="B150" t="str">
            <v>a) Single coat</v>
          </cell>
          <cell r="D150" t="str">
            <v>Painter</v>
          </cell>
          <cell r="E150">
            <v>1.7000000000000001E-2</v>
          </cell>
          <cell r="F150">
            <v>400</v>
          </cell>
          <cell r="G150">
            <v>6.8</v>
          </cell>
          <cell r="H150" t="str">
            <v>snowcem</v>
          </cell>
          <cell r="I150">
            <v>0.3</v>
          </cell>
          <cell r="J150" t="str">
            <v>kg</v>
          </cell>
          <cell r="K150">
            <v>61.77</v>
          </cell>
          <cell r="L150">
            <v>18.53</v>
          </cell>
          <cell r="M150">
            <v>30.01</v>
          </cell>
          <cell r="N150">
            <v>4.5</v>
          </cell>
          <cell r="O150">
            <v>34.51</v>
          </cell>
        </row>
        <row r="151">
          <cell r="D151" t="str">
            <v>Helper</v>
          </cell>
          <cell r="E151">
            <v>1.7000000000000001E-2</v>
          </cell>
          <cell r="F151">
            <v>275</v>
          </cell>
          <cell r="G151">
            <v>4.68</v>
          </cell>
        </row>
        <row r="153">
          <cell r="A153" t="str">
            <v>13.4b</v>
          </cell>
          <cell r="B153" t="str">
            <v>b) Double coat</v>
          </cell>
          <cell r="D153" t="str">
            <v>Painter</v>
          </cell>
          <cell r="E153">
            <v>0.05</v>
          </cell>
          <cell r="F153">
            <v>400</v>
          </cell>
          <cell r="G153">
            <v>20</v>
          </cell>
          <cell r="H153" t="str">
            <v>snowcem</v>
          </cell>
          <cell r="I153">
            <v>0.48499999999999999</v>
          </cell>
          <cell r="J153" t="str">
            <v>kg</v>
          </cell>
          <cell r="K153">
            <v>61.77</v>
          </cell>
          <cell r="L153">
            <v>29.96</v>
          </cell>
          <cell r="M153">
            <v>63.71</v>
          </cell>
          <cell r="N153">
            <v>9.56</v>
          </cell>
          <cell r="O153">
            <v>73.27</v>
          </cell>
        </row>
        <row r="154">
          <cell r="D154" t="str">
            <v>Helper</v>
          </cell>
          <cell r="E154">
            <v>0.05</v>
          </cell>
          <cell r="F154">
            <v>275</v>
          </cell>
          <cell r="G154">
            <v>13.75</v>
          </cell>
        </row>
        <row r="156">
          <cell r="B156" t="str">
            <v>Readymade enamel paint work for 1sqm.</v>
          </cell>
        </row>
        <row r="157">
          <cell r="A157" t="str">
            <v>13.5a</v>
          </cell>
          <cell r="B157" t="str">
            <v>a) Primer coat</v>
          </cell>
          <cell r="D157" t="str">
            <v>Painter</v>
          </cell>
          <cell r="E157">
            <v>0.03</v>
          </cell>
          <cell r="F157">
            <v>400</v>
          </cell>
          <cell r="G157">
            <v>12</v>
          </cell>
          <cell r="H157" t="str">
            <v>Primer</v>
          </cell>
          <cell r="I157">
            <v>8.1000000000000003E-2</v>
          </cell>
          <cell r="J157" t="str">
            <v>ltr</v>
          </cell>
          <cell r="K157">
            <v>289.12</v>
          </cell>
          <cell r="L157">
            <v>23.42</v>
          </cell>
          <cell r="M157">
            <v>43.67</v>
          </cell>
          <cell r="N157">
            <v>6.55</v>
          </cell>
          <cell r="O157">
            <v>50.22</v>
          </cell>
        </row>
        <row r="158">
          <cell r="D158" t="str">
            <v>Labor</v>
          </cell>
          <cell r="E158">
            <v>0.03</v>
          </cell>
          <cell r="F158">
            <v>275</v>
          </cell>
          <cell r="G158">
            <v>8.25</v>
          </cell>
        </row>
        <row r="160">
          <cell r="A160" t="str">
            <v>13.5b</v>
          </cell>
          <cell r="B160" t="str">
            <v>b) Single (first coat)</v>
          </cell>
          <cell r="D160" t="str">
            <v>Painter</v>
          </cell>
          <cell r="E160">
            <v>0.05</v>
          </cell>
          <cell r="F160">
            <v>400</v>
          </cell>
          <cell r="G160">
            <v>20</v>
          </cell>
          <cell r="H160" t="str">
            <v>Enamel</v>
          </cell>
          <cell r="I160">
            <v>0.09</v>
          </cell>
          <cell r="J160" t="str">
            <v>ltr</v>
          </cell>
          <cell r="K160">
            <v>344.12</v>
          </cell>
          <cell r="L160">
            <v>30.97</v>
          </cell>
          <cell r="M160">
            <v>56.47</v>
          </cell>
          <cell r="N160">
            <v>8.4700000000000006</v>
          </cell>
          <cell r="O160">
            <v>64.94</v>
          </cell>
        </row>
        <row r="161">
          <cell r="D161" t="str">
            <v>Helper</v>
          </cell>
          <cell r="E161">
            <v>0.02</v>
          </cell>
          <cell r="F161">
            <v>275</v>
          </cell>
          <cell r="G161">
            <v>5.5</v>
          </cell>
        </row>
        <row r="163">
          <cell r="A163" t="str">
            <v>13.5c</v>
          </cell>
          <cell r="B163" t="str">
            <v>c) Second  coat</v>
          </cell>
          <cell r="D163" t="str">
            <v>Painter</v>
          </cell>
          <cell r="E163">
            <v>0.04</v>
          </cell>
          <cell r="F163">
            <v>400</v>
          </cell>
          <cell r="G163">
            <v>16</v>
          </cell>
          <cell r="H163" t="str">
            <v>Enamel</v>
          </cell>
          <cell r="I163">
            <v>7.0000000000000007E-2</v>
          </cell>
          <cell r="J163" t="str">
            <v>ltr</v>
          </cell>
          <cell r="K163">
            <v>344.12</v>
          </cell>
          <cell r="L163">
            <v>24.09</v>
          </cell>
          <cell r="M163">
            <v>48.34</v>
          </cell>
          <cell r="N163">
            <v>7.25</v>
          </cell>
          <cell r="O163">
            <v>55.59</v>
          </cell>
        </row>
        <row r="164">
          <cell r="D164" t="str">
            <v>Helper</v>
          </cell>
          <cell r="E164">
            <v>0.03</v>
          </cell>
          <cell r="F164">
            <v>275</v>
          </cell>
          <cell r="G164">
            <v>8.25</v>
          </cell>
        </row>
        <row r="165">
          <cell r="B165" t="str">
            <v>Flushrule pointing on RR Masonry wall for 1sqm.</v>
          </cell>
        </row>
        <row r="166">
          <cell r="A166" t="str">
            <v>14.2a</v>
          </cell>
          <cell r="B166" t="str">
            <v>in (1:1) c/s mortar</v>
          </cell>
          <cell r="D166" t="str">
            <v>Mason</v>
          </cell>
          <cell r="E166">
            <v>0.1</v>
          </cell>
          <cell r="F166">
            <v>400</v>
          </cell>
          <cell r="G166">
            <v>40</v>
          </cell>
          <cell r="H166" t="str">
            <v>cement</v>
          </cell>
          <cell r="I166">
            <v>6.0000000000000001E-3</v>
          </cell>
          <cell r="J166" t="str">
            <v>mt</v>
          </cell>
          <cell r="K166">
            <v>12370</v>
          </cell>
          <cell r="L166">
            <v>74.22</v>
          </cell>
          <cell r="M166">
            <v>161.77000000000001</v>
          </cell>
          <cell r="N166">
            <v>24.27</v>
          </cell>
          <cell r="O166">
            <v>186.04</v>
          </cell>
        </row>
        <row r="167">
          <cell r="D167" t="str">
            <v>Labor</v>
          </cell>
          <cell r="E167">
            <v>0.14000000000000001</v>
          </cell>
          <cell r="F167">
            <v>275</v>
          </cell>
          <cell r="G167">
            <v>38.5</v>
          </cell>
          <cell r="H167" t="str">
            <v>sand</v>
          </cell>
          <cell r="I167">
            <v>4.0000000000000001E-3</v>
          </cell>
          <cell r="J167" t="str">
            <v>cu.m.</v>
          </cell>
          <cell r="K167">
            <v>2261.75</v>
          </cell>
          <cell r="L167">
            <v>9.0500000000000007</v>
          </cell>
        </row>
        <row r="169">
          <cell r="A169" t="str">
            <v>14.2b</v>
          </cell>
          <cell r="B169" t="str">
            <v>in (1:2) c/s mortar</v>
          </cell>
          <cell r="D169" t="str">
            <v>Mason</v>
          </cell>
          <cell r="E169">
            <v>0.1</v>
          </cell>
          <cell r="F169">
            <v>400</v>
          </cell>
          <cell r="G169">
            <v>40</v>
          </cell>
          <cell r="H169" t="str">
            <v>cement</v>
          </cell>
          <cell r="I169">
            <v>4.0000000000000001E-3</v>
          </cell>
          <cell r="J169" t="str">
            <v>mt</v>
          </cell>
          <cell r="K169">
            <v>12370</v>
          </cell>
          <cell r="L169">
            <v>49.48</v>
          </cell>
          <cell r="M169">
            <v>141.55000000000001</v>
          </cell>
          <cell r="N169">
            <v>21.23</v>
          </cell>
          <cell r="O169">
            <v>162.78</v>
          </cell>
        </row>
        <row r="170">
          <cell r="D170" t="str">
            <v>Labor</v>
          </cell>
          <cell r="E170">
            <v>0.14000000000000001</v>
          </cell>
          <cell r="F170">
            <v>275</v>
          </cell>
          <cell r="G170">
            <v>38.5</v>
          </cell>
          <cell r="H170" t="str">
            <v>sand</v>
          </cell>
          <cell r="I170">
            <v>6.0000000000000001E-3</v>
          </cell>
          <cell r="J170" t="str">
            <v>cu.m.</v>
          </cell>
          <cell r="K170">
            <v>2261.75</v>
          </cell>
          <cell r="L170">
            <v>13.57</v>
          </cell>
        </row>
        <row r="172">
          <cell r="A172" t="str">
            <v>14.2c</v>
          </cell>
          <cell r="B172" t="str">
            <v>in (1:3) c/s mortar</v>
          </cell>
          <cell r="D172" t="str">
            <v>Mason</v>
          </cell>
          <cell r="E172">
            <v>0.1</v>
          </cell>
          <cell r="F172">
            <v>400</v>
          </cell>
          <cell r="G172">
            <v>40</v>
          </cell>
          <cell r="H172" t="str">
            <v>cement</v>
          </cell>
          <cell r="I172">
            <v>3.0000000000000001E-3</v>
          </cell>
          <cell r="J172" t="str">
            <v>mt</v>
          </cell>
          <cell r="K172">
            <v>12370</v>
          </cell>
          <cell r="L172">
            <v>37.11</v>
          </cell>
          <cell r="M172">
            <v>129.18</v>
          </cell>
          <cell r="N172">
            <v>19.38</v>
          </cell>
          <cell r="O172">
            <v>148.56</v>
          </cell>
        </row>
        <row r="173">
          <cell r="D173" t="str">
            <v>Labor</v>
          </cell>
          <cell r="E173">
            <v>0.14000000000000001</v>
          </cell>
          <cell r="F173">
            <v>275</v>
          </cell>
          <cell r="G173">
            <v>38.5</v>
          </cell>
          <cell r="H173" t="str">
            <v>sand</v>
          </cell>
          <cell r="I173">
            <v>6.0000000000000001E-3</v>
          </cell>
          <cell r="J173" t="str">
            <v>cu.m.</v>
          </cell>
          <cell r="K173">
            <v>2261.75</v>
          </cell>
          <cell r="L173">
            <v>13.57</v>
          </cell>
        </row>
        <row r="175">
          <cell r="A175" t="str">
            <v>16.1b</v>
          </cell>
          <cell r="B175" t="str">
            <v>Gabion making incl. cutting, netting hexagonal</v>
          </cell>
          <cell r="D175" t="str">
            <v>Skilled</v>
          </cell>
          <cell r="E175">
            <v>0.7</v>
          </cell>
          <cell r="F175">
            <v>400</v>
          </cell>
          <cell r="G175">
            <v>280</v>
          </cell>
          <cell r="H175" t="str">
            <v>GI wire 10 swg</v>
          </cell>
          <cell r="I175">
            <v>41.3</v>
          </cell>
          <cell r="J175" t="str">
            <v>kg</v>
          </cell>
          <cell r="K175">
            <v>88.77</v>
          </cell>
          <cell r="L175">
            <v>3666.2</v>
          </cell>
          <cell r="M175">
            <v>4387.16</v>
          </cell>
          <cell r="N175">
            <v>658.07</v>
          </cell>
          <cell r="O175">
            <v>5045.2299999999996</v>
          </cell>
        </row>
        <row r="176">
          <cell r="B176" t="str">
            <v>mesh size 80x100mm using mesh wire 10swg,</v>
          </cell>
          <cell r="D176" t="str">
            <v>Unskilled</v>
          </cell>
          <cell r="E176">
            <v>0.28000000000000003</v>
          </cell>
          <cell r="F176">
            <v>275</v>
          </cell>
          <cell r="G176">
            <v>77</v>
          </cell>
          <cell r="H176" t="str">
            <v>Selvage wire 7 swg</v>
          </cell>
          <cell r="I176">
            <v>4.0999999999999996</v>
          </cell>
          <cell r="J176" t="str">
            <v>kg</v>
          </cell>
          <cell r="K176">
            <v>88.77</v>
          </cell>
          <cell r="L176">
            <v>363.96</v>
          </cell>
        </row>
        <row r="177">
          <cell r="B177" t="str">
            <v>selvage wire 7 swg for box size (3x1x1)m</v>
          </cell>
        </row>
        <row r="179">
          <cell r="A179" t="str">
            <v>16.6b</v>
          </cell>
          <cell r="B179" t="str">
            <v>Gabion box placing, stretching, binding &amp;</v>
          </cell>
          <cell r="D179" t="str">
            <v>Unskilled</v>
          </cell>
          <cell r="E179">
            <v>0.6</v>
          </cell>
          <cell r="F179">
            <v>275</v>
          </cell>
          <cell r="G179">
            <v>165</v>
          </cell>
          <cell r="H179" t="str">
            <v>GI plain wire 12 swg</v>
          </cell>
          <cell r="I179">
            <v>1.3</v>
          </cell>
          <cell r="J179" t="str">
            <v>kg</v>
          </cell>
          <cell r="K179">
            <v>88.77</v>
          </cell>
          <cell r="L179">
            <v>115.4</v>
          </cell>
          <cell r="M179">
            <v>280.39999999999998</v>
          </cell>
          <cell r="N179">
            <v>42.06</v>
          </cell>
          <cell r="O179">
            <v>322.45999999999998</v>
          </cell>
        </row>
        <row r="180">
          <cell r="B180" t="str">
            <v>closing from top for box size (3x1x1)</v>
          </cell>
        </row>
        <row r="182">
          <cell r="A182">
            <v>16.11</v>
          </cell>
          <cell r="B182" t="str">
            <v>Stone filling in gabion box for 1cum.</v>
          </cell>
          <cell r="D182" t="str">
            <v>Unskilled</v>
          </cell>
          <cell r="E182">
            <v>0.5</v>
          </cell>
          <cell r="F182">
            <v>275</v>
          </cell>
          <cell r="G182">
            <v>137.5</v>
          </cell>
          <cell r="H182" t="str">
            <v>Boulder stone</v>
          </cell>
          <cell r="I182">
            <v>1</v>
          </cell>
          <cell r="J182" t="str">
            <v>cum</v>
          </cell>
          <cell r="K182">
            <v>1155</v>
          </cell>
          <cell r="L182">
            <v>1155</v>
          </cell>
          <cell r="M182">
            <v>1292.5</v>
          </cell>
          <cell r="N182">
            <v>193.88</v>
          </cell>
          <cell r="O182">
            <v>1486.38</v>
          </cell>
        </row>
        <row r="184">
          <cell r="B184" t="str">
            <v>Laying and jointing (butweld) of HDPE pipes</v>
          </cell>
        </row>
        <row r="185">
          <cell r="B185" t="str">
            <v>for 1 m length</v>
          </cell>
        </row>
        <row r="186">
          <cell r="A186" t="str">
            <v>17.2a</v>
          </cell>
          <cell r="B186" t="str">
            <v>20 mm 25 mm OD. Pipe</v>
          </cell>
          <cell r="D186" t="str">
            <v>Plumber</v>
          </cell>
          <cell r="E186">
            <v>1E-3</v>
          </cell>
          <cell r="F186">
            <v>400</v>
          </cell>
          <cell r="G186">
            <v>0.4</v>
          </cell>
          <cell r="H186" t="str">
            <v xml:space="preserve"> Tools</v>
          </cell>
          <cell r="I186">
            <v>1E-3</v>
          </cell>
          <cell r="J186" t="str">
            <v>day</v>
          </cell>
          <cell r="K186">
            <v>50</v>
          </cell>
          <cell r="L186">
            <v>0.05</v>
          </cell>
          <cell r="M186">
            <v>1.34</v>
          </cell>
          <cell r="N186">
            <v>0.2</v>
          </cell>
          <cell r="O186">
            <v>1.54</v>
          </cell>
        </row>
        <row r="187">
          <cell r="D187" t="str">
            <v>Helper</v>
          </cell>
          <cell r="E187">
            <v>1E-3</v>
          </cell>
          <cell r="F187">
            <v>275</v>
          </cell>
          <cell r="G187">
            <v>0.28000000000000003</v>
          </cell>
          <cell r="H187" t="str">
            <v>fuel</v>
          </cell>
          <cell r="I187">
            <v>2.5000000000000001E-4</v>
          </cell>
          <cell r="J187" t="str">
            <v>ltr</v>
          </cell>
          <cell r="K187">
            <v>106.42</v>
          </cell>
          <cell r="L187">
            <v>0.03</v>
          </cell>
        </row>
        <row r="188">
          <cell r="D188" t="str">
            <v>Labour</v>
          </cell>
          <cell r="E188">
            <v>2E-3</v>
          </cell>
          <cell r="F188">
            <v>275</v>
          </cell>
          <cell r="G188">
            <v>0.55000000000000004</v>
          </cell>
          <cell r="H188" t="str">
            <v>Miscel. Expenses</v>
          </cell>
          <cell r="I188" t="str">
            <v>2.5% of lab</v>
          </cell>
          <cell r="L188">
            <v>0.03</v>
          </cell>
        </row>
        <row r="189">
          <cell r="G189">
            <v>1.23</v>
          </cell>
        </row>
        <row r="191">
          <cell r="A191" t="str">
            <v>17.2b</v>
          </cell>
          <cell r="B191" t="str">
            <v>32 mm OD Pipe</v>
          </cell>
          <cell r="D191" t="str">
            <v>Plumber</v>
          </cell>
          <cell r="E191">
            <v>1E-3</v>
          </cell>
          <cell r="F191">
            <v>400</v>
          </cell>
          <cell r="G191">
            <v>0.4</v>
          </cell>
          <cell r="H191" t="str">
            <v xml:space="preserve"> Tools</v>
          </cell>
          <cell r="I191">
            <v>1E-3</v>
          </cell>
          <cell r="J191" t="str">
            <v>day</v>
          </cell>
          <cell r="K191">
            <v>50</v>
          </cell>
          <cell r="L191">
            <v>0.05</v>
          </cell>
          <cell r="M191">
            <v>1.63</v>
          </cell>
          <cell r="N191">
            <v>0.24</v>
          </cell>
          <cell r="O191">
            <v>1.87</v>
          </cell>
        </row>
        <row r="192">
          <cell r="D192" t="str">
            <v>Helper</v>
          </cell>
          <cell r="E192">
            <v>1E-3</v>
          </cell>
          <cell r="F192">
            <v>275</v>
          </cell>
          <cell r="G192">
            <v>0.28000000000000003</v>
          </cell>
          <cell r="H192" t="str">
            <v>fuel</v>
          </cell>
          <cell r="I192">
            <v>2.9999999999999997E-4</v>
          </cell>
          <cell r="J192" t="str">
            <v>ltr</v>
          </cell>
          <cell r="K192">
            <v>106.42</v>
          </cell>
          <cell r="L192">
            <v>0.03</v>
          </cell>
        </row>
        <row r="193">
          <cell r="D193" t="str">
            <v>Labour</v>
          </cell>
          <cell r="E193">
            <v>3.0000000000000001E-3</v>
          </cell>
          <cell r="F193">
            <v>275</v>
          </cell>
          <cell r="G193">
            <v>0.83</v>
          </cell>
          <cell r="H193" t="str">
            <v>Miscel. Expenses</v>
          </cell>
          <cell r="I193" t="str">
            <v>2.5% of lab</v>
          </cell>
          <cell r="L193">
            <v>0.04</v>
          </cell>
        </row>
        <row r="194">
          <cell r="G194">
            <v>1.51</v>
          </cell>
        </row>
        <row r="195">
          <cell r="A195" t="str">
            <v>17.2c</v>
          </cell>
          <cell r="B195" t="str">
            <v>40 &amp; 50 mm OD Pipe</v>
          </cell>
          <cell r="D195" t="str">
            <v>Plumber</v>
          </cell>
          <cell r="E195">
            <v>2E-3</v>
          </cell>
          <cell r="F195">
            <v>400</v>
          </cell>
          <cell r="G195">
            <v>0.8</v>
          </cell>
          <cell r="H195" t="str">
            <v xml:space="preserve"> Tools</v>
          </cell>
          <cell r="I195">
            <v>1E-3</v>
          </cell>
          <cell r="J195" t="str">
            <v>day</v>
          </cell>
          <cell r="K195">
            <v>50</v>
          </cell>
          <cell r="L195">
            <v>0.05</v>
          </cell>
          <cell r="M195">
            <v>2.3199999999999998</v>
          </cell>
          <cell r="N195">
            <v>0.35</v>
          </cell>
          <cell r="O195">
            <v>2.67</v>
          </cell>
        </row>
        <row r="196">
          <cell r="D196" t="str">
            <v>Helper</v>
          </cell>
          <cell r="E196">
            <v>2E-3</v>
          </cell>
          <cell r="F196">
            <v>275</v>
          </cell>
          <cell r="G196">
            <v>0.55000000000000004</v>
          </cell>
          <cell r="H196" t="str">
            <v>fuel</v>
          </cell>
          <cell r="I196">
            <v>4.0000000000000002E-4</v>
          </cell>
          <cell r="J196" t="str">
            <v>ltr</v>
          </cell>
          <cell r="K196">
            <v>106.42</v>
          </cell>
          <cell r="L196">
            <v>0.04</v>
          </cell>
        </row>
        <row r="197">
          <cell r="D197" t="str">
            <v>Labour</v>
          </cell>
          <cell r="E197">
            <v>3.0000000000000001E-3</v>
          </cell>
          <cell r="F197">
            <v>275</v>
          </cell>
          <cell r="G197">
            <v>0.83</v>
          </cell>
          <cell r="H197" t="str">
            <v>Miscel. Expenses</v>
          </cell>
          <cell r="I197" t="str">
            <v>2.5% of lab</v>
          </cell>
          <cell r="L197">
            <v>0.05</v>
          </cell>
        </row>
        <row r="198">
          <cell r="G198">
            <v>2.1800000000000002</v>
          </cell>
        </row>
        <row r="200">
          <cell r="A200" t="str">
            <v>17.2d</v>
          </cell>
          <cell r="B200" t="str">
            <v>63-90mm OD Pipe</v>
          </cell>
          <cell r="D200" t="str">
            <v>Plumber</v>
          </cell>
          <cell r="E200">
            <v>0.02</v>
          </cell>
          <cell r="F200">
            <v>400</v>
          </cell>
          <cell r="G200">
            <v>8</v>
          </cell>
          <cell r="H200" t="str">
            <v xml:space="preserve"> Tools</v>
          </cell>
          <cell r="I200">
            <v>0.01</v>
          </cell>
          <cell r="J200" t="str">
            <v>day</v>
          </cell>
          <cell r="K200">
            <v>50</v>
          </cell>
          <cell r="L200">
            <v>0.5</v>
          </cell>
          <cell r="M200">
            <v>26.67</v>
          </cell>
          <cell r="N200">
            <v>4</v>
          </cell>
          <cell r="O200">
            <v>30.67</v>
          </cell>
        </row>
        <row r="201">
          <cell r="D201" t="str">
            <v>Helper</v>
          </cell>
          <cell r="E201">
            <v>0.02</v>
          </cell>
          <cell r="F201">
            <v>275</v>
          </cell>
          <cell r="G201">
            <v>5.5</v>
          </cell>
          <cell r="H201" t="str">
            <v>fuel</v>
          </cell>
          <cell r="I201">
            <v>0.01</v>
          </cell>
          <cell r="J201" t="str">
            <v>ltr</v>
          </cell>
          <cell r="K201">
            <v>106.42</v>
          </cell>
          <cell r="L201">
            <v>1.06</v>
          </cell>
        </row>
        <row r="202">
          <cell r="D202" t="str">
            <v>Labour</v>
          </cell>
          <cell r="E202">
            <v>0.04</v>
          </cell>
          <cell r="F202">
            <v>275</v>
          </cell>
          <cell r="G202">
            <v>11</v>
          </cell>
          <cell r="H202" t="str">
            <v>Miscel. Expenses</v>
          </cell>
          <cell r="I202" t="str">
            <v>2.5% of lab</v>
          </cell>
          <cell r="L202">
            <v>0.61</v>
          </cell>
        </row>
        <row r="203">
          <cell r="G203">
            <v>24.5</v>
          </cell>
        </row>
        <row r="205">
          <cell r="A205" t="str">
            <v>17.2e</v>
          </cell>
          <cell r="B205" t="str">
            <v>110-125 mm OD Pipe</v>
          </cell>
          <cell r="D205" t="str">
            <v>Plumber</v>
          </cell>
          <cell r="E205">
            <v>0.03</v>
          </cell>
          <cell r="F205">
            <v>400</v>
          </cell>
          <cell r="G205">
            <v>12</v>
          </cell>
          <cell r="H205" t="str">
            <v xml:space="preserve"> Tools</v>
          </cell>
          <cell r="I205">
            <v>0.02</v>
          </cell>
          <cell r="J205" t="str">
            <v>day</v>
          </cell>
          <cell r="K205">
            <v>50</v>
          </cell>
          <cell r="L205">
            <v>1</v>
          </cell>
          <cell r="M205">
            <v>39.729999999999997</v>
          </cell>
          <cell r="N205">
            <v>5.96</v>
          </cell>
          <cell r="O205">
            <v>45.69</v>
          </cell>
        </row>
        <row r="206">
          <cell r="D206" t="str">
            <v>Helper</v>
          </cell>
          <cell r="E206">
            <v>0.03</v>
          </cell>
          <cell r="F206">
            <v>275</v>
          </cell>
          <cell r="G206">
            <v>8.25</v>
          </cell>
          <cell r="H206" t="str">
            <v>fuel</v>
          </cell>
          <cell r="I206">
            <v>0.01</v>
          </cell>
          <cell r="J206" t="str">
            <v>ltr</v>
          </cell>
          <cell r="K206">
            <v>106.42</v>
          </cell>
          <cell r="L206">
            <v>1.06</v>
          </cell>
        </row>
        <row r="207">
          <cell r="D207" t="str">
            <v>Labour</v>
          </cell>
          <cell r="E207">
            <v>0.06</v>
          </cell>
          <cell r="F207">
            <v>275</v>
          </cell>
          <cell r="G207">
            <v>16.5</v>
          </cell>
          <cell r="H207" t="str">
            <v>Miscel. Expenses</v>
          </cell>
          <cell r="I207" t="str">
            <v>2.5% of lab</v>
          </cell>
          <cell r="L207">
            <v>0.92</v>
          </cell>
        </row>
        <row r="209">
          <cell r="A209" t="str">
            <v>17.2f</v>
          </cell>
          <cell r="B209" t="str">
            <v>140-180 mm OD Pipe</v>
          </cell>
          <cell r="D209" t="str">
            <v>Plumber</v>
          </cell>
          <cell r="E209">
            <v>0.04</v>
          </cell>
          <cell r="F209">
            <v>400</v>
          </cell>
          <cell r="G209">
            <v>16</v>
          </cell>
          <cell r="H209" t="str">
            <v xml:space="preserve"> Tools</v>
          </cell>
          <cell r="I209">
            <v>0.05</v>
          </cell>
          <cell r="J209" t="str">
            <v>day</v>
          </cell>
          <cell r="K209">
            <v>50</v>
          </cell>
          <cell r="L209">
            <v>2.5</v>
          </cell>
          <cell r="M209">
            <v>54.86</v>
          </cell>
          <cell r="N209">
            <v>8.23</v>
          </cell>
          <cell r="O209">
            <v>63.09</v>
          </cell>
        </row>
        <row r="210">
          <cell r="D210" t="str">
            <v>Helper</v>
          </cell>
          <cell r="E210">
            <v>0.04</v>
          </cell>
          <cell r="F210">
            <v>275</v>
          </cell>
          <cell r="G210">
            <v>11</v>
          </cell>
          <cell r="H210" t="str">
            <v>fuel</v>
          </cell>
          <cell r="I210">
            <v>0.02</v>
          </cell>
          <cell r="J210" t="str">
            <v>ltr</v>
          </cell>
          <cell r="K210">
            <v>106.42</v>
          </cell>
          <cell r="L210">
            <v>2.13</v>
          </cell>
        </row>
        <row r="211">
          <cell r="D211" t="str">
            <v>Labour</v>
          </cell>
          <cell r="E211">
            <v>0.08</v>
          </cell>
          <cell r="F211">
            <v>275</v>
          </cell>
          <cell r="G211">
            <v>22</v>
          </cell>
          <cell r="H211" t="str">
            <v>Miscel. Expenses</v>
          </cell>
          <cell r="I211" t="str">
            <v>2.5% of lab</v>
          </cell>
          <cell r="L211">
            <v>1.23</v>
          </cell>
        </row>
        <row r="213">
          <cell r="A213" t="str">
            <v>17-4a</v>
          </cell>
          <cell r="B213" t="str">
            <v>GI pipe laying including lead 500m</v>
          </cell>
        </row>
        <row r="214">
          <cell r="A214" t="str">
            <v>17.4a1</v>
          </cell>
          <cell r="B214" t="str">
            <v>1/2" &amp; 3/4"  I.D.</v>
          </cell>
          <cell r="D214" t="str">
            <v>Plumber</v>
          </cell>
          <cell r="E214">
            <v>1.7000000000000001E-2</v>
          </cell>
          <cell r="F214">
            <v>400</v>
          </cell>
          <cell r="G214">
            <v>6.8</v>
          </cell>
          <cell r="H214" t="str">
            <v>Read lead, hemp etc.</v>
          </cell>
          <cell r="L214">
            <v>2.5</v>
          </cell>
          <cell r="M214">
            <v>28.08</v>
          </cell>
          <cell r="N214">
            <v>4.21</v>
          </cell>
          <cell r="O214">
            <v>32.29</v>
          </cell>
        </row>
        <row r="215">
          <cell r="D215" t="str">
            <v>Helper</v>
          </cell>
          <cell r="E215">
            <v>3.3000000000000002E-2</v>
          </cell>
          <cell r="F215">
            <v>275</v>
          </cell>
          <cell r="G215">
            <v>9.08</v>
          </cell>
          <cell r="H215" t="str">
            <v>@10% of labour cost</v>
          </cell>
        </row>
        <row r="216">
          <cell r="D216" t="str">
            <v>Labour</v>
          </cell>
          <cell r="E216">
            <v>3.3000000000000002E-2</v>
          </cell>
          <cell r="F216">
            <v>275</v>
          </cell>
          <cell r="G216">
            <v>9.08</v>
          </cell>
          <cell r="H216" t="str">
            <v>cont. 2.5 % of cost</v>
          </cell>
          <cell r="L216">
            <v>0.62</v>
          </cell>
        </row>
        <row r="218">
          <cell r="A218" t="str">
            <v>17.4a2</v>
          </cell>
          <cell r="B218" t="str">
            <v>1" &amp; 1 1/4" ID pipes</v>
          </cell>
          <cell r="D218" t="str">
            <v>Plumber</v>
          </cell>
          <cell r="E218">
            <v>1.7000000000000001E-2</v>
          </cell>
          <cell r="F218">
            <v>400</v>
          </cell>
          <cell r="G218">
            <v>6.8</v>
          </cell>
          <cell r="H218" t="str">
            <v>Read lead, hemp etc.</v>
          </cell>
          <cell r="L218">
            <v>3.43</v>
          </cell>
          <cell r="M218">
            <v>38.590000000000003</v>
          </cell>
          <cell r="N218">
            <v>5.79</v>
          </cell>
          <cell r="O218">
            <v>44.38</v>
          </cell>
        </row>
        <row r="219">
          <cell r="D219" t="str">
            <v>Helper</v>
          </cell>
          <cell r="E219">
            <v>0.05</v>
          </cell>
          <cell r="F219">
            <v>275</v>
          </cell>
          <cell r="G219">
            <v>13.75</v>
          </cell>
          <cell r="H219" t="str">
            <v>@10% of labour cost</v>
          </cell>
        </row>
        <row r="220">
          <cell r="D220" t="str">
            <v>Labour</v>
          </cell>
          <cell r="E220">
            <v>0.05</v>
          </cell>
          <cell r="F220">
            <v>275</v>
          </cell>
          <cell r="G220">
            <v>13.75</v>
          </cell>
          <cell r="H220" t="str">
            <v>cont. 2.5 % of cost</v>
          </cell>
          <cell r="L220">
            <v>0.86</v>
          </cell>
        </row>
        <row r="222">
          <cell r="A222" t="str">
            <v>17.4a3</v>
          </cell>
          <cell r="B222" t="str">
            <v>1 1/2" &amp; 2" ID pipes</v>
          </cell>
          <cell r="D222" t="str">
            <v>Plumber</v>
          </cell>
          <cell r="E222">
            <v>2.5000000000000001E-2</v>
          </cell>
          <cell r="F222">
            <v>400</v>
          </cell>
          <cell r="G222">
            <v>10</v>
          </cell>
          <cell r="H222" t="str">
            <v>Read lead, hemp etc.</v>
          </cell>
          <cell r="L222">
            <v>4.6900000000000004</v>
          </cell>
          <cell r="M222">
            <v>52.72</v>
          </cell>
          <cell r="N222">
            <v>7.91</v>
          </cell>
          <cell r="O222">
            <v>60.63</v>
          </cell>
        </row>
        <row r="223">
          <cell r="D223" t="str">
            <v>Helper</v>
          </cell>
          <cell r="E223">
            <v>6.7000000000000004E-2</v>
          </cell>
          <cell r="F223">
            <v>275</v>
          </cell>
          <cell r="G223">
            <v>18.43</v>
          </cell>
          <cell r="H223" t="str">
            <v>@10% of labour cost</v>
          </cell>
        </row>
        <row r="224">
          <cell r="D224" t="str">
            <v>Labour</v>
          </cell>
          <cell r="E224">
            <v>6.7000000000000004E-2</v>
          </cell>
          <cell r="F224">
            <v>275</v>
          </cell>
          <cell r="G224">
            <v>18.43</v>
          </cell>
          <cell r="H224" t="str">
            <v>cont. 2.5 % of cost</v>
          </cell>
          <cell r="L224">
            <v>1.17</v>
          </cell>
        </row>
        <row r="226">
          <cell r="A226" t="str">
            <v>17.4a4</v>
          </cell>
          <cell r="B226" t="str">
            <v>2 1/2" &amp; 3"  I.D.</v>
          </cell>
          <cell r="D226" t="str">
            <v>Plumber</v>
          </cell>
          <cell r="E226">
            <v>4.2000000000000003E-2</v>
          </cell>
          <cell r="F226">
            <v>400</v>
          </cell>
          <cell r="G226">
            <v>16.8</v>
          </cell>
          <cell r="H226" t="str">
            <v>Read lead, hemp etc.</v>
          </cell>
          <cell r="L226">
            <v>6.27</v>
          </cell>
          <cell r="M226">
            <v>70.569999999999993</v>
          </cell>
          <cell r="N226">
            <v>10.59</v>
          </cell>
          <cell r="O226">
            <v>81.16</v>
          </cell>
        </row>
        <row r="227">
          <cell r="D227" t="str">
            <v>Helper</v>
          </cell>
          <cell r="E227">
            <v>6.7000000000000004E-2</v>
          </cell>
          <cell r="F227">
            <v>275</v>
          </cell>
          <cell r="G227">
            <v>18.43</v>
          </cell>
          <cell r="H227" t="str">
            <v>@10% of labour cost</v>
          </cell>
        </row>
        <row r="228">
          <cell r="D228" t="str">
            <v>Labour</v>
          </cell>
          <cell r="E228">
            <v>0.1</v>
          </cell>
          <cell r="F228">
            <v>275</v>
          </cell>
          <cell r="G228">
            <v>27.5</v>
          </cell>
          <cell r="H228" t="str">
            <v>cont. 2.5 % of cost</v>
          </cell>
          <cell r="L228">
            <v>1.57</v>
          </cell>
        </row>
        <row r="231">
          <cell r="A231" t="str">
            <v>17.4a5</v>
          </cell>
          <cell r="B231" t="str">
            <v>4"  ID pipes</v>
          </cell>
          <cell r="D231" t="str">
            <v>Plumber</v>
          </cell>
          <cell r="E231">
            <v>5.8000000000000003E-2</v>
          </cell>
          <cell r="F231">
            <v>400</v>
          </cell>
          <cell r="G231">
            <v>23.2</v>
          </cell>
          <cell r="H231" t="str">
            <v>Read lead, hemp etc.</v>
          </cell>
          <cell r="L231">
            <v>7.82</v>
          </cell>
          <cell r="M231">
            <v>87.99</v>
          </cell>
          <cell r="N231">
            <v>13.2</v>
          </cell>
          <cell r="O231">
            <v>101.19</v>
          </cell>
        </row>
        <row r="232">
          <cell r="D232" t="str">
            <v>Helper</v>
          </cell>
          <cell r="E232">
            <v>6.7000000000000004E-2</v>
          </cell>
          <cell r="F232">
            <v>275</v>
          </cell>
          <cell r="G232">
            <v>18.43</v>
          </cell>
          <cell r="H232" t="str">
            <v>@10% of labour cost</v>
          </cell>
        </row>
        <row r="233">
          <cell r="D233" t="str">
            <v>Labour</v>
          </cell>
          <cell r="E233">
            <v>0.13300000000000001</v>
          </cell>
          <cell r="F233">
            <v>275</v>
          </cell>
          <cell r="G233">
            <v>36.58</v>
          </cell>
          <cell r="H233" t="str">
            <v>cont. 2.5 % of cost</v>
          </cell>
          <cell r="L233">
            <v>1.96</v>
          </cell>
        </row>
        <row r="235">
          <cell r="A235">
            <v>18.11</v>
          </cell>
          <cell r="B235" t="str">
            <v>Laying polythene sheet 500swg on and</v>
          </cell>
          <cell r="D235" t="str">
            <v>Skilled</v>
          </cell>
          <cell r="E235">
            <v>0.06</v>
          </cell>
          <cell r="F235">
            <v>400</v>
          </cell>
          <cell r="G235">
            <v>24</v>
          </cell>
          <cell r="H235" t="str">
            <v>Polysheet 500swg</v>
          </cell>
          <cell r="I235">
            <v>1.1000000000000001</v>
          </cell>
          <cell r="J235" t="str">
            <v>sqm</v>
          </cell>
          <cell r="K235">
            <v>12</v>
          </cell>
          <cell r="L235">
            <v>13.2</v>
          </cell>
          <cell r="M235">
            <v>53.7</v>
          </cell>
          <cell r="N235">
            <v>8.06</v>
          </cell>
          <cell r="O235">
            <v>61.76</v>
          </cell>
        </row>
        <row r="236">
          <cell r="B236" t="str">
            <v>around foundation  for 1sqm.</v>
          </cell>
          <cell r="D236" t="str">
            <v>Labor</v>
          </cell>
          <cell r="E236">
            <v>0.06</v>
          </cell>
          <cell r="F236">
            <v>275</v>
          </cell>
          <cell r="G236">
            <v>16.5</v>
          </cell>
        </row>
        <row r="238">
          <cell r="A238">
            <v>21.1</v>
          </cell>
          <cell r="B238" t="str">
            <v>Formworks for ferrocement works for 1sqm.</v>
          </cell>
          <cell r="D238" t="str">
            <v>Mason</v>
          </cell>
          <cell r="E238">
            <v>0.17</v>
          </cell>
          <cell r="F238">
            <v>400</v>
          </cell>
          <cell r="G238">
            <v>68</v>
          </cell>
          <cell r="H238" t="str">
            <v>Bamboo</v>
          </cell>
          <cell r="I238">
            <v>0.33300000000000002</v>
          </cell>
          <cell r="J238" t="str">
            <v>nos</v>
          </cell>
          <cell r="K238">
            <v>150</v>
          </cell>
          <cell r="L238">
            <v>49.95</v>
          </cell>
          <cell r="M238">
            <v>157.1</v>
          </cell>
          <cell r="N238">
            <v>23.57</v>
          </cell>
          <cell r="O238">
            <v>180.67</v>
          </cell>
        </row>
        <row r="239">
          <cell r="D239" t="str">
            <v>Coolies</v>
          </cell>
          <cell r="E239">
            <v>0.11</v>
          </cell>
          <cell r="F239">
            <v>275</v>
          </cell>
          <cell r="G239">
            <v>30.25</v>
          </cell>
          <cell r="H239" t="str">
            <v>Nails</v>
          </cell>
          <cell r="I239">
            <v>1.4E-2</v>
          </cell>
          <cell r="J239" t="str">
            <v>kg</v>
          </cell>
          <cell r="K239">
            <v>91.77</v>
          </cell>
          <cell r="L239">
            <v>1.28</v>
          </cell>
        </row>
        <row r="240">
          <cell r="H240" t="str">
            <v>Binding wire</v>
          </cell>
          <cell r="I240">
            <v>8.3000000000000004E-2</v>
          </cell>
          <cell r="J240" t="str">
            <v>kg</v>
          </cell>
          <cell r="K240">
            <v>91.77</v>
          </cell>
          <cell r="L240">
            <v>7.62</v>
          </cell>
        </row>
        <row r="242">
          <cell r="A242">
            <v>21.2</v>
          </cell>
          <cell r="B242" t="str">
            <v>Reinforcement for ferrocement work including</v>
          </cell>
          <cell r="D242" t="str">
            <v>Mason</v>
          </cell>
          <cell r="E242">
            <v>0.25</v>
          </cell>
          <cell r="F242">
            <v>400</v>
          </cell>
          <cell r="G242">
            <v>100</v>
          </cell>
          <cell r="H242" t="str">
            <v>Binding wire</v>
          </cell>
          <cell r="I242">
            <v>0.111</v>
          </cell>
          <cell r="J242" t="str">
            <v>kg</v>
          </cell>
          <cell r="K242">
            <v>91.77</v>
          </cell>
          <cell r="L242">
            <v>10.19</v>
          </cell>
          <cell r="M242">
            <v>739.86</v>
          </cell>
          <cell r="N242">
            <v>110.98</v>
          </cell>
          <cell r="O242">
            <v>850.84</v>
          </cell>
        </row>
        <row r="243">
          <cell r="B243" t="str">
            <v>chickenwire mesh M.S. Rods GI wire</v>
          </cell>
          <cell r="D243" t="str">
            <v>Coolies</v>
          </cell>
          <cell r="E243">
            <v>8.3000000000000004E-2</v>
          </cell>
          <cell r="F243">
            <v>275</v>
          </cell>
          <cell r="G243">
            <v>22.83</v>
          </cell>
          <cell r="H243" t="str">
            <v>Steel bar</v>
          </cell>
          <cell r="I243">
            <v>2.593</v>
          </cell>
          <cell r="J243" t="str">
            <v>kg</v>
          </cell>
          <cell r="K243">
            <v>68.77</v>
          </cell>
          <cell r="L243">
            <v>178.32</v>
          </cell>
        </row>
        <row r="244">
          <cell r="H244" t="str">
            <v>Chiken wire</v>
          </cell>
          <cell r="I244">
            <v>1.806</v>
          </cell>
          <cell r="J244" t="str">
            <v>sqm</v>
          </cell>
          <cell r="K244">
            <v>134.88999999999999</v>
          </cell>
          <cell r="L244">
            <v>243.61</v>
          </cell>
        </row>
        <row r="245">
          <cell r="H245" t="str">
            <v>GI Plain wire, 9swg</v>
          </cell>
          <cell r="I245">
            <v>2.0830000000000002</v>
          </cell>
          <cell r="J245" t="str">
            <v>kg</v>
          </cell>
          <cell r="K245">
            <v>88.77</v>
          </cell>
          <cell r="L245">
            <v>184.91</v>
          </cell>
        </row>
        <row r="247">
          <cell r="A247">
            <v>24.7</v>
          </cell>
          <cell r="B247" t="str">
            <v>Barbed wire fencing work for 1m</v>
          </cell>
          <cell r="D247" t="str">
            <v>Mason</v>
          </cell>
          <cell r="E247">
            <v>1.0800000000000001E-2</v>
          </cell>
          <cell r="F247">
            <v>400</v>
          </cell>
          <cell r="G247">
            <v>4.32</v>
          </cell>
          <cell r="H247" t="str">
            <v>Barbed wire</v>
          </cell>
          <cell r="I247">
            <v>0.18</v>
          </cell>
          <cell r="J247" t="str">
            <v>kg</v>
          </cell>
          <cell r="K247">
            <v>109.77</v>
          </cell>
          <cell r="L247">
            <v>19.760000000000002</v>
          </cell>
          <cell r="M247">
            <v>39.35</v>
          </cell>
          <cell r="N247">
            <v>5.9</v>
          </cell>
          <cell r="O247">
            <v>45.25</v>
          </cell>
        </row>
        <row r="248">
          <cell r="B248" t="str">
            <v>fencing length</v>
          </cell>
          <cell r="D248" t="str">
            <v>Labour</v>
          </cell>
          <cell r="E248">
            <v>5.3800000000000001E-2</v>
          </cell>
          <cell r="F248">
            <v>275</v>
          </cell>
          <cell r="G248">
            <v>14.8</v>
          </cell>
          <cell r="H248" t="str">
            <v>u-hook</v>
          </cell>
          <cell r="I248">
            <v>0.66700000000000004</v>
          </cell>
          <cell r="J248" t="str">
            <v>no</v>
          </cell>
          <cell r="K248">
            <v>0.7</v>
          </cell>
          <cell r="L248">
            <v>0.47</v>
          </cell>
        </row>
        <row r="249">
          <cell r="B249" t="str">
            <v>( Poles and Gates estimated seperately )</v>
          </cell>
        </row>
      </sheetData>
      <sheetData sheetId="16" refreshError="1">
        <row r="7">
          <cell r="D7">
            <v>1.77</v>
          </cell>
        </row>
        <row r="73">
          <cell r="K73">
            <v>2261.75</v>
          </cell>
        </row>
        <row r="78">
          <cell r="K78">
            <v>2485</v>
          </cell>
        </row>
        <row r="83">
          <cell r="K83">
            <v>1155</v>
          </cell>
        </row>
        <row r="88">
          <cell r="K88">
            <v>3418.25</v>
          </cell>
        </row>
        <row r="94">
          <cell r="K94">
            <v>3035</v>
          </cell>
        </row>
        <row r="100">
          <cell r="K100">
            <v>4685</v>
          </cell>
        </row>
        <row r="106">
          <cell r="K106">
            <v>6472.5</v>
          </cell>
        </row>
      </sheetData>
      <sheetData sheetId="17" refreshError="1">
        <row r="7">
          <cell r="I7">
            <v>1.95E-2</v>
          </cell>
        </row>
        <row r="8">
          <cell r="I8">
            <v>2.7E-2</v>
          </cell>
        </row>
        <row r="9">
          <cell r="I9">
            <v>2.7E-2</v>
          </cell>
        </row>
        <row r="10">
          <cell r="I10">
            <v>2.0500000000000001E-2</v>
          </cell>
        </row>
        <row r="11">
          <cell r="I11">
            <v>2.8500000000000001E-2</v>
          </cell>
        </row>
        <row r="12">
          <cell r="I12">
            <v>2.8500000000000001E-2</v>
          </cell>
        </row>
        <row r="13">
          <cell r="I13">
            <v>0.7</v>
          </cell>
        </row>
        <row r="15">
          <cell r="I15">
            <v>275</v>
          </cell>
        </row>
        <row r="16">
          <cell r="I16">
            <v>275</v>
          </cell>
        </row>
        <row r="17">
          <cell r="I17">
            <v>400</v>
          </cell>
        </row>
        <row r="19">
          <cell r="K19">
            <v>12370</v>
          </cell>
        </row>
        <row r="21">
          <cell r="K21">
            <v>61.77</v>
          </cell>
        </row>
        <row r="23">
          <cell r="K23">
            <v>289.12</v>
          </cell>
        </row>
        <row r="24">
          <cell r="K24">
            <v>344.12</v>
          </cell>
        </row>
        <row r="27">
          <cell r="K27">
            <v>69770</v>
          </cell>
        </row>
        <row r="28">
          <cell r="K28">
            <v>68770</v>
          </cell>
        </row>
        <row r="29">
          <cell r="K29">
            <v>91.77</v>
          </cell>
        </row>
        <row r="30">
          <cell r="K30">
            <v>88.77</v>
          </cell>
        </row>
        <row r="31">
          <cell r="K31">
            <v>134.88999999999999</v>
          </cell>
        </row>
        <row r="34">
          <cell r="K34">
            <v>7475</v>
          </cell>
        </row>
        <row r="36">
          <cell r="K36">
            <v>109.77</v>
          </cell>
        </row>
        <row r="37">
          <cell r="K37">
            <v>91.77</v>
          </cell>
        </row>
        <row r="41">
          <cell r="K41">
            <v>1746.24</v>
          </cell>
        </row>
        <row r="43">
          <cell r="K43">
            <v>81522.2</v>
          </cell>
        </row>
        <row r="44">
          <cell r="I44">
            <v>26000</v>
          </cell>
        </row>
        <row r="45">
          <cell r="K45">
            <v>2182.8000000000002</v>
          </cell>
        </row>
        <row r="46">
          <cell r="K46">
            <v>106.42</v>
          </cell>
        </row>
        <row r="47">
          <cell r="K47">
            <v>150</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alient feature"/>
      <sheetName val="Summary (2)"/>
      <sheetName val="Sump well"/>
      <sheetName val="DesignPumping Main"/>
      <sheetName val="Valve"/>
      <sheetName val="RWall &amp; Pump platform"/>
      <sheetName val="HouseConection"/>
      <sheetName val="Line pipe "/>
      <sheetName val="Fence"/>
      <sheetName val="Sel of pump"/>
      <sheetName val="Pipea"/>
      <sheetName val="Feature"/>
      <sheetName val="Summary"/>
      <sheetName val="Pump H"/>
      <sheetName val="RCC 100"/>
      <sheetName val="RCC 15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Table"/>
      <sheetName val="Quantity"/>
      <sheetName val="Sheet3"/>
    </sheetNames>
    <sheetDataSet>
      <sheetData sheetId="0">
        <row r="3">
          <cell r="D3">
            <v>8</v>
          </cell>
        </row>
        <row r="26">
          <cell r="D26">
            <v>0.25</v>
          </cell>
        </row>
        <row r="27">
          <cell r="D27">
            <v>0.4</v>
          </cell>
        </row>
      </sheetData>
      <sheetData sheetId="1"/>
      <sheetData sheetId="2"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lab Culvert 1.5m"/>
      <sheetName val="Slab Culvert 2m"/>
      <sheetName val="Slab Culvert 2.5m"/>
      <sheetName val="Slab Culvert 3.5m"/>
      <sheetName val="Summary"/>
      <sheetName val="Slab span-thickness table"/>
      <sheetName val="Sheet1"/>
    </sheetNames>
    <sheetDataSet>
      <sheetData sheetId="0"/>
      <sheetData sheetId="1"/>
      <sheetData sheetId="2"/>
      <sheetData sheetId="3"/>
      <sheetData sheetId="4"/>
      <sheetData sheetId="5">
        <row r="3">
          <cell r="A3">
            <v>1</v>
          </cell>
          <cell r="B3">
            <v>0.16500000000000001</v>
          </cell>
        </row>
        <row r="4">
          <cell r="A4">
            <v>2</v>
          </cell>
          <cell r="B4">
            <v>0.21</v>
          </cell>
        </row>
        <row r="5">
          <cell r="A5">
            <v>3</v>
          </cell>
          <cell r="B5">
            <v>0.3</v>
          </cell>
        </row>
        <row r="6">
          <cell r="A6">
            <v>4</v>
          </cell>
          <cell r="B6">
            <v>0.375</v>
          </cell>
        </row>
        <row r="7">
          <cell r="A7">
            <v>5</v>
          </cell>
          <cell r="B7">
            <v>0.42</v>
          </cell>
        </row>
        <row r="8">
          <cell r="A8">
            <v>6</v>
          </cell>
          <cell r="B8">
            <v>0.48</v>
          </cell>
        </row>
        <row r="14">
          <cell r="A14">
            <v>1</v>
          </cell>
          <cell r="B14">
            <v>1.73</v>
          </cell>
          <cell r="C14">
            <v>1.33</v>
          </cell>
          <cell r="D14">
            <v>0.2</v>
          </cell>
          <cell r="E14">
            <v>1</v>
          </cell>
          <cell r="F14">
            <v>0</v>
          </cell>
          <cell r="G14">
            <v>0</v>
          </cell>
          <cell r="H14">
            <v>0</v>
          </cell>
          <cell r="I14">
            <v>1</v>
          </cell>
          <cell r="J14">
            <v>0</v>
          </cell>
          <cell r="K14">
            <v>0</v>
          </cell>
          <cell r="L14">
            <v>0</v>
          </cell>
        </row>
        <row r="15">
          <cell r="A15">
            <v>2</v>
          </cell>
          <cell r="B15">
            <v>1.73</v>
          </cell>
          <cell r="C15">
            <v>1.33</v>
          </cell>
          <cell r="D15">
            <v>0.2</v>
          </cell>
          <cell r="E15">
            <v>2</v>
          </cell>
          <cell r="F15">
            <v>1.97</v>
          </cell>
          <cell r="G15">
            <v>1.57</v>
          </cell>
          <cell r="H15">
            <v>0.2</v>
          </cell>
          <cell r="I15">
            <v>2</v>
          </cell>
          <cell r="J15">
            <v>0</v>
          </cell>
          <cell r="K15">
            <v>0</v>
          </cell>
          <cell r="L15">
            <v>0</v>
          </cell>
        </row>
        <row r="16">
          <cell r="A16">
            <v>3</v>
          </cell>
          <cell r="B16">
            <v>1.73</v>
          </cell>
          <cell r="C16">
            <v>1.33</v>
          </cell>
          <cell r="D16">
            <v>0.2</v>
          </cell>
          <cell r="E16">
            <v>3</v>
          </cell>
          <cell r="F16">
            <v>1.97</v>
          </cell>
          <cell r="G16">
            <v>1.57</v>
          </cell>
          <cell r="H16">
            <v>0.2</v>
          </cell>
          <cell r="I16">
            <v>3</v>
          </cell>
          <cell r="J16">
            <v>2.87</v>
          </cell>
          <cell r="K16">
            <v>2.37</v>
          </cell>
          <cell r="L16">
            <v>0.3</v>
          </cell>
        </row>
        <row r="17">
          <cell r="A17">
            <v>4</v>
          </cell>
          <cell r="B17">
            <v>1.73</v>
          </cell>
          <cell r="C17">
            <v>1.33</v>
          </cell>
          <cell r="D17">
            <v>0.2</v>
          </cell>
          <cell r="E17">
            <v>4</v>
          </cell>
          <cell r="F17">
            <v>1.97</v>
          </cell>
          <cell r="G17">
            <v>1.57</v>
          </cell>
          <cell r="H17">
            <v>0.2</v>
          </cell>
          <cell r="I17">
            <v>4</v>
          </cell>
          <cell r="J17">
            <v>2.87</v>
          </cell>
          <cell r="K17">
            <v>2.37</v>
          </cell>
          <cell r="L17">
            <v>0.3</v>
          </cell>
        </row>
        <row r="18">
          <cell r="A18">
            <v>5</v>
          </cell>
          <cell r="B18">
            <v>1.73</v>
          </cell>
          <cell r="C18">
            <v>1.33</v>
          </cell>
          <cell r="D18">
            <v>0.2</v>
          </cell>
          <cell r="E18">
            <v>5</v>
          </cell>
          <cell r="F18">
            <v>1.97</v>
          </cell>
          <cell r="G18">
            <v>1.57</v>
          </cell>
          <cell r="H18">
            <v>0.2</v>
          </cell>
          <cell r="I18">
            <v>5</v>
          </cell>
          <cell r="J18">
            <v>2.87</v>
          </cell>
          <cell r="K18">
            <v>2.37</v>
          </cell>
          <cell r="L18">
            <v>0.3</v>
          </cell>
        </row>
        <row r="19">
          <cell r="A19">
            <v>6</v>
          </cell>
          <cell r="B19">
            <v>1.73</v>
          </cell>
          <cell r="C19">
            <v>1.33</v>
          </cell>
          <cell r="D19">
            <v>0.2</v>
          </cell>
          <cell r="E19">
            <v>6</v>
          </cell>
          <cell r="F19">
            <v>1.97</v>
          </cell>
          <cell r="G19">
            <v>1.57</v>
          </cell>
          <cell r="H19">
            <v>0.2</v>
          </cell>
          <cell r="I19">
            <v>6</v>
          </cell>
          <cell r="J19">
            <v>2.87</v>
          </cell>
          <cell r="K19">
            <v>2.37</v>
          </cell>
          <cell r="L19">
            <v>0.3</v>
          </cell>
        </row>
        <row r="25">
          <cell r="A25">
            <v>1</v>
          </cell>
          <cell r="B25">
            <v>2.27</v>
          </cell>
          <cell r="C25">
            <v>1.04</v>
          </cell>
          <cell r="D25">
            <v>3.66</v>
          </cell>
          <cell r="E25">
            <v>0.2</v>
          </cell>
          <cell r="F25">
            <v>1</v>
          </cell>
          <cell r="G25">
            <v>3.77</v>
          </cell>
          <cell r="H25">
            <v>1.25</v>
          </cell>
          <cell r="I25">
            <v>7.82</v>
          </cell>
          <cell r="J25">
            <v>0.2</v>
          </cell>
          <cell r="K25">
            <v>1</v>
          </cell>
          <cell r="L25">
            <v>5.27</v>
          </cell>
          <cell r="M25">
            <v>2.09</v>
          </cell>
          <cell r="N25">
            <v>12.07</v>
          </cell>
          <cell r="O25">
            <v>0.3</v>
          </cell>
        </row>
        <row r="26">
          <cell r="A26">
            <v>2</v>
          </cell>
          <cell r="B26">
            <v>2.29</v>
          </cell>
          <cell r="C26">
            <v>1.05</v>
          </cell>
          <cell r="D26">
            <v>3.64</v>
          </cell>
          <cell r="E26">
            <v>0.2</v>
          </cell>
          <cell r="F26">
            <v>2</v>
          </cell>
          <cell r="G26">
            <v>3.79</v>
          </cell>
          <cell r="H26">
            <v>1.26</v>
          </cell>
          <cell r="I26">
            <v>7.89</v>
          </cell>
          <cell r="J26">
            <v>0.2</v>
          </cell>
          <cell r="K26">
            <v>2</v>
          </cell>
          <cell r="L26">
            <v>5.27</v>
          </cell>
          <cell r="M26">
            <v>2.1</v>
          </cell>
          <cell r="N26">
            <v>12.14</v>
          </cell>
          <cell r="O26">
            <v>0.3</v>
          </cell>
        </row>
        <row r="27">
          <cell r="A27">
            <v>3</v>
          </cell>
          <cell r="B27">
            <v>2.4</v>
          </cell>
          <cell r="C27">
            <v>1.0900000000000001</v>
          </cell>
          <cell r="D27">
            <v>3.96</v>
          </cell>
          <cell r="E27">
            <v>0.2</v>
          </cell>
          <cell r="F27">
            <v>3</v>
          </cell>
          <cell r="G27">
            <v>3.9</v>
          </cell>
          <cell r="H27">
            <v>1.29</v>
          </cell>
          <cell r="I27">
            <v>8.2100000000000009</v>
          </cell>
          <cell r="J27">
            <v>0.2</v>
          </cell>
          <cell r="K27">
            <v>3</v>
          </cell>
          <cell r="L27">
            <v>5.4</v>
          </cell>
          <cell r="M27">
            <v>2.14</v>
          </cell>
          <cell r="N27">
            <v>12.46</v>
          </cell>
          <cell r="O27">
            <v>0.3</v>
          </cell>
        </row>
        <row r="28">
          <cell r="A28">
            <v>4</v>
          </cell>
          <cell r="B28">
            <v>2.48</v>
          </cell>
          <cell r="C28">
            <v>1.1200000000000001</v>
          </cell>
          <cell r="D28">
            <v>4.18</v>
          </cell>
          <cell r="E28">
            <v>0.2</v>
          </cell>
          <cell r="F28">
            <v>4</v>
          </cell>
          <cell r="G28">
            <v>3.98</v>
          </cell>
          <cell r="H28">
            <v>1.31</v>
          </cell>
          <cell r="I28">
            <v>8.43</v>
          </cell>
          <cell r="J28">
            <v>0.2</v>
          </cell>
          <cell r="K28">
            <v>4</v>
          </cell>
          <cell r="L28">
            <v>5.48</v>
          </cell>
          <cell r="M28">
            <v>2.17</v>
          </cell>
          <cell r="N28">
            <v>12.88</v>
          </cell>
          <cell r="O28">
            <v>0.3</v>
          </cell>
        </row>
        <row r="29">
          <cell r="A29">
            <v>5</v>
          </cell>
          <cell r="B29">
            <v>2.82</v>
          </cell>
          <cell r="C29">
            <v>1.1299999999999999</v>
          </cell>
          <cell r="D29">
            <v>4.3</v>
          </cell>
          <cell r="E29">
            <v>0.2</v>
          </cell>
          <cell r="F29">
            <v>5</v>
          </cell>
          <cell r="G29">
            <v>4.0199999999999996</v>
          </cell>
          <cell r="H29">
            <v>1.32</v>
          </cell>
          <cell r="I29">
            <v>8.5500000000000007</v>
          </cell>
          <cell r="J29">
            <v>0.2</v>
          </cell>
          <cell r="K29">
            <v>5</v>
          </cell>
          <cell r="L29">
            <v>5.52</v>
          </cell>
          <cell r="M29">
            <v>2.1800000000000002</v>
          </cell>
          <cell r="N29">
            <v>12.9</v>
          </cell>
          <cell r="O29">
            <v>0.3</v>
          </cell>
        </row>
        <row r="30">
          <cell r="A30">
            <v>6</v>
          </cell>
          <cell r="B30">
            <v>2.56</v>
          </cell>
          <cell r="C30">
            <v>1.1499999999999999</v>
          </cell>
          <cell r="D30">
            <v>4.42</v>
          </cell>
          <cell r="E30">
            <v>0.2</v>
          </cell>
          <cell r="F30">
            <v>6</v>
          </cell>
          <cell r="G30">
            <v>4.0599999999999996</v>
          </cell>
          <cell r="H30">
            <v>1.33</v>
          </cell>
          <cell r="I30">
            <v>8.67</v>
          </cell>
          <cell r="J30">
            <v>0.2</v>
          </cell>
          <cell r="K30">
            <v>6</v>
          </cell>
          <cell r="L30">
            <v>5.56</v>
          </cell>
          <cell r="M30">
            <v>2.2000000000000002</v>
          </cell>
          <cell r="N30">
            <v>12.92</v>
          </cell>
          <cell r="O30">
            <v>0.3</v>
          </cell>
        </row>
        <row r="37">
          <cell r="A37">
            <v>1</v>
          </cell>
          <cell r="B37">
            <v>10</v>
          </cell>
          <cell r="C37">
            <v>8</v>
          </cell>
          <cell r="D37">
            <v>2.11</v>
          </cell>
          <cell r="E37">
            <v>13</v>
          </cell>
          <cell r="F37">
            <v>0.62</v>
          </cell>
          <cell r="G37">
            <v>17.010000000000002</v>
          </cell>
          <cell r="H37">
            <v>10</v>
          </cell>
          <cell r="I37">
            <v>20</v>
          </cell>
          <cell r="J37">
            <v>1</v>
          </cell>
          <cell r="K37">
            <v>11</v>
          </cell>
          <cell r="L37">
            <v>0.62</v>
          </cell>
          <cell r="M37">
            <v>6.82</v>
          </cell>
          <cell r="N37">
            <v>1</v>
          </cell>
          <cell r="O37">
            <v>10</v>
          </cell>
          <cell r="P37">
            <v>8</v>
          </cell>
          <cell r="Q37">
            <v>0.66</v>
          </cell>
          <cell r="R37">
            <v>4</v>
          </cell>
          <cell r="S37">
            <v>0.62</v>
          </cell>
          <cell r="T37">
            <v>1.64</v>
          </cell>
          <cell r="U37">
            <v>10</v>
          </cell>
          <cell r="V37">
            <v>17</v>
          </cell>
          <cell r="W37">
            <v>1</v>
          </cell>
          <cell r="X37">
            <v>6</v>
          </cell>
          <cell r="Y37">
            <v>0.62</v>
          </cell>
          <cell r="Z37">
            <v>3.72</v>
          </cell>
        </row>
        <row r="38">
          <cell r="A38">
            <v>2</v>
          </cell>
          <cell r="B38">
            <v>12</v>
          </cell>
          <cell r="C38">
            <v>8</v>
          </cell>
          <cell r="D38">
            <v>3.15</v>
          </cell>
          <cell r="E38">
            <v>9</v>
          </cell>
          <cell r="F38">
            <v>0.89</v>
          </cell>
          <cell r="G38">
            <v>25.23</v>
          </cell>
          <cell r="H38">
            <v>10</v>
          </cell>
          <cell r="I38">
            <v>16</v>
          </cell>
          <cell r="J38">
            <v>1</v>
          </cell>
          <cell r="K38">
            <v>20</v>
          </cell>
          <cell r="L38">
            <v>0.62</v>
          </cell>
          <cell r="M38">
            <v>12.4</v>
          </cell>
          <cell r="N38">
            <v>2</v>
          </cell>
          <cell r="O38">
            <v>12</v>
          </cell>
          <cell r="P38">
            <v>8</v>
          </cell>
          <cell r="Q38">
            <v>3.4</v>
          </cell>
          <cell r="R38">
            <v>4</v>
          </cell>
          <cell r="S38">
            <v>0.89</v>
          </cell>
          <cell r="T38">
            <v>12.1</v>
          </cell>
          <cell r="U38">
            <v>10</v>
          </cell>
          <cell r="V38">
            <v>20</v>
          </cell>
          <cell r="W38">
            <v>1</v>
          </cell>
          <cell r="X38">
            <v>8</v>
          </cell>
          <cell r="Y38">
            <v>0.62</v>
          </cell>
          <cell r="Z38">
            <v>4.96</v>
          </cell>
        </row>
        <row r="39">
          <cell r="A39">
            <v>3</v>
          </cell>
          <cell r="B39">
            <v>18</v>
          </cell>
          <cell r="C39">
            <v>12</v>
          </cell>
          <cell r="D39">
            <v>4.3</v>
          </cell>
          <cell r="E39">
            <v>6</v>
          </cell>
          <cell r="F39">
            <v>2</v>
          </cell>
          <cell r="G39">
            <v>51.6</v>
          </cell>
          <cell r="H39">
            <v>12</v>
          </cell>
          <cell r="I39">
            <v>16</v>
          </cell>
          <cell r="J39">
            <v>1</v>
          </cell>
          <cell r="K39">
            <v>26</v>
          </cell>
          <cell r="L39">
            <v>0.89</v>
          </cell>
          <cell r="M39">
            <v>23.14</v>
          </cell>
          <cell r="N39">
            <v>3</v>
          </cell>
          <cell r="O39">
            <v>18</v>
          </cell>
          <cell r="P39">
            <v>12</v>
          </cell>
          <cell r="Q39">
            <v>4.5999999999999996</v>
          </cell>
          <cell r="R39">
            <v>3</v>
          </cell>
          <cell r="S39">
            <v>2</v>
          </cell>
          <cell r="T39">
            <v>27.6</v>
          </cell>
          <cell r="U39">
            <v>12</v>
          </cell>
          <cell r="V39">
            <v>22</v>
          </cell>
          <cell r="W39">
            <v>1</v>
          </cell>
          <cell r="X39">
            <v>9</v>
          </cell>
          <cell r="Y39">
            <v>0.89</v>
          </cell>
          <cell r="Z39">
            <v>8.01</v>
          </cell>
        </row>
        <row r="40">
          <cell r="A40">
            <v>4</v>
          </cell>
          <cell r="B40">
            <v>20</v>
          </cell>
          <cell r="C40">
            <v>13</v>
          </cell>
          <cell r="D40">
            <v>5.2</v>
          </cell>
          <cell r="E40">
            <v>6</v>
          </cell>
          <cell r="F40">
            <v>2.4700000000000002</v>
          </cell>
          <cell r="G40">
            <v>77.06</v>
          </cell>
          <cell r="H40">
            <v>10</v>
          </cell>
          <cell r="I40">
            <v>13</v>
          </cell>
          <cell r="J40">
            <v>1</v>
          </cell>
          <cell r="K40">
            <v>41</v>
          </cell>
          <cell r="L40">
            <v>0.62</v>
          </cell>
          <cell r="M40">
            <v>25.42</v>
          </cell>
          <cell r="N40">
            <v>4</v>
          </cell>
          <cell r="O40">
            <v>20</v>
          </cell>
          <cell r="P40">
            <v>13</v>
          </cell>
          <cell r="Q40">
            <v>5.6</v>
          </cell>
          <cell r="R40">
            <v>3</v>
          </cell>
          <cell r="S40">
            <v>2.4700000000000002</v>
          </cell>
          <cell r="T40">
            <v>41.5</v>
          </cell>
          <cell r="U40">
            <v>10</v>
          </cell>
          <cell r="V40">
            <v>23</v>
          </cell>
          <cell r="W40">
            <v>1</v>
          </cell>
          <cell r="X40">
            <v>9</v>
          </cell>
          <cell r="Y40">
            <v>0.62</v>
          </cell>
          <cell r="Z40">
            <v>5.58</v>
          </cell>
        </row>
        <row r="41">
          <cell r="A41">
            <v>5</v>
          </cell>
          <cell r="B41">
            <v>24</v>
          </cell>
          <cell r="C41">
            <v>16</v>
          </cell>
          <cell r="D41">
            <v>6.4</v>
          </cell>
          <cell r="E41">
            <v>4</v>
          </cell>
          <cell r="F41">
            <v>3.55</v>
          </cell>
          <cell r="G41">
            <v>90.88</v>
          </cell>
          <cell r="H41">
            <v>10</v>
          </cell>
          <cell r="I41">
            <v>12</v>
          </cell>
          <cell r="J41">
            <v>1</v>
          </cell>
          <cell r="K41">
            <v>51</v>
          </cell>
          <cell r="L41">
            <v>0.62</v>
          </cell>
          <cell r="M41">
            <v>31.62</v>
          </cell>
          <cell r="N41">
            <v>5</v>
          </cell>
          <cell r="O41">
            <v>24</v>
          </cell>
          <cell r="P41">
            <v>16</v>
          </cell>
          <cell r="Q41">
            <v>6.7</v>
          </cell>
          <cell r="R41">
            <v>3</v>
          </cell>
          <cell r="S41">
            <v>3.55</v>
          </cell>
          <cell r="T41">
            <v>71.36</v>
          </cell>
          <cell r="U41">
            <v>10</v>
          </cell>
          <cell r="V41">
            <v>20</v>
          </cell>
          <cell r="W41">
            <v>1</v>
          </cell>
          <cell r="X41">
            <v>12</v>
          </cell>
          <cell r="Y41">
            <v>0.62</v>
          </cell>
          <cell r="Z41">
            <v>7.44</v>
          </cell>
        </row>
        <row r="42">
          <cell r="A42">
            <v>6</v>
          </cell>
          <cell r="B42">
            <v>24</v>
          </cell>
          <cell r="C42">
            <v>14</v>
          </cell>
          <cell r="D42">
            <v>7.4</v>
          </cell>
          <cell r="E42">
            <v>4</v>
          </cell>
          <cell r="F42">
            <v>3.55</v>
          </cell>
          <cell r="G42">
            <v>105.08</v>
          </cell>
          <cell r="H42">
            <v>10</v>
          </cell>
          <cell r="I42">
            <v>12</v>
          </cell>
          <cell r="J42">
            <v>1</v>
          </cell>
          <cell r="K42">
            <v>59</v>
          </cell>
          <cell r="L42">
            <v>0.62</v>
          </cell>
          <cell r="M42">
            <v>36.58</v>
          </cell>
          <cell r="N42">
            <v>6</v>
          </cell>
          <cell r="O42">
            <v>24</v>
          </cell>
          <cell r="P42">
            <v>14</v>
          </cell>
          <cell r="Q42">
            <v>7.7</v>
          </cell>
          <cell r="R42">
            <v>4</v>
          </cell>
          <cell r="S42">
            <v>3.55</v>
          </cell>
          <cell r="T42">
            <v>109.34</v>
          </cell>
          <cell r="U42">
            <v>10</v>
          </cell>
          <cell r="V42">
            <v>22</v>
          </cell>
          <cell r="W42">
            <v>1</v>
          </cell>
          <cell r="X42">
            <v>12</v>
          </cell>
          <cell r="Y42">
            <v>0.62</v>
          </cell>
          <cell r="Z42">
            <v>7.44</v>
          </cell>
        </row>
      </sheetData>
      <sheetData sheetId="6"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ductivity"/>
      <sheetName val="Hydrology"/>
      <sheetName val="Salient features"/>
      <sheetName val="Rate of Materials"/>
      <sheetName val="Rate Analysis"/>
      <sheetName val="Cost Estimate"/>
      <sheetName val="BoQ"/>
      <sheetName val="Materials"/>
      <sheetName val="Tools and Spareparts"/>
      <sheetName val="Transportation"/>
      <sheetName val=" Transofmer"/>
      <sheetName val="component cost summary"/>
      <sheetName val="Cost Summary (2)"/>
      <sheetName val="Inv &amp; Funding"/>
      <sheetName val="Revenue &amp; Expend."/>
      <sheetName val="Fin. Analysis"/>
      <sheetName val="B-C Ratio"/>
      <sheetName val="Economic Analysis"/>
      <sheetName val="Debt calculation"/>
      <sheetName val="QCS"/>
    </sheetNames>
    <sheetDataSet>
      <sheetData sheetId="0"/>
      <sheetData sheetId="1">
        <row r="4">
          <cell r="G4" t="str">
            <v>Soukhu Khola</v>
          </cell>
        </row>
        <row r="7">
          <cell r="H7">
            <v>21</v>
          </cell>
        </row>
        <row r="8">
          <cell r="G8">
            <v>3</v>
          </cell>
        </row>
        <row r="9">
          <cell r="G9">
            <v>3.15</v>
          </cell>
        </row>
        <row r="10">
          <cell r="G10">
            <v>70</v>
          </cell>
        </row>
        <row r="11">
          <cell r="G11">
            <v>0.1</v>
          </cell>
        </row>
        <row r="33">
          <cell r="L33" t="str">
            <v>December</v>
          </cell>
          <cell r="M33">
            <v>3.1</v>
          </cell>
          <cell r="N33">
            <v>3.03</v>
          </cell>
          <cell r="O33">
            <v>3.75</v>
          </cell>
          <cell r="P33">
            <v>3.44</v>
          </cell>
          <cell r="Q33">
            <v>3.33</v>
          </cell>
          <cell r="R33">
            <v>2.57</v>
          </cell>
          <cell r="S33">
            <v>5</v>
          </cell>
        </row>
        <row r="34">
          <cell r="L34" t="str">
            <v>January</v>
          </cell>
          <cell r="M34">
            <v>2.4</v>
          </cell>
          <cell r="N34">
            <v>2.2400000000000002</v>
          </cell>
          <cell r="O34">
            <v>2.71</v>
          </cell>
          <cell r="P34">
            <v>2.59</v>
          </cell>
          <cell r="Q34">
            <v>2.42</v>
          </cell>
          <cell r="R34">
            <v>2.0299999999999998</v>
          </cell>
          <cell r="S34">
            <v>3.3</v>
          </cell>
        </row>
        <row r="35">
          <cell r="L35" t="str">
            <v>February</v>
          </cell>
          <cell r="M35">
            <v>1.8</v>
          </cell>
          <cell r="N35">
            <v>1.7</v>
          </cell>
          <cell r="O35">
            <v>1.88</v>
          </cell>
          <cell r="P35">
            <v>1.88</v>
          </cell>
          <cell r="Q35">
            <v>1.82</v>
          </cell>
          <cell r="R35">
            <v>1.62</v>
          </cell>
          <cell r="S35">
            <v>2.2000000000000002</v>
          </cell>
        </row>
        <row r="36">
          <cell r="L36" t="str">
            <v>March</v>
          </cell>
          <cell r="M36">
            <v>1.3</v>
          </cell>
          <cell r="N36">
            <v>1.33</v>
          </cell>
          <cell r="O36">
            <v>1.38</v>
          </cell>
          <cell r="P36">
            <v>1.38</v>
          </cell>
          <cell r="Q36">
            <v>1.36</v>
          </cell>
          <cell r="R36">
            <v>1.27</v>
          </cell>
          <cell r="S36">
            <v>1.4</v>
          </cell>
        </row>
        <row r="37">
          <cell r="L37" t="str">
            <v>April</v>
          </cell>
          <cell r="M37">
            <v>1</v>
          </cell>
          <cell r="N37">
            <v>1</v>
          </cell>
          <cell r="O37">
            <v>1</v>
          </cell>
          <cell r="P37">
            <v>1</v>
          </cell>
          <cell r="Q37">
            <v>1</v>
          </cell>
          <cell r="R37">
            <v>1</v>
          </cell>
          <cell r="S37">
            <v>1</v>
          </cell>
        </row>
        <row r="38">
          <cell r="L38" t="str">
            <v>May</v>
          </cell>
          <cell r="M38">
            <v>2.6</v>
          </cell>
          <cell r="N38">
            <v>1.21</v>
          </cell>
          <cell r="O38">
            <v>1.88</v>
          </cell>
          <cell r="P38">
            <v>2.19</v>
          </cell>
          <cell r="Q38">
            <v>0.91</v>
          </cell>
          <cell r="R38">
            <v>2.57</v>
          </cell>
          <cell r="S38">
            <v>3.5</v>
          </cell>
        </row>
        <row r="39">
          <cell r="L39" t="str">
            <v>June</v>
          </cell>
          <cell r="M39">
            <v>6</v>
          </cell>
          <cell r="N39">
            <v>7.27</v>
          </cell>
          <cell r="O39">
            <v>3.13</v>
          </cell>
          <cell r="P39">
            <v>3.75</v>
          </cell>
          <cell r="Q39">
            <v>2.73</v>
          </cell>
          <cell r="R39">
            <v>6.08</v>
          </cell>
          <cell r="S39">
            <v>6</v>
          </cell>
        </row>
        <row r="40">
          <cell r="L40" t="str">
            <v>July</v>
          </cell>
          <cell r="M40">
            <v>14.5</v>
          </cell>
          <cell r="N40">
            <v>18.18</v>
          </cell>
          <cell r="O40">
            <v>13.54</v>
          </cell>
          <cell r="P40">
            <v>6.89</v>
          </cell>
          <cell r="Q40">
            <v>11.21</v>
          </cell>
          <cell r="R40">
            <v>24.32</v>
          </cell>
          <cell r="S40">
            <v>14</v>
          </cell>
        </row>
        <row r="41">
          <cell r="L41" t="str">
            <v>August</v>
          </cell>
          <cell r="M41">
            <v>25</v>
          </cell>
          <cell r="N41">
            <v>27.27</v>
          </cell>
          <cell r="O41">
            <v>25</v>
          </cell>
          <cell r="P41">
            <v>27.27</v>
          </cell>
          <cell r="Q41">
            <v>13.94</v>
          </cell>
          <cell r="R41">
            <v>33.78</v>
          </cell>
          <cell r="S41">
            <v>35</v>
          </cell>
        </row>
        <row r="42">
          <cell r="L42" t="str">
            <v>September</v>
          </cell>
          <cell r="M42">
            <v>16.5</v>
          </cell>
          <cell r="N42">
            <v>20.91</v>
          </cell>
          <cell r="O42">
            <v>20.83</v>
          </cell>
          <cell r="P42">
            <v>20.91</v>
          </cell>
          <cell r="Q42">
            <v>10</v>
          </cell>
          <cell r="R42">
            <v>27.03</v>
          </cell>
          <cell r="S42">
            <v>24</v>
          </cell>
        </row>
        <row r="43">
          <cell r="L43" t="str">
            <v>October</v>
          </cell>
          <cell r="M43">
            <v>8</v>
          </cell>
          <cell r="N43">
            <v>9.09</v>
          </cell>
          <cell r="O43">
            <v>10.42</v>
          </cell>
          <cell r="P43">
            <v>6.89</v>
          </cell>
          <cell r="Q43">
            <v>6.52</v>
          </cell>
          <cell r="R43">
            <v>6.08</v>
          </cell>
          <cell r="S43">
            <v>12</v>
          </cell>
        </row>
        <row r="44">
          <cell r="L44" t="str">
            <v>November</v>
          </cell>
          <cell r="M44">
            <v>4.0999999999999996</v>
          </cell>
          <cell r="N44">
            <v>3.94</v>
          </cell>
          <cell r="O44">
            <v>5</v>
          </cell>
          <cell r="P44">
            <v>5</v>
          </cell>
          <cell r="Q44">
            <v>4.55</v>
          </cell>
          <cell r="R44">
            <v>3.38</v>
          </cell>
          <cell r="S44">
            <v>7.5</v>
          </cell>
        </row>
        <row r="45">
          <cell r="L45" t="str">
            <v>December</v>
          </cell>
          <cell r="M45">
            <v>3.1</v>
          </cell>
          <cell r="N45">
            <v>3.03</v>
          </cell>
          <cell r="O45">
            <v>3.75</v>
          </cell>
          <cell r="P45">
            <v>3.44</v>
          </cell>
          <cell r="Q45">
            <v>3.33</v>
          </cell>
          <cell r="R45">
            <v>2.57</v>
          </cell>
          <cell r="S45">
            <v>5</v>
          </cell>
        </row>
        <row r="46">
          <cell r="L46" t="str">
            <v>January</v>
          </cell>
          <cell r="M46">
            <v>2.4</v>
          </cell>
          <cell r="N46">
            <v>2.2400000000000002</v>
          </cell>
          <cell r="O46">
            <v>2.71</v>
          </cell>
          <cell r="P46">
            <v>2.59</v>
          </cell>
          <cell r="Q46">
            <v>2.42</v>
          </cell>
          <cell r="R46">
            <v>2.0299999999999998</v>
          </cell>
          <cell r="S46">
            <v>3.3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sheetData sheetId="14"/>
      <sheetData sheetId="15"/>
      <sheetData sheetId="16"/>
      <sheetData sheetId="17"/>
      <sheetData sheetId="18" refreshError="1"/>
      <sheetData sheetId="1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BS_mg"/>
      <sheetName val="ABS"/>
      <sheetName val="Rate"/>
      <sheetName val="Detailed"/>
      <sheetName val="Collection"/>
      <sheetName val="transportation kk"/>
      <sheetName val="EWvolume"/>
      <sheetName val="Rate Analysis"/>
      <sheetName val="Summary of ra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uck_MKD"/>
      <sheetName val="Trans_MKD"/>
      <sheetName val="0. Summary of Cost"/>
      <sheetName val="1. Summary of Cost_HCWSP"/>
      <sheetName val="2. Summary of Cost_KPBWSP"/>
      <sheetName val="Pipe @For BOQ"/>
      <sheetName val="Salient"/>
      <sheetName val="Summary Of Cost"/>
      <sheetName val="4. Summary of Cost_DDBWSP"/>
      <sheetName val="5. Summary of Cost_MWSP"/>
      <sheetName val="Hume_Pipe"/>
      <sheetName val="General Item"/>
      <sheetName val="intake cost"/>
      <sheetName val="Intake Quantity"/>
      <sheetName val="RVT-200"/>
      <sheetName val="RVT-200,Q"/>
      <sheetName val="RVT-125 cost"/>
      <sheetName val="RVT-125 Quantity"/>
      <sheetName val="sedimentationtank"/>
      <sheetName val="Sedimentation tank Q"/>
      <sheetName val="Slow sand filter cost"/>
      <sheetName val="Slow sand filter quantity"/>
      <sheetName val="chlorination unit cost"/>
      <sheetName val="QTYChlorination unit "/>
      <sheetName val="Dry wall Cost"/>
      <sheetName val="Dry Wall Quantity"/>
      <sheetName val="matrix of anchor &amp; Dry wall"/>
      <sheetName val="Thrust Block Cost"/>
      <sheetName val="Thrust block quantity"/>
      <sheetName val="Valve Chamber Cost"/>
      <sheetName val="Valve Chamber_Qty"/>
      <sheetName val="Wucs Building cost"/>
      <sheetName val="WUCS Building Qu"/>
      <sheetName val="Guard Building Cost"/>
      <sheetName val="Guard Building QU"/>
      <sheetName val="Cost Toilet"/>
      <sheetName val="Septic Tank and Soak Pit_Cost"/>
      <sheetName val="Qty_Toilet"/>
      <sheetName val="Boundary Wall_Cost"/>
      <sheetName val="Boundary Wall_Qty"/>
      <sheetName val="Pipe Line Trench_Cost"/>
      <sheetName val="Pipe Line Trench Qty"/>
      <sheetName val="Firehydrant_Cost"/>
      <sheetName val="Firehydrant_Qty"/>
      <sheetName val="House Connection_Cost"/>
      <sheetName val="House Connection_Qty"/>
      <sheetName val="Maintenance Cost"/>
      <sheetName val="Pipe Protection Work"/>
      <sheetName val="Pipe ,Laying&amp;Joinitng"/>
      <sheetName val="Kholsa Crossing Cost"/>
      <sheetName val="Kholsa Crossing_Qty2"/>
      <sheetName val="Gabion Cost"/>
      <sheetName val="Gabion Qt"/>
      <sheetName val="Procurement of Pipe"/>
      <sheetName val="Cost of Tools"/>
      <sheetName val="quantity of tools"/>
      <sheetName val="Rate Analysis-Sum."/>
      <sheetName val="Rate analysis"/>
      <sheetName val="Basic Rate"/>
      <sheetName val="D_Rate"/>
      <sheetName val="Pipe rate"/>
      <sheetName val="transportation"/>
      <sheetName val="A0c"/>
      <sheetName val="OHT  30 Cum_Cost"/>
      <sheetName val="OHT 30 Cum_Qty"/>
      <sheetName val="Guard House Cost"/>
      <sheetName val="Guard House_Qty"/>
      <sheetName val="Generator Shed_Cost"/>
      <sheetName val="Generator Shed_Qty"/>
      <sheetName val="Septic Tank and Soak Pit_Qty"/>
      <sheetName val="Kholsa Crossing_Qty"/>
      <sheetName val="Electrical Cost (2)"/>
      <sheetName val="D.I."/>
      <sheetName val="RA"/>
      <sheetName val="chlorination unit"/>
      <sheetName val="Junction Box"/>
      <sheetName val="House Connection"/>
      <sheetName val="Bulk Meter"/>
      <sheetName val="Fire hydrant qty"/>
      <sheetName val="Fire Hydrant Cost"/>
      <sheetName val="WUSC"/>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row r="13">
          <cell r="N13">
            <v>2200.8616666666667</v>
          </cell>
        </row>
        <row r="19">
          <cell r="N19">
            <v>85</v>
          </cell>
        </row>
        <row r="22">
          <cell r="N22">
            <v>110</v>
          </cell>
        </row>
      </sheetData>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sheetData sheetId="1">
        <row r="5">
          <cell r="D5">
            <v>225</v>
          </cell>
        </row>
      </sheetData>
      <sheetData sheetId="2"/>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ry"/>
      <sheetName val="Cost"/>
      <sheetName val="Qnty"/>
      <sheetName val="Drain"/>
      <sheetName val="Stru Mesonry Ret."/>
      <sheetName val="Stru Gabion Ret."/>
      <sheetName val="E-W Qty Road way"/>
      <sheetName val="x drainage detail"/>
      <sheetName val="drg_slab (2)"/>
      <sheetName val="drg_slab"/>
      <sheetName val="SL Cost"/>
      <sheetName val="Slab-6-9 Qty"/>
      <sheetName val="Slab-3-9 Qty "/>
      <sheetName val="cost_pipe"/>
      <sheetName val="qty_pipe"/>
      <sheetName val="Rehab cost_pC"/>
      <sheetName val="qty_Rehab pC"/>
      <sheetName val="Abstract of RCC causeway"/>
      <sheetName val="RCC causeway"/>
      <sheetName val="French drain"/>
      <sheetName val="Summary of Rates"/>
      <sheetName val="Rates"/>
      <sheetName val="Rate Analysis"/>
      <sheetName val="Mat. collection"/>
      <sheetName val="Transporta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row r="4">
          <cell r="D4">
            <v>500</v>
          </cell>
        </row>
        <row r="16">
          <cell r="G16">
            <v>95798.605599999995</v>
          </cell>
        </row>
        <row r="24">
          <cell r="G24">
            <v>5400.4923500000004</v>
          </cell>
        </row>
        <row r="25">
          <cell r="G25">
            <v>7530.4923500000004</v>
          </cell>
        </row>
        <row r="26">
          <cell r="G26">
            <v>10015.49235</v>
          </cell>
        </row>
        <row r="30">
          <cell r="G30">
            <v>2276.49235</v>
          </cell>
        </row>
        <row r="45">
          <cell r="G45">
            <v>78.798605600000002</v>
          </cell>
        </row>
        <row r="46">
          <cell r="G46">
            <v>5</v>
          </cell>
        </row>
        <row r="47">
          <cell r="G47">
            <v>15</v>
          </cell>
        </row>
        <row r="48">
          <cell r="G48">
            <v>308.99302799999998</v>
          </cell>
        </row>
        <row r="51">
          <cell r="G51">
            <v>600</v>
          </cell>
        </row>
        <row r="55">
          <cell r="G55">
            <v>1384.0006906555636</v>
          </cell>
        </row>
        <row r="59">
          <cell r="G59">
            <v>72.733418400000005</v>
          </cell>
        </row>
        <row r="60">
          <cell r="G60">
            <v>90.733418400000005</v>
          </cell>
        </row>
        <row r="62">
          <cell r="D62">
            <v>292.85000000000002</v>
          </cell>
        </row>
        <row r="63">
          <cell r="D63">
            <v>1442.85</v>
          </cell>
        </row>
        <row r="64">
          <cell r="D64">
            <v>1042.8499999999999</v>
          </cell>
        </row>
        <row r="68">
          <cell r="D68">
            <v>1542.85</v>
          </cell>
        </row>
        <row r="82">
          <cell r="D82">
            <v>500</v>
          </cell>
        </row>
      </sheetData>
      <sheetData sheetId="22" refreshError="1"/>
      <sheetData sheetId="23" refreshError="1"/>
      <sheetData sheetId="24" refreshError="1"/>
      <sheetData sheetId="25"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
      <sheetName val="2"/>
      <sheetName val="1"/>
      <sheetName val="rates"/>
      <sheetName val="Material cost"/>
      <sheetName val="Transportation"/>
      <sheetName val="cert 1"/>
      <sheetName val="Com-5-2"/>
      <sheetName val="Com-5-1"/>
      <sheetName val="Com-5-3"/>
    </sheetNames>
    <sheetDataSet>
      <sheetData sheetId="0"/>
      <sheetData sheetId="1"/>
      <sheetData sheetId="2"/>
      <sheetData sheetId="3"/>
      <sheetData sheetId="4">
        <row r="71">
          <cell r="J71">
            <v>1015.4848</v>
          </cell>
        </row>
        <row r="72">
          <cell r="J72">
            <v>1367.9848</v>
          </cell>
        </row>
        <row r="73">
          <cell r="J73">
            <v>2143.4848000000002</v>
          </cell>
        </row>
        <row r="78">
          <cell r="J78">
            <v>3014.1949999999997</v>
          </cell>
        </row>
        <row r="79">
          <cell r="J79">
            <v>97.934195000000003</v>
          </cell>
        </row>
        <row r="80">
          <cell r="J80">
            <v>2.9341949999999999</v>
          </cell>
        </row>
        <row r="84">
          <cell r="J84">
            <v>14112</v>
          </cell>
        </row>
      </sheetData>
      <sheetData sheetId="5"/>
      <sheetData sheetId="6"/>
      <sheetData sheetId="7"/>
      <sheetData sheetId="8"/>
      <sheetData sheetId="9"/>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Dayworks"/>
      <sheetName val="Support staff wage"/>
      <sheetName val="Labour Rates_HO"/>
      <sheetName val="Equipment Rates"/>
      <sheetName val="Material_Tax"/>
      <sheetName val="Material collection equipment"/>
      <sheetName val="Haulage dist"/>
      <sheetName val="Haulage items"/>
      <sheetName val="Transport Cost final"/>
      <sheetName val="Transport_Cost_F"/>
      <sheetName val="RateAnalysis"/>
      <sheetName val="Insurance"/>
      <sheetName val="Summary_Sheet_M"/>
      <sheetName val="BOQ-NK-01"/>
      <sheetName val="Sum-NK-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0">
          <cell r="E10">
            <v>230</v>
          </cell>
        </row>
        <row r="13">
          <cell r="E13">
            <v>360</v>
          </cell>
        </row>
        <row r="16">
          <cell r="E16">
            <v>360</v>
          </cell>
        </row>
        <row r="20">
          <cell r="E20">
            <v>235</v>
          </cell>
        </row>
      </sheetData>
      <sheetData sheetId="10" refreshError="1">
        <row r="10">
          <cell r="D10">
            <v>800</v>
          </cell>
        </row>
        <row r="13">
          <cell r="D13">
            <v>470</v>
          </cell>
        </row>
        <row r="17">
          <cell r="D17">
            <v>180</v>
          </cell>
        </row>
        <row r="21">
          <cell r="D21">
            <v>3000</v>
          </cell>
        </row>
        <row r="22">
          <cell r="D22">
            <v>2100</v>
          </cell>
        </row>
        <row r="26">
          <cell r="D26">
            <v>1300</v>
          </cell>
        </row>
        <row r="29">
          <cell r="D29">
            <v>140</v>
          </cell>
        </row>
        <row r="31">
          <cell r="D31">
            <v>130</v>
          </cell>
        </row>
        <row r="34">
          <cell r="D34">
            <v>150</v>
          </cell>
        </row>
      </sheetData>
      <sheetData sheetId="11" refreshError="1"/>
      <sheetData sheetId="12" refreshError="1"/>
      <sheetData sheetId="13" refreshError="1">
        <row r="8">
          <cell r="K8">
            <v>0</v>
          </cell>
        </row>
        <row r="10">
          <cell r="K10">
            <v>10.5</v>
          </cell>
        </row>
        <row r="14">
          <cell r="L14">
            <v>20</v>
          </cell>
        </row>
        <row r="15">
          <cell r="L15">
            <v>0.52500000000000002</v>
          </cell>
        </row>
        <row r="23">
          <cell r="L23">
            <v>2.6512000000000002</v>
          </cell>
        </row>
        <row r="30">
          <cell r="L30">
            <v>2.6512000000000002</v>
          </cell>
        </row>
        <row r="44">
          <cell r="L44">
            <v>2.6512000000000002</v>
          </cell>
        </row>
        <row r="58">
          <cell r="L58">
            <v>2.6512000000000002</v>
          </cell>
        </row>
        <row r="65">
          <cell r="L65">
            <v>2.6512000000000002</v>
          </cell>
        </row>
        <row r="72">
          <cell r="L72">
            <v>2.6512000000000002</v>
          </cell>
        </row>
        <row r="78">
          <cell r="L78">
            <v>2.6512000000000002</v>
          </cell>
        </row>
        <row r="84">
          <cell r="L84">
            <v>0.26250000000000001</v>
          </cell>
        </row>
        <row r="92">
          <cell r="L92">
            <v>0.26250000000000001</v>
          </cell>
        </row>
        <row r="100">
          <cell r="L100">
            <v>12.8512</v>
          </cell>
        </row>
        <row r="107">
          <cell r="L107">
            <v>0.26250000000000001</v>
          </cell>
        </row>
        <row r="116">
          <cell r="L116">
            <v>0.26250000000000001</v>
          </cell>
        </row>
        <row r="123">
          <cell r="L123">
            <v>0.26250000000000001</v>
          </cell>
        </row>
        <row r="130">
          <cell r="L130">
            <v>0.26250000000000001</v>
          </cell>
        </row>
        <row r="138">
          <cell r="L138">
            <v>0.26250000000000001</v>
          </cell>
        </row>
        <row r="145">
          <cell r="L145">
            <v>0.26250000000000001</v>
          </cell>
        </row>
        <row r="152">
          <cell r="L152">
            <v>0.26250000000000001</v>
          </cell>
        </row>
        <row r="159">
          <cell r="L159">
            <v>0.26250000000000001</v>
          </cell>
        </row>
        <row r="167">
          <cell r="L167">
            <v>0.26250000000000001</v>
          </cell>
        </row>
        <row r="174">
          <cell r="L174">
            <v>0.26250000000000001</v>
          </cell>
        </row>
        <row r="181">
          <cell r="L181">
            <v>0.26250000000000001</v>
          </cell>
        </row>
        <row r="188">
          <cell r="L188">
            <v>0.26250000000000001</v>
          </cell>
        </row>
        <row r="196">
          <cell r="L196">
            <v>0.26250000000000001</v>
          </cell>
        </row>
        <row r="203">
          <cell r="L203">
            <v>0.26250000000000001</v>
          </cell>
        </row>
      </sheetData>
      <sheetData sheetId="14" refreshError="1"/>
      <sheetData sheetId="15" refreshError="1"/>
      <sheetData sheetId="16" refreshError="1">
        <row r="12">
          <cell r="D12">
            <v>10411.897905084348</v>
          </cell>
        </row>
        <row r="15">
          <cell r="D15">
            <v>75</v>
          </cell>
        </row>
        <row r="19">
          <cell r="D19">
            <v>84.349897905084347</v>
          </cell>
        </row>
        <row r="26">
          <cell r="D26">
            <v>6223.2410363387999</v>
          </cell>
        </row>
        <row r="30">
          <cell r="D30">
            <v>57.645473230088498</v>
          </cell>
        </row>
        <row r="32">
          <cell r="D32">
            <v>59.651343035479535</v>
          </cell>
        </row>
        <row r="34">
          <cell r="D34">
            <v>1892.0196657727149</v>
          </cell>
        </row>
        <row r="35">
          <cell r="D35">
            <v>1892.0196657727149</v>
          </cell>
        </row>
        <row r="40">
          <cell r="D40">
            <v>589.28657989232579</v>
          </cell>
        </row>
        <row r="44">
          <cell r="D44">
            <v>1113.4378698153539</v>
          </cell>
        </row>
        <row r="54">
          <cell r="D54">
            <v>3449.9999999999995</v>
          </cell>
        </row>
        <row r="55">
          <cell r="D55">
            <v>1609.9999999999998</v>
          </cell>
        </row>
        <row r="56">
          <cell r="D56">
            <v>72</v>
          </cell>
        </row>
        <row r="57">
          <cell r="D57">
            <v>71.3</v>
          </cell>
        </row>
        <row r="58">
          <cell r="D58">
            <v>3655.9519604380057</v>
          </cell>
        </row>
        <row r="61">
          <cell r="D61">
            <v>11.5</v>
          </cell>
        </row>
        <row r="62">
          <cell r="D62">
            <v>3.4499999999999997</v>
          </cell>
        </row>
        <row r="63">
          <cell r="D63">
            <v>5.75</v>
          </cell>
        </row>
        <row r="64">
          <cell r="D64">
            <v>332</v>
          </cell>
        </row>
        <row r="66">
          <cell r="D66">
            <v>3000</v>
          </cell>
        </row>
      </sheetData>
      <sheetData sheetId="17" refreshError="1"/>
      <sheetData sheetId="18" refreshError="1"/>
      <sheetData sheetId="19" refreshError="1"/>
      <sheetData sheetId="20" refreshError="1"/>
      <sheetData sheetId="2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for agreement"/>
      <sheetName val="Recurrent Estimate"/>
      <sheetName val="Data Input Sheet "/>
      <sheetName val="Rate analysis"/>
      <sheetName val="Summary Rate_new"/>
      <sheetName val="Material Collection"/>
      <sheetName val="Transport"/>
    </sheetNames>
    <sheetDataSet>
      <sheetData sheetId="0"/>
      <sheetData sheetId="1"/>
      <sheetData sheetId="2"/>
      <sheetData sheetId="3"/>
      <sheetData sheetId="4"/>
      <sheetData sheetId="5"/>
      <sheetData sheetId="6"/>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for agreement"/>
      <sheetName val="Recurrent Estimate"/>
      <sheetName val="Data Input Sheet "/>
      <sheetName val="Rate analysis"/>
      <sheetName val="Summary Rate_new"/>
      <sheetName val="Material Collection"/>
      <sheetName val="Transport"/>
    </sheetNames>
    <sheetDataSet>
      <sheetData sheetId="0"/>
      <sheetData sheetId="1"/>
      <sheetData sheetId="2"/>
      <sheetData sheetId="3"/>
      <sheetData sheetId="4"/>
      <sheetData sheetId="5"/>
      <sheetData sheetId="6"/>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0">
          <cell r="E10">
            <v>500</v>
          </cell>
        </row>
      </sheetData>
      <sheetData sheetId="8">
        <row r="9">
          <cell r="C9" t="str">
            <v xml:space="preserve">Work shall be excuted as Dayworks only under the written instructions of the Engineer. </v>
          </cell>
        </row>
      </sheetData>
      <sheetData sheetId="9"/>
      <sheetData sheetId="10">
        <row r="10">
          <cell r="D10">
            <v>800</v>
          </cell>
        </row>
        <row r="16">
          <cell r="D16">
            <v>20</v>
          </cell>
        </row>
        <row r="32">
          <cell r="D32">
            <v>1500</v>
          </cell>
        </row>
      </sheetData>
      <sheetData sheetId="11"/>
      <sheetData sheetId="12"/>
      <sheetData sheetId="13">
        <row r="9">
          <cell r="K9">
            <v>8.6</v>
          </cell>
        </row>
      </sheetData>
      <sheetData sheetId="14"/>
      <sheetData sheetId="15"/>
      <sheetData sheetId="16">
        <row r="10">
          <cell r="D10">
            <v>12.713796765828908</v>
          </cell>
        </row>
        <row r="15">
          <cell r="D15">
            <v>84.433396409203539</v>
          </cell>
        </row>
        <row r="17">
          <cell r="D17">
            <v>85.433396409203539</v>
          </cell>
        </row>
        <row r="21">
          <cell r="D21">
            <v>370</v>
          </cell>
        </row>
        <row r="32">
          <cell r="D32">
            <v>110.74286543575224</v>
          </cell>
        </row>
        <row r="39">
          <cell r="D39">
            <v>1082.6534732812588</v>
          </cell>
        </row>
        <row r="43">
          <cell r="D43">
            <v>1549.5730467203148</v>
          </cell>
        </row>
        <row r="44">
          <cell r="D44">
            <v>1499.5730467203148</v>
          </cell>
        </row>
        <row r="51">
          <cell r="D51">
            <v>0.12339640920353982</v>
          </cell>
        </row>
        <row r="52">
          <cell r="D52">
            <v>350.46839640920354</v>
          </cell>
        </row>
        <row r="55">
          <cell r="D55">
            <v>3608</v>
          </cell>
        </row>
        <row r="72">
          <cell r="D72" t="e">
            <v>#REF!</v>
          </cell>
        </row>
        <row r="74">
          <cell r="D74">
            <v>450.12339640920351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BS"/>
      <sheetName val="Clear, gru&amp; EW"/>
      <sheetName val="Footpath, kerb and drain"/>
      <sheetName val="X-drainage"/>
      <sheetName val="Retaining wall and Bio"/>
      <sheetName val="Pavement"/>
      <sheetName val="Miscellaneous"/>
      <sheetName val="Summary"/>
      <sheetName val="Rate Manpower"/>
      <sheetName val="district rate equp"/>
      <sheetName val="dist rate material"/>
      <sheetName val="Rate Analysis"/>
      <sheetName val="Abstract"/>
      <sheetName val="BOQ D1"/>
    </sheetNames>
    <sheetDataSet>
      <sheetData sheetId="0"/>
      <sheetData sheetId="1"/>
      <sheetData sheetId="2"/>
      <sheetData sheetId="3"/>
      <sheetData sheetId="4"/>
      <sheetData sheetId="5"/>
      <sheetData sheetId="6"/>
      <sheetData sheetId="7"/>
      <sheetData sheetId="8"/>
      <sheetData sheetId="9">
        <row r="8">
          <cell r="D8">
            <v>500</v>
          </cell>
        </row>
        <row r="9">
          <cell r="D9">
            <v>500</v>
          </cell>
        </row>
        <row r="10">
          <cell r="D10">
            <v>1200</v>
          </cell>
        </row>
        <row r="11">
          <cell r="D11">
            <v>900</v>
          </cell>
        </row>
        <row r="12">
          <cell r="D12">
            <v>500</v>
          </cell>
        </row>
        <row r="13">
          <cell r="D13">
            <v>220</v>
          </cell>
        </row>
        <row r="14">
          <cell r="D14">
            <v>1600</v>
          </cell>
        </row>
        <row r="15">
          <cell r="D15">
            <v>550</v>
          </cell>
        </row>
        <row r="16">
          <cell r="D16">
            <v>1000</v>
          </cell>
        </row>
        <row r="17">
          <cell r="D17">
            <v>180</v>
          </cell>
        </row>
        <row r="18">
          <cell r="D18">
            <v>1300</v>
          </cell>
        </row>
        <row r="19">
          <cell r="D19">
            <v>250</v>
          </cell>
        </row>
        <row r="20">
          <cell r="D20">
            <v>400</v>
          </cell>
        </row>
        <row r="21">
          <cell r="D21">
            <v>1000</v>
          </cell>
        </row>
        <row r="22">
          <cell r="D22">
            <v>1400</v>
          </cell>
        </row>
        <row r="23">
          <cell r="D23">
            <v>450</v>
          </cell>
        </row>
      </sheetData>
      <sheetData sheetId="10">
        <row r="8">
          <cell r="D8">
            <v>0</v>
          </cell>
        </row>
        <row r="10">
          <cell r="D10">
            <v>1483.44</v>
          </cell>
        </row>
        <row r="11">
          <cell r="D11">
            <v>1554.08</v>
          </cell>
        </row>
        <row r="12">
          <cell r="D12">
            <v>87.61061946902656</v>
          </cell>
        </row>
        <row r="13">
          <cell r="D13">
            <v>108.8495575221239</v>
          </cell>
        </row>
        <row r="14">
          <cell r="D14">
            <v>87.61061946902656</v>
          </cell>
        </row>
        <row r="15">
          <cell r="D15">
            <v>0.25</v>
          </cell>
        </row>
        <row r="17">
          <cell r="D17">
            <v>1836.64</v>
          </cell>
        </row>
        <row r="18">
          <cell r="D18">
            <v>1907.28</v>
          </cell>
        </row>
        <row r="19">
          <cell r="D19">
            <v>1730.68</v>
          </cell>
        </row>
        <row r="21">
          <cell r="D21">
            <v>82150</v>
          </cell>
        </row>
        <row r="22">
          <cell r="D22">
            <v>93.86</v>
          </cell>
        </row>
        <row r="23">
          <cell r="D23">
            <v>52980</v>
          </cell>
        </row>
        <row r="24">
          <cell r="D24">
            <v>52980</v>
          </cell>
        </row>
        <row r="25">
          <cell r="D25">
            <v>99</v>
          </cell>
        </row>
        <row r="26">
          <cell r="D26">
            <v>538.19999999999993</v>
          </cell>
        </row>
        <row r="27">
          <cell r="D27">
            <v>4826</v>
          </cell>
        </row>
        <row r="30">
          <cell r="D30">
            <v>85.35</v>
          </cell>
        </row>
        <row r="32">
          <cell r="D32">
            <v>66</v>
          </cell>
        </row>
        <row r="33">
          <cell r="D33">
            <v>421</v>
          </cell>
        </row>
        <row r="34">
          <cell r="D34">
            <v>480</v>
          </cell>
        </row>
        <row r="35">
          <cell r="D35">
            <v>76</v>
          </cell>
        </row>
        <row r="36">
          <cell r="D36">
            <v>772.22</v>
          </cell>
        </row>
        <row r="37">
          <cell r="D37">
            <v>1483.44</v>
          </cell>
        </row>
      </sheetData>
      <sheetData sheetId="11"/>
      <sheetData sheetId="12"/>
      <sheetData sheetId="13"/>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BS_mg"/>
      <sheetName val="ABS"/>
      <sheetName val="Rate"/>
      <sheetName val="Detailed"/>
      <sheetName val="Collection"/>
      <sheetName val="transportation kk"/>
      <sheetName val="EWvolume"/>
      <sheetName val="Rate Analysis"/>
      <sheetName val="Summary of rates"/>
    </sheetNames>
    <sheetDataSet>
      <sheetData sheetId="0"/>
      <sheetData sheetId="1"/>
      <sheetData sheetId="2"/>
      <sheetData sheetId="3"/>
      <sheetData sheetId="4"/>
      <sheetData sheetId="5"/>
      <sheetData sheetId="6"/>
      <sheetData sheetId="7"/>
      <sheetData sheetId="8"/>
      <sheetData sheetId="9"/>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cost"/>
      <sheetName val="Sum Rate"/>
      <sheetName val="Abstract "/>
      <sheetName val="Abs Cost"/>
      <sheetName val="Sum Qty."/>
      <sheetName val="Qnty"/>
      <sheetName val="RA"/>
      <sheetName val="E-W Qty Road way "/>
      <sheetName val="subbase"/>
      <sheetName val="9 Pavement"/>
      <sheetName val="clvt mtx"/>
      <sheetName val="Stru Mtx"/>
      <sheetName val="drn mtx"/>
      <sheetName val="Stru Gabion Ret. "/>
      <sheetName val="Mason"/>
      <sheetName val="drn qty"/>
      <sheetName val="Foot Path"/>
      <sheetName val="clvt1"/>
      <sheetName val="clvt2"/>
      <sheetName val="clvt3"/>
      <sheetName val="cost60typ1"/>
      <sheetName val="Casway 20"/>
      <sheetName val="Casway 40"/>
      <sheetName val="11 Road Paint"/>
      <sheetName val="Riv Trn1"/>
      <sheetName val="Riv Trn2"/>
      <sheetName val="Riv Trn 3"/>
      <sheetName val="12 Miscellaneous"/>
      <sheetName val="14 Hump Location"/>
      <sheetName val="Ew machine"/>
      <sheetName val=" kaski D.Rate"/>
      <sheetName val="Unit rate at site"/>
      <sheetName val="Transportation rate"/>
      <sheetName val="Collect"/>
      <sheetName val="Analysis"/>
      <sheetName val="Quantity "/>
      <sheetName val="Ew machine (2)"/>
      <sheetName val="Clxn &amp; Tran."/>
      <sheetName val="transpt"/>
      <sheetName val="calculation sheet"/>
      <sheetName val="transp data"/>
      <sheetName val="Final Sum.Rates"/>
      <sheetName val="Summary (Checklist)"/>
      <sheetName val="gabion &amp; ex"/>
      <sheetName val="clvt2b"/>
      <sheetName val="Cost 60 type 2"/>
      <sheetName val="mat. rat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ow r="8">
          <cell r="N8">
            <v>283.43</v>
          </cell>
        </row>
        <row r="9">
          <cell r="N9">
            <v>0</v>
          </cell>
        </row>
        <row r="12">
          <cell r="N12">
            <v>464.92</v>
          </cell>
        </row>
      </sheetData>
      <sheetData sheetId="39"/>
      <sheetData sheetId="40"/>
      <sheetData sheetId="41"/>
      <sheetData sheetId="42"/>
      <sheetData sheetId="43"/>
      <sheetData sheetId="44"/>
      <sheetData sheetId="45"/>
      <sheetData sheetId="46">
        <row r="5">
          <cell r="H5">
            <v>1864.92</v>
          </cell>
        </row>
        <row r="6">
          <cell r="H6">
            <v>1864.92</v>
          </cell>
        </row>
        <row r="15">
          <cell r="H15">
            <v>1145.53</v>
          </cell>
        </row>
        <row r="17">
          <cell r="H17">
            <v>0</v>
          </cell>
        </row>
        <row r="47">
          <cell r="H47">
            <v>322.8</v>
          </cell>
        </row>
        <row r="52">
          <cell r="H52">
            <v>575</v>
          </cell>
        </row>
        <row r="53">
          <cell r="H53">
            <v>450</v>
          </cell>
        </row>
        <row r="55">
          <cell r="H55">
            <v>205</v>
          </cell>
        </row>
        <row r="56">
          <cell r="H56">
            <v>71</v>
          </cell>
        </row>
        <row r="57">
          <cell r="H57">
            <v>315</v>
          </cell>
        </row>
        <row r="61">
          <cell r="H61">
            <v>770</v>
          </cell>
        </row>
        <row r="63">
          <cell r="H63">
            <v>443</v>
          </cell>
        </row>
        <row r="64">
          <cell r="H64">
            <v>606</v>
          </cell>
        </row>
        <row r="65">
          <cell r="H65">
            <v>1055</v>
          </cell>
        </row>
        <row r="66">
          <cell r="H66">
            <v>1475</v>
          </cell>
        </row>
        <row r="70">
          <cell r="H70">
            <v>36000</v>
          </cell>
        </row>
        <row r="71">
          <cell r="H71">
            <v>0</v>
          </cell>
        </row>
        <row r="72">
          <cell r="H72">
            <v>1535.48</v>
          </cell>
        </row>
        <row r="117">
          <cell r="F117">
            <v>168.75</v>
          </cell>
        </row>
        <row r="119">
          <cell r="F119">
            <v>218.75</v>
          </cell>
        </row>
      </sheetData>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Abstract "/>
      <sheetName val="bill 2"/>
      <sheetName val="Quantity sheet"/>
      <sheetName val="material rate"/>
      <sheetName val="transportation"/>
      <sheetName val="Collection"/>
      <sheetName val="Rate analysis"/>
      <sheetName val="calculation sheet"/>
      <sheetName val="transp data"/>
      <sheetName val="Final Summary of Rates"/>
      <sheetName val="Summary (Checklist)"/>
    </sheetNames>
    <sheetDataSet>
      <sheetData sheetId="0"/>
      <sheetData sheetId="1"/>
      <sheetData sheetId="2"/>
      <sheetData sheetId="3"/>
      <sheetData sheetId="4">
        <row r="82">
          <cell r="H82">
            <v>2640</v>
          </cell>
        </row>
        <row r="83">
          <cell r="H83">
            <v>2750</v>
          </cell>
        </row>
      </sheetData>
      <sheetData sheetId="5"/>
      <sheetData sheetId="6"/>
      <sheetData sheetId="7"/>
      <sheetData sheetId="8"/>
      <sheetData sheetId="9"/>
      <sheetData sheetId="10"/>
      <sheetData sheetId="1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ates"/>
      <sheetName val="INPUT"/>
      <sheetName val="abs1"/>
      <sheetName val="summary"/>
      <sheetName val="temp"/>
      <sheetName val="Sheet1"/>
      <sheetName val="summary (2)"/>
    </sheetNames>
    <sheetDataSet>
      <sheetData sheetId="0"/>
      <sheetData sheetId="1"/>
      <sheetData sheetId="2">
        <row r="2">
          <cell r="D2" t="str">
            <v>^.)%&amp;.%*</v>
          </cell>
        </row>
        <row r="38">
          <cell r="C38">
            <v>9.59</v>
          </cell>
        </row>
        <row r="39">
          <cell r="C39">
            <v>46.21</v>
          </cell>
        </row>
        <row r="40">
          <cell r="C40">
            <v>3.82</v>
          </cell>
        </row>
        <row r="41">
          <cell r="C41">
            <v>1.59</v>
          </cell>
        </row>
        <row r="42">
          <cell r="C42">
            <v>7.5</v>
          </cell>
        </row>
        <row r="43">
          <cell r="C43">
            <v>3</v>
          </cell>
        </row>
        <row r="44">
          <cell r="C44">
            <v>3</v>
          </cell>
        </row>
        <row r="45">
          <cell r="C45">
            <v>550</v>
          </cell>
        </row>
        <row r="46">
          <cell r="C46">
            <v>550</v>
          </cell>
        </row>
        <row r="47">
          <cell r="C47">
            <v>550</v>
          </cell>
        </row>
        <row r="48">
          <cell r="C48">
            <v>550</v>
          </cell>
        </row>
        <row r="49">
          <cell r="C49">
            <v>550</v>
          </cell>
        </row>
        <row r="50">
          <cell r="C50">
            <v>550</v>
          </cell>
        </row>
        <row r="51">
          <cell r="C51">
            <v>22.16</v>
          </cell>
        </row>
        <row r="52">
          <cell r="C52">
            <v>90.95</v>
          </cell>
        </row>
        <row r="53">
          <cell r="C53">
            <v>7.95</v>
          </cell>
        </row>
        <row r="54">
          <cell r="C54">
            <v>3.19</v>
          </cell>
        </row>
        <row r="55">
          <cell r="C55">
            <v>10</v>
          </cell>
        </row>
        <row r="56">
          <cell r="C56">
            <v>4</v>
          </cell>
        </row>
        <row r="57">
          <cell r="C57">
            <v>4</v>
          </cell>
        </row>
        <row r="58">
          <cell r="C58">
            <v>790</v>
          </cell>
        </row>
        <row r="59">
          <cell r="C59">
            <v>790</v>
          </cell>
        </row>
        <row r="60">
          <cell r="C60">
            <v>790</v>
          </cell>
        </row>
        <row r="61">
          <cell r="C61">
            <v>790</v>
          </cell>
        </row>
        <row r="62">
          <cell r="C62">
            <v>790</v>
          </cell>
        </row>
        <row r="63">
          <cell r="C63">
            <v>790</v>
          </cell>
        </row>
        <row r="64">
          <cell r="C64">
            <v>10.55</v>
          </cell>
        </row>
        <row r="65">
          <cell r="C65">
            <v>50.21</v>
          </cell>
        </row>
        <row r="66">
          <cell r="C66">
            <v>4.07</v>
          </cell>
        </row>
        <row r="67">
          <cell r="C67">
            <v>1.74</v>
          </cell>
        </row>
        <row r="68">
          <cell r="C68">
            <v>7.5</v>
          </cell>
        </row>
        <row r="69">
          <cell r="C69">
            <v>3</v>
          </cell>
        </row>
        <row r="70">
          <cell r="C70">
            <v>3</v>
          </cell>
        </row>
        <row r="71">
          <cell r="C71">
            <v>500</v>
          </cell>
        </row>
        <row r="72">
          <cell r="C72">
            <v>500</v>
          </cell>
        </row>
        <row r="73">
          <cell r="C73">
            <v>500</v>
          </cell>
        </row>
        <row r="74">
          <cell r="C74">
            <v>500</v>
          </cell>
        </row>
        <row r="75">
          <cell r="C75">
            <v>500</v>
          </cell>
        </row>
        <row r="76">
          <cell r="C76">
            <v>500</v>
          </cell>
        </row>
        <row r="77">
          <cell r="C77">
            <v>16.88</v>
          </cell>
        </row>
        <row r="78">
          <cell r="C78">
            <v>75.69</v>
          </cell>
        </row>
        <row r="79">
          <cell r="C79">
            <v>6.28</v>
          </cell>
        </row>
        <row r="80">
          <cell r="C80">
            <v>2.61</v>
          </cell>
        </row>
        <row r="81">
          <cell r="C81">
            <v>12.5</v>
          </cell>
        </row>
        <row r="82">
          <cell r="C82">
            <v>5</v>
          </cell>
        </row>
        <row r="83">
          <cell r="C83">
            <v>5</v>
          </cell>
        </row>
        <row r="84">
          <cell r="C84">
            <v>780</v>
          </cell>
        </row>
        <row r="85">
          <cell r="C85">
            <v>780</v>
          </cell>
        </row>
        <row r="86">
          <cell r="C86">
            <v>780</v>
          </cell>
        </row>
        <row r="87">
          <cell r="C87">
            <v>780</v>
          </cell>
        </row>
        <row r="88">
          <cell r="C88">
            <v>780</v>
          </cell>
        </row>
        <row r="89">
          <cell r="C89">
            <v>780</v>
          </cell>
        </row>
        <row r="90">
          <cell r="C90">
            <v>9.81</v>
          </cell>
        </row>
        <row r="91">
          <cell r="C91">
            <v>1.1100000000000001</v>
          </cell>
        </row>
        <row r="92">
          <cell r="C92">
            <v>11.93</v>
          </cell>
        </row>
        <row r="93">
          <cell r="C93">
            <v>7.5</v>
          </cell>
        </row>
        <row r="94">
          <cell r="C94">
            <v>3.95</v>
          </cell>
        </row>
        <row r="95">
          <cell r="C95">
            <v>1650</v>
          </cell>
        </row>
        <row r="96">
          <cell r="C96">
            <v>1650</v>
          </cell>
        </row>
        <row r="97">
          <cell r="C97">
            <v>1650</v>
          </cell>
        </row>
        <row r="98">
          <cell r="C98">
            <v>1650</v>
          </cell>
        </row>
        <row r="99">
          <cell r="C99">
            <v>1650</v>
          </cell>
        </row>
        <row r="100">
          <cell r="C100">
            <v>1650</v>
          </cell>
        </row>
        <row r="101">
          <cell r="C101">
            <v>3.35</v>
          </cell>
        </row>
        <row r="102">
          <cell r="C102">
            <v>1.0429999999999999</v>
          </cell>
        </row>
        <row r="103">
          <cell r="C103">
            <v>7.5</v>
          </cell>
        </row>
        <row r="104">
          <cell r="C104">
            <v>3</v>
          </cell>
        </row>
        <row r="105">
          <cell r="C105">
            <v>720</v>
          </cell>
        </row>
        <row r="106">
          <cell r="C106">
            <v>720</v>
          </cell>
        </row>
        <row r="107">
          <cell r="C107">
            <v>8.83</v>
          </cell>
        </row>
        <row r="108">
          <cell r="C108">
            <v>41.47</v>
          </cell>
        </row>
        <row r="109">
          <cell r="C109">
            <v>1.22</v>
          </cell>
        </row>
        <row r="110">
          <cell r="C110">
            <v>1.45</v>
          </cell>
        </row>
        <row r="111">
          <cell r="C111">
            <v>5</v>
          </cell>
        </row>
        <row r="112">
          <cell r="C112">
            <v>2</v>
          </cell>
        </row>
        <row r="113">
          <cell r="C113">
            <v>2</v>
          </cell>
        </row>
        <row r="114">
          <cell r="C114">
            <v>300</v>
          </cell>
        </row>
        <row r="115">
          <cell r="C115">
            <v>300</v>
          </cell>
        </row>
        <row r="116">
          <cell r="C116">
            <v>300</v>
          </cell>
        </row>
        <row r="117">
          <cell r="C117">
            <v>300</v>
          </cell>
        </row>
        <row r="118">
          <cell r="C118">
            <v>300</v>
          </cell>
        </row>
        <row r="119">
          <cell r="C119">
            <v>300</v>
          </cell>
        </row>
        <row r="120">
          <cell r="C120">
            <v>8.83</v>
          </cell>
        </row>
        <row r="121">
          <cell r="C121">
            <v>41.47</v>
          </cell>
        </row>
        <row r="122">
          <cell r="C122">
            <v>1.22</v>
          </cell>
        </row>
        <row r="123">
          <cell r="C123">
            <v>1.45</v>
          </cell>
        </row>
        <row r="124">
          <cell r="C124">
            <v>5</v>
          </cell>
        </row>
        <row r="125">
          <cell r="C125">
            <v>2</v>
          </cell>
        </row>
        <row r="126">
          <cell r="C126">
            <v>2</v>
          </cell>
        </row>
        <row r="127">
          <cell r="C127">
            <v>300</v>
          </cell>
        </row>
        <row r="128">
          <cell r="C128">
            <v>300</v>
          </cell>
        </row>
        <row r="129">
          <cell r="C129">
            <v>300</v>
          </cell>
        </row>
        <row r="130">
          <cell r="C130">
            <v>300</v>
          </cell>
        </row>
        <row r="131">
          <cell r="C131">
            <v>300</v>
          </cell>
        </row>
        <row r="132">
          <cell r="C132">
            <v>300</v>
          </cell>
        </row>
        <row r="133">
          <cell r="C133">
            <v>370</v>
          </cell>
        </row>
        <row r="134">
          <cell r="C134">
            <v>370</v>
          </cell>
        </row>
        <row r="135">
          <cell r="C135">
            <v>370</v>
          </cell>
        </row>
        <row r="136">
          <cell r="C136">
            <v>370</v>
          </cell>
        </row>
        <row r="137">
          <cell r="C137">
            <v>370</v>
          </cell>
        </row>
        <row r="138">
          <cell r="C138">
            <v>370</v>
          </cell>
        </row>
        <row r="139">
          <cell r="C139">
            <v>850</v>
          </cell>
        </row>
        <row r="140">
          <cell r="C140">
            <v>850</v>
          </cell>
        </row>
        <row r="141">
          <cell r="C141">
            <v>11.27</v>
          </cell>
        </row>
        <row r="142">
          <cell r="C142">
            <v>50.95</v>
          </cell>
        </row>
        <row r="143">
          <cell r="C143">
            <v>3.14</v>
          </cell>
        </row>
        <row r="144">
          <cell r="C144">
            <v>1.74</v>
          </cell>
        </row>
        <row r="145">
          <cell r="C145">
            <v>10</v>
          </cell>
        </row>
        <row r="146">
          <cell r="C146">
            <v>4</v>
          </cell>
        </row>
        <row r="147">
          <cell r="C147">
            <v>4</v>
          </cell>
        </row>
        <row r="148">
          <cell r="C148">
            <v>552</v>
          </cell>
        </row>
        <row r="149">
          <cell r="C149">
            <v>552</v>
          </cell>
        </row>
        <row r="150">
          <cell r="C150">
            <v>552</v>
          </cell>
        </row>
        <row r="151">
          <cell r="C151">
            <v>552</v>
          </cell>
        </row>
        <row r="152">
          <cell r="C152">
            <v>552</v>
          </cell>
        </row>
        <row r="153">
          <cell r="C153">
            <v>552</v>
          </cell>
        </row>
        <row r="154">
          <cell r="C154">
            <v>14</v>
          </cell>
        </row>
        <row r="155">
          <cell r="C155">
            <v>700</v>
          </cell>
        </row>
        <row r="156">
          <cell r="C156">
            <v>700</v>
          </cell>
        </row>
        <row r="157">
          <cell r="C157">
            <v>700</v>
          </cell>
        </row>
        <row r="158">
          <cell r="C158">
            <v>700</v>
          </cell>
        </row>
        <row r="159">
          <cell r="C159">
            <v>16</v>
          </cell>
        </row>
        <row r="160">
          <cell r="C160">
            <v>16</v>
          </cell>
        </row>
        <row r="161">
          <cell r="C161">
            <v>120</v>
          </cell>
        </row>
        <row r="162">
          <cell r="C162">
            <v>9</v>
          </cell>
        </row>
        <row r="163">
          <cell r="C163">
            <v>1000</v>
          </cell>
        </row>
        <row r="164">
          <cell r="C164">
            <v>750</v>
          </cell>
        </row>
        <row r="165">
          <cell r="C165">
            <v>4</v>
          </cell>
        </row>
        <row r="166">
          <cell r="C166">
            <v>1750</v>
          </cell>
        </row>
        <row r="167">
          <cell r="C167">
            <v>1000</v>
          </cell>
        </row>
        <row r="168">
          <cell r="C168">
            <v>750</v>
          </cell>
        </row>
        <row r="169">
          <cell r="C169">
            <v>1750</v>
          </cell>
        </row>
        <row r="170">
          <cell r="C170">
            <v>19</v>
          </cell>
        </row>
        <row r="171">
          <cell r="C171">
            <v>19</v>
          </cell>
        </row>
        <row r="172">
          <cell r="C172">
            <v>142.5</v>
          </cell>
        </row>
        <row r="173">
          <cell r="C173">
            <v>9.5</v>
          </cell>
        </row>
        <row r="174">
          <cell r="C174">
            <v>125</v>
          </cell>
        </row>
        <row r="175">
          <cell r="C175">
            <v>7</v>
          </cell>
        </row>
        <row r="176">
          <cell r="C176">
            <v>500</v>
          </cell>
        </row>
        <row r="177">
          <cell r="C177">
            <v>500</v>
          </cell>
        </row>
        <row r="178">
          <cell r="C178">
            <v>500</v>
          </cell>
        </row>
        <row r="179">
          <cell r="C179">
            <v>1200</v>
          </cell>
        </row>
        <row r="180">
          <cell r="C180">
            <v>1200</v>
          </cell>
        </row>
        <row r="181">
          <cell r="C181">
            <v>35</v>
          </cell>
        </row>
        <row r="182">
          <cell r="C182">
            <v>35</v>
          </cell>
        </row>
        <row r="183">
          <cell r="C183">
            <v>45</v>
          </cell>
        </row>
        <row r="184">
          <cell r="C184">
            <v>320</v>
          </cell>
        </row>
        <row r="185">
          <cell r="C185">
            <v>320</v>
          </cell>
        </row>
        <row r="186">
          <cell r="C186">
            <v>1200</v>
          </cell>
        </row>
        <row r="187">
          <cell r="C187">
            <v>1200</v>
          </cell>
        </row>
        <row r="188">
          <cell r="C188">
            <v>350</v>
          </cell>
        </row>
        <row r="189">
          <cell r="C189">
            <v>1125</v>
          </cell>
        </row>
        <row r="190">
          <cell r="C190">
            <v>1125</v>
          </cell>
        </row>
        <row r="191">
          <cell r="C191">
            <v>1125</v>
          </cell>
        </row>
        <row r="192">
          <cell r="C192">
            <v>1900</v>
          </cell>
        </row>
        <row r="193">
          <cell r="C193">
            <v>1900</v>
          </cell>
        </row>
        <row r="194">
          <cell r="C194">
            <v>1900</v>
          </cell>
        </row>
      </sheetData>
      <sheetData sheetId="3"/>
      <sheetData sheetId="4"/>
      <sheetData sheetId="5"/>
      <sheetData sheetId="6"/>
      <sheetData sheetId="7"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H Len"/>
      <sheetName val="Neigh Qtty"/>
      <sheetName val="Cover Slab Qtty"/>
      <sheetName val="Inlet detail"/>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row r="11">
          <cell r="E11">
            <v>365</v>
          </cell>
        </row>
        <row r="16">
          <cell r="E16">
            <v>550</v>
          </cell>
        </row>
        <row r="20">
          <cell r="E20">
            <v>360</v>
          </cell>
        </row>
        <row r="23">
          <cell r="E23">
            <v>550</v>
          </cell>
        </row>
      </sheetData>
      <sheetData sheetId="8">
        <row r="9">
          <cell r="C9" t="str">
            <v xml:space="preserve">Work shall be excuted as Dayworks only under the written instructions of the Engineer. </v>
          </cell>
        </row>
      </sheetData>
      <sheetData sheetId="9"/>
      <sheetData sheetId="10">
        <row r="10">
          <cell r="D10">
            <v>800</v>
          </cell>
        </row>
        <row r="11">
          <cell r="D11">
            <v>450</v>
          </cell>
        </row>
        <row r="12">
          <cell r="D12">
            <v>500</v>
          </cell>
        </row>
        <row r="14">
          <cell r="D14">
            <v>100</v>
          </cell>
        </row>
        <row r="18">
          <cell r="D18">
            <v>1600</v>
          </cell>
        </row>
        <row r="19">
          <cell r="D19">
            <v>900</v>
          </cell>
        </row>
        <row r="26">
          <cell r="D26">
            <v>1200</v>
          </cell>
        </row>
        <row r="28">
          <cell r="D28">
            <v>500</v>
          </cell>
        </row>
        <row r="29">
          <cell r="D29">
            <v>2500</v>
          </cell>
        </row>
        <row r="31">
          <cell r="D31">
            <v>1200</v>
          </cell>
        </row>
        <row r="34">
          <cell r="D34">
            <v>250</v>
          </cell>
        </row>
        <row r="36">
          <cell r="D36">
            <v>5000</v>
          </cell>
        </row>
        <row r="37">
          <cell r="D37">
            <v>1400</v>
          </cell>
        </row>
        <row r="39">
          <cell r="D39">
            <v>550</v>
          </cell>
        </row>
      </sheetData>
      <sheetData sheetId="11"/>
      <sheetData sheetId="12"/>
      <sheetData sheetId="13">
        <row r="9">
          <cell r="K9">
            <v>8.6</v>
          </cell>
        </row>
      </sheetData>
      <sheetData sheetId="14"/>
      <sheetData sheetId="15"/>
      <sheetData sheetId="16">
        <row r="10">
          <cell r="D10">
            <v>12.713796765828908</v>
          </cell>
        </row>
        <row r="12">
          <cell r="D12">
            <v>82243.396409203546</v>
          </cell>
        </row>
        <row r="13">
          <cell r="D13">
            <v>94</v>
          </cell>
        </row>
        <row r="16">
          <cell r="D16">
            <v>84.433396409203539</v>
          </cell>
        </row>
        <row r="19">
          <cell r="D19">
            <v>120</v>
          </cell>
        </row>
        <row r="23">
          <cell r="D23">
            <v>796</v>
          </cell>
        </row>
        <row r="25">
          <cell r="D25">
            <v>2827.526994576991</v>
          </cell>
        </row>
        <row r="26">
          <cell r="D26">
            <v>4454.1985636814161</v>
          </cell>
        </row>
        <row r="28">
          <cell r="D28">
            <v>7125.8701327858407</v>
          </cell>
        </row>
        <row r="29">
          <cell r="D29">
            <v>12165.87013278584</v>
          </cell>
        </row>
        <row r="30">
          <cell r="D30">
            <v>85.964092035398238</v>
          </cell>
        </row>
        <row r="35">
          <cell r="D35">
            <v>276.74389130194686</v>
          </cell>
        </row>
        <row r="38">
          <cell r="D38">
            <v>2077.2984465935106</v>
          </cell>
        </row>
        <row r="40">
          <cell r="D40">
            <v>990.63243716814179</v>
          </cell>
        </row>
        <row r="48">
          <cell r="D48">
            <v>63748.589981923302</v>
          </cell>
        </row>
        <row r="54">
          <cell r="D54">
            <v>1320</v>
          </cell>
        </row>
        <row r="65">
          <cell r="D65">
            <v>250</v>
          </cell>
        </row>
        <row r="70">
          <cell r="D70">
            <v>50</v>
          </cell>
        </row>
        <row r="75">
          <cell r="D75">
            <v>201</v>
          </cell>
        </row>
      </sheetData>
      <sheetData sheetId="17"/>
      <sheetData sheetId="18"/>
      <sheetData sheetId="19">
        <row r="13">
          <cell r="D13">
            <v>101809.49999999997</v>
          </cell>
        </row>
      </sheetData>
      <sheetData sheetId="20">
        <row r="11">
          <cell r="E11">
            <v>1656000</v>
          </cell>
        </row>
      </sheetData>
      <sheetData sheetId="21"/>
      <sheetData sheetId="22">
        <row r="38">
          <cell r="D38">
            <v>1968</v>
          </cell>
        </row>
      </sheetData>
      <sheetData sheetId="23"/>
      <sheetData sheetId="24"/>
      <sheetData sheetId="25">
        <row r="157">
          <cell r="H157">
            <v>234622</v>
          </cell>
        </row>
      </sheetData>
      <sheetData sheetId="26"/>
      <sheetData sheetId="27"/>
      <sheetData sheetId="28"/>
      <sheetData sheetId="29"/>
      <sheetData sheetId="30"/>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Pro Cost"/>
      <sheetName val="S-COST3"/>
      <sheetName val="MAT"/>
      <sheetName val="T-RATE"/>
      <sheetName val="M-RATE"/>
      <sheetName val="URG CIVIL"/>
      <sheetName val="UR PLJ"/>
    </sheetNames>
    <sheetDataSet>
      <sheetData sheetId="0" refreshError="1"/>
      <sheetData sheetId="1" refreshError="1"/>
      <sheetData sheetId="2" refreshError="1"/>
      <sheetData sheetId="3">
        <row r="13">
          <cell r="C13">
            <v>175</v>
          </cell>
        </row>
        <row r="21">
          <cell r="C21">
            <v>95</v>
          </cell>
        </row>
      </sheetData>
      <sheetData sheetId="4" refreshError="1"/>
      <sheetData sheetId="5">
        <row r="3">
          <cell r="J3">
            <v>400</v>
          </cell>
        </row>
        <row r="59">
          <cell r="J59">
            <v>2.9</v>
          </cell>
        </row>
        <row r="105">
          <cell r="J105">
            <v>3.5</v>
          </cell>
        </row>
        <row r="153">
          <cell r="J153">
            <v>2</v>
          </cell>
        </row>
        <row r="157">
          <cell r="J157">
            <v>3000</v>
          </cell>
        </row>
      </sheetData>
      <sheetData sheetId="6" refreshError="1"/>
      <sheetData sheetId="7"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hern Buildings "/>
      <sheetName val="Summary Total"/>
      <sheetName val="Summary WS "/>
      <sheetName val="General Item  "/>
      <sheetName val="Day work  "/>
      <sheetName val="site development"/>
      <sheetName val="Cost_Site Development_Audience "/>
      <sheetName val="Cost Site Development"/>
      <sheetName val="cost genera opera"/>
      <sheetName val="Cost Guard House"/>
      <sheetName val="CostofficeBldg"/>
      <sheetName val="Cost Borehole"/>
      <sheetName val="Cost_Audience Hall"/>
      <sheetName val="Tubewell Cost"/>
      <sheetName val="Cost B.Hole platform"/>
      <sheetName val="costoht 50m3-new"/>
      <sheetName val="cost 450cum OHT_New"/>
      <sheetName val="cost 450m3 OHT"/>
      <sheetName val="cost 300m3 OHT"/>
      <sheetName val="costoht200m3 OHT"/>
      <sheetName val="Cost GRVT 250m3"/>
      <sheetName val="Cost Stair Cascade Aerator "/>
      <sheetName val="Cost Pressure Filter"/>
      <sheetName val="cost clorination unit"/>
      <sheetName val="cost_VC for Bulk meter"/>
      <sheetName val="Cost VB"/>
      <sheetName val="costvc"/>
      <sheetName val="costhc"/>
      <sheetName val="costplar (2)"/>
      <sheetName val="costpl"/>
      <sheetName val="costplj"/>
      <sheetName val="costroaddism"/>
      <sheetName val="costplar"/>
      <sheetName val="cost firehydrant"/>
      <sheetName val="cost fitting"/>
      <sheetName val="costpipes"/>
      <sheetName val="Tools &amp; Equipment"/>
      <sheetName val="Lab &amp;Lab Equipment "/>
      <sheetName val="O&amp;Mcost"/>
      <sheetName val="cost m600"/>
      <sheetName val="cost m450"/>
      <sheetName val="cost apron"/>
      <sheetName val="cost s15"/>
      <sheetName val="cost soak15"/>
      <sheetName val="PT Cost"/>
      <sheetName val="cost sitedev  pt -new"/>
      <sheetName val="cost s100 -new"/>
      <sheetName val="costsoak100-new"/>
      <sheetName val="Costsldying "/>
      <sheetName val="cost SDB soak"/>
      <sheetName val="SDB cost sitedev "/>
      <sheetName val="Buildings Electrical "/>
      <sheetName val="Eastern Buildings"/>
      <sheetName val="Pump-Cost"/>
      <sheetName val="ElectroTumdani Chakkifanta"/>
      <sheetName val="ElectroMKalapani"/>
      <sheetName val="Nothern site"/>
      <sheetName val="site development (2)"/>
      <sheetName val="Site Development_Audience Hall"/>
      <sheetName val="Generaror Operator"/>
      <sheetName val=" Quantityguard house"/>
      <sheetName val="QtyOfficeBldg "/>
      <sheetName val="Qty_Audience Hall"/>
      <sheetName val="Quantity B. Hole"/>
      <sheetName val="Qntty 450 m3 OHT "/>
      <sheetName val="Qntty OHT 50m3 -new"/>
      <sheetName val="Qntty 300 m3 OHT "/>
      <sheetName val="RVT 4m3"/>
      <sheetName val="Qntty OHT200m3-new"/>
      <sheetName val="Qty GRVT 250m3"/>
      <sheetName val="Qty 450cum OHT_New"/>
      <sheetName val="Qty Circular Cascade Aerator"/>
      <sheetName val="Qty chlorination unit"/>
      <sheetName val="Pressure Filter"/>
      <sheetName val="Valve Chamber"/>
      <sheetName val="house connection"/>
      <sheetName val="BQ Borehole "/>
      <sheetName val="PIPE LAYING ACROSS ROADS (2)"/>
      <sheetName val="pipe laying"/>
      <sheetName val="pipe laying &amp; joining"/>
      <sheetName val="PIPE LAYING ACROSS ROADS"/>
      <sheetName val="Qnt fire hydrant"/>
      <sheetName val="qntty pipes"/>
      <sheetName val="man 600 qntty"/>
      <sheetName val="man 450 qntty"/>
      <sheetName val="appron qntty"/>
      <sheetName val="septic tank for 15 users"/>
      <sheetName val="Soakpit 15"/>
      <sheetName val="public toilet"/>
      <sheetName val="sitedev pt-new"/>
      <sheetName val="SEPTIC100-new"/>
      <sheetName val="soak quntty 100 users-new"/>
      <sheetName val="QTySldying"/>
      <sheetName val="SDB sitedev "/>
      <sheetName val="SDB Soakpit "/>
      <sheetName val="valve chamber for bulk meter"/>
      <sheetName val="Qty_Pipe Type Valve Box"/>
      <sheetName val="rate"/>
      <sheetName val="Analysis of rates"/>
      <sheetName val="Rate Analysis"/>
      <sheetName val="Summary of BOQ"/>
      <sheetName val="A1.General Item "/>
      <sheetName val="A2.Day work "/>
      <sheetName val="B.Civil Works"/>
      <sheetName val="C1.Tubewell Cost "/>
      <sheetName val="C2.Tubewell Cost  "/>
      <sheetName val="D.Pipes &amp; Fittings"/>
      <sheetName val="E1.Multigrade Filter "/>
      <sheetName val="E2.Multigrade Filter "/>
      <sheetName val="E3.Multigrade Filter "/>
      <sheetName val="F1.Buildings Electrical "/>
      <sheetName val="F2.Pumps&amp;Accessories Works"/>
      <sheetName val="F3. 11KV Line &amp; Transformers"/>
      <sheetName val="F4. Backup generator"/>
      <sheetName val="G.Tools &amp; Equipment"/>
      <sheetName val="H.Lab &amp;Lab Equipment"/>
      <sheetName val="I.Environmental MitigationWorks"/>
      <sheetName val="J.Operation&amp; Maintenance"/>
      <sheetName val="Sanitation ComponentA"/>
      <sheetName val="Sanitation ComponentB"/>
      <sheetName val="Summary of Unit Rates"/>
      <sheetName val="crossing details"/>
      <sheetName val="Material Collection"/>
      <sheetName val="pipe details"/>
      <sheetName val="Fitting Details"/>
      <sheetName val="Fitting Cost"/>
      <sheetName val="Pipe Cost"/>
      <sheetName val="GI fittings"/>
      <sheetName val="DI fi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1">
          <cell r="J1">
            <v>3</v>
          </cell>
        </row>
      </sheetData>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ow r="6">
          <cell r="G6">
            <v>1.7662499999999999</v>
          </cell>
        </row>
      </sheetData>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sheetData sheetId="127">
        <row r="18">
          <cell r="M18">
            <v>174.73099999999999</v>
          </cell>
        </row>
      </sheetData>
      <sheetData sheetId="128">
        <row r="16">
          <cell r="N16">
            <v>5029.2375000000002</v>
          </cell>
        </row>
      </sheetData>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sheetName val="Table 8.1"/>
      <sheetName val="Abstract of Cost"/>
      <sheetName val="Quantity Calculation sheet"/>
      <sheetName val="Summary of Rates"/>
      <sheetName val="Rate Analysis"/>
      <sheetName val="Rates"/>
      <sheetName val="Rate Analysis (2)"/>
    </sheetNames>
    <sheetDataSet>
      <sheetData sheetId="0" refreshError="1"/>
      <sheetData sheetId="1" refreshError="1"/>
      <sheetData sheetId="2" refreshError="1"/>
      <sheetData sheetId="3" refreshError="1"/>
      <sheetData sheetId="4" refreshError="1"/>
      <sheetData sheetId="5" refreshError="1"/>
      <sheetData sheetId="6" refreshError="1">
        <row r="43">
          <cell r="G43">
            <v>481.53625</v>
          </cell>
        </row>
      </sheetData>
      <sheetData sheetId="7"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nsport (8 ton truck)"/>
      <sheetName val="Transport(5 ton truck)"/>
      <sheetName val="Rates"/>
      <sheetName val="Rate Analysis"/>
      <sheetName val="Analysis for Soil Test"/>
      <sheetName val="Summary of Rates"/>
    </sheetNames>
    <sheetDataSet>
      <sheetData sheetId="0" refreshError="1"/>
      <sheetData sheetId="1" refreshError="1"/>
      <sheetData sheetId="2">
        <row r="4">
          <cell r="D4">
            <v>300</v>
          </cell>
        </row>
        <row r="5">
          <cell r="D5">
            <v>190</v>
          </cell>
        </row>
        <row r="6">
          <cell r="D6">
            <v>210</v>
          </cell>
        </row>
        <row r="7">
          <cell r="D7">
            <v>265</v>
          </cell>
        </row>
        <row r="12">
          <cell r="H12">
            <v>10810.517699115044</v>
          </cell>
        </row>
        <row r="13">
          <cell r="H13">
            <v>86201.517699115051</v>
          </cell>
        </row>
        <row r="14">
          <cell r="H14">
            <v>30345.794999999998</v>
          </cell>
        </row>
        <row r="15">
          <cell r="H15">
            <v>68408.517699115051</v>
          </cell>
        </row>
        <row r="16">
          <cell r="H16">
            <v>69408.517699115051</v>
          </cell>
        </row>
        <row r="17">
          <cell r="H17">
            <v>80408.517699115051</v>
          </cell>
        </row>
        <row r="42">
          <cell r="H42">
            <v>283.05405000000002</v>
          </cell>
        </row>
        <row r="50">
          <cell r="H50">
            <v>158.40851769911504</v>
          </cell>
        </row>
        <row r="58">
          <cell r="D58">
            <v>3500</v>
          </cell>
        </row>
        <row r="62">
          <cell r="D62">
            <v>150</v>
          </cell>
        </row>
        <row r="71">
          <cell r="D71">
            <v>500</v>
          </cell>
        </row>
        <row r="75">
          <cell r="D75">
            <v>120</v>
          </cell>
        </row>
        <row r="77">
          <cell r="D77">
            <v>450</v>
          </cell>
        </row>
        <row r="81">
          <cell r="D81">
            <v>550</v>
          </cell>
        </row>
        <row r="85">
          <cell r="D85">
            <v>1200</v>
          </cell>
        </row>
        <row r="86">
          <cell r="D86">
            <v>150</v>
          </cell>
        </row>
        <row r="88">
          <cell r="D88">
            <v>800</v>
          </cell>
        </row>
      </sheetData>
      <sheetData sheetId="3" refreshError="1"/>
      <sheetData sheetId="4" refreshError="1"/>
      <sheetData sheetId="5"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DATA INPUT"/>
      <sheetName val="Water Demand"/>
      <sheetName val="RVT Size"/>
      <sheetName val="HL-Data"/>
      <sheetName val="Survey"/>
      <sheetName val="PD-CW-Sample"/>
      <sheetName val="Pipe_estimate"/>
      <sheetName val="Itterate"/>
      <sheetName val="Source"/>
      <sheetName val="GroundProfile"/>
      <sheetName val="AbneySurvey"/>
      <sheetName val="Levelsurvey"/>
      <sheetName val="cost_Summary"/>
      <sheetName val="Salient_Features"/>
    </sheetNames>
    <sheetDataSet>
      <sheetData sheetId="0">
        <row r="7">
          <cell r="S7">
            <v>26</v>
          </cell>
        </row>
      </sheetData>
      <sheetData sheetId="1" refreshError="1"/>
      <sheetData sheetId="2" refreshError="1"/>
      <sheetData sheetId="3" refreshError="1"/>
      <sheetData sheetId="4" refreshError="1"/>
      <sheetData sheetId="5"/>
      <sheetData sheetId="6">
        <row r="16">
          <cell r="D16" t="str">
            <v>1a</v>
          </cell>
          <cell r="E16">
            <v>83</v>
          </cell>
          <cell r="F16">
            <v>91.300000000000011</v>
          </cell>
          <cell r="G16">
            <v>2.84</v>
          </cell>
          <cell r="H16" t="str">
            <v>D</v>
          </cell>
          <cell r="I16">
            <v>2431</v>
          </cell>
          <cell r="J16">
            <v>2410</v>
          </cell>
          <cell r="K16">
            <v>21</v>
          </cell>
          <cell r="L16">
            <v>2431</v>
          </cell>
          <cell r="M16">
            <v>21</v>
          </cell>
          <cell r="N16">
            <v>21</v>
          </cell>
          <cell r="O16">
            <v>63</v>
          </cell>
          <cell r="P16">
            <v>6</v>
          </cell>
          <cell r="Q16">
            <v>53.3</v>
          </cell>
          <cell r="T16">
            <v>2.6136E-2</v>
          </cell>
          <cell r="U16">
            <v>3.68</v>
          </cell>
          <cell r="V16">
            <v>17.32</v>
          </cell>
          <cell r="W16">
            <v>1.27</v>
          </cell>
          <cell r="X16">
            <v>2431</v>
          </cell>
          <cell r="Y16">
            <v>2427.3200000000002</v>
          </cell>
          <cell r="Z16" t="str">
            <v>OS</v>
          </cell>
        </row>
        <row r="17">
          <cell r="D17" t="str">
            <v>1b</v>
          </cell>
          <cell r="E17">
            <v>66</v>
          </cell>
          <cell r="F17">
            <v>72.600000000000009</v>
          </cell>
          <cell r="G17">
            <v>2.84</v>
          </cell>
          <cell r="H17" t="str">
            <v>D</v>
          </cell>
          <cell r="I17">
            <v>2410</v>
          </cell>
          <cell r="J17">
            <v>2393</v>
          </cell>
          <cell r="K17">
            <v>17</v>
          </cell>
          <cell r="L17">
            <v>2431</v>
          </cell>
          <cell r="M17">
            <v>34.320000000000164</v>
          </cell>
          <cell r="N17">
            <v>38</v>
          </cell>
          <cell r="O17">
            <v>63</v>
          </cell>
          <cell r="P17">
            <v>6</v>
          </cell>
          <cell r="Q17">
            <v>53.3</v>
          </cell>
          <cell r="T17">
            <v>2.6136E-2</v>
          </cell>
          <cell r="U17">
            <v>2.93</v>
          </cell>
          <cell r="V17">
            <v>31.39</v>
          </cell>
          <cell r="W17">
            <v>1.27</v>
          </cell>
          <cell r="X17">
            <v>2427.3200000000002</v>
          </cell>
          <cell r="Y17">
            <v>2424.3900000000003</v>
          </cell>
          <cell r="Z17" t="str">
            <v>OS</v>
          </cell>
        </row>
        <row r="18">
          <cell r="D18" t="str">
            <v>1c</v>
          </cell>
          <cell r="E18">
            <v>71</v>
          </cell>
          <cell r="F18">
            <v>78.100000000000009</v>
          </cell>
          <cell r="G18">
            <v>2.84</v>
          </cell>
          <cell r="H18" t="str">
            <v>D</v>
          </cell>
          <cell r="I18">
            <v>2393</v>
          </cell>
          <cell r="J18">
            <v>2374</v>
          </cell>
          <cell r="K18">
            <v>19</v>
          </cell>
          <cell r="L18">
            <v>2431</v>
          </cell>
          <cell r="M18">
            <v>50.390000000000327</v>
          </cell>
          <cell r="N18">
            <v>57</v>
          </cell>
          <cell r="O18">
            <v>63</v>
          </cell>
          <cell r="P18">
            <v>6</v>
          </cell>
          <cell r="Q18">
            <v>53.3</v>
          </cell>
          <cell r="T18">
            <v>2.6136E-2</v>
          </cell>
          <cell r="U18">
            <v>3.15</v>
          </cell>
          <cell r="V18">
            <v>47.24</v>
          </cell>
          <cell r="W18">
            <v>1.27</v>
          </cell>
          <cell r="X18">
            <v>2424.3900000000003</v>
          </cell>
          <cell r="Y18">
            <v>2421.2400000000002</v>
          </cell>
          <cell r="Z18" t="str">
            <v>OS</v>
          </cell>
        </row>
        <row r="19">
          <cell r="D19" t="str">
            <v>1d</v>
          </cell>
          <cell r="E19">
            <v>78</v>
          </cell>
          <cell r="F19">
            <v>85.800000000000011</v>
          </cell>
          <cell r="G19">
            <v>2.84</v>
          </cell>
          <cell r="H19" t="str">
            <v>D</v>
          </cell>
          <cell r="I19">
            <v>2374</v>
          </cell>
          <cell r="J19">
            <v>2354</v>
          </cell>
          <cell r="K19">
            <v>20</v>
          </cell>
          <cell r="L19">
            <v>2431</v>
          </cell>
          <cell r="M19">
            <v>67.240000000000236</v>
          </cell>
          <cell r="N19">
            <v>77</v>
          </cell>
          <cell r="O19">
            <v>63</v>
          </cell>
          <cell r="P19">
            <v>10</v>
          </cell>
          <cell r="Q19">
            <v>47.8</v>
          </cell>
          <cell r="T19">
            <v>2.6370000000000001E-2</v>
          </cell>
          <cell r="U19">
            <v>6.02</v>
          </cell>
          <cell r="V19">
            <v>61.22</v>
          </cell>
          <cell r="W19">
            <v>1.58</v>
          </cell>
          <cell r="X19">
            <v>2421.2400000000002</v>
          </cell>
          <cell r="Y19">
            <v>2415.2200000000003</v>
          </cell>
          <cell r="Z19" t="str">
            <v>OS</v>
          </cell>
        </row>
        <row r="20">
          <cell r="D20" t="str">
            <v>J1</v>
          </cell>
          <cell r="E20">
            <v>52</v>
          </cell>
          <cell r="F20">
            <v>57.2</v>
          </cell>
          <cell r="G20">
            <v>2.84</v>
          </cell>
          <cell r="H20" t="str">
            <v>D</v>
          </cell>
          <cell r="I20">
            <v>2354</v>
          </cell>
          <cell r="J20">
            <v>2340</v>
          </cell>
          <cell r="K20">
            <v>14</v>
          </cell>
          <cell r="L20">
            <v>2431</v>
          </cell>
          <cell r="M20">
            <v>75.220000000000255</v>
          </cell>
          <cell r="N20">
            <v>91</v>
          </cell>
          <cell r="O20">
            <v>63</v>
          </cell>
          <cell r="P20">
            <v>10</v>
          </cell>
          <cell r="Q20">
            <v>47.8</v>
          </cell>
          <cell r="T20">
            <v>2.6370000000000001E-2</v>
          </cell>
          <cell r="U20">
            <v>4.0199999999999996</v>
          </cell>
          <cell r="V20">
            <v>71.2</v>
          </cell>
          <cell r="W20">
            <v>1.58</v>
          </cell>
          <cell r="X20">
            <v>2415.2200000000003</v>
          </cell>
          <cell r="Y20">
            <v>2411.2000000000003</v>
          </cell>
          <cell r="Z20" t="str">
            <v>OS</v>
          </cell>
        </row>
        <row r="22">
          <cell r="D22" t="str">
            <v>J2</v>
          </cell>
          <cell r="E22">
            <v>61.7</v>
          </cell>
          <cell r="F22">
            <v>67.87</v>
          </cell>
          <cell r="G22">
            <v>1.56</v>
          </cell>
          <cell r="H22" t="str">
            <v>L</v>
          </cell>
          <cell r="I22">
            <v>2340</v>
          </cell>
          <cell r="J22">
            <v>2336</v>
          </cell>
          <cell r="K22">
            <v>4</v>
          </cell>
          <cell r="L22">
            <v>2431</v>
          </cell>
          <cell r="M22">
            <v>75.200000000000273</v>
          </cell>
          <cell r="N22">
            <v>95</v>
          </cell>
          <cell r="O22">
            <v>50</v>
          </cell>
          <cell r="P22">
            <v>10</v>
          </cell>
          <cell r="Q22">
            <v>38</v>
          </cell>
          <cell r="T22">
            <v>2.8451000000000001E-2</v>
          </cell>
          <cell r="U22">
            <v>4.8600000000000003</v>
          </cell>
          <cell r="V22">
            <v>70.34</v>
          </cell>
          <cell r="W22">
            <v>1.37</v>
          </cell>
          <cell r="X22">
            <v>2411.2000000000003</v>
          </cell>
          <cell r="Y22">
            <v>2406.34</v>
          </cell>
          <cell r="Z22" t="str">
            <v>OS</v>
          </cell>
        </row>
        <row r="24">
          <cell r="D24" t="str">
            <v>jt1</v>
          </cell>
          <cell r="E24">
            <v>183</v>
          </cell>
          <cell r="F24">
            <v>201.3</v>
          </cell>
          <cell r="G24">
            <v>0.18</v>
          </cell>
          <cell r="H24" t="str">
            <v>L</v>
          </cell>
          <cell r="I24">
            <v>2336</v>
          </cell>
          <cell r="J24">
            <v>2319</v>
          </cell>
          <cell r="K24">
            <v>17</v>
          </cell>
          <cell r="L24">
            <v>2431</v>
          </cell>
          <cell r="M24">
            <v>87.340000000000146</v>
          </cell>
          <cell r="N24">
            <v>112</v>
          </cell>
          <cell r="Q24">
            <v>0</v>
          </cell>
          <cell r="R24">
            <v>32</v>
          </cell>
          <cell r="S24" t="str">
            <v>MC</v>
          </cell>
          <cell r="T24">
            <v>6.3315999999999997E-2</v>
          </cell>
          <cell r="U24">
            <v>0.98</v>
          </cell>
          <cell r="V24">
            <v>86.36</v>
          </cell>
          <cell r="W24">
            <v>0.22</v>
          </cell>
          <cell r="X24">
            <v>2406.34</v>
          </cell>
          <cell r="Y24">
            <v>2405.36</v>
          </cell>
          <cell r="Z24" t="str">
            <v>OS</v>
          </cell>
        </row>
        <row r="26">
          <cell r="D26" t="str">
            <v>jt2</v>
          </cell>
          <cell r="E26">
            <v>68.2</v>
          </cell>
          <cell r="F26">
            <v>75.02000000000001</v>
          </cell>
          <cell r="G26">
            <v>0.12</v>
          </cell>
          <cell r="H26" t="str">
            <v>DL</v>
          </cell>
          <cell r="I26">
            <v>2319</v>
          </cell>
          <cell r="J26">
            <v>2316</v>
          </cell>
          <cell r="K26">
            <v>3</v>
          </cell>
          <cell r="L26">
            <v>2431</v>
          </cell>
          <cell r="M26">
            <v>89.360000000000127</v>
          </cell>
          <cell r="N26">
            <v>115</v>
          </cell>
          <cell r="Q26">
            <v>0</v>
          </cell>
          <cell r="R26">
            <v>25</v>
          </cell>
          <cell r="S26" t="str">
            <v>MC</v>
          </cell>
          <cell r="T26">
            <v>6.9986000000000007E-2</v>
          </cell>
          <cell r="U26">
            <v>0.62</v>
          </cell>
          <cell r="V26">
            <v>88.74</v>
          </cell>
          <cell r="W26">
            <v>0.24</v>
          </cell>
          <cell r="X26">
            <v>2405.36</v>
          </cell>
          <cell r="Y26">
            <v>2404.7400000000002</v>
          </cell>
          <cell r="Z26" t="str">
            <v>OS</v>
          </cell>
        </row>
        <row r="28">
          <cell r="D28" t="str">
            <v>jt3</v>
          </cell>
          <cell r="E28">
            <v>45.2</v>
          </cell>
          <cell r="F28">
            <v>49.720000000000006</v>
          </cell>
          <cell r="G28">
            <v>0.06</v>
          </cell>
          <cell r="H28" t="str">
            <v>DL</v>
          </cell>
          <cell r="I28">
            <v>2316</v>
          </cell>
          <cell r="J28">
            <v>2314</v>
          </cell>
          <cell r="K28">
            <v>2</v>
          </cell>
          <cell r="L28">
            <v>2431</v>
          </cell>
          <cell r="M28">
            <v>90.740000000000236</v>
          </cell>
          <cell r="N28">
            <v>117</v>
          </cell>
          <cell r="Q28">
            <v>0</v>
          </cell>
          <cell r="R28">
            <v>25</v>
          </cell>
          <cell r="S28" t="str">
            <v>MC</v>
          </cell>
          <cell r="T28">
            <v>7.4720999999999996E-2</v>
          </cell>
          <cell r="U28">
            <v>0.11</v>
          </cell>
          <cell r="V28">
            <v>90.63</v>
          </cell>
          <cell r="W28">
            <v>0.12</v>
          </cell>
          <cell r="X28">
            <v>2404.7400000000002</v>
          </cell>
          <cell r="Y28">
            <v>2404.63</v>
          </cell>
          <cell r="Z28" t="str">
            <v>OS</v>
          </cell>
        </row>
        <row r="30">
          <cell r="D30" t="str">
            <v>jt4</v>
          </cell>
          <cell r="E30">
            <v>191</v>
          </cell>
          <cell r="F30">
            <v>210.10000000000002</v>
          </cell>
          <cell r="G30">
            <v>0.06</v>
          </cell>
          <cell r="H30" t="str">
            <v>L</v>
          </cell>
          <cell r="I30">
            <v>2319</v>
          </cell>
          <cell r="J30">
            <v>2321</v>
          </cell>
          <cell r="K30">
            <v>-2</v>
          </cell>
          <cell r="L30">
            <v>2431</v>
          </cell>
          <cell r="M30">
            <v>84.360000000000127</v>
          </cell>
          <cell r="N30">
            <v>112</v>
          </cell>
          <cell r="Q30">
            <v>0</v>
          </cell>
          <cell r="R30">
            <v>25</v>
          </cell>
          <cell r="S30" t="str">
            <v>MC</v>
          </cell>
          <cell r="T30">
            <v>7.4720999999999996E-2</v>
          </cell>
          <cell r="U30">
            <v>0.46</v>
          </cell>
          <cell r="V30">
            <v>83.9</v>
          </cell>
          <cell r="W30">
            <v>0.12</v>
          </cell>
          <cell r="X30">
            <v>2405.36</v>
          </cell>
          <cell r="Y30">
            <v>2404.9</v>
          </cell>
          <cell r="Z30" t="str">
            <v>OS</v>
          </cell>
        </row>
        <row r="32">
          <cell r="D32" t="str">
            <v>jt5</v>
          </cell>
          <cell r="E32">
            <v>100</v>
          </cell>
          <cell r="F32">
            <v>110.00000000000001</v>
          </cell>
          <cell r="G32">
            <v>1.38</v>
          </cell>
          <cell r="H32" t="str">
            <v>D</v>
          </cell>
          <cell r="I32">
            <v>2336</v>
          </cell>
          <cell r="J32">
            <v>2315</v>
          </cell>
          <cell r="K32">
            <v>21</v>
          </cell>
          <cell r="L32">
            <v>2431</v>
          </cell>
          <cell r="M32">
            <v>91.340000000000146</v>
          </cell>
          <cell r="N32">
            <v>116</v>
          </cell>
          <cell r="Q32">
            <v>0</v>
          </cell>
          <cell r="R32">
            <v>40</v>
          </cell>
          <cell r="S32" t="str">
            <v>MC</v>
          </cell>
          <cell r="T32">
            <v>5.4079000000000002E-2</v>
          </cell>
          <cell r="U32">
            <v>9.17</v>
          </cell>
          <cell r="V32">
            <v>82.17</v>
          </cell>
          <cell r="W32">
            <v>1.1000000000000001</v>
          </cell>
          <cell r="X32">
            <v>2406.34</v>
          </cell>
          <cell r="Y32">
            <v>2397.17</v>
          </cell>
          <cell r="Z32" t="str">
            <v>OS</v>
          </cell>
        </row>
        <row r="34">
          <cell r="D34" t="str">
            <v>jt8</v>
          </cell>
          <cell r="E34">
            <v>71.599999999999994</v>
          </cell>
          <cell r="F34">
            <v>78.760000000000005</v>
          </cell>
          <cell r="G34">
            <v>0.06</v>
          </cell>
          <cell r="H34" t="str">
            <v>DR</v>
          </cell>
          <cell r="I34">
            <v>2315</v>
          </cell>
          <cell r="J34">
            <v>2305</v>
          </cell>
          <cell r="K34">
            <v>10</v>
          </cell>
          <cell r="L34">
            <v>2431</v>
          </cell>
          <cell r="M34">
            <v>92.170000000000073</v>
          </cell>
          <cell r="N34">
            <v>126</v>
          </cell>
          <cell r="Q34">
            <v>0</v>
          </cell>
          <cell r="R34">
            <v>25</v>
          </cell>
          <cell r="S34" t="str">
            <v>MC</v>
          </cell>
          <cell r="T34">
            <v>7.4720999999999996E-2</v>
          </cell>
          <cell r="U34">
            <v>0.17</v>
          </cell>
          <cell r="V34">
            <v>92</v>
          </cell>
          <cell r="W34">
            <v>0.12</v>
          </cell>
          <cell r="X34">
            <v>2397.17</v>
          </cell>
          <cell r="Y34">
            <v>2397</v>
          </cell>
          <cell r="Z34" t="str">
            <v>OS</v>
          </cell>
        </row>
        <row r="36">
          <cell r="D36" t="str">
            <v>jt6</v>
          </cell>
          <cell r="E36">
            <v>55</v>
          </cell>
          <cell r="F36">
            <v>60.500000000000007</v>
          </cell>
          <cell r="G36">
            <v>1.26</v>
          </cell>
          <cell r="H36" t="str">
            <v>DL</v>
          </cell>
          <cell r="I36">
            <v>2315</v>
          </cell>
          <cell r="J36">
            <v>2310</v>
          </cell>
          <cell r="K36">
            <v>5</v>
          </cell>
          <cell r="L36">
            <v>2431</v>
          </cell>
          <cell r="M36">
            <v>87.170000000000073</v>
          </cell>
          <cell r="N36">
            <v>121</v>
          </cell>
          <cell r="Q36">
            <v>0</v>
          </cell>
          <cell r="R36">
            <v>40</v>
          </cell>
          <cell r="S36" t="str">
            <v>MC</v>
          </cell>
          <cell r="T36">
            <v>5.4177000000000003E-2</v>
          </cell>
          <cell r="U36">
            <v>4.18</v>
          </cell>
          <cell r="V36">
            <v>82.99</v>
          </cell>
          <cell r="W36">
            <v>1</v>
          </cell>
          <cell r="X36">
            <v>2397.17</v>
          </cell>
          <cell r="Y36">
            <v>2392.9900000000002</v>
          </cell>
          <cell r="Z36" t="str">
            <v>OS</v>
          </cell>
        </row>
        <row r="38">
          <cell r="D38" t="str">
            <v>jt7</v>
          </cell>
          <cell r="E38">
            <v>15.6</v>
          </cell>
          <cell r="F38">
            <v>17.16</v>
          </cell>
          <cell r="G38">
            <v>1.1399999999999999</v>
          </cell>
          <cell r="H38" t="str">
            <v>D</v>
          </cell>
          <cell r="I38">
            <v>2310</v>
          </cell>
          <cell r="J38">
            <v>2309</v>
          </cell>
          <cell r="K38">
            <v>1</v>
          </cell>
          <cell r="L38">
            <v>2431</v>
          </cell>
          <cell r="M38">
            <v>83.990000000000236</v>
          </cell>
          <cell r="N38">
            <v>122</v>
          </cell>
          <cell r="Q38">
            <v>0</v>
          </cell>
          <cell r="R38">
            <v>40</v>
          </cell>
          <cell r="S38" t="str">
            <v>MC</v>
          </cell>
          <cell r="T38">
            <v>5.4283999999999999E-2</v>
          </cell>
          <cell r="U38">
            <v>0.98</v>
          </cell>
          <cell r="V38">
            <v>83.01</v>
          </cell>
          <cell r="W38">
            <v>0.91</v>
          </cell>
          <cell r="X38">
            <v>2392.9900000000002</v>
          </cell>
          <cell r="Y38">
            <v>2392.0100000000002</v>
          </cell>
          <cell r="Z38" t="str">
            <v>OS</v>
          </cell>
        </row>
        <row r="40">
          <cell r="D40" t="str">
            <v>jt9</v>
          </cell>
          <cell r="E40">
            <v>31.9</v>
          </cell>
          <cell r="F40">
            <v>35.090000000000003</v>
          </cell>
          <cell r="G40">
            <v>0.36</v>
          </cell>
          <cell r="H40" t="str">
            <v>D</v>
          </cell>
          <cell r="I40">
            <v>2309</v>
          </cell>
          <cell r="J40">
            <v>2303</v>
          </cell>
          <cell r="K40">
            <v>6</v>
          </cell>
          <cell r="L40">
            <v>2431</v>
          </cell>
          <cell r="M40">
            <v>89.010000000000218</v>
          </cell>
          <cell r="N40">
            <v>128</v>
          </cell>
          <cell r="Q40">
            <v>0</v>
          </cell>
          <cell r="R40">
            <v>32</v>
          </cell>
          <cell r="S40" t="str">
            <v>MC</v>
          </cell>
          <cell r="T40">
            <v>6.0775999999999997E-2</v>
          </cell>
          <cell r="U40">
            <v>0.69</v>
          </cell>
          <cell r="V40">
            <v>88.32</v>
          </cell>
          <cell r="W40">
            <v>0.45</v>
          </cell>
          <cell r="X40">
            <v>2392.0100000000002</v>
          </cell>
          <cell r="Y40">
            <v>2391.3200000000002</v>
          </cell>
          <cell r="Z40" t="str">
            <v>OS</v>
          </cell>
        </row>
        <row r="42">
          <cell r="D42" t="str">
            <v>jt10</v>
          </cell>
          <cell r="E42">
            <v>13.2</v>
          </cell>
          <cell r="F42">
            <v>14.52</v>
          </cell>
          <cell r="G42">
            <v>0.3</v>
          </cell>
          <cell r="H42" t="str">
            <v>DL</v>
          </cell>
          <cell r="I42">
            <v>2303</v>
          </cell>
          <cell r="J42">
            <v>2302</v>
          </cell>
          <cell r="K42">
            <v>1</v>
          </cell>
          <cell r="L42">
            <v>2431</v>
          </cell>
          <cell r="M42">
            <v>89.320000000000164</v>
          </cell>
          <cell r="N42">
            <v>129</v>
          </cell>
          <cell r="Q42">
            <v>0</v>
          </cell>
          <cell r="R42">
            <v>32</v>
          </cell>
          <cell r="S42" t="str">
            <v>MC</v>
          </cell>
          <cell r="T42">
            <v>6.1317000000000003E-2</v>
          </cell>
          <cell r="U42">
            <v>0.19</v>
          </cell>
          <cell r="V42">
            <v>89.13</v>
          </cell>
          <cell r="W42">
            <v>0.37</v>
          </cell>
          <cell r="X42">
            <v>2391.3200000000002</v>
          </cell>
          <cell r="Y42">
            <v>2391.13</v>
          </cell>
          <cell r="Z42" t="str">
            <v>OS</v>
          </cell>
        </row>
        <row r="44">
          <cell r="D44" t="str">
            <v>jt11</v>
          </cell>
          <cell r="E44">
            <v>40.200000000000003</v>
          </cell>
          <cell r="F44">
            <v>44.220000000000006</v>
          </cell>
          <cell r="G44">
            <v>0.24</v>
          </cell>
          <cell r="H44" t="str">
            <v>D</v>
          </cell>
          <cell r="I44">
            <v>2303</v>
          </cell>
          <cell r="J44">
            <v>2299</v>
          </cell>
          <cell r="K44">
            <v>4</v>
          </cell>
          <cell r="L44">
            <v>2431</v>
          </cell>
          <cell r="M44">
            <v>92.320000000000164</v>
          </cell>
          <cell r="N44">
            <v>132</v>
          </cell>
          <cell r="Q44">
            <v>0</v>
          </cell>
          <cell r="R44">
            <v>25</v>
          </cell>
          <cell r="S44" t="str">
            <v>MC</v>
          </cell>
          <cell r="T44">
            <v>6.7362000000000005E-2</v>
          </cell>
          <cell r="U44">
            <v>1.46</v>
          </cell>
          <cell r="V44">
            <v>90.86</v>
          </cell>
          <cell r="W44">
            <v>0.49</v>
          </cell>
          <cell r="X44">
            <v>2391.3200000000002</v>
          </cell>
          <cell r="Y44">
            <v>2389.86</v>
          </cell>
          <cell r="Z44" t="str">
            <v>OS</v>
          </cell>
        </row>
        <row r="46">
          <cell r="D46" t="str">
            <v>jt12</v>
          </cell>
          <cell r="E46">
            <v>14.4</v>
          </cell>
          <cell r="F46">
            <v>15.840000000000002</v>
          </cell>
          <cell r="G46">
            <v>0.18</v>
          </cell>
          <cell r="H46" t="str">
            <v>D</v>
          </cell>
          <cell r="I46">
            <v>2299</v>
          </cell>
          <cell r="J46">
            <v>2298</v>
          </cell>
          <cell r="K46">
            <v>1</v>
          </cell>
          <cell r="L46">
            <v>2431</v>
          </cell>
          <cell r="M46">
            <v>91.860000000000127</v>
          </cell>
          <cell r="N46">
            <v>133</v>
          </cell>
          <cell r="Q46">
            <v>0</v>
          </cell>
          <cell r="R46">
            <v>25</v>
          </cell>
          <cell r="S46" t="str">
            <v>MC</v>
          </cell>
          <cell r="T46">
            <v>6.8196999999999994E-2</v>
          </cell>
          <cell r="U46">
            <v>0.3</v>
          </cell>
          <cell r="V46">
            <v>91.56</v>
          </cell>
          <cell r="W46">
            <v>0.37</v>
          </cell>
          <cell r="X46">
            <v>2389.86</v>
          </cell>
          <cell r="Y46">
            <v>2389.56</v>
          </cell>
          <cell r="Z46" t="str">
            <v>OS</v>
          </cell>
        </row>
        <row r="48">
          <cell r="D48" t="str">
            <v>jt13</v>
          </cell>
          <cell r="E48">
            <v>11</v>
          </cell>
          <cell r="F48">
            <v>12.100000000000001</v>
          </cell>
          <cell r="G48">
            <v>0.12</v>
          </cell>
          <cell r="H48" t="str">
            <v>D</v>
          </cell>
          <cell r="I48">
            <v>2298</v>
          </cell>
          <cell r="J48">
            <v>2298</v>
          </cell>
          <cell r="K48">
            <v>0</v>
          </cell>
          <cell r="L48">
            <v>2431</v>
          </cell>
          <cell r="M48">
            <v>91.559999999999945</v>
          </cell>
          <cell r="N48">
            <v>133</v>
          </cell>
          <cell r="Q48">
            <v>0</v>
          </cell>
          <cell r="R48">
            <v>25</v>
          </cell>
          <cell r="S48" t="str">
            <v>MC</v>
          </cell>
          <cell r="T48">
            <v>6.9986000000000007E-2</v>
          </cell>
          <cell r="U48">
            <v>0.1</v>
          </cell>
          <cell r="V48">
            <v>91.46</v>
          </cell>
          <cell r="W48">
            <v>0.24</v>
          </cell>
          <cell r="X48">
            <v>2389.56</v>
          </cell>
          <cell r="Y48">
            <v>2389.46</v>
          </cell>
          <cell r="Z48" t="str">
            <v>OS</v>
          </cell>
        </row>
        <row r="50">
          <cell r="D50" t="str">
            <v>jt14</v>
          </cell>
          <cell r="E50">
            <v>43</v>
          </cell>
          <cell r="F50">
            <v>47.300000000000004</v>
          </cell>
          <cell r="G50">
            <v>0.78</v>
          </cell>
          <cell r="H50" t="str">
            <v>DR</v>
          </cell>
          <cell r="I50">
            <v>2309</v>
          </cell>
          <cell r="J50">
            <v>2306</v>
          </cell>
          <cell r="K50">
            <v>3</v>
          </cell>
          <cell r="L50">
            <v>2431</v>
          </cell>
          <cell r="M50">
            <v>86.010000000000218</v>
          </cell>
          <cell r="N50">
            <v>125</v>
          </cell>
          <cell r="Q50">
            <v>0</v>
          </cell>
          <cell r="R50">
            <v>25</v>
          </cell>
          <cell r="S50" t="str">
            <v>MC</v>
          </cell>
          <cell r="T50">
            <v>6.5520999999999996E-2</v>
          </cell>
          <cell r="U50">
            <v>15.97</v>
          </cell>
          <cell r="V50">
            <v>70.040000000000006</v>
          </cell>
          <cell r="W50">
            <v>1.59</v>
          </cell>
          <cell r="X50">
            <v>2392.0100000000002</v>
          </cell>
          <cell r="Y50">
            <v>2376.0400000000004</v>
          </cell>
          <cell r="Z50" t="str">
            <v>OS</v>
          </cell>
        </row>
        <row r="52">
          <cell r="D52" t="str">
            <v>jt15</v>
          </cell>
          <cell r="E52">
            <v>25.1</v>
          </cell>
          <cell r="F52">
            <v>27.610000000000003</v>
          </cell>
          <cell r="G52">
            <v>0.72</v>
          </cell>
          <cell r="H52" t="str">
            <v>DR</v>
          </cell>
          <cell r="I52">
            <v>2306</v>
          </cell>
          <cell r="J52">
            <v>2302</v>
          </cell>
          <cell r="K52">
            <v>4</v>
          </cell>
          <cell r="L52">
            <v>2431</v>
          </cell>
          <cell r="M52">
            <v>74.040000000000418</v>
          </cell>
          <cell r="N52">
            <v>129</v>
          </cell>
          <cell r="Q52">
            <v>0</v>
          </cell>
          <cell r="R52">
            <v>40</v>
          </cell>
          <cell r="S52" t="str">
            <v>MC</v>
          </cell>
          <cell r="T52">
            <v>5.4977999999999999E-2</v>
          </cell>
          <cell r="U52">
            <v>0.63</v>
          </cell>
          <cell r="V52">
            <v>73.41</v>
          </cell>
          <cell r="W52">
            <v>0.56999999999999995</v>
          </cell>
          <cell r="X52">
            <v>2376.0400000000004</v>
          </cell>
          <cell r="Y52">
            <v>2375.4100000000003</v>
          </cell>
          <cell r="Z52" t="str">
            <v>OS</v>
          </cell>
        </row>
        <row r="54">
          <cell r="D54" t="str">
            <v>jt16</v>
          </cell>
          <cell r="E54">
            <v>12.9</v>
          </cell>
          <cell r="F54">
            <v>14.190000000000001</v>
          </cell>
          <cell r="G54">
            <v>0.66</v>
          </cell>
          <cell r="H54" t="str">
            <v>DR</v>
          </cell>
          <cell r="I54">
            <v>2302</v>
          </cell>
          <cell r="J54">
            <v>2301</v>
          </cell>
          <cell r="K54">
            <v>1</v>
          </cell>
          <cell r="L54">
            <v>2431</v>
          </cell>
          <cell r="M54">
            <v>74.410000000000309</v>
          </cell>
          <cell r="N54">
            <v>130</v>
          </cell>
          <cell r="Q54">
            <v>0</v>
          </cell>
          <cell r="R54">
            <v>40</v>
          </cell>
          <cell r="S54" t="str">
            <v>MC</v>
          </cell>
          <cell r="T54">
            <v>5.5116999999999999E-2</v>
          </cell>
          <cell r="U54">
            <v>0.28000000000000003</v>
          </cell>
          <cell r="V54">
            <v>74.13</v>
          </cell>
          <cell r="W54">
            <v>0.53</v>
          </cell>
          <cell r="X54">
            <v>2375.4100000000003</v>
          </cell>
          <cell r="Y54">
            <v>2375.13</v>
          </cell>
          <cell r="Z54" t="str">
            <v>OS</v>
          </cell>
        </row>
        <row r="56">
          <cell r="D56" t="str">
            <v>jt17</v>
          </cell>
          <cell r="E56">
            <v>17</v>
          </cell>
          <cell r="F56">
            <v>18.700000000000003</v>
          </cell>
          <cell r="G56">
            <v>0.6</v>
          </cell>
          <cell r="H56" t="str">
            <v>DR</v>
          </cell>
          <cell r="I56">
            <v>2301</v>
          </cell>
          <cell r="J56">
            <v>2300</v>
          </cell>
          <cell r="K56">
            <v>1</v>
          </cell>
          <cell r="L56">
            <v>2431</v>
          </cell>
          <cell r="M56">
            <v>75.130000000000109</v>
          </cell>
          <cell r="N56">
            <v>131</v>
          </cell>
          <cell r="Q56">
            <v>0</v>
          </cell>
          <cell r="R56">
            <v>40</v>
          </cell>
          <cell r="S56" t="str">
            <v>MC</v>
          </cell>
          <cell r="T56">
            <v>5.5321000000000002E-2</v>
          </cell>
          <cell r="U56">
            <v>0.3</v>
          </cell>
          <cell r="V56">
            <v>74.83</v>
          </cell>
          <cell r="W56">
            <v>0.48</v>
          </cell>
          <cell r="X56">
            <v>2375.13</v>
          </cell>
          <cell r="Y56">
            <v>2374.83</v>
          </cell>
          <cell r="Z56" t="str">
            <v>OS</v>
          </cell>
        </row>
        <row r="58">
          <cell r="D58" t="str">
            <v>jt18</v>
          </cell>
          <cell r="E58">
            <v>25.5</v>
          </cell>
          <cell r="F58">
            <v>28.05</v>
          </cell>
          <cell r="G58">
            <v>0.48</v>
          </cell>
          <cell r="H58" t="str">
            <v>DR</v>
          </cell>
          <cell r="I58">
            <v>2300</v>
          </cell>
          <cell r="J58">
            <v>2295</v>
          </cell>
          <cell r="K58">
            <v>5</v>
          </cell>
          <cell r="L58">
            <v>2431</v>
          </cell>
          <cell r="M58">
            <v>79.829999999999927</v>
          </cell>
          <cell r="N58">
            <v>136</v>
          </cell>
          <cell r="Q58">
            <v>0</v>
          </cell>
          <cell r="R58">
            <v>40</v>
          </cell>
          <cell r="S58" t="str">
            <v>MC</v>
          </cell>
          <cell r="T58">
            <v>5.5883000000000002E-2</v>
          </cell>
          <cell r="U58">
            <v>0.28999999999999998</v>
          </cell>
          <cell r="V58">
            <v>79.540000000000006</v>
          </cell>
          <cell r="W58">
            <v>0.38</v>
          </cell>
          <cell r="X58">
            <v>2374.83</v>
          </cell>
          <cell r="Y58">
            <v>2374.54</v>
          </cell>
          <cell r="Z58" t="str">
            <v>OS</v>
          </cell>
        </row>
        <row r="60">
          <cell r="D60" t="str">
            <v>jt19</v>
          </cell>
          <cell r="E60">
            <v>11.7</v>
          </cell>
          <cell r="F60">
            <v>12.870000000000001</v>
          </cell>
          <cell r="G60">
            <v>0.42</v>
          </cell>
          <cell r="H60" t="str">
            <v>DR</v>
          </cell>
          <cell r="I60">
            <v>2295</v>
          </cell>
          <cell r="J60">
            <v>2293</v>
          </cell>
          <cell r="K60">
            <v>2</v>
          </cell>
          <cell r="L60">
            <v>2431</v>
          </cell>
          <cell r="M60">
            <v>81.539999999999964</v>
          </cell>
          <cell r="N60">
            <v>138</v>
          </cell>
          <cell r="Q60">
            <v>0</v>
          </cell>
          <cell r="R60">
            <v>40</v>
          </cell>
          <cell r="S60" t="str">
            <v>MC</v>
          </cell>
          <cell r="T60">
            <v>5.6285000000000002E-2</v>
          </cell>
          <cell r="U60">
            <v>0.1</v>
          </cell>
          <cell r="V60">
            <v>81.44</v>
          </cell>
          <cell r="W60">
            <v>0.33</v>
          </cell>
          <cell r="X60">
            <v>2374.54</v>
          </cell>
          <cell r="Y60">
            <v>2374.44</v>
          </cell>
          <cell r="Z60" t="str">
            <v>OS</v>
          </cell>
        </row>
        <row r="62">
          <cell r="D62" t="str">
            <v>jt21</v>
          </cell>
          <cell r="E62">
            <v>143</v>
          </cell>
          <cell r="F62">
            <v>157.30000000000001</v>
          </cell>
          <cell r="G62">
            <v>0.12</v>
          </cell>
          <cell r="H62" t="str">
            <v>D</v>
          </cell>
          <cell r="I62">
            <v>2293</v>
          </cell>
          <cell r="J62">
            <v>2282</v>
          </cell>
          <cell r="K62">
            <v>11</v>
          </cell>
          <cell r="L62">
            <v>2431</v>
          </cell>
          <cell r="M62">
            <v>92.440000000000055</v>
          </cell>
          <cell r="N62">
            <v>149</v>
          </cell>
          <cell r="Q62">
            <v>0</v>
          </cell>
          <cell r="R62">
            <v>25</v>
          </cell>
          <cell r="S62" t="str">
            <v>MC</v>
          </cell>
          <cell r="T62">
            <v>6.9986000000000007E-2</v>
          </cell>
          <cell r="U62">
            <v>1.29</v>
          </cell>
          <cell r="V62">
            <v>91.15</v>
          </cell>
          <cell r="W62">
            <v>0.24</v>
          </cell>
          <cell r="X62">
            <v>2374.44</v>
          </cell>
          <cell r="Y62">
            <v>2373.15</v>
          </cell>
          <cell r="Z62" t="str">
            <v>OS</v>
          </cell>
        </row>
        <row r="64">
          <cell r="D64" t="str">
            <v>jt22</v>
          </cell>
          <cell r="E64">
            <v>18.8</v>
          </cell>
          <cell r="F64">
            <v>20.680000000000003</v>
          </cell>
          <cell r="G64">
            <v>0.06</v>
          </cell>
          <cell r="H64" t="str">
            <v>DR</v>
          </cell>
          <cell r="I64">
            <v>2282</v>
          </cell>
          <cell r="J64">
            <v>2281</v>
          </cell>
          <cell r="K64">
            <v>1</v>
          </cell>
          <cell r="L64">
            <v>2431</v>
          </cell>
          <cell r="M64">
            <v>92.150000000000091</v>
          </cell>
          <cell r="N64">
            <v>150</v>
          </cell>
          <cell r="Q64">
            <v>0</v>
          </cell>
          <cell r="R64">
            <v>25</v>
          </cell>
          <cell r="S64" t="str">
            <v>MC</v>
          </cell>
          <cell r="T64">
            <v>7.4720999999999996E-2</v>
          </cell>
          <cell r="U64">
            <v>0.05</v>
          </cell>
          <cell r="V64">
            <v>92.1</v>
          </cell>
          <cell r="W64">
            <v>0.12</v>
          </cell>
          <cell r="X64">
            <v>2373.15</v>
          </cell>
          <cell r="Y64">
            <v>2373.1</v>
          </cell>
          <cell r="Z64" t="str">
            <v>OS</v>
          </cell>
        </row>
        <row r="66">
          <cell r="D66" t="str">
            <v>jt20</v>
          </cell>
          <cell r="E66">
            <v>18</v>
          </cell>
          <cell r="F66">
            <v>19.8</v>
          </cell>
          <cell r="G66">
            <v>0.18</v>
          </cell>
          <cell r="H66" t="str">
            <v>DR</v>
          </cell>
          <cell r="I66">
            <v>2293</v>
          </cell>
          <cell r="J66">
            <v>2292</v>
          </cell>
          <cell r="K66">
            <v>1</v>
          </cell>
          <cell r="L66">
            <v>2431</v>
          </cell>
          <cell r="M66">
            <v>82.440000000000055</v>
          </cell>
          <cell r="N66">
            <v>139</v>
          </cell>
          <cell r="Q66">
            <v>0</v>
          </cell>
          <cell r="R66">
            <v>25</v>
          </cell>
          <cell r="S66" t="str">
            <v>MC</v>
          </cell>
          <cell r="T66">
            <v>6.8196999999999994E-2</v>
          </cell>
          <cell r="U66">
            <v>0.38</v>
          </cell>
          <cell r="V66">
            <v>82.06</v>
          </cell>
          <cell r="W66">
            <v>0.37</v>
          </cell>
          <cell r="X66">
            <v>2374.44</v>
          </cell>
          <cell r="Y66">
            <v>2374.06</v>
          </cell>
          <cell r="Z66" t="str">
            <v>OS</v>
          </cell>
        </row>
        <row r="68">
          <cell r="D68" t="str">
            <v>jt23</v>
          </cell>
          <cell r="E68">
            <v>40.799999999999997</v>
          </cell>
          <cell r="F68">
            <v>44.88</v>
          </cell>
          <cell r="G68">
            <v>0.12</v>
          </cell>
          <cell r="H68" t="str">
            <v>DR</v>
          </cell>
          <cell r="I68">
            <v>2292</v>
          </cell>
          <cell r="J68">
            <v>2288</v>
          </cell>
          <cell r="K68">
            <v>4</v>
          </cell>
          <cell r="L68">
            <v>2431</v>
          </cell>
          <cell r="M68">
            <v>86.059999999999945</v>
          </cell>
          <cell r="N68">
            <v>143</v>
          </cell>
          <cell r="Q68">
            <v>0</v>
          </cell>
          <cell r="R68">
            <v>25</v>
          </cell>
          <cell r="S68" t="str">
            <v>MC</v>
          </cell>
          <cell r="T68">
            <v>6.9986000000000007E-2</v>
          </cell>
          <cell r="U68">
            <v>0.37</v>
          </cell>
          <cell r="V68">
            <v>85.69</v>
          </cell>
          <cell r="W68">
            <v>0.24</v>
          </cell>
          <cell r="X68">
            <v>2374.06</v>
          </cell>
          <cell r="Y68">
            <v>2373.69</v>
          </cell>
          <cell r="Z68" t="str">
            <v>OS</v>
          </cell>
        </row>
        <row r="70">
          <cell r="D70" t="str">
            <v>jt24</v>
          </cell>
          <cell r="E70">
            <v>31.5</v>
          </cell>
          <cell r="F70">
            <v>34.650000000000006</v>
          </cell>
          <cell r="G70">
            <v>0.06</v>
          </cell>
          <cell r="H70" t="str">
            <v>DR</v>
          </cell>
          <cell r="I70">
            <v>2288</v>
          </cell>
          <cell r="J70">
            <v>2286</v>
          </cell>
          <cell r="K70">
            <v>2</v>
          </cell>
          <cell r="L70">
            <v>2431</v>
          </cell>
          <cell r="M70">
            <v>87.690000000000055</v>
          </cell>
          <cell r="N70">
            <v>145</v>
          </cell>
          <cell r="Q70">
            <v>0</v>
          </cell>
          <cell r="R70">
            <v>25</v>
          </cell>
          <cell r="S70" t="str">
            <v>MC</v>
          </cell>
          <cell r="T70">
            <v>7.4720999999999996E-2</v>
          </cell>
          <cell r="U70">
            <v>0.08</v>
          </cell>
          <cell r="V70">
            <v>87.61</v>
          </cell>
          <cell r="W70">
            <v>0.12</v>
          </cell>
          <cell r="X70">
            <v>2373.69</v>
          </cell>
          <cell r="Y70">
            <v>2373.61</v>
          </cell>
          <cell r="Z70" t="str">
            <v>OS</v>
          </cell>
        </row>
        <row r="72">
          <cell r="D72" t="str">
            <v>J3</v>
          </cell>
          <cell r="E72">
            <v>76.599999999999994</v>
          </cell>
          <cell r="F72">
            <v>84.26</v>
          </cell>
          <cell r="G72">
            <v>1.26</v>
          </cell>
          <cell r="H72" t="str">
            <v>R</v>
          </cell>
          <cell r="I72">
            <v>2340</v>
          </cell>
          <cell r="J72">
            <v>2338</v>
          </cell>
          <cell r="K72">
            <v>2</v>
          </cell>
          <cell r="L72">
            <v>2431</v>
          </cell>
          <cell r="M72">
            <v>73.200000000000273</v>
          </cell>
          <cell r="N72">
            <v>93</v>
          </cell>
          <cell r="O72">
            <v>50</v>
          </cell>
          <cell r="P72">
            <v>10</v>
          </cell>
          <cell r="Q72">
            <v>38</v>
          </cell>
          <cell r="T72">
            <v>2.9073000000000002E-2</v>
          </cell>
          <cell r="U72">
            <v>4.05</v>
          </cell>
          <cell r="V72">
            <v>69.150000000000006</v>
          </cell>
          <cell r="W72">
            <v>1.1100000000000001</v>
          </cell>
          <cell r="X72">
            <v>2411.2000000000003</v>
          </cell>
          <cell r="Y72">
            <v>2407.15</v>
          </cell>
          <cell r="Z72" t="str">
            <v>OS</v>
          </cell>
        </row>
        <row r="74">
          <cell r="D74" t="str">
            <v>jt25</v>
          </cell>
          <cell r="E74">
            <v>99.1</v>
          </cell>
          <cell r="F74">
            <v>109.01</v>
          </cell>
          <cell r="G74">
            <v>0.84</v>
          </cell>
          <cell r="H74" t="str">
            <v>D</v>
          </cell>
          <cell r="I74">
            <v>2338</v>
          </cell>
          <cell r="J74">
            <v>2300</v>
          </cell>
          <cell r="K74">
            <v>38</v>
          </cell>
          <cell r="L74">
            <v>2431</v>
          </cell>
          <cell r="M74">
            <v>107.15000000000009</v>
          </cell>
          <cell r="N74">
            <v>131</v>
          </cell>
          <cell r="Q74">
            <v>0</v>
          </cell>
          <cell r="R74">
            <v>40</v>
          </cell>
          <cell r="S74" t="str">
            <v>MC</v>
          </cell>
          <cell r="T74">
            <v>5.4703000000000002E-2</v>
          </cell>
          <cell r="U74">
            <v>3.41</v>
          </cell>
          <cell r="V74">
            <v>103.74</v>
          </cell>
          <cell r="W74">
            <v>0.67</v>
          </cell>
          <cell r="X74">
            <v>2407.15</v>
          </cell>
          <cell r="Y74">
            <v>2403.7400000000002</v>
          </cell>
          <cell r="Z74" t="str">
            <v>OS</v>
          </cell>
        </row>
        <row r="76">
          <cell r="D76" t="str">
            <v>jt26</v>
          </cell>
          <cell r="E76">
            <v>37.4</v>
          </cell>
          <cell r="F76">
            <v>41.14</v>
          </cell>
          <cell r="G76">
            <v>0.06</v>
          </cell>
          <cell r="H76" t="str">
            <v>D</v>
          </cell>
          <cell r="I76">
            <v>2300</v>
          </cell>
          <cell r="J76">
            <v>2291</v>
          </cell>
          <cell r="K76">
            <v>9</v>
          </cell>
          <cell r="L76">
            <v>2431</v>
          </cell>
          <cell r="M76">
            <v>112.74000000000024</v>
          </cell>
          <cell r="N76">
            <v>140</v>
          </cell>
          <cell r="Q76">
            <v>0</v>
          </cell>
          <cell r="R76">
            <v>40</v>
          </cell>
          <cell r="S76" t="str">
            <v>MC</v>
          </cell>
          <cell r="T76">
            <v>7.0185999999999998E-2</v>
          </cell>
          <cell r="U76">
            <v>0.01</v>
          </cell>
          <cell r="V76">
            <v>112.73</v>
          </cell>
          <cell r="W76">
            <v>0.05</v>
          </cell>
          <cell r="X76">
            <v>2403.7400000000002</v>
          </cell>
          <cell r="Y76">
            <v>2403.73</v>
          </cell>
          <cell r="Z76" t="str">
            <v>OS</v>
          </cell>
        </row>
        <row r="78">
          <cell r="D78" t="str">
            <v>jt27</v>
          </cell>
          <cell r="E78">
            <v>142</v>
          </cell>
          <cell r="F78">
            <v>156.20000000000002</v>
          </cell>
          <cell r="G78">
            <v>0.66</v>
          </cell>
          <cell r="H78" t="str">
            <v>DR</v>
          </cell>
          <cell r="I78">
            <v>2300</v>
          </cell>
          <cell r="J78">
            <v>2301</v>
          </cell>
          <cell r="K78">
            <v>-1</v>
          </cell>
          <cell r="L78">
            <v>2431</v>
          </cell>
          <cell r="M78">
            <v>102.74000000000024</v>
          </cell>
          <cell r="N78">
            <v>131</v>
          </cell>
          <cell r="Q78">
            <v>0</v>
          </cell>
          <cell r="R78">
            <v>40</v>
          </cell>
          <cell r="S78" t="str">
            <v>MC</v>
          </cell>
          <cell r="T78">
            <v>5.5116999999999999E-2</v>
          </cell>
          <cell r="U78">
            <v>3.08</v>
          </cell>
          <cell r="V78">
            <v>99.66</v>
          </cell>
          <cell r="W78">
            <v>0.53</v>
          </cell>
          <cell r="X78">
            <v>2403.7400000000002</v>
          </cell>
          <cell r="Y78">
            <v>2400.6600000000003</v>
          </cell>
          <cell r="Z78" t="str">
            <v>OS</v>
          </cell>
        </row>
        <row r="80">
          <cell r="D80" t="str">
            <v>jt28</v>
          </cell>
          <cell r="E80">
            <v>45</v>
          </cell>
          <cell r="F80">
            <v>49.500000000000007</v>
          </cell>
          <cell r="G80">
            <v>0.3</v>
          </cell>
          <cell r="H80" t="str">
            <v>D</v>
          </cell>
          <cell r="I80">
            <v>2301</v>
          </cell>
          <cell r="J80">
            <v>2289</v>
          </cell>
          <cell r="K80">
            <v>12</v>
          </cell>
          <cell r="L80">
            <v>2431</v>
          </cell>
          <cell r="M80">
            <v>111.66000000000031</v>
          </cell>
          <cell r="N80">
            <v>142</v>
          </cell>
          <cell r="Q80">
            <v>0</v>
          </cell>
          <cell r="R80">
            <v>40</v>
          </cell>
          <cell r="S80" t="str">
            <v>MC</v>
          </cell>
          <cell r="T80">
            <v>5.7403000000000003E-2</v>
          </cell>
          <cell r="U80">
            <v>0.21</v>
          </cell>
          <cell r="V80">
            <v>111.45</v>
          </cell>
          <cell r="W80">
            <v>0.24</v>
          </cell>
          <cell r="X80">
            <v>2400.6600000000003</v>
          </cell>
          <cell r="Y80">
            <v>2400.4500000000003</v>
          </cell>
          <cell r="Z80" t="str">
            <v>OS</v>
          </cell>
        </row>
        <row r="82">
          <cell r="D82" t="str">
            <v>jt29</v>
          </cell>
          <cell r="E82">
            <v>20.7</v>
          </cell>
          <cell r="F82">
            <v>22.77</v>
          </cell>
          <cell r="G82">
            <v>0.12</v>
          </cell>
          <cell r="H82" t="str">
            <v>D</v>
          </cell>
          <cell r="I82">
            <v>2289</v>
          </cell>
          <cell r="J82">
            <v>2290</v>
          </cell>
          <cell r="K82">
            <v>-1</v>
          </cell>
          <cell r="L82">
            <v>2431</v>
          </cell>
          <cell r="M82">
            <v>110.45000000000027</v>
          </cell>
          <cell r="N82">
            <v>142</v>
          </cell>
          <cell r="Q82">
            <v>0</v>
          </cell>
          <cell r="R82">
            <v>25</v>
          </cell>
          <cell r="S82" t="str">
            <v>MC</v>
          </cell>
          <cell r="T82">
            <v>6.9986000000000007E-2</v>
          </cell>
          <cell r="U82">
            <v>0.19</v>
          </cell>
          <cell r="V82">
            <v>110.26</v>
          </cell>
          <cell r="W82">
            <v>0.24</v>
          </cell>
          <cell r="X82">
            <v>2400.4500000000003</v>
          </cell>
          <cell r="Y82">
            <v>2400.2600000000002</v>
          </cell>
          <cell r="Z82" t="str">
            <v>OS</v>
          </cell>
        </row>
        <row r="84">
          <cell r="D84" t="str">
            <v>jt30</v>
          </cell>
          <cell r="E84">
            <v>22.3</v>
          </cell>
          <cell r="F84">
            <v>24.53</v>
          </cell>
          <cell r="G84">
            <v>0.24</v>
          </cell>
          <cell r="H84" t="str">
            <v>DR</v>
          </cell>
          <cell r="I84">
            <v>2301</v>
          </cell>
          <cell r="J84">
            <v>2301</v>
          </cell>
          <cell r="K84">
            <v>0</v>
          </cell>
          <cell r="L84">
            <v>2431</v>
          </cell>
          <cell r="M84">
            <v>99.660000000000309</v>
          </cell>
          <cell r="N84">
            <v>130</v>
          </cell>
          <cell r="Q84">
            <v>0</v>
          </cell>
          <cell r="R84">
            <v>40</v>
          </cell>
          <cell r="S84" t="str">
            <v>MC</v>
          </cell>
          <cell r="T84">
            <v>5.8444999999999997E-2</v>
          </cell>
          <cell r="U84">
            <v>7.0000000000000007E-2</v>
          </cell>
          <cell r="V84">
            <v>99.59</v>
          </cell>
          <cell r="W84">
            <v>0.19</v>
          </cell>
          <cell r="X84">
            <v>2400.6600000000003</v>
          </cell>
          <cell r="Y84">
            <v>2400.59</v>
          </cell>
          <cell r="Z84" t="str">
            <v>OS</v>
          </cell>
        </row>
        <row r="86">
          <cell r="D86" t="str">
            <v>jt31</v>
          </cell>
          <cell r="E86">
            <v>27.8</v>
          </cell>
          <cell r="F86">
            <v>30.580000000000002</v>
          </cell>
          <cell r="G86">
            <v>0.18</v>
          </cell>
          <cell r="H86" t="str">
            <v>DR</v>
          </cell>
          <cell r="I86">
            <v>2301</v>
          </cell>
          <cell r="J86">
            <v>2293</v>
          </cell>
          <cell r="K86">
            <v>8</v>
          </cell>
          <cell r="L86">
            <v>2431</v>
          </cell>
          <cell r="M86">
            <v>107.59000000000015</v>
          </cell>
          <cell r="N86">
            <v>138</v>
          </cell>
          <cell r="Q86">
            <v>0</v>
          </cell>
          <cell r="R86">
            <v>25</v>
          </cell>
          <cell r="S86" t="str">
            <v>MC</v>
          </cell>
          <cell r="T86">
            <v>6.8196999999999994E-2</v>
          </cell>
          <cell r="U86">
            <v>0.57999999999999996</v>
          </cell>
          <cell r="V86">
            <v>107.01</v>
          </cell>
          <cell r="W86">
            <v>0.37</v>
          </cell>
          <cell r="X86">
            <v>2400.59</v>
          </cell>
          <cell r="Y86">
            <v>2400.0100000000002</v>
          </cell>
          <cell r="Z86" t="str">
            <v>OS</v>
          </cell>
        </row>
        <row r="88">
          <cell r="D88" t="str">
            <v>jt32</v>
          </cell>
          <cell r="E88">
            <v>12.6</v>
          </cell>
          <cell r="F88">
            <v>13.860000000000001</v>
          </cell>
          <cell r="G88">
            <v>0.12</v>
          </cell>
          <cell r="H88" t="str">
            <v>DR</v>
          </cell>
          <cell r="I88">
            <v>2293</v>
          </cell>
          <cell r="J88">
            <v>2292</v>
          </cell>
          <cell r="K88">
            <v>1</v>
          </cell>
          <cell r="L88">
            <v>2431</v>
          </cell>
          <cell r="M88">
            <v>108.01000000000022</v>
          </cell>
          <cell r="N88">
            <v>139</v>
          </cell>
          <cell r="Q88">
            <v>0</v>
          </cell>
          <cell r="R88">
            <v>25</v>
          </cell>
          <cell r="S88" t="str">
            <v>MC</v>
          </cell>
          <cell r="T88">
            <v>6.9986000000000007E-2</v>
          </cell>
          <cell r="U88">
            <v>0.11</v>
          </cell>
          <cell r="V88">
            <v>107.9</v>
          </cell>
          <cell r="W88">
            <v>0.24</v>
          </cell>
          <cell r="X88">
            <v>2400.0100000000002</v>
          </cell>
          <cell r="Y88">
            <v>2399.9</v>
          </cell>
          <cell r="Z88" t="str">
            <v>OS</v>
          </cell>
        </row>
        <row r="90">
          <cell r="D90" t="str">
            <v>jt33</v>
          </cell>
          <cell r="E90">
            <v>9.9600000000000009</v>
          </cell>
          <cell r="F90">
            <v>10.956000000000001</v>
          </cell>
          <cell r="G90">
            <v>0.06</v>
          </cell>
          <cell r="H90" t="str">
            <v>DR</v>
          </cell>
          <cell r="I90">
            <v>2292</v>
          </cell>
          <cell r="J90">
            <v>2293</v>
          </cell>
          <cell r="K90">
            <v>-1</v>
          </cell>
          <cell r="L90">
            <v>2431</v>
          </cell>
          <cell r="M90">
            <v>106.90000000000009</v>
          </cell>
          <cell r="N90">
            <v>139</v>
          </cell>
          <cell r="Q90">
            <v>0</v>
          </cell>
          <cell r="R90">
            <v>25</v>
          </cell>
          <cell r="S90" t="str">
            <v>MC</v>
          </cell>
          <cell r="T90">
            <v>7.4720999999999996E-2</v>
          </cell>
          <cell r="U90">
            <v>0.02</v>
          </cell>
          <cell r="V90">
            <v>106.88</v>
          </cell>
          <cell r="W90">
            <v>0.12</v>
          </cell>
          <cell r="X90">
            <v>2399.9</v>
          </cell>
          <cell r="Y90">
            <v>2399.88</v>
          </cell>
          <cell r="Z90" t="str">
            <v>OS</v>
          </cell>
        </row>
        <row r="92">
          <cell r="D92" t="str">
            <v>jt34</v>
          </cell>
          <cell r="E92">
            <v>295</v>
          </cell>
          <cell r="F92">
            <v>324.5</v>
          </cell>
          <cell r="G92">
            <v>0.42</v>
          </cell>
          <cell r="H92" t="str">
            <v>R</v>
          </cell>
          <cell r="I92">
            <v>2338</v>
          </cell>
          <cell r="J92">
            <v>2335</v>
          </cell>
          <cell r="K92">
            <v>3</v>
          </cell>
          <cell r="L92">
            <v>2431</v>
          </cell>
          <cell r="M92">
            <v>72.150000000000091</v>
          </cell>
          <cell r="N92">
            <v>96</v>
          </cell>
          <cell r="O92">
            <v>40</v>
          </cell>
          <cell r="P92">
            <v>10</v>
          </cell>
          <cell r="Q92">
            <v>30.3</v>
          </cell>
          <cell r="T92">
            <v>3.3813999999999997E-2</v>
          </cell>
          <cell r="U92">
            <v>6.21</v>
          </cell>
          <cell r="V92">
            <v>65.94</v>
          </cell>
          <cell r="W92">
            <v>0.57999999999999996</v>
          </cell>
          <cell r="X92">
            <v>2407.15</v>
          </cell>
          <cell r="Y92">
            <v>2400.94</v>
          </cell>
          <cell r="Z92" t="str">
            <v>OS</v>
          </cell>
        </row>
        <row r="94">
          <cell r="D94" t="str">
            <v>jt35</v>
          </cell>
          <cell r="E94">
            <v>51.9</v>
          </cell>
          <cell r="F94">
            <v>57.09</v>
          </cell>
          <cell r="G94">
            <v>0.24</v>
          </cell>
          <cell r="H94" t="str">
            <v>DR</v>
          </cell>
          <cell r="I94">
            <v>2335</v>
          </cell>
          <cell r="J94">
            <v>2310</v>
          </cell>
          <cell r="K94">
            <v>25</v>
          </cell>
          <cell r="L94">
            <v>2431</v>
          </cell>
          <cell r="M94">
            <v>90.940000000000055</v>
          </cell>
          <cell r="N94">
            <v>121</v>
          </cell>
          <cell r="Q94">
            <v>0</v>
          </cell>
          <cell r="R94">
            <v>32</v>
          </cell>
          <cell r="S94" t="str">
            <v>MC</v>
          </cell>
          <cell r="T94">
            <v>6.2012999999999999E-2</v>
          </cell>
          <cell r="U94">
            <v>0.51</v>
          </cell>
          <cell r="V94">
            <v>90.43</v>
          </cell>
          <cell r="W94">
            <v>0.3</v>
          </cell>
          <cell r="X94">
            <v>2400.94</v>
          </cell>
          <cell r="Y94">
            <v>2400.4299999999998</v>
          </cell>
          <cell r="Z94" t="str">
            <v>OS</v>
          </cell>
        </row>
        <row r="96">
          <cell r="D96" t="str">
            <v>jt36</v>
          </cell>
          <cell r="E96">
            <v>64.5</v>
          </cell>
          <cell r="F96">
            <v>70.95</v>
          </cell>
          <cell r="G96">
            <v>0.18</v>
          </cell>
          <cell r="H96" t="str">
            <v>DR</v>
          </cell>
          <cell r="I96">
            <v>2310</v>
          </cell>
          <cell r="J96">
            <v>2298</v>
          </cell>
          <cell r="K96">
            <v>12</v>
          </cell>
          <cell r="L96">
            <v>2431</v>
          </cell>
          <cell r="M96">
            <v>102.42999999999984</v>
          </cell>
          <cell r="N96">
            <v>133</v>
          </cell>
          <cell r="Q96">
            <v>0</v>
          </cell>
          <cell r="R96">
            <v>25</v>
          </cell>
          <cell r="S96" t="str">
            <v>MC</v>
          </cell>
          <cell r="T96">
            <v>6.8196999999999994E-2</v>
          </cell>
          <cell r="U96">
            <v>1.35</v>
          </cell>
          <cell r="V96">
            <v>101.08</v>
          </cell>
          <cell r="W96">
            <v>0.37</v>
          </cell>
          <cell r="X96">
            <v>2400.4299999999998</v>
          </cell>
          <cell r="Y96">
            <v>2399.08</v>
          </cell>
          <cell r="Z96" t="str">
            <v>OS</v>
          </cell>
        </row>
        <row r="98">
          <cell r="D98" t="str">
            <v>jt37</v>
          </cell>
          <cell r="E98">
            <v>52.7</v>
          </cell>
          <cell r="F98">
            <v>57.970000000000006</v>
          </cell>
          <cell r="G98">
            <v>0.12</v>
          </cell>
          <cell r="H98" t="str">
            <v>DR</v>
          </cell>
          <cell r="I98">
            <v>2298</v>
          </cell>
          <cell r="J98">
            <v>2296</v>
          </cell>
          <cell r="K98">
            <v>2</v>
          </cell>
          <cell r="L98">
            <v>2431</v>
          </cell>
          <cell r="M98">
            <v>103.07999999999993</v>
          </cell>
          <cell r="N98">
            <v>135</v>
          </cell>
          <cell r="Q98">
            <v>0</v>
          </cell>
          <cell r="R98">
            <v>25</v>
          </cell>
          <cell r="S98" t="str">
            <v>MC</v>
          </cell>
          <cell r="T98">
            <v>6.9986000000000007E-2</v>
          </cell>
          <cell r="U98">
            <v>0.48</v>
          </cell>
          <cell r="V98">
            <v>102.6</v>
          </cell>
          <cell r="W98">
            <v>0.24</v>
          </cell>
          <cell r="X98">
            <v>2399.08</v>
          </cell>
          <cell r="Y98">
            <v>2398.6</v>
          </cell>
          <cell r="Z98" t="str">
            <v>OS</v>
          </cell>
        </row>
        <row r="100">
          <cell r="D100" t="str">
            <v>jt38</v>
          </cell>
          <cell r="E100">
            <v>266</v>
          </cell>
          <cell r="F100">
            <v>292.60000000000002</v>
          </cell>
          <cell r="G100">
            <v>0.18</v>
          </cell>
          <cell r="H100" t="str">
            <v>R</v>
          </cell>
          <cell r="I100">
            <v>2335</v>
          </cell>
          <cell r="J100">
            <v>2301</v>
          </cell>
          <cell r="K100">
            <v>34</v>
          </cell>
          <cell r="L100">
            <v>2431</v>
          </cell>
          <cell r="M100">
            <v>99.940000000000055</v>
          </cell>
          <cell r="N100">
            <v>130</v>
          </cell>
          <cell r="Q100">
            <v>0</v>
          </cell>
          <cell r="R100">
            <v>25</v>
          </cell>
          <cell r="S100" t="str">
            <v>MC</v>
          </cell>
          <cell r="T100">
            <v>6.8196999999999994E-2</v>
          </cell>
          <cell r="U100">
            <v>5.57</v>
          </cell>
          <cell r="V100">
            <v>94.37</v>
          </cell>
          <cell r="W100">
            <v>0.37</v>
          </cell>
          <cell r="X100">
            <v>2400.94</v>
          </cell>
          <cell r="Y100">
            <v>2395.37</v>
          </cell>
          <cell r="Z100" t="str">
            <v>OS</v>
          </cell>
        </row>
        <row r="102">
          <cell r="D102" t="str">
            <v>jt39</v>
          </cell>
          <cell r="E102">
            <v>24.8</v>
          </cell>
          <cell r="F102">
            <v>27.280000000000005</v>
          </cell>
          <cell r="G102">
            <v>0.12</v>
          </cell>
          <cell r="H102" t="str">
            <v>R</v>
          </cell>
          <cell r="I102">
            <v>2301</v>
          </cell>
          <cell r="J102">
            <v>2299</v>
          </cell>
          <cell r="K102">
            <v>2</v>
          </cell>
          <cell r="L102">
            <v>2431</v>
          </cell>
          <cell r="M102">
            <v>96.369999999999891</v>
          </cell>
          <cell r="N102">
            <v>132</v>
          </cell>
          <cell r="Q102">
            <v>0</v>
          </cell>
          <cell r="R102">
            <v>25</v>
          </cell>
          <cell r="S102" t="str">
            <v>MC</v>
          </cell>
          <cell r="T102">
            <v>6.9986000000000007E-2</v>
          </cell>
          <cell r="U102">
            <v>0.22</v>
          </cell>
          <cell r="V102">
            <v>96.15</v>
          </cell>
          <cell r="W102">
            <v>0.24</v>
          </cell>
          <cell r="X102">
            <v>2395.37</v>
          </cell>
          <cell r="Y102">
            <v>2395.15</v>
          </cell>
          <cell r="Z102" t="str">
            <v>OS</v>
          </cell>
        </row>
        <row r="104">
          <cell r="D104" t="str">
            <v>jt40</v>
          </cell>
          <cell r="E104">
            <v>50</v>
          </cell>
          <cell r="F104">
            <v>55.000000000000007</v>
          </cell>
          <cell r="G104">
            <v>0.06</v>
          </cell>
          <cell r="H104" t="str">
            <v>DR</v>
          </cell>
          <cell r="I104">
            <v>2301</v>
          </cell>
          <cell r="J104">
            <v>2292</v>
          </cell>
          <cell r="K104">
            <v>9</v>
          </cell>
          <cell r="L104">
            <v>2431</v>
          </cell>
          <cell r="M104">
            <v>103.36999999999989</v>
          </cell>
          <cell r="N104">
            <v>139</v>
          </cell>
          <cell r="Q104">
            <v>0</v>
          </cell>
          <cell r="R104">
            <v>25</v>
          </cell>
          <cell r="S104" t="str">
            <v>MC</v>
          </cell>
          <cell r="T104">
            <v>7.4720999999999996E-2</v>
          </cell>
          <cell r="U104">
            <v>0.12</v>
          </cell>
          <cell r="V104">
            <v>103.25</v>
          </cell>
          <cell r="W104">
            <v>0.12</v>
          </cell>
          <cell r="X104">
            <v>2395.37</v>
          </cell>
          <cell r="Y104">
            <v>2395.25</v>
          </cell>
          <cell r="Z104" t="str">
            <v>OS</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s>
    <sheetDataSet>
      <sheetData sheetId="0" refreshError="1">
        <row r="7">
          <cell r="I7">
            <v>2238</v>
          </cell>
          <cell r="K7">
            <v>2926</v>
          </cell>
        </row>
      </sheetData>
      <sheetData sheetId="1" refreshError="1">
        <row r="6">
          <cell r="F6">
            <v>9943</v>
          </cell>
          <cell r="I6">
            <v>18031</v>
          </cell>
        </row>
      </sheetData>
      <sheetData sheetId="2" refreshError="1">
        <row r="8">
          <cell r="J8">
            <v>39413.199999999997</v>
          </cell>
        </row>
      </sheetData>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SPre"/>
      <sheetName val="2EW"/>
      <sheetName val="3SUP"/>
      <sheetName val="4Mor"/>
      <sheetName val="5BM"/>
      <sheetName val="6SM"/>
      <sheetName val="7CC"/>
      <sheetName val="8Frm"/>
      <sheetName val="9ROOF"/>
      <sheetName val="10WW"/>
      <sheetName val="11Flr"/>
      <sheetName val="12Pst"/>
      <sheetName val="13Pain"/>
      <sheetName val="Data"/>
      <sheetName val="21Trp"/>
      <sheetName val="haul"/>
      <sheetName val="mCost"/>
      <sheetName val="Est"/>
      <sheetName val="Rates"/>
      <sheetName val="rate"/>
      <sheetName val="5a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rainings"/>
      <sheetName val="SprInt1"/>
      <sheetName val="SprInt2"/>
      <sheetName val="StrInt1"/>
      <sheetName val="StrInt2"/>
      <sheetName val="StrInt3"/>
      <sheetName val="Panera"/>
      <sheetName val="CCDCIC"/>
      <sheetName val="FER-SED"/>
      <sheetName val="SedTank"/>
      <sheetName val="SteelForm"/>
      <sheetName val="RCC VC"/>
      <sheetName val="Rcc DC,IC,BPC"/>
      <sheetName val="PBPC"/>
      <sheetName val="VCs"/>
      <sheetName val="RCCRT1"/>
      <sheetName val="Bar1"/>
      <sheetName val="Sheets"/>
      <sheetName val="FRT 1"/>
      <sheetName val="MRT1"/>
      <sheetName val="RMT100"/>
      <sheetName val="RMT150"/>
      <sheetName val="Fence"/>
      <sheetName val="Cabl-Des"/>
      <sheetName val="CabCros"/>
      <sheetName val="UnderCros"/>
      <sheetName val="Piprot"/>
      <sheetName val="Miscel"/>
      <sheetName val="PSP1"/>
      <sheetName val="CostSummary"/>
      <sheetName val="PSP2"/>
      <sheetName val="VIP1"/>
      <sheetName val="VIP2"/>
      <sheetName val="VIP3"/>
      <sheetName val="DP Lat"/>
      <sheetName val="RtAn"/>
      <sheetName val="MatCol"/>
      <sheetName val="D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row r="7">
          <cell r="D7">
            <v>0.4</v>
          </cell>
        </row>
        <row r="45">
          <cell r="K45">
            <v>33.54</v>
          </cell>
        </row>
        <row r="49">
          <cell r="K49">
            <v>72.540000000000006</v>
          </cell>
        </row>
      </sheetData>
      <sheetData sheetId="37"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DP Summary (2)"/>
      <sheetName val="Bhalayakarka"/>
      <sheetName val="Bhagu"/>
      <sheetName val="Besishahar"/>
      <sheetName val="Chandre"/>
      <sheetName val="Tarkughat"/>
      <sheetName val="Dhamilikuwa"/>
      <sheetName val="PPR Summary"/>
      <sheetName val="Rev ADP Summary"/>
      <sheetName val="Data"/>
      <sheetName val="ADP Summary"/>
      <sheetName val="Spcl Monitored"/>
      <sheetName val="OUTPUT "/>
      <sheetName val="Sum"/>
      <sheetName val="Maintenance"/>
      <sheetName val="Survey"/>
      <sheetName val="Maghi"/>
      <sheetName val="Ramgha"/>
      <sheetName val="Gauda"/>
      <sheetName val="Bhote"/>
      <sheetName val="Tarku"/>
      <sheetName val="Phaleni"/>
      <sheetName val="Karapu"/>
      <sheetName val="Ishane"/>
      <sheetName val="Cov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edBOQ"/>
      <sheetName val="Summary of Cost"/>
      <sheetName val="RT200"/>
      <sheetName val="Pump System"/>
      <sheetName val="Pump House"/>
      <sheetName val="F_Pipes"/>
      <sheetName val="F_Overhead Tank Rev"/>
      <sheetName val="F_DPL"/>
      <sheetName val="Guard House"/>
      <sheetName val="Boundary Wall"/>
      <sheetName val="F_VC"/>
      <sheetName val="VC_Cost"/>
      <sheetName val="F_Public Toilet"/>
      <sheetName val="F_Drain"/>
      <sheetName val="Fittings_RVT"/>
      <sheetName val="SumRate"/>
      <sheetName val="LabMatRate"/>
      <sheetName val="RateAnalysis"/>
      <sheetName val="TruckAna"/>
      <sheetName val="Earthwork"/>
      <sheetName val="Summary of pipework"/>
    </sheetNames>
    <sheetDataSet>
      <sheetData sheetId="0">
        <row r="11">
          <cell r="A11" t="str">
            <v>ins</v>
          </cell>
          <cell r="B11">
            <v>1</v>
          </cell>
          <cell r="C11" t="str">
            <v>Insurances for the  loss of damage to works, plant, materials, equipment property and personnel injury or death (Clause No. 12 of Condition of Contract)</v>
          </cell>
          <cell r="D11" t="str">
            <v>LS</v>
          </cell>
          <cell r="E11" t="str">
            <v>LS</v>
          </cell>
          <cell r="F11" t="str">
            <v>LS</v>
          </cell>
          <cell r="H11">
            <v>450000</v>
          </cell>
          <cell r="J11">
            <v>405000</v>
          </cell>
          <cell r="L11">
            <v>405000</v>
          </cell>
        </row>
        <row r="12">
          <cell r="B12" t="str">
            <v>PART B: CIVIL WORK</v>
          </cell>
          <cell r="H12">
            <v>35196193.631370001</v>
          </cell>
          <cell r="J12">
            <v>31982144.446799997</v>
          </cell>
          <cell r="L12">
            <v>31688081.776799999</v>
          </cell>
        </row>
        <row r="13">
          <cell r="B13">
            <v>1</v>
          </cell>
          <cell r="C13" t="str">
            <v>Deep Tubewell</v>
          </cell>
          <cell r="H13">
            <v>3570309.5</v>
          </cell>
          <cell r="J13">
            <v>3415746.6</v>
          </cell>
          <cell r="L13">
            <v>3415746.6</v>
          </cell>
        </row>
        <row r="14">
          <cell r="A14" t="str">
            <v>D-1</v>
          </cell>
          <cell r="B14" t="str">
            <v>1.1</v>
          </cell>
          <cell r="C14" t="str">
            <v>Mobilization of drilling machine, equipments and crew including hire charge of truck, crane for lifting heavy loads and demobilization on completion of deep tube wells from site.</v>
          </cell>
          <cell r="D14" t="str">
            <v>Job</v>
          </cell>
          <cell r="E14">
            <v>1</v>
          </cell>
          <cell r="F14">
            <v>1</v>
          </cell>
          <cell r="G14">
            <v>125000</v>
          </cell>
          <cell r="H14">
            <v>125000</v>
          </cell>
          <cell r="I14">
            <v>112500</v>
          </cell>
          <cell r="J14">
            <v>112500</v>
          </cell>
          <cell r="K14">
            <v>112500</v>
          </cell>
          <cell r="L14">
            <v>112500</v>
          </cell>
        </row>
        <row r="15">
          <cell r="A15" t="str">
            <v>D-2</v>
          </cell>
          <cell r="B15" t="str">
            <v>1.2</v>
          </cell>
          <cell r="C15" t="str">
            <v>Supply and installation work (250 mm uPVC Pipe for Housing)- 2 Bores.</v>
          </cell>
          <cell r="D15" t="str">
            <v>m</v>
          </cell>
          <cell r="E15">
            <v>60</v>
          </cell>
          <cell r="F15">
            <v>60</v>
          </cell>
          <cell r="G15">
            <v>4400</v>
          </cell>
          <cell r="H15">
            <v>264000</v>
          </cell>
          <cell r="I15">
            <v>4050</v>
          </cell>
          <cell r="J15">
            <v>243000</v>
          </cell>
          <cell r="K15">
            <v>4050</v>
          </cell>
          <cell r="L15">
            <v>243000</v>
          </cell>
        </row>
        <row r="16">
          <cell r="A16" t="str">
            <v>D-3</v>
          </cell>
          <cell r="B16" t="str">
            <v>1.3</v>
          </cell>
          <cell r="C16" t="str">
            <v>Supply and installation work (200 mm uPVC Pipe for Casing)- 2 Bores.</v>
          </cell>
          <cell r="D16" t="str">
            <v>m</v>
          </cell>
          <cell r="E16">
            <v>60</v>
          </cell>
          <cell r="F16">
            <v>60</v>
          </cell>
          <cell r="G16">
            <v>3500</v>
          </cell>
          <cell r="H16">
            <v>210000</v>
          </cell>
          <cell r="I16">
            <v>3240</v>
          </cell>
          <cell r="J16">
            <v>194400</v>
          </cell>
          <cell r="K16">
            <v>3240</v>
          </cell>
          <cell r="L16">
            <v>194400</v>
          </cell>
        </row>
        <row r="17">
          <cell r="A17" t="str">
            <v>D-4</v>
          </cell>
          <cell r="B17" t="str">
            <v>1.4</v>
          </cell>
          <cell r="C17" t="str">
            <v>Supply and installation work (200 mm for uPVC screen Pipe with minimum 15% opening)- 2 Bores.</v>
          </cell>
          <cell r="D17" t="str">
            <v>m</v>
          </cell>
          <cell r="E17">
            <v>80</v>
          </cell>
          <cell r="F17">
            <v>80</v>
          </cell>
          <cell r="G17">
            <v>5000</v>
          </cell>
          <cell r="H17">
            <v>400000</v>
          </cell>
          <cell r="I17">
            <v>4950</v>
          </cell>
          <cell r="J17">
            <v>396000</v>
          </cell>
          <cell r="K17">
            <v>4950</v>
          </cell>
          <cell r="L17">
            <v>396000</v>
          </cell>
        </row>
        <row r="18">
          <cell r="A18" t="str">
            <v>D-5</v>
          </cell>
          <cell r="B18" t="str">
            <v>1.5</v>
          </cell>
          <cell r="C18" t="str">
            <v>Supply and installation work (200 mm uPVC Pipe for Blind Casing Pipe)- 2 Bores.</v>
          </cell>
          <cell r="D18" t="str">
            <v>m</v>
          </cell>
          <cell r="E18">
            <v>60</v>
          </cell>
          <cell r="F18">
            <v>60</v>
          </cell>
          <cell r="G18">
            <v>3500</v>
          </cell>
          <cell r="H18">
            <v>210000</v>
          </cell>
          <cell r="I18">
            <v>3240</v>
          </cell>
          <cell r="J18">
            <v>194400</v>
          </cell>
          <cell r="K18">
            <v>3240</v>
          </cell>
          <cell r="L18">
            <v>194400</v>
          </cell>
        </row>
        <row r="19">
          <cell r="A19" t="str">
            <v>D-6</v>
          </cell>
          <cell r="B19" t="str">
            <v>1.6</v>
          </cell>
          <cell r="C19" t="str">
            <v>Supply and installation work (Centering Guide)- 2 Bores.</v>
          </cell>
          <cell r="D19" t="str">
            <v>m</v>
          </cell>
          <cell r="E19">
            <v>24</v>
          </cell>
          <cell r="F19">
            <v>24</v>
          </cell>
          <cell r="G19">
            <v>1200</v>
          </cell>
          <cell r="H19">
            <v>28800</v>
          </cell>
          <cell r="I19">
            <v>990</v>
          </cell>
          <cell r="J19">
            <v>23760</v>
          </cell>
          <cell r="K19">
            <v>990</v>
          </cell>
          <cell r="L19">
            <v>23760</v>
          </cell>
        </row>
        <row r="20">
          <cell r="A20" t="str">
            <v>D-7</v>
          </cell>
          <cell r="B20" t="str">
            <v>1.7</v>
          </cell>
          <cell r="C20" t="str">
            <v>Supply and installation work (uPVC Reducer (250 * 200))- 2 Bores.</v>
          </cell>
          <cell r="D20" t="str">
            <v>No</v>
          </cell>
          <cell r="E20">
            <v>2</v>
          </cell>
          <cell r="F20">
            <v>2</v>
          </cell>
          <cell r="G20">
            <v>4648</v>
          </cell>
          <cell r="H20">
            <v>9296</v>
          </cell>
          <cell r="I20">
            <v>4500</v>
          </cell>
          <cell r="J20">
            <v>9000</v>
          </cell>
          <cell r="K20">
            <v>4500</v>
          </cell>
          <cell r="L20">
            <v>9000</v>
          </cell>
        </row>
        <row r="21">
          <cell r="A21" t="str">
            <v>D-8</v>
          </cell>
          <cell r="B21" t="str">
            <v>1.8</v>
          </cell>
          <cell r="C21" t="str">
            <v>Supply and installation work (MS Well Top Cap)- 2 Bores.</v>
          </cell>
          <cell r="D21" t="str">
            <v>No</v>
          </cell>
          <cell r="E21">
            <v>2</v>
          </cell>
          <cell r="F21">
            <v>2</v>
          </cell>
          <cell r="G21">
            <v>3500</v>
          </cell>
          <cell r="H21">
            <v>7000</v>
          </cell>
          <cell r="I21">
            <v>3240</v>
          </cell>
          <cell r="J21">
            <v>6480</v>
          </cell>
          <cell r="K21">
            <v>3240</v>
          </cell>
          <cell r="L21">
            <v>6480</v>
          </cell>
        </row>
        <row r="22">
          <cell r="A22" t="str">
            <v>D-9</v>
          </cell>
          <cell r="B22" t="str">
            <v>1.9</v>
          </cell>
          <cell r="C22" t="str">
            <v>Supply and installation work (uPVC Bottom Plug)- 2 Bores.</v>
          </cell>
          <cell r="D22" t="str">
            <v>No</v>
          </cell>
          <cell r="E22">
            <v>2</v>
          </cell>
          <cell r="F22">
            <v>2</v>
          </cell>
          <cell r="G22">
            <v>3500</v>
          </cell>
          <cell r="H22">
            <v>7000</v>
          </cell>
          <cell r="I22">
            <v>3240</v>
          </cell>
          <cell r="J22">
            <v>6480</v>
          </cell>
          <cell r="K22">
            <v>3240</v>
          </cell>
          <cell r="L22">
            <v>6480</v>
          </cell>
        </row>
        <row r="23">
          <cell r="A23" t="str">
            <v>D-10</v>
          </cell>
          <cell r="B23" t="str">
            <v>1.10</v>
          </cell>
          <cell r="C23" t="str">
            <v>Supply and installation work (50 mm GI (M) pipe)- 2 Bores.</v>
          </cell>
          <cell r="D23" t="str">
            <v>m</v>
          </cell>
          <cell r="E23">
            <v>50</v>
          </cell>
          <cell r="F23">
            <v>50</v>
          </cell>
          <cell r="G23">
            <v>308.2</v>
          </cell>
          <cell r="H23">
            <v>15410</v>
          </cell>
          <cell r="I23">
            <v>270</v>
          </cell>
          <cell r="J23">
            <v>13500</v>
          </cell>
          <cell r="K23">
            <v>270</v>
          </cell>
          <cell r="L23">
            <v>13500</v>
          </cell>
        </row>
        <row r="24">
          <cell r="A24" t="str">
            <v>D-11</v>
          </cell>
          <cell r="B24" t="str">
            <v>1.11</v>
          </cell>
          <cell r="C24" t="str">
            <v>Supply and installation work (400 mm MS conductor Pipe (4.5 mm thick))- 2 Bores.</v>
          </cell>
          <cell r="D24" t="str">
            <v>m</v>
          </cell>
          <cell r="E24">
            <v>40</v>
          </cell>
          <cell r="F24">
            <v>40</v>
          </cell>
          <cell r="G24">
            <v>4500</v>
          </cell>
          <cell r="H24">
            <v>180000</v>
          </cell>
          <cell r="I24">
            <v>4050</v>
          </cell>
          <cell r="J24">
            <v>162000</v>
          </cell>
          <cell r="K24">
            <v>4050</v>
          </cell>
          <cell r="L24">
            <v>162000</v>
          </cell>
        </row>
        <row r="25">
          <cell r="A25" t="str">
            <v>D-12</v>
          </cell>
          <cell r="B25" t="str">
            <v>1.12</v>
          </cell>
          <cell r="C25" t="str">
            <v>Drilling of Pilot bore hole by 9 7/8" bit -2 Bores</v>
          </cell>
          <cell r="D25" t="str">
            <v>m</v>
          </cell>
          <cell r="E25">
            <v>220</v>
          </cell>
          <cell r="F25">
            <v>220</v>
          </cell>
          <cell r="G25">
            <v>2000</v>
          </cell>
          <cell r="H25">
            <v>440000</v>
          </cell>
          <cell r="I25">
            <v>1890</v>
          </cell>
          <cell r="J25">
            <v>415800</v>
          </cell>
          <cell r="K25">
            <v>1890</v>
          </cell>
          <cell r="L25">
            <v>415800</v>
          </cell>
        </row>
        <row r="26">
          <cell r="A26" t="str">
            <v>D-13</v>
          </cell>
          <cell r="B26" t="str">
            <v>1.13</v>
          </cell>
          <cell r="C26" t="str">
            <v>Reaming of bore hole by minimum of 17 1/2" but to fit 250 mm dia pipe -2 Bores</v>
          </cell>
          <cell r="D26" t="str">
            <v>m</v>
          </cell>
          <cell r="E26">
            <v>60</v>
          </cell>
          <cell r="F26">
            <v>60</v>
          </cell>
          <cell r="G26">
            <v>1200</v>
          </cell>
          <cell r="H26">
            <v>72000</v>
          </cell>
          <cell r="I26">
            <v>1125</v>
          </cell>
          <cell r="J26">
            <v>67500</v>
          </cell>
          <cell r="K26">
            <v>1125</v>
          </cell>
          <cell r="L26">
            <v>67500</v>
          </cell>
        </row>
        <row r="27">
          <cell r="A27" t="str">
            <v>D-14</v>
          </cell>
          <cell r="B27" t="str">
            <v>1.14</v>
          </cell>
          <cell r="C27" t="str">
            <v>Reaming of bore hole by minimum of 14 3/4" but to fit 200 mm dia pipe -2 Bores</v>
          </cell>
          <cell r="D27" t="str">
            <v>m</v>
          </cell>
          <cell r="E27">
            <v>140</v>
          </cell>
          <cell r="F27">
            <v>140</v>
          </cell>
          <cell r="G27">
            <v>1200</v>
          </cell>
          <cell r="H27">
            <v>168000</v>
          </cell>
          <cell r="I27">
            <v>1080</v>
          </cell>
          <cell r="J27">
            <v>151200</v>
          </cell>
          <cell r="K27">
            <v>1080</v>
          </cell>
          <cell r="L27">
            <v>151200</v>
          </cell>
        </row>
        <row r="28">
          <cell r="A28" t="str">
            <v>D-15</v>
          </cell>
          <cell r="B28" t="str">
            <v>1.15</v>
          </cell>
          <cell r="C28" t="str">
            <v>Supply and installation of gravel packing in annular space of full depth of bore hole -2 Bores</v>
          </cell>
          <cell r="D28" t="str">
            <v>cum</v>
          </cell>
          <cell r="E28">
            <v>10.82</v>
          </cell>
          <cell r="F28">
            <v>10.82</v>
          </cell>
          <cell r="G28">
            <v>675</v>
          </cell>
          <cell r="H28">
            <v>7303.5</v>
          </cell>
          <cell r="I28">
            <v>630</v>
          </cell>
          <cell r="J28">
            <v>6816.6</v>
          </cell>
          <cell r="K28">
            <v>630</v>
          </cell>
          <cell r="L28">
            <v>6816.6</v>
          </cell>
        </row>
        <row r="29">
          <cell r="A29" t="str">
            <v>D-16</v>
          </cell>
          <cell r="B29" t="str">
            <v>1.16</v>
          </cell>
          <cell r="C29" t="str">
            <v>Sanitary sealing of top 1 m depth of bore hole by cementation -2 Bores</v>
          </cell>
          <cell r="D29" t="str">
            <v>Job</v>
          </cell>
          <cell r="E29">
            <v>2</v>
          </cell>
          <cell r="F29">
            <v>2</v>
          </cell>
          <cell r="G29">
            <v>5000</v>
          </cell>
          <cell r="H29">
            <v>10000</v>
          </cell>
          <cell r="I29">
            <v>5400</v>
          </cell>
          <cell r="J29">
            <v>10800</v>
          </cell>
          <cell r="K29">
            <v>5400</v>
          </cell>
          <cell r="L29">
            <v>10800</v>
          </cell>
        </row>
        <row r="30">
          <cell r="A30" t="str">
            <v>D-17</v>
          </cell>
          <cell r="B30" t="str">
            <v>1.17</v>
          </cell>
          <cell r="C30" t="str">
            <v>Electrical sensitivity logging, water analysis and over all report submission in 3 copies -2 Bores</v>
          </cell>
          <cell r="D30" t="str">
            <v>Job</v>
          </cell>
          <cell r="E30">
            <v>2</v>
          </cell>
          <cell r="F30">
            <v>2</v>
          </cell>
          <cell r="G30">
            <v>25000</v>
          </cell>
          <cell r="H30">
            <v>50000</v>
          </cell>
          <cell r="I30">
            <v>18000</v>
          </cell>
          <cell r="J30">
            <v>36000</v>
          </cell>
          <cell r="K30">
            <v>18000</v>
          </cell>
          <cell r="L30">
            <v>36000</v>
          </cell>
        </row>
        <row r="31">
          <cell r="A31" t="str">
            <v>D-18</v>
          </cell>
          <cell r="B31" t="str">
            <v>1.18</v>
          </cell>
          <cell r="C31" t="str">
            <v>Development of well by air compressor after flushing (minimum 24 hours), washing (minimum 24 hours) and mechanical surging and bailing( minimum 24 hours) all complete job as per clause 5 and other related clauses of specification and as directed by engine</v>
          </cell>
          <cell r="D31" t="str">
            <v>Hr</v>
          </cell>
          <cell r="E31">
            <v>144</v>
          </cell>
          <cell r="F31">
            <v>144</v>
          </cell>
          <cell r="G31">
            <v>500</v>
          </cell>
          <cell r="H31">
            <v>72000</v>
          </cell>
          <cell r="I31">
            <v>360</v>
          </cell>
          <cell r="J31">
            <v>51840</v>
          </cell>
          <cell r="K31">
            <v>360</v>
          </cell>
          <cell r="L31">
            <v>51840</v>
          </cell>
        </row>
        <row r="32">
          <cell r="A32" t="str">
            <v>D-19</v>
          </cell>
          <cell r="B32" t="str">
            <v>1.19</v>
          </cell>
          <cell r="C32" t="str">
            <v>Pump Test Step: Drawdown (24 hr), continuous (24 hr) and recovery (recuperation) test as per clause 5 and other related clauses of specification and as directed by engineer - 2 Bores</v>
          </cell>
          <cell r="D32" t="str">
            <v>Hr</v>
          </cell>
          <cell r="E32">
            <v>72</v>
          </cell>
          <cell r="F32">
            <v>72</v>
          </cell>
          <cell r="G32">
            <v>500</v>
          </cell>
          <cell r="H32">
            <v>36000</v>
          </cell>
          <cell r="I32">
            <v>360</v>
          </cell>
          <cell r="J32">
            <v>25920</v>
          </cell>
          <cell r="K32">
            <v>360</v>
          </cell>
          <cell r="L32">
            <v>25920</v>
          </cell>
        </row>
        <row r="33">
          <cell r="A33" t="str">
            <v>E-101</v>
          </cell>
          <cell r="B33" t="str">
            <v>1.20</v>
          </cell>
          <cell r="C33" t="str">
            <v>Supply and Installation of Submersible Pump (discharge 23.24 liter/sec) with motor of 20 KW or 26 Hp capacity with its necessary accessories including control panel board, PVC flat submersible cable, flow meter, pressure gauge, sluice valve and other nece</v>
          </cell>
          <cell r="D33" t="str">
            <v>Sets</v>
          </cell>
          <cell r="E33">
            <v>2</v>
          </cell>
          <cell r="F33">
            <v>2</v>
          </cell>
          <cell r="G33">
            <v>300000</v>
          </cell>
          <cell r="H33">
            <v>600000</v>
          </cell>
          <cell r="I33">
            <v>315000</v>
          </cell>
          <cell r="J33">
            <v>630000</v>
          </cell>
          <cell r="K33">
            <v>315000</v>
          </cell>
          <cell r="L33">
            <v>630000</v>
          </cell>
        </row>
        <row r="34">
          <cell r="A34" t="str">
            <v>E-102</v>
          </cell>
          <cell r="B34" t="str">
            <v>1.21</v>
          </cell>
          <cell r="C34" t="str">
            <v>Supply and Installation of Pump of 0.75kw or 1 HP (For washout from GW storage tank) as per clause 6 and other related clauses in specificaion and as directed by the Engineer.</v>
          </cell>
          <cell r="D34" t="str">
            <v>Set</v>
          </cell>
          <cell r="E34">
            <v>1</v>
          </cell>
          <cell r="F34">
            <v>1</v>
          </cell>
          <cell r="G34">
            <v>9000</v>
          </cell>
          <cell r="H34">
            <v>9000</v>
          </cell>
          <cell r="I34">
            <v>9000</v>
          </cell>
          <cell r="J34">
            <v>9000</v>
          </cell>
          <cell r="K34">
            <v>9000</v>
          </cell>
          <cell r="L34">
            <v>9000</v>
          </cell>
        </row>
        <row r="35">
          <cell r="A35" t="str">
            <v>E-103</v>
          </cell>
          <cell r="B35" t="str">
            <v>1.22</v>
          </cell>
          <cell r="C35" t="str">
            <v>Supply and Installation of Submersible Pump with motor of 23 KW or 30 Hp capacity with its necessary accessories including control panel board, PVC flat submersible cable, flow meter, pressure gauge, sluice valve and other necessary equipments as per clau</v>
          </cell>
          <cell r="D35" t="str">
            <v>Set</v>
          </cell>
          <cell r="E35">
            <v>1</v>
          </cell>
          <cell r="F35">
            <v>1</v>
          </cell>
          <cell r="G35">
            <v>200000</v>
          </cell>
          <cell r="H35">
            <v>200000</v>
          </cell>
          <cell r="I35">
            <v>225000</v>
          </cell>
          <cell r="J35">
            <v>225000</v>
          </cell>
          <cell r="K35">
            <v>225000</v>
          </cell>
          <cell r="L35">
            <v>225000</v>
          </cell>
        </row>
        <row r="36">
          <cell r="A36" t="str">
            <v>E-104</v>
          </cell>
          <cell r="B36" t="str">
            <v>1.23</v>
          </cell>
          <cell r="C36" t="str">
            <v>Supply and Installation of 50kVA step down pole mounting out door transformer, `11KV/400 V, Oil cooled, DYN as per specification</v>
          </cell>
          <cell r="D36" t="str">
            <v>No</v>
          </cell>
          <cell r="E36">
            <v>1</v>
          </cell>
          <cell r="F36">
            <v>1</v>
          </cell>
          <cell r="G36">
            <v>110000</v>
          </cell>
          <cell r="H36">
            <v>110000</v>
          </cell>
          <cell r="I36">
            <v>103500</v>
          </cell>
          <cell r="J36">
            <v>103500</v>
          </cell>
          <cell r="K36">
            <v>103500</v>
          </cell>
          <cell r="L36">
            <v>103500</v>
          </cell>
        </row>
        <row r="37">
          <cell r="A37" t="str">
            <v>E-105</v>
          </cell>
          <cell r="B37" t="str">
            <v>1.24</v>
          </cell>
          <cell r="C37" t="str">
            <v>Supply and Installation of Transformer Pole Mounting accessories for Transfermer (11 m MS Pole - 2 Nos, MS Angle frame for transformer stand - 1 set, MS Angle disc mounting - 3 sets, Pin Insulator - 3 set, Disc insulator - 3 sets, GOB - 1 set, Drop Out Fu</v>
          </cell>
          <cell r="D37" t="str">
            <v>Job</v>
          </cell>
          <cell r="E37">
            <v>1</v>
          </cell>
          <cell r="F37">
            <v>1</v>
          </cell>
          <cell r="G37">
            <v>85000</v>
          </cell>
          <cell r="H37">
            <v>85000</v>
          </cell>
          <cell r="I37">
            <v>81000</v>
          </cell>
          <cell r="J37">
            <v>81000</v>
          </cell>
          <cell r="K37">
            <v>81000</v>
          </cell>
          <cell r="L37">
            <v>81000</v>
          </cell>
        </row>
        <row r="38">
          <cell r="A38" t="str">
            <v>E-106</v>
          </cell>
          <cell r="B38" t="str">
            <v>1.25</v>
          </cell>
          <cell r="C38" t="str">
            <v>Supply, installation and testing of Electrical Panel with 40A TP MCCB ( Mitsubishi NH 50 - SP) /Siemens/ L&amp;T(Incoming)-1 No, 30A TP MCCB ( Mitsubishi NH 30 - SP) /Siemens/ L&amp;T (Outgoing)-4 No, AMF Panel ( 30 A)-1 No, Relay-1 No, Indicator-3 No, Bus Bar- 4</v>
          </cell>
          <cell r="D38" t="str">
            <v>Job</v>
          </cell>
          <cell r="E38">
            <v>1</v>
          </cell>
          <cell r="F38">
            <v>1</v>
          </cell>
          <cell r="G38">
            <v>85000</v>
          </cell>
          <cell r="H38">
            <v>85000</v>
          </cell>
          <cell r="I38">
            <v>81000</v>
          </cell>
          <cell r="J38">
            <v>81000</v>
          </cell>
          <cell r="K38">
            <v>81000</v>
          </cell>
          <cell r="L38">
            <v>81000</v>
          </cell>
        </row>
        <row r="39">
          <cell r="A39" t="str">
            <v>E-107</v>
          </cell>
          <cell r="B39" t="str">
            <v>1.26</v>
          </cell>
          <cell r="C39" t="str">
            <v>Supply and Installation of 4 core x 25sqmm copper armoured cable all complete as directed by the Engineer and as per Clause 4.6 and other relevant Clauses of the Specification</v>
          </cell>
          <cell r="D39" t="str">
            <v>m</v>
          </cell>
          <cell r="E39">
            <v>150</v>
          </cell>
          <cell r="F39">
            <v>150</v>
          </cell>
          <cell r="G39">
            <v>360</v>
          </cell>
          <cell r="H39">
            <v>54000</v>
          </cell>
          <cell r="I39">
            <v>324</v>
          </cell>
          <cell r="J39">
            <v>48600</v>
          </cell>
          <cell r="K39">
            <v>324</v>
          </cell>
          <cell r="L39">
            <v>48600</v>
          </cell>
        </row>
        <row r="40">
          <cell r="A40" t="str">
            <v>E-108</v>
          </cell>
          <cell r="B40" t="str">
            <v>1.27</v>
          </cell>
          <cell r="C40" t="str">
            <v>Supply and Installation of 4 core x 16sqmm copper armoured cable all complete as directed by the Engineer and as per Clause 4.6 and other relevant Clauses of the Specification</v>
          </cell>
          <cell r="D40" t="str">
            <v>m</v>
          </cell>
          <cell r="E40">
            <v>350</v>
          </cell>
          <cell r="F40">
            <v>350</v>
          </cell>
          <cell r="G40">
            <v>230</v>
          </cell>
          <cell r="H40">
            <v>80500</v>
          </cell>
          <cell r="I40">
            <v>225</v>
          </cell>
          <cell r="J40">
            <v>78750</v>
          </cell>
          <cell r="K40">
            <v>225</v>
          </cell>
          <cell r="L40">
            <v>78750</v>
          </cell>
        </row>
        <row r="41">
          <cell r="A41" t="str">
            <v>E-109</v>
          </cell>
          <cell r="B41" t="str">
            <v>1.28</v>
          </cell>
          <cell r="C41" t="str">
            <v>Lightning Arrestor Work with  2sets of Earthling work with 600x 600x3 mm cu plate, charcoal, coal and etc. and Minimum 38 m of 25 mm x 6 mm cu strip with installation accessories</v>
          </cell>
          <cell r="D41" t="str">
            <v>Job</v>
          </cell>
          <cell r="E41">
            <v>1</v>
          </cell>
          <cell r="F41">
            <v>1</v>
          </cell>
          <cell r="G41">
            <v>35000</v>
          </cell>
          <cell r="H41">
            <v>35000</v>
          </cell>
          <cell r="I41">
            <v>31500</v>
          </cell>
          <cell r="J41">
            <v>31500</v>
          </cell>
          <cell r="K41">
            <v>31500</v>
          </cell>
          <cell r="L41">
            <v>31500</v>
          </cell>
        </row>
        <row r="42">
          <cell r="B42">
            <v>2</v>
          </cell>
          <cell r="C42" t="str">
            <v>Civil Work</v>
          </cell>
          <cell r="H42">
            <v>14395901.676090004</v>
          </cell>
          <cell r="J42">
            <v>11571925.771799998</v>
          </cell>
          <cell r="L42">
            <v>11277863.1018</v>
          </cell>
        </row>
        <row r="43">
          <cell r="A43" t="str">
            <v>1.1.a</v>
          </cell>
          <cell r="B43" t="str">
            <v>2.1</v>
          </cell>
          <cell r="C43" t="str">
            <v>Cutting of trees(12-20 cm diameter), branches, making pieces and including hauling of the pieces to specified place as directed by the Engineer and as per Clause 2.1 and other relevant Clauses of the Specification</v>
          </cell>
          <cell r="D43" t="str">
            <v>no</v>
          </cell>
          <cell r="E43">
            <v>20</v>
          </cell>
          <cell r="F43">
            <v>20</v>
          </cell>
          <cell r="G43">
            <v>16.45</v>
          </cell>
          <cell r="H43">
            <v>329</v>
          </cell>
          <cell r="I43">
            <v>45</v>
          </cell>
          <cell r="J43">
            <v>900</v>
          </cell>
          <cell r="K43">
            <v>45</v>
          </cell>
          <cell r="L43">
            <v>900</v>
          </cell>
        </row>
        <row r="44">
          <cell r="A44" t="str">
            <v>1.2.b</v>
          </cell>
          <cell r="B44" t="str">
            <v>2.2</v>
          </cell>
          <cell r="C44" t="str">
            <v>Cutting and removal of stumps and their roots of girth above 300mm and a height 1 meter above ground and hauling to specified places as directed by the Engineer and as per Clause 2.1and other relevant Clauses of the Specification</v>
          </cell>
          <cell r="D44" t="str">
            <v>no</v>
          </cell>
          <cell r="E44">
            <v>20</v>
          </cell>
          <cell r="F44">
            <v>20</v>
          </cell>
          <cell r="G44">
            <v>67.05</v>
          </cell>
          <cell r="H44">
            <v>1341</v>
          </cell>
          <cell r="I44">
            <v>63</v>
          </cell>
          <cell r="J44">
            <v>1260</v>
          </cell>
          <cell r="K44">
            <v>63</v>
          </cell>
          <cell r="L44">
            <v>1260</v>
          </cell>
        </row>
        <row r="45">
          <cell r="A45" t="str">
            <v>1.4</v>
          </cell>
          <cell r="B45" t="str">
            <v>2.3</v>
          </cell>
          <cell r="C45" t="str">
            <v>Cutting thin vegetation, grubbing their roots and disposal 25m far from the construction site [ Vegetation dia &lt;=30 cm and density &gt; 15 nos/100 sqm] as directed by the Engineer and as per Clause 2.1and other relevant Clauses of the Specification</v>
          </cell>
          <cell r="D45" t="str">
            <v>sqm</v>
          </cell>
          <cell r="E45">
            <v>2171.826</v>
          </cell>
          <cell r="F45">
            <v>2171.826</v>
          </cell>
          <cell r="G45">
            <v>3.8</v>
          </cell>
          <cell r="H45">
            <v>8252.9387999999999</v>
          </cell>
          <cell r="I45">
            <v>1.8</v>
          </cell>
          <cell r="J45">
            <v>3909.2868000000003</v>
          </cell>
          <cell r="K45">
            <v>1.8</v>
          </cell>
          <cell r="L45">
            <v>3909.2868000000003</v>
          </cell>
        </row>
        <row r="46">
          <cell r="A46" t="str">
            <v>1.8</v>
          </cell>
          <cell r="B46" t="str">
            <v>2.4</v>
          </cell>
          <cell r="C46" t="str">
            <v xml:space="preserve">Removal of top soil (20cm thick) in all materials other than rock from ground level to underside of the foundations and Stock at the specified site as directed by the Engineer and as per Clause 2.2 and other clause of the Specification. </v>
          </cell>
          <cell r="D46" t="str">
            <v>sqm</v>
          </cell>
          <cell r="E46">
            <v>14891.107</v>
          </cell>
          <cell r="F46">
            <v>14891.107</v>
          </cell>
          <cell r="G46">
            <v>20.239999999999998</v>
          </cell>
          <cell r="H46">
            <v>301396.00568</v>
          </cell>
          <cell r="I46">
            <v>9</v>
          </cell>
          <cell r="J46">
            <v>134019.96299999999</v>
          </cell>
          <cell r="K46">
            <v>9</v>
          </cell>
          <cell r="L46">
            <v>134019.96299999999</v>
          </cell>
        </row>
        <row r="47">
          <cell r="A47">
            <v>2.2000000000000002</v>
          </cell>
          <cell r="B47" t="str">
            <v>2.5</v>
          </cell>
          <cell r="C47" t="str">
            <v>Excavation in all materials other than rock from ground level to underside of the foundations and disposal of surplus materials to the specified site as directed by the Engineer and including dewatering and as per Clause 2.2 and other clause of the Specif</v>
          </cell>
          <cell r="D47" t="str">
            <v>cum</v>
          </cell>
          <cell r="E47">
            <v>13851.8</v>
          </cell>
          <cell r="F47">
            <v>13961.13</v>
          </cell>
          <cell r="G47">
            <v>104.24</v>
          </cell>
          <cell r="H47">
            <v>1455308.1911999998</v>
          </cell>
          <cell r="I47">
            <v>72</v>
          </cell>
          <cell r="J47">
            <v>997329.6</v>
          </cell>
          <cell r="K47">
            <v>72</v>
          </cell>
          <cell r="L47">
            <v>1005201.36</v>
          </cell>
        </row>
        <row r="48">
          <cell r="A48" t="str">
            <v>2.25.a</v>
          </cell>
          <cell r="B48" t="str">
            <v>2.6</v>
          </cell>
          <cell r="C48" t="str">
            <v>Earth filling work (with materials) in 15cm thick layer by layer with water sprinkling and compaction as per Clause 2.2, 3 and other clause of the specification and as directed by Engineer</v>
          </cell>
          <cell r="D48" t="str">
            <v>cum</v>
          </cell>
          <cell r="E48">
            <v>79.760000000000005</v>
          </cell>
          <cell r="F48">
            <v>79.760000000000005</v>
          </cell>
          <cell r="G48">
            <v>65.150000000000006</v>
          </cell>
          <cell r="H48">
            <v>5196.3640000000005</v>
          </cell>
          <cell r="I48">
            <v>36</v>
          </cell>
          <cell r="J48">
            <v>2871.36</v>
          </cell>
          <cell r="K48">
            <v>36</v>
          </cell>
          <cell r="L48">
            <v>2871.36</v>
          </cell>
        </row>
        <row r="49">
          <cell r="A49" t="str">
            <v>2.42</v>
          </cell>
          <cell r="B49" t="str">
            <v>2.7</v>
          </cell>
          <cell r="C49" t="str">
            <v>Sand filling work with sprinkling of water and hand compaction as per clause 2.2 and related clauses in specification and as directed by the Engineer</v>
          </cell>
          <cell r="D49" t="str">
            <v>cum</v>
          </cell>
          <cell r="E49">
            <v>7.99</v>
          </cell>
          <cell r="F49">
            <v>7.99</v>
          </cell>
          <cell r="G49">
            <v>692.08</v>
          </cell>
          <cell r="H49">
            <v>5529.7192000000005</v>
          </cell>
          <cell r="I49">
            <v>540</v>
          </cell>
          <cell r="J49">
            <v>4314.6000000000004</v>
          </cell>
          <cell r="K49">
            <v>540</v>
          </cell>
          <cell r="L49">
            <v>4314.6000000000004</v>
          </cell>
        </row>
        <row r="50">
          <cell r="A50" t="str">
            <v>5.1.b.3</v>
          </cell>
          <cell r="B50" t="str">
            <v>2.8</v>
          </cell>
          <cell r="C50" t="str">
            <v>Brick masonry work up to the super structure from foundation in Cement sand mortar (1:6) including supply of materials, scaffolding, curing as  per Clause 4.1 and other relevant clause of the Specification and as directed by Engineer</v>
          </cell>
          <cell r="D50" t="str">
            <v>cum</v>
          </cell>
          <cell r="E50">
            <v>162.21</v>
          </cell>
          <cell r="F50">
            <v>162.21</v>
          </cell>
          <cell r="G50">
            <v>2910.1</v>
          </cell>
          <cell r="H50">
            <v>472047.321</v>
          </cell>
          <cell r="I50">
            <v>2700</v>
          </cell>
          <cell r="J50">
            <v>437967</v>
          </cell>
          <cell r="K50">
            <v>2700</v>
          </cell>
          <cell r="L50">
            <v>437967</v>
          </cell>
        </row>
        <row r="51">
          <cell r="A51" t="str">
            <v>6.1.b</v>
          </cell>
          <cell r="B51" t="str">
            <v>2.9</v>
          </cell>
          <cell r="C51" t="str">
            <v>Random rubble masonry work up to the super structure from foundation in Cement sand mortar (1:4) including supply of materials, scaffolding, curing as per Clause 2.2 and other related clause of the Specification and as directed by the Engineer</v>
          </cell>
          <cell r="D51" t="str">
            <v>cum</v>
          </cell>
          <cell r="E51">
            <v>254.572</v>
          </cell>
          <cell r="F51">
            <v>254.572</v>
          </cell>
          <cell r="G51">
            <v>3054.83</v>
          </cell>
          <cell r="H51">
            <v>777674.18276</v>
          </cell>
          <cell r="I51">
            <v>1980</v>
          </cell>
          <cell r="J51">
            <v>504052.56</v>
          </cell>
          <cell r="K51">
            <v>1980</v>
          </cell>
          <cell r="L51">
            <v>504052.56</v>
          </cell>
        </row>
        <row r="52">
          <cell r="A52" t="str">
            <v>7.1.a</v>
          </cell>
          <cell r="B52" t="str">
            <v>2.10</v>
          </cell>
          <cell r="C52" t="str">
            <v>Plum concreting in M10 cement sand aggregate boulder mix for foundation, vertical faces, walls, abutments and specified place as shown in drawings, specification including form work as per Clause 2.3 and other related clause of the specification and as di</v>
          </cell>
          <cell r="D52" t="str">
            <v>cum</v>
          </cell>
          <cell r="E52">
            <v>0.55300000000000005</v>
          </cell>
          <cell r="F52">
            <v>0.55300000000000005</v>
          </cell>
          <cell r="G52">
            <v>3472.74</v>
          </cell>
          <cell r="H52">
            <v>1920.4252200000001</v>
          </cell>
          <cell r="I52">
            <v>2700</v>
          </cell>
          <cell r="J52">
            <v>1493.1000000000001</v>
          </cell>
          <cell r="K52">
            <v>2700</v>
          </cell>
          <cell r="L52">
            <v>1493.1000000000001</v>
          </cell>
        </row>
        <row r="53">
          <cell r="A53" t="str">
            <v>7.2.d</v>
          </cell>
          <cell r="B53" t="str">
            <v>2.11</v>
          </cell>
          <cell r="C53" t="str">
            <v>Concrete work M15 for RCC work in vertical surface, wall and foundation as per shape and size shown in drawings including form work as directed by the Engineer and as per specification and as per Clause 2.3 and other related clause of the specification</v>
          </cell>
          <cell r="D53" t="str">
            <v>cum</v>
          </cell>
          <cell r="E53">
            <v>119.175</v>
          </cell>
          <cell r="F53">
            <v>119.175</v>
          </cell>
          <cell r="G53">
            <v>4355.99</v>
          </cell>
          <cell r="H53">
            <v>519125.10824999999</v>
          </cell>
          <cell r="I53">
            <v>3600</v>
          </cell>
          <cell r="J53">
            <v>429030</v>
          </cell>
          <cell r="K53">
            <v>3600</v>
          </cell>
          <cell r="L53">
            <v>429030</v>
          </cell>
        </row>
        <row r="54">
          <cell r="A54" t="str">
            <v>7.2.c</v>
          </cell>
          <cell r="B54" t="str">
            <v>2.12</v>
          </cell>
          <cell r="C54" t="str">
            <v>Concrete work M10 for PCC work as per shape and size shown in drawings including form work as per Clause 2.3 and other related clause of the specification and as directed by the Engineer</v>
          </cell>
          <cell r="D54" t="str">
            <v>cum</v>
          </cell>
          <cell r="E54">
            <v>77.37</v>
          </cell>
          <cell r="F54">
            <v>69.28</v>
          </cell>
          <cell r="G54">
            <v>3611.77</v>
          </cell>
          <cell r="H54">
            <v>250223.42560000002</v>
          </cell>
          <cell r="I54">
            <v>2700</v>
          </cell>
          <cell r="J54">
            <v>208899</v>
          </cell>
          <cell r="K54">
            <v>2700</v>
          </cell>
          <cell r="L54">
            <v>187056</v>
          </cell>
        </row>
        <row r="55">
          <cell r="A55" t="str">
            <v>7.4.b</v>
          </cell>
          <cell r="B55" t="str">
            <v>2.13</v>
          </cell>
          <cell r="C55" t="str">
            <v>Concrete work M20 for RCC work in super structure, slab and beam as per shape and size shown in drawings and as per Clause 2.3  and other related clause of the Specification and as directed by the Engineer.</v>
          </cell>
          <cell r="D55" t="str">
            <v>cum</v>
          </cell>
          <cell r="E55">
            <v>275.83999999999997</v>
          </cell>
          <cell r="F55">
            <v>275.83999999999997</v>
          </cell>
          <cell r="G55">
            <v>5306.19</v>
          </cell>
          <cell r="H55">
            <v>1463659.4495999997</v>
          </cell>
          <cell r="I55">
            <v>4500</v>
          </cell>
          <cell r="J55">
            <v>1241280</v>
          </cell>
          <cell r="K55">
            <v>4500</v>
          </cell>
          <cell r="L55">
            <v>1241280</v>
          </cell>
        </row>
        <row r="56">
          <cell r="A56" t="str">
            <v>7.4.b.1</v>
          </cell>
          <cell r="B56" t="str">
            <v>2.14</v>
          </cell>
          <cell r="C56" t="str">
            <v>Concrete work M20 for RCC work in super structure, slab and beam as per shape and size shown in drawings and as per Clause 2.3  and other related clause of the Specification and as directed by the Engineer.</v>
          </cell>
          <cell r="D56" t="str">
            <v>cum</v>
          </cell>
          <cell r="E56">
            <v>115.342</v>
          </cell>
          <cell r="F56">
            <v>112.60199999999999</v>
          </cell>
          <cell r="G56">
            <v>5306.19</v>
          </cell>
          <cell r="H56">
            <v>597487.6063799999</v>
          </cell>
          <cell r="I56">
            <v>4590</v>
          </cell>
          <cell r="J56">
            <v>529419.78</v>
          </cell>
          <cell r="K56">
            <v>4590</v>
          </cell>
          <cell r="L56">
            <v>516843.17999999993</v>
          </cell>
        </row>
        <row r="57">
          <cell r="A57" t="str">
            <v>7.4.c</v>
          </cell>
          <cell r="B57" t="str">
            <v>2.15</v>
          </cell>
          <cell r="C57" t="str">
            <v>Concrete work M25 for RCC work in super structure, slab and beam as per shape and size shown in drawings as per Clause 2.3 and other related clause of the specification and as directed by the Engineer</v>
          </cell>
          <cell r="D57" t="str">
            <v>cum</v>
          </cell>
          <cell r="E57">
            <v>227.67699999999999</v>
          </cell>
          <cell r="F57">
            <v>235.92699999999999</v>
          </cell>
          <cell r="G57">
            <v>6897.8</v>
          </cell>
          <cell r="H57">
            <v>1627377.2605999999</v>
          </cell>
          <cell r="I57">
            <v>4950</v>
          </cell>
          <cell r="J57">
            <v>1127001.1499999999</v>
          </cell>
          <cell r="K57">
            <v>4950</v>
          </cell>
          <cell r="L57">
            <v>1167838.6499999999</v>
          </cell>
        </row>
        <row r="58">
          <cell r="A58" t="str">
            <v>7.5</v>
          </cell>
          <cell r="B58" t="str">
            <v>2.16</v>
          </cell>
          <cell r="C58" t="str">
            <v>Supply, cutting, Bending, Laying in position and binding of steel bars for RCC work as drawings and as per Clause 2.3  and other related clause of the Specification and as directed by Engineer</v>
          </cell>
          <cell r="D58" t="str">
            <v>mt</v>
          </cell>
          <cell r="E58">
            <v>96.337999999999994</v>
          </cell>
          <cell r="F58">
            <v>88.177999999999997</v>
          </cell>
          <cell r="G58">
            <v>57940.74</v>
          </cell>
          <cell r="H58">
            <v>5109098.5717199994</v>
          </cell>
          <cell r="I58">
            <v>48600</v>
          </cell>
          <cell r="J58">
            <v>4682026.8</v>
          </cell>
          <cell r="K58">
            <v>48600</v>
          </cell>
          <cell r="L58">
            <v>4285450.8</v>
          </cell>
        </row>
        <row r="59">
          <cell r="A59" t="str">
            <v>8.2.a</v>
          </cell>
          <cell r="B59" t="str">
            <v>2.17</v>
          </cell>
          <cell r="C59" t="str">
            <v>Preparation of wooden shuttering (plywood and steel props) works for different RCC structure as per shape and size shown in drawings as per Clause 2.3  and other related clause of the Specification and as directed by Engineer.</v>
          </cell>
          <cell r="D59" t="str">
            <v>sqm</v>
          </cell>
          <cell r="E59">
            <v>1064.731</v>
          </cell>
          <cell r="F59">
            <v>1064.731</v>
          </cell>
          <cell r="G59">
            <v>221.24</v>
          </cell>
          <cell r="H59">
            <v>235561.08644000001</v>
          </cell>
          <cell r="I59">
            <v>180</v>
          </cell>
          <cell r="J59">
            <v>191651.58</v>
          </cell>
          <cell r="K59">
            <v>180</v>
          </cell>
          <cell r="L59">
            <v>191651.58</v>
          </cell>
        </row>
        <row r="60">
          <cell r="A60" t="str">
            <v>8.2.a.2</v>
          </cell>
          <cell r="B60" t="str">
            <v>2.18</v>
          </cell>
          <cell r="C60" t="str">
            <v>Preparation of wooden shuttering (plywood and steel props) works for Surface Drain as per shape and size shown in drawings as per Clause 2.3  and other related clause of the Specification and as directed by Engineer</v>
          </cell>
          <cell r="D60" t="str">
            <v>sqm</v>
          </cell>
          <cell r="E60">
            <v>908</v>
          </cell>
          <cell r="F60">
            <v>908</v>
          </cell>
          <cell r="G60">
            <v>110.62</v>
          </cell>
          <cell r="H60">
            <v>100442.96</v>
          </cell>
          <cell r="I60">
            <v>135</v>
          </cell>
          <cell r="J60">
            <v>122580</v>
          </cell>
          <cell r="K60">
            <v>135</v>
          </cell>
          <cell r="L60">
            <v>122580</v>
          </cell>
        </row>
        <row r="61">
          <cell r="A61" t="str">
            <v>8.2.a.1</v>
          </cell>
          <cell r="B61" t="str">
            <v>2.19</v>
          </cell>
          <cell r="C61" t="str">
            <v>Preparation of wooden shuttering (plywood and steel props) works for Overhead reservoir as per shape and size shown in drawings including staging and safety measurement as per Clause 2.3  and other related clause of the Specification and as directed by En</v>
          </cell>
          <cell r="D61" t="str">
            <v>sqm</v>
          </cell>
          <cell r="E61">
            <v>1256.6310000000001</v>
          </cell>
          <cell r="F61">
            <v>1567.491</v>
          </cell>
          <cell r="G61">
            <v>331.86</v>
          </cell>
          <cell r="H61">
            <v>520187.56326000002</v>
          </cell>
          <cell r="I61">
            <v>270</v>
          </cell>
          <cell r="J61">
            <v>339290.37</v>
          </cell>
          <cell r="K61">
            <v>270</v>
          </cell>
          <cell r="L61">
            <v>423222.57</v>
          </cell>
        </row>
        <row r="62">
          <cell r="A62">
            <v>10.1</v>
          </cell>
          <cell r="B62" t="str">
            <v>2.20</v>
          </cell>
          <cell r="C62" t="str">
            <v>Supply and fixing of window and door frame of salwood as per shape and size shown in drawing including all fixture and accessories and as per Clause 4.5 and other related clause of the Specification and as directed by the Engineer</v>
          </cell>
          <cell r="D62" t="str">
            <v>cum</v>
          </cell>
          <cell r="E62">
            <v>0.99</v>
          </cell>
          <cell r="F62">
            <v>0.99</v>
          </cell>
          <cell r="G62">
            <v>51582.38</v>
          </cell>
          <cell r="H62">
            <v>51066.556199999999</v>
          </cell>
          <cell r="I62">
            <v>45000</v>
          </cell>
          <cell r="J62">
            <v>44550</v>
          </cell>
          <cell r="K62">
            <v>45000</v>
          </cell>
          <cell r="L62">
            <v>44550</v>
          </cell>
        </row>
        <row r="63">
          <cell r="A63">
            <v>10.199999999999999</v>
          </cell>
          <cell r="B63" t="str">
            <v>2.21</v>
          </cell>
          <cell r="C63" t="str">
            <v>Supply and fixing of 38 x 75mm thick Sal wood paneled door shutter as per size shown in drawing including all fixture and accessories and as per Clause 4.5 and other related clause of the Specification and as directed by the Engineer</v>
          </cell>
          <cell r="D63" t="str">
            <v>sqm</v>
          </cell>
          <cell r="E63">
            <v>15.2</v>
          </cell>
          <cell r="F63">
            <v>15.2</v>
          </cell>
          <cell r="G63">
            <v>2993.11</v>
          </cell>
          <cell r="H63">
            <v>45495.271999999997</v>
          </cell>
          <cell r="I63">
            <v>2250</v>
          </cell>
          <cell r="J63">
            <v>34200</v>
          </cell>
          <cell r="K63">
            <v>2250</v>
          </cell>
          <cell r="L63">
            <v>34200</v>
          </cell>
        </row>
        <row r="64">
          <cell r="A64">
            <v>10.7</v>
          </cell>
          <cell r="B64" t="str">
            <v>2.22</v>
          </cell>
          <cell r="C64" t="str">
            <v>Supply and fixing of 38 x 75mm thick Sal wood flush shutter with 4mm thick commercial plywood on both side as per size shown in drawing including all fixture and accessories and as per Clause 4.5 and other related clause of the Specification and as direct</v>
          </cell>
          <cell r="D64" t="str">
            <v>sqm</v>
          </cell>
          <cell r="E64">
            <v>12.29</v>
          </cell>
          <cell r="F64">
            <v>12.29</v>
          </cell>
          <cell r="G64">
            <v>2125.5100000000002</v>
          </cell>
          <cell r="H64">
            <v>26122.517900000003</v>
          </cell>
          <cell r="I64">
            <v>1620</v>
          </cell>
          <cell r="J64">
            <v>19909.8</v>
          </cell>
          <cell r="K64">
            <v>1620</v>
          </cell>
          <cell r="L64">
            <v>19909.8</v>
          </cell>
        </row>
        <row r="65">
          <cell r="A65">
            <v>11.7</v>
          </cell>
          <cell r="B65" t="str">
            <v>2.23</v>
          </cell>
          <cell r="C65" t="str">
            <v>Supply and fixing of 38 x 75mm thick Sal wood flush shutter with 4mm thick commercial plywood on both side as per size shown in drawing including all fixture and accessories and as per Clause 4.5 and other related clause of the Specification and as direct</v>
          </cell>
          <cell r="D65" t="str">
            <v>sqm</v>
          </cell>
          <cell r="E65">
            <v>4.5670000000000002</v>
          </cell>
          <cell r="F65">
            <v>4.5670000000000002</v>
          </cell>
          <cell r="G65">
            <v>788.14</v>
          </cell>
          <cell r="H65">
            <v>3599.4353799999999</v>
          </cell>
          <cell r="I65">
            <v>1620</v>
          </cell>
          <cell r="J65">
            <v>7398.54</v>
          </cell>
          <cell r="K65">
            <v>1620</v>
          </cell>
          <cell r="L65">
            <v>7398.54</v>
          </cell>
        </row>
        <row r="66">
          <cell r="A66" t="str">
            <v>10.10</v>
          </cell>
          <cell r="B66" t="str">
            <v>2.24</v>
          </cell>
          <cell r="C66" t="str">
            <v>Supply and fixing of 38 x 75mm thick Sal wood wire mesh shutter for given door, window and ventilation size shown in drawing including all fixture and accessories and as per Clause 4.5 and other related clause of the Specification and as directed by the E</v>
          </cell>
          <cell r="D66" t="str">
            <v>sqm</v>
          </cell>
          <cell r="E66">
            <v>5.8710000000000004</v>
          </cell>
          <cell r="F66">
            <v>5.8710000000000004</v>
          </cell>
          <cell r="G66">
            <v>1578.22</v>
          </cell>
          <cell r="H66">
            <v>9265.7296200000001</v>
          </cell>
          <cell r="I66">
            <v>1350</v>
          </cell>
          <cell r="J66">
            <v>7925.85</v>
          </cell>
          <cell r="K66">
            <v>1350</v>
          </cell>
          <cell r="L66">
            <v>7925.85</v>
          </cell>
        </row>
        <row r="67">
          <cell r="A67">
            <v>10.11</v>
          </cell>
          <cell r="B67" t="str">
            <v>2.25</v>
          </cell>
          <cell r="C67" t="str">
            <v>Supply and fixing of 4mm glass with sal wooden frame (Listi) as per Clause 4.2.3 and othe relevant clauses in specification and as directed by Engineer</v>
          </cell>
          <cell r="D67" t="str">
            <v>sqm</v>
          </cell>
          <cell r="E67">
            <v>12.74</v>
          </cell>
          <cell r="F67">
            <v>12.74</v>
          </cell>
          <cell r="G67">
            <v>590.77</v>
          </cell>
          <cell r="H67">
            <v>7526.4097999999994</v>
          </cell>
          <cell r="I67">
            <v>495</v>
          </cell>
          <cell r="J67">
            <v>6306.3</v>
          </cell>
          <cell r="K67">
            <v>495</v>
          </cell>
          <cell r="L67">
            <v>6306.3</v>
          </cell>
        </row>
        <row r="68">
          <cell r="A68" t="str">
            <v>11.6.2</v>
          </cell>
          <cell r="B68" t="str">
            <v>2.26</v>
          </cell>
          <cell r="C68" t="str">
            <v xml:space="preserve">20mm thick Kota stone flooring work in 20mm thick cement sand mortar(1:4) bed and cement slurry in joints as per Clause 4.4 and other relevant clauses in specification and as directed by Engineer </v>
          </cell>
          <cell r="D68" t="str">
            <v>sqm</v>
          </cell>
          <cell r="E68">
            <v>53.5</v>
          </cell>
          <cell r="F68">
            <v>53.5</v>
          </cell>
          <cell r="G68">
            <v>1166.6500000000001</v>
          </cell>
          <cell r="H68">
            <v>62415.775000000001</v>
          </cell>
          <cell r="I68">
            <v>990</v>
          </cell>
          <cell r="J68">
            <v>52965</v>
          </cell>
          <cell r="K68">
            <v>990</v>
          </cell>
          <cell r="L68">
            <v>52965</v>
          </cell>
        </row>
        <row r="69">
          <cell r="A69" t="str">
            <v>11.15.a</v>
          </cell>
          <cell r="B69" t="str">
            <v>2.27</v>
          </cell>
          <cell r="C69" t="str">
            <v>Brick on flat soling on sand bed and filling the joints with sand as per Clause 4.1 and other related clause of the Specification and as directed by the Engineer</v>
          </cell>
          <cell r="D69" t="str">
            <v>sqm</v>
          </cell>
          <cell r="E69">
            <v>127.78</v>
          </cell>
          <cell r="F69">
            <v>127.78</v>
          </cell>
          <cell r="G69">
            <v>152.43</v>
          </cell>
          <cell r="H69">
            <v>19477.505400000002</v>
          </cell>
          <cell r="I69">
            <v>135</v>
          </cell>
          <cell r="J69">
            <v>17250.3</v>
          </cell>
          <cell r="K69">
            <v>135</v>
          </cell>
          <cell r="L69">
            <v>17250.3</v>
          </cell>
        </row>
        <row r="70">
          <cell r="A70" t="str">
            <v>11.15.b</v>
          </cell>
          <cell r="B70" t="str">
            <v>2.28</v>
          </cell>
          <cell r="C70" t="str">
            <v>Brick on edge soling on sand bed and filling the joints with sand as per Clause 4.1 and other related clause of the Specification and as directed by the Engineer</v>
          </cell>
          <cell r="D70" t="str">
            <v>sqm</v>
          </cell>
          <cell r="E70">
            <v>85.25</v>
          </cell>
          <cell r="F70">
            <v>85.25</v>
          </cell>
          <cell r="G70">
            <v>288.08</v>
          </cell>
          <cell r="H70">
            <v>24558.82</v>
          </cell>
          <cell r="I70">
            <v>225</v>
          </cell>
          <cell r="J70">
            <v>19181.25</v>
          </cell>
          <cell r="K70">
            <v>225</v>
          </cell>
          <cell r="L70">
            <v>19181.25</v>
          </cell>
        </row>
        <row r="71">
          <cell r="A71">
            <v>11.16</v>
          </cell>
          <cell r="B71" t="str">
            <v>2.29</v>
          </cell>
          <cell r="C71" t="str">
            <v>Stone soling work on sand bed and filling with chips or spalls in voids as per clause 4.1 and other related clause of the Specification and as directed by the Engineer.</v>
          </cell>
          <cell r="D71" t="str">
            <v>cum</v>
          </cell>
          <cell r="E71">
            <v>305.45400000000001</v>
          </cell>
          <cell r="F71">
            <v>300.70400000000001</v>
          </cell>
          <cell r="G71">
            <v>1063.75</v>
          </cell>
          <cell r="H71">
            <v>319873.88</v>
          </cell>
          <cell r="I71">
            <v>450</v>
          </cell>
          <cell r="J71">
            <v>137454.30000000002</v>
          </cell>
          <cell r="K71">
            <v>450</v>
          </cell>
          <cell r="L71">
            <v>135316.80000000002</v>
          </cell>
        </row>
        <row r="72">
          <cell r="A72" t="str">
            <v>11.19.b</v>
          </cell>
          <cell r="B72" t="str">
            <v>2.30</v>
          </cell>
          <cell r="C72" t="str">
            <v>Brick bats filling and compaction work with sprinkling of water</v>
          </cell>
          <cell r="D72" t="str">
            <v>cum</v>
          </cell>
          <cell r="E72">
            <v>8.2949999999999999</v>
          </cell>
          <cell r="F72">
            <v>8.2949999999999999</v>
          </cell>
          <cell r="G72">
            <v>1018.27</v>
          </cell>
          <cell r="H72">
            <v>8446.549649999999</v>
          </cell>
          <cell r="I72">
            <v>450</v>
          </cell>
          <cell r="J72">
            <v>3732.75</v>
          </cell>
          <cell r="K72">
            <v>450</v>
          </cell>
          <cell r="L72">
            <v>3732.75</v>
          </cell>
        </row>
        <row r="73">
          <cell r="A73" t="str">
            <v>12.1.b</v>
          </cell>
          <cell r="B73" t="str">
            <v>2.31</v>
          </cell>
          <cell r="C73" t="str">
            <v>12.5 mm thick Cement sand plaster work of ratio 1:3 in wall and floor as in shown in drawing and as per Clause 4.1 and other related clause of the Specification and as directed by Engineer</v>
          </cell>
          <cell r="D73" t="str">
            <v>sqm</v>
          </cell>
          <cell r="E73">
            <v>2222.7800000000002</v>
          </cell>
          <cell r="F73">
            <v>2302.1500000000005</v>
          </cell>
          <cell r="G73">
            <v>105.98</v>
          </cell>
          <cell r="H73">
            <v>243981.85700000008</v>
          </cell>
          <cell r="I73">
            <v>81</v>
          </cell>
          <cell r="J73">
            <v>180045.18000000002</v>
          </cell>
          <cell r="K73">
            <v>81</v>
          </cell>
          <cell r="L73">
            <v>186474.15000000005</v>
          </cell>
        </row>
        <row r="74">
          <cell r="A74" t="str">
            <v>12.1.c</v>
          </cell>
          <cell r="B74" t="str">
            <v>2.32</v>
          </cell>
          <cell r="C74" t="str">
            <v>12.5 mm thick Cement sand plaster work of ratio 1:4 in wall and flooras shown in shown in drawing and as per Clause 4.1 and other related clause of the Specification and as directed by Engineer</v>
          </cell>
          <cell r="D74" t="str">
            <v>sqm</v>
          </cell>
          <cell r="E74">
            <v>56.426000000000002</v>
          </cell>
          <cell r="F74">
            <v>56.426000000000002</v>
          </cell>
          <cell r="G74">
            <v>100.32</v>
          </cell>
          <cell r="H74">
            <v>5660.6563200000001</v>
          </cell>
          <cell r="I74">
            <v>72</v>
          </cell>
          <cell r="J74">
            <v>4062.672</v>
          </cell>
          <cell r="K74">
            <v>72</v>
          </cell>
          <cell r="L74">
            <v>4062.672</v>
          </cell>
        </row>
        <row r="75">
          <cell r="A75" t="str">
            <v>12.1.d</v>
          </cell>
          <cell r="B75" t="str">
            <v>2.33</v>
          </cell>
          <cell r="C75" t="str">
            <v>12.5 mm thick Cement sand plaster work of ratio 1:6 in wall and floor as shown in shown in drawing and as per Clause 4.1 and other related clause of the Specification and as directed by Engineer</v>
          </cell>
          <cell r="D75" t="str">
            <v>sqm</v>
          </cell>
          <cell r="E75">
            <v>305.29399999999998</v>
          </cell>
          <cell r="F75">
            <v>305.29399999999998</v>
          </cell>
          <cell r="G75">
            <v>89.02</v>
          </cell>
          <cell r="H75">
            <v>27177.271879999997</v>
          </cell>
          <cell r="I75">
            <v>67.5</v>
          </cell>
          <cell r="J75">
            <v>20607.344999999998</v>
          </cell>
          <cell r="K75">
            <v>67.5</v>
          </cell>
          <cell r="L75">
            <v>20607.344999999998</v>
          </cell>
        </row>
        <row r="76">
          <cell r="A76" t="str">
            <v>12.4.b</v>
          </cell>
          <cell r="B76" t="str">
            <v>2.34</v>
          </cell>
          <cell r="C76" t="str">
            <v>20 mm thick Cement sand plaster work of ratio 1:4 in wall and floor as shown in shown in drawing and as per Clause 4.1 and other related clause of the Specification and as directed by Engineer</v>
          </cell>
          <cell r="D76" t="str">
            <v>sqm</v>
          </cell>
          <cell r="E76">
            <v>3.25</v>
          </cell>
          <cell r="F76">
            <v>3.25</v>
          </cell>
          <cell r="G76">
            <v>134.09</v>
          </cell>
          <cell r="H76">
            <v>435.79250000000002</v>
          </cell>
          <cell r="I76">
            <v>99</v>
          </cell>
          <cell r="J76">
            <v>321.75</v>
          </cell>
          <cell r="K76">
            <v>99</v>
          </cell>
          <cell r="L76">
            <v>321.75</v>
          </cell>
        </row>
        <row r="77">
          <cell r="A77" t="str">
            <v>13.3.c</v>
          </cell>
          <cell r="B77" t="str">
            <v>2.35</v>
          </cell>
          <cell r="C77" t="str">
            <v>Two coat distemper (approved color and quality) painting work plus(+) one coat base coat (primer) in wall and ceiling as per Clause 4.4 and other related Clause of the Specification and as directed by the Engineer</v>
          </cell>
          <cell r="D77" t="str">
            <v>sqm</v>
          </cell>
          <cell r="E77">
            <v>164.524</v>
          </cell>
          <cell r="F77">
            <v>164.524</v>
          </cell>
          <cell r="G77">
            <v>34.479999999999997</v>
          </cell>
          <cell r="H77">
            <v>5672.7875199999999</v>
          </cell>
          <cell r="I77">
            <v>40.5</v>
          </cell>
          <cell r="J77">
            <v>6663.2219999999998</v>
          </cell>
          <cell r="K77">
            <v>40.5</v>
          </cell>
          <cell r="L77">
            <v>6663.2219999999998</v>
          </cell>
        </row>
        <row r="78">
          <cell r="A78" t="str">
            <v>13.4.b</v>
          </cell>
          <cell r="B78" t="str">
            <v>2.36</v>
          </cell>
          <cell r="C78" t="str">
            <v>Two coat water proof cement (approved colour) painting work in wall and ceiling as per Clause 4.4 and other related Clause of the Specification and as directed by the Engineer</v>
          </cell>
          <cell r="D78" t="str">
            <v>sqm</v>
          </cell>
          <cell r="E78">
            <v>245.56299999999999</v>
          </cell>
          <cell r="F78">
            <v>245.56299999999999</v>
          </cell>
          <cell r="G78">
            <v>77.569999999999993</v>
          </cell>
          <cell r="H78">
            <v>19048.321909999999</v>
          </cell>
          <cell r="I78">
            <v>36</v>
          </cell>
          <cell r="J78">
            <v>8840.268</v>
          </cell>
          <cell r="K78">
            <v>36</v>
          </cell>
          <cell r="L78">
            <v>8840.268</v>
          </cell>
        </row>
        <row r="79">
          <cell r="A79" t="str">
            <v>13.5.c</v>
          </cell>
          <cell r="B79" t="str">
            <v>2.37</v>
          </cell>
          <cell r="C79" t="str">
            <v>Two coat enamel (approved colour) painting work plus(+) one coat primer in door as per Clause 4.4 and other related Clause of the Specification and as directed by the Engineer</v>
          </cell>
          <cell r="D79" t="str">
            <v>sqm</v>
          </cell>
          <cell r="E79">
            <v>12.285</v>
          </cell>
          <cell r="F79">
            <v>12.285</v>
          </cell>
          <cell r="G79">
            <v>109.56</v>
          </cell>
          <cell r="H79">
            <v>1345.9446</v>
          </cell>
          <cell r="I79">
            <v>72</v>
          </cell>
          <cell r="J79">
            <v>884.52</v>
          </cell>
          <cell r="K79">
            <v>72</v>
          </cell>
          <cell r="L79">
            <v>884.52</v>
          </cell>
        </row>
        <row r="80">
          <cell r="A80" t="str">
            <v>14.2.c</v>
          </cell>
          <cell r="B80" t="str">
            <v>2.38</v>
          </cell>
          <cell r="C80" t="str">
            <v>12.5mm thickCement pointing work in rubble masonry work in 1:3 cement sand mortar as per specification and as directed by Engineer</v>
          </cell>
          <cell r="D80" t="str">
            <v>sqm</v>
          </cell>
          <cell r="E80">
            <v>794.5</v>
          </cell>
          <cell r="F80">
            <v>794.5</v>
          </cell>
          <cell r="G80">
            <v>70.38</v>
          </cell>
          <cell r="H80">
            <v>55916.909999999996</v>
          </cell>
          <cell r="I80">
            <v>45</v>
          </cell>
          <cell r="J80">
            <v>35752.5</v>
          </cell>
          <cell r="K80">
            <v>45</v>
          </cell>
          <cell r="L80">
            <v>35752.5</v>
          </cell>
        </row>
        <row r="81">
          <cell r="A81">
            <v>14.6</v>
          </cell>
          <cell r="B81" t="str">
            <v>2.39</v>
          </cell>
          <cell r="C81" t="str">
            <v>3mm Punning work in cement mortar(1:1) as per Clause 4.1 and other related clause of the Specification and as directed by the Engineer</v>
          </cell>
          <cell r="D81" t="str">
            <v>sqm</v>
          </cell>
          <cell r="E81">
            <v>101.735</v>
          </cell>
          <cell r="F81">
            <v>101.735</v>
          </cell>
          <cell r="G81">
            <v>65.42</v>
          </cell>
          <cell r="H81">
            <v>6655.5037000000002</v>
          </cell>
          <cell r="I81">
            <v>45</v>
          </cell>
          <cell r="J81">
            <v>4578.0749999999998</v>
          </cell>
          <cell r="K81">
            <v>45</v>
          </cell>
          <cell r="L81">
            <v>4578.0749999999998</v>
          </cell>
        </row>
        <row r="82">
          <cell r="B82">
            <v>3</v>
          </cell>
          <cell r="C82" t="str">
            <v>Supply, pipe laying, jointing with necessary accessories, fittings with installation pipe fittings works of various type in different diameter as Clause 3, 5, 6 and other related clause of the Specification, manufacturer's instruction and as directed by t</v>
          </cell>
          <cell r="H82">
            <v>11855215.549999999</v>
          </cell>
          <cell r="J82">
            <v>11986921.800000001</v>
          </cell>
          <cell r="L82">
            <v>11986921.800000001</v>
          </cell>
        </row>
        <row r="83">
          <cell r="A83" t="str">
            <v>17.2.a.4</v>
          </cell>
          <cell r="B83" t="str">
            <v>3.1</v>
          </cell>
          <cell r="C83" t="str">
            <v>HDPE - 40/6 (dia/kgf/cm2). HDPE pipe including all HDPE fittings required for pipeline and valve chamber</v>
          </cell>
          <cell r="D83" t="str">
            <v>m</v>
          </cell>
          <cell r="E83">
            <v>4631</v>
          </cell>
          <cell r="F83">
            <v>4631</v>
          </cell>
          <cell r="G83">
            <v>48.29</v>
          </cell>
          <cell r="H83">
            <v>223630.99</v>
          </cell>
          <cell r="I83">
            <v>50.4</v>
          </cell>
          <cell r="J83">
            <v>233402.4</v>
          </cell>
          <cell r="K83">
            <v>50.4</v>
          </cell>
          <cell r="L83">
            <v>233402.4</v>
          </cell>
        </row>
        <row r="84">
          <cell r="A84" t="str">
            <v>17.2.a.5</v>
          </cell>
          <cell r="B84" t="str">
            <v>3.2</v>
          </cell>
          <cell r="C84" t="str">
            <v xml:space="preserve">HDPE - 50/6 (dia/kgf/cm2) pipe including all HDPE fittings required for pipeline and valve chamber </v>
          </cell>
          <cell r="D84" t="str">
            <v>m</v>
          </cell>
          <cell r="E84">
            <v>6789</v>
          </cell>
          <cell r="F84">
            <v>6789</v>
          </cell>
          <cell r="G84">
            <v>74.3</v>
          </cell>
          <cell r="H84">
            <v>504422.69999999995</v>
          </cell>
          <cell r="I84">
            <v>77.400000000000006</v>
          </cell>
          <cell r="J84">
            <v>525468.60000000009</v>
          </cell>
          <cell r="K84">
            <v>77.400000000000006</v>
          </cell>
          <cell r="L84">
            <v>525468.60000000009</v>
          </cell>
        </row>
        <row r="85">
          <cell r="A85" t="str">
            <v>17.2.b.1</v>
          </cell>
          <cell r="B85" t="str">
            <v>3.3</v>
          </cell>
          <cell r="C85" t="str">
            <v>HDPE - 63/4 (dia/kgf/cm2) pipe including all HDPE fittings required for pipeline and valve chamber</v>
          </cell>
          <cell r="D85" t="str">
            <v>m</v>
          </cell>
          <cell r="E85">
            <v>3743</v>
          </cell>
          <cell r="F85">
            <v>3743</v>
          </cell>
          <cell r="G85">
            <v>91.79</v>
          </cell>
          <cell r="H85">
            <v>343569.97000000003</v>
          </cell>
          <cell r="I85">
            <v>84.6</v>
          </cell>
          <cell r="J85">
            <v>316657.8</v>
          </cell>
          <cell r="K85">
            <v>84.6</v>
          </cell>
          <cell r="L85">
            <v>316657.8</v>
          </cell>
        </row>
        <row r="86">
          <cell r="A86" t="str">
            <v>17.2.b.2</v>
          </cell>
          <cell r="B86" t="str">
            <v>3.4</v>
          </cell>
          <cell r="C86" t="str">
            <v xml:space="preserve">HDPE - 75/4 (dia/kgf/cm2) pipe including all HDPE fittings required for pipeline and valve chamber </v>
          </cell>
          <cell r="D86" t="str">
            <v>m</v>
          </cell>
          <cell r="E86">
            <v>3344</v>
          </cell>
          <cell r="F86">
            <v>3344</v>
          </cell>
          <cell r="G86">
            <v>126.87</v>
          </cell>
          <cell r="H86">
            <v>424253.28</v>
          </cell>
          <cell r="I86">
            <v>121.5</v>
          </cell>
          <cell r="J86">
            <v>406296</v>
          </cell>
          <cell r="K86">
            <v>121.5</v>
          </cell>
          <cell r="L86">
            <v>406296</v>
          </cell>
        </row>
        <row r="87">
          <cell r="A87" t="str">
            <v>17.2.b.3</v>
          </cell>
          <cell r="B87" t="str">
            <v>3.5</v>
          </cell>
          <cell r="C87" t="str">
            <v xml:space="preserve">HDPE - 90/4 (dia/kgf/cm2) pipe including all HDPE fittings required for pipeline and valve chamber </v>
          </cell>
          <cell r="D87" t="str">
            <v>m</v>
          </cell>
          <cell r="E87">
            <v>1579</v>
          </cell>
          <cell r="F87">
            <v>1579</v>
          </cell>
          <cell r="G87">
            <v>178.4</v>
          </cell>
          <cell r="H87">
            <v>281693.60000000003</v>
          </cell>
          <cell r="I87">
            <v>175.5</v>
          </cell>
          <cell r="J87">
            <v>277114.5</v>
          </cell>
          <cell r="K87">
            <v>175.5</v>
          </cell>
          <cell r="L87">
            <v>277114.5</v>
          </cell>
        </row>
        <row r="88">
          <cell r="A88" t="str">
            <v>17.2.b.4</v>
          </cell>
          <cell r="B88" t="str">
            <v>3.6</v>
          </cell>
          <cell r="C88" t="str">
            <v>HDPE - 110/4 (dia/kgf/cm2) pipe including all HDPE fittings required for pipeline and valve chamber</v>
          </cell>
          <cell r="D88" t="str">
            <v>m</v>
          </cell>
          <cell r="E88">
            <v>2135</v>
          </cell>
          <cell r="F88">
            <v>2135</v>
          </cell>
          <cell r="G88">
            <v>250.07</v>
          </cell>
          <cell r="H88">
            <v>533899.44999999995</v>
          </cell>
          <cell r="I88">
            <v>247.5</v>
          </cell>
          <cell r="J88">
            <v>528412.5</v>
          </cell>
          <cell r="K88">
            <v>247.5</v>
          </cell>
          <cell r="L88">
            <v>528412.5</v>
          </cell>
        </row>
        <row r="89">
          <cell r="A89" t="str">
            <v>17.2.b.5</v>
          </cell>
          <cell r="B89" t="str">
            <v>3.7</v>
          </cell>
          <cell r="C89" t="str">
            <v>HDPE - 125/4 (dia/kgf/cm2) pipe including all HDPE fittings required for pipeline and valve chamber</v>
          </cell>
          <cell r="D89" t="str">
            <v>m</v>
          </cell>
          <cell r="E89">
            <v>1552</v>
          </cell>
          <cell r="F89">
            <v>1552</v>
          </cell>
          <cell r="G89">
            <v>329.46</v>
          </cell>
          <cell r="H89">
            <v>511321.92</v>
          </cell>
          <cell r="I89">
            <v>333</v>
          </cell>
          <cell r="J89">
            <v>516816</v>
          </cell>
          <cell r="K89">
            <v>333</v>
          </cell>
          <cell r="L89">
            <v>516816</v>
          </cell>
        </row>
        <row r="90">
          <cell r="A90" t="str">
            <v>17.2.b.6</v>
          </cell>
          <cell r="B90" t="str">
            <v>3.8</v>
          </cell>
          <cell r="C90" t="str">
            <v xml:space="preserve">HDPE - 140/4 (dia/kgf/cm2) pipe including all HDPE fittings required for pipeline and valve chamber </v>
          </cell>
          <cell r="D90" t="str">
            <v>m</v>
          </cell>
          <cell r="E90">
            <v>4207</v>
          </cell>
          <cell r="F90">
            <v>4207</v>
          </cell>
          <cell r="G90">
            <v>419.26</v>
          </cell>
          <cell r="H90">
            <v>1763826.82</v>
          </cell>
          <cell r="I90">
            <v>418.5</v>
          </cell>
          <cell r="J90">
            <v>1760629.5</v>
          </cell>
          <cell r="K90">
            <v>418.5</v>
          </cell>
          <cell r="L90">
            <v>1760629.5</v>
          </cell>
        </row>
        <row r="91">
          <cell r="A91" t="str">
            <v>17.2.b.7</v>
          </cell>
          <cell r="B91" t="str">
            <v>3.9</v>
          </cell>
          <cell r="C91" t="str">
            <v xml:space="preserve">HDPE - 160/4 (dia/kgf/cm2) pipe including all HDPE fittings required for pipeline and valve chamber </v>
          </cell>
          <cell r="D91" t="str">
            <v>m</v>
          </cell>
          <cell r="E91">
            <v>4953</v>
          </cell>
          <cell r="F91">
            <v>4953</v>
          </cell>
          <cell r="G91">
            <v>537.4</v>
          </cell>
          <cell r="H91">
            <v>2661742.1999999997</v>
          </cell>
          <cell r="I91">
            <v>549</v>
          </cell>
          <cell r="J91">
            <v>2719197</v>
          </cell>
          <cell r="K91">
            <v>549</v>
          </cell>
          <cell r="L91">
            <v>2719197</v>
          </cell>
        </row>
        <row r="92">
          <cell r="A92" t="str">
            <v>17.2.b.8</v>
          </cell>
          <cell r="B92" t="str">
            <v>3.10</v>
          </cell>
          <cell r="C92" t="str">
            <v>HDPE -180/4 (dia/kgf/cm2) pipe including all HDPE fittings required for pipeline and valve chamber</v>
          </cell>
          <cell r="D92" t="str">
            <v>m</v>
          </cell>
          <cell r="E92">
            <v>1767</v>
          </cell>
          <cell r="F92">
            <v>1767</v>
          </cell>
          <cell r="G92">
            <v>671.39</v>
          </cell>
          <cell r="H92">
            <v>1186346.1299999999</v>
          </cell>
          <cell r="I92">
            <v>652.5</v>
          </cell>
          <cell r="J92">
            <v>1152967.5</v>
          </cell>
          <cell r="K92">
            <v>652.5</v>
          </cell>
          <cell r="L92">
            <v>1152967.5</v>
          </cell>
        </row>
        <row r="93">
          <cell r="A93" t="str">
            <v>17.2.b.9</v>
          </cell>
          <cell r="B93" t="str">
            <v>3.11</v>
          </cell>
          <cell r="C93" t="str">
            <v xml:space="preserve">HDPE - 200/4 (dia/kgf/cm2) pipe including all HDPE fittings required for pipeline and valve chamber </v>
          </cell>
          <cell r="D93" t="str">
            <v>m</v>
          </cell>
          <cell r="E93">
            <v>569</v>
          </cell>
          <cell r="F93">
            <v>569</v>
          </cell>
          <cell r="G93">
            <v>824.22</v>
          </cell>
          <cell r="H93">
            <v>468981.18</v>
          </cell>
          <cell r="I93">
            <v>855</v>
          </cell>
          <cell r="J93">
            <v>486495</v>
          </cell>
          <cell r="K93">
            <v>855</v>
          </cell>
          <cell r="L93">
            <v>486495</v>
          </cell>
        </row>
        <row r="94">
          <cell r="A94" t="str">
            <v>17.2.b.11</v>
          </cell>
          <cell r="B94" t="str">
            <v>3.12</v>
          </cell>
          <cell r="C94" t="str">
            <v xml:space="preserve">HDPE - 250/4 (dia/kgf/cm2) pipe including all HDPE fittings required for pipeline and valve chamber </v>
          </cell>
          <cell r="D94" t="str">
            <v>m</v>
          </cell>
          <cell r="E94">
            <v>1260</v>
          </cell>
          <cell r="F94">
            <v>1260</v>
          </cell>
          <cell r="G94">
            <v>1270.9100000000001</v>
          </cell>
          <cell r="H94">
            <v>1601346.6</v>
          </cell>
          <cell r="I94">
            <v>1327.5</v>
          </cell>
          <cell r="J94">
            <v>1672650</v>
          </cell>
          <cell r="K94">
            <v>1327.5</v>
          </cell>
          <cell r="L94">
            <v>1672650</v>
          </cell>
        </row>
        <row r="95">
          <cell r="A95" t="str">
            <v>17.2.b.13</v>
          </cell>
          <cell r="B95" t="str">
            <v>3.13</v>
          </cell>
          <cell r="C95" t="str">
            <v>HDPE - 315/4 (dia/kgf/cm2) pipe including all HDPE fittings required for pipeline and valve chamber</v>
          </cell>
          <cell r="D95" t="str">
            <v>m</v>
          </cell>
          <cell r="E95">
            <v>500</v>
          </cell>
          <cell r="F95">
            <v>500</v>
          </cell>
          <cell r="G95">
            <v>1991.81</v>
          </cell>
          <cell r="H95">
            <v>995905</v>
          </cell>
          <cell r="I95">
            <v>2092.5</v>
          </cell>
          <cell r="J95">
            <v>1046250</v>
          </cell>
          <cell r="K95">
            <v>2092.5</v>
          </cell>
          <cell r="L95">
            <v>1046250</v>
          </cell>
        </row>
        <row r="96">
          <cell r="A96" t="str">
            <v>17.4.a.1.1.a</v>
          </cell>
          <cell r="B96" t="str">
            <v>3.14</v>
          </cell>
          <cell r="C96" t="str">
            <v>13mm dia. GI pipe laying works (with pipe and fittings)</v>
          </cell>
          <cell r="D96" t="str">
            <v>m</v>
          </cell>
          <cell r="E96">
            <v>29</v>
          </cell>
          <cell r="F96">
            <v>29</v>
          </cell>
          <cell r="G96">
            <v>100.35</v>
          </cell>
          <cell r="H96">
            <v>2910.1499999999996</v>
          </cell>
          <cell r="I96">
            <v>135</v>
          </cell>
          <cell r="J96">
            <v>3915</v>
          </cell>
          <cell r="K96">
            <v>135</v>
          </cell>
          <cell r="L96">
            <v>3915</v>
          </cell>
        </row>
        <row r="97">
          <cell r="A97" t="str">
            <v>17.4.a.1.2.a</v>
          </cell>
          <cell r="B97" t="str">
            <v>3.15</v>
          </cell>
          <cell r="C97" t="str">
            <v>20mm dia. GI pipe laying works (with Pipe and fittings)</v>
          </cell>
          <cell r="D97" t="str">
            <v>m</v>
          </cell>
          <cell r="E97">
            <v>20</v>
          </cell>
          <cell r="F97">
            <v>20</v>
          </cell>
          <cell r="G97">
            <v>126.86</v>
          </cell>
          <cell r="H97">
            <v>2537.1999999999998</v>
          </cell>
          <cell r="I97">
            <v>180</v>
          </cell>
          <cell r="J97">
            <v>3600</v>
          </cell>
          <cell r="K97">
            <v>180</v>
          </cell>
          <cell r="L97">
            <v>3600</v>
          </cell>
        </row>
        <row r="98">
          <cell r="A98" t="str">
            <v>17.4.a.2.1.a</v>
          </cell>
          <cell r="B98" t="str">
            <v>3.16</v>
          </cell>
          <cell r="C98" t="str">
            <v>25mm dia. GI pipe laying works (with Pipe and fittings)</v>
          </cell>
          <cell r="D98" t="str">
            <v>m</v>
          </cell>
          <cell r="E98">
            <v>4</v>
          </cell>
          <cell r="F98">
            <v>4</v>
          </cell>
          <cell r="G98">
            <v>191.94</v>
          </cell>
          <cell r="H98">
            <v>767.76</v>
          </cell>
          <cell r="I98">
            <v>225</v>
          </cell>
          <cell r="J98">
            <v>900</v>
          </cell>
          <cell r="K98">
            <v>225</v>
          </cell>
          <cell r="L98">
            <v>900</v>
          </cell>
        </row>
        <row r="99">
          <cell r="A99" t="str">
            <v>17.4.a.6.1</v>
          </cell>
          <cell r="B99" t="str">
            <v>3.17</v>
          </cell>
          <cell r="C99" t="str">
            <v>GI pipes 150 (Medium 'B')( job in overhead tank works)</v>
          </cell>
          <cell r="D99" t="str">
            <v>m</v>
          </cell>
          <cell r="E99">
            <v>30</v>
          </cell>
          <cell r="F99">
            <v>30</v>
          </cell>
          <cell r="G99">
            <v>1026.56</v>
          </cell>
          <cell r="H99">
            <v>30796.799999999999</v>
          </cell>
          <cell r="I99">
            <v>1125</v>
          </cell>
          <cell r="J99">
            <v>33750</v>
          </cell>
          <cell r="K99">
            <v>1125</v>
          </cell>
          <cell r="L99">
            <v>33750</v>
          </cell>
        </row>
        <row r="100">
          <cell r="A100">
            <v>18.399999999999999</v>
          </cell>
          <cell r="B100" t="str">
            <v>3.18</v>
          </cell>
          <cell r="C100" t="str">
            <v>DI pipes 200 dia (work in overhead tank)</v>
          </cell>
          <cell r="D100" t="str">
            <v>m</v>
          </cell>
          <cell r="E100">
            <v>70</v>
          </cell>
          <cell r="F100">
            <v>70</v>
          </cell>
          <cell r="G100">
            <v>2722.5</v>
          </cell>
          <cell r="H100">
            <v>190575</v>
          </cell>
          <cell r="I100">
            <v>2520</v>
          </cell>
          <cell r="J100">
            <v>176400</v>
          </cell>
          <cell r="K100">
            <v>2520</v>
          </cell>
          <cell r="L100">
            <v>176400</v>
          </cell>
        </row>
        <row r="101">
          <cell r="A101">
            <v>18.5</v>
          </cell>
          <cell r="B101" t="str">
            <v>3.19</v>
          </cell>
          <cell r="C101" t="str">
            <v>DI pipes 250 dia (work in overhead tank)</v>
          </cell>
          <cell r="D101" t="str">
            <v>m</v>
          </cell>
          <cell r="E101">
            <v>35</v>
          </cell>
          <cell r="F101">
            <v>35</v>
          </cell>
          <cell r="G101">
            <v>3619.68</v>
          </cell>
          <cell r="H101">
            <v>126688.79999999999</v>
          </cell>
          <cell r="I101">
            <v>3600</v>
          </cell>
          <cell r="J101">
            <v>126000</v>
          </cell>
          <cell r="K101">
            <v>3600</v>
          </cell>
          <cell r="L101">
            <v>126000</v>
          </cell>
        </row>
        <row r="102">
          <cell r="B102">
            <v>4</v>
          </cell>
          <cell r="C102" t="str">
            <v>Electrical Works</v>
          </cell>
          <cell r="H102">
            <v>38133</v>
          </cell>
          <cell r="J102">
            <v>28768.5</v>
          </cell>
          <cell r="L102">
            <v>28768.5</v>
          </cell>
        </row>
        <row r="103">
          <cell r="A103" t="str">
            <v>E-2</v>
          </cell>
          <cell r="B103" t="str">
            <v>4.1</v>
          </cell>
          <cell r="C103" t="str">
            <v xml:space="preserve">Supply, installation and commissioning  of Main Distribution Board (MDB) wall mounting concealed type, dust and vermin proof made of 16 SWG mild steel sheet cubical with double cover covering the MCB with the locking arrangement as per drawing and as per </v>
          </cell>
          <cell r="D103" t="str">
            <v>Job</v>
          </cell>
          <cell r="E103">
            <v>1</v>
          </cell>
          <cell r="F103">
            <v>1</v>
          </cell>
          <cell r="G103">
            <v>3936</v>
          </cell>
          <cell r="H103">
            <v>3936</v>
          </cell>
          <cell r="I103">
            <v>3150</v>
          </cell>
          <cell r="J103">
            <v>3150</v>
          </cell>
          <cell r="K103">
            <v>3150</v>
          </cell>
          <cell r="L103">
            <v>3150</v>
          </cell>
        </row>
        <row r="104">
          <cell r="A104" t="str">
            <v>E-3</v>
          </cell>
          <cell r="B104" t="str">
            <v>4.2</v>
          </cell>
          <cell r="C104" t="str">
            <v>Supply and installation of light point wiring from DB tovarious points with2 nos of 3/22 PVC insulated copper wirethrough 20 mm internal dia HDPEconduit concealed viajunction box as per drawing and as per Clause 4.6 and other related clause of the Specifi</v>
          </cell>
          <cell r="D104" t="str">
            <v>No</v>
          </cell>
          <cell r="E104">
            <v>21</v>
          </cell>
          <cell r="F104">
            <v>21</v>
          </cell>
          <cell r="G104">
            <v>426</v>
          </cell>
          <cell r="H104">
            <v>8946</v>
          </cell>
          <cell r="I104">
            <v>337.5</v>
          </cell>
          <cell r="J104">
            <v>7087.5</v>
          </cell>
          <cell r="K104">
            <v>337.5</v>
          </cell>
          <cell r="L104">
            <v>7087.5</v>
          </cell>
        </row>
        <row r="105">
          <cell r="A105" t="str">
            <v>E-4</v>
          </cell>
          <cell r="B105" t="str">
            <v>4.3</v>
          </cell>
          <cell r="C105" t="str">
            <v>Supply and installation of  3 pin (15 A) socket point wiringwith2 nos of7/22 + 1no of 1/18 pvc insulated copper wiresthrough 20 mm internal diaHDPE conduit concealed from SDB to various points as per drawing ands per clause 4.6 and other related clause</v>
          </cell>
          <cell r="D105" t="str">
            <v>No</v>
          </cell>
          <cell r="E105">
            <v>11</v>
          </cell>
          <cell r="F105">
            <v>11</v>
          </cell>
          <cell r="G105">
            <v>610</v>
          </cell>
          <cell r="H105">
            <v>6710</v>
          </cell>
          <cell r="I105">
            <v>405</v>
          </cell>
          <cell r="J105">
            <v>4455</v>
          </cell>
          <cell r="K105">
            <v>405</v>
          </cell>
          <cell r="L105">
            <v>4455</v>
          </cell>
        </row>
        <row r="106">
          <cell r="A106" t="str">
            <v>E-5</v>
          </cell>
          <cell r="B106" t="str">
            <v>4.4</v>
          </cell>
          <cell r="C106" t="str">
            <v>Supply and installation of  2 pin ( 5 A) socket point wiring with 2 Nos of 3/20 pvc insulated copper wires through 20 mm internal dia HDPE conduit concealed from SDB to various points as per drawing and as per Clause 4.6 and other related clause of the Sp</v>
          </cell>
          <cell r="D106" t="str">
            <v>No</v>
          </cell>
          <cell r="E106">
            <v>2</v>
          </cell>
          <cell r="F106">
            <v>2</v>
          </cell>
          <cell r="G106">
            <v>476</v>
          </cell>
          <cell r="H106">
            <v>952</v>
          </cell>
          <cell r="I106">
            <v>360</v>
          </cell>
          <cell r="J106">
            <v>720</v>
          </cell>
          <cell r="K106">
            <v>360</v>
          </cell>
          <cell r="L106">
            <v>720</v>
          </cell>
        </row>
        <row r="107">
          <cell r="A107" t="str">
            <v>E-6</v>
          </cell>
          <cell r="B107" t="str">
            <v>4.5</v>
          </cell>
          <cell r="C107" t="str">
            <v>Supply and installation of 9'' sweep  exhaust fan (transair / CG) including GI sheet boxing as per drawing, as per Clause 4.6 and other related clause of the Specification and as directed by the Engineer</v>
          </cell>
          <cell r="D107" t="str">
            <v>No</v>
          </cell>
          <cell r="E107">
            <v>2</v>
          </cell>
          <cell r="F107">
            <v>2</v>
          </cell>
          <cell r="G107">
            <v>2447</v>
          </cell>
          <cell r="H107">
            <v>4894</v>
          </cell>
          <cell r="I107">
            <v>1980</v>
          </cell>
          <cell r="J107">
            <v>3960</v>
          </cell>
          <cell r="K107">
            <v>1980</v>
          </cell>
          <cell r="L107">
            <v>3960</v>
          </cell>
        </row>
        <row r="108">
          <cell r="A108" t="str">
            <v>E-7</v>
          </cell>
          <cell r="B108" t="str">
            <v>4.6</v>
          </cell>
          <cell r="C108" t="str">
            <v>Supply and installation of 42'' sweep  ceiling fan (CG or equivalent) in including GI sheet boxing as per drawing, as per Clause 4.6 and other related clause of the Specification and as directed by the Engineer</v>
          </cell>
          <cell r="D108" t="str">
            <v>No</v>
          </cell>
          <cell r="E108">
            <v>2</v>
          </cell>
          <cell r="F108">
            <v>2</v>
          </cell>
          <cell r="G108">
            <v>2447</v>
          </cell>
          <cell r="H108">
            <v>4894</v>
          </cell>
          <cell r="I108">
            <v>1980</v>
          </cell>
          <cell r="J108">
            <v>3960</v>
          </cell>
          <cell r="K108">
            <v>1980</v>
          </cell>
          <cell r="L108">
            <v>3960</v>
          </cell>
        </row>
        <row r="109">
          <cell r="A109" t="str">
            <v>E-8</v>
          </cell>
          <cell r="B109" t="str">
            <v>4.7</v>
          </cell>
          <cell r="C109" t="str">
            <v>Supply and installation of earth electrode made of 30cm x 30cm x 3mmcopper plate including 8 SWG bare copper wire connection to DB's. as per Clause 4.6 and other related clause of the Specification and as directed by the Engineer</v>
          </cell>
          <cell r="D109" t="str">
            <v>No</v>
          </cell>
          <cell r="E109">
            <v>1</v>
          </cell>
          <cell r="F109">
            <v>1</v>
          </cell>
          <cell r="G109">
            <v>6758</v>
          </cell>
          <cell r="H109">
            <v>6758</v>
          </cell>
          <cell r="I109">
            <v>4680</v>
          </cell>
          <cell r="J109">
            <v>4680</v>
          </cell>
          <cell r="K109">
            <v>4680</v>
          </cell>
          <cell r="L109">
            <v>4680</v>
          </cell>
        </row>
        <row r="110">
          <cell r="A110" t="str">
            <v>E-9</v>
          </cell>
          <cell r="B110" t="str">
            <v>4.8</v>
          </cell>
          <cell r="C110" t="str">
            <v>Chiseling, laying conduits cables the main line distribution from MDB to Floor DBs with 4 x 7/16 size cable in 30 mm HDPE conduit as per Clause 4.6 and other related clause of the specification and as directed by the Engineer.</v>
          </cell>
          <cell r="D110" t="str">
            <v>Line</v>
          </cell>
          <cell r="E110">
            <v>7</v>
          </cell>
          <cell r="F110">
            <v>7</v>
          </cell>
          <cell r="G110">
            <v>149</v>
          </cell>
          <cell r="H110">
            <v>1043</v>
          </cell>
          <cell r="I110">
            <v>108</v>
          </cell>
          <cell r="J110">
            <v>756</v>
          </cell>
          <cell r="K110">
            <v>108</v>
          </cell>
          <cell r="L110">
            <v>756</v>
          </cell>
        </row>
        <row r="111">
          <cell r="B111">
            <v>5</v>
          </cell>
          <cell r="C111" t="str">
            <v>Furniture Supply Work</v>
          </cell>
          <cell r="H111">
            <v>12000</v>
          </cell>
          <cell r="J111">
            <v>10800</v>
          </cell>
          <cell r="L111">
            <v>10800</v>
          </cell>
        </row>
        <row r="112">
          <cell r="A112" t="str">
            <v>F-1</v>
          </cell>
          <cell r="B112" t="str">
            <v>5.1</v>
          </cell>
          <cell r="C112" t="str">
            <v>MS rack (1.8m x 0.375m x 2.025m size with four compartment), Made of 25x38mm MS angle and 3x18mm MS folded Strip 16 gauge with metal polish as directed by the Engineer all complete job</v>
          </cell>
          <cell r="D112" t="str">
            <v>No</v>
          </cell>
          <cell r="E112">
            <v>1</v>
          </cell>
          <cell r="F112">
            <v>1</v>
          </cell>
          <cell r="G112">
            <v>3000</v>
          </cell>
          <cell r="H112">
            <v>3000</v>
          </cell>
          <cell r="I112">
            <v>2700</v>
          </cell>
          <cell r="J112">
            <v>2700</v>
          </cell>
          <cell r="K112">
            <v>2700</v>
          </cell>
          <cell r="L112">
            <v>2700</v>
          </cell>
        </row>
        <row r="113">
          <cell r="A113" t="str">
            <v>F-2</v>
          </cell>
          <cell r="B113" t="str">
            <v>5.2</v>
          </cell>
          <cell r="C113" t="str">
            <v>MS rack ( 2.025m x 0.45m x 0.90m size with four compartment), Made of 25x38mm MS angle and 3x18mm MS folded Strip 16 gauge with metal polish as directed by the Engineer all complete job</v>
          </cell>
          <cell r="D113" t="str">
            <v>No</v>
          </cell>
          <cell r="E113">
            <v>3</v>
          </cell>
          <cell r="F113">
            <v>3</v>
          </cell>
          <cell r="G113">
            <v>3000</v>
          </cell>
          <cell r="H113">
            <v>9000</v>
          </cell>
          <cell r="I113">
            <v>2700</v>
          </cell>
          <cell r="J113">
            <v>8100</v>
          </cell>
          <cell r="K113">
            <v>2700</v>
          </cell>
          <cell r="L113">
            <v>8100</v>
          </cell>
        </row>
        <row r="114">
          <cell r="B114">
            <v>6</v>
          </cell>
          <cell r="C114" t="str">
            <v>Miscellaneous Work</v>
          </cell>
          <cell r="H114">
            <v>2760105.8252799995</v>
          </cell>
          <cell r="J114">
            <v>2197572.0750000002</v>
          </cell>
          <cell r="L114">
            <v>2197572.0750000002</v>
          </cell>
        </row>
        <row r="115">
          <cell r="A115" t="str">
            <v>M-1</v>
          </cell>
          <cell r="B115" t="str">
            <v>6.1</v>
          </cell>
          <cell r="C115" t="str">
            <v>Supply, Fabrication and installment of  2.3m high Angle post (MS 50x50x4mm) for barbed wire fencing all complete with foundation as per drawing and as directed by the Engineer</v>
          </cell>
          <cell r="D115" t="str">
            <v>No</v>
          </cell>
          <cell r="E115">
            <v>134</v>
          </cell>
          <cell r="F115">
            <v>134</v>
          </cell>
          <cell r="G115">
            <v>335.4</v>
          </cell>
          <cell r="H115">
            <v>44943.6</v>
          </cell>
          <cell r="I115">
            <v>441</v>
          </cell>
          <cell r="J115">
            <v>59094</v>
          </cell>
          <cell r="K115">
            <v>441</v>
          </cell>
          <cell r="L115">
            <v>59094</v>
          </cell>
        </row>
        <row r="116">
          <cell r="A116" t="str">
            <v>M-2</v>
          </cell>
          <cell r="B116" t="str">
            <v>6.2</v>
          </cell>
          <cell r="C116" t="str">
            <v xml:space="preserve">Fabrication , supply and installation of ready made MS gate (4.0 x 1.45m) of MS equal angle 50 x 50 x6mm angle and 40x40x6 diagonal ties with MS plate 20 gauge </v>
          </cell>
          <cell r="D116" t="str">
            <v>set</v>
          </cell>
          <cell r="E116">
            <v>1</v>
          </cell>
          <cell r="F116">
            <v>1</v>
          </cell>
          <cell r="G116">
            <v>3109.32</v>
          </cell>
          <cell r="H116">
            <v>3109.32</v>
          </cell>
          <cell r="I116">
            <v>2700</v>
          </cell>
          <cell r="J116">
            <v>2700</v>
          </cell>
          <cell r="K116">
            <v>2700</v>
          </cell>
          <cell r="L116">
            <v>2700</v>
          </cell>
        </row>
        <row r="117">
          <cell r="A117" t="str">
            <v>M-3</v>
          </cell>
          <cell r="B117" t="str">
            <v>6.3</v>
          </cell>
          <cell r="C117" t="str">
            <v>Supply, fabrication and installation of MS plate grill (20mm x 4mm) in window and ventilation in including two coat of aluminums paint as directed by the Engineer</v>
          </cell>
          <cell r="D117" t="str">
            <v>Kg.</v>
          </cell>
          <cell r="E117">
            <v>14.41</v>
          </cell>
          <cell r="F117">
            <v>14.41</v>
          </cell>
          <cell r="G117">
            <v>74.75</v>
          </cell>
          <cell r="H117">
            <v>1077.1475</v>
          </cell>
          <cell r="I117">
            <v>67.5</v>
          </cell>
          <cell r="J117">
            <v>972.67499999999995</v>
          </cell>
          <cell r="K117">
            <v>67.5</v>
          </cell>
          <cell r="L117">
            <v>972.67499999999995</v>
          </cell>
        </row>
        <row r="118">
          <cell r="A118" t="str">
            <v>M-7</v>
          </cell>
          <cell r="B118" t="str">
            <v>6.4</v>
          </cell>
          <cell r="C118" t="str">
            <v>Supply and installation of 20mm Gate Valve with fitting as per drawing, clause 9 and other related clause in specification and as directed by the Engineer</v>
          </cell>
          <cell r="D118" t="str">
            <v>Nos.</v>
          </cell>
          <cell r="E118">
            <v>2</v>
          </cell>
          <cell r="F118">
            <v>2</v>
          </cell>
          <cell r="G118">
            <v>250</v>
          </cell>
          <cell r="H118">
            <v>500</v>
          </cell>
          <cell r="I118">
            <v>225</v>
          </cell>
          <cell r="J118">
            <v>450</v>
          </cell>
          <cell r="K118">
            <v>225</v>
          </cell>
          <cell r="L118">
            <v>450</v>
          </cell>
        </row>
        <row r="119">
          <cell r="A119" t="str">
            <v>M-7-1</v>
          </cell>
          <cell r="B119" t="str">
            <v>6.5</v>
          </cell>
          <cell r="C119" t="str">
            <v>Supply and installation of 25mm Gate Valve with necessary fittings as per clause 9 and other related clause in specification and as directed by the Engineer</v>
          </cell>
          <cell r="D119" t="str">
            <v>Nos.</v>
          </cell>
          <cell r="E119">
            <v>1</v>
          </cell>
          <cell r="F119">
            <v>1</v>
          </cell>
          <cell r="G119">
            <v>400</v>
          </cell>
          <cell r="H119">
            <v>400</v>
          </cell>
          <cell r="I119">
            <v>360</v>
          </cell>
          <cell r="J119">
            <v>360</v>
          </cell>
          <cell r="K119">
            <v>360</v>
          </cell>
          <cell r="L119">
            <v>360</v>
          </cell>
        </row>
        <row r="120">
          <cell r="A120" t="str">
            <v>M-8</v>
          </cell>
          <cell r="B120" t="str">
            <v>6.6</v>
          </cell>
          <cell r="C120" t="str">
            <v>Supply and installation of Chrome Plate (CP) 15mm taps as drawing, as per clause 4.3 and other related clause of the Specificationand and as directed by the Engineer</v>
          </cell>
          <cell r="D120" t="str">
            <v>Nos,</v>
          </cell>
          <cell r="E120">
            <v>4</v>
          </cell>
          <cell r="F120">
            <v>4</v>
          </cell>
          <cell r="G120">
            <v>250</v>
          </cell>
          <cell r="H120">
            <v>1000</v>
          </cell>
          <cell r="I120">
            <v>225</v>
          </cell>
          <cell r="J120">
            <v>900</v>
          </cell>
          <cell r="K120">
            <v>225</v>
          </cell>
          <cell r="L120">
            <v>900</v>
          </cell>
        </row>
        <row r="121">
          <cell r="A121" t="str">
            <v>M-9</v>
          </cell>
          <cell r="B121" t="str">
            <v>6.7</v>
          </cell>
          <cell r="C121" t="str">
            <v>Supply and fitting of Glazed Indian Type WC Set (22 x 18 size) as per drawing, as per clause 4.3 and other related clause of the Specification and as directed by the Engineer</v>
          </cell>
          <cell r="D121" t="str">
            <v>Nos.</v>
          </cell>
          <cell r="E121">
            <v>4</v>
          </cell>
          <cell r="F121">
            <v>4</v>
          </cell>
          <cell r="G121">
            <v>750</v>
          </cell>
          <cell r="H121">
            <v>3000</v>
          </cell>
          <cell r="I121">
            <v>675</v>
          </cell>
          <cell r="J121">
            <v>2700</v>
          </cell>
          <cell r="K121">
            <v>675</v>
          </cell>
          <cell r="L121">
            <v>2700</v>
          </cell>
        </row>
        <row r="122">
          <cell r="A122" t="str">
            <v>M-10</v>
          </cell>
          <cell r="B122" t="str">
            <v>6.8</v>
          </cell>
          <cell r="C122" t="str">
            <v>Construction of Inspection Chamber 450x450x450 with pre-cast RCC Cover as per drawing, as per Clause 4.3 and other related clause of the Specification and as directed by the Engineer</v>
          </cell>
          <cell r="D122" t="str">
            <v>Nos.</v>
          </cell>
          <cell r="E122">
            <v>4</v>
          </cell>
          <cell r="F122">
            <v>4</v>
          </cell>
          <cell r="G122">
            <v>1092.6600000000001</v>
          </cell>
          <cell r="H122">
            <v>4370.6400000000003</v>
          </cell>
          <cell r="I122">
            <v>900</v>
          </cell>
          <cell r="J122">
            <v>3600</v>
          </cell>
          <cell r="K122">
            <v>900</v>
          </cell>
          <cell r="L122">
            <v>3600</v>
          </cell>
        </row>
        <row r="123">
          <cell r="A123" t="str">
            <v>M-12</v>
          </cell>
          <cell r="B123" t="str">
            <v>6.9</v>
          </cell>
          <cell r="C123" t="str">
            <v>Supply, chiseling, laying and fixing of 100mm diameter PVC pipes (4kg/sqcm pressure) with necessary accessories and fittings (such as bend, tee, socket, cross  etc) for water sanitary plumbing work as shown in drawings and as per Clause 4.3 and other rela</v>
          </cell>
          <cell r="D123" t="str">
            <v>Rm</v>
          </cell>
          <cell r="E123">
            <v>15</v>
          </cell>
          <cell r="F123">
            <v>15</v>
          </cell>
          <cell r="G123">
            <v>100</v>
          </cell>
          <cell r="H123">
            <v>1500</v>
          </cell>
          <cell r="I123">
            <v>90</v>
          </cell>
          <cell r="J123">
            <v>1350</v>
          </cell>
          <cell r="K123">
            <v>90</v>
          </cell>
          <cell r="L123">
            <v>1350</v>
          </cell>
        </row>
        <row r="124">
          <cell r="A124" t="str">
            <v>M-13</v>
          </cell>
          <cell r="B124" t="str">
            <v>6.10</v>
          </cell>
          <cell r="C124" t="str">
            <v>Supply, chiseling, laying and fixing of 75mm diameter PVC pipes (4kg/sqcm pressure) with necessary accessories and fittings (such as bend, tee, socket, cross  etc) for water sanitary plumbing work as shown in drawings including reinstatement damage work a</v>
          </cell>
          <cell r="D124" t="str">
            <v>Rm</v>
          </cell>
          <cell r="E124">
            <v>36</v>
          </cell>
          <cell r="F124">
            <v>36</v>
          </cell>
          <cell r="G124">
            <v>75</v>
          </cell>
          <cell r="H124">
            <v>2700</v>
          </cell>
          <cell r="I124">
            <v>67.5</v>
          </cell>
          <cell r="J124">
            <v>2430</v>
          </cell>
          <cell r="K124">
            <v>67.5</v>
          </cell>
          <cell r="L124">
            <v>2430</v>
          </cell>
        </row>
        <row r="125">
          <cell r="A125" t="str">
            <v>M-14</v>
          </cell>
          <cell r="B125" t="str">
            <v>6.11</v>
          </cell>
          <cell r="C125" t="str">
            <v>Supply, chiseling, laying and fixing of 50mm diameter PVC pipes (4kg/sqcm pressure) with necessary accessories and fittings (such as bend, tee, socket, cross  etc) for water sanitary plumbing work as shown in drawings including reinstatement damage work a</v>
          </cell>
          <cell r="D125" t="str">
            <v>Rm</v>
          </cell>
          <cell r="E125">
            <v>17</v>
          </cell>
          <cell r="F125">
            <v>17</v>
          </cell>
          <cell r="G125">
            <v>50</v>
          </cell>
          <cell r="H125">
            <v>850</v>
          </cell>
          <cell r="I125">
            <v>45</v>
          </cell>
          <cell r="J125">
            <v>765</v>
          </cell>
          <cell r="K125">
            <v>45</v>
          </cell>
          <cell r="L125">
            <v>765</v>
          </cell>
        </row>
        <row r="126">
          <cell r="A126" t="str">
            <v>M-15</v>
          </cell>
          <cell r="B126" t="str">
            <v>6.12</v>
          </cell>
          <cell r="C126" t="str">
            <v>Supply and fixing of pre-cast RCC(m15) jali for ventilation, shape and size as per shown in drawing, as per Clause 2.3 and other related clause of the Specification and as directed by the Engineer</v>
          </cell>
          <cell r="D126" t="str">
            <v>Sqm</v>
          </cell>
          <cell r="E126">
            <v>6.39</v>
          </cell>
          <cell r="F126">
            <v>6.39</v>
          </cell>
          <cell r="G126">
            <v>920</v>
          </cell>
          <cell r="H126">
            <v>5878.7999999999993</v>
          </cell>
          <cell r="I126">
            <v>855</v>
          </cell>
          <cell r="J126">
            <v>5463.45</v>
          </cell>
          <cell r="K126">
            <v>855</v>
          </cell>
          <cell r="L126">
            <v>5463.45</v>
          </cell>
        </row>
        <row r="127">
          <cell r="A127" t="str">
            <v>M-16</v>
          </cell>
          <cell r="B127" t="str">
            <v>6.13</v>
          </cell>
          <cell r="C127" t="str">
            <v>Supply and fixing of stainless steel plate as per clause 4.3 and other related clause of the Specification and as directed by the Engineer</v>
          </cell>
          <cell r="D127" t="str">
            <v>Sqm</v>
          </cell>
          <cell r="E127">
            <v>8.8870000000000005</v>
          </cell>
          <cell r="F127">
            <v>8.8870000000000005</v>
          </cell>
          <cell r="G127">
            <v>6512.94</v>
          </cell>
          <cell r="H127">
            <v>57880.497779999998</v>
          </cell>
          <cell r="I127">
            <v>5850</v>
          </cell>
          <cell r="J127">
            <v>51988.950000000004</v>
          </cell>
          <cell r="K127">
            <v>5850</v>
          </cell>
          <cell r="L127">
            <v>51988.950000000004</v>
          </cell>
        </row>
        <row r="128">
          <cell r="A128" t="str">
            <v>M-17</v>
          </cell>
          <cell r="B128" t="str">
            <v>6.14</v>
          </cell>
          <cell r="C128" t="str">
            <v>H Connection of PVC pipe 100mm as per Clause 4.3 and other related clause of the Specification and as directed by the Engineer</v>
          </cell>
          <cell r="D128" t="str">
            <v>Nos.</v>
          </cell>
          <cell r="E128">
            <v>11.5</v>
          </cell>
          <cell r="F128">
            <v>11.5</v>
          </cell>
          <cell r="G128">
            <v>230</v>
          </cell>
          <cell r="H128">
            <v>2645</v>
          </cell>
          <cell r="I128">
            <v>180</v>
          </cell>
          <cell r="J128">
            <v>2070</v>
          </cell>
          <cell r="K128">
            <v>180</v>
          </cell>
          <cell r="L128">
            <v>2070</v>
          </cell>
        </row>
        <row r="129">
          <cell r="A129" t="str">
            <v>M-18</v>
          </cell>
          <cell r="B129" t="str">
            <v>6.15</v>
          </cell>
          <cell r="C129" t="str">
            <v>Supply and fixing Chrome plated (CP) Kitchen sink set with trap valves and necessary accessories and fittings as per clause 4.3 and other related clause of the Specificationand and as directed by Engineer</v>
          </cell>
          <cell r="D129" t="str">
            <v>Nos.</v>
          </cell>
          <cell r="E129">
            <v>2</v>
          </cell>
          <cell r="F129">
            <v>2</v>
          </cell>
          <cell r="G129">
            <v>1075.25</v>
          </cell>
          <cell r="H129">
            <v>2150.5</v>
          </cell>
          <cell r="I129">
            <v>3150</v>
          </cell>
          <cell r="J129">
            <v>6300</v>
          </cell>
          <cell r="K129">
            <v>3150</v>
          </cell>
          <cell r="L129">
            <v>6300</v>
          </cell>
        </row>
        <row r="130">
          <cell r="A130" t="str">
            <v>M-201</v>
          </cell>
          <cell r="B130" t="str">
            <v>6.16</v>
          </cell>
          <cell r="C130" t="str">
            <v>Supply and installment of  Heavy Zinc coated barbed wire as per drawing and as directed by the Engineer</v>
          </cell>
          <cell r="D130" t="str">
            <v>kg</v>
          </cell>
          <cell r="E130">
            <v>425.6</v>
          </cell>
          <cell r="F130">
            <v>425.6</v>
          </cell>
          <cell r="G130">
            <v>65</v>
          </cell>
          <cell r="H130">
            <v>27664</v>
          </cell>
          <cell r="I130">
            <v>67.5</v>
          </cell>
          <cell r="J130">
            <v>28728</v>
          </cell>
          <cell r="K130">
            <v>67.5</v>
          </cell>
          <cell r="L130">
            <v>28728</v>
          </cell>
        </row>
        <row r="131">
          <cell r="A131" t="str">
            <v>M-1000</v>
          </cell>
          <cell r="B131" t="str">
            <v>6.17</v>
          </cell>
          <cell r="C131" t="str">
            <v xml:space="preserve">Supply and installation of MS steel staircase with railing for overhead tank  including two coat of enamel painting and all necessary fitting as per clause 4.2 and other related clause of the Specification and as directed by the Engineer </v>
          </cell>
          <cell r="D131" t="str">
            <v>kg</v>
          </cell>
          <cell r="E131">
            <v>1000</v>
          </cell>
          <cell r="F131">
            <v>1000</v>
          </cell>
          <cell r="G131">
            <v>45</v>
          </cell>
          <cell r="H131">
            <v>45000</v>
          </cell>
          <cell r="I131">
            <v>67.5</v>
          </cell>
          <cell r="J131">
            <v>67500</v>
          </cell>
          <cell r="K131">
            <v>67.5</v>
          </cell>
          <cell r="L131">
            <v>67500</v>
          </cell>
        </row>
        <row r="132">
          <cell r="A132" t="str">
            <v>CI Manhole</v>
          </cell>
          <cell r="B132" t="str">
            <v>6.18</v>
          </cell>
          <cell r="C132" t="str">
            <v>Supply and installation of Heavy CI Manhole (600mm dia) with total weight of 210 kg as per clause 4.2 and other related clause of the Specification and as directed by the Engineer</v>
          </cell>
          <cell r="D132" t="str">
            <v>No</v>
          </cell>
          <cell r="E132">
            <v>27</v>
          </cell>
          <cell r="F132">
            <v>27</v>
          </cell>
          <cell r="G132">
            <v>8000</v>
          </cell>
          <cell r="H132">
            <v>216000</v>
          </cell>
          <cell r="I132">
            <v>9000</v>
          </cell>
          <cell r="J132">
            <v>243000</v>
          </cell>
          <cell r="K132">
            <v>9000</v>
          </cell>
          <cell r="L132">
            <v>243000</v>
          </cell>
        </row>
        <row r="133">
          <cell r="A133" t="str">
            <v>Valve Box</v>
          </cell>
          <cell r="B133" t="str">
            <v>6.19</v>
          </cell>
          <cell r="C133" t="str">
            <v>Supply and installation of GI Valve Box including earth work and other structure as per drawing, as per Clause 4.3 and other related clause of the Specification and as directed by the Engineer all complete work</v>
          </cell>
          <cell r="D133" t="str">
            <v>No</v>
          </cell>
          <cell r="E133">
            <v>34</v>
          </cell>
          <cell r="F133">
            <v>34</v>
          </cell>
          <cell r="G133">
            <v>2500</v>
          </cell>
          <cell r="H133">
            <v>85000</v>
          </cell>
          <cell r="I133">
            <v>1800</v>
          </cell>
          <cell r="J133">
            <v>61200</v>
          </cell>
          <cell r="K133">
            <v>1800</v>
          </cell>
          <cell r="L133">
            <v>61200</v>
          </cell>
        </row>
        <row r="134">
          <cell r="A134" t="str">
            <v>RC-1</v>
          </cell>
          <cell r="B134" t="str">
            <v>6.20</v>
          </cell>
          <cell r="C134" t="str">
            <v>Crossing of Pipe in black topped road with cutting with reinstallation of road to the previous state as per specification of Department of Roads</v>
          </cell>
          <cell r="D134" t="str">
            <v>sqm</v>
          </cell>
          <cell r="E134">
            <v>40</v>
          </cell>
          <cell r="F134">
            <v>40</v>
          </cell>
          <cell r="G134">
            <v>1500</v>
          </cell>
          <cell r="H134">
            <v>60000</v>
          </cell>
          <cell r="I134">
            <v>900</v>
          </cell>
          <cell r="J134">
            <v>36000</v>
          </cell>
          <cell r="K134">
            <v>900</v>
          </cell>
          <cell r="L134">
            <v>36000</v>
          </cell>
        </row>
        <row r="135">
          <cell r="A135" t="str">
            <v>TP-1</v>
          </cell>
          <cell r="B135" t="str">
            <v>6.21</v>
          </cell>
          <cell r="C135" t="str">
            <v>Supply, construction, fabrication and installation of treatment plant (ION Exchange India Equivalent) compete all complete job including water quality test as per standard (The product water  quality shall be satisfy the WHO standard)</v>
          </cell>
          <cell r="D135" t="str">
            <v>Job</v>
          </cell>
          <cell r="E135">
            <v>1</v>
          </cell>
          <cell r="F135">
            <v>1</v>
          </cell>
          <cell r="G135">
            <v>2194436.3199999998</v>
          </cell>
          <cell r="H135">
            <v>2194436.3199999998</v>
          </cell>
          <cell r="I135">
            <v>1620000</v>
          </cell>
          <cell r="J135">
            <v>1620000</v>
          </cell>
          <cell r="K135">
            <v>1620000</v>
          </cell>
          <cell r="L135">
            <v>1620000</v>
          </cell>
        </row>
        <row r="136">
          <cell r="B136" t="str">
            <v>7</v>
          </cell>
          <cell r="C136" t="str">
            <v xml:space="preserve">Supply and installation of different type of pipe piece, fittings with necessary accessories  in different site including, earthwork and minor civil works, transportation and portering all complete works as per drawing, fitting specifications instruction </v>
          </cell>
          <cell r="H136">
            <v>1152728.0799999998</v>
          </cell>
          <cell r="J136">
            <v>1597529.7</v>
          </cell>
          <cell r="L136">
            <v>1597529.7</v>
          </cell>
        </row>
        <row r="137">
          <cell r="A137" t="str">
            <v>GHF-32</v>
          </cell>
          <cell r="B137" t="str">
            <v>7.1</v>
          </cell>
          <cell r="C137" t="str">
            <v>Flange GI/HDPE GI dia. 32mm</v>
          </cell>
          <cell r="D137" t="str">
            <v>No</v>
          </cell>
          <cell r="E137">
            <v>21</v>
          </cell>
          <cell r="F137">
            <v>21</v>
          </cell>
          <cell r="G137">
            <v>372.18</v>
          </cell>
          <cell r="H137">
            <v>7815.78</v>
          </cell>
          <cell r="I137">
            <v>351</v>
          </cell>
          <cell r="J137">
            <v>7371</v>
          </cell>
          <cell r="K137">
            <v>351</v>
          </cell>
          <cell r="L137">
            <v>7371</v>
          </cell>
        </row>
        <row r="138">
          <cell r="A138" t="str">
            <v>GHF-40</v>
          </cell>
          <cell r="B138" t="str">
            <v>7.2</v>
          </cell>
          <cell r="C138" t="str">
            <v>Flange GI/HDPE GI dia. 40mm</v>
          </cell>
          <cell r="D138" t="str">
            <v>No</v>
          </cell>
          <cell r="E138">
            <v>20</v>
          </cell>
          <cell r="F138">
            <v>20</v>
          </cell>
          <cell r="G138">
            <v>471.5</v>
          </cell>
          <cell r="H138">
            <v>9430</v>
          </cell>
          <cell r="I138">
            <v>441</v>
          </cell>
          <cell r="J138">
            <v>8820</v>
          </cell>
          <cell r="K138">
            <v>441</v>
          </cell>
          <cell r="L138">
            <v>8820</v>
          </cell>
        </row>
        <row r="139">
          <cell r="A139" t="str">
            <v>GHF-50</v>
          </cell>
          <cell r="B139" t="str">
            <v>7.3</v>
          </cell>
          <cell r="C139" t="str">
            <v>Flange GI/HDPE GI dia. 50mm</v>
          </cell>
          <cell r="D139" t="str">
            <v>No</v>
          </cell>
          <cell r="E139">
            <v>13</v>
          </cell>
          <cell r="F139">
            <v>13</v>
          </cell>
          <cell r="G139">
            <v>529</v>
          </cell>
          <cell r="H139">
            <v>6877</v>
          </cell>
          <cell r="I139">
            <v>598.5</v>
          </cell>
          <cell r="J139">
            <v>7780.5</v>
          </cell>
          <cell r="K139">
            <v>598.5</v>
          </cell>
          <cell r="L139">
            <v>7780.5</v>
          </cell>
        </row>
        <row r="140">
          <cell r="A140" t="str">
            <v>GHF-63</v>
          </cell>
          <cell r="B140" t="str">
            <v>7.4</v>
          </cell>
          <cell r="C140" t="str">
            <v>Flange GI/HDPE GI dia. 63mm</v>
          </cell>
          <cell r="D140" t="str">
            <v>No</v>
          </cell>
          <cell r="E140">
            <v>10</v>
          </cell>
          <cell r="F140">
            <v>10</v>
          </cell>
          <cell r="G140">
            <v>1120.73</v>
          </cell>
          <cell r="H140">
            <v>11207.3</v>
          </cell>
          <cell r="I140">
            <v>720</v>
          </cell>
          <cell r="J140">
            <v>7200</v>
          </cell>
          <cell r="K140">
            <v>720</v>
          </cell>
          <cell r="L140">
            <v>7200</v>
          </cell>
        </row>
        <row r="141">
          <cell r="A141" t="str">
            <v>GHF-75</v>
          </cell>
          <cell r="B141" t="str">
            <v>7.5</v>
          </cell>
          <cell r="C141" t="str">
            <v>Flange GI/HDPE GI dia. 75mm</v>
          </cell>
          <cell r="D141" t="str">
            <v>No</v>
          </cell>
          <cell r="E141">
            <v>7</v>
          </cell>
          <cell r="F141">
            <v>7</v>
          </cell>
          <cell r="G141">
            <v>1681.09</v>
          </cell>
          <cell r="H141">
            <v>11767.63</v>
          </cell>
          <cell r="I141">
            <v>945</v>
          </cell>
          <cell r="J141">
            <v>6615</v>
          </cell>
          <cell r="K141">
            <v>945</v>
          </cell>
          <cell r="L141">
            <v>6615</v>
          </cell>
        </row>
        <row r="142">
          <cell r="A142" t="str">
            <v>GHF-100</v>
          </cell>
          <cell r="B142" t="str">
            <v>7.6</v>
          </cell>
          <cell r="C142" t="str">
            <v>Flange GI/HDPE GI dia. 100mm</v>
          </cell>
          <cell r="D142" t="str">
            <v>No</v>
          </cell>
          <cell r="E142">
            <v>9</v>
          </cell>
          <cell r="F142">
            <v>9</v>
          </cell>
          <cell r="G142">
            <v>2101.36</v>
          </cell>
          <cell r="H142">
            <v>18912.240000000002</v>
          </cell>
          <cell r="I142">
            <v>1350</v>
          </cell>
          <cell r="J142">
            <v>12150</v>
          </cell>
          <cell r="K142">
            <v>1350</v>
          </cell>
          <cell r="L142">
            <v>12150</v>
          </cell>
        </row>
        <row r="143">
          <cell r="A143" t="str">
            <v>GHF-150</v>
          </cell>
          <cell r="B143" t="str">
            <v>7.7</v>
          </cell>
          <cell r="C143" t="str">
            <v>Flange GI/HDPE GI dia. 150mm</v>
          </cell>
          <cell r="D143" t="str">
            <v>No</v>
          </cell>
          <cell r="E143">
            <v>31</v>
          </cell>
          <cell r="F143">
            <v>31</v>
          </cell>
          <cell r="G143">
            <v>3152.05</v>
          </cell>
          <cell r="H143">
            <v>97713.55</v>
          </cell>
          <cell r="I143">
            <v>1980</v>
          </cell>
          <cell r="J143">
            <v>61380</v>
          </cell>
          <cell r="K143">
            <v>1980</v>
          </cell>
          <cell r="L143">
            <v>61380</v>
          </cell>
        </row>
        <row r="144">
          <cell r="A144" t="str">
            <v>ET-40</v>
          </cell>
          <cell r="B144" t="str">
            <v>7.8</v>
          </cell>
          <cell r="C144" t="str">
            <v>Equal Tee GI dia. 40mm</v>
          </cell>
          <cell r="D144" t="str">
            <v>No</v>
          </cell>
          <cell r="E144">
            <v>1</v>
          </cell>
          <cell r="F144">
            <v>1</v>
          </cell>
          <cell r="G144">
            <v>123.36</v>
          </cell>
          <cell r="H144">
            <v>123.36</v>
          </cell>
          <cell r="I144">
            <v>108</v>
          </cell>
          <cell r="J144">
            <v>108</v>
          </cell>
          <cell r="K144">
            <v>108</v>
          </cell>
          <cell r="L144">
            <v>108</v>
          </cell>
        </row>
        <row r="145">
          <cell r="A145" t="str">
            <v>ET-100</v>
          </cell>
          <cell r="B145" t="str">
            <v>7.9</v>
          </cell>
          <cell r="C145" t="str">
            <v>Equal Tee GI dia. 100mm</v>
          </cell>
          <cell r="D145" t="str">
            <v>No</v>
          </cell>
          <cell r="E145">
            <v>1</v>
          </cell>
          <cell r="F145">
            <v>1</v>
          </cell>
          <cell r="G145">
            <v>541.02</v>
          </cell>
          <cell r="H145">
            <v>541.02</v>
          </cell>
          <cell r="I145">
            <v>765</v>
          </cell>
          <cell r="J145">
            <v>765</v>
          </cell>
          <cell r="K145">
            <v>765</v>
          </cell>
          <cell r="L145">
            <v>765</v>
          </cell>
        </row>
        <row r="146">
          <cell r="A146" t="str">
            <v>ET-150</v>
          </cell>
          <cell r="B146" t="str">
            <v>7.10</v>
          </cell>
          <cell r="C146" t="str">
            <v>Equal Tee GI dia. 150mm</v>
          </cell>
          <cell r="D146" t="str">
            <v>No</v>
          </cell>
          <cell r="E146">
            <v>2</v>
          </cell>
          <cell r="F146">
            <v>2</v>
          </cell>
          <cell r="G146">
            <v>811.53</v>
          </cell>
          <cell r="H146">
            <v>1623.06</v>
          </cell>
          <cell r="I146">
            <v>4230</v>
          </cell>
          <cell r="J146">
            <v>8460</v>
          </cell>
          <cell r="K146">
            <v>4230</v>
          </cell>
          <cell r="L146">
            <v>8460</v>
          </cell>
        </row>
        <row r="147">
          <cell r="A147" t="str">
            <v>UT-50 * 32 * 50</v>
          </cell>
          <cell r="B147" t="str">
            <v>7.11</v>
          </cell>
          <cell r="C147" t="str">
            <v>Unequal Tee GI  50 x 32 x 50</v>
          </cell>
          <cell r="D147" t="str">
            <v>No</v>
          </cell>
          <cell r="E147">
            <v>1</v>
          </cell>
          <cell r="F147">
            <v>1</v>
          </cell>
          <cell r="G147">
            <v>222.68</v>
          </cell>
          <cell r="H147">
            <v>222.68</v>
          </cell>
          <cell r="I147">
            <v>193.5</v>
          </cell>
          <cell r="J147">
            <v>193.5</v>
          </cell>
          <cell r="K147">
            <v>193.5</v>
          </cell>
          <cell r="L147">
            <v>193.5</v>
          </cell>
        </row>
        <row r="148">
          <cell r="A148" t="str">
            <v>UT-100 * 40 * 100</v>
          </cell>
          <cell r="B148" t="str">
            <v>7.12</v>
          </cell>
          <cell r="C148" t="str">
            <v>Unequal Tee GI  100 x 40 x 100</v>
          </cell>
          <cell r="D148" t="str">
            <v>No</v>
          </cell>
          <cell r="E148">
            <v>1</v>
          </cell>
          <cell r="F148">
            <v>1</v>
          </cell>
          <cell r="G148">
            <v>620.26</v>
          </cell>
          <cell r="H148">
            <v>620.26</v>
          </cell>
          <cell r="I148">
            <v>855</v>
          </cell>
          <cell r="J148">
            <v>855</v>
          </cell>
          <cell r="K148">
            <v>855</v>
          </cell>
          <cell r="L148">
            <v>855</v>
          </cell>
        </row>
        <row r="149">
          <cell r="A149" t="str">
            <v>UT-150 * 75 * 150</v>
          </cell>
          <cell r="B149" t="str">
            <v>7.13</v>
          </cell>
          <cell r="C149" t="str">
            <v>Unequal Tee GI  150 x 75 x 150</v>
          </cell>
          <cell r="D149" t="str">
            <v>No</v>
          </cell>
          <cell r="E149">
            <v>1</v>
          </cell>
          <cell r="F149">
            <v>1</v>
          </cell>
          <cell r="G149">
            <v>972.69</v>
          </cell>
          <cell r="H149">
            <v>972.69</v>
          </cell>
          <cell r="I149">
            <v>4860</v>
          </cell>
          <cell r="J149">
            <v>4860</v>
          </cell>
          <cell r="K149">
            <v>4860</v>
          </cell>
          <cell r="L149">
            <v>4860</v>
          </cell>
        </row>
        <row r="150">
          <cell r="F150">
            <v>0</v>
          </cell>
          <cell r="H150">
            <v>0</v>
          </cell>
          <cell r="J150">
            <v>0</v>
          </cell>
          <cell r="K150">
            <v>0</v>
          </cell>
          <cell r="L150">
            <v>0</v>
          </cell>
        </row>
        <row r="151">
          <cell r="A151" t="str">
            <v>SA-250 * 32</v>
          </cell>
          <cell r="B151" t="str">
            <v>7.14</v>
          </cell>
          <cell r="C151" t="str">
            <v>Saddle adopter 250 x 32</v>
          </cell>
          <cell r="D151" t="str">
            <v>No</v>
          </cell>
          <cell r="E151">
            <v>2</v>
          </cell>
          <cell r="F151">
            <v>2</v>
          </cell>
          <cell r="G151">
            <v>400</v>
          </cell>
          <cell r="H151">
            <v>800</v>
          </cell>
          <cell r="I151">
            <v>1080</v>
          </cell>
          <cell r="J151">
            <v>2160</v>
          </cell>
          <cell r="K151">
            <v>1080</v>
          </cell>
          <cell r="L151">
            <v>2160</v>
          </cell>
        </row>
        <row r="152">
          <cell r="A152" t="str">
            <v>SA-200 * 32</v>
          </cell>
          <cell r="B152" t="str">
            <v>7.15</v>
          </cell>
          <cell r="C152" t="str">
            <v>Saddle adopter 200 x 32</v>
          </cell>
          <cell r="D152" t="str">
            <v>No</v>
          </cell>
          <cell r="E152">
            <v>1</v>
          </cell>
          <cell r="F152">
            <v>1</v>
          </cell>
          <cell r="G152">
            <v>350</v>
          </cell>
          <cell r="H152">
            <v>350</v>
          </cell>
          <cell r="I152">
            <v>864</v>
          </cell>
          <cell r="J152">
            <v>864</v>
          </cell>
          <cell r="K152">
            <v>864</v>
          </cell>
          <cell r="L152">
            <v>864</v>
          </cell>
        </row>
        <row r="153">
          <cell r="A153" t="str">
            <v>SA-180 * 40</v>
          </cell>
          <cell r="B153" t="str">
            <v>7.16</v>
          </cell>
          <cell r="C153" t="str">
            <v>Saddle adopter 180 x 40</v>
          </cell>
          <cell r="D153" t="str">
            <v>No</v>
          </cell>
          <cell r="E153">
            <v>2</v>
          </cell>
          <cell r="F153">
            <v>2</v>
          </cell>
          <cell r="G153">
            <v>300</v>
          </cell>
          <cell r="H153">
            <v>600</v>
          </cell>
          <cell r="I153">
            <v>783</v>
          </cell>
          <cell r="J153">
            <v>1566</v>
          </cell>
          <cell r="K153">
            <v>783</v>
          </cell>
          <cell r="L153">
            <v>1566</v>
          </cell>
        </row>
        <row r="154">
          <cell r="A154" t="str">
            <v>SA-180 * 32</v>
          </cell>
          <cell r="B154" t="str">
            <v>7.17</v>
          </cell>
          <cell r="C154" t="str">
            <v>Saddle adopter 180 x 32</v>
          </cell>
          <cell r="D154" t="str">
            <v>No</v>
          </cell>
          <cell r="E154">
            <v>1</v>
          </cell>
          <cell r="F154">
            <v>1</v>
          </cell>
          <cell r="G154">
            <v>300</v>
          </cell>
          <cell r="H154">
            <v>300</v>
          </cell>
          <cell r="I154">
            <v>783</v>
          </cell>
          <cell r="J154">
            <v>783</v>
          </cell>
          <cell r="K154">
            <v>783</v>
          </cell>
          <cell r="L154">
            <v>783</v>
          </cell>
        </row>
        <row r="155">
          <cell r="A155" t="str">
            <v>SA-160 * 50</v>
          </cell>
          <cell r="B155" t="str">
            <v>7.18</v>
          </cell>
          <cell r="C155" t="str">
            <v>Saddle adopter 160 x 50</v>
          </cell>
          <cell r="D155" t="str">
            <v>No</v>
          </cell>
          <cell r="E155">
            <v>1</v>
          </cell>
          <cell r="F155">
            <v>1</v>
          </cell>
          <cell r="G155">
            <v>275</v>
          </cell>
          <cell r="H155">
            <v>275</v>
          </cell>
          <cell r="I155">
            <v>702</v>
          </cell>
          <cell r="J155">
            <v>702</v>
          </cell>
          <cell r="K155">
            <v>702</v>
          </cell>
          <cell r="L155">
            <v>702</v>
          </cell>
        </row>
        <row r="156">
          <cell r="A156" t="str">
            <v>SA-160 * 32</v>
          </cell>
          <cell r="B156" t="str">
            <v>7.19</v>
          </cell>
          <cell r="C156" t="str">
            <v>Saddle adopter 160 x 32</v>
          </cell>
          <cell r="D156" t="str">
            <v>No</v>
          </cell>
          <cell r="E156">
            <v>1</v>
          </cell>
          <cell r="F156">
            <v>1</v>
          </cell>
          <cell r="G156">
            <v>275</v>
          </cell>
          <cell r="H156">
            <v>275</v>
          </cell>
          <cell r="I156">
            <v>702</v>
          </cell>
          <cell r="J156">
            <v>702</v>
          </cell>
          <cell r="K156">
            <v>702</v>
          </cell>
          <cell r="L156">
            <v>702</v>
          </cell>
        </row>
        <row r="157">
          <cell r="A157" t="str">
            <v>SA-140 * 40</v>
          </cell>
          <cell r="B157" t="str">
            <v>7.20</v>
          </cell>
          <cell r="C157" t="str">
            <v>Saddle adopter 140 x 40</v>
          </cell>
          <cell r="D157" t="str">
            <v>No</v>
          </cell>
          <cell r="E157">
            <v>5</v>
          </cell>
          <cell r="F157">
            <v>5</v>
          </cell>
          <cell r="G157">
            <v>250</v>
          </cell>
          <cell r="H157">
            <v>1250</v>
          </cell>
          <cell r="I157">
            <v>540</v>
          </cell>
          <cell r="J157">
            <v>2700</v>
          </cell>
          <cell r="K157">
            <v>540</v>
          </cell>
          <cell r="L157">
            <v>2700</v>
          </cell>
        </row>
        <row r="158">
          <cell r="A158" t="str">
            <v>SA-140 * 32</v>
          </cell>
          <cell r="B158" t="str">
            <v>7.21</v>
          </cell>
          <cell r="C158" t="str">
            <v>Saddle adopter 140 x 32</v>
          </cell>
          <cell r="D158" t="str">
            <v>No</v>
          </cell>
          <cell r="E158">
            <v>4</v>
          </cell>
          <cell r="F158">
            <v>4</v>
          </cell>
          <cell r="G158">
            <v>250</v>
          </cell>
          <cell r="H158">
            <v>1000</v>
          </cell>
          <cell r="I158">
            <v>540</v>
          </cell>
          <cell r="J158">
            <v>2160</v>
          </cell>
          <cell r="K158">
            <v>540</v>
          </cell>
          <cell r="L158">
            <v>2160</v>
          </cell>
        </row>
        <row r="159">
          <cell r="A159" t="str">
            <v>SA-110 * 40</v>
          </cell>
          <cell r="B159" t="str">
            <v>7.22</v>
          </cell>
          <cell r="C159" t="str">
            <v>Saddle adopter 110 x 40</v>
          </cell>
          <cell r="D159" t="str">
            <v>No</v>
          </cell>
          <cell r="E159">
            <v>1</v>
          </cell>
          <cell r="F159">
            <v>1</v>
          </cell>
          <cell r="G159">
            <v>225</v>
          </cell>
          <cell r="H159">
            <v>225</v>
          </cell>
          <cell r="I159">
            <v>378</v>
          </cell>
          <cell r="J159">
            <v>378</v>
          </cell>
          <cell r="K159">
            <v>378</v>
          </cell>
          <cell r="L159">
            <v>378</v>
          </cell>
        </row>
        <row r="160">
          <cell r="A160" t="str">
            <v>SA-110 * 32</v>
          </cell>
          <cell r="B160" t="str">
            <v>7.23</v>
          </cell>
          <cell r="C160" t="str">
            <v>Saddle adopter 110 x 32</v>
          </cell>
          <cell r="D160" t="str">
            <v>No</v>
          </cell>
          <cell r="E160">
            <v>3</v>
          </cell>
          <cell r="F160">
            <v>3</v>
          </cell>
          <cell r="G160">
            <v>225</v>
          </cell>
          <cell r="H160">
            <v>675</v>
          </cell>
          <cell r="I160">
            <v>378</v>
          </cell>
          <cell r="J160">
            <v>1134</v>
          </cell>
          <cell r="K160">
            <v>378</v>
          </cell>
          <cell r="L160">
            <v>1134</v>
          </cell>
        </row>
        <row r="161">
          <cell r="A161" t="str">
            <v>NI-32</v>
          </cell>
          <cell r="B161" t="str">
            <v>7.24</v>
          </cell>
          <cell r="C161" t="str">
            <v>Pipe Nipple GI 32 dia</v>
          </cell>
          <cell r="D161" t="str">
            <v>No</v>
          </cell>
          <cell r="E161">
            <v>34</v>
          </cell>
          <cell r="F161">
            <v>34</v>
          </cell>
          <cell r="G161">
            <v>57.5</v>
          </cell>
          <cell r="H161">
            <v>1955</v>
          </cell>
          <cell r="I161">
            <v>54</v>
          </cell>
          <cell r="J161">
            <v>1836</v>
          </cell>
          <cell r="K161">
            <v>54</v>
          </cell>
          <cell r="L161">
            <v>1836</v>
          </cell>
        </row>
        <row r="162">
          <cell r="A162" t="str">
            <v>NI-40</v>
          </cell>
          <cell r="B162" t="str">
            <v>7.25</v>
          </cell>
          <cell r="C162" t="str">
            <v>Pipe Nipple GI 40 dia</v>
          </cell>
          <cell r="D162" t="str">
            <v>No</v>
          </cell>
          <cell r="E162">
            <v>31</v>
          </cell>
          <cell r="F162">
            <v>31</v>
          </cell>
          <cell r="G162">
            <v>146.36000000000001</v>
          </cell>
          <cell r="H162">
            <v>4537.1600000000008</v>
          </cell>
          <cell r="I162">
            <v>64.8</v>
          </cell>
          <cell r="J162">
            <v>2008.8</v>
          </cell>
          <cell r="K162">
            <v>64.8</v>
          </cell>
          <cell r="L162">
            <v>2008.8</v>
          </cell>
        </row>
        <row r="163">
          <cell r="A163" t="str">
            <v>NI-50</v>
          </cell>
          <cell r="B163" t="str">
            <v>7.26</v>
          </cell>
          <cell r="C163" t="str">
            <v>Pipe Nipple GI 50 dia</v>
          </cell>
          <cell r="D163" t="str">
            <v>No</v>
          </cell>
          <cell r="E163">
            <v>16</v>
          </cell>
          <cell r="F163">
            <v>16</v>
          </cell>
          <cell r="G163">
            <v>198.64</v>
          </cell>
          <cell r="H163">
            <v>3178.24</v>
          </cell>
          <cell r="I163">
            <v>99</v>
          </cell>
          <cell r="J163">
            <v>1584</v>
          </cell>
          <cell r="K163">
            <v>99</v>
          </cell>
          <cell r="L163">
            <v>1584</v>
          </cell>
        </row>
        <row r="164">
          <cell r="A164" t="str">
            <v>NI-63</v>
          </cell>
          <cell r="B164" t="str">
            <v>7.27</v>
          </cell>
          <cell r="C164" t="str">
            <v>Pipe Nipple GI 63 dia</v>
          </cell>
          <cell r="D164" t="str">
            <v>No</v>
          </cell>
          <cell r="E164">
            <v>10</v>
          </cell>
          <cell r="F164">
            <v>10</v>
          </cell>
          <cell r="G164">
            <v>313.64</v>
          </cell>
          <cell r="H164">
            <v>3136.3999999999996</v>
          </cell>
          <cell r="I164">
            <v>139.5</v>
          </cell>
          <cell r="J164">
            <v>1395</v>
          </cell>
          <cell r="K164">
            <v>139.5</v>
          </cell>
          <cell r="L164">
            <v>1395</v>
          </cell>
        </row>
        <row r="165">
          <cell r="A165" t="str">
            <v>NI-75</v>
          </cell>
          <cell r="B165" t="str">
            <v>7.28</v>
          </cell>
          <cell r="C165" t="str">
            <v>Pipe Nipple GI 75 dia</v>
          </cell>
          <cell r="D165" t="str">
            <v>No</v>
          </cell>
          <cell r="E165">
            <v>8</v>
          </cell>
          <cell r="F165">
            <v>8</v>
          </cell>
          <cell r="G165">
            <v>501.82</v>
          </cell>
          <cell r="H165">
            <v>4014.56</v>
          </cell>
          <cell r="I165">
            <v>211.5</v>
          </cell>
          <cell r="J165">
            <v>1692</v>
          </cell>
          <cell r="K165">
            <v>211.5</v>
          </cell>
          <cell r="L165">
            <v>1692</v>
          </cell>
        </row>
        <row r="166">
          <cell r="A166" t="str">
            <v>NI-100</v>
          </cell>
          <cell r="B166" t="str">
            <v>7.29</v>
          </cell>
          <cell r="C166" t="str">
            <v>Pipe Nipple GI 100 dia</v>
          </cell>
          <cell r="D166" t="str">
            <v>No</v>
          </cell>
          <cell r="E166">
            <v>10</v>
          </cell>
          <cell r="F166">
            <v>10</v>
          </cell>
          <cell r="G166">
            <v>627.27</v>
          </cell>
          <cell r="H166">
            <v>6272.7</v>
          </cell>
          <cell r="I166">
            <v>243</v>
          </cell>
          <cell r="J166">
            <v>2430</v>
          </cell>
          <cell r="K166">
            <v>243</v>
          </cell>
          <cell r="L166">
            <v>2430</v>
          </cell>
        </row>
        <row r="167">
          <cell r="A167" t="str">
            <v>NI-150</v>
          </cell>
          <cell r="B167" t="str">
            <v>7.30</v>
          </cell>
          <cell r="C167" t="str">
            <v>Pipe Nipple GI 150 dia</v>
          </cell>
          <cell r="D167" t="str">
            <v>No</v>
          </cell>
          <cell r="E167">
            <v>4</v>
          </cell>
          <cell r="F167">
            <v>4</v>
          </cell>
          <cell r="G167">
            <v>940.91</v>
          </cell>
          <cell r="H167">
            <v>3763.64</v>
          </cell>
          <cell r="I167">
            <v>648</v>
          </cell>
          <cell r="J167">
            <v>2592</v>
          </cell>
          <cell r="K167">
            <v>648</v>
          </cell>
          <cell r="L167">
            <v>2592</v>
          </cell>
        </row>
        <row r="168">
          <cell r="A168" t="str">
            <v>GV-32</v>
          </cell>
          <cell r="B168" t="str">
            <v>7.31</v>
          </cell>
          <cell r="C168" t="str">
            <v>Gate Valve GI 32 dia</v>
          </cell>
          <cell r="D168" t="str">
            <v>No</v>
          </cell>
          <cell r="E168">
            <v>17</v>
          </cell>
          <cell r="F168">
            <v>17</v>
          </cell>
          <cell r="G168">
            <v>693.14</v>
          </cell>
          <cell r="H168">
            <v>11783.38</v>
          </cell>
          <cell r="I168">
            <v>630</v>
          </cell>
          <cell r="J168">
            <v>10710</v>
          </cell>
          <cell r="K168">
            <v>630</v>
          </cell>
          <cell r="L168">
            <v>10710</v>
          </cell>
        </row>
        <row r="169">
          <cell r="A169" t="str">
            <v>GV-40</v>
          </cell>
          <cell r="B169" t="str">
            <v>7.32</v>
          </cell>
          <cell r="C169" t="str">
            <v>Gate Valve GI 40 dia</v>
          </cell>
          <cell r="D169" t="str">
            <v>No</v>
          </cell>
          <cell r="E169">
            <v>14</v>
          </cell>
          <cell r="F169">
            <v>14</v>
          </cell>
          <cell r="G169">
            <v>869.82</v>
          </cell>
          <cell r="H169">
            <v>12177.480000000001</v>
          </cell>
          <cell r="I169">
            <v>777.6</v>
          </cell>
          <cell r="J169">
            <v>10886.4</v>
          </cell>
          <cell r="K169">
            <v>777.6</v>
          </cell>
          <cell r="L169">
            <v>10886.4</v>
          </cell>
        </row>
        <row r="170">
          <cell r="A170" t="str">
            <v>GV-50</v>
          </cell>
          <cell r="B170" t="str">
            <v>7.33</v>
          </cell>
          <cell r="C170" t="str">
            <v>Gate Valve GI 50 dia</v>
          </cell>
          <cell r="D170" t="str">
            <v>No</v>
          </cell>
          <cell r="E170">
            <v>7</v>
          </cell>
          <cell r="F170">
            <v>7</v>
          </cell>
          <cell r="G170">
            <v>1487.68</v>
          </cell>
          <cell r="H170">
            <v>10413.76</v>
          </cell>
          <cell r="I170">
            <v>1602</v>
          </cell>
          <cell r="J170">
            <v>11214</v>
          </cell>
          <cell r="K170">
            <v>1602</v>
          </cell>
          <cell r="L170">
            <v>11214</v>
          </cell>
        </row>
        <row r="171">
          <cell r="A171" t="str">
            <v>GV-63</v>
          </cell>
          <cell r="B171" t="str">
            <v>7.34</v>
          </cell>
          <cell r="C171" t="str">
            <v>Gate Valve GI 63 dia</v>
          </cell>
          <cell r="D171" t="str">
            <v>No</v>
          </cell>
          <cell r="E171">
            <v>4</v>
          </cell>
          <cell r="F171">
            <v>4</v>
          </cell>
          <cell r="G171">
            <v>2545.6799999999998</v>
          </cell>
          <cell r="H171">
            <v>10182.719999999999</v>
          </cell>
          <cell r="I171">
            <v>2430</v>
          </cell>
          <cell r="J171">
            <v>9720</v>
          </cell>
          <cell r="K171">
            <v>2430</v>
          </cell>
          <cell r="L171">
            <v>9720</v>
          </cell>
        </row>
        <row r="172">
          <cell r="A172" t="str">
            <v>GV-75</v>
          </cell>
          <cell r="B172" t="str">
            <v>7.35</v>
          </cell>
          <cell r="C172" t="str">
            <v>Gate Valve GI 75 dia</v>
          </cell>
          <cell r="D172" t="str">
            <v>No</v>
          </cell>
          <cell r="E172">
            <v>4</v>
          </cell>
          <cell r="F172">
            <v>4</v>
          </cell>
          <cell r="G172">
            <v>3682.09</v>
          </cell>
          <cell r="H172">
            <v>14728.36</v>
          </cell>
          <cell r="I172">
            <v>3510</v>
          </cell>
          <cell r="J172">
            <v>14040</v>
          </cell>
          <cell r="K172">
            <v>3510</v>
          </cell>
          <cell r="L172">
            <v>14040</v>
          </cell>
        </row>
        <row r="173">
          <cell r="A173" t="str">
            <v>GV-100</v>
          </cell>
          <cell r="B173" t="str">
            <v>7.36</v>
          </cell>
          <cell r="C173" t="str">
            <v>Gate Valve GI 100 dia</v>
          </cell>
          <cell r="D173" t="str">
            <v>No</v>
          </cell>
          <cell r="E173">
            <v>3</v>
          </cell>
          <cell r="F173">
            <v>3</v>
          </cell>
          <cell r="G173">
            <v>5523.14</v>
          </cell>
          <cell r="H173">
            <v>16569.420000000002</v>
          </cell>
          <cell r="I173">
            <v>6480</v>
          </cell>
          <cell r="J173">
            <v>19440</v>
          </cell>
          <cell r="K173">
            <v>6480</v>
          </cell>
          <cell r="L173">
            <v>19440</v>
          </cell>
        </row>
        <row r="174">
          <cell r="A174" t="str">
            <v>R-40 * 50</v>
          </cell>
          <cell r="B174" t="str">
            <v>7.37</v>
          </cell>
          <cell r="C174" t="str">
            <v xml:space="preserve"> Reducer GI 40 x 50</v>
          </cell>
          <cell r="D174" t="str">
            <v>No</v>
          </cell>
          <cell r="E174">
            <v>1</v>
          </cell>
          <cell r="F174">
            <v>1</v>
          </cell>
          <cell r="G174">
            <v>101.41</v>
          </cell>
          <cell r="H174">
            <v>101.41</v>
          </cell>
          <cell r="I174">
            <v>112.5</v>
          </cell>
          <cell r="J174">
            <v>112.5</v>
          </cell>
          <cell r="K174">
            <v>112.5</v>
          </cell>
          <cell r="L174">
            <v>112.5</v>
          </cell>
        </row>
        <row r="175">
          <cell r="A175" t="str">
            <v>R-32 * 63</v>
          </cell>
          <cell r="B175" t="str">
            <v>7.38</v>
          </cell>
          <cell r="C175" t="str">
            <v xml:space="preserve"> Reducer GI 32 x 63</v>
          </cell>
          <cell r="D175" t="str">
            <v>No</v>
          </cell>
          <cell r="E175">
            <v>1</v>
          </cell>
          <cell r="F175">
            <v>1</v>
          </cell>
          <cell r="G175">
            <v>181.91</v>
          </cell>
          <cell r="H175">
            <v>181.91</v>
          </cell>
          <cell r="I175">
            <v>216</v>
          </cell>
          <cell r="J175">
            <v>216</v>
          </cell>
          <cell r="K175">
            <v>216</v>
          </cell>
          <cell r="L175">
            <v>216</v>
          </cell>
        </row>
        <row r="176">
          <cell r="A176" t="str">
            <v>R-40 * 63</v>
          </cell>
          <cell r="B176" t="str">
            <v>7.39</v>
          </cell>
          <cell r="C176" t="str">
            <v xml:space="preserve"> Reducer GI 40 x 63</v>
          </cell>
          <cell r="D176" t="str">
            <v>No</v>
          </cell>
          <cell r="E176">
            <v>1</v>
          </cell>
          <cell r="F176">
            <v>1</v>
          </cell>
          <cell r="G176">
            <v>181.91</v>
          </cell>
          <cell r="H176">
            <v>181.91</v>
          </cell>
          <cell r="I176">
            <v>216</v>
          </cell>
          <cell r="J176">
            <v>216</v>
          </cell>
          <cell r="K176">
            <v>216</v>
          </cell>
          <cell r="L176">
            <v>216</v>
          </cell>
        </row>
        <row r="177">
          <cell r="A177" t="str">
            <v>DFB-200</v>
          </cell>
          <cell r="B177" t="str">
            <v>7.40</v>
          </cell>
          <cell r="C177" t="str">
            <v>Double flanged bend(90d), DI 200 dia</v>
          </cell>
          <cell r="D177" t="str">
            <v>No</v>
          </cell>
          <cell r="E177">
            <v>7</v>
          </cell>
          <cell r="F177">
            <v>7</v>
          </cell>
          <cell r="G177">
            <v>4203.1400000000003</v>
          </cell>
          <cell r="H177">
            <v>29421.980000000003</v>
          </cell>
          <cell r="I177">
            <v>24300</v>
          </cell>
          <cell r="J177">
            <v>170100</v>
          </cell>
          <cell r="K177">
            <v>24300</v>
          </cell>
          <cell r="L177">
            <v>170100</v>
          </cell>
        </row>
        <row r="178">
          <cell r="A178" t="str">
            <v>FB-200</v>
          </cell>
          <cell r="B178" t="str">
            <v>7.41</v>
          </cell>
          <cell r="C178" t="str">
            <v>Blank flange DI 200 dia</v>
          </cell>
          <cell r="D178" t="str">
            <v>No</v>
          </cell>
          <cell r="E178">
            <v>1</v>
          </cell>
          <cell r="F178">
            <v>1</v>
          </cell>
          <cell r="G178">
            <v>1491.44</v>
          </cell>
          <cell r="H178">
            <v>1491.44</v>
          </cell>
          <cell r="I178">
            <v>2160</v>
          </cell>
          <cell r="J178">
            <v>2160</v>
          </cell>
          <cell r="K178">
            <v>2160</v>
          </cell>
          <cell r="L178">
            <v>2160</v>
          </cell>
        </row>
        <row r="179">
          <cell r="A179" t="str">
            <v>MC-150</v>
          </cell>
          <cell r="B179" t="str">
            <v>7.42</v>
          </cell>
          <cell r="C179" t="str">
            <v>Mechanical Coupling DI 150 dia</v>
          </cell>
          <cell r="D179" t="str">
            <v>No</v>
          </cell>
          <cell r="E179">
            <v>1</v>
          </cell>
          <cell r="F179">
            <v>1</v>
          </cell>
          <cell r="G179">
            <v>3574.51</v>
          </cell>
          <cell r="H179">
            <v>3574.51</v>
          </cell>
          <cell r="I179">
            <v>3240</v>
          </cell>
          <cell r="J179">
            <v>3240</v>
          </cell>
          <cell r="K179">
            <v>3240</v>
          </cell>
          <cell r="L179">
            <v>3240</v>
          </cell>
        </row>
        <row r="180">
          <cell r="A180" t="str">
            <v>MC-200</v>
          </cell>
          <cell r="B180" t="str">
            <v>7.43</v>
          </cell>
          <cell r="C180" t="str">
            <v>Mechanical Coupling DI 200 dia</v>
          </cell>
          <cell r="D180" t="str">
            <v>No</v>
          </cell>
          <cell r="E180">
            <v>6</v>
          </cell>
          <cell r="F180">
            <v>6</v>
          </cell>
          <cell r="G180">
            <v>4190.8100000000004</v>
          </cell>
          <cell r="H180">
            <v>25144.86</v>
          </cell>
          <cell r="I180">
            <v>4860</v>
          </cell>
          <cell r="J180">
            <v>29160</v>
          </cell>
          <cell r="K180">
            <v>4860</v>
          </cell>
          <cell r="L180">
            <v>29160</v>
          </cell>
        </row>
        <row r="181">
          <cell r="A181" t="str">
            <v>MC-250</v>
          </cell>
          <cell r="B181" t="str">
            <v>7.44</v>
          </cell>
          <cell r="C181" t="str">
            <v>Mechanical Coupling DI 250 dia</v>
          </cell>
          <cell r="D181" t="str">
            <v>No</v>
          </cell>
          <cell r="E181">
            <v>2</v>
          </cell>
          <cell r="F181">
            <v>2</v>
          </cell>
          <cell r="G181">
            <v>5053.62</v>
          </cell>
          <cell r="H181">
            <v>10107.24</v>
          </cell>
          <cell r="I181">
            <v>7785</v>
          </cell>
          <cell r="J181">
            <v>15570</v>
          </cell>
          <cell r="K181">
            <v>7785</v>
          </cell>
          <cell r="L181">
            <v>15570</v>
          </cell>
        </row>
        <row r="182">
          <cell r="A182" t="str">
            <v>SV-150</v>
          </cell>
          <cell r="B182" t="str">
            <v>7.45</v>
          </cell>
          <cell r="C182" t="str">
            <v>Sluice Valve DI 150 dia</v>
          </cell>
          <cell r="D182" t="str">
            <v>No</v>
          </cell>
          <cell r="E182">
            <v>17</v>
          </cell>
          <cell r="F182">
            <v>17</v>
          </cell>
          <cell r="G182">
            <v>15876.42</v>
          </cell>
          <cell r="H182">
            <v>269899.14</v>
          </cell>
          <cell r="I182">
            <v>15660</v>
          </cell>
          <cell r="J182">
            <v>266220</v>
          </cell>
          <cell r="K182">
            <v>15660</v>
          </cell>
          <cell r="L182">
            <v>266220</v>
          </cell>
        </row>
        <row r="183">
          <cell r="A183" t="str">
            <v>SV-200</v>
          </cell>
          <cell r="B183" t="str">
            <v>7.46</v>
          </cell>
          <cell r="C183" t="str">
            <v>Sluice Valve DI 200 dia</v>
          </cell>
          <cell r="D183" t="str">
            <v>No</v>
          </cell>
          <cell r="E183">
            <v>6</v>
          </cell>
          <cell r="F183">
            <v>6</v>
          </cell>
          <cell r="G183">
            <v>31038.65</v>
          </cell>
          <cell r="H183">
            <v>186231.90000000002</v>
          </cell>
          <cell r="I183">
            <v>29160</v>
          </cell>
          <cell r="J183">
            <v>174960</v>
          </cell>
          <cell r="K183">
            <v>29160</v>
          </cell>
          <cell r="L183">
            <v>174960</v>
          </cell>
        </row>
        <row r="184">
          <cell r="A184" t="str">
            <v>SV-250</v>
          </cell>
          <cell r="B184" t="str">
            <v>7.47</v>
          </cell>
          <cell r="C184" t="str">
            <v>Sluice Valve DI 250 dia</v>
          </cell>
          <cell r="D184" t="str">
            <v>No</v>
          </cell>
          <cell r="E184">
            <v>1</v>
          </cell>
          <cell r="F184">
            <v>1</v>
          </cell>
          <cell r="G184">
            <v>48589.9</v>
          </cell>
          <cell r="H184">
            <v>48589.9</v>
          </cell>
          <cell r="I184">
            <v>34560</v>
          </cell>
          <cell r="J184">
            <v>34560</v>
          </cell>
          <cell r="K184">
            <v>34560</v>
          </cell>
          <cell r="L184">
            <v>34560</v>
          </cell>
        </row>
        <row r="185">
          <cell r="A185" t="str">
            <v>DET-200</v>
          </cell>
          <cell r="B185" t="str">
            <v>7.48</v>
          </cell>
          <cell r="C185" t="str">
            <v>Double Flanged  Equal Tee DI 200 dia</v>
          </cell>
          <cell r="D185" t="str">
            <v>No</v>
          </cell>
          <cell r="E185">
            <v>1</v>
          </cell>
          <cell r="F185">
            <v>1</v>
          </cell>
          <cell r="G185">
            <v>5328.65</v>
          </cell>
          <cell r="H185">
            <v>5328.65</v>
          </cell>
          <cell r="I185">
            <v>23760</v>
          </cell>
          <cell r="J185">
            <v>23760</v>
          </cell>
          <cell r="K185">
            <v>23760</v>
          </cell>
          <cell r="L185">
            <v>23760</v>
          </cell>
        </row>
        <row r="186">
          <cell r="A186" t="str">
            <v>DUT-200 * 150 * 200</v>
          </cell>
          <cell r="B186" t="str">
            <v>7.49</v>
          </cell>
          <cell r="C186" t="str">
            <v xml:space="preserve">DI flanged unequal tee DI 200 x 150 x 200 </v>
          </cell>
          <cell r="D186" t="str">
            <v>No</v>
          </cell>
          <cell r="E186">
            <v>1</v>
          </cell>
          <cell r="F186">
            <v>1</v>
          </cell>
          <cell r="G186">
            <v>4151.91</v>
          </cell>
          <cell r="H186">
            <v>4151.91</v>
          </cell>
          <cell r="I186">
            <v>27540</v>
          </cell>
          <cell r="J186">
            <v>27540</v>
          </cell>
          <cell r="K186">
            <v>27540</v>
          </cell>
          <cell r="L186">
            <v>27540</v>
          </cell>
        </row>
        <row r="187">
          <cell r="A187" t="str">
            <v>DFTP-150</v>
          </cell>
          <cell r="B187" t="str">
            <v>7.50</v>
          </cell>
          <cell r="C187" t="str">
            <v xml:space="preserve"> Flanged Tail piece DI 150 dia</v>
          </cell>
          <cell r="D187" t="str">
            <v>No</v>
          </cell>
          <cell r="E187">
            <v>1</v>
          </cell>
          <cell r="F187">
            <v>1</v>
          </cell>
          <cell r="G187">
            <v>2536.29</v>
          </cell>
          <cell r="H187">
            <v>2536.29</v>
          </cell>
          <cell r="I187">
            <v>4158</v>
          </cell>
          <cell r="J187">
            <v>4158</v>
          </cell>
          <cell r="K187">
            <v>4158</v>
          </cell>
          <cell r="L187">
            <v>4158</v>
          </cell>
        </row>
        <row r="188">
          <cell r="A188" t="str">
            <v>DFTP-200</v>
          </cell>
          <cell r="B188" t="str">
            <v>7.51</v>
          </cell>
          <cell r="C188" t="str">
            <v xml:space="preserve"> Flanged Tail piece DI 200 dia</v>
          </cell>
          <cell r="D188" t="str">
            <v>No</v>
          </cell>
          <cell r="E188">
            <v>4</v>
          </cell>
          <cell r="F188">
            <v>4</v>
          </cell>
          <cell r="G188">
            <v>3595.36</v>
          </cell>
          <cell r="H188">
            <v>14381.44</v>
          </cell>
          <cell r="I188">
            <v>8856</v>
          </cell>
          <cell r="J188">
            <v>35424</v>
          </cell>
          <cell r="K188">
            <v>8856</v>
          </cell>
          <cell r="L188">
            <v>35424</v>
          </cell>
        </row>
        <row r="189">
          <cell r="A189" t="str">
            <v>DFTP-250</v>
          </cell>
          <cell r="B189" t="str">
            <v>7.52</v>
          </cell>
          <cell r="C189" t="str">
            <v xml:space="preserve"> Flanged Tail piece DI 250 dia</v>
          </cell>
          <cell r="D189" t="str">
            <v>No</v>
          </cell>
          <cell r="E189">
            <v>1</v>
          </cell>
          <cell r="F189">
            <v>1</v>
          </cell>
          <cell r="G189">
            <v>4966.6499999999996</v>
          </cell>
          <cell r="H189">
            <v>4966.6499999999996</v>
          </cell>
          <cell r="I189">
            <v>11448</v>
          </cell>
          <cell r="J189">
            <v>11448</v>
          </cell>
          <cell r="K189">
            <v>11448</v>
          </cell>
          <cell r="L189">
            <v>11448</v>
          </cell>
        </row>
        <row r="190">
          <cell r="A190" t="str">
            <v>DDFTP-150</v>
          </cell>
          <cell r="B190" t="str">
            <v>7.53</v>
          </cell>
          <cell r="C190" t="str">
            <v xml:space="preserve"> Double flanged Tail piece DI 150 dia</v>
          </cell>
          <cell r="D190" t="str">
            <v>No</v>
          </cell>
          <cell r="E190">
            <v>2</v>
          </cell>
          <cell r="F190">
            <v>2</v>
          </cell>
          <cell r="G190">
            <v>2536.29</v>
          </cell>
          <cell r="H190">
            <v>5072.58</v>
          </cell>
          <cell r="I190">
            <v>4968</v>
          </cell>
          <cell r="J190">
            <v>9936</v>
          </cell>
          <cell r="K190">
            <v>4968</v>
          </cell>
          <cell r="L190">
            <v>9936</v>
          </cell>
        </row>
        <row r="191">
          <cell r="A191" t="str">
            <v>DDFTP-200</v>
          </cell>
          <cell r="B191" t="str">
            <v>7.54</v>
          </cell>
          <cell r="C191" t="str">
            <v xml:space="preserve"> Double flanged Tail piece DI 200 dia</v>
          </cell>
          <cell r="D191" t="str">
            <v>No</v>
          </cell>
          <cell r="E191">
            <v>17</v>
          </cell>
          <cell r="F191">
            <v>17</v>
          </cell>
          <cell r="G191">
            <v>3595.36</v>
          </cell>
          <cell r="H191">
            <v>61121.120000000003</v>
          </cell>
          <cell r="I191">
            <v>9504</v>
          </cell>
          <cell r="J191">
            <v>161568</v>
          </cell>
          <cell r="K191">
            <v>9504</v>
          </cell>
          <cell r="L191">
            <v>161568</v>
          </cell>
        </row>
        <row r="192">
          <cell r="A192" t="str">
            <v>DDFTP-250</v>
          </cell>
          <cell r="B192" t="str">
            <v>7.55</v>
          </cell>
          <cell r="C192" t="str">
            <v xml:space="preserve"> Double flanged Tail piece DI 250 dia</v>
          </cell>
          <cell r="D192" t="str">
            <v>No</v>
          </cell>
          <cell r="E192">
            <v>1</v>
          </cell>
          <cell r="F192">
            <v>1</v>
          </cell>
          <cell r="G192">
            <v>4710.2299999999996</v>
          </cell>
          <cell r="H192">
            <v>4710.2299999999996</v>
          </cell>
          <cell r="I192">
            <v>12420</v>
          </cell>
          <cell r="J192">
            <v>12420</v>
          </cell>
          <cell r="K192">
            <v>12420</v>
          </cell>
          <cell r="L192">
            <v>12420</v>
          </cell>
        </row>
        <row r="193">
          <cell r="A193" t="str">
            <v>DDFB-150</v>
          </cell>
          <cell r="B193" t="str">
            <v>7.56</v>
          </cell>
          <cell r="C193" t="str">
            <v>Ductile Duck foot bend DI 150 dia</v>
          </cell>
          <cell r="D193" t="str">
            <v>No</v>
          </cell>
          <cell r="E193">
            <v>1</v>
          </cell>
          <cell r="F193">
            <v>1</v>
          </cell>
          <cell r="G193">
            <v>2536.29</v>
          </cell>
          <cell r="H193">
            <v>2536.29</v>
          </cell>
          <cell r="I193">
            <v>9180</v>
          </cell>
          <cell r="J193">
            <v>9180</v>
          </cell>
          <cell r="K193">
            <v>9180</v>
          </cell>
          <cell r="L193">
            <v>9180</v>
          </cell>
        </row>
        <row r="194">
          <cell r="A194" t="str">
            <v>DDFB-200</v>
          </cell>
          <cell r="B194" t="str">
            <v>7.57</v>
          </cell>
          <cell r="C194" t="str">
            <v>Ductile Duck foot bend DI 200 dia</v>
          </cell>
          <cell r="D194" t="str">
            <v>No</v>
          </cell>
          <cell r="E194">
            <v>2</v>
          </cell>
          <cell r="F194">
            <v>2</v>
          </cell>
          <cell r="G194">
            <v>3595.36</v>
          </cell>
          <cell r="H194">
            <v>7190.72</v>
          </cell>
          <cell r="I194">
            <v>12420</v>
          </cell>
          <cell r="J194">
            <v>24840</v>
          </cell>
          <cell r="K194">
            <v>12420</v>
          </cell>
          <cell r="L194">
            <v>24840</v>
          </cell>
        </row>
        <row r="195">
          <cell r="A195" t="str">
            <v>DDFB-250</v>
          </cell>
          <cell r="B195" t="str">
            <v>7.58</v>
          </cell>
          <cell r="C195" t="str">
            <v>Ductile Duck foot bend DI 250 dia</v>
          </cell>
          <cell r="D195" t="str">
            <v>No</v>
          </cell>
          <cell r="E195">
            <v>1</v>
          </cell>
          <cell r="F195">
            <v>1</v>
          </cell>
          <cell r="G195">
            <v>4710.2299999999996</v>
          </cell>
          <cell r="H195">
            <v>4710.2299999999996</v>
          </cell>
          <cell r="I195">
            <v>15660</v>
          </cell>
          <cell r="J195">
            <v>15660</v>
          </cell>
          <cell r="K195">
            <v>15660</v>
          </cell>
          <cell r="L195">
            <v>15660</v>
          </cell>
        </row>
        <row r="196">
          <cell r="A196" t="str">
            <v>RV-200</v>
          </cell>
          <cell r="B196" t="str">
            <v>7.59</v>
          </cell>
          <cell r="C196" t="str">
            <v>Reflux Valve DI 200 dia</v>
          </cell>
          <cell r="D196" t="str">
            <v>No</v>
          </cell>
          <cell r="E196">
            <v>2</v>
          </cell>
          <cell r="F196">
            <v>2</v>
          </cell>
          <cell r="G196">
            <v>10786.08</v>
          </cell>
          <cell r="H196">
            <v>21572.16</v>
          </cell>
          <cell r="I196">
            <v>16416</v>
          </cell>
          <cell r="J196">
            <v>32832</v>
          </cell>
          <cell r="K196">
            <v>16416</v>
          </cell>
          <cell r="L196">
            <v>32832</v>
          </cell>
        </row>
        <row r="197">
          <cell r="A197" t="str">
            <v>DFM-200</v>
          </cell>
          <cell r="B197" t="str">
            <v>7.60</v>
          </cell>
          <cell r="C197" t="str">
            <v>Discharge flow meter DI 200 dia</v>
          </cell>
          <cell r="D197" t="str">
            <v>No</v>
          </cell>
          <cell r="E197">
            <v>2</v>
          </cell>
          <cell r="F197">
            <v>2</v>
          </cell>
          <cell r="G197">
            <v>21572.16</v>
          </cell>
          <cell r="H197">
            <v>43144.32</v>
          </cell>
          <cell r="I197">
            <v>59400</v>
          </cell>
          <cell r="J197">
            <v>118800</v>
          </cell>
          <cell r="K197">
            <v>59400</v>
          </cell>
          <cell r="L197">
            <v>118800</v>
          </cell>
        </row>
        <row r="198">
          <cell r="A198" t="str">
            <v>GFTP-150</v>
          </cell>
          <cell r="B198" t="str">
            <v>7.61</v>
          </cell>
          <cell r="C198" t="str">
            <v xml:space="preserve"> flanged Tail piece GI 150 dia</v>
          </cell>
          <cell r="D198" t="str">
            <v>No</v>
          </cell>
          <cell r="E198">
            <v>30</v>
          </cell>
          <cell r="F198">
            <v>30</v>
          </cell>
          <cell r="G198">
            <v>3686.33</v>
          </cell>
          <cell r="H198">
            <v>110589.9</v>
          </cell>
          <cell r="I198">
            <v>3105</v>
          </cell>
          <cell r="J198">
            <v>93150</v>
          </cell>
          <cell r="K198">
            <v>3105</v>
          </cell>
          <cell r="L198">
            <v>93150</v>
          </cell>
        </row>
        <row r="199">
          <cell r="A199" t="str">
            <v>BellM-250</v>
          </cell>
          <cell r="B199" t="str">
            <v>7.62</v>
          </cell>
          <cell r="C199" t="str">
            <v>Bell mouth flange DI 250 dia</v>
          </cell>
          <cell r="D199" t="str">
            <v>No</v>
          </cell>
          <cell r="E199">
            <v>3</v>
          </cell>
          <cell r="F199">
            <v>3</v>
          </cell>
          <cell r="G199">
            <v>2500</v>
          </cell>
          <cell r="H199">
            <v>7500</v>
          </cell>
          <cell r="I199">
            <v>25920</v>
          </cell>
          <cell r="J199">
            <v>77760</v>
          </cell>
          <cell r="K199">
            <v>25920</v>
          </cell>
          <cell r="L199">
            <v>77760</v>
          </cell>
        </row>
        <row r="200">
          <cell r="A200" t="str">
            <v>BellM-100</v>
          </cell>
          <cell r="B200" t="str">
            <v>7.63</v>
          </cell>
          <cell r="C200" t="str">
            <v>Bell mouth flange GI 100 dia</v>
          </cell>
          <cell r="D200" t="str">
            <v>No</v>
          </cell>
          <cell r="E200">
            <v>1</v>
          </cell>
          <cell r="F200">
            <v>1</v>
          </cell>
          <cell r="G200">
            <v>2000</v>
          </cell>
          <cell r="H200">
            <v>2000</v>
          </cell>
          <cell r="I200">
            <v>13284</v>
          </cell>
          <cell r="J200">
            <v>13284</v>
          </cell>
          <cell r="K200">
            <v>13284</v>
          </cell>
          <cell r="L200">
            <v>13284</v>
          </cell>
        </row>
        <row r="201">
          <cell r="A201" t="str">
            <v>mtr</v>
          </cell>
          <cell r="B201" t="str">
            <v>8</v>
          </cell>
          <cell r="C201" t="str">
            <v>Supply of Standard water meter operating with volumetric Rotary-piston principal with 1/2" dia. inlet and outlet pipe. Test pressure of 21 kg/sq.cm.,   Maximum continuous flow (test) of 2.73 m3 per hour. Minimum flow at (  2% accuracy) of 27.</v>
          </cell>
          <cell r="D201" t="str">
            <v>No</v>
          </cell>
          <cell r="E201">
            <v>1086</v>
          </cell>
          <cell r="F201">
            <v>1086</v>
          </cell>
          <cell r="G201">
            <v>1300</v>
          </cell>
          <cell r="H201">
            <v>1411800</v>
          </cell>
          <cell r="I201">
            <v>1080</v>
          </cell>
          <cell r="J201">
            <v>1172880</v>
          </cell>
          <cell r="K201">
            <v>1080</v>
          </cell>
          <cell r="L201">
            <v>1172880</v>
          </cell>
        </row>
        <row r="202">
          <cell r="B202" t="str">
            <v>PART C: Provisional Sum</v>
          </cell>
          <cell r="H202">
            <v>450000</v>
          </cell>
          <cell r="J202">
            <v>606508.48</v>
          </cell>
          <cell r="L202">
            <v>606508.48</v>
          </cell>
        </row>
      </sheetData>
      <sheetData sheetId="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ow r="4">
          <cell r="B4" t="str">
            <v>Type-1</v>
          </cell>
          <cell r="C4">
            <v>0.8</v>
          </cell>
          <cell r="D4">
            <v>0.8</v>
          </cell>
          <cell r="E4">
            <v>1.1499999999999999</v>
          </cell>
          <cell r="F4">
            <v>14587.993257518739</v>
          </cell>
          <cell r="H4">
            <v>0</v>
          </cell>
        </row>
        <row r="5">
          <cell r="B5" t="str">
            <v>Type-2</v>
          </cell>
          <cell r="C5">
            <v>1</v>
          </cell>
          <cell r="D5">
            <v>0.8</v>
          </cell>
          <cell r="E5">
            <v>1.1499999999999999</v>
          </cell>
          <cell r="F5">
            <v>16522.052822836922</v>
          </cell>
          <cell r="G5">
            <v>9</v>
          </cell>
          <cell r="H5">
            <v>148698.47540553228</v>
          </cell>
        </row>
        <row r="6">
          <cell r="B6" t="str">
            <v>Type-3</v>
          </cell>
          <cell r="C6">
            <v>1.2</v>
          </cell>
          <cell r="D6">
            <v>1</v>
          </cell>
          <cell r="E6">
            <v>1.1499999999999999</v>
          </cell>
          <cell r="F6">
            <v>20726.262893018742</v>
          </cell>
          <cell r="G6">
            <v>6</v>
          </cell>
          <cell r="H6">
            <v>124357.57735811245</v>
          </cell>
        </row>
        <row r="7">
          <cell r="B7" t="str">
            <v>Type-4</v>
          </cell>
          <cell r="C7">
            <v>1.5</v>
          </cell>
          <cell r="D7">
            <v>1</v>
          </cell>
          <cell r="E7">
            <v>1.1499999999999999</v>
          </cell>
          <cell r="F7">
            <v>23879.420445655105</v>
          </cell>
          <cell r="G7">
            <v>8</v>
          </cell>
          <cell r="H7">
            <v>191035.36356524084</v>
          </cell>
        </row>
        <row r="8">
          <cell r="B8" t="str">
            <v>Type-5</v>
          </cell>
          <cell r="C8">
            <v>2</v>
          </cell>
          <cell r="D8">
            <v>1</v>
          </cell>
          <cell r="E8">
            <v>1.1499999999999999</v>
          </cell>
          <cell r="F8">
            <v>29134.683033382378</v>
          </cell>
          <cell r="G8">
            <v>3</v>
          </cell>
          <cell r="H8">
            <v>87404.049100147138</v>
          </cell>
        </row>
        <row r="9">
          <cell r="B9" t="str">
            <v>Type-6</v>
          </cell>
          <cell r="C9">
            <v>1.5</v>
          </cell>
          <cell r="D9">
            <v>1.2</v>
          </cell>
          <cell r="E9">
            <v>1.1499999999999999</v>
          </cell>
          <cell r="F9">
            <v>29134.683033382378</v>
          </cell>
          <cell r="H9">
            <v>0</v>
          </cell>
        </row>
        <row r="10">
          <cell r="B10" t="str">
            <v>Type-7</v>
          </cell>
          <cell r="C10">
            <v>2.5</v>
          </cell>
          <cell r="D10">
            <v>2</v>
          </cell>
          <cell r="E10">
            <v>1.1499999999999999</v>
          </cell>
          <cell r="F10">
            <v>42796.060767075563</v>
          </cell>
          <cell r="H10">
            <v>0</v>
          </cell>
        </row>
        <row r="11">
          <cell r="B11" t="str">
            <v>Type-8</v>
          </cell>
          <cell r="C11">
            <v>2</v>
          </cell>
          <cell r="D11">
            <v>2</v>
          </cell>
          <cell r="E11">
            <v>1.1499999999999999</v>
          </cell>
          <cell r="F11">
            <v>43846.344953155101</v>
          </cell>
          <cell r="H11">
            <v>0</v>
          </cell>
        </row>
        <row r="12">
          <cell r="B12" t="str">
            <v>Type-9</v>
          </cell>
          <cell r="C12">
            <v>2</v>
          </cell>
          <cell r="D12">
            <v>1.5</v>
          </cell>
          <cell r="E12">
            <v>1.1499999999999999</v>
          </cell>
          <cell r="F12">
            <v>36490.513993268745</v>
          </cell>
          <cell r="H12">
            <v>0</v>
          </cell>
        </row>
        <row r="13">
          <cell r="B13" t="str">
            <v>Type-10</v>
          </cell>
          <cell r="C13">
            <v>2.5</v>
          </cell>
          <cell r="D13">
            <v>1.5</v>
          </cell>
          <cell r="E13">
            <v>1.1499999999999999</v>
          </cell>
          <cell r="F13">
            <v>42796.060767075563</v>
          </cell>
          <cell r="G13">
            <v>1</v>
          </cell>
          <cell r="H13">
            <v>42796.060767075563</v>
          </cell>
        </row>
      </sheetData>
      <sheetData sheetId="12" refreshError="1"/>
      <sheetData sheetId="13" refreshError="1"/>
      <sheetData sheetId="14" refreshError="1"/>
      <sheetData sheetId="15">
        <row r="12">
          <cell r="A12" t="str">
            <v>1.1.a</v>
          </cell>
        </row>
      </sheetData>
      <sheetData sheetId="16"/>
      <sheetData sheetId="17"/>
      <sheetData sheetId="18" refreshError="1"/>
      <sheetData sheetId="19" refreshError="1"/>
      <sheetData sheetId="2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TRUCTIONS"/>
      <sheetName val="rates"/>
      <sheetName val="INPUT"/>
      <sheetName val="abs1"/>
      <sheetName val="summary"/>
      <sheetName val="temp"/>
      <sheetName val="Sheet1"/>
      <sheetName val="summary (2)"/>
    </sheetNames>
    <sheetDataSet>
      <sheetData sheetId="0"/>
      <sheetData sheetId="1">
        <row r="1">
          <cell r="A1" t="str">
            <v>sf]* g+=</v>
          </cell>
          <cell r="C1" t="str">
            <v>cfO^d  gDj/</v>
          </cell>
          <cell r="D1" t="str">
            <v>sfo{sf] ljj/)f</v>
          </cell>
          <cell r="E1" t="str">
            <v>PsfO{</v>
          </cell>
          <cell r="G1" t="str">
            <v>!%Ücf]=x]=tyf !)Üd"=c=s= afx]s</v>
          </cell>
          <cell r="H1" t="str">
            <v>!%Ücf]=x]= ;lxt tyf !)Ü d"=c=s= jfx]s ;Dk"0f{ b/</v>
          </cell>
          <cell r="I1" t="str">
            <v>s}lkmot</v>
          </cell>
        </row>
        <row r="2">
          <cell r="A2" t="str">
            <v>A1</v>
          </cell>
          <cell r="C2">
            <v>1.3</v>
          </cell>
          <cell r="D2" t="str">
            <v>jfSnf] emf/kft sf6\g] h/f lemSg] / lgdf{0f :ynjf6 @% ld= ;Dd jf]sfgL ug{] sfo{ -emf/kftsf] uf]nfO{ #) ;]=ld= ;Dd / !)) j=ld= If]qdf !% uf]6f emf/kft a'§fj'§L eGbf j9L_ .</v>
          </cell>
          <cell r="E2" t="str">
            <v>j=dL=</v>
          </cell>
          <cell r="G2">
            <v>4.3999999999999995</v>
          </cell>
          <cell r="H2">
            <v>5.0599999999999996</v>
          </cell>
        </row>
        <row r="3">
          <cell r="A3" t="str">
            <v>A2</v>
          </cell>
          <cell r="C3">
            <v>1.8</v>
          </cell>
          <cell r="D3" t="str">
            <v>dflyNnf] df6f] vGg] sfd lgdf{0f :ynjf6 aflx/ jf]sfgL ug{] ;d]t . - df6f]sf] txsf] df]6fO{ -!%–@)_;]=ld=_</v>
          </cell>
          <cell r="E3" t="str">
            <v>j=dL=</v>
          </cell>
          <cell r="G3">
            <v>17.599999999999998</v>
          </cell>
          <cell r="H3">
            <v>20.239999999999998</v>
          </cell>
        </row>
        <row r="4">
          <cell r="A4" t="str">
            <v>A3</v>
          </cell>
          <cell r="C4">
            <v>2.1</v>
          </cell>
          <cell r="D4" t="str">
            <v>g/d k|sf/sf] Sn] / l;N6L df6f]df ;a} lsl;dsf] vGg] sfd !) ld= ;Dd jf]sfgL / l8:kf]hn / !=% ld= ;Dd lnkm\6 ;d]t .</v>
          </cell>
          <cell r="E4" t="str">
            <v>#=dL=</v>
          </cell>
          <cell r="G4">
            <v>79.304347826086953</v>
          </cell>
          <cell r="H4">
            <v>91.2</v>
          </cell>
        </row>
        <row r="5">
          <cell r="A5" t="str">
            <v>A4</v>
          </cell>
          <cell r="C5">
            <v>2.2000000000000002</v>
          </cell>
          <cell r="D5" t="str">
            <v>;fx|f] k|sf/sf] g/d d'/d 9'Ëf -#) ;]=ld= ;Dd ldl;Psf] df6f]df ;a} lsl;dsf] vGg] sfd !)ld=;Dd jf]sfgL l8:kf]hn / !=% ld=lnkm\6 ;d]t.</v>
          </cell>
          <cell r="E5" t="str">
            <v>#=dL=</v>
          </cell>
          <cell r="G5">
            <v>90.643478260869571</v>
          </cell>
          <cell r="H5">
            <v>104.24</v>
          </cell>
        </row>
        <row r="6">
          <cell r="A6" t="str">
            <v>A5</v>
          </cell>
          <cell r="C6">
            <v>2.9</v>
          </cell>
          <cell r="D6" t="str">
            <v>g/d df6f]df vfN8f] vGg] sfd !) ld= ;Dd jf]sfgL l8:kf]hn / !=% ld= lnkm\6 sf] ;'ljwf ;d]t .</v>
          </cell>
          <cell r="E6" t="str">
            <v>#=dL=</v>
          </cell>
          <cell r="G6">
            <v>113.29565217391304</v>
          </cell>
          <cell r="H6">
            <v>130.29</v>
          </cell>
        </row>
        <row r="7">
          <cell r="A7" t="str">
            <v>A6</v>
          </cell>
          <cell r="C7">
            <v>2.12</v>
          </cell>
          <cell r="D7" t="str">
            <v>;fx|f] df6f]df l8r sl6Ë ug{] sfd !) ld= ;Dd jf]sfgL l8:kf]hn / !=% ld= lnkm\6sf] ;'ljwf ;d]t.</v>
          </cell>
          <cell r="E7" t="str">
            <v>#=dL=</v>
          </cell>
          <cell r="G7">
            <v>141.63</v>
          </cell>
          <cell r="H7">
            <v>162.87</v>
          </cell>
        </row>
        <row r="8">
          <cell r="A8" t="str">
            <v>A7</v>
          </cell>
          <cell r="C8">
            <v>2.14</v>
          </cell>
          <cell r="D8" t="str">
            <v>hu , 9n , kfO{k nfO{gsf] nflu -af]N8/ ldl;Psf]_ df6f]df vfN8f] vGg]] sfd  !) ld= ;Dd jf]sfgL l8:kf]hn / !=% ld= lnkm\6sf] ;'ljwf ;d]t.</v>
          </cell>
          <cell r="E8" t="str">
            <v>#=dL=</v>
          </cell>
          <cell r="G8">
            <v>180.14782608695651</v>
          </cell>
          <cell r="H8">
            <v>207.17</v>
          </cell>
        </row>
        <row r="9">
          <cell r="A9" t="str">
            <v>A8</v>
          </cell>
          <cell r="C9" t="str">
            <v>2.17-s_</v>
          </cell>
          <cell r="D9" t="str">
            <v>df6f]df afS;f sf6\g] sfd !) ld= af]sfgL l8:kf]hn / !=% ld= lnkm\6 ;'ljwf -s_ g/d df6f] .</v>
          </cell>
          <cell r="E9" t="str">
            <v>#=dL=</v>
          </cell>
          <cell r="G9">
            <v>88.365217391304341</v>
          </cell>
          <cell r="H9">
            <v>101.62</v>
          </cell>
        </row>
        <row r="10">
          <cell r="A10" t="str">
            <v>A9</v>
          </cell>
          <cell r="C10" t="str">
            <v>2.17-v_</v>
          </cell>
          <cell r="D10" t="str">
            <v>df6f]df afS;f sf6\g] sfd !) ld= af]sfgL l8:kf]hn / !=% ld= lnkm\6 ;'ljwf -s_ ;fx|f] df6f] .</v>
          </cell>
          <cell r="E10" t="str">
            <v>#=dL=</v>
          </cell>
          <cell r="G10">
            <v>106.49565217391304</v>
          </cell>
          <cell r="H10">
            <v>122.47</v>
          </cell>
        </row>
        <row r="11">
          <cell r="A11" t="str">
            <v>A10</v>
          </cell>
          <cell r="C11">
            <v>2.2200000000000002</v>
          </cell>
          <cell r="D11" t="str">
            <v>sd ulx/f] kfgLdf ;fx|f] df6f]];+u !) ;]=dL= eGbf a9L Aof;sf] u|fe]n ldl;Psf] df6f]df  hu vGg] sfd !) ld= ;Dd jf]sfgL l8:kf]hn / !=% ld= lnkm\6 ;d]t .</v>
          </cell>
          <cell r="E11" t="str">
            <v>#=dL=</v>
          </cell>
          <cell r="G11">
            <v>283.24347826086955</v>
          </cell>
          <cell r="H11">
            <v>325.73</v>
          </cell>
        </row>
        <row r="12">
          <cell r="A12" t="str">
            <v>A11</v>
          </cell>
          <cell r="C12">
            <v>2.23</v>
          </cell>
          <cell r="D12" t="str">
            <v>sd ulx/f] kfgLdf ;fx|f] df6f]];+u !) ;]=dL= eGbf sd Aof;sf] u|fe]n ldl;Psf] df6f]df hu vGg] sfd !) ld= ;Dd jf]sfgL l8:kf]hn / !=% ld= lnkm\6 ;d]t .</v>
          </cell>
          <cell r="E12" t="str">
            <v>#=dL=</v>
          </cell>
          <cell r="G12">
            <v>260.5826086956522</v>
          </cell>
          <cell r="H12">
            <v>299.67</v>
          </cell>
        </row>
        <row r="13">
          <cell r="A13" t="str">
            <v>A12</v>
          </cell>
          <cell r="C13" t="str">
            <v>2.24-s_</v>
          </cell>
          <cell r="D13" t="str">
            <v>kfgL d'gL af]N8/ / u|fe]ndf  hu vGg] sfd !) ld= ;Dd jf]sfgL l8:kf]hn -s_ !=)dL= ulx/f] vgfO{ / $=) ld= lnkm\6 ;d]t .</v>
          </cell>
          <cell r="E13" t="str">
            <v>#=dL=</v>
          </cell>
          <cell r="G13">
            <v>397.67826086956524</v>
          </cell>
          <cell r="H13">
            <v>457.33</v>
          </cell>
        </row>
        <row r="14">
          <cell r="A14" t="str">
            <v>A13</v>
          </cell>
          <cell r="C14" t="str">
            <v>2.24-v_</v>
          </cell>
          <cell r="D14" t="str">
            <v>kfgL d'gL af]N8/ / u|fe]ndf  hu vGg] sfd !) ld= ;Dd jf]sfgL l8:kf]hn -s_ @=)dL= ulx/f] vgfO{ / $=) ld= lnkm\6 ;d]t .</v>
          </cell>
          <cell r="E14" t="str">
            <v>#=dL=</v>
          </cell>
          <cell r="G14">
            <v>407.87826086956522</v>
          </cell>
          <cell r="H14">
            <v>469.06</v>
          </cell>
        </row>
        <row r="15">
          <cell r="A15" t="str">
            <v>A14</v>
          </cell>
          <cell r="C15" t="str">
            <v>2.25-s_</v>
          </cell>
          <cell r="D15" t="str">
            <v>;fdfGo df6f]n] k'g{] sfd !%.!% ;]=ld=sf] txdf km}nfpg] kfgL 5l/sg / HofdL 4f/f sDk]S6]8 ug{] sfd ;d]t !) ld= b'/Ljf6 cf];fg{] .</v>
          </cell>
          <cell r="E15" t="str">
            <v>#=dL=</v>
          </cell>
          <cell r="G15">
            <v>56.643478260869564</v>
          </cell>
          <cell r="H15">
            <v>65.14</v>
          </cell>
        </row>
        <row r="16">
          <cell r="A16" t="str">
            <v>A15</v>
          </cell>
          <cell r="C16" t="str">
            <v>2.25-v_</v>
          </cell>
          <cell r="D16" t="str">
            <v>;fdfGo df6f]n] k'g{] sfd !%.!% ;]=ld= sf] txdf km}nfpg] -kfgL gs5l/sg_ / HofdL 4f/f sDk]S6]8 ug{] sfd ;d]t .</v>
          </cell>
          <cell r="E16" t="str">
            <v>#=dL=</v>
          </cell>
          <cell r="G16">
            <v>28.321739130434782</v>
          </cell>
          <cell r="H16">
            <v>32.57</v>
          </cell>
        </row>
        <row r="17">
          <cell r="A17" t="str">
            <v>A16</v>
          </cell>
          <cell r="C17">
            <v>2.29</v>
          </cell>
          <cell r="D17" t="str">
            <v>;fdfGo df6f]df sd ulx/f] kfgLdf hu vGg] sfd !) ld= ;Dd jf]sfgL l8:kf]hn / !=% ld= lnkm\6 ;d]t .</v>
          </cell>
          <cell r="E17" t="str">
            <v>#=dL=</v>
          </cell>
          <cell r="G17">
            <v>254.92173913043482</v>
          </cell>
          <cell r="H17">
            <v>293.16000000000003</v>
          </cell>
        </row>
        <row r="18">
          <cell r="A18" t="str">
            <v>A17</v>
          </cell>
          <cell r="C18">
            <v>2.3199999999999998</v>
          </cell>
          <cell r="D18" t="str">
            <v>ulx/f] kfgLdf hu vGbf ;f]l/+u / Kn]ls+usf] nflu yk   ;d]t .</v>
          </cell>
          <cell r="E18" t="str">
            <v>#=dL=</v>
          </cell>
          <cell r="G18">
            <v>55.643478260869564</v>
          </cell>
          <cell r="H18">
            <v>63.99</v>
          </cell>
        </row>
        <row r="19">
          <cell r="A19" t="str">
            <v>A18</v>
          </cell>
          <cell r="C19" t="str">
            <v>2.39-u_ / 2.17 -v_ tyf 21.1</v>
          </cell>
          <cell r="D19" t="str">
            <v>kfO{knfO{g 6]Grsf] vfN8f]df s8f df6f]n] k'g{] sfd k|To]s @).@) ;]=ld= sf] ux/fO{ txdf km}nfpg] ,kfgL ;d]t 5l/sg a]Gr 4f/f sDk]S6]8 ug{] sfd ;d]t .u_ s8f df6f] - s8f df6f] vGg] / 6«s 4f/f ! ls=dL=9'jfgL ;d]t _</v>
          </cell>
          <cell r="E19" t="str">
            <v>#=dL=</v>
          </cell>
          <cell r="G19">
            <v>297.53913043478263</v>
          </cell>
          <cell r="H19">
            <v>342.17</v>
          </cell>
        </row>
        <row r="20">
          <cell r="A20" t="str">
            <v>A19</v>
          </cell>
          <cell r="C20" t="str">
            <v>2.39-u_ / 2.17 -v_ tyf 21.1</v>
          </cell>
          <cell r="D20" t="str">
            <v>kfO{knfO{g 6]Grsf] vfN8f]df s8f df6f]n] k'g{] sfd k|To]s @).@) ;]=ld= sf] ux/fO{ txdf km}nfpg] ,kfgL ;d]t 5l/sg a]Gr 4f/f sDk]S6]8 ug{] sfd ;d]t .-u_ s8f df6f] -s8f df6f] vGg] / 6«s 4f/f @ ls=dL 9'jfgL ;d]t _</v>
          </cell>
          <cell r="E20" t="str">
            <v>#=dL=</v>
          </cell>
          <cell r="G20">
            <v>314.8</v>
          </cell>
          <cell r="H20">
            <v>362.02</v>
          </cell>
        </row>
        <row r="21">
          <cell r="A21" t="str">
            <v>A20</v>
          </cell>
          <cell r="C21" t="str">
            <v>2.39-u_ / 2.17 -v_ tyf 21.1</v>
          </cell>
          <cell r="D21" t="str">
            <v>kfO{knfO{g 6]Grsf] vfN8f]df s8f df6f]n] k'g{] sfd k|To]s @).@) ;]=ld= sf] ux/fO{ txdf km}nfpg] ,kfgL ;d]t 5l/sg a]Gr 4f/f sDk]S6]8 ug{] sfd ;d]t .-u_ s8f df6f] - s8f df6f] vGg] / 6«s 4f/f %ls=dL 9'jfgL ;d]t _</v>
          </cell>
          <cell r="E21" t="str">
            <v>#=dL=</v>
          </cell>
          <cell r="G21">
            <v>366.54782608695655</v>
          </cell>
          <cell r="H21">
            <v>421.53</v>
          </cell>
        </row>
        <row r="22">
          <cell r="A22" t="str">
            <v>A21</v>
          </cell>
          <cell r="C22" t="str">
            <v>2.39-u_,    3-3_/    21.3</v>
          </cell>
          <cell r="D22" t="str">
            <v>kfO{knfO{g 6«]Grsf] vfN8f]df s8f df6f]n] k'g{] sfd k|To]s @).@) ;]=ld= sf] ux/fO{ txdf km}nfpg] ,kfgL ;d]t 5l/sg a]Gr 4f/f sDk]S6]8 ug{] sfd ;d]t . -3_ uf|e]n / af]N8/ ldl;Psf] - uf|e]n / af]N8/ ldl;Psf] df6f] vGg] / 6«s 4f/f @) ls=dL 9'jfgL ;d]t _</v>
          </cell>
          <cell r="E22" t="str">
            <v>#=dL=</v>
          </cell>
          <cell r="G22">
            <v>796.02608695652179</v>
          </cell>
          <cell r="H22">
            <v>915.43</v>
          </cell>
        </row>
        <row r="23">
          <cell r="A23" t="str">
            <v>A22</v>
          </cell>
          <cell r="C23">
            <v>2.42</v>
          </cell>
          <cell r="D23" t="str">
            <v>jfn'jfn] eg{] / kfgL 5g{] / HofdL 4f/f sDk]S6]8 ug{] sfd -!) ld= 9'jfgL ;d]t . tyf 6«s 4f/f  @) ls=dL 9'jfgL ;d]t .</v>
          </cell>
          <cell r="E23" t="str">
            <v>#=dL=</v>
          </cell>
          <cell r="G23">
            <v>918.46956521739128</v>
          </cell>
          <cell r="H23">
            <v>1056.24</v>
          </cell>
        </row>
        <row r="24">
          <cell r="A24" t="str">
            <v>A23</v>
          </cell>
          <cell r="C24" t="str">
            <v>3.1-v_</v>
          </cell>
          <cell r="D24" t="str">
            <v>afn'jfsf] ;+sng, 5fGg] sfd / pknJw ug{] sfd -!) ld= 9'jfgL_ -v_ vfgL Ifdtf #! b]lv %) k|ltzt ;Dd .</v>
          </cell>
          <cell r="E24" t="str">
            <v>#=dL=</v>
          </cell>
          <cell r="G24">
            <v>379.49565217391302</v>
          </cell>
          <cell r="H24">
            <v>436.42</v>
          </cell>
        </row>
        <row r="25">
          <cell r="A25" t="str">
            <v>A24</v>
          </cell>
          <cell r="C25" t="str">
            <v>3.2-s_</v>
          </cell>
          <cell r="D25" t="str">
            <v>u|fe]n ;+sng, 5fGg] sfd :6s ug{] / pknJw ug{] sfd -!) ld= 9'jfgL_ -s_ % ldld b]lv &amp;) ldld dfyL .</v>
          </cell>
          <cell r="E25" t="str">
            <v>#=dL=</v>
          </cell>
          <cell r="G25">
            <v>275</v>
          </cell>
          <cell r="H25">
            <v>316.25</v>
          </cell>
        </row>
        <row r="26">
          <cell r="A26" t="str">
            <v>A25</v>
          </cell>
          <cell r="C26">
            <v>3.4</v>
          </cell>
          <cell r="D26" t="str">
            <v>cfjZos ;fOhsf] 9'Ëf-?an_sf] ;+sng / :6]lsË !) ld=sf] 9'jfgL ;d]t.</v>
          </cell>
          <cell r="E26" t="str">
            <v>#=dL=</v>
          </cell>
          <cell r="G26">
            <v>154</v>
          </cell>
          <cell r="H26">
            <v>177.1</v>
          </cell>
        </row>
        <row r="27">
          <cell r="A27" t="str">
            <v>A26</v>
          </cell>
          <cell r="C27" t="str">
            <v>3.11/3.4</v>
          </cell>
          <cell r="D27" t="str">
            <v>cfjZos ;fOhsf] 9'Ëf -/a'n_ agfpg]  l5g'4f/f km'6fpg] -af]N8/_ , v:;|f] agfpg] -lagf Anf:6LËsf]_, Ps ;fO8 8«\];LË ug{]  , :6s ug{] ;d]t / ;+sng / :6]lsË !) ld= sf] 9'jfgL ;d]t .</v>
          </cell>
          <cell r="E27" t="str">
            <v>#=dL=</v>
          </cell>
          <cell r="G27">
            <v>355.62608695652176</v>
          </cell>
          <cell r="H27">
            <v>408.97</v>
          </cell>
        </row>
        <row r="28">
          <cell r="A28" t="str">
            <v>A27</v>
          </cell>
          <cell r="C28">
            <v>19.100000000000001</v>
          </cell>
          <cell r="D28" t="str">
            <v>df6f]df hf]8]sf uf/f]] eTsfO{ To;jf6 cfPsf] ;fdfu|L !) dL= ;Dd x6fpg] sfd .</v>
          </cell>
          <cell r="E28" t="str">
            <v>#=dL=</v>
          </cell>
          <cell r="G28">
            <v>355.62608695652176</v>
          </cell>
          <cell r="H28">
            <v>408.97</v>
          </cell>
        </row>
        <row r="29">
          <cell r="A29" t="str">
            <v>A28</v>
          </cell>
          <cell r="C29">
            <v>19.2</v>
          </cell>
          <cell r="D29" t="str">
            <v>l;d]G6df jf ah|df hf]8]sf uf/f]] eTsfO{ To;jf6 cfPsf] ;fdfu|L !) dL= ;Dd x6fpg] sfd .</v>
          </cell>
          <cell r="E29" t="str">
            <v>#=dL=</v>
          </cell>
          <cell r="G29">
            <v>233.2</v>
          </cell>
          <cell r="H29">
            <v>268.18</v>
          </cell>
        </row>
        <row r="30">
          <cell r="A30" t="str">
            <v>A29</v>
          </cell>
          <cell r="C30">
            <v>19.3</v>
          </cell>
          <cell r="D30" t="str">
            <v>cf/=l;=l;= jf cf/=la=l;= hf]8]sf]  eTsfO{ To;jf6 cfPsf] ;fdfu|L !) dL= ;Dd x6fpg] sfd .</v>
          </cell>
          <cell r="E30" t="str">
            <v>#=dL=</v>
          </cell>
          <cell r="G30">
            <v>1210</v>
          </cell>
          <cell r="H30">
            <v>1391.5</v>
          </cell>
        </row>
        <row r="31">
          <cell r="A31" t="str">
            <v>A30</v>
          </cell>
          <cell r="C31">
            <v>19.399999999999999</v>
          </cell>
          <cell r="D31" t="str">
            <v>Kn]g l;d]G6 s+s[6df jf ah| s+s[{6df hf]8]sf  eTsfO{ To;jf6 cfPsf] ;fdfu|L !) dL= ;Dd x6fpg] sfd .</v>
          </cell>
          <cell r="E31" t="str">
            <v>#=dL=</v>
          </cell>
          <cell r="G31">
            <v>440</v>
          </cell>
          <cell r="H31">
            <v>506</v>
          </cell>
        </row>
        <row r="32">
          <cell r="A32" t="str">
            <v>A31</v>
          </cell>
          <cell r="C32">
            <v>19.5</v>
          </cell>
          <cell r="D32" t="str">
            <v>l;d]G6 jf ah| Knf:6/ eTsfO{ To;jf6 cfPsf] ;fdfu|L !) dL= ;Dd x6fpg] sfd .</v>
          </cell>
          <cell r="E32" t="str">
            <v>a=dL=</v>
          </cell>
          <cell r="G32">
            <v>11.878260869565217</v>
          </cell>
          <cell r="H32">
            <v>13.66</v>
          </cell>
        </row>
        <row r="33">
          <cell r="A33" t="str">
            <v>A32</v>
          </cell>
          <cell r="D33" t="str">
            <v>ljleGg sfd ubf{ ;fO6df y"lk|g cfPsf] 9"+uf df6f] lgb]{zg cg";f/ ;fO6af6 @ ls=dL= ;Dd 9"jfgL u/L kmfNg] sfd .</v>
          </cell>
          <cell r="E33" t="str">
            <v>#=dL=</v>
          </cell>
          <cell r="G33">
            <v>142.1</v>
          </cell>
          <cell r="H33">
            <v>0</v>
          </cell>
        </row>
        <row r="34">
          <cell r="A34" t="str">
            <v>A33</v>
          </cell>
          <cell r="D34" t="str">
            <v xml:space="preserve">g/d k|sf/sf] Sn] / l;N6L df6f] vgL cf}= % ls=dL= af6 9"jfgL u/L NofO{ !%÷!% ;]=dL= sf] txdf km}nfO{ kfgL 5/L HofdLåf/f sDk}S6 ug]{ sfd . </v>
          </cell>
          <cell r="E34" t="str">
            <v>#=dL=</v>
          </cell>
          <cell r="G34">
            <v>0</v>
          </cell>
          <cell r="H34">
            <v>0</v>
          </cell>
        </row>
        <row r="35">
          <cell r="A35" t="str">
            <v>A34</v>
          </cell>
          <cell r="D35" t="str">
            <v>g/d k|sf/sf] Sn] / l;N6L df6f] vgL cf}= @ ls=dL=af6 6«såf/f 9'jfgL u/L NofO{ tx txdf km}nfO{ kfgL 5sL{ HofdLåf/f sDk}S6 ug]{ sfd .</v>
          </cell>
          <cell r="E35" t="str">
            <v>#=dL=</v>
          </cell>
          <cell r="G35">
            <v>278.06</v>
          </cell>
          <cell r="H35">
            <v>0</v>
          </cell>
        </row>
        <row r="36">
          <cell r="A36" t="str">
            <v>A35</v>
          </cell>
          <cell r="D36" t="str">
            <v>af]N8/ ldl;Psf] df6f] vgL, 9'jfgL u/L NofO{ tx txdf k'/L kfgL 5sL{ /f]lnª u/L ;8s lgdf{0f ug]{ sfd</v>
          </cell>
          <cell r="E36" t="str">
            <v>#=dL=</v>
          </cell>
          <cell r="G36">
            <v>296.7217391304348</v>
          </cell>
          <cell r="H36">
            <v>341.23</v>
          </cell>
        </row>
        <row r="37">
          <cell r="A37" t="str">
            <v>A36</v>
          </cell>
          <cell r="D37" t="str">
            <v>g/d k|sf/sf] r6[fgdf ;a} lsl;dsf] vGg] sfd</v>
          </cell>
          <cell r="E37" t="str">
            <v>#=dL=</v>
          </cell>
          <cell r="G37">
            <v>283.24347826086955</v>
          </cell>
          <cell r="H37">
            <v>325.73</v>
          </cell>
        </row>
        <row r="38">
          <cell r="A38" t="str">
            <v>A37</v>
          </cell>
          <cell r="D38" t="str">
            <v>dWod k|sf/sf] r6[fgdf ;a} lsl;dsf] vGg] sfd</v>
          </cell>
          <cell r="E38" t="str">
            <v>#=dL=</v>
          </cell>
          <cell r="G38">
            <v>339.89565217391305</v>
          </cell>
          <cell r="H38">
            <v>390.88</v>
          </cell>
        </row>
        <row r="39">
          <cell r="A39" t="str">
            <v>A38</v>
          </cell>
          <cell r="D39" t="str">
            <v>s8f r6[fg -l5gf] gnufOsg_ df ;a} lsl;dsf] vGg] sfd</v>
          </cell>
          <cell r="E39" t="str">
            <v>#=dL=</v>
          </cell>
          <cell r="G39">
            <v>566.49565217391307</v>
          </cell>
          <cell r="H39">
            <v>651.47</v>
          </cell>
        </row>
        <row r="40">
          <cell r="A40" t="str">
            <v>A39</v>
          </cell>
          <cell r="D40" t="str">
            <v>s8f r6[fg -l5gf] nufpg' kg]{_ df ;a} lsl;dsf] vGg] sfd</v>
          </cell>
          <cell r="E40" t="str">
            <v>#=dL=</v>
          </cell>
          <cell r="G40">
            <v>2741.8608695652174</v>
          </cell>
          <cell r="H40">
            <v>3153.14</v>
          </cell>
        </row>
        <row r="41">
          <cell r="A41" t="str">
            <v>B1</v>
          </cell>
          <cell r="C41" t="str">
            <v>5.1-s_1</v>
          </cell>
          <cell r="D41" t="str">
            <v>!M# l;d]G6 jfn'jf d;nfdf O{6fsf] uf/f]sf] sfd, O{6f pknAw ug{], d;nf tof/ ug{], d;nfdf uf/f] nufpg] sfd k"/f -#) ld= ;Dd, 9'jfgL ;d]t_ d]lzgjf6 ag]sf]</v>
          </cell>
          <cell r="E41" t="str">
            <v>#=dL=</v>
          </cell>
          <cell r="G41">
            <v>3683.8173913043483</v>
          </cell>
          <cell r="H41">
            <v>4236.3900000000003</v>
          </cell>
        </row>
        <row r="42">
          <cell r="A42" t="str">
            <v>B2</v>
          </cell>
          <cell r="C42" t="str">
            <v>5.1-s_2</v>
          </cell>
          <cell r="D42" t="str">
            <v>!M$ l;d]G6 jfn'jf d;nfdf O{6fsf] uf/f]sf] sfd, O{6f pknAw ug{], d;nf tof/ ug{], d;nfdf uf/f] nufpg] sfd k"/f -#) ld= ;Dd, 9'jfgL ;d]t_ d]lzgjf6 ag]sf]</v>
          </cell>
          <cell r="E42" t="str">
            <v>#=dL=</v>
          </cell>
          <cell r="G42">
            <v>3501.0173913043477</v>
          </cell>
          <cell r="H42">
            <v>4026.17</v>
          </cell>
        </row>
        <row r="43">
          <cell r="A43" t="str">
            <v>B3</v>
          </cell>
          <cell r="C43" t="str">
            <v>5.1-s_3</v>
          </cell>
          <cell r="D43" t="str">
            <v>!M^ l;d]G6 jfn'jf d;nfdf O{6fsf] uf/f]sf] sfd, O{6f pknAw ug{], d;nf tof/ ug{], d;nfdf uf/f] nufpg] sfd k"/f -#) ld= ;Dd, 9'jfgL ;d]t_ d]lzgjf6 ag]sf]</v>
          </cell>
          <cell r="E43" t="str">
            <v>#=dL=</v>
          </cell>
          <cell r="G43">
            <v>3351.1565217391303</v>
          </cell>
          <cell r="H43">
            <v>3853.83</v>
          </cell>
        </row>
        <row r="44">
          <cell r="A44" t="str">
            <v>B4</v>
          </cell>
          <cell r="C44" t="str">
            <v>5.1-v_1</v>
          </cell>
          <cell r="D44" t="str">
            <v>lrDgL e§fsf] O{6f4f/f !M# l;d]G6 jfn'jf d;nfdf O{6fsf] uf/f]sf] sfd, O{6f pknAw ug{], d;nf tof/ ug{], d;nfdf uf/f] nufpg] sfd k"/f    -#) ld= ;Dd, 9'jfgL ;d]t_</v>
          </cell>
          <cell r="E44" t="str">
            <v>#=dL=</v>
          </cell>
          <cell r="G44">
            <v>3214.4869565217391</v>
          </cell>
          <cell r="H44">
            <v>3696.66</v>
          </cell>
        </row>
        <row r="45">
          <cell r="A45" t="str">
            <v>B5</v>
          </cell>
          <cell r="C45" t="str">
            <v>5.1-v_2</v>
          </cell>
          <cell r="D45" t="str">
            <v>lrDgL e§fsf] O{6f4f/f !M$ l;d]G6 jfn'jf d;nfdf O{6fsf] uf/f]sf] sfd, O{6f pknAw ug{], d;nf tof/ ug{], d;nfdf uf/f] nufpg] sfd k"/f    -#) ld= ;Dd, 9'jfgL ;d]t_</v>
          </cell>
          <cell r="E45" t="str">
            <v>#=dL=</v>
          </cell>
          <cell r="G45">
            <v>3043.84</v>
          </cell>
          <cell r="H45">
            <v>3500.41</v>
          </cell>
        </row>
        <row r="46">
          <cell r="A46" t="str">
            <v>B6</v>
          </cell>
          <cell r="C46" t="str">
            <v>5.1-v_3</v>
          </cell>
          <cell r="D46" t="str">
            <v>lrDgL e§fsf] O{6f4f/f !M^ l;d]G6 jfn'jf d;nfdf O{6fsf] uf/f]sf] sfd, O{6f pknAw ug{], d;nf tof/ ug{], d;nfdf uf/f] nufpg] sfd k"/f    -#) ld= ;Dd, 9'jfgL ;d]t_</v>
          </cell>
          <cell r="E46" t="str">
            <v>#=dL=</v>
          </cell>
          <cell r="G46">
            <v>2886.3217391304347</v>
          </cell>
          <cell r="H46">
            <v>3319.27</v>
          </cell>
        </row>
        <row r="47">
          <cell r="A47" t="str">
            <v>B7</v>
          </cell>
          <cell r="C47" t="str">
            <v>11.15-s_</v>
          </cell>
          <cell r="D47" t="str">
            <v>r]K6f] kl§jf6 ;'Vvf O{6f 5fKg] sfd -lrDgL e§f_</v>
          </cell>
          <cell r="E47" t="str">
            <v>j=dL=</v>
          </cell>
          <cell r="G47">
            <v>216.11</v>
          </cell>
          <cell r="H47">
            <v>248.53</v>
          </cell>
        </row>
        <row r="48">
          <cell r="A48" t="str">
            <v>B8</v>
          </cell>
          <cell r="C48" t="str">
            <v>11.15-s_</v>
          </cell>
          <cell r="D48" t="str">
            <v>r]K6f] kl§jf6 ;'Vvf O{6f 5fKg] sfd -d]zLg d]8_</v>
          </cell>
          <cell r="E48" t="str">
            <v>j=dL=</v>
          </cell>
          <cell r="G48">
            <v>2601.913043478261</v>
          </cell>
          <cell r="H48">
            <v>2992.2</v>
          </cell>
        </row>
        <row r="49">
          <cell r="A49" t="str">
            <v>B9</v>
          </cell>
          <cell r="C49" t="str">
            <v>11.15-v_</v>
          </cell>
          <cell r="D49" t="str">
            <v>7f8f] kl§jf6 ;'Vvf O{6f 5fKg] sfd -d]zLg d]8_</v>
          </cell>
          <cell r="E49" t="str">
            <v>j=dL=</v>
          </cell>
          <cell r="G49">
            <v>4233.1826086956526</v>
          </cell>
          <cell r="H49">
            <v>4868.16</v>
          </cell>
        </row>
        <row r="50">
          <cell r="A50" t="str">
            <v>B10</v>
          </cell>
          <cell r="C50" t="str">
            <v>11.15-v_</v>
          </cell>
          <cell r="D50" t="str">
            <v>7f8f] kl§jf6 ;'Vvf O{6f 5fKg] sfd -lrDgL e§f_</v>
          </cell>
          <cell r="E50" t="str">
            <v>j=dL=</v>
          </cell>
          <cell r="G50">
            <v>3446.0695652173913</v>
          </cell>
          <cell r="H50">
            <v>3962.98</v>
          </cell>
        </row>
        <row r="51">
          <cell r="A51" t="str">
            <v>B11</v>
          </cell>
          <cell r="C51" t="str">
            <v>15.25-v_</v>
          </cell>
          <cell r="D51" t="str">
            <v>5]pjf6 78\fOPsf] -@%) ldld prfO{ u/L_ O{6fn] PlhË ug{] sfo{ . -d]zLg d]8_</v>
          </cell>
          <cell r="E51" t="str">
            <v>j=dL=</v>
          </cell>
          <cell r="G51">
            <v>77.513043478260869</v>
          </cell>
          <cell r="H51">
            <v>89.14</v>
          </cell>
        </row>
        <row r="52">
          <cell r="A52" t="str">
            <v>B12</v>
          </cell>
          <cell r="C52" t="str">
            <v>15.25-v_</v>
          </cell>
          <cell r="D52" t="str">
            <v>5]pjf6 78\fOPsf] -@%) ldld prfO{ u/L_ O{6fn] PlhË ug{] sfo{ . -lrDgL e§f_</v>
          </cell>
          <cell r="E52" t="str">
            <v>j=dL=</v>
          </cell>
          <cell r="G52">
            <v>59.678260869565214</v>
          </cell>
          <cell r="H52">
            <v>68.63</v>
          </cell>
        </row>
        <row r="53">
          <cell r="A53" t="str">
            <v>B13</v>
          </cell>
          <cell r="C53" t="str">
            <v>15.27-s_</v>
          </cell>
          <cell r="D53" t="str">
            <v>O{6fsf] k]ed]G6————O{6fsf] hf]gL{df !M^ l;d]G6 d;nfdf 3';fO{ ghLs 6Ff;L ldnfpg] sfo{ . -s_ Ps Ps ul/ r]K6f] kfl/ k]ed]G6 ug]{  -d]zLg d]8_</v>
          </cell>
          <cell r="E53" t="str">
            <v>j=dL=</v>
          </cell>
          <cell r="G53">
            <v>262.73913043478257</v>
          </cell>
          <cell r="H53">
            <v>302.14999999999998</v>
          </cell>
        </row>
        <row r="54">
          <cell r="A54" t="str">
            <v>B14</v>
          </cell>
          <cell r="C54" t="str">
            <v>15.27-v_</v>
          </cell>
          <cell r="D54" t="str">
            <v>O{6fsf] k]ed]G6————O{6fsf] hf]gL{df !M^ l;d]G6 d;nfdf 3';fO{ ghLs 6Ff;L ldnfpg] sfo{ . -s_ Ps Ps ul/ ;fO{8af6 78ofO{ k]ed]G6 ug]{  -d]zLg d]8_</v>
          </cell>
          <cell r="E54" t="str">
            <v>j=dL=</v>
          </cell>
          <cell r="G54">
            <v>440.57391304347829</v>
          </cell>
          <cell r="H54">
            <v>506.66</v>
          </cell>
        </row>
        <row r="55">
          <cell r="A55" t="str">
            <v>C1</v>
          </cell>
          <cell r="C55" t="str">
            <v>6.1-2_</v>
          </cell>
          <cell r="D55" t="str">
            <v>!M$ l;d]G6 jfn'jf d;nfdf 9'Ëfsf] -/a'n Ps v08 8«]l;Ë ;d]]t_ uf/f]sf] sfd, ;fx|f] Jns :6f]g pknAw ug{], d;nf tof/ ug{], d;nfdf uf/f] nufpg], ^ ld= prfO ;Dd sfd k"/f !) ld= ;Dd, 9'jfgL ;d]t .</v>
          </cell>
          <cell r="E55" t="str">
            <v>#=dL=</v>
          </cell>
          <cell r="G55">
            <v>3476.85</v>
          </cell>
          <cell r="H55">
            <v>3998.38</v>
          </cell>
        </row>
        <row r="56">
          <cell r="A56" t="str">
            <v>C2</v>
          </cell>
          <cell r="C56" t="str">
            <v>6.2-1_</v>
          </cell>
          <cell r="D56" t="str">
            <v>9'+Ëf -/a'n_ sf] ;'Vvf uf/f]sf] sfd, ;fx|f] Ans :6f]g pknJw ug{], uf/f] nufpg], % ld= prfO ;Dd sfd k"/f -#) ld= ;Dd 9'jfgL ;d]t_</v>
          </cell>
          <cell r="E56" t="str">
            <v>#=dL=</v>
          </cell>
          <cell r="G56">
            <v>1591.0347826086957</v>
          </cell>
          <cell r="H56">
            <v>1829.69</v>
          </cell>
        </row>
        <row r="57">
          <cell r="A57" t="str">
            <v>C3</v>
          </cell>
          <cell r="C57">
            <v>6.5</v>
          </cell>
          <cell r="D57" t="str">
            <v>husf] vfN8f]df 9'+Ëf eg{] / n]en ug{] sfd -#) ld= ;Ddsf] 9'jgL ;d]t_</v>
          </cell>
          <cell r="E57" t="str">
            <v>#=dL=</v>
          </cell>
          <cell r="G57">
            <v>1351.04</v>
          </cell>
          <cell r="H57">
            <v>1553.69</v>
          </cell>
        </row>
        <row r="58">
          <cell r="A58" t="str">
            <v>C4</v>
          </cell>
          <cell r="C58">
            <v>11.16</v>
          </cell>
          <cell r="D58" t="str">
            <v>;'Vvf 9'Ëf 5fKg] sfd .</v>
          </cell>
          <cell r="E58" t="str">
            <v>#=dL=</v>
          </cell>
          <cell r="G58">
            <v>2512.0347826086959</v>
          </cell>
          <cell r="H58">
            <v>2888.84</v>
          </cell>
        </row>
        <row r="59">
          <cell r="A59" t="str">
            <v>C5</v>
          </cell>
          <cell r="C59" t="str">
            <v>15.1-v_</v>
          </cell>
          <cell r="D59" t="str">
            <v>!M$ l;d]G6 d;nfdf 9'+uf -/a'n_ af6 l;d]G6 d;nfdf uf/f]df ;8s 5]psf] 9n agfpg] sfd dfn ;fdfg pknJw ug{], uf/f] cflb tof/ ug{], #) ld= ;Dd 9'jfgL ;d]t .</v>
          </cell>
          <cell r="E59" t="str">
            <v>#=dL=</v>
          </cell>
          <cell r="G59">
            <v>3454.85</v>
          </cell>
          <cell r="H59">
            <v>3973.07</v>
          </cell>
        </row>
        <row r="60">
          <cell r="A60" t="str">
            <v>C6</v>
          </cell>
          <cell r="C60">
            <v>15.2</v>
          </cell>
          <cell r="D60" t="str">
            <v>9'+uf -/j'n_ af6 ;"Vvf uf/f]df ;8s 5]psf] 9n agfpg] sfd, dfn;fdfg pknAw ug]{, uf/f] cfbL tof/ ug]{, #) ld= ;Dd 9'jfgL ;d]t .</v>
          </cell>
          <cell r="E60" t="str">
            <v>#=dL=</v>
          </cell>
          <cell r="G60">
            <v>1740.4869565217391</v>
          </cell>
          <cell r="H60">
            <v>2001.56</v>
          </cell>
        </row>
        <row r="61">
          <cell r="A61" t="str">
            <v>D1</v>
          </cell>
          <cell r="C61" t="str">
            <v>7.2-u_</v>
          </cell>
          <cell r="D61" t="str">
            <v>lk=l;=l;= ! M # M ^ efudf hu, leQf, kvf{ndf l;d]G6 s+s[6 ug{] sfd, dfn ;fdfg pknJw ug{] -#) ld= ;Dd 9'jfgL ;d]t_</v>
          </cell>
          <cell r="E61" t="str">
            <v>#=dL=</v>
          </cell>
          <cell r="G61">
            <v>3596.21</v>
          </cell>
          <cell r="H61">
            <v>4135.6400000000003</v>
          </cell>
        </row>
        <row r="62">
          <cell r="A62" t="str">
            <v>D2</v>
          </cell>
          <cell r="C62" t="str">
            <v>7.2-#_</v>
          </cell>
          <cell r="D62" t="str">
            <v>lk=l;=l;=! M @ M$ efudf hu, leQf, kvf{ndf l;d]G6 s+s[6 ug{] sfd, dfn ;fdfg pknJw ug{] -#) ld= ;Dd 9'jfgL ;d]t_</v>
          </cell>
          <cell r="E62" t="str">
            <v>#=dL=</v>
          </cell>
          <cell r="G62">
            <v>4032.09</v>
          </cell>
          <cell r="H62">
            <v>4636.8999999999996</v>
          </cell>
        </row>
        <row r="63">
          <cell r="A63" t="str">
            <v>D3</v>
          </cell>
          <cell r="C63" t="str">
            <v>7.3-v_</v>
          </cell>
          <cell r="D63" t="str">
            <v>lk l; l; ! M @ M $ efudf Pa6\d]G6 lz6, lko/ s]kdf l;d]G6 s+s[6 ug{] sfd, dfn ;fdfg pknJw ug{] cflb sfd k"/f -#) ld= ;Dd 9'jfgL ;d]t_</v>
          </cell>
          <cell r="E63" t="str">
            <v>#=dL=</v>
          </cell>
          <cell r="G63">
            <v>4673.5826086956522</v>
          </cell>
          <cell r="H63">
            <v>5374.62</v>
          </cell>
        </row>
        <row r="64">
          <cell r="A64" t="str">
            <v>D4</v>
          </cell>
          <cell r="C64" t="str">
            <v>7.4-s_</v>
          </cell>
          <cell r="D64" t="str">
            <v>lk l; l; ! M @ M $ efudf ;'k/ :6«Sr/, 8}s :n}j ljdx?df l;d]G6 s+s[6 ug{] sfd, dfn ;fdfg pknJw ug{] -#) ld= ;Dd 9'jfgL ;d]t_</v>
          </cell>
          <cell r="E64" t="str">
            <v>#=dL=</v>
          </cell>
          <cell r="G64">
            <v>4403.2</v>
          </cell>
          <cell r="H64">
            <v>5063.68</v>
          </cell>
        </row>
        <row r="65">
          <cell r="A65" t="str">
            <v>D5</v>
          </cell>
          <cell r="C65" t="str">
            <v>7.4-v_</v>
          </cell>
          <cell r="D65" t="str">
            <v>lk l; l; ! M !=% M # efudf ;'k/ :6«Sr/, 8}s :n}j ljdx?df l;d]G6 s+s[6 ug{] sfd, dfn ;fdfg pknJw ug{] -#) ld= ;Dd 9'jfgL ;d]t_</v>
          </cell>
          <cell r="E65" t="str">
            <v>#=dL=</v>
          </cell>
          <cell r="G65">
            <v>4773.4521739130432</v>
          </cell>
          <cell r="H65">
            <v>5489.47</v>
          </cell>
        </row>
        <row r="66">
          <cell r="A66" t="str">
            <v>D6</v>
          </cell>
          <cell r="C66">
            <v>7.5</v>
          </cell>
          <cell r="D66" t="str">
            <v>cf/ l; l; sf] nflu kmnfd] 808L sf6\g] jfWg] df]8\g] gS;f cg';f/ 7fpFdf /fVg] 808L jfWg] tf/4f/f / #) ld=;Dd 9'jfgL ;d]t .</v>
          </cell>
          <cell r="E66" t="str">
            <v>d]=^g</v>
          </cell>
          <cell r="G66">
            <v>35517.973913043475</v>
          </cell>
          <cell r="H66">
            <v>40845.67</v>
          </cell>
        </row>
        <row r="67">
          <cell r="A67" t="str">
            <v>D7</v>
          </cell>
          <cell r="C67" t="str">
            <v>8.2-s_</v>
          </cell>
          <cell r="D67" t="str">
            <v>kmz{, :n}a h:tf] sfddf sf7sf] kmdf{ nufpg] sfd, dfn ;fdfgsf] pknlAw, 5gf}6 ug{], gSzf cg';f/ kmdf{ /fVg], lsNnf / c:t/ nufpg], kmdf{ lemSg], x6fpg], #) ld= ;Dd 9'jfgL ;d]t .</v>
          </cell>
          <cell r="E67" t="str">
            <v>j=dL=</v>
          </cell>
          <cell r="G67">
            <v>435.33913043478259</v>
          </cell>
          <cell r="H67">
            <v>500.64</v>
          </cell>
        </row>
        <row r="68">
          <cell r="A68" t="str">
            <v>D8</v>
          </cell>
          <cell r="C68" t="str">
            <v xml:space="preserve">8.4-s_ </v>
          </cell>
          <cell r="D68" t="str">
            <v>:6«Sr/sf]  ladsf] nflu kmdf{ jgfpg] sfd, dfn ;fdfgsf] pknlAw, 5gf}6 ug{], gSzf cg';f/ kmdf{ /fVg], lsNnf / c:t/ nufpg], cfOln+u eTsfpg] ,kmdf{ lemSg], x6fpg], #) ld= ;Dd 9'jfgL ;d]t .                                    -s_ ljdsf] prfO[ )=#) dL= ;Dd .</v>
          </cell>
          <cell r="E68" t="str">
            <v>j=dL=</v>
          </cell>
          <cell r="G68">
            <v>515.24347826086955</v>
          </cell>
          <cell r="H68">
            <v>592.53</v>
          </cell>
        </row>
        <row r="69">
          <cell r="A69" t="str">
            <v>D9</v>
          </cell>
          <cell r="C69" t="str">
            <v xml:space="preserve">11.8-s_ </v>
          </cell>
          <cell r="D69" t="str">
            <v>%) ld=ld=afSnf] lk|sf:6 lk=l;=l;=Ans -(=%ÆX (=%Æ_5fKg] sfd , !M$ efu l;d]G6 M afn'jf d;nfdf hf]8L nufpg] .  -k|lt Ps uf]6f  Ö )=&amp;^^ ju{ km'6_    - ! a=ld=Ö !)=&amp;^ ju{ km'6_</v>
          </cell>
          <cell r="E69" t="str">
            <v>j=dL=</v>
          </cell>
          <cell r="G69">
            <v>627.4</v>
          </cell>
          <cell r="H69">
            <v>721.51</v>
          </cell>
        </row>
        <row r="70">
          <cell r="A70" t="str">
            <v>D10</v>
          </cell>
          <cell r="C70">
            <v>11.2</v>
          </cell>
          <cell r="D70" t="str">
            <v># ld=ld= df]6fO{df l;d]G6 dl;gf] 3f]6\g] sfd .</v>
          </cell>
          <cell r="E70" t="str">
            <v>j=dL=</v>
          </cell>
          <cell r="G70">
            <v>62.08695652173914</v>
          </cell>
          <cell r="H70">
            <v>71.400000000000006</v>
          </cell>
        </row>
        <row r="71">
          <cell r="A71" t="str">
            <v>D11</v>
          </cell>
          <cell r="C71" t="str">
            <v>12.1-v_</v>
          </cell>
          <cell r="D71" t="str">
            <v>!M# efudf !@=%) ld=ld= afSnf] l;d]G6 afn'jf Knfi6/ ug{] .</v>
          </cell>
          <cell r="E71" t="str">
            <v>j=dL=</v>
          </cell>
          <cell r="G71">
            <v>0</v>
          </cell>
          <cell r="H71">
            <v>0</v>
          </cell>
        </row>
        <row r="72">
          <cell r="A72" t="str">
            <v>D12</v>
          </cell>
          <cell r="C72" t="str">
            <v>12.1-u_</v>
          </cell>
          <cell r="D72" t="str">
            <v>!M$ efudf !@=%) ld=ld= afSnf] l;d]G6 afn'jf Knfi6/ ug{] .</v>
          </cell>
          <cell r="E72" t="str">
            <v>j=dL=</v>
          </cell>
          <cell r="G72">
            <v>0</v>
          </cell>
          <cell r="H72">
            <v>0</v>
          </cell>
        </row>
        <row r="73">
          <cell r="A73" t="str">
            <v>D13</v>
          </cell>
          <cell r="C73" t="str">
            <v>12.1-#_</v>
          </cell>
          <cell r="D73" t="str">
            <v>!M^ efudf !@=%) ld=ld= afSnf] l;d]G6 afn'jf Knfi6/ ug{] .</v>
          </cell>
          <cell r="E73" t="str">
            <v>j=dL=</v>
          </cell>
          <cell r="G73">
            <v>0</v>
          </cell>
          <cell r="H73">
            <v>0</v>
          </cell>
        </row>
        <row r="74">
          <cell r="A74" t="str">
            <v>D14</v>
          </cell>
          <cell r="C74" t="str">
            <v>14.2-s_</v>
          </cell>
          <cell r="D74" t="str">
            <v>af]N8/ 9'Ëfsf] uf/f]df kmn;\ ¿n l6Ksf/ ug]{ sfd .  -s_ ! M ! l;d]G6 jfn'jfdf .</v>
          </cell>
          <cell r="E74" t="str">
            <v>j=dL=</v>
          </cell>
          <cell r="G74">
            <v>0</v>
          </cell>
          <cell r="H74">
            <v>0</v>
          </cell>
        </row>
        <row r="75">
          <cell r="A75" t="str">
            <v>D15</v>
          </cell>
          <cell r="C75" t="str">
            <v>14.2-v_</v>
          </cell>
          <cell r="D75" t="str">
            <v>af]N8/ 9'Ëfsf] uf/f]df kmn;\ ¿n l6Ksf/ ug]{ sfd . -s_ ! M @ l;d]G6 jfn'jfdf .</v>
          </cell>
          <cell r="E75" t="str">
            <v>j=dL=</v>
          </cell>
          <cell r="G75">
            <v>0</v>
          </cell>
          <cell r="H75">
            <v>0</v>
          </cell>
        </row>
        <row r="76">
          <cell r="A76" t="str">
            <v>D16</v>
          </cell>
          <cell r="C76">
            <v>24.8</v>
          </cell>
          <cell r="D76" t="str">
            <v># ld=ld= afSnf] kmn;\ Knfi6/ l;d]G6df ug]{ sfd .</v>
          </cell>
          <cell r="E76" t="str">
            <v>j=dL=</v>
          </cell>
          <cell r="G76">
            <v>0</v>
          </cell>
          <cell r="H76">
            <v>0</v>
          </cell>
        </row>
        <row r="77">
          <cell r="A77" t="str">
            <v>D17</v>
          </cell>
          <cell r="C77" t="str">
            <v>6.6-s_,8.2-s_,7.4-v_</v>
          </cell>
          <cell r="D77" t="str">
            <v>sj{:6f]g h8fg ug]{ sfo{ -;km]{; Pl/of )=)&amp;@ j=dL=_  !M# efu l;d]G6 jf d;nfdf !*=&amp;% dL=dL= jfSnf] df]6fOdf hf]8fO ug]{ ;d]t . -sj{:6f]g ;d]t_</v>
          </cell>
          <cell r="E77" t="str">
            <v>/=dL=</v>
          </cell>
          <cell r="G77">
            <v>0</v>
          </cell>
          <cell r="H77">
            <v>0</v>
          </cell>
        </row>
        <row r="78">
          <cell r="A78" t="str">
            <v>D18</v>
          </cell>
          <cell r="C78" t="str">
            <v>6.6-s_,8.2-s_,7.4-v_</v>
          </cell>
          <cell r="D78" t="str">
            <v>sj{:6f]g h8fg ug]{ sfo{ -;km]{; Pl/of )=)&amp;@ j=dL=_  !M# efu l;d]G6 jf d;nfdf !*=&amp;% dL=dL= jfSnf] df]6fOdf hf]8fO ug]{ ;d]t . -sj{:6f]g jfx]s_</v>
          </cell>
          <cell r="E78" t="str">
            <v>/=dL=</v>
          </cell>
          <cell r="G78">
            <v>0</v>
          </cell>
          <cell r="H78">
            <v>0</v>
          </cell>
        </row>
        <row r="79">
          <cell r="A79" t="str">
            <v>E1</v>
          </cell>
          <cell r="C79" t="str">
            <v>15.4-s_</v>
          </cell>
          <cell r="D79" t="str">
            <v>!) ;]=ld= ux/fO{ ;Dd ;fdfGo df6f]df df6f] sf6L ;ju|]8 tof/ ug{] sfd !) ld= 9'jfgL / kG5fpGg] ;d]t .</v>
          </cell>
          <cell r="E79" t="str">
            <v>a=dL=</v>
          </cell>
          <cell r="G79">
            <v>13.2</v>
          </cell>
          <cell r="H79">
            <v>15.18</v>
          </cell>
        </row>
        <row r="80">
          <cell r="A80" t="str">
            <v>E2</v>
          </cell>
          <cell r="C80" t="str">
            <v>15.4-v_</v>
          </cell>
          <cell r="D80" t="str">
            <v>;]=ld= @) ux/fO{ ;Dd ;fdfGo df6f]df df6f] sf6L ;ju|]8 tof/ ug{] sfd !) ld= 9'jfgL / kG5fpGg] ;d]t .</v>
          </cell>
          <cell r="E80" t="str">
            <v>a=dL=</v>
          </cell>
          <cell r="G80">
            <v>19.8</v>
          </cell>
          <cell r="H80">
            <v>22.77</v>
          </cell>
        </row>
        <row r="81">
          <cell r="A81" t="str">
            <v>E3</v>
          </cell>
          <cell r="C81" t="str">
            <v>15.4-u_</v>
          </cell>
          <cell r="D81" t="str">
            <v>#) ;]=ld= ux/fO{ ;Dd ;fdfGo df6f]df df6f] sf6L ;ju|]8 tof/ ug{] sfd !) ld= 9'jfgL / kG5fpGg] ;d]t .</v>
          </cell>
          <cell r="E81" t="str">
            <v>a=dL=</v>
          </cell>
          <cell r="G81">
            <v>26.4</v>
          </cell>
          <cell r="H81">
            <v>30.36</v>
          </cell>
        </row>
        <row r="82">
          <cell r="A82" t="str">
            <v>E4</v>
          </cell>
          <cell r="C82" t="str">
            <v>15.5-s_</v>
          </cell>
          <cell r="D82" t="str">
            <v>-@)–$)_Ü ;Dd 9'Ëf ldl;Psf] ;fdfGo df6f]df !) ;]=ld= ux/fO{ df6f] sf6L ;ju|]8 tof/ ug{] sfd  !) ld= ;Ddsf] 9'jfgL / kG5fpg] sfd .</v>
          </cell>
          <cell r="E82" t="str">
            <v>a=dL=</v>
          </cell>
          <cell r="G82">
            <v>28.6</v>
          </cell>
          <cell r="H82">
            <v>32.89</v>
          </cell>
        </row>
        <row r="83">
          <cell r="A83" t="str">
            <v>E5</v>
          </cell>
          <cell r="C83" t="str">
            <v>15.5-u_</v>
          </cell>
          <cell r="D83" t="str">
            <v>-@)–$)_Ü ;Dd 9'Ëf ldl;Psf] ;fdfGo df6f]df 2) ;]=ld= ux/fO{ df6f] sf6L ;ju|]8 tof/ ug{] sfd  !) ld= ;Ddsf] 9'jfgL / kG5fpg] sfd .</v>
          </cell>
          <cell r="E83" t="str">
            <v>a=dL=</v>
          </cell>
          <cell r="G83">
            <v>39.6</v>
          </cell>
          <cell r="H83">
            <v>45.54</v>
          </cell>
        </row>
        <row r="84">
          <cell r="A84" t="str">
            <v>E6</v>
          </cell>
          <cell r="C84" t="str">
            <v>15.5-ª_</v>
          </cell>
          <cell r="D84" t="str">
            <v>-@)–$)_Ü ;Dd 9'Ëf ldl;Psf] ;fdfGo df6f]df #) ;]=ld= ux/fO{ df6f] sf6L ;ju|]8 tof/ ug{] sfd  !) ld= ;Ddsf] 9'jfgL / kG5fpg] sfd .</v>
          </cell>
          <cell r="E84" t="str">
            <v>a=dL=</v>
          </cell>
          <cell r="G84">
            <v>51.695652173913047</v>
          </cell>
          <cell r="H84">
            <v>59.45</v>
          </cell>
        </row>
        <row r="85">
          <cell r="A85" t="str">
            <v>E7</v>
          </cell>
          <cell r="C85" t="str">
            <v>15.5-v_</v>
          </cell>
          <cell r="D85" t="str">
            <v>-$)—^)_Ü ;Dd 9'Ëf ldl;Psf] ;fdfGo df6f]df !) ;]=ld= ux/fO{ df6f] sf6L ;ju|]8 tof/ ug{] sfd  !) ld= ;Ddsf] 9'jfgL / kG5fpg] sfd .</v>
          </cell>
          <cell r="E85" t="str">
            <v>a=dL=</v>
          </cell>
          <cell r="G85">
            <v>31.895652173913042</v>
          </cell>
          <cell r="H85">
            <v>36.68</v>
          </cell>
        </row>
        <row r="86">
          <cell r="A86" t="str">
            <v>E8</v>
          </cell>
          <cell r="C86" t="str">
            <v>15.5-#_</v>
          </cell>
          <cell r="D86" t="str">
            <v>-$)—^)_Ü ;Dd 9'Ëf ldl;Psf] ;fdfGo df6f]df 2) ;]=ld= ux/fO{ df6f] sf6L ;ju|]8 tof/ ug{] sfd  !) ld= ;Ddsf] 9'jfgL / kG5fpg] sfd .</v>
          </cell>
          <cell r="E86" t="str">
            <v>a=dL=</v>
          </cell>
          <cell r="G86">
            <v>45.095652173913045</v>
          </cell>
          <cell r="H86">
            <v>51.86</v>
          </cell>
        </row>
        <row r="87">
          <cell r="A87" t="str">
            <v>E9</v>
          </cell>
          <cell r="C87" t="str">
            <v>15.5-r_</v>
          </cell>
          <cell r="D87" t="str">
            <v>-$)—^)_Ü ;Dd 9'Ëf ldl;Psf] ;fdfGo df6f]df #) ;]=ld= ux/fO{ df6f] sf6L ;ju|]8 tof/ ug{] sfd  !) ld= ;Ddsf] 9'jfgL / kG5fpg] sfd .</v>
          </cell>
          <cell r="E87" t="str">
            <v>a=dL=</v>
          </cell>
          <cell r="G87">
            <v>58.295652173913048</v>
          </cell>
          <cell r="H87">
            <v>67.040000000000006</v>
          </cell>
        </row>
        <row r="88">
          <cell r="A88" t="str">
            <v>E10</v>
          </cell>
          <cell r="C88" t="str">
            <v>15.9-s_</v>
          </cell>
          <cell r="D88" t="str">
            <v>!) ;]=ld= 7f]; df]6fO{df jfn'jf ldl;Psf] u|fe]nsf] ;jj]; cf]5\ofpg] sfd dfn ;fdfg nf]8 ug{], n}hfg], ;tx ldnfpg] !) ld= ;Dd 9'fjgL ug} cfbL sfd ;d]t .</v>
          </cell>
          <cell r="E88" t="str">
            <v>a=dL=</v>
          </cell>
          <cell r="G88">
            <v>119.12</v>
          </cell>
          <cell r="H88">
            <v>136.99</v>
          </cell>
        </row>
        <row r="89">
          <cell r="A89" t="str">
            <v>E11</v>
          </cell>
          <cell r="C89" t="str">
            <v>15.9-u_</v>
          </cell>
          <cell r="D89" t="str">
            <v>!% ;]=ld= 7f]; df]6fO{df jfn'jf ldl;Psf] u|fe]nsf] ;jj]; cf]5\ofpg] sfd dfn ;fdfg nf]8 ug{], n}hfg], ;tx ldnfpg] !) ld= ;Dd 9'fjgL ug} cfbL sfd ;d]t .</v>
          </cell>
          <cell r="E89" t="str">
            <v>a=dL=</v>
          </cell>
          <cell r="G89">
            <v>174.36</v>
          </cell>
          <cell r="H89">
            <v>200.52</v>
          </cell>
        </row>
        <row r="90">
          <cell r="A90" t="str">
            <v>E12</v>
          </cell>
          <cell r="C90" t="str">
            <v>15.12-cf_s</v>
          </cell>
          <cell r="D90" t="str">
            <v>^ ;]=ld= 7f]; df]6fO{df s'6]sf] 9'+ufdf w'nf] ldnfO{ -:6f]g 8:6 j08 dfsf8d sf];{_ cf]5\ofpg] sfd /f]8fnfO{ txdf ldnfO{ 9+ufsf] w'nf] km}nfpg] sfd ;d]t .</v>
          </cell>
          <cell r="E90" t="str">
            <v>a=dL=</v>
          </cell>
          <cell r="G90">
            <v>97.65</v>
          </cell>
          <cell r="H90">
            <v>112.33</v>
          </cell>
        </row>
        <row r="91">
          <cell r="A91" t="str">
            <v>E13</v>
          </cell>
          <cell r="C91" t="str">
            <v>15.12-cf_v</v>
          </cell>
          <cell r="D91" t="str">
            <v>* ;]=ld= 7f]; df]6fO{df s'6]sf] 9'+ufdf w'nf] ldnfO{ -:6f]g 8:6 j08 dfsf8d sf];{_ cf]5\ofpg] sfd /f]8fnfO{ txdf ldnfO{ 9+ufsf] w'nf] km}nfpg] sfd ;d]t .</v>
          </cell>
          <cell r="E91" t="str">
            <v>a=dL=</v>
          </cell>
          <cell r="G91">
            <v>133.47999999999999</v>
          </cell>
          <cell r="H91">
            <v>153.5</v>
          </cell>
        </row>
        <row r="92">
          <cell r="A92" t="str">
            <v>E14</v>
          </cell>
          <cell r="C92" t="str">
            <v>15.12-c_u</v>
          </cell>
          <cell r="D92" t="str">
            <v>!) ;]=ld= 7f]; df]6fO{df s'6]sf] 9'+ufdf w'nf] ldnfO{ -:6f]g 8:6 j08 dfsf8d sf];{_ cf]5\ofpg] sfd /f]8fnfO{ txdf ldnfO{ 9+ufsf] w'nf] km}nfpg] sfd ;d]t .</v>
          </cell>
          <cell r="E92" t="str">
            <v>a=dL=</v>
          </cell>
          <cell r="G92">
            <v>162.27000000000001</v>
          </cell>
          <cell r="H92">
            <v>186.61</v>
          </cell>
        </row>
        <row r="93">
          <cell r="A93" t="str">
            <v>E15</v>
          </cell>
          <cell r="C93" t="str">
            <v>15.12-c_r</v>
          </cell>
          <cell r="D93" t="str">
            <v>!% ;]=ld= 7f]; df]6fO{df s'6]sf] 9'+ufdf w'nf] ldnfO{ -:6f]g 8:6 j08 dfsf8d sf];{_ cf]5\ofpg] sfd /f]8fnfO{ txdf ldnfO{ 9+ufsf] w'nf] km}nfpg] sfd ;d]t .</v>
          </cell>
          <cell r="E93" t="str">
            <v>a=dL=</v>
          </cell>
          <cell r="G93">
            <v>217.45217391304348</v>
          </cell>
          <cell r="H93">
            <v>250.07</v>
          </cell>
        </row>
        <row r="94">
          <cell r="A94" t="str">
            <v>E16</v>
          </cell>
          <cell r="C94" t="str">
            <v>15.4-s_,15.5-s_,15.12-cf=u_</v>
          </cell>
          <cell r="D94" t="str">
            <v>!) ;]=ld= ux/fO{ ;Dd -k"/fgf] lkr ;8s ;tx_ vgk"/ u/L, kfgL 5sL{, sDk]Szg ;d]t u/L ;ju|]8 tof/ ug{] sfd .</v>
          </cell>
          <cell r="E94" t="str">
            <v>j=dL</v>
          </cell>
          <cell r="G94">
            <v>26.48</v>
          </cell>
          <cell r="H94">
            <v>30.46</v>
          </cell>
        </row>
        <row r="95">
          <cell r="A95" t="str">
            <v>E17</v>
          </cell>
          <cell r="D95" t="str">
            <v>k"/fg]f d+ufn km"6fO, Dofgxf]n se/ ldmls, ;"/lIft ;fy /fvL cfjZostf cg";f/ d+ufnsf] prfO{ 36j9 u/L se/ k"gM oyfj:yfgdf /fVg] sfd .</v>
          </cell>
          <cell r="E95" t="str">
            <v>;+Vof</v>
          </cell>
          <cell r="G95">
            <v>1000</v>
          </cell>
          <cell r="H95">
            <v>550</v>
          </cell>
        </row>
        <row r="96">
          <cell r="A96" t="str">
            <v>E18</v>
          </cell>
          <cell r="D96" t="str">
            <v>cfjZos ;fO{hsf] sf:6 cfO/gsf] r's'n;lxtsf] lu|8 se/ h8fg ug]{ sfd .</v>
          </cell>
          <cell r="E96" t="str">
            <v>;+Vof</v>
          </cell>
          <cell r="G96">
            <v>3000</v>
          </cell>
          <cell r="H96">
            <v>4500</v>
          </cell>
        </row>
        <row r="97">
          <cell r="A97" t="str">
            <v>E19</v>
          </cell>
          <cell r="D97" t="str">
            <v>sfnf]kq] ug]{ If]qdf emf/kft ;kmf ug]{, kmf]x/ ;kmf ug]{, vfN8fv"N8L k"g]{ cfbL sfd .</v>
          </cell>
          <cell r="E97" t="str">
            <v>Psd"i^</v>
          </cell>
          <cell r="G97">
            <v>0</v>
          </cell>
          <cell r="H97">
            <v>0</v>
          </cell>
        </row>
        <row r="98">
          <cell r="A98" t="str">
            <v>E20</v>
          </cell>
          <cell r="D98" t="str">
            <v>k"/fgf] u|fe]n ;8sdf jfn'jf ldl;Psf] u|fen /fvL kfgL 5sL{ /f]lnª u/L ;tx ;'wf/ ug]{ sfd .</v>
          </cell>
          <cell r="E98" t="str">
            <v>#=dL=</v>
          </cell>
          <cell r="G98">
            <v>0</v>
          </cell>
          <cell r="H98">
            <v>0</v>
          </cell>
        </row>
        <row r="99">
          <cell r="A99" t="str">
            <v>E21</v>
          </cell>
          <cell r="D99" t="str">
            <v>k"/fgf] 8An'=lj=Pd= ;txsf] cG8"n];g, u|]8, SofDj/ cfbL ldnfO{ jf6/ jfp08 d]sf8d ;tx ;"wf/ ug]{ sfo{ .</v>
          </cell>
          <cell r="E99" t="str">
            <v>#=dL=</v>
          </cell>
          <cell r="G99">
            <v>0</v>
          </cell>
          <cell r="H99">
            <v>0</v>
          </cell>
        </row>
        <row r="100">
          <cell r="A100" t="str">
            <v>F1</v>
          </cell>
          <cell r="C100" t="str">
            <v>15.16-s_</v>
          </cell>
          <cell r="D100" t="str">
            <v>jf6/ afp08 dfsf8d ;txdf dfyL tf/ a'|; / s'rf]jf6 ;tx ;kmf ug{] sfd  -lkr 5g{' eGbf klxn]_ .</v>
          </cell>
          <cell r="E100" t="str">
            <v>j=dL=</v>
          </cell>
          <cell r="G100">
            <v>2.75</v>
          </cell>
          <cell r="H100">
            <v>3.16</v>
          </cell>
        </row>
        <row r="101">
          <cell r="A101" t="str">
            <v>F2</v>
          </cell>
          <cell r="C101" t="str">
            <v>15.16-v_</v>
          </cell>
          <cell r="D101" t="str">
            <v>cGo ;8s ;txdf tf/ a'|; / s'rf] nufO{ ;kmf ug{] sfd .</v>
          </cell>
          <cell r="E101" t="str">
            <v>j=dL=</v>
          </cell>
          <cell r="G101">
            <v>2.1999999999999997</v>
          </cell>
          <cell r="H101">
            <v>2.5299999999999998</v>
          </cell>
        </row>
        <row r="102">
          <cell r="A102" t="str">
            <v>F3</v>
          </cell>
          <cell r="C102" t="str">
            <v>15.17-s_</v>
          </cell>
          <cell r="D102" t="str">
            <v>k'/fgf] lkr ;tx dfyL dfn ;fdfg pknJw u/L 6}+s sf]6 nufpg] sfd .  -bfp/fjf6 df; js{||_ -lj6'dLg ;d]t_</v>
          </cell>
          <cell r="E102" t="str">
            <v>j=dL=</v>
          </cell>
          <cell r="G102">
            <v>27.85</v>
          </cell>
          <cell r="H102">
            <v>32.020000000000003</v>
          </cell>
          <cell r="I102" t="str">
            <v>lj^"dLg ;d]t</v>
          </cell>
        </row>
        <row r="103">
          <cell r="A103" t="str">
            <v>F4</v>
          </cell>
          <cell r="C103" t="str">
            <v>15.17-s_</v>
          </cell>
          <cell r="D103" t="str">
            <v>k'/fgf] lkr ;tx dfyL dfn ;fdfg pknJw u/L 6}+s sf]6 nufpg] sfd .  -bfp/fjf6 df; js{||_ -lj6'dLg jfx]s_</v>
          </cell>
          <cell r="E103" t="str">
            <v>j=dL=</v>
          </cell>
          <cell r="G103">
            <v>0</v>
          </cell>
          <cell r="H103">
            <v>0</v>
          </cell>
          <cell r="I103" t="str">
            <v>lj^'ldg afx]s</v>
          </cell>
        </row>
        <row r="104">
          <cell r="A104" t="str">
            <v>F5</v>
          </cell>
          <cell r="C104" t="str">
            <v>15.17-v_</v>
          </cell>
          <cell r="D104" t="str">
            <v xml:space="preserve"> a];sf];{-;tx_ dfyL dfn ;fdfg pknJw u/L 6}+s sf]6 nufpg] sfd . -bfp/fjf6 df; js{||_ -lj6'dLg ;d]t_</v>
          </cell>
          <cell r="E104" t="str">
            <v>j=dL=</v>
          </cell>
          <cell r="G104">
            <v>45.04</v>
          </cell>
          <cell r="H104">
            <v>51.79</v>
          </cell>
          <cell r="I104" t="str">
            <v>lj^'ldg ;d]t</v>
          </cell>
        </row>
        <row r="105">
          <cell r="A105" t="str">
            <v>F6</v>
          </cell>
          <cell r="C105" t="str">
            <v>15.17-v_</v>
          </cell>
          <cell r="D105" t="str">
            <v xml:space="preserve"> a];sf];{-;tx_ dfyL dfn ;fdfg pknJw u/L 6}+s sf]6 nufpg] sfd . -bfp/fjf6 df; js{||_ -lj6'dLg jfx]s_</v>
          </cell>
          <cell r="E105" t="str">
            <v>j=dL=</v>
          </cell>
          <cell r="G105">
            <v>0</v>
          </cell>
          <cell r="H105">
            <v>0</v>
          </cell>
          <cell r="I105" t="str">
            <v>lj^'ldg afx]s</v>
          </cell>
        </row>
        <row r="106">
          <cell r="A106" t="str">
            <v>F7</v>
          </cell>
          <cell r="C106" t="str">
            <v>15.18-s_</v>
          </cell>
          <cell r="D106" t="str">
            <v>k'/fgf] lkr ;tx dfyL dfn ;fdfg pknJw u/L k|fOd sf]6 nufpg] sfd .  -bfp/fjf6 df; js{|| tyf s6Jofs %) Ü_ -lj6'dLg ;d]t_</v>
          </cell>
          <cell r="E106" t="str">
            <v>j=dL=</v>
          </cell>
          <cell r="G106">
            <v>22.713043478260868</v>
          </cell>
          <cell r="H106">
            <v>26.12</v>
          </cell>
          <cell r="I106" t="str">
            <v>lj^"dLg ;d]t</v>
          </cell>
        </row>
        <row r="107">
          <cell r="A107" t="str">
            <v>F8</v>
          </cell>
          <cell r="C107" t="str">
            <v>15.18-s_</v>
          </cell>
          <cell r="D107" t="str">
            <v>k'/fgf] lkr ;tx dfyL dfn ;fdfg pknJw u/L k|fOd sf]6 nufpg] sfd .  -bfp/fjf6 df; js{|| tyf s6Jofs %) Ü_ -lj6'dLg jfx]s_</v>
          </cell>
          <cell r="E107" t="str">
            <v>j=dL=</v>
          </cell>
          <cell r="G107">
            <v>0</v>
          </cell>
          <cell r="H107">
            <v>0</v>
          </cell>
          <cell r="I107" t="str">
            <v>lj^'ldg afx]s</v>
          </cell>
        </row>
        <row r="108">
          <cell r="A108" t="str">
            <v>F9</v>
          </cell>
          <cell r="C108" t="str">
            <v>15.18-v_</v>
          </cell>
          <cell r="D108" t="str">
            <v>a];sf];{ dfly k|fOd sf]6 nufpg] sfd dfn ;fdfg pknJw u/L  -bfp/fjf6 df; js{ tyf s6Jofs %) Ü{_ . -lj6'dLg ;d]t_</v>
          </cell>
          <cell r="E108" t="str">
            <v>j=dL=</v>
          </cell>
          <cell r="G108">
            <v>51.356521739130436</v>
          </cell>
          <cell r="H108">
            <v>59.06</v>
          </cell>
          <cell r="I108" t="str">
            <v>lj^"dLg ;d]t</v>
          </cell>
        </row>
        <row r="109">
          <cell r="A109" t="str">
            <v>F10</v>
          </cell>
          <cell r="C109" t="str">
            <v>15.18-v_</v>
          </cell>
          <cell r="D109" t="str">
            <v>a];sf];{ dfly k|fOd sf]6 nufpg] sfd dfn ;fdfg pknJw u/L  -bfp/fjf6 df; js{ tyf s6Jofs %) Ü{_ . -lj6'dLg jfx]s_</v>
          </cell>
          <cell r="E109" t="str">
            <v>j=dL=</v>
          </cell>
          <cell r="G109">
            <v>0</v>
          </cell>
          <cell r="H109">
            <v>0</v>
          </cell>
          <cell r="I109" t="str">
            <v>lj^'ldg afx]s</v>
          </cell>
        </row>
        <row r="110">
          <cell r="A110" t="str">
            <v>F11</v>
          </cell>
          <cell r="C110">
            <v>15.19</v>
          </cell>
          <cell r="D110" t="str">
            <v>Pssf]6 ;km{]; 8|\]l;Ë ug{] sfd . -:6Ln JxLn /f]n/ tyf bfp/fjf6 df; js{_ -lj6'dLg ;d]t_</v>
          </cell>
          <cell r="E110" t="str">
            <v>j=dL=</v>
          </cell>
          <cell r="G110">
            <v>106</v>
          </cell>
          <cell r="H110">
            <v>121.9</v>
          </cell>
          <cell r="I110" t="str">
            <v>lj^'ldg ;d]t</v>
          </cell>
        </row>
        <row r="111">
          <cell r="A111" t="str">
            <v>F12</v>
          </cell>
          <cell r="C111">
            <v>15.19</v>
          </cell>
          <cell r="D111" t="str">
            <v>Pssf]6 ;km{]; 8|\]l;Ë ug{] sfd . -:6Ln JxLn /f]n/ tyf bfp/fjf6 df; js{_ -lj6'dLg jfx]s_</v>
          </cell>
          <cell r="E111" t="str">
            <v>j=dL=</v>
          </cell>
          <cell r="G111">
            <v>0</v>
          </cell>
          <cell r="H111">
            <v>0</v>
          </cell>
          <cell r="I111" t="str">
            <v>lj^'ldg afx]s</v>
          </cell>
        </row>
        <row r="112">
          <cell r="A112" t="str">
            <v>F13</v>
          </cell>
          <cell r="C112">
            <v>15.19</v>
          </cell>
          <cell r="D112" t="str">
            <v>Pssf]6 ;km{]; 8|\]l;Ë ug{] sfd . -Go"d]l6s /f]n/ tyf bfp/fjf6 df; js{_ -lj6'dLg ;d]t_</v>
          </cell>
          <cell r="E112" t="str">
            <v>j=dL=</v>
          </cell>
          <cell r="G112">
            <v>106</v>
          </cell>
          <cell r="H112">
            <v>121.9</v>
          </cell>
          <cell r="I112" t="str">
            <v>lj^"dLg ;d]t</v>
          </cell>
        </row>
        <row r="113">
          <cell r="A113" t="str">
            <v>F14</v>
          </cell>
          <cell r="C113">
            <v>15.19</v>
          </cell>
          <cell r="D113" t="str">
            <v>Pssf]6 ;km{]; 8|\]l;Ë ug{] sfd . -Go"d]l6s /f]n/ tyf bfp/fjf6 df; js{_ -lj6'dLg jfx]s_</v>
          </cell>
          <cell r="E113" t="str">
            <v>j=dL=</v>
          </cell>
          <cell r="G113">
            <v>0</v>
          </cell>
          <cell r="H113">
            <v>0</v>
          </cell>
          <cell r="I113" t="str">
            <v>lj^'ldg afx]s</v>
          </cell>
        </row>
        <row r="114">
          <cell r="A114" t="str">
            <v>F15</v>
          </cell>
          <cell r="C114">
            <v>15.2</v>
          </cell>
          <cell r="D114" t="str">
            <v xml:space="preserve">b'O{ sf]6 ;km{]; 8|\]l;Ë ug{] sfd . -bfp/fjf6 df; js{ tyf :6Ln JxLn /f]n/ k|of]u u/L_ -lj6'dLg ;d]t_ </v>
          </cell>
          <cell r="E114" t="str">
            <v>j=dL=</v>
          </cell>
          <cell r="G114">
            <v>173</v>
          </cell>
          <cell r="H114">
            <v>198.95</v>
          </cell>
          <cell r="I114" t="str">
            <v>lj^"dLg ;d]t</v>
          </cell>
        </row>
        <row r="115">
          <cell r="A115" t="str">
            <v>F16</v>
          </cell>
          <cell r="C115">
            <v>15.2</v>
          </cell>
          <cell r="D115" t="str">
            <v xml:space="preserve">b'O{ sf]6 ;km{]; 8|\]l;Ë ug{] sfd . -bfp/fjf6 df; js{ tyf :6Ln JxLn /f]n/ k|of]u u/L_ -lj6'dLg jfx]s_ </v>
          </cell>
          <cell r="E115" t="str">
            <v>j=dL=</v>
          </cell>
          <cell r="G115">
            <v>0</v>
          </cell>
          <cell r="H115">
            <v>0</v>
          </cell>
          <cell r="I115" t="str">
            <v>lj^'ldg afx]s</v>
          </cell>
        </row>
        <row r="116">
          <cell r="A116" t="str">
            <v>F17</v>
          </cell>
          <cell r="C116">
            <v>15.2</v>
          </cell>
          <cell r="D116" t="str">
            <v>b'O{ sf]6 ;km{]; 8|\]l;Ë ug{] sfd .  -bfp/fjf6df; js{ tyf Go"d]l6s /f]n/ /f]n/ k|of]u u/L_ -lj6'dLg ;d]t_</v>
          </cell>
          <cell r="E116" t="str">
            <v>j=dL=</v>
          </cell>
          <cell r="G116">
            <v>177.50434782608696</v>
          </cell>
          <cell r="H116">
            <v>204.13</v>
          </cell>
          <cell r="I116" t="str">
            <v>lj^'ldg ;d]t</v>
          </cell>
        </row>
        <row r="117">
          <cell r="A117" t="str">
            <v>F18</v>
          </cell>
          <cell r="C117">
            <v>15.2</v>
          </cell>
          <cell r="D117" t="str">
            <v>b'O{ sf]6 ;km{]; 8|\]l;Ë ug{] sfd .  -bfp/fjf6df; js{ tyf Go"d]l6s /f]n/ /f]n/ k|of]u u/L_ -lj6'dLg jfx]s_</v>
          </cell>
          <cell r="E117" t="str">
            <v>j=dL=</v>
          </cell>
          <cell r="G117">
            <v>0</v>
          </cell>
          <cell r="H117">
            <v>0</v>
          </cell>
          <cell r="I117" t="str">
            <v>lj^'ldg afx]s</v>
          </cell>
        </row>
        <row r="118">
          <cell r="A118" t="str">
            <v>F19</v>
          </cell>
          <cell r="C118" t="str">
            <v>15.21-s_</v>
          </cell>
          <cell r="D118" t="str">
            <v>% ;]=ld= df]6fO{df ;]dLu|fp6LË ug{] sfd -bfp/fjf6 df;js{ _ -lj6'dLg ;d]t_</v>
          </cell>
          <cell r="E118" t="str">
            <v>j=dL=</v>
          </cell>
          <cell r="G118">
            <v>229.18260869565216</v>
          </cell>
          <cell r="H118">
            <v>263.56</v>
          </cell>
          <cell r="I118" t="str">
            <v>lj^"dLg ;d]t</v>
          </cell>
        </row>
        <row r="119">
          <cell r="A119" t="str">
            <v>F20</v>
          </cell>
          <cell r="C119" t="str">
            <v>15.21-s_</v>
          </cell>
          <cell r="D119" t="str">
            <v>% ;]=ld= df]6fO{df ;]dLu|fp6LË ug{] sfd -bfp/fjf6 df;js{ _ -lj6'dLg jfx]s_</v>
          </cell>
          <cell r="E119" t="str">
            <v>j=dL=</v>
          </cell>
          <cell r="G119">
            <v>0</v>
          </cell>
          <cell r="H119">
            <v>0</v>
          </cell>
          <cell r="I119" t="str">
            <v>lj^'ldg afx]s</v>
          </cell>
        </row>
        <row r="120">
          <cell r="A120" t="str">
            <v>F21</v>
          </cell>
          <cell r="C120" t="str">
            <v>15.21-s_</v>
          </cell>
          <cell r="D120" t="str">
            <v>% ;]=ld= df]6fO{df ;]dLu|fp6LË ug{] sfd -bfp/fjf6 Kofrjs{ _ -lj6'dLg ;d]t_</v>
          </cell>
          <cell r="E120" t="str">
            <v>j=dL=</v>
          </cell>
          <cell r="G120">
            <v>243.15652173913043</v>
          </cell>
          <cell r="H120">
            <v>279.63</v>
          </cell>
          <cell r="I120" t="str">
            <v>lj^"dLg ;d]t</v>
          </cell>
        </row>
        <row r="121">
          <cell r="A121" t="str">
            <v>F22</v>
          </cell>
          <cell r="C121" t="str">
            <v>15.21-s_</v>
          </cell>
          <cell r="D121" t="str">
            <v>% ;]=ld= df]6fO{df ;]dLu|fp6LË ug{] sfd -bfp/fjf6 Kofrjs{ _ -lj6'dLg jfx]s_</v>
          </cell>
          <cell r="E121" t="str">
            <v>j=dL=</v>
          </cell>
          <cell r="G121">
            <v>0</v>
          </cell>
          <cell r="H121">
            <v>0</v>
          </cell>
          <cell r="I121" t="str">
            <v>lj^'ldg afx]s</v>
          </cell>
        </row>
        <row r="122">
          <cell r="A122" t="str">
            <v>F23</v>
          </cell>
          <cell r="C122" t="str">
            <v>15.23-s_</v>
          </cell>
          <cell r="D122" t="str">
            <v>l;nsf]6 ug{] sfd sDk]S;g ;d]t-:6LnJxLn /f]n/ tyf bfp/fjf6df; js{_ - lrkl;n _ -lj6'dLg ;d]t_</v>
          </cell>
          <cell r="E122" t="str">
            <v>j=dL=</v>
          </cell>
          <cell r="G122">
            <v>77.8</v>
          </cell>
          <cell r="H122">
            <v>89.47</v>
          </cell>
          <cell r="I122" t="str">
            <v>lj^'ldg ;d]t</v>
          </cell>
        </row>
        <row r="123">
          <cell r="A123" t="str">
            <v>F24</v>
          </cell>
          <cell r="C123" t="str">
            <v>15.23-s_</v>
          </cell>
          <cell r="D123" t="str">
            <v>l;nsf]6 ug{] sfd sDk]S;g ;d]t-:6LnJxLn /f]n/ tyf bfp/fjf6df; js{_ - lrkl;n _ -lj6'dLg jfx]s_</v>
          </cell>
          <cell r="E123" t="str">
            <v>j=dL=</v>
          </cell>
          <cell r="G123">
            <v>0</v>
          </cell>
          <cell r="H123">
            <v>0</v>
          </cell>
          <cell r="I123" t="str">
            <v>lj^'ldg afx]s</v>
          </cell>
        </row>
        <row r="124">
          <cell r="A124" t="str">
            <v>F25</v>
          </cell>
          <cell r="C124" t="str">
            <v>15.23-s_</v>
          </cell>
          <cell r="D124" t="str">
            <v>l;nsf]6 ug{] sfd sDk]S;g ;d]t -Go"d]l6s /f]n/ tyf bfp/fjf6 df; js{_  - lrkl;n _ -lj6'dLg ;d]t_</v>
          </cell>
          <cell r="E124" t="str">
            <v>j=dL=</v>
          </cell>
          <cell r="G124">
            <v>80.356521739130429</v>
          </cell>
          <cell r="H124">
            <v>92.41</v>
          </cell>
          <cell r="I124" t="str">
            <v>lj^"dLg ;d]t</v>
          </cell>
        </row>
        <row r="125">
          <cell r="A125" t="str">
            <v>F26</v>
          </cell>
          <cell r="C125" t="str">
            <v>15.23-s_</v>
          </cell>
          <cell r="D125" t="str">
            <v>l;nsf]6 ug{] sfd sDk]S;g ;d]t -Go"d]l6s /f]n/ tyf bfp/fjf6 df; js{_  - lrkl;n _ -lj6'dLg jfx]s_</v>
          </cell>
          <cell r="E125" t="str">
            <v>j=dL=</v>
          </cell>
          <cell r="G125">
            <v>0</v>
          </cell>
          <cell r="H125">
            <v>0</v>
          </cell>
          <cell r="I125" t="str">
            <v>lj^'ldg afx]s</v>
          </cell>
        </row>
        <row r="126">
          <cell r="A126" t="str">
            <v>F27</v>
          </cell>
          <cell r="C126" t="str">
            <v>15.23-v_</v>
          </cell>
          <cell r="D126" t="str">
            <v>v;|f] jfn'jfjf6  l;nsf]6 ug{] sfd sDk]S;g ;d]t -Go"d]l6s /f]n/ tyf bfp/fjf6 df;js{ _ -lj6'dLg ;d]t_</v>
          </cell>
          <cell r="E126" t="str">
            <v>j=dL=</v>
          </cell>
          <cell r="G126">
            <v>57.817391304347815</v>
          </cell>
          <cell r="H126">
            <v>66.489999999999995</v>
          </cell>
          <cell r="I126" t="str">
            <v>lj^"dLg ;d]t</v>
          </cell>
        </row>
        <row r="127">
          <cell r="A127" t="str">
            <v>F28</v>
          </cell>
          <cell r="C127" t="str">
            <v>15.23-v_</v>
          </cell>
          <cell r="D127" t="str">
            <v>v;|f] jfn'jfjf6  l;nsf]6 ug{] sfd sDk]S;g ;d]t -Go"d]l6s /f]n/ tyf bfp/fjf6 df;js{ _ -lj6'dLg jfx]s_</v>
          </cell>
          <cell r="E127" t="str">
            <v>j=dL=</v>
          </cell>
          <cell r="G127">
            <v>0</v>
          </cell>
          <cell r="H127">
            <v>0</v>
          </cell>
          <cell r="I127" t="str">
            <v>lj^'ldg afx]s</v>
          </cell>
        </row>
        <row r="128">
          <cell r="A128" t="str">
            <v>F29</v>
          </cell>
          <cell r="C128" t="str">
            <v>15.24-s_</v>
          </cell>
          <cell r="D128" t="str">
            <v>$) ld=ld= df]6fO{sf lk|ldS; sfk{]6 ug{] sfd sDk]S;g ;d]t -bfp/fjf6 df;js{ _ -lj6'dLg ;d]t_</v>
          </cell>
          <cell r="E128" t="str">
            <v>j=dL=</v>
          </cell>
          <cell r="G128">
            <v>264.17391304347825</v>
          </cell>
          <cell r="H128">
            <v>303.8</v>
          </cell>
          <cell r="I128" t="str">
            <v>lj^'ldg ;d]t</v>
          </cell>
        </row>
        <row r="129">
          <cell r="A129" t="str">
            <v>F30</v>
          </cell>
          <cell r="C129" t="str">
            <v>15.24-s_</v>
          </cell>
          <cell r="D129" t="str">
            <v>$) ld=ld= df]6fO{sf lk|ldS; sfk{]6 ug{] sfd sDk]S;g ;d]t -bfp/fjf6 df;js{ _ -lj6'dLg jfx]s_</v>
          </cell>
          <cell r="E129" t="str">
            <v>j=dL=</v>
          </cell>
          <cell r="G129">
            <v>0</v>
          </cell>
          <cell r="H129">
            <v>0</v>
          </cell>
          <cell r="I129" t="str">
            <v>lj^'ldg afx]s</v>
          </cell>
        </row>
        <row r="130">
          <cell r="A130" t="str">
            <v>F31</v>
          </cell>
          <cell r="C130" t="str">
            <v>15.24-v_</v>
          </cell>
          <cell r="D130" t="str">
            <v>@) ld=ld= df]6fO{sf lk|ldS; sfk{]6 ug{] sfd sDk]S;g ;d]t -bfp/fjf6 df; js{ tyf b'a} /f]n/ k|of]u u/L_ -lj6'dLg ;d]t_</v>
          </cell>
          <cell r="E130" t="str">
            <v>j=dL=</v>
          </cell>
          <cell r="G130">
            <v>123.87826086956522</v>
          </cell>
          <cell r="H130">
            <v>142.46</v>
          </cell>
          <cell r="I130" t="str">
            <v>lj^"dLg ;d]t</v>
          </cell>
        </row>
        <row r="131">
          <cell r="A131" t="str">
            <v>F32</v>
          </cell>
          <cell r="C131" t="str">
            <v>15.24-v_</v>
          </cell>
          <cell r="D131" t="str">
            <v>@) ld=ld= df]6fO{sf lk|ldS; sfk{]6 ug{] sfd sDk]S;g ;d]t -bfp/fjf6 df; js{ tyf b'a} /f]n/ k|of]u u/L_ -lj6'dLg jfx]s_</v>
          </cell>
          <cell r="E131" t="str">
            <v>j=dL=</v>
          </cell>
          <cell r="G131">
            <v>0</v>
          </cell>
          <cell r="H131">
            <v>0</v>
          </cell>
          <cell r="I131" t="str">
            <v>lj^'ldg afx]s</v>
          </cell>
        </row>
        <row r="132">
          <cell r="A132" t="str">
            <v>F33</v>
          </cell>
          <cell r="C132" t="str">
            <v>15.24-v_</v>
          </cell>
          <cell r="D132" t="str">
            <v>@) ld=ld= df]6fO{sf lk|ldS; sfk{]6 ug{] sfd sDk]S;g ;d]t -bfp/fjf6 df; js{ tyf :6LnJxLn /f]n/ dfq k|of]u u/L_ -lj6'dLg ;d]t_</v>
          </cell>
          <cell r="E132" t="str">
            <v>j=dL=</v>
          </cell>
          <cell r="G132">
            <v>111.87826086956522</v>
          </cell>
          <cell r="H132">
            <v>128.66</v>
          </cell>
          <cell r="I132" t="str">
            <v>lj^"dLg ;d]t</v>
          </cell>
        </row>
        <row r="133">
          <cell r="A133" t="str">
            <v>F34</v>
          </cell>
          <cell r="C133" t="str">
            <v>15.24-v_</v>
          </cell>
          <cell r="D133" t="str">
            <v>@) ld=ld= df]6fO{sf lk|ldS; sfk{]6 ug{] sfd sDk]S;g ;d]t -bfp/fjf6 df; js{ tyf :6LnJxLn /f]n/ dfq k|of]u u/L_ -lj6'dLg jfx]s_</v>
          </cell>
          <cell r="E133" t="str">
            <v>j=dL=</v>
          </cell>
          <cell r="G133">
            <v>0</v>
          </cell>
          <cell r="H133">
            <v>0</v>
          </cell>
          <cell r="I133" t="str">
            <v>lj^'ldg afx]s</v>
          </cell>
        </row>
        <row r="134">
          <cell r="A134" t="str">
            <v>F35</v>
          </cell>
          <cell r="C134" t="str">
            <v>15.24-v_</v>
          </cell>
          <cell r="D134" t="str">
            <v>@) ld=ld= df]6fO{sf lk|ldS; sfk{]6 ug{] sfd sDk]S;g ;d]t -bfp/fjf6 Kofr sfo{sf] nflu tyf :6LnJxLn /f]n/ dfq k|of]u u/L _ -lj6'dLg ;d]t_</v>
          </cell>
          <cell r="E134" t="str">
            <v>j=dL=</v>
          </cell>
          <cell r="G134">
            <v>118.85217391304347</v>
          </cell>
          <cell r="H134">
            <v>136.68</v>
          </cell>
          <cell r="I134" t="str">
            <v>lj^'ldg ;d]t</v>
          </cell>
        </row>
        <row r="135">
          <cell r="A135" t="str">
            <v>F36</v>
          </cell>
          <cell r="C135" t="str">
            <v>15.24-v_</v>
          </cell>
          <cell r="D135" t="str">
            <v>@) ld=ld= df]6fO{sf lk|ldS; sfk{]6 ug{] sfd sDk]S;g ;d]t -bfp/fjf6 Kofr sfo{sf] nflu tyf :6LnJxLn /f]n/ dfq k|of]u u/L _ -lj6'dLg jfx]s_</v>
          </cell>
          <cell r="E135" t="str">
            <v>j=dL=</v>
          </cell>
          <cell r="G135">
            <v>0</v>
          </cell>
          <cell r="H135">
            <v>0</v>
          </cell>
          <cell r="I135" t="str">
            <v>lj^'ldg afx]s</v>
          </cell>
        </row>
        <row r="136">
          <cell r="A136" t="str">
            <v>F37</v>
          </cell>
          <cell r="C136" t="str">
            <v>15.17-s_</v>
          </cell>
          <cell r="D136" t="str">
            <v>k'/fgf] lkr ;tx dfyL dfn ;fdfg pknJw u/L 6}+s sf]6 nufpg] sfd . -dl§t]njf6 df; js{||_ -lj6'dLg ;d]t_</v>
          </cell>
          <cell r="E136" t="str">
            <v>j=dL=</v>
          </cell>
          <cell r="G136">
            <v>27.878260869565217</v>
          </cell>
          <cell r="H136">
            <v>32.06</v>
          </cell>
          <cell r="I136" t="str">
            <v>lj^'ldg ;d]t</v>
          </cell>
        </row>
        <row r="137">
          <cell r="A137" t="str">
            <v>F38</v>
          </cell>
          <cell r="C137" t="str">
            <v>15.17-s_</v>
          </cell>
          <cell r="D137" t="str">
            <v>k'/fgf] lkr ;tx dfyL dfn ;fdfg pknJw u/L 6}+s sf]6 nufpg] sfd . -dl§t]njf6 df; js{||_ -lj6'dLg jfx]s_</v>
          </cell>
          <cell r="E137" t="str">
            <v>j=dL=</v>
          </cell>
          <cell r="G137">
            <v>0</v>
          </cell>
          <cell r="H137">
            <v>0</v>
          </cell>
          <cell r="I137" t="str">
            <v>lj^'ldg afx]s</v>
          </cell>
        </row>
        <row r="138">
          <cell r="A138" t="str">
            <v>F39</v>
          </cell>
          <cell r="C138" t="str">
            <v>15.17-v_</v>
          </cell>
          <cell r="D138" t="str">
            <v xml:space="preserve"> a];sf];{-;tx_ dfyL dfn ;fdfg pknJw u/L 6}+s sf]6 nufpg] sfd . -dl§t]njf6 df; js{||_ -lj6'dLg ;d]t_</v>
          </cell>
          <cell r="E138" t="str">
            <v>j=dL=</v>
          </cell>
          <cell r="G138">
            <v>0</v>
          </cell>
          <cell r="H138">
            <v>0</v>
          </cell>
          <cell r="I138" t="str">
            <v>lj^"dLg ;d]t</v>
          </cell>
        </row>
        <row r="139">
          <cell r="A139" t="str">
            <v>F40</v>
          </cell>
          <cell r="C139" t="str">
            <v>15.17-v_</v>
          </cell>
          <cell r="D139" t="str">
            <v xml:space="preserve"> a];sf];{-;tx_ dfyL dfn ;fdfg pknJw u/L 6}+s sf]6 nufpg] sfd . -dl§t]njf6 df; js{||_ -lj6'dLg jfx]s_</v>
          </cell>
          <cell r="E139" t="str">
            <v>j=dL=</v>
          </cell>
          <cell r="G139">
            <v>0</v>
          </cell>
          <cell r="H139">
            <v>0</v>
          </cell>
          <cell r="I139" t="str">
            <v>lj^'ldg afx]s</v>
          </cell>
        </row>
        <row r="140">
          <cell r="A140" t="str">
            <v>F41</v>
          </cell>
          <cell r="C140" t="str">
            <v>15.18-s_</v>
          </cell>
          <cell r="D140" t="str">
            <v>k'/fgf] lkr ;tx dfyL dfn ;fdfg pknJw u/L k|fOd sf]6 nufpg] sfd . -dl§t]njf6 df; js{|| tyf s6Jofs %) Ü_ -lj6'dLg ;d]t_</v>
          </cell>
          <cell r="E140" t="str">
            <v>j=dL=</v>
          </cell>
          <cell r="G140">
            <v>0</v>
          </cell>
          <cell r="H140">
            <v>0</v>
          </cell>
          <cell r="I140" t="str">
            <v>lj^'ldg ;d]t</v>
          </cell>
        </row>
        <row r="141">
          <cell r="A141" t="str">
            <v>F42</v>
          </cell>
          <cell r="C141" t="str">
            <v>15.18-s_</v>
          </cell>
          <cell r="D141" t="str">
            <v>k'/fgf] lkr ;tx dfyL dfn ;fdfg pknJw u/L k|fOd sf]6 nufpg] sfd . -dl§t]njf6 df; js{|| tyf s6Jofs %) Ü_ -lj6'dLg jfx]s_</v>
          </cell>
          <cell r="E141" t="str">
            <v>j=dL=</v>
          </cell>
          <cell r="G141">
            <v>0</v>
          </cell>
          <cell r="H141">
            <v>0</v>
          </cell>
          <cell r="I141" t="str">
            <v>lj^'ldg afx]s</v>
          </cell>
        </row>
        <row r="142">
          <cell r="A142" t="str">
            <v>F43</v>
          </cell>
          <cell r="C142" t="str">
            <v>15.18-v_</v>
          </cell>
          <cell r="D142" t="str">
            <v>a];sf];{ dfly k|fOd sf]6 nufpg] sfd dfn ;fdfg pknJw u/L  . -dl§t]njf6 df; js{ tyf s6Jofs %) Ü_ -lj6'dLg ;d]t_</v>
          </cell>
          <cell r="E142" t="str">
            <v>j=dL=</v>
          </cell>
          <cell r="G142">
            <v>0</v>
          </cell>
          <cell r="H142">
            <v>0</v>
          </cell>
          <cell r="I142" t="str">
            <v>lj^"dLg ;d]t</v>
          </cell>
        </row>
        <row r="143">
          <cell r="A143" t="str">
            <v>F44</v>
          </cell>
          <cell r="C143" t="str">
            <v>15.18-v_</v>
          </cell>
          <cell r="D143" t="str">
            <v>a];sf];{ dfly k|fOd sf]6 nufpg] sfd dfn ;fdfg pknJw u/L  . -dl§t]njf6 df; js{ tyf s6Jofs %) Ü_ -lj6'dLg jfx]s_</v>
          </cell>
          <cell r="E143" t="str">
            <v>j=dL=</v>
          </cell>
          <cell r="G143">
            <v>0</v>
          </cell>
          <cell r="H143">
            <v>0</v>
          </cell>
          <cell r="I143" t="str">
            <v>lj^'ldg afx]s</v>
          </cell>
        </row>
        <row r="144">
          <cell r="A144" t="str">
            <v>F45</v>
          </cell>
          <cell r="C144">
            <v>15.19</v>
          </cell>
          <cell r="D144" t="str">
            <v>Pssf]6 ;km{]; 8|\]l;Ë ug{] sfd . -dl§t]njf6 df; js{ tyf :6Ln JxLn /f]n/ k|of]u u/L_ -lj6'dLg ;d]t_</v>
          </cell>
          <cell r="E144" t="str">
            <v>j=dL=</v>
          </cell>
          <cell r="G144">
            <v>0</v>
          </cell>
          <cell r="H144">
            <v>0</v>
          </cell>
          <cell r="I144" t="str">
            <v>lj^'ldg ;d]t</v>
          </cell>
        </row>
        <row r="145">
          <cell r="A145" t="str">
            <v>F46</v>
          </cell>
          <cell r="C145">
            <v>15.19</v>
          </cell>
          <cell r="D145" t="str">
            <v>Pssf]6 ;km{]; 8|\]l;Ë ug{] sfd . -dl§t]njf6 df; js{ tyf :6Ln JxLn /f]n/ k|of]u u/L_ -lj6'dLg jfx]s_</v>
          </cell>
          <cell r="E145" t="str">
            <v>j=dL=</v>
          </cell>
          <cell r="G145">
            <v>0</v>
          </cell>
          <cell r="H145">
            <v>0</v>
          </cell>
          <cell r="I145" t="str">
            <v>lj^'ldg afx]s</v>
          </cell>
        </row>
        <row r="146">
          <cell r="A146" t="str">
            <v>F47</v>
          </cell>
          <cell r="C146">
            <v>15.19</v>
          </cell>
          <cell r="D146" t="str">
            <v>Pssf]6 ;km{]; 8|\]l;Ë ug{] sfd . -dl§t]njf6 df; js{ tyf Go'd]]l6s /f]n/ k|of]u u/L_ -lj6'dLg ;d]t_</v>
          </cell>
          <cell r="E146" t="str">
            <v>j=dL=</v>
          </cell>
          <cell r="G146">
            <v>0</v>
          </cell>
          <cell r="H146">
            <v>0</v>
          </cell>
          <cell r="I146" t="str">
            <v>lj^"dLg ;d]t</v>
          </cell>
        </row>
        <row r="147">
          <cell r="A147" t="str">
            <v>F48</v>
          </cell>
          <cell r="C147">
            <v>15.19</v>
          </cell>
          <cell r="D147" t="str">
            <v>Pssf]6 ;km{]; 8|\]l;Ë ug{] sfd . -dl§t]njf6 df; js{ tyf Go'd]]l6s /f]n/ k|of]u u/L_ -lj6'dLg jfx]s_</v>
          </cell>
          <cell r="E147" t="str">
            <v>j=dL=</v>
          </cell>
          <cell r="G147">
            <v>0</v>
          </cell>
          <cell r="H147">
            <v>0</v>
          </cell>
          <cell r="I147" t="str">
            <v>lj^'ldg afx]s</v>
          </cell>
        </row>
        <row r="148">
          <cell r="A148" t="str">
            <v>F49</v>
          </cell>
          <cell r="C148">
            <v>15.2</v>
          </cell>
          <cell r="D148" t="str">
            <v>b'O{ sf]6 ;km{]; 8|\]l;Ë ug{] sfd . -dl§t]njf6 df; js{ tyf :6Ln JxLn /f]n/ k|of]u u/L_ -lj6'dLg ;d]t_</v>
          </cell>
          <cell r="E148" t="str">
            <v>j=dL=</v>
          </cell>
          <cell r="G148">
            <v>0</v>
          </cell>
          <cell r="H148">
            <v>0</v>
          </cell>
          <cell r="I148" t="str">
            <v>lj^'ldg ;d]t</v>
          </cell>
        </row>
        <row r="149">
          <cell r="A149" t="str">
            <v>F50</v>
          </cell>
          <cell r="C149">
            <v>15.2</v>
          </cell>
          <cell r="D149" t="str">
            <v>b'O{ sf]6 ;km{]; 8|\]l;Ë ug{] sfd . -dl§t]njf6 df; js{ tyf :6Ln JxLn /f]n/ k|of]u u/L_ -lj6'dLg jfx]s_</v>
          </cell>
          <cell r="E149" t="str">
            <v>j=dL=</v>
          </cell>
          <cell r="G149">
            <v>0</v>
          </cell>
          <cell r="H149">
            <v>0</v>
          </cell>
          <cell r="I149" t="str">
            <v>lj^'ldg afx]s</v>
          </cell>
        </row>
        <row r="150">
          <cell r="A150" t="str">
            <v>F51</v>
          </cell>
          <cell r="C150">
            <v>15.2</v>
          </cell>
          <cell r="D150" t="str">
            <v>b'O{ sf]6 ;km{]; 8|\]l;Ë ug{] sfd,df; js{ .  -dl§t]njf6 df; js{ tyf Go'd]]l6s /f]n/ k|of]u u/L_ -lj6'dLg ;d]t_</v>
          </cell>
          <cell r="E150" t="str">
            <v>j=dL=</v>
          </cell>
          <cell r="G150">
            <v>0</v>
          </cell>
          <cell r="H150">
            <v>0</v>
          </cell>
          <cell r="I150" t="str">
            <v>lj^"dLg ;d]t</v>
          </cell>
        </row>
        <row r="151">
          <cell r="A151" t="str">
            <v>F52</v>
          </cell>
          <cell r="C151">
            <v>15.2</v>
          </cell>
          <cell r="D151" t="str">
            <v>b'O{ sf]6 ;km{]; 8|\]l;Ë ug{] sfd,df; js{ .  -dl§t]njf6 df; js{ tyf Go'd]]l6s /f]n/ k|of]u u/L_ -lj6'dLg jfx]s_</v>
          </cell>
          <cell r="E151" t="str">
            <v>j=dL=</v>
          </cell>
          <cell r="G151">
            <v>0</v>
          </cell>
          <cell r="H151">
            <v>0</v>
          </cell>
          <cell r="I151" t="str">
            <v>lj^'ldg afx]s</v>
          </cell>
        </row>
        <row r="152">
          <cell r="A152" t="str">
            <v>F53</v>
          </cell>
          <cell r="C152" t="str">
            <v>15.21-s_</v>
          </cell>
          <cell r="D152" t="str">
            <v>% ;]=ld= df]6fO{df ;]dLu|fp6LË ug{] sfd  -lj6'dLg ;d]t_</v>
          </cell>
          <cell r="E152" t="str">
            <v>j=dL=</v>
          </cell>
          <cell r="G152">
            <v>0</v>
          </cell>
          <cell r="H152">
            <v>0</v>
          </cell>
          <cell r="I152" t="str">
            <v>lj^'ldg ;d]t</v>
          </cell>
        </row>
        <row r="153">
          <cell r="A153" t="str">
            <v>F54</v>
          </cell>
          <cell r="C153" t="str">
            <v>15.21-s_</v>
          </cell>
          <cell r="D153" t="str">
            <v>% ;]=ld= df]6fO{df ;]dLu|fp6LË ug{] sfd  -lj6'dLg jfx]s_</v>
          </cell>
          <cell r="E153" t="str">
            <v>j=dL=</v>
          </cell>
          <cell r="G153">
            <v>0</v>
          </cell>
          <cell r="H153">
            <v>0</v>
          </cell>
          <cell r="I153" t="str">
            <v>lj^'ldg afx]s</v>
          </cell>
        </row>
        <row r="154">
          <cell r="A154" t="str">
            <v>F55</v>
          </cell>
          <cell r="C154" t="str">
            <v>15.23-s_</v>
          </cell>
          <cell r="D154" t="str">
            <v xml:space="preserve">  l;nsf]6 ug{] sfd sDk]S;g ;d]t -dl§t]njf6 df; js{  , l:6n lXjn /f]n/ tyf Dffz{n Knf06 k|of]u u/L_ -lj6'dLg ;d]t_</v>
          </cell>
          <cell r="E154" t="str">
            <v>j=dL=</v>
          </cell>
          <cell r="G154">
            <v>0</v>
          </cell>
          <cell r="H154">
            <v>0</v>
          </cell>
          <cell r="I154" t="str">
            <v>lj^'ldg ;d]t</v>
          </cell>
        </row>
        <row r="155">
          <cell r="A155" t="str">
            <v>F56</v>
          </cell>
          <cell r="C155" t="str">
            <v>15.23-s_</v>
          </cell>
          <cell r="D155" t="str">
            <v xml:space="preserve">  l;nsf]6 ug{] sfd sDk]S;g ;d]t -dl§t]njf6 df; js{  , l:6n lXjn /f]n/ tyf Dffz{n Knf06 k|of]u u/L_ -lj6'dLg jfx]s_</v>
          </cell>
          <cell r="E155" t="str">
            <v>j=dL=</v>
          </cell>
          <cell r="G155">
            <v>0</v>
          </cell>
          <cell r="H155">
            <v>0</v>
          </cell>
          <cell r="I155" t="str">
            <v>lj^'ldg afx]s</v>
          </cell>
        </row>
        <row r="156">
          <cell r="A156" t="str">
            <v>F57</v>
          </cell>
          <cell r="C156" t="str">
            <v>15.23-s_</v>
          </cell>
          <cell r="D156" t="str">
            <v xml:space="preserve">  l;nsf]6 ug{] sfd sDk]S;g ;d]t  -dl§t]njf6 df; js{  , Go"d]l6s /f]n/ tyf Dffz{n Knf06 k|of]u u/L_ -lj6'dLg ;d]t_</v>
          </cell>
          <cell r="E156" t="str">
            <v>j=dL=</v>
          </cell>
          <cell r="G156">
            <v>0</v>
          </cell>
          <cell r="H156">
            <v>0</v>
          </cell>
          <cell r="I156" t="str">
            <v>lj^"dLg ;d]t</v>
          </cell>
        </row>
        <row r="157">
          <cell r="A157" t="str">
            <v>F58</v>
          </cell>
          <cell r="C157" t="str">
            <v>15.23-s_</v>
          </cell>
          <cell r="D157" t="str">
            <v xml:space="preserve">  l;nsf]6 ug{] sfd sDk]S;g ;d]t  -dl§t]njf6 df; js{  , Go"d]l6s /f]n/ tyf Dffz{n Knf06 k|of]u u/L_ -lj6'dLg jfx]s_</v>
          </cell>
          <cell r="E157" t="str">
            <v>j=dL=</v>
          </cell>
          <cell r="G157">
            <v>0</v>
          </cell>
          <cell r="H157">
            <v>0</v>
          </cell>
          <cell r="I157" t="str">
            <v>lj^'ldg afx]s</v>
          </cell>
        </row>
        <row r="158">
          <cell r="A158" t="str">
            <v>F59</v>
          </cell>
          <cell r="C158" t="str">
            <v>15.23-v_</v>
          </cell>
          <cell r="D158" t="str">
            <v>v;|f] jfn'jfjf6  l;nsf]6 ug{] sfd sDk]S;g ;d]t -dl§t]njf6 df; js{  , Go"d]l6s /f]n/ tyf Dffz{n Knf06 k|of]u u/L_ -lj6'dLg ;d]t_</v>
          </cell>
          <cell r="E158" t="str">
            <v>j=dL=</v>
          </cell>
          <cell r="G158">
            <v>55.095652173913045</v>
          </cell>
          <cell r="H158">
            <v>63.36</v>
          </cell>
          <cell r="I158" t="str">
            <v>lj^'ldg ;d]t</v>
          </cell>
        </row>
        <row r="159">
          <cell r="A159" t="str">
            <v>F60</v>
          </cell>
          <cell r="C159" t="str">
            <v>15.23-v_</v>
          </cell>
          <cell r="D159" t="str">
            <v>v;|f] jfn'jfjf6  l;nsf]6 ug{] sfd sDk]S;g ;d]t -dl§t]njf6 df; js{  , Go"d]l6s /f]n/ tyf Dffz{n Knf06 k|of]u u/L_ -lj6'dLg jfx]s_</v>
          </cell>
          <cell r="E159" t="str">
            <v>j=dL=</v>
          </cell>
          <cell r="G159">
            <v>0</v>
          </cell>
          <cell r="H159">
            <v>0</v>
          </cell>
          <cell r="I159" t="str">
            <v>lj^'ldg afx]s</v>
          </cell>
        </row>
        <row r="160">
          <cell r="A160" t="str">
            <v>F61</v>
          </cell>
          <cell r="C160" t="str">
            <v>15.23-v_</v>
          </cell>
          <cell r="D160" t="str">
            <v>v;|f] jfn'jfjf6  l;nsf]6 ug{] sfd sDk]S;g ;d]t -dl§t]njf6 df; js{ , :6Ln /f]n/ tyf Dffz{n Knf06 k|of]u u/L_ -lj6'dLg ;d]t_</v>
          </cell>
          <cell r="E160" t="str">
            <v>j=dL=</v>
          </cell>
          <cell r="G160">
            <v>0</v>
          </cell>
          <cell r="H160">
            <v>0</v>
          </cell>
          <cell r="I160" t="str">
            <v>lj^"dLg ;d]t</v>
          </cell>
        </row>
        <row r="161">
          <cell r="A161" t="str">
            <v>F62</v>
          </cell>
          <cell r="C161" t="str">
            <v>15.23-v_</v>
          </cell>
          <cell r="D161" t="str">
            <v>v;|f] jfn'jfjf6  l;nsf]6 ug{] sfd sDk]S;g ;d]t -dl§t]njf6 df; js{ , :6Ln /f]n/ tyf Dffz{n Knf06 k|of]u u/L_ -lj6'dLg jfx]s_</v>
          </cell>
          <cell r="E161" t="str">
            <v>j=dL=</v>
          </cell>
          <cell r="G161">
            <v>0</v>
          </cell>
          <cell r="H161">
            <v>0</v>
          </cell>
          <cell r="I161" t="str">
            <v>lj^'ldg afx]s</v>
          </cell>
        </row>
        <row r="162">
          <cell r="A162" t="str">
            <v>F63</v>
          </cell>
          <cell r="C162" t="str">
            <v>15.24-s_</v>
          </cell>
          <cell r="D162" t="str">
            <v xml:space="preserve">$) ld=ld= df]6fO{sf lk|ldS; sfk{]6 ug{] sfd sDk]S;g ;d]t . -dl§t]njf6 df; js{ , b'a} /f]n/ tyf Dffz{n Knf06 k|of]u u/L_ -lj6'dLg ;d]t_                           </v>
          </cell>
          <cell r="E162" t="str">
            <v>j=dL=</v>
          </cell>
          <cell r="G162">
            <v>256.88</v>
          </cell>
          <cell r="H162">
            <v>295.41000000000003</v>
          </cell>
          <cell r="I162" t="str">
            <v>lj^'ldg ;d]t</v>
          </cell>
        </row>
        <row r="163">
          <cell r="A163" t="str">
            <v>F64</v>
          </cell>
          <cell r="C163" t="str">
            <v>15.24-s_</v>
          </cell>
          <cell r="D163" t="str">
            <v xml:space="preserve">$) ld=ld= df]6fO{sf lk|ldS; sfk{]6 ug{] sfd sDk]S;g ;d]t . -dl§t]njf6 df; js{ , b'a} /f]n/ tyf Dffz{n Knf06 k|of]u u/L_ -lj6'dLg jfx]s_                           </v>
          </cell>
          <cell r="E163" t="str">
            <v>j=dL=</v>
          </cell>
          <cell r="G163">
            <v>0</v>
          </cell>
          <cell r="H163">
            <v>0</v>
          </cell>
          <cell r="I163" t="str">
            <v>lj^'ldg afx]s</v>
          </cell>
        </row>
        <row r="164">
          <cell r="A164" t="str">
            <v>F65</v>
          </cell>
          <cell r="C164" t="str">
            <v>15.24-v_</v>
          </cell>
          <cell r="D164" t="str">
            <v>@) ld=ld= df]6fO{sf lk|ldS; sfk{]6 ug{] sfd sDk]S;g ;d]t -dl§t]njf6 df; js{ , :6Ln /f]n/ dfq tyf Dffz{n Knf06 k|of]u u/L_ -lj6'dLg ;d]t_</v>
          </cell>
          <cell r="E164" t="str">
            <v>j=dL=</v>
          </cell>
          <cell r="G164">
            <v>118.45217391304348</v>
          </cell>
          <cell r="H164">
            <v>136.22</v>
          </cell>
          <cell r="I164" t="str">
            <v>lj^"dLg ;d]t</v>
          </cell>
        </row>
        <row r="165">
          <cell r="A165" t="str">
            <v>F66</v>
          </cell>
          <cell r="C165" t="str">
            <v>15.24-v_</v>
          </cell>
          <cell r="D165" t="str">
            <v>@) ld=ld= df]6fO{sf lk|ldS; sfk{]6 ug{] sfd sDk]S;g ;d]t -dl§t]njf6 df; js{ , :6Ln /f]n/ dfq tyf Dffz{n Knf06 k|of]u u/L_ -lj6'dLg jfx]s_</v>
          </cell>
          <cell r="E165" t="str">
            <v>j=dL=</v>
          </cell>
          <cell r="G165">
            <v>0</v>
          </cell>
          <cell r="H165">
            <v>0</v>
          </cell>
          <cell r="I165" t="str">
            <v>lj^'ldg afx]s</v>
          </cell>
        </row>
        <row r="166">
          <cell r="A166" t="str">
            <v>F67</v>
          </cell>
          <cell r="C166" t="str">
            <v>15.24-v_</v>
          </cell>
          <cell r="D166" t="str">
            <v>@) ld=ld= df]6fO{sf lk|ldS; sfk{]6 ug{] sfd sDk]S;g ;d]t -dl§t]njf6 df; js{ , b'a /f]n/ tyf Dffz{n Knf06 k|of]u u/L_ -lj6'dLg ;d]t_</v>
          </cell>
          <cell r="E166" t="str">
            <v>j=dL=</v>
          </cell>
          <cell r="G166">
            <v>130.46956521739131</v>
          </cell>
          <cell r="H166">
            <v>150.04</v>
          </cell>
          <cell r="I166" t="str">
            <v>lj^'ldg ;d]t</v>
          </cell>
        </row>
        <row r="167">
          <cell r="A167" t="str">
            <v>F68</v>
          </cell>
          <cell r="C167" t="str">
            <v>15.24-v_</v>
          </cell>
          <cell r="D167" t="str">
            <v>@) ld=ld= df]6fO{sf lk|ldS; sfk{]6 ug{] sfd sDk]S;g ;d]t -dl§t]njf6 df; js{ , b'a /f]n/ tyf Dffz{n Knf06 k|of]u u/L_ -lj6'dLg jfx]s_</v>
          </cell>
          <cell r="E167" t="str">
            <v>j=dL=</v>
          </cell>
          <cell r="G167">
            <v>0</v>
          </cell>
          <cell r="H167">
            <v>0</v>
          </cell>
          <cell r="I167" t="str">
            <v>lj^'ldg afx]s</v>
          </cell>
        </row>
        <row r="168">
          <cell r="A168" t="str">
            <v>G1</v>
          </cell>
          <cell r="C168" t="str">
            <v>16.5-s_</v>
          </cell>
          <cell r="D168" t="str">
            <v>Uofljog agfpg] sfd tf/ sf6\g], a'Gg] cflb sfd ;d]t if6sf]0fLo d]; ;fOh !))Û!@) ldld, d]; tf/ !) P; 8Jn' lh ;]Nj]h tf/ * P; 8Jn' lh       -x]le lh+s sf]6]8_ afs; ;fO{h @dL=x !dL=x !dL=</v>
          </cell>
          <cell r="E168" t="str">
            <v>afs;</v>
          </cell>
          <cell r="G168">
            <v>1046.4695652173914</v>
          </cell>
          <cell r="H168">
            <v>1203.44</v>
          </cell>
        </row>
        <row r="169">
          <cell r="A169" t="str">
            <v>G2</v>
          </cell>
          <cell r="C169" t="str">
            <v>16.5-v_</v>
          </cell>
          <cell r="D169" t="str">
            <v>Uofljog agfpg] sfd tf/ sf6\g], a'Gg] cflb sfd ;d]t if6sf]0fLo d]; ;fOh !))Û!@) ldld, d]; tf/ !) P; 8Jn' lh ;]Nj]h tf/ * P; 8Jn' lh       -x]le lh+s sf]6]8_ afs; ;fO{h #dL=x !dL=x !dL=</v>
          </cell>
          <cell r="E169" t="str">
            <v>afs;</v>
          </cell>
          <cell r="G169">
            <v>1499.4695652173914</v>
          </cell>
          <cell r="H169">
            <v>1724.39</v>
          </cell>
        </row>
        <row r="170">
          <cell r="A170" t="str">
            <v>G3</v>
          </cell>
          <cell r="C170" t="str">
            <v>16.5-u_</v>
          </cell>
          <cell r="D170" t="str">
            <v>Uofljog agfpg] sfd tf/ sf6\g], a'Gg] cflb sfd ;d]t if6sf]0fLo d]; ;fOh !))Û!@) ldld, d]; tf/ !) P; 8Jn' lh ;]Nj]h tf/ * P; 8Jn' lh       -x]le lh+s sf]6]8_ afs; ;fO{h @dL=x !dL=x )=%dL=</v>
          </cell>
          <cell r="E170" t="str">
            <v>afs;</v>
          </cell>
          <cell r="G170">
            <v>726.07826086956527</v>
          </cell>
          <cell r="H170">
            <v>834.99</v>
          </cell>
        </row>
        <row r="171">
          <cell r="A171" t="str">
            <v>G4</v>
          </cell>
          <cell r="C171" t="str">
            <v>16.5-#_</v>
          </cell>
          <cell r="D171" t="str">
            <v>Uofljog agfpg] sfd tf/ sf6\g], a'Gg] cflb sfd ;d]t if6sf]0fLo d]; ;fOh !))Û!@) ldld, d]; tf/ !) P; 8Jn' lh ;]Nj]h tf/ * P; 8Jn' lh       -x]le lh+s sf]6]8_ afs; ;fO{h #dL=x !dL=x )=%dL=</v>
          </cell>
          <cell r="E171" t="str">
            <v>afs;</v>
          </cell>
          <cell r="G171">
            <v>1049.9739130434782</v>
          </cell>
          <cell r="H171">
            <v>1207.47</v>
          </cell>
        </row>
        <row r="172">
          <cell r="A172" t="str">
            <v>G5</v>
          </cell>
          <cell r="C172" t="str">
            <v>16.7-s_</v>
          </cell>
          <cell r="D172" t="str">
            <v>Uofljog lgdf{0f ug{] 7fpdf /fVg] tGsfpg] tf/4f/f jS;f jfWg], dfyLjf6 aGb ug{] lh cfO jfO08LË tf/ !@ P; 8Jn' lh -x]le lh+s sf]6]8_ .          afs; ;fO{h @dL=x !dL=x !dL=</v>
          </cell>
          <cell r="E172" t="str">
            <v>afs;</v>
          </cell>
          <cell r="G172">
            <v>78.304347826086953</v>
          </cell>
          <cell r="H172">
            <v>90.05</v>
          </cell>
        </row>
        <row r="173">
          <cell r="A173" t="str">
            <v>G6</v>
          </cell>
          <cell r="C173" t="str">
            <v>16.7-v_</v>
          </cell>
          <cell r="D173" t="str">
            <v>Uofljog lgdf{0f ug{] 7fpdf /fVg] tGsfpg] tf/4f/f jS;f jfWg], dfyLjf6 aGb ug{] lh cfO jfO08LË tf/ !@ P; 8Jn' lh -x]le lh+s sf]6]8_ .             afs; ;fO{h #dL=x !dL=x !dL=</v>
          </cell>
          <cell r="E173" t="str">
            <v>afs;</v>
          </cell>
          <cell r="G173">
            <v>112.95652173913044</v>
          </cell>
          <cell r="H173">
            <v>129.9</v>
          </cell>
        </row>
        <row r="174">
          <cell r="A174" t="str">
            <v>G7</v>
          </cell>
          <cell r="C174" t="str">
            <v>16.7-u_</v>
          </cell>
          <cell r="D174" t="str">
            <v>Uofljog lgdf{0f ug{] 7fpdf /fVg] tGsfpg] tf/4f/f jS;f jfWg], dfyLjf6 aGb ug{] lh cfO jfO08LË tf/ !@ P; 8Jn' lh -x]le lh+s sf]6]8_ .            afs; ;fO{h @dL=x !dL=x )=%dL=</v>
          </cell>
          <cell r="E174" t="str">
            <v>afs;</v>
          </cell>
          <cell r="G174">
            <v>47.278260869565216</v>
          </cell>
          <cell r="H174">
            <v>54.37</v>
          </cell>
        </row>
        <row r="175">
          <cell r="A175" t="str">
            <v>G8</v>
          </cell>
          <cell r="C175" t="str">
            <v>16.7-#_</v>
          </cell>
          <cell r="D175" t="str">
            <v>Uofljog lgdf{0f ug{] 7fpdf /fVg] tGsfpg] tf/4f/f jS;f jfWg], dfyLjf6 aGb ug{] lh cfO jfO08LË tf/ !@ P; 8Jn' lh -x]le lh+s sf]6]8_ .           afs; ;fO{h #dL=x !dL=x )=%dL=</v>
          </cell>
          <cell r="E175" t="str">
            <v>afs;</v>
          </cell>
          <cell r="G175">
            <v>67.304347826086968</v>
          </cell>
          <cell r="H175">
            <v>77.400000000000006</v>
          </cell>
        </row>
        <row r="176">
          <cell r="A176" t="str">
            <v>G9</v>
          </cell>
          <cell r="C176">
            <v>16.11</v>
          </cell>
          <cell r="D176" t="str">
            <v>Uofljog s|]6df 9'Ëf eg{] sfd #) ld= ;Dd jf]sfgL ;d]t  -x]le lh+s sf]6]8_ .</v>
          </cell>
          <cell r="E176" t="str">
            <v>#=dL=</v>
          </cell>
          <cell r="G176">
            <v>1296.0173913043479</v>
          </cell>
          <cell r="H176">
            <v>1490.42</v>
          </cell>
        </row>
        <row r="177">
          <cell r="A177" t="str">
            <v>G10</v>
          </cell>
          <cell r="C177">
            <v>16.190000000000001</v>
          </cell>
          <cell r="D177" t="str">
            <v>afF;sf] ^ dL=dL= b]lv * dL=dL= Jof;sf] kfO{n agfO{ 7f]Sg] sfd, gfkL cg';f/sf] sf6\g] / 6'Kkf ltvfg]{ ;d]t kfO{nsf] ;+Vof * hldgdf uf8\g] !=@% dL=</v>
          </cell>
          <cell r="E177" t="str">
            <v>Ps %]sf</v>
          </cell>
          <cell r="G177">
            <v>253.8782608695652</v>
          </cell>
          <cell r="H177">
            <v>291.95999999999998</v>
          </cell>
        </row>
        <row r="178">
          <cell r="A178" t="str">
            <v>G11</v>
          </cell>
          <cell r="C178">
            <v>16.23</v>
          </cell>
          <cell r="D178" t="str">
            <v>l;d]G6sf] vfnL jf]/fdf :yfgLo jfn'jf e/L To;sf] d'v l;P/ 7fpFdf /fVg] sfd   - !) dL= ;Ddsf] b'/Ldf 9'jfgL ug]{ ;d]t_ .</v>
          </cell>
          <cell r="E178" t="str">
            <v>Ps af]/f</v>
          </cell>
          <cell r="G178">
            <v>2412.4956521739132</v>
          </cell>
          <cell r="H178">
            <v>2774.37</v>
          </cell>
        </row>
        <row r="179">
          <cell r="A179" t="str">
            <v>G12</v>
          </cell>
          <cell r="C179" t="str">
            <v>16.5,     16.7,/  16.11</v>
          </cell>
          <cell r="D179" t="str">
            <v>Uofljog agfpg] sfd tf/ sf6\g], a'Gg] cflb sfd ;d]t if6sf]0fLo d]; ;fOh !))Û!@) ldld, d]; tf/ !) P; 8Jn' lh ;]Nj]h tf/ * P; 8Jn' lh afs; ;fO{h .Uofljog lgdf{0f ug{] 7fpdf /fVg] tGsfpg] tf/4f/f jS;f jfWg], dfyLjf6 aGb ug{] lh cfO jfO08LË tf/ !@ P; 8Jn' lh -</v>
          </cell>
          <cell r="E179" t="str">
            <v>#=dL+</v>
          </cell>
          <cell r="G179">
            <v>1858.4086956521739</v>
          </cell>
          <cell r="H179">
            <v>2137.17</v>
          </cell>
        </row>
        <row r="180">
          <cell r="A180" t="str">
            <v>G13</v>
          </cell>
          <cell r="C180" t="str">
            <v>16.5,     16.7,/  16.11</v>
          </cell>
          <cell r="D180" t="str">
            <v>Uofljog agfpg] sfd tf/ sf6\g], a'Gg] cflb sfd ;d]t if6sf]0fLo d]; ;fOh !))Û!@) ldld, d]; tf/ !) P; 8Jn' lh ;]Nj]h tf/ * P; 8Jn' lh afs; ;fO{h .Uofljog lgdf{0f ug{] 7fpdf /fVg] tGsfpg] tf/4f/f jS;f jfWg], dfyLjf6 aGb ug{] lh cfO jfO08LË tf/ !@ P; 8Jn' lh -</v>
          </cell>
          <cell r="E180" t="str">
            <v>#=dL+</v>
          </cell>
          <cell r="G180">
            <v>1833.4869565217393</v>
          </cell>
          <cell r="H180">
            <v>2108.5100000000002</v>
          </cell>
        </row>
        <row r="181">
          <cell r="A181" t="str">
            <v>G14</v>
          </cell>
          <cell r="C181" t="str">
            <v>16.5,     16.7,/  16.11</v>
          </cell>
          <cell r="D181" t="str">
            <v>Uofljog agfpg] sfd tf/ sf6\g], a'Gg] cflb sfd ;d]t if6sf]0fLo d]; ;fOh !))Û!@) ldld, d]; tf/ !) P; 8Jn' lh ;]Nj]h tf/ * P; 8Jn' lh afs; ;fO{h .Uofljog lgdf{0f ug{] 7fpdf /fVg] tGsfpg] tf/4f/f jS;f jfWg], dfyLjf6 aGb ug{] lh cfO jfO08LË tf/ !@ P; 8Jn' lh -</v>
          </cell>
          <cell r="E181" t="str">
            <v>#=dL+</v>
          </cell>
          <cell r="G181">
            <v>0</v>
          </cell>
          <cell r="H181">
            <v>0</v>
          </cell>
        </row>
        <row r="182">
          <cell r="A182" t="str">
            <v>G15</v>
          </cell>
          <cell r="C182" t="str">
            <v>16.5,     16.7,/  16.11</v>
          </cell>
          <cell r="D182" t="str">
            <v>Uofljog agfpg] sfd tf/ sf6\g], a'Gg] cflb sfd ;d]t if6sf]0fLo d]; ;fOh !))Û!@) ldld, d]; tf/ !) P; 8Jn' lh ;]Nj]h tf/ * P; 8Jn' lh afs; ;fO{h .Uofljog lgdf{0f ug{] 7fpdf /fVg] tGsfpg] tf/4f/f jS;f jfWg], dfyLjf6 aGb ug{] lh cfO jfO08LË tf/ !@ P; 8Jn' lh -</v>
          </cell>
          <cell r="E182" t="str">
            <v>#=dL+</v>
          </cell>
          <cell r="G182">
            <v>0</v>
          </cell>
          <cell r="H182">
            <v>0</v>
          </cell>
        </row>
        <row r="183">
          <cell r="A183" t="str">
            <v>H1</v>
          </cell>
          <cell r="C183" t="str">
            <v>17.1-s_</v>
          </cell>
          <cell r="D183" t="str">
            <v>Pg kL #÷ !% ;]=ld= Jof;sf] cf/=l;=l;= Xo"d kfO{k / To;nfO{ rflx]g] :k]lzoN; !M@ l;d]G6 jfn'jf sf] d;nfdf / h'6 cflb nufO{ lj5\ofpg] sfd !)) ld= ;Dd 9'jfgL ;d]t . -x\o'd kfOk ;d]t_</v>
          </cell>
          <cell r="E183" t="str">
            <v>/=dL=</v>
          </cell>
          <cell r="G183">
            <v>640.70000000000005</v>
          </cell>
          <cell r="H183">
            <v>23577.8</v>
          </cell>
          <cell r="I183" t="str">
            <v>kfOk ;d]t</v>
          </cell>
        </row>
        <row r="184">
          <cell r="A184" t="str">
            <v>H2</v>
          </cell>
          <cell r="C184" t="str">
            <v>17.1-s_</v>
          </cell>
          <cell r="D184" t="str">
            <v>Pg kL #÷ !% ;]=ld= Jof;sf] cf/=l;=l;= Xo"d kfO{k / To;nfO{ rflx]g] :k]lzoN; !M@ l;d]G6 jfn'jf sf] d;nfdf / h'6 cflb nufO{ lj5\ofpg] sfd !)) ld= ;Dd 9'jfgL ;d]t . -x\o'd kfOk jfx]s_</v>
          </cell>
          <cell r="E184" t="str">
            <v>/=dL=</v>
          </cell>
          <cell r="G184">
            <v>0</v>
          </cell>
          <cell r="H184">
            <v>0</v>
          </cell>
          <cell r="I184" t="str">
            <v>kfOk afx]s</v>
          </cell>
        </row>
        <row r="185">
          <cell r="A185" t="str">
            <v>H3</v>
          </cell>
          <cell r="C185" t="str">
            <v>17.1-v_</v>
          </cell>
          <cell r="D185" t="str">
            <v>Pg kL #÷ @) ;]=ld= Jof;sf] cf/=l;=l;= Xo"d kfO{k / To;nfO{ rflx]g] :k]lzoN; !M@ l;d]G6 jfn'jf sf] d;nfdf / h'6 cflb nufO{ lj5\ofpg] sfd !)) ld= ;Dd 9'jfgL ;d]t . -x\o'd kfOk ;d]t_</v>
          </cell>
          <cell r="E185" t="str">
            <v>/=dL=</v>
          </cell>
          <cell r="G185">
            <v>853.5</v>
          </cell>
          <cell r="H185">
            <v>981.52</v>
          </cell>
          <cell r="I185" t="str">
            <v>kfOk ;d]t</v>
          </cell>
        </row>
        <row r="186">
          <cell r="A186" t="str">
            <v>H4</v>
          </cell>
          <cell r="C186" t="str">
            <v>17.1-v_</v>
          </cell>
          <cell r="D186" t="str">
            <v>Pg kL #÷ @) ;]=ld= Jof;sf] cf/=l;=l;= Xo"d kfO{k / To;nfO{ rflx]g] :k]lzoN; !M@ l;d]G6 jfn'jf sf] d;nfdf / h'6 cflb nufO{ lj5\ofpg] sfd !)) ld= ;Dd 9'jfgL ;d]t . -x\o'd kfOk jfx]s_</v>
          </cell>
          <cell r="E186" t="str">
            <v>/=dL=</v>
          </cell>
          <cell r="G186">
            <v>0</v>
          </cell>
          <cell r="H186">
            <v>0</v>
          </cell>
          <cell r="I186" t="str">
            <v>kfOk afx]s</v>
          </cell>
        </row>
        <row r="187">
          <cell r="A187" t="str">
            <v>H5</v>
          </cell>
          <cell r="C187" t="str">
            <v>17.1-u_</v>
          </cell>
          <cell r="D187" t="str">
            <v>Pg kL #÷ #) ;]=ld= Jof;sf] cf/ l;=l;= Xo"d kfO{k / To;nfO{ rflx]g] :k]lzoN; !M@ l;d]G6 jfn'jf sf] d;nfdf / h'6 cflb nufO{ lj5\ofpg] sfd !)) ld= ;Dd 9'jfgL ;d]t . -x\o'd kfOk ;d]t_</v>
          </cell>
          <cell r="E187" t="str">
            <v>/=dL=</v>
          </cell>
          <cell r="G187">
            <v>1464.4782608695652</v>
          </cell>
          <cell r="H187">
            <v>1684.15</v>
          </cell>
          <cell r="I187" t="str">
            <v>kfOk ;d]t</v>
          </cell>
        </row>
        <row r="188">
          <cell r="A188" t="str">
            <v>H6</v>
          </cell>
          <cell r="C188" t="str">
            <v>17.1-u_</v>
          </cell>
          <cell r="D188" t="str">
            <v>Pg kL #÷ #) ;]=ld= Jof;sf] cf/ l;=l;= Xo"d kfO{k / To;nfO{ rflx]g] :k]lzoN; !M@ l;d]G6 jfn'jf sf] d;nfdf / h'6 cflb nufO{ lj5\ofpg] sfd !)) ld= ;Dd 9'jfgL ;d]t . -x\o'd kfOk jfx]s_</v>
          </cell>
          <cell r="E188" t="str">
            <v>/=dL=</v>
          </cell>
          <cell r="G188">
            <v>0</v>
          </cell>
          <cell r="H188">
            <v>0</v>
          </cell>
          <cell r="I188" t="str">
            <v>kfOk afx]s</v>
          </cell>
        </row>
        <row r="189">
          <cell r="A189" t="str">
            <v>H7</v>
          </cell>
          <cell r="C189" t="str">
            <v>17.1-#_/-ª_</v>
          </cell>
          <cell r="D189" t="str">
            <v>Pg kL #÷ $% ;]=ld= Jof;sf] cf/ l;=l;= Xo"d kfO{k / To;nfO{ rflx]g] :k]lzoN; !M@ l;d]G6 jfn'jf sf] d;nfdf / h'6 cflb nufO{ lj5\ofpg] sfd !)) ld= ;Dd 9'jfgL ;d]t . -x\o'd kfOk ;d]t_</v>
          </cell>
          <cell r="E189" t="str">
            <v>/=dL=</v>
          </cell>
          <cell r="G189">
            <v>2068.84</v>
          </cell>
          <cell r="H189">
            <v>2379.17</v>
          </cell>
          <cell r="I189" t="str">
            <v>kfOk ;d]t</v>
          </cell>
        </row>
        <row r="190">
          <cell r="A190" t="str">
            <v>H8</v>
          </cell>
          <cell r="C190" t="str">
            <v>17.1-#_/-ª_</v>
          </cell>
          <cell r="D190" t="str">
            <v>Pg kL #÷ $% ;]=ld= Jof;sf] cf/ l;=l;= Xo"d kfO{k / To;nfO{ rflx]g] :k]lzoN; !M@ l;d]G6 jfn'jf sf] d;nfdf / h'6 cflb nufO{ lj5\ofpg] sfd !)) ld= ;Dd 9'jfgL ;d]t . -x\o'd kfOk jfx]s_</v>
          </cell>
          <cell r="E190" t="str">
            <v>/=dL=</v>
          </cell>
          <cell r="G190">
            <v>0</v>
          </cell>
          <cell r="H190">
            <v>0</v>
          </cell>
          <cell r="I190" t="str">
            <v>kfOk afx]s</v>
          </cell>
        </row>
        <row r="191">
          <cell r="A191" t="str">
            <v>H9</v>
          </cell>
          <cell r="C191" t="str">
            <v>17.1-r_</v>
          </cell>
          <cell r="D191" t="str">
            <v>Pg kL #÷ ^) ;]=ld= Jof;sf] cf/ l;=l;= Xo"d kfO{k / To;nfO{ rflx]g] :k]lzoN; !M@ l;d]G6 jfn'jf sf] d;nfdf / h'6 cflb nufO{ lj5\ofpg] sfd !)) ld= ;Dd 9'jfgL ;d]t . -x\o'd kfOk ;d]t_</v>
          </cell>
          <cell r="E191" t="str">
            <v>/=dL=</v>
          </cell>
          <cell r="G191">
            <v>4801.3565217391306</v>
          </cell>
          <cell r="H191">
            <v>5521.56</v>
          </cell>
          <cell r="I191" t="str">
            <v>kfOk ;d]t</v>
          </cell>
        </row>
        <row r="192">
          <cell r="A192" t="str">
            <v>H10</v>
          </cell>
          <cell r="C192" t="str">
            <v>17.1-r_</v>
          </cell>
          <cell r="D192" t="str">
            <v>Pg kL #÷ ^) ;]=ld= Jof;sf] cf/ l;=l;= Xo"d kfO{k / To;nfO{ rflx]g] :k]lzoN; !M@ l;d]G6 jfn'jf sf] d;nfdf / h'6 cflb nufO{ lj5\ofpg] sfd !)) ld= ;Dd 9'jfgL ;d]t . -x\o'd kfOk jfx]s_</v>
          </cell>
          <cell r="E192" t="str">
            <v>/=dL=</v>
          </cell>
          <cell r="G192">
            <v>0</v>
          </cell>
          <cell r="H192">
            <v>0</v>
          </cell>
          <cell r="I192" t="str">
            <v>kfOk afx]s</v>
          </cell>
        </row>
        <row r="193">
          <cell r="A193" t="str">
            <v>H11</v>
          </cell>
          <cell r="C193" t="str">
            <v>17.1-h_</v>
          </cell>
          <cell r="D193" t="str">
            <v>Pg kL #÷ () ;]=ld= Jof;sf] cf/ l;=l;= Xo"d kfO{k / To;nfO{ rflx]g] :k]lzoN; !M@ l;d]G6 jfn'jf sf] d;nfdf / h'6 cflb nufO{ lj5\ofpg] sfd !)) ld= ;Dd 9'jfgL ;d]t . -x\o'd kfOk ;d]t_</v>
          </cell>
          <cell r="E193" t="str">
            <v>/=dL=</v>
          </cell>
          <cell r="G193">
            <v>153643.6</v>
          </cell>
          <cell r="H193">
            <v>176690.14</v>
          </cell>
          <cell r="I193" t="str">
            <v>kfOk ;d]t</v>
          </cell>
        </row>
        <row r="194">
          <cell r="A194" t="str">
            <v>H12</v>
          </cell>
          <cell r="C194" t="str">
            <v>17.1-h_</v>
          </cell>
          <cell r="D194" t="str">
            <v>Pg kL #÷ () ;]=ld= Jof;sf] cf/ l;=l;= Xo"d kfO{k / To;nfO{ rflx]g] :k]lzoN; !M@ l;d]G6 jfn'jf sf] d;nfdf / h'6 cflb nufO{ lj5\ofpg] sfd !)) ld= ;Dd 9'jfgL ;d]t . -x\o'd kfOk jfx]s_</v>
          </cell>
          <cell r="E194" t="str">
            <v>/=dL=</v>
          </cell>
          <cell r="G194">
            <v>0</v>
          </cell>
          <cell r="H194">
            <v>0</v>
          </cell>
          <cell r="I194" t="str">
            <v>kfOk afx]s</v>
          </cell>
        </row>
        <row r="195">
          <cell r="A195" t="str">
            <v>H13</v>
          </cell>
          <cell r="C195" t="str">
            <v>17.1-em_</v>
          </cell>
          <cell r="D195" t="str">
            <v>Pg kL #÷ !@) ;]=ld= Jof;sf] cf/ l;=l;= Xo"d kfO{k / To;nfO{ rflx]g] :k]lzoN; !M@ l;d]G6 jfn'jf sf] d;nfdf / h'6 cflb nufO{ lj5\ofpg] sfd !)) ld= ;Dd 9'jfgL ;d]t . -x\o'd kfOk ;d]t_</v>
          </cell>
          <cell r="E195" t="str">
            <v>/=dL=</v>
          </cell>
          <cell r="G195">
            <v>211040.48695652175</v>
          </cell>
          <cell r="H195">
            <v>242696.56</v>
          </cell>
          <cell r="I195" t="str">
            <v>kfOk ;d]t</v>
          </cell>
        </row>
        <row r="196">
          <cell r="A196" t="str">
            <v>H14</v>
          </cell>
          <cell r="C196" t="str">
            <v>17.1-em_</v>
          </cell>
          <cell r="D196" t="str">
            <v>Pg kL #÷ !@) ;]=ld= Jof;sf] cf/ l;=l;= Xo"d kfO{k / To;nfO{ rflx]g] :k]lzoN; !M@ l;d]G6 jfn'jf sf] d;nfdf / h'6 cflb nufO{ lj5\ofpg] sfd !)) ld= ;Dd 9'jfgL ;d]t . -x\o'd kfOk jfx]s_</v>
          </cell>
          <cell r="E196" t="str">
            <v>/=dL=</v>
          </cell>
          <cell r="G196">
            <v>0</v>
          </cell>
          <cell r="H196">
            <v>0</v>
          </cell>
          <cell r="I196" t="str">
            <v>kfOk afx]s</v>
          </cell>
        </row>
      </sheetData>
      <sheetData sheetId="2">
        <row r="2">
          <cell r="D2" t="str">
            <v>^.)%&amp;.%*</v>
          </cell>
        </row>
        <row r="5">
          <cell r="A5" t="str">
            <v>a</v>
          </cell>
          <cell r="B5" t="str">
            <v>hf]/kf6L uf]s0f{ blIf0f 9f]sf ;8s</v>
          </cell>
        </row>
        <row r="6">
          <cell r="A6" t="str">
            <v>b</v>
          </cell>
          <cell r="B6" t="str">
            <v>zfGtLgu/ hghfu[tL gu/ ;8s</v>
          </cell>
        </row>
        <row r="7">
          <cell r="A7" t="str">
            <v>c</v>
          </cell>
          <cell r="B7" t="str">
            <v>af+;af/L a'9fgLns07 ;8s</v>
          </cell>
        </row>
        <row r="8">
          <cell r="A8" t="str">
            <v>d</v>
          </cell>
          <cell r="B8" t="str">
            <v>l;gfd+un sflndf6L8f]n vl/sf] af]6 k|sfz ;Gof; cf&gt;d ;8s</v>
          </cell>
        </row>
        <row r="9">
          <cell r="A9" t="str">
            <v>e</v>
          </cell>
          <cell r="B9" t="str">
            <v>sflGtk'/ ejg k"j{ aGbgf cfon :6f]/ ;8s</v>
          </cell>
        </row>
        <row r="10">
          <cell r="A10" t="str">
            <v>f</v>
          </cell>
          <cell r="B10" t="str">
            <v>lkkf uf]Zjf/f 36[]s'nf] lkknaf]6 ;8s</v>
          </cell>
        </row>
        <row r="11">
          <cell r="A11" t="str">
            <v>g</v>
          </cell>
          <cell r="B11" t="str">
            <v>s'df/Lufn -uf}/L3f6_ af}4 blIf0f 9f]sf ;8s</v>
          </cell>
        </row>
        <row r="12">
          <cell r="A12" t="str">
            <v>h</v>
          </cell>
          <cell r="B12" t="str">
            <v>sfnf]k'n d}lqk'n -hfkfgL k'n_ ;8s</v>
          </cell>
        </row>
        <row r="13">
          <cell r="A13" t="str">
            <v>I</v>
          </cell>
          <cell r="B13" t="str">
            <v>af0fu+uf dfu{ afg]Zj/ ;8s</v>
          </cell>
        </row>
        <row r="14">
          <cell r="A14" t="str">
            <v>j</v>
          </cell>
          <cell r="B14" t="str">
            <v>uf}zfnf /ftf] k'n blIf0f ljuj]n xf]6n gk'Ub} zfGtLky</v>
          </cell>
        </row>
        <row r="15">
          <cell r="A15" t="str">
            <v>k</v>
          </cell>
          <cell r="B15" t="str">
            <v>gof+ afg]Zj/ z+vd'n dfu{ ;'?lr 6f]n ;8s</v>
          </cell>
        </row>
        <row r="16">
          <cell r="A16" t="str">
            <v>l</v>
          </cell>
          <cell r="B16" t="str">
            <v>gLn ;/:jtL :yfg 6's'rf vf]nf k"jf]{Q/ ;8s</v>
          </cell>
        </row>
        <row r="17">
          <cell r="A17" t="str">
            <v>m</v>
          </cell>
          <cell r="B17" t="str">
            <v>d"nkfgL uf=la=;= vx/]sf] d'v v/06f/ ;8s</v>
          </cell>
        </row>
        <row r="18">
          <cell r="A18" t="str">
            <v>n</v>
          </cell>
          <cell r="B18" t="str">
            <v>s'df/Lufn d}h'axfn ;8s</v>
          </cell>
        </row>
        <row r="19">
          <cell r="A19" t="str">
            <v>o</v>
          </cell>
          <cell r="B19" t="str">
            <v>lrlgof /fhb'tfjf; pQ/ 6's'rf vf]nf ;8s</v>
          </cell>
        </row>
        <row r="20">
          <cell r="A20" t="str">
            <v>p</v>
          </cell>
          <cell r="B20" t="str">
            <v>d}tLb]jL wf]lavf]nf k'n klZrd cgfdgu/ wf]lavf]nf k'n ;8s</v>
          </cell>
        </row>
        <row r="21">
          <cell r="A21" t="str">
            <v>q</v>
          </cell>
          <cell r="B21" t="str">
            <v>6+ufn u0f]z:yfg af6 uxgfkf]v/L hfg] / jl/k/L ;8s</v>
          </cell>
        </row>
        <row r="22">
          <cell r="A22" t="str">
            <v>r</v>
          </cell>
          <cell r="B22" t="str">
            <v>sfTofogL dfu{ vl/af]6 afg]Zj/ ;8s</v>
          </cell>
        </row>
        <row r="23">
          <cell r="A23" t="str">
            <v>s</v>
          </cell>
          <cell r="B23" t="str">
            <v>hl8a'6L k]K;Lsf]nf ;8s</v>
          </cell>
        </row>
        <row r="24">
          <cell r="A24" t="str">
            <v>t</v>
          </cell>
        </row>
        <row r="25">
          <cell r="A25" t="str">
            <v>u</v>
          </cell>
        </row>
        <row r="26">
          <cell r="A26" t="str">
            <v>v</v>
          </cell>
        </row>
        <row r="27">
          <cell r="A27" t="str">
            <v>w</v>
          </cell>
        </row>
        <row r="28">
          <cell r="A28" t="str">
            <v>x</v>
          </cell>
        </row>
        <row r="29">
          <cell r="A29" t="str">
            <v>y</v>
          </cell>
        </row>
        <row r="30">
          <cell r="A30" t="str">
            <v>z</v>
          </cell>
        </row>
        <row r="31">
          <cell r="A31" t="str">
            <v>a1</v>
          </cell>
        </row>
        <row r="32">
          <cell r="A32" t="str">
            <v>b1</v>
          </cell>
        </row>
        <row r="33">
          <cell r="A33" t="str">
            <v>c1</v>
          </cell>
        </row>
        <row r="34">
          <cell r="A34" t="str">
            <v>d1</v>
          </cell>
        </row>
        <row r="38">
          <cell r="A38" t="str">
            <v>b</v>
          </cell>
          <cell r="B38" t="str">
            <v>a6</v>
          </cell>
          <cell r="C38">
            <v>9.59</v>
          </cell>
        </row>
        <row r="39">
          <cell r="A39" t="str">
            <v>b</v>
          </cell>
          <cell r="B39" t="str">
            <v>b7</v>
          </cell>
          <cell r="C39">
            <v>46.21</v>
          </cell>
        </row>
        <row r="40">
          <cell r="A40" t="str">
            <v>b</v>
          </cell>
          <cell r="B40" t="str">
            <v>b5</v>
          </cell>
          <cell r="C40">
            <v>3.82</v>
          </cell>
        </row>
        <row r="41">
          <cell r="A41" t="str">
            <v>b</v>
          </cell>
          <cell r="B41" t="str">
            <v>d2</v>
          </cell>
          <cell r="C41">
            <v>1.59</v>
          </cell>
        </row>
        <row r="42">
          <cell r="A42" t="str">
            <v>b</v>
          </cell>
          <cell r="B42" t="str">
            <v>h3</v>
          </cell>
          <cell r="C42">
            <v>7.5</v>
          </cell>
        </row>
        <row r="43">
          <cell r="A43" t="str">
            <v>b</v>
          </cell>
          <cell r="B43" t="str">
            <v>e18</v>
          </cell>
          <cell r="C43">
            <v>3</v>
          </cell>
        </row>
        <row r="44">
          <cell r="A44" t="str">
            <v>b</v>
          </cell>
          <cell r="B44" t="str">
            <v>e17</v>
          </cell>
          <cell r="C44">
            <v>3</v>
          </cell>
        </row>
        <row r="45">
          <cell r="A45" t="str">
            <v>b</v>
          </cell>
          <cell r="B45" t="str">
            <v>e1</v>
          </cell>
          <cell r="C45">
            <v>550</v>
          </cell>
        </row>
        <row r="46">
          <cell r="A46" t="str">
            <v>b</v>
          </cell>
          <cell r="B46" t="str">
            <v>e11</v>
          </cell>
          <cell r="C46">
            <v>550</v>
          </cell>
        </row>
        <row r="47">
          <cell r="A47" t="str">
            <v>b</v>
          </cell>
          <cell r="B47" t="str">
            <v>e14</v>
          </cell>
          <cell r="C47">
            <v>550</v>
          </cell>
        </row>
        <row r="48">
          <cell r="A48" t="str">
            <v>b</v>
          </cell>
          <cell r="B48" t="str">
            <v>f1</v>
          </cell>
          <cell r="C48">
            <v>550</v>
          </cell>
        </row>
        <row r="49">
          <cell r="A49" t="str">
            <v>b</v>
          </cell>
          <cell r="B49" t="str">
            <v>f5</v>
          </cell>
          <cell r="C49">
            <v>550</v>
          </cell>
        </row>
        <row r="50">
          <cell r="A50" t="str">
            <v>b</v>
          </cell>
          <cell r="B50" t="str">
            <v>f63</v>
          </cell>
          <cell r="C50">
            <v>550</v>
          </cell>
        </row>
        <row r="51">
          <cell r="A51" t="str">
            <v>d</v>
          </cell>
          <cell r="B51" t="str">
            <v>a6</v>
          </cell>
          <cell r="C51">
            <v>22.16</v>
          </cell>
        </row>
        <row r="52">
          <cell r="A52" t="str">
            <v>d</v>
          </cell>
          <cell r="B52" t="str">
            <v>b7</v>
          </cell>
          <cell r="C52">
            <v>90.95</v>
          </cell>
        </row>
        <row r="53">
          <cell r="A53" t="str">
            <v>d</v>
          </cell>
          <cell r="B53" t="str">
            <v>b5</v>
          </cell>
          <cell r="C53">
            <v>7.95</v>
          </cell>
        </row>
        <row r="54">
          <cell r="A54" t="str">
            <v>d</v>
          </cell>
          <cell r="B54" t="str">
            <v>d2</v>
          </cell>
          <cell r="C54">
            <v>3.19</v>
          </cell>
        </row>
        <row r="55">
          <cell r="A55" t="str">
            <v>d</v>
          </cell>
          <cell r="B55" t="str">
            <v>h3</v>
          </cell>
          <cell r="C55">
            <v>10</v>
          </cell>
        </row>
        <row r="56">
          <cell r="A56" t="str">
            <v>d</v>
          </cell>
          <cell r="B56" t="str">
            <v>e18</v>
          </cell>
          <cell r="C56">
            <v>4</v>
          </cell>
        </row>
        <row r="57">
          <cell r="A57" t="str">
            <v>d</v>
          </cell>
          <cell r="B57" t="str">
            <v>e17</v>
          </cell>
          <cell r="C57">
            <v>4</v>
          </cell>
        </row>
        <row r="58">
          <cell r="A58" t="str">
            <v>d</v>
          </cell>
          <cell r="B58" t="str">
            <v>e1</v>
          </cell>
          <cell r="C58">
            <v>790</v>
          </cell>
        </row>
        <row r="59">
          <cell r="A59" t="str">
            <v>d</v>
          </cell>
          <cell r="B59" t="str">
            <v>e11</v>
          </cell>
          <cell r="C59">
            <v>790</v>
          </cell>
        </row>
        <row r="60">
          <cell r="A60" t="str">
            <v>d</v>
          </cell>
          <cell r="B60" t="str">
            <v>e14</v>
          </cell>
          <cell r="C60">
            <v>790</v>
          </cell>
        </row>
        <row r="61">
          <cell r="A61" t="str">
            <v>d</v>
          </cell>
          <cell r="B61" t="str">
            <v>f1</v>
          </cell>
          <cell r="C61">
            <v>790</v>
          </cell>
        </row>
        <row r="62">
          <cell r="A62" t="str">
            <v>d</v>
          </cell>
          <cell r="B62" t="str">
            <v>f5</v>
          </cell>
          <cell r="C62">
            <v>790</v>
          </cell>
        </row>
        <row r="63">
          <cell r="A63" t="str">
            <v>d</v>
          </cell>
          <cell r="B63" t="str">
            <v>f63</v>
          </cell>
          <cell r="C63">
            <v>790</v>
          </cell>
        </row>
        <row r="64">
          <cell r="A64" t="str">
            <v>e</v>
          </cell>
          <cell r="B64" t="str">
            <v>a6</v>
          </cell>
          <cell r="C64">
            <v>10.55</v>
          </cell>
        </row>
        <row r="65">
          <cell r="A65" t="str">
            <v>e</v>
          </cell>
          <cell r="B65" t="str">
            <v>b7</v>
          </cell>
          <cell r="C65">
            <v>50.21</v>
          </cell>
        </row>
        <row r="66">
          <cell r="A66" t="str">
            <v>e</v>
          </cell>
          <cell r="B66" t="str">
            <v>b5</v>
          </cell>
          <cell r="C66">
            <v>4.07</v>
          </cell>
        </row>
        <row r="67">
          <cell r="A67" t="str">
            <v>e</v>
          </cell>
          <cell r="B67" t="str">
            <v>d2</v>
          </cell>
          <cell r="C67">
            <v>1.74</v>
          </cell>
        </row>
        <row r="68">
          <cell r="A68" t="str">
            <v>e</v>
          </cell>
          <cell r="B68" t="str">
            <v>h3</v>
          </cell>
          <cell r="C68">
            <v>7.5</v>
          </cell>
        </row>
        <row r="69">
          <cell r="A69" t="str">
            <v>e</v>
          </cell>
          <cell r="B69" t="str">
            <v>e18</v>
          </cell>
          <cell r="C69">
            <v>3</v>
          </cell>
        </row>
        <row r="70">
          <cell r="A70" t="str">
            <v>e</v>
          </cell>
          <cell r="B70" t="str">
            <v>e17</v>
          </cell>
          <cell r="C70">
            <v>3</v>
          </cell>
        </row>
        <row r="71">
          <cell r="A71" t="str">
            <v>e</v>
          </cell>
          <cell r="B71" t="str">
            <v>e1</v>
          </cell>
          <cell r="C71">
            <v>500</v>
          </cell>
        </row>
        <row r="72">
          <cell r="A72" t="str">
            <v>e</v>
          </cell>
          <cell r="B72" t="str">
            <v>e11</v>
          </cell>
          <cell r="C72">
            <v>500</v>
          </cell>
        </row>
        <row r="73">
          <cell r="A73" t="str">
            <v>e</v>
          </cell>
          <cell r="B73" t="str">
            <v>e14</v>
          </cell>
          <cell r="C73">
            <v>500</v>
          </cell>
        </row>
        <row r="74">
          <cell r="A74" t="str">
            <v>e</v>
          </cell>
          <cell r="B74" t="str">
            <v>f1</v>
          </cell>
          <cell r="C74">
            <v>500</v>
          </cell>
        </row>
        <row r="75">
          <cell r="A75" t="str">
            <v>e</v>
          </cell>
          <cell r="B75" t="str">
            <v>f5</v>
          </cell>
          <cell r="C75">
            <v>500</v>
          </cell>
        </row>
        <row r="76">
          <cell r="A76" t="str">
            <v>e</v>
          </cell>
          <cell r="B76" t="str">
            <v>f63</v>
          </cell>
          <cell r="C76">
            <v>500</v>
          </cell>
        </row>
        <row r="77">
          <cell r="A77" t="str">
            <v>g</v>
          </cell>
          <cell r="B77" t="str">
            <v>a6</v>
          </cell>
          <cell r="C77">
            <v>16.88</v>
          </cell>
        </row>
        <row r="78">
          <cell r="A78" t="str">
            <v>g</v>
          </cell>
          <cell r="B78" t="str">
            <v>b7</v>
          </cell>
          <cell r="C78">
            <v>75.69</v>
          </cell>
        </row>
        <row r="79">
          <cell r="A79" t="str">
            <v>g</v>
          </cell>
          <cell r="B79" t="str">
            <v>b5</v>
          </cell>
          <cell r="C79">
            <v>6.28</v>
          </cell>
        </row>
        <row r="80">
          <cell r="A80" t="str">
            <v>g</v>
          </cell>
          <cell r="B80" t="str">
            <v>d2</v>
          </cell>
          <cell r="C80">
            <v>2.61</v>
          </cell>
        </row>
        <row r="81">
          <cell r="A81" t="str">
            <v>g</v>
          </cell>
          <cell r="B81" t="str">
            <v>h3</v>
          </cell>
          <cell r="C81">
            <v>12.5</v>
          </cell>
        </row>
        <row r="82">
          <cell r="A82" t="str">
            <v>g</v>
          </cell>
          <cell r="B82" t="str">
            <v>e18</v>
          </cell>
          <cell r="C82">
            <v>5</v>
          </cell>
        </row>
        <row r="83">
          <cell r="A83" t="str">
            <v>g</v>
          </cell>
          <cell r="B83" t="str">
            <v>e17</v>
          </cell>
          <cell r="C83">
            <v>5</v>
          </cell>
        </row>
        <row r="84">
          <cell r="A84" t="str">
            <v>g</v>
          </cell>
          <cell r="B84" t="str">
            <v>e1</v>
          </cell>
          <cell r="C84">
            <v>780</v>
          </cell>
        </row>
        <row r="85">
          <cell r="A85" t="str">
            <v>g</v>
          </cell>
          <cell r="B85" t="str">
            <v>e11</v>
          </cell>
          <cell r="C85">
            <v>780</v>
          </cell>
        </row>
        <row r="86">
          <cell r="A86" t="str">
            <v>g</v>
          </cell>
          <cell r="B86" t="str">
            <v>e14</v>
          </cell>
          <cell r="C86">
            <v>780</v>
          </cell>
        </row>
        <row r="87">
          <cell r="A87" t="str">
            <v>g</v>
          </cell>
          <cell r="B87" t="str">
            <v>f1</v>
          </cell>
          <cell r="C87">
            <v>780</v>
          </cell>
        </row>
        <row r="88">
          <cell r="A88" t="str">
            <v>g</v>
          </cell>
          <cell r="B88" t="str">
            <v>f5</v>
          </cell>
          <cell r="C88">
            <v>780</v>
          </cell>
        </row>
        <row r="89">
          <cell r="A89" t="str">
            <v>g</v>
          </cell>
          <cell r="B89" t="str">
            <v>f63</v>
          </cell>
          <cell r="C89">
            <v>780</v>
          </cell>
        </row>
        <row r="90">
          <cell r="A90" t="str">
            <v>h</v>
          </cell>
          <cell r="B90" t="str">
            <v>a6</v>
          </cell>
          <cell r="C90">
            <v>9.81</v>
          </cell>
        </row>
        <row r="91">
          <cell r="A91" t="str">
            <v>h</v>
          </cell>
          <cell r="B91" t="str">
            <v>c3</v>
          </cell>
          <cell r="C91">
            <v>1.1100000000000001</v>
          </cell>
        </row>
        <row r="92">
          <cell r="A92" t="str">
            <v>h</v>
          </cell>
          <cell r="B92" t="str">
            <v>c1</v>
          </cell>
          <cell r="C92">
            <v>11.93</v>
          </cell>
        </row>
        <row r="93">
          <cell r="A93" t="str">
            <v>h</v>
          </cell>
          <cell r="B93" t="str">
            <v>h7</v>
          </cell>
          <cell r="C93">
            <v>7.5</v>
          </cell>
        </row>
        <row r="94">
          <cell r="A94" t="str">
            <v>h</v>
          </cell>
          <cell r="B94" t="str">
            <v>a34</v>
          </cell>
          <cell r="C94">
            <v>3.95</v>
          </cell>
        </row>
        <row r="95">
          <cell r="A95" t="str">
            <v>h</v>
          </cell>
          <cell r="B95" t="str">
            <v>e1</v>
          </cell>
          <cell r="C95">
            <v>1650</v>
          </cell>
        </row>
        <row r="96">
          <cell r="A96" t="str">
            <v>h</v>
          </cell>
          <cell r="B96" t="str">
            <v>e11</v>
          </cell>
          <cell r="C96">
            <v>1650</v>
          </cell>
        </row>
        <row r="97">
          <cell r="A97" t="str">
            <v>h</v>
          </cell>
          <cell r="B97" t="str">
            <v>e14</v>
          </cell>
          <cell r="C97">
            <v>1650</v>
          </cell>
        </row>
        <row r="98">
          <cell r="A98" t="str">
            <v>h</v>
          </cell>
          <cell r="B98" t="str">
            <v>f1</v>
          </cell>
          <cell r="C98">
            <v>1650</v>
          </cell>
        </row>
        <row r="99">
          <cell r="A99" t="str">
            <v>h</v>
          </cell>
          <cell r="B99" t="str">
            <v>f5</v>
          </cell>
          <cell r="C99">
            <v>1650</v>
          </cell>
        </row>
        <row r="100">
          <cell r="A100" t="str">
            <v>h</v>
          </cell>
          <cell r="B100" t="str">
            <v>f63</v>
          </cell>
          <cell r="C100">
            <v>1650</v>
          </cell>
        </row>
        <row r="101">
          <cell r="A101" t="str">
            <v>i</v>
          </cell>
          <cell r="B101" t="str">
            <v>a6</v>
          </cell>
          <cell r="C101">
            <v>3.35</v>
          </cell>
        </row>
        <row r="102">
          <cell r="A102" t="str">
            <v>i</v>
          </cell>
          <cell r="B102" t="str">
            <v>b5</v>
          </cell>
          <cell r="C102">
            <v>1.0429999999999999</v>
          </cell>
        </row>
        <row r="103">
          <cell r="A103" t="str">
            <v>i</v>
          </cell>
          <cell r="B103" t="str">
            <v>h3</v>
          </cell>
          <cell r="C103">
            <v>7.5</v>
          </cell>
        </row>
        <row r="104">
          <cell r="A104" t="str">
            <v>i</v>
          </cell>
          <cell r="B104" t="str">
            <v>e18</v>
          </cell>
          <cell r="C104">
            <v>3</v>
          </cell>
        </row>
        <row r="105">
          <cell r="A105" t="str">
            <v>i</v>
          </cell>
          <cell r="B105" t="str">
            <v>e1</v>
          </cell>
          <cell r="C105">
            <v>720</v>
          </cell>
        </row>
        <row r="106">
          <cell r="A106" t="str">
            <v>i</v>
          </cell>
          <cell r="B106" t="str">
            <v>e11</v>
          </cell>
          <cell r="C106">
            <v>720</v>
          </cell>
        </row>
        <row r="107">
          <cell r="A107" t="str">
            <v>j</v>
          </cell>
          <cell r="B107" t="str">
            <v>a6</v>
          </cell>
          <cell r="C107">
            <v>8.83</v>
          </cell>
        </row>
        <row r="108">
          <cell r="A108" t="str">
            <v>j</v>
          </cell>
          <cell r="B108" t="str">
            <v>b7</v>
          </cell>
          <cell r="C108">
            <v>41.47</v>
          </cell>
        </row>
        <row r="109">
          <cell r="A109" t="str">
            <v>j</v>
          </cell>
          <cell r="B109" t="str">
            <v>b5</v>
          </cell>
          <cell r="C109">
            <v>1.22</v>
          </cell>
        </row>
        <row r="110">
          <cell r="A110" t="str">
            <v>j</v>
          </cell>
          <cell r="B110" t="str">
            <v>d2</v>
          </cell>
          <cell r="C110">
            <v>1.45</v>
          </cell>
        </row>
        <row r="111">
          <cell r="A111" t="str">
            <v>j</v>
          </cell>
          <cell r="B111" t="str">
            <v>h3</v>
          </cell>
          <cell r="C111">
            <v>5</v>
          </cell>
        </row>
        <row r="112">
          <cell r="A112" t="str">
            <v>j</v>
          </cell>
          <cell r="B112" t="str">
            <v>e18</v>
          </cell>
          <cell r="C112">
            <v>2</v>
          </cell>
        </row>
        <row r="113">
          <cell r="A113" t="str">
            <v>j</v>
          </cell>
          <cell r="B113" t="str">
            <v>e17</v>
          </cell>
          <cell r="C113">
            <v>2</v>
          </cell>
        </row>
        <row r="114">
          <cell r="A114" t="str">
            <v>j</v>
          </cell>
          <cell r="B114" t="str">
            <v>e1</v>
          </cell>
          <cell r="C114">
            <v>300</v>
          </cell>
        </row>
        <row r="115">
          <cell r="A115" t="str">
            <v>j</v>
          </cell>
          <cell r="B115" t="str">
            <v>e11</v>
          </cell>
          <cell r="C115">
            <v>300</v>
          </cell>
        </row>
        <row r="116">
          <cell r="A116" t="str">
            <v>j</v>
          </cell>
          <cell r="B116" t="str">
            <v>e14</v>
          </cell>
          <cell r="C116">
            <v>300</v>
          </cell>
        </row>
        <row r="117">
          <cell r="A117" t="str">
            <v>j</v>
          </cell>
          <cell r="B117" t="str">
            <v>f1</v>
          </cell>
          <cell r="C117">
            <v>300</v>
          </cell>
        </row>
        <row r="118">
          <cell r="A118" t="str">
            <v>j</v>
          </cell>
          <cell r="B118" t="str">
            <v>f5</v>
          </cell>
          <cell r="C118">
            <v>300</v>
          </cell>
        </row>
        <row r="119">
          <cell r="A119" t="str">
            <v>j</v>
          </cell>
          <cell r="B119" t="str">
            <v>f63</v>
          </cell>
          <cell r="C119">
            <v>300</v>
          </cell>
        </row>
        <row r="120">
          <cell r="A120" t="str">
            <v>k</v>
          </cell>
          <cell r="B120" t="str">
            <v>a6</v>
          </cell>
          <cell r="C120">
            <v>8.83</v>
          </cell>
        </row>
        <row r="121">
          <cell r="A121" t="str">
            <v>k</v>
          </cell>
          <cell r="B121" t="str">
            <v>b7</v>
          </cell>
          <cell r="C121">
            <v>41.47</v>
          </cell>
        </row>
        <row r="122">
          <cell r="A122" t="str">
            <v>k</v>
          </cell>
          <cell r="B122" t="str">
            <v>b5</v>
          </cell>
          <cell r="C122">
            <v>1.22</v>
          </cell>
        </row>
        <row r="123">
          <cell r="A123" t="str">
            <v>k</v>
          </cell>
          <cell r="B123" t="str">
            <v>d2</v>
          </cell>
          <cell r="C123">
            <v>1.45</v>
          </cell>
        </row>
        <row r="124">
          <cell r="A124" t="str">
            <v>k</v>
          </cell>
          <cell r="B124" t="str">
            <v>h3</v>
          </cell>
          <cell r="C124">
            <v>5</v>
          </cell>
        </row>
        <row r="125">
          <cell r="A125" t="str">
            <v>k</v>
          </cell>
          <cell r="B125" t="str">
            <v>e18</v>
          </cell>
          <cell r="C125">
            <v>2</v>
          </cell>
        </row>
        <row r="126">
          <cell r="A126" t="str">
            <v>k</v>
          </cell>
          <cell r="B126" t="str">
            <v>e17</v>
          </cell>
          <cell r="C126">
            <v>2</v>
          </cell>
        </row>
        <row r="127">
          <cell r="A127" t="str">
            <v>k</v>
          </cell>
          <cell r="B127" t="str">
            <v>e1</v>
          </cell>
          <cell r="C127">
            <v>300</v>
          </cell>
        </row>
        <row r="128">
          <cell r="A128" t="str">
            <v>k</v>
          </cell>
          <cell r="B128" t="str">
            <v>e11</v>
          </cell>
          <cell r="C128">
            <v>300</v>
          </cell>
        </row>
        <row r="129">
          <cell r="A129" t="str">
            <v>k</v>
          </cell>
          <cell r="B129" t="str">
            <v>e14</v>
          </cell>
          <cell r="C129">
            <v>300</v>
          </cell>
        </row>
        <row r="130">
          <cell r="A130" t="str">
            <v>k</v>
          </cell>
          <cell r="B130" t="str">
            <v>f1</v>
          </cell>
          <cell r="C130">
            <v>300</v>
          </cell>
        </row>
        <row r="131">
          <cell r="A131" t="str">
            <v>k</v>
          </cell>
          <cell r="B131" t="str">
            <v>f5</v>
          </cell>
          <cell r="C131">
            <v>300</v>
          </cell>
        </row>
        <row r="132">
          <cell r="A132" t="str">
            <v>k</v>
          </cell>
          <cell r="B132" t="str">
            <v>f63</v>
          </cell>
          <cell r="C132">
            <v>300</v>
          </cell>
        </row>
        <row r="133">
          <cell r="A133" t="str">
            <v>m</v>
          </cell>
          <cell r="B133" t="str">
            <v>e1</v>
          </cell>
          <cell r="C133">
            <v>370</v>
          </cell>
        </row>
        <row r="134">
          <cell r="A134" t="str">
            <v>m</v>
          </cell>
          <cell r="B134" t="str">
            <v>e10</v>
          </cell>
          <cell r="C134">
            <v>370</v>
          </cell>
        </row>
        <row r="135">
          <cell r="A135" t="str">
            <v>m</v>
          </cell>
          <cell r="B135" t="str">
            <v>e14</v>
          </cell>
          <cell r="C135">
            <v>370</v>
          </cell>
        </row>
        <row r="136">
          <cell r="A136" t="str">
            <v>m</v>
          </cell>
          <cell r="B136" t="str">
            <v>f1</v>
          </cell>
          <cell r="C136">
            <v>370</v>
          </cell>
        </row>
        <row r="137">
          <cell r="A137" t="str">
            <v>m</v>
          </cell>
          <cell r="B137" t="str">
            <v>f5</v>
          </cell>
          <cell r="C137">
            <v>370</v>
          </cell>
        </row>
        <row r="138">
          <cell r="A138" t="str">
            <v>m</v>
          </cell>
          <cell r="B138" t="str">
            <v>f63</v>
          </cell>
          <cell r="C138">
            <v>370</v>
          </cell>
        </row>
        <row r="139">
          <cell r="A139" t="str">
            <v>n</v>
          </cell>
          <cell r="B139" t="str">
            <v>e1</v>
          </cell>
          <cell r="C139">
            <v>850</v>
          </cell>
        </row>
        <row r="140">
          <cell r="A140" t="str">
            <v>n</v>
          </cell>
          <cell r="B140" t="str">
            <v>e11</v>
          </cell>
          <cell r="C140">
            <v>850</v>
          </cell>
        </row>
        <row r="141">
          <cell r="A141" t="str">
            <v>r</v>
          </cell>
          <cell r="B141" t="str">
            <v>a6</v>
          </cell>
          <cell r="C141">
            <v>11.27</v>
          </cell>
        </row>
        <row r="142">
          <cell r="A142" t="str">
            <v>r</v>
          </cell>
          <cell r="B142" t="str">
            <v>b7</v>
          </cell>
          <cell r="C142">
            <v>50.95</v>
          </cell>
        </row>
        <row r="143">
          <cell r="A143" t="str">
            <v>r</v>
          </cell>
          <cell r="B143" t="str">
            <v>b5</v>
          </cell>
          <cell r="C143">
            <v>3.14</v>
          </cell>
        </row>
        <row r="144">
          <cell r="A144" t="str">
            <v>r</v>
          </cell>
          <cell r="B144" t="str">
            <v>d2</v>
          </cell>
          <cell r="C144">
            <v>1.74</v>
          </cell>
        </row>
        <row r="145">
          <cell r="A145" t="str">
            <v>r</v>
          </cell>
          <cell r="B145" t="str">
            <v>h3</v>
          </cell>
          <cell r="C145">
            <v>10</v>
          </cell>
        </row>
        <row r="146">
          <cell r="A146" t="str">
            <v>r</v>
          </cell>
          <cell r="B146" t="str">
            <v>e18</v>
          </cell>
          <cell r="C146">
            <v>4</v>
          </cell>
        </row>
        <row r="147">
          <cell r="A147" t="str">
            <v>r</v>
          </cell>
          <cell r="B147" t="str">
            <v>e17</v>
          </cell>
          <cell r="C147">
            <v>4</v>
          </cell>
        </row>
        <row r="148">
          <cell r="A148" t="str">
            <v>r</v>
          </cell>
          <cell r="B148" t="str">
            <v>e1</v>
          </cell>
          <cell r="C148">
            <v>552</v>
          </cell>
        </row>
        <row r="149">
          <cell r="A149" t="str">
            <v>r</v>
          </cell>
          <cell r="B149" t="str">
            <v>e11</v>
          </cell>
          <cell r="C149">
            <v>552</v>
          </cell>
        </row>
        <row r="150">
          <cell r="A150" t="str">
            <v>r</v>
          </cell>
          <cell r="B150" t="str">
            <v>e14</v>
          </cell>
          <cell r="C150">
            <v>552</v>
          </cell>
        </row>
        <row r="151">
          <cell r="A151" t="str">
            <v>r</v>
          </cell>
          <cell r="B151" t="str">
            <v>f1</v>
          </cell>
          <cell r="C151">
            <v>552</v>
          </cell>
        </row>
        <row r="152">
          <cell r="A152" t="str">
            <v>r</v>
          </cell>
          <cell r="B152" t="str">
            <v>f5</v>
          </cell>
          <cell r="C152">
            <v>552</v>
          </cell>
        </row>
        <row r="153">
          <cell r="A153" t="str">
            <v>r</v>
          </cell>
          <cell r="B153" t="str">
            <v>f63</v>
          </cell>
          <cell r="C153">
            <v>552</v>
          </cell>
        </row>
        <row r="154">
          <cell r="A154" t="str">
            <v>a</v>
          </cell>
          <cell r="B154" t="str">
            <v>c5</v>
          </cell>
          <cell r="C154">
            <v>14</v>
          </cell>
        </row>
        <row r="155">
          <cell r="A155" t="str">
            <v>a</v>
          </cell>
          <cell r="B155" t="str">
            <v>e14</v>
          </cell>
          <cell r="C155">
            <v>700</v>
          </cell>
        </row>
        <row r="156">
          <cell r="A156" t="str">
            <v>a</v>
          </cell>
          <cell r="B156" t="str">
            <v>f1</v>
          </cell>
          <cell r="C156">
            <v>700</v>
          </cell>
        </row>
        <row r="157">
          <cell r="A157" t="str">
            <v>a</v>
          </cell>
          <cell r="B157" t="str">
            <v>f5</v>
          </cell>
          <cell r="C157">
            <v>700</v>
          </cell>
        </row>
        <row r="158">
          <cell r="A158" t="str">
            <v>a</v>
          </cell>
          <cell r="B158" t="str">
            <v>f63</v>
          </cell>
          <cell r="C158">
            <v>700</v>
          </cell>
        </row>
        <row r="159">
          <cell r="A159" t="str">
            <v>c</v>
          </cell>
          <cell r="B159" t="str">
            <v>a6</v>
          </cell>
          <cell r="C159">
            <v>16</v>
          </cell>
        </row>
        <row r="160">
          <cell r="A160" t="str">
            <v>c</v>
          </cell>
          <cell r="B160" t="str">
            <v>a32</v>
          </cell>
          <cell r="C160">
            <v>16</v>
          </cell>
        </row>
        <row r="161">
          <cell r="A161" t="str">
            <v>c</v>
          </cell>
          <cell r="B161" t="str">
            <v>b7</v>
          </cell>
          <cell r="C161">
            <v>120</v>
          </cell>
        </row>
        <row r="162">
          <cell r="A162" t="str">
            <v>c</v>
          </cell>
          <cell r="B162" t="str">
            <v>d2</v>
          </cell>
          <cell r="C162">
            <v>9</v>
          </cell>
        </row>
        <row r="163">
          <cell r="A163" t="str">
            <v>c</v>
          </cell>
          <cell r="B163" t="str">
            <v>e13</v>
          </cell>
          <cell r="C163">
            <v>1000</v>
          </cell>
        </row>
        <row r="164">
          <cell r="A164" t="str">
            <v>c</v>
          </cell>
          <cell r="B164" t="str">
            <v>e16</v>
          </cell>
          <cell r="C164">
            <v>750</v>
          </cell>
        </row>
        <row r="165">
          <cell r="A165" t="str">
            <v>c</v>
          </cell>
          <cell r="B165" t="str">
            <v>e18</v>
          </cell>
          <cell r="C165">
            <v>4</v>
          </cell>
        </row>
        <row r="166">
          <cell r="A166" t="str">
            <v>c</v>
          </cell>
          <cell r="B166" t="str">
            <v>f1</v>
          </cell>
          <cell r="C166">
            <v>1750</v>
          </cell>
        </row>
        <row r="167">
          <cell r="A167" t="str">
            <v>c</v>
          </cell>
          <cell r="B167" t="str">
            <v>f3</v>
          </cell>
          <cell r="C167">
            <v>1000</v>
          </cell>
        </row>
        <row r="168">
          <cell r="A168" t="str">
            <v>c</v>
          </cell>
          <cell r="B168" t="str">
            <v>f5</v>
          </cell>
          <cell r="C168">
            <v>750</v>
          </cell>
        </row>
        <row r="169">
          <cell r="A169" t="str">
            <v>c</v>
          </cell>
          <cell r="B169" t="str">
            <v>f63</v>
          </cell>
          <cell r="C169">
            <v>1750</v>
          </cell>
        </row>
        <row r="170">
          <cell r="A170" t="str">
            <v>f</v>
          </cell>
          <cell r="B170" t="str">
            <v>a6</v>
          </cell>
          <cell r="C170">
            <v>19</v>
          </cell>
        </row>
        <row r="171">
          <cell r="A171" t="str">
            <v>f</v>
          </cell>
          <cell r="B171" t="str">
            <v>a32</v>
          </cell>
          <cell r="C171">
            <v>19</v>
          </cell>
        </row>
        <row r="172">
          <cell r="A172" t="str">
            <v>f</v>
          </cell>
          <cell r="B172" t="str">
            <v>b7</v>
          </cell>
          <cell r="C172">
            <v>142.5</v>
          </cell>
        </row>
        <row r="173">
          <cell r="A173" t="str">
            <v>f</v>
          </cell>
          <cell r="B173" t="str">
            <v>d2</v>
          </cell>
          <cell r="C173">
            <v>9.5</v>
          </cell>
        </row>
        <row r="174">
          <cell r="A174" t="str">
            <v>f</v>
          </cell>
          <cell r="B174" t="str">
            <v>e13</v>
          </cell>
          <cell r="C174">
            <v>125</v>
          </cell>
        </row>
        <row r="175">
          <cell r="A175" t="str">
            <v>f</v>
          </cell>
          <cell r="B175" t="str">
            <v>e18</v>
          </cell>
          <cell r="C175">
            <v>7</v>
          </cell>
        </row>
        <row r="176">
          <cell r="A176" t="str">
            <v>f</v>
          </cell>
          <cell r="B176" t="str">
            <v>f1</v>
          </cell>
          <cell r="C176">
            <v>500</v>
          </cell>
        </row>
        <row r="177">
          <cell r="A177" t="str">
            <v>f</v>
          </cell>
          <cell r="B177" t="str">
            <v>f5</v>
          </cell>
          <cell r="C177">
            <v>500</v>
          </cell>
        </row>
        <row r="178">
          <cell r="A178" t="str">
            <v>f</v>
          </cell>
          <cell r="B178" t="str">
            <v>f63</v>
          </cell>
          <cell r="C178">
            <v>500</v>
          </cell>
        </row>
        <row r="179">
          <cell r="A179" t="str">
            <v>l</v>
          </cell>
          <cell r="B179" t="str">
            <v>e1</v>
          </cell>
          <cell r="C179">
            <v>1200</v>
          </cell>
        </row>
        <row r="180">
          <cell r="A180" t="str">
            <v>l</v>
          </cell>
          <cell r="B180" t="str">
            <v>e11</v>
          </cell>
          <cell r="C180">
            <v>1200</v>
          </cell>
        </row>
        <row r="181">
          <cell r="A181" t="str">
            <v>o</v>
          </cell>
          <cell r="B181" t="str">
            <v>a6</v>
          </cell>
          <cell r="C181">
            <v>35</v>
          </cell>
        </row>
        <row r="182">
          <cell r="A182" t="str">
            <v>o</v>
          </cell>
          <cell r="B182" t="str">
            <v>a32</v>
          </cell>
          <cell r="C182">
            <v>35</v>
          </cell>
        </row>
        <row r="183">
          <cell r="A183" t="str">
            <v>o</v>
          </cell>
          <cell r="B183" t="str">
            <v>c1</v>
          </cell>
          <cell r="C183">
            <v>45</v>
          </cell>
        </row>
        <row r="184">
          <cell r="A184" t="str">
            <v>o</v>
          </cell>
          <cell r="B184" t="str">
            <v>e1</v>
          </cell>
          <cell r="C184">
            <v>320</v>
          </cell>
        </row>
        <row r="185">
          <cell r="A185" t="str">
            <v>o</v>
          </cell>
          <cell r="B185" t="str">
            <v>e11</v>
          </cell>
          <cell r="C185">
            <v>320</v>
          </cell>
        </row>
        <row r="186">
          <cell r="A186" t="str">
            <v>p</v>
          </cell>
          <cell r="B186" t="str">
            <v>e1</v>
          </cell>
          <cell r="C186">
            <v>1200</v>
          </cell>
        </row>
        <row r="187">
          <cell r="A187" t="str">
            <v>p</v>
          </cell>
          <cell r="B187" t="str">
            <v>e11</v>
          </cell>
          <cell r="C187">
            <v>1200</v>
          </cell>
        </row>
        <row r="188">
          <cell r="A188" t="str">
            <v>q</v>
          </cell>
          <cell r="B188" t="str">
            <v>e12</v>
          </cell>
          <cell r="C188">
            <v>350</v>
          </cell>
        </row>
        <row r="189">
          <cell r="A189" t="str">
            <v>q</v>
          </cell>
          <cell r="B189" t="str">
            <v>f1</v>
          </cell>
          <cell r="C189">
            <v>1125</v>
          </cell>
        </row>
        <row r="190">
          <cell r="A190" t="str">
            <v>q</v>
          </cell>
          <cell r="B190" t="str">
            <v>f5</v>
          </cell>
          <cell r="C190">
            <v>1125</v>
          </cell>
        </row>
        <row r="191">
          <cell r="A191" t="str">
            <v>q</v>
          </cell>
          <cell r="B191" t="str">
            <v>f63</v>
          </cell>
          <cell r="C191">
            <v>1125</v>
          </cell>
        </row>
        <row r="192">
          <cell r="A192" t="str">
            <v>s</v>
          </cell>
          <cell r="B192" t="str">
            <v>f1</v>
          </cell>
          <cell r="C192">
            <v>1900</v>
          </cell>
        </row>
        <row r="193">
          <cell r="A193" t="str">
            <v>s</v>
          </cell>
          <cell r="B193" t="str">
            <v>f5</v>
          </cell>
          <cell r="C193">
            <v>1900</v>
          </cell>
        </row>
        <row r="194">
          <cell r="A194" t="str">
            <v>s</v>
          </cell>
          <cell r="B194" t="str">
            <v>f63</v>
          </cell>
          <cell r="C194">
            <v>1900</v>
          </cell>
        </row>
        <row r="195">
          <cell r="A195" t="str">
            <v>end</v>
          </cell>
        </row>
      </sheetData>
      <sheetData sheetId="3"/>
      <sheetData sheetId="4"/>
      <sheetData sheetId="5"/>
      <sheetData sheetId="6"/>
      <sheetData sheetId="7"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rate"/>
      <sheetName val="Collection"/>
      <sheetName val="transportation"/>
      <sheetName val="Rate analysis"/>
      <sheetName val="Summary of rates"/>
    </sheetNames>
    <sheetDataSet>
      <sheetData sheetId="0" refreshError="1">
        <row r="37">
          <cell r="P37">
            <v>1303.4000000000001</v>
          </cell>
        </row>
      </sheetData>
      <sheetData sheetId="1" refreshError="1"/>
      <sheetData sheetId="2" refreshError="1"/>
      <sheetData sheetId="3" refreshError="1"/>
      <sheetData sheetId="4"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erial rate"/>
      <sheetName val="Collection"/>
      <sheetName val="transportation"/>
      <sheetName val="Rate analysis"/>
      <sheetName val="Summary of rates"/>
    </sheetNames>
    <sheetDataSet>
      <sheetData sheetId="0" refreshError="1">
        <row r="37">
          <cell r="P37">
            <v>1303.4000000000001</v>
          </cell>
        </row>
      </sheetData>
      <sheetData sheetId="1" refreshError="1"/>
      <sheetData sheetId="2" refreshError="1"/>
      <sheetData sheetId="3" refreshError="1"/>
      <sheetData sheetId="4"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s>
    <sheetDataSet>
      <sheetData sheetId="0"/>
      <sheetData sheetId="1"/>
      <sheetData sheetId="2"/>
      <sheetData sheetId="3"/>
      <sheetData sheetId="4"/>
      <sheetData sheetId="5"/>
      <sheetData sheetId="6"/>
      <sheetData sheetId="7">
        <row r="9">
          <cell r="E9">
            <v>350</v>
          </cell>
        </row>
      </sheetData>
      <sheetData sheetId="8">
        <row r="9">
          <cell r="C9" t="str">
            <v xml:space="preserve">Work shall be excuted as Dayworks only under the written instructions of the Engineer. </v>
          </cell>
        </row>
        <row r="10">
          <cell r="B10">
            <v>6.01</v>
          </cell>
          <cell r="C10" t="str">
            <v xml:space="preserve">Labour </v>
          </cell>
        </row>
        <row r="11">
          <cell r="C11" t="str">
            <v xml:space="preserve">The rates inserted shall include all costs of labour such as insurance, accommodation, travelling, hand tools, supervision, overhead and profits. </v>
          </cell>
        </row>
        <row r="12">
          <cell r="B12" t="str">
            <v>6.01a</v>
          </cell>
          <cell r="C12" t="str">
            <v>Foreman / Supervisor</v>
          </cell>
          <cell r="D12" t="str">
            <v>md</v>
          </cell>
          <cell r="E12">
            <v>500</v>
          </cell>
          <cell r="F12">
            <v>75</v>
          </cell>
          <cell r="G12">
            <v>580</v>
          </cell>
        </row>
        <row r="13">
          <cell r="B13" t="str">
            <v>6.01b</v>
          </cell>
          <cell r="C13" t="str">
            <v>Skilled labour (Mason, Carpenter, mechanics etc.)</v>
          </cell>
          <cell r="D13" t="str">
            <v>md</v>
          </cell>
          <cell r="E13">
            <v>500</v>
          </cell>
          <cell r="F13">
            <v>75</v>
          </cell>
          <cell r="G13">
            <v>580</v>
          </cell>
        </row>
        <row r="14">
          <cell r="B14" t="str">
            <v>6.01c</v>
          </cell>
          <cell r="C14" t="str">
            <v>Operators</v>
          </cell>
          <cell r="D14" t="str">
            <v>md</v>
          </cell>
          <cell r="E14">
            <v>500</v>
          </cell>
          <cell r="F14">
            <v>75</v>
          </cell>
          <cell r="G14">
            <v>580</v>
          </cell>
        </row>
        <row r="15">
          <cell r="B15" t="str">
            <v>6.01d</v>
          </cell>
          <cell r="C15" t="str">
            <v>General labour (Unskilled, helpers, assistant operators etc.))</v>
          </cell>
          <cell r="D15" t="str">
            <v>md</v>
          </cell>
          <cell r="E15">
            <v>350</v>
          </cell>
          <cell r="F15">
            <v>52.5</v>
          </cell>
          <cell r="G15">
            <v>410</v>
          </cell>
        </row>
        <row r="16">
          <cell r="B16" t="str">
            <v>6.01e</v>
          </cell>
          <cell r="C16" t="str">
            <v>Administrative Personnel</v>
          </cell>
          <cell r="D16" t="str">
            <v>md</v>
          </cell>
          <cell r="E16">
            <v>365</v>
          </cell>
          <cell r="F16">
            <v>54.75</v>
          </cell>
          <cell r="G16">
            <v>420</v>
          </cell>
        </row>
        <row r="17">
          <cell r="B17">
            <v>6.02</v>
          </cell>
          <cell r="C17" t="str">
            <v>Materials</v>
          </cell>
          <cell r="G17">
            <v>0</v>
          </cell>
        </row>
        <row r="18">
          <cell r="B18" t="str">
            <v>6.02a</v>
          </cell>
          <cell r="C18" t="str">
            <v>Concrete NP3 Pipe 600mm Diameter</v>
          </cell>
          <cell r="D18" t="str">
            <v>m</v>
          </cell>
          <cell r="E18">
            <v>4280</v>
          </cell>
          <cell r="F18">
            <v>642</v>
          </cell>
          <cell r="G18">
            <v>4930</v>
          </cell>
        </row>
        <row r="19">
          <cell r="B19" t="str">
            <v>6.02b</v>
          </cell>
          <cell r="C19" t="str">
            <v>Concrete NP3 Pipe 900mm Diameter</v>
          </cell>
          <cell r="D19" t="str">
            <v>m</v>
          </cell>
          <cell r="E19">
            <v>6880</v>
          </cell>
          <cell r="F19">
            <v>1032</v>
          </cell>
          <cell r="G19">
            <v>7920</v>
          </cell>
        </row>
        <row r="20">
          <cell r="B20" t="str">
            <v>6.02c</v>
          </cell>
          <cell r="C20" t="str">
            <v>Concrete NP3 Pipe 1200mm Diameter</v>
          </cell>
          <cell r="D20" t="str">
            <v>m</v>
          </cell>
          <cell r="E20">
            <v>11880</v>
          </cell>
          <cell r="F20">
            <v>1782</v>
          </cell>
          <cell r="G20">
            <v>13670</v>
          </cell>
        </row>
        <row r="21">
          <cell r="B21" t="str">
            <v>6.02d</v>
          </cell>
          <cell r="C21" t="str">
            <v>Cement</v>
          </cell>
          <cell r="D21" t="str">
            <v>ton</v>
          </cell>
          <cell r="E21">
            <v>12800</v>
          </cell>
          <cell r="F21">
            <v>1920</v>
          </cell>
          <cell r="G21">
            <v>14720</v>
          </cell>
        </row>
        <row r="22">
          <cell r="B22" t="str">
            <v>6.02e</v>
          </cell>
          <cell r="C22" t="str">
            <v>Sand</v>
          </cell>
          <cell r="D22" t="str">
            <v>m3</v>
          </cell>
          <cell r="E22">
            <v>500</v>
          </cell>
          <cell r="F22">
            <v>75</v>
          </cell>
          <cell r="G22">
            <v>580</v>
          </cell>
        </row>
        <row r="23">
          <cell r="B23" t="str">
            <v>6.02f</v>
          </cell>
          <cell r="C23" t="str">
            <v>Aggregate</v>
          </cell>
          <cell r="D23" t="str">
            <v>m3</v>
          </cell>
          <cell r="E23">
            <v>1983.33</v>
          </cell>
          <cell r="F23">
            <v>297.49949999999995</v>
          </cell>
          <cell r="G23">
            <v>2290</v>
          </cell>
        </row>
        <row r="24">
          <cell r="B24" t="str">
            <v>6.02g</v>
          </cell>
          <cell r="C24" t="str">
            <v>Reinforceing Steel (Fe 415)</v>
          </cell>
          <cell r="D24" t="str">
            <v>ton</v>
          </cell>
          <cell r="E24">
            <v>89950</v>
          </cell>
          <cell r="F24">
            <v>13492.5</v>
          </cell>
          <cell r="G24">
            <v>103450</v>
          </cell>
        </row>
        <row r="25">
          <cell r="B25" t="str">
            <v>6.02h</v>
          </cell>
          <cell r="C25" t="str">
            <v>Formwork F2 Class</v>
          </cell>
          <cell r="D25" t="str">
            <v>m2</v>
          </cell>
          <cell r="E25">
            <v>489.54949999999997</v>
          </cell>
          <cell r="F25">
            <v>73.432424999999995</v>
          </cell>
          <cell r="G25">
            <v>570</v>
          </cell>
        </row>
        <row r="26">
          <cell r="B26" t="str">
            <v>6.02i</v>
          </cell>
          <cell r="C26" t="str">
            <v>Diesel</v>
          </cell>
          <cell r="D26" t="str">
            <v>Ltr.</v>
          </cell>
          <cell r="E26">
            <v>87</v>
          </cell>
          <cell r="F26">
            <v>13.049999999999999</v>
          </cell>
          <cell r="G26">
            <v>110</v>
          </cell>
        </row>
        <row r="27">
          <cell r="B27" t="str">
            <v>6.02j</v>
          </cell>
          <cell r="C27" t="str">
            <v>Petrol</v>
          </cell>
          <cell r="D27" t="str">
            <v>Ltr.</v>
          </cell>
          <cell r="E27">
            <v>125</v>
          </cell>
          <cell r="F27">
            <v>18.75</v>
          </cell>
          <cell r="G27">
            <v>150</v>
          </cell>
        </row>
        <row r="28">
          <cell r="B28" t="str">
            <v>6.02k</v>
          </cell>
          <cell r="C28" t="str">
            <v>Bitumen</v>
          </cell>
          <cell r="D28" t="str">
            <v>Ltr.</v>
          </cell>
          <cell r="E28">
            <v>61.38</v>
          </cell>
          <cell r="F28">
            <v>9.2070000000000007</v>
          </cell>
          <cell r="G28">
            <v>80</v>
          </cell>
        </row>
        <row r="29">
          <cell r="B29">
            <v>6.03</v>
          </cell>
          <cell r="C29" t="str">
            <v>Equipment</v>
          </cell>
        </row>
        <row r="30">
          <cell r="B30" t="str">
            <v>6.03a</v>
          </cell>
          <cell r="C30" t="str">
            <v>Tipper Truck 4-6 tonne capacity</v>
          </cell>
          <cell r="D30" t="str">
            <v>hour</v>
          </cell>
          <cell r="E30">
            <v>450</v>
          </cell>
          <cell r="F30">
            <v>67.5</v>
          </cell>
          <cell r="G30">
            <v>520</v>
          </cell>
        </row>
        <row r="31">
          <cell r="B31" t="str">
            <v>6.03b</v>
          </cell>
          <cell r="C31" t="str">
            <v>Tipper Truck 8-10 tonne capacity</v>
          </cell>
          <cell r="D31" t="str">
            <v>hour</v>
          </cell>
          <cell r="E31">
            <v>800</v>
          </cell>
          <cell r="F31">
            <v>120</v>
          </cell>
          <cell r="G31">
            <v>920</v>
          </cell>
        </row>
        <row r="32">
          <cell r="B32" t="str">
            <v>6.03c</v>
          </cell>
          <cell r="C32" t="str">
            <v>Water Tanker 4000 - 6000 lit Capacity</v>
          </cell>
          <cell r="D32" t="str">
            <v>hour</v>
          </cell>
          <cell r="E32">
            <v>550</v>
          </cell>
          <cell r="F32">
            <v>82.5</v>
          </cell>
          <cell r="G32">
            <v>640</v>
          </cell>
        </row>
        <row r="33">
          <cell r="B33" t="str">
            <v>6.03d</v>
          </cell>
          <cell r="C33" t="str">
            <v>Front End loader 1-1.5m3</v>
          </cell>
          <cell r="D33" t="str">
            <v>hour</v>
          </cell>
          <cell r="E33">
            <v>1200</v>
          </cell>
          <cell r="F33">
            <v>180</v>
          </cell>
          <cell r="G33">
            <v>1380</v>
          </cell>
        </row>
        <row r="34">
          <cell r="B34" t="str">
            <v>6.03e</v>
          </cell>
          <cell r="C34" t="str">
            <v>Excavator - 135hp</v>
          </cell>
          <cell r="D34" t="str">
            <v>hour</v>
          </cell>
          <cell r="E34">
            <v>1800</v>
          </cell>
          <cell r="F34">
            <v>270</v>
          </cell>
          <cell r="G34">
            <v>2070</v>
          </cell>
        </row>
        <row r="35">
          <cell r="B35" t="str">
            <v>6.03f</v>
          </cell>
          <cell r="C35" t="str">
            <v>Motor Grader - 135hp</v>
          </cell>
          <cell r="D35" t="str">
            <v>hour</v>
          </cell>
          <cell r="E35">
            <v>1600</v>
          </cell>
          <cell r="F35">
            <v>240</v>
          </cell>
          <cell r="G35">
            <v>1840</v>
          </cell>
        </row>
        <row r="36">
          <cell r="B36" t="str">
            <v>6.03g</v>
          </cell>
          <cell r="C36" t="str">
            <v>Vibratory Roller static weight 8-10 tonnes</v>
          </cell>
          <cell r="D36" t="str">
            <v>hour</v>
          </cell>
          <cell r="E36">
            <v>900</v>
          </cell>
          <cell r="F36">
            <v>135</v>
          </cell>
          <cell r="G36">
            <v>1040</v>
          </cell>
        </row>
        <row r="37">
          <cell r="B37" t="str">
            <v>6.03h</v>
          </cell>
          <cell r="C37" t="str">
            <v>Concrete Mixer 0.4m3</v>
          </cell>
          <cell r="D37" t="str">
            <v>hour</v>
          </cell>
          <cell r="E37">
            <v>470</v>
          </cell>
          <cell r="F37">
            <v>70.5</v>
          </cell>
          <cell r="G37">
            <v>550</v>
          </cell>
        </row>
        <row r="38">
          <cell r="B38" t="str">
            <v>6.03i</v>
          </cell>
          <cell r="C38" t="str">
            <v>Concrete needle vibrator</v>
          </cell>
          <cell r="D38" t="str">
            <v>hour</v>
          </cell>
          <cell r="E38">
            <v>100</v>
          </cell>
          <cell r="F38">
            <v>15</v>
          </cell>
          <cell r="G38">
            <v>120</v>
          </cell>
        </row>
        <row r="39">
          <cell r="B39" t="str">
            <v>6.03j</v>
          </cell>
          <cell r="C39" t="str">
            <v>Bulldozer D-6 or equivalent or larger</v>
          </cell>
          <cell r="D39" t="str">
            <v>hour</v>
          </cell>
          <cell r="E39">
            <v>3000</v>
          </cell>
          <cell r="F39">
            <v>450</v>
          </cell>
          <cell r="G39">
            <v>3450</v>
          </cell>
        </row>
        <row r="40">
          <cell r="C40" t="str">
            <v>Total of Part 6 - Carried to Summary</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BOQ"/>
      <sheetName val="Summary Total"/>
      <sheetName val="Summary WS "/>
      <sheetName val="General Item"/>
      <sheetName val="Day work"/>
      <sheetName val="Cummulative "/>
      <sheetName val="Cost Borehole"/>
      <sheetName val="Part C HDPE &amp; GI "/>
      <sheetName val="E2 electromechanical1"/>
      <sheetName val="Electromechanical"/>
      <sheetName val="cost sitedev"/>
      <sheetName val="cost genera opera"/>
      <sheetName val="Cost Guard House"/>
      <sheetName val="CostofficeBldg"/>
      <sheetName val="Cost Gr Reservoir225"/>
      <sheetName val="costOHT final"/>
      <sheetName val="Quantity B. Hole"/>
      <sheetName val="Cost Multigrade Filter"/>
      <sheetName val="Cost B.Hole platform"/>
      <sheetName val="costvc"/>
      <sheetName val="costhc"/>
      <sheetName val="costpl"/>
      <sheetName val="costplj"/>
      <sheetName val="costplar"/>
      <sheetName val="cost firehydrant"/>
      <sheetName val="costpipes"/>
      <sheetName val="cost pumping main"/>
      <sheetName val="cost fitting"/>
      <sheetName val="costt&amp;p"/>
      <sheetName val="cost m600"/>
      <sheetName val="cost m450"/>
      <sheetName val="cost apron"/>
      <sheetName val="cost s15"/>
      <sheetName val="cost soak15"/>
      <sheetName val="cost side drain"/>
      <sheetName val="cost pt "/>
      <sheetName val="cost sitedev  pt"/>
      <sheetName val="Supply of Tools &amp; Plant"/>
      <sheetName val="cost s100"/>
      <sheetName val="sitedev pt"/>
      <sheetName val="Analysis of rates"/>
      <sheetName val="Part D Electrical Work"/>
      <sheetName val="Tubewell"/>
      <sheetName val="costsoak100"/>
      <sheetName val="seperator"/>
      <sheetName val="GI fittings"/>
      <sheetName val="Cost Deep Tube Well"/>
      <sheetName val="Costsldying"/>
      <sheetName val="sitedev"/>
      <sheetName val="genrea opera"/>
      <sheetName val="Qnt Guard House"/>
      <sheetName val="QtyOfficeBldg"/>
      <sheetName val="QnttyOHT"/>
      <sheetName val="Qty GR225)"/>
      <sheetName val="house connection"/>
      <sheetName val="Valve Chamber"/>
      <sheetName val="pipe laying &amp; joining"/>
      <sheetName val="pipe laying"/>
      <sheetName val="qntty pipes"/>
      <sheetName val="PIPE LAYING ACROSS ROADS"/>
      <sheetName val="Qnt fire hydrant"/>
      <sheetName val="Pumping qntty"/>
      <sheetName val="man 600 qntty"/>
      <sheetName val="man 450 qntty"/>
      <sheetName val="appron qntty"/>
      <sheetName val="septic tank for 15 users"/>
      <sheetName val="quantity side drain"/>
      <sheetName val="Soakpit 15"/>
      <sheetName val="Cost elect (2)"/>
      <sheetName val="Qty GR200m3"/>
      <sheetName val="Cost G Reser 330m3"/>
      <sheetName val="Qnt G Rese 330m3"/>
      <sheetName val="Reservoir(500m3)"/>
      <sheetName val="Reservoir Qty(500m3)"/>
      <sheetName val="costoht200m3"/>
      <sheetName val="Qntty OHT200m3"/>
      <sheetName val="costoht 100m3"/>
      <sheetName val="Qntty OHT 100m3"/>
      <sheetName val="Cost Aeration"/>
      <sheetName val="Qnt Aeration"/>
      <sheetName val="Cost RS filter"/>
      <sheetName val="Qnt R S filter"/>
      <sheetName val="Cost elect"/>
      <sheetName val="Qntty elect"/>
      <sheetName val="public toilet "/>
      <sheetName val="SEPTIC100"/>
      <sheetName val="soak quntty 100 users"/>
      <sheetName val="Sheet1"/>
      <sheetName val="Sheet2"/>
      <sheetName val="DI fittings"/>
      <sheetName val="rate"/>
      <sheetName val="Shee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37">
          <cell r="G37">
            <v>1.8</v>
          </cell>
        </row>
      </sheetData>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18">
          <cell r="M18">
            <v>154.209</v>
          </cell>
        </row>
        <row r="36">
          <cell r="M36">
            <v>80.444224999999989</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ow r="10">
          <cell r="N10">
            <v>1084.7904000000001</v>
          </cell>
        </row>
        <row r="15">
          <cell r="N15">
            <v>2885.58</v>
          </cell>
        </row>
        <row r="47">
          <cell r="N47">
            <v>728.46749999999997</v>
          </cell>
        </row>
        <row r="51">
          <cell r="N51">
            <v>1456.9349999999999</v>
          </cell>
        </row>
        <row r="52">
          <cell r="N52">
            <v>1944.0014000000001</v>
          </cell>
        </row>
      </sheetData>
      <sheetData sheetId="90"/>
      <sheetData sheetId="9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rthern Buildings "/>
      <sheetName val="ToC"/>
      <sheetName val="Summary Total"/>
      <sheetName val="Summary WS "/>
      <sheetName val="General Item  "/>
      <sheetName val="Day work  "/>
      <sheetName val="Cummulative Sanitaation"/>
      <sheetName val="Cost Site Development"/>
      <sheetName val="site development"/>
      <sheetName val="cost genera opera"/>
      <sheetName val="Cost Borehole"/>
      <sheetName val="Cost Guard House"/>
      <sheetName val="CostofficeBldg"/>
      <sheetName val="Buildings Electrical  cost"/>
      <sheetName val="Tubewell Cost"/>
      <sheetName val="costoht 50m3-new"/>
      <sheetName val="Cost B.Hole platform"/>
      <sheetName val="cost 300m3 OHT"/>
      <sheetName val="cost sumpwell N"/>
      <sheetName val="cost 450m3 OHT"/>
      <sheetName val="DI fittings"/>
      <sheetName val="DI Fitting Cost"/>
      <sheetName val="costoht200m3 OHT"/>
      <sheetName val="Cost GRVT 200m3"/>
      <sheetName val="OHT elec Cost Estimates"/>
      <sheetName val="costvc"/>
      <sheetName val="Cost VB"/>
      <sheetName val="costhc"/>
      <sheetName val="costpl"/>
      <sheetName val="costplj"/>
      <sheetName val="costplar (2)"/>
      <sheetName val="costplar"/>
      <sheetName val="costroaddism"/>
      <sheetName val="cost firehydrant"/>
      <sheetName val="cost fitting"/>
      <sheetName val="cost apron"/>
      <sheetName val="cost SW drain"/>
      <sheetName val="cost m600"/>
      <sheetName val="cost m450"/>
      <sheetName val="cost s15"/>
      <sheetName val="cost soak15"/>
      <sheetName val="costpipes"/>
      <sheetName val="Fitting Details"/>
      <sheetName val="Tools &amp; Equipment"/>
      <sheetName val="Lab &amp;Lab Equipment "/>
      <sheetName val="O&amp;Mcost"/>
      <sheetName val="Pump-Cost"/>
      <sheetName val="ElectroMKalapani"/>
      <sheetName val="ElectroMPipari"/>
      <sheetName val="PT Cost"/>
      <sheetName val="cost s100 -new"/>
      <sheetName val="Costsldying "/>
      <sheetName val="SDB cost sitedev "/>
      <sheetName val="cost SDB soak"/>
      <sheetName val="Eastern Buildings"/>
      <sheetName val="Nothern site"/>
      <sheetName val="costsoak100-new"/>
      <sheetName val="cost sitedev  pt -new"/>
      <sheetName val="Elect.Cost Estimates of PT"/>
      <sheetName val="Cost Multigrade Filter"/>
      <sheetName val="Cost Stair Cascade Aerator "/>
      <sheetName val="cost clorination unit"/>
      <sheetName val="site development (2)"/>
      <sheetName val="Generaror Operator"/>
      <sheetName val=" Quantityguard house"/>
      <sheetName val="QtyOfficeBldg "/>
      <sheetName val="Quantity B. Hole"/>
      <sheetName val="Qntty OHT 50m3 -new"/>
      <sheetName val="Qntty 300 m3 OHT "/>
      <sheetName val="RVT 4m3"/>
      <sheetName val="Sump Well N"/>
      <sheetName val="Qntty 450 m3 OHT "/>
      <sheetName val="Qntty OHT200m3-new"/>
      <sheetName val="Qty GRVT 200m3"/>
      <sheetName val="Valve Chamber"/>
      <sheetName val="Qty_Pipe Type Valve Box"/>
      <sheetName val="house connection"/>
      <sheetName val="BQ Borehole "/>
      <sheetName val="PIPE LAYING ACROSS ROADS (2)"/>
      <sheetName val="pipe laying"/>
      <sheetName val="pipe laying &amp; joining"/>
      <sheetName val="PIPE LAYING ACROSS ROADS"/>
      <sheetName val="Qnt fire hydrant"/>
      <sheetName val="appron qntty"/>
      <sheetName val="quantity SW drain"/>
      <sheetName val="man 600 qntty"/>
      <sheetName val="man 450 qntty"/>
      <sheetName val="septic tank for 15 users"/>
      <sheetName val="Soakpit 15"/>
      <sheetName val="qntty pipes"/>
      <sheetName val="public toilet"/>
      <sheetName val="SEPTIC100-new"/>
      <sheetName val="soak quntty 100 users-new"/>
      <sheetName val="QTySldying"/>
      <sheetName val="SDB sitedev "/>
      <sheetName val="SDB Soakpit "/>
      <sheetName val="Summary of BOQ"/>
      <sheetName val="A1.General Item "/>
      <sheetName val="A2.Day work "/>
      <sheetName val="B.Civil Works"/>
      <sheetName val="C1.Tubewell Cost "/>
      <sheetName val="C2.Tubewell Cost  "/>
      <sheetName val="D.Pipes &amp; Fittings"/>
      <sheetName val="E1.Multigrade Filter "/>
      <sheetName val="E2.Multigrade Filter "/>
      <sheetName val="E3.Multigrade Filter "/>
      <sheetName val="F1.Buildings Electrical "/>
      <sheetName val="F2.Pumps&amp;Accessories Works"/>
      <sheetName val="F3. 11KV Line &amp; Transformers"/>
      <sheetName val="F4. Backup generator"/>
      <sheetName val="G.Tools &amp; Equipment"/>
      <sheetName val="H.Lab &amp;Lab Equipment"/>
      <sheetName val="I.Environmental MitigationWorks"/>
      <sheetName val="J.Operation&amp; Maintenance"/>
      <sheetName val="Sanitation ComponentA"/>
      <sheetName val="Sanitation ComponentB"/>
      <sheetName val="pIPE l"/>
      <sheetName val="Qty Circular Cascade Aerator"/>
      <sheetName val="sitedev pt-new"/>
      <sheetName val=" Qty.Multigrade Filter"/>
      <sheetName val="Qty chlorination unit"/>
      <sheetName val="RAS"/>
      <sheetName val="Analysis of rates"/>
      <sheetName val="Elect.Rate Analysis"/>
      <sheetName val="OHT elec Rate Analysis"/>
      <sheetName val="Elect Rate Analysis of PT"/>
      <sheetName val="GI fittings"/>
      <sheetName val="rate"/>
      <sheetName val="Cummulative  (2)"/>
      <sheetName val="GI Fittings_Pric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ow r="10">
          <cell r="N10">
            <v>1746.6556499999999</v>
          </cell>
        </row>
        <row r="16">
          <cell r="N16">
            <v>5806.35</v>
          </cell>
        </row>
        <row r="17">
          <cell r="N17">
            <v>6967.619999999999</v>
          </cell>
        </row>
        <row r="35">
          <cell r="N35">
            <v>5863.2749999999996</v>
          </cell>
        </row>
        <row r="36">
          <cell r="N36">
            <v>7035.9299999999994</v>
          </cell>
        </row>
        <row r="47">
          <cell r="N47">
            <v>1172.655</v>
          </cell>
        </row>
        <row r="54">
          <cell r="N54">
            <v>4690.62</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row r="18">
          <cell r="M18">
            <v>179.624</v>
          </cell>
        </row>
        <row r="36">
          <cell r="M36">
            <v>95.049224999999993</v>
          </cell>
        </row>
      </sheetData>
      <sheetData sheetId="127"/>
      <sheetData sheetId="128"/>
      <sheetData sheetId="129"/>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Data"/>
      <sheetName val="HL-Data"/>
      <sheetName val="Data Input"/>
      <sheetName val="Water Demand"/>
      <sheetName val="RVT Sizing"/>
      <sheetName val="Hydraulic Design"/>
    </sheetNames>
    <sheetDataSet>
      <sheetData sheetId="0" refreshError="1"/>
      <sheetData sheetId="1" refreshError="1"/>
      <sheetData sheetId="2" refreshError="1">
        <row r="17">
          <cell r="A17" t="str">
            <v>H03</v>
          </cell>
          <cell r="B17" t="str">
            <v>HDPE Pipe 16 MM Dia / 10 Kg/Sq Cm</v>
          </cell>
          <cell r="E17">
            <v>16</v>
          </cell>
          <cell r="F17" t="str">
            <v>10 kg/cm2</v>
          </cell>
          <cell r="G17">
            <v>11.6</v>
          </cell>
        </row>
        <row r="18">
          <cell r="A18" t="str">
            <v>H13</v>
          </cell>
          <cell r="B18" t="str">
            <v>HDPE Pipe 20 MM Dia / 10 Kg/Sq Cm</v>
          </cell>
          <cell r="E18">
            <v>20</v>
          </cell>
          <cell r="F18" t="str">
            <v>10 kg/cm2</v>
          </cell>
          <cell r="G18">
            <v>14.9</v>
          </cell>
        </row>
        <row r="19">
          <cell r="A19" t="str">
            <v>H23</v>
          </cell>
          <cell r="B19" t="str">
            <v>HDPE Pipe 25 MM Dia / 10 Kg/Sq Cm</v>
          </cell>
          <cell r="E19">
            <v>25</v>
          </cell>
          <cell r="F19" t="str">
            <v>10 kg/cm2</v>
          </cell>
          <cell r="G19">
            <v>18.899999999999999</v>
          </cell>
        </row>
        <row r="20">
          <cell r="A20" t="str">
            <v>H33</v>
          </cell>
          <cell r="B20" t="str">
            <v>HDPE Pipe 32 MM Dia / 10 Kg/Sq Cm</v>
          </cell>
          <cell r="E20">
            <v>32</v>
          </cell>
          <cell r="F20" t="str">
            <v>10 kg/cm2</v>
          </cell>
          <cell r="G20">
            <v>24.1</v>
          </cell>
        </row>
        <row r="21">
          <cell r="A21" t="str">
            <v>H32</v>
          </cell>
          <cell r="B21" t="str">
            <v>HDPE Pipe 32 MM Dia / 6 Kg/Sq Cm</v>
          </cell>
          <cell r="E21">
            <v>32</v>
          </cell>
          <cell r="F21" t="e">
            <v>#N/A</v>
          </cell>
          <cell r="G21">
            <v>26.9</v>
          </cell>
        </row>
        <row r="22">
          <cell r="A22" t="str">
            <v>H43</v>
          </cell>
          <cell r="B22" t="str">
            <v>HDPE Pipe 40 MM Dia / 10 Kg/Sq Cm</v>
          </cell>
          <cell r="E22">
            <v>40</v>
          </cell>
          <cell r="F22" t="str">
            <v>10 kg/cm2</v>
          </cell>
          <cell r="G22">
            <v>30.3</v>
          </cell>
        </row>
        <row r="23">
          <cell r="A23" t="str">
            <v>H42</v>
          </cell>
          <cell r="B23" t="str">
            <v>HDPE Pipe 40 MM Dia / 6 Kg/Sq Cm</v>
          </cell>
          <cell r="E23">
            <v>40</v>
          </cell>
          <cell r="F23" t="e">
            <v>#N/A</v>
          </cell>
          <cell r="G23">
            <v>33.700000000000003</v>
          </cell>
        </row>
        <row r="24">
          <cell r="A24" t="str">
            <v>H53</v>
          </cell>
          <cell r="B24" t="str">
            <v>HDPE Pipe 50 MM Dia / 10 Kg/Sq Cm</v>
          </cell>
          <cell r="E24">
            <v>50</v>
          </cell>
          <cell r="F24" t="str">
            <v>10 kg/cm2</v>
          </cell>
          <cell r="G24">
            <v>38</v>
          </cell>
        </row>
        <row r="25">
          <cell r="A25" t="str">
            <v>H52</v>
          </cell>
          <cell r="B25" t="str">
            <v>HDPE Pipe 50 MM Dia / 6 Kg/Sq Cm</v>
          </cell>
          <cell r="E25">
            <v>50</v>
          </cell>
          <cell r="F25" t="e">
            <v>#N/A</v>
          </cell>
          <cell r="G25">
            <v>42.2</v>
          </cell>
        </row>
        <row r="26">
          <cell r="A26" t="str">
            <v>H63</v>
          </cell>
          <cell r="B26" t="str">
            <v>HDPE Pipe 63 MM Dia / 10 Kg/Sq Cm</v>
          </cell>
          <cell r="E26">
            <v>63</v>
          </cell>
          <cell r="F26" t="str">
            <v>10 kg/cm2</v>
          </cell>
          <cell r="G26">
            <v>47.8</v>
          </cell>
        </row>
        <row r="27">
          <cell r="A27" t="str">
            <v>H62</v>
          </cell>
          <cell r="B27" t="str">
            <v>HDPE Pipe 63 MM Dia / 6 Kg/Sq Cm</v>
          </cell>
          <cell r="E27">
            <v>63</v>
          </cell>
          <cell r="F27" t="e">
            <v>#N/A</v>
          </cell>
          <cell r="G27">
            <v>53.3</v>
          </cell>
        </row>
        <row r="28">
          <cell r="A28" t="str">
            <v>H61</v>
          </cell>
          <cell r="B28" t="str">
            <v>HDPE Pipe 63 MM Dia / 4 Kg/Sq Cm</v>
          </cell>
          <cell r="E28">
            <v>63</v>
          </cell>
          <cell r="F28" t="str">
            <v>4 kg/cm2</v>
          </cell>
          <cell r="G28">
            <v>56.5</v>
          </cell>
        </row>
        <row r="29">
          <cell r="A29" t="str">
            <v>H73</v>
          </cell>
          <cell r="B29" t="str">
            <v>HDPE Pipe 75 MM Dia / 10 Kg/Sq Cm</v>
          </cell>
          <cell r="E29">
            <v>75</v>
          </cell>
          <cell r="F29" t="str">
            <v>10 kg/cm2</v>
          </cell>
          <cell r="G29">
            <v>57.1</v>
          </cell>
        </row>
        <row r="30">
          <cell r="A30" t="str">
            <v>H72</v>
          </cell>
          <cell r="B30" t="str">
            <v>HDPE Pipe 75 MM Dia / 6 Kg/Sq Cm</v>
          </cell>
          <cell r="E30">
            <v>75</v>
          </cell>
          <cell r="F30" t="e">
            <v>#N/A</v>
          </cell>
          <cell r="G30">
            <v>63.6</v>
          </cell>
        </row>
        <row r="31">
          <cell r="A31" t="str">
            <v>H71</v>
          </cell>
          <cell r="B31" t="str">
            <v>HDPE Pipe 75 MM Dia / 4 Kg/Sq Cm</v>
          </cell>
          <cell r="E31">
            <v>75</v>
          </cell>
          <cell r="F31" t="str">
            <v>4 kg/cm2</v>
          </cell>
          <cell r="G31">
            <v>67.099999999999994</v>
          </cell>
        </row>
        <row r="32">
          <cell r="A32" t="str">
            <v>H83</v>
          </cell>
          <cell r="B32" t="str">
            <v>HDPE Pipe 90 MM Dia / 10 Kg/Sq Cm</v>
          </cell>
          <cell r="E32">
            <v>90</v>
          </cell>
          <cell r="F32" t="str">
            <v>10 kg/cm2</v>
          </cell>
          <cell r="G32">
            <v>68.5</v>
          </cell>
        </row>
        <row r="33">
          <cell r="A33" t="str">
            <v>H82</v>
          </cell>
          <cell r="B33" t="str">
            <v>HDPE Pipe 90 MM Dia / 6 Kg/Sq Cm</v>
          </cell>
          <cell r="E33">
            <v>90</v>
          </cell>
          <cell r="F33" t="e">
            <v>#N/A</v>
          </cell>
          <cell r="G33">
            <v>76.3</v>
          </cell>
        </row>
        <row r="34">
          <cell r="A34" t="str">
            <v>H81</v>
          </cell>
          <cell r="B34" t="str">
            <v>HDPE Pipe 90 MM Dia / 4 Kg/Sq Cm</v>
          </cell>
          <cell r="E34">
            <v>90</v>
          </cell>
          <cell r="F34" t="str">
            <v>4 kg/cm2</v>
          </cell>
          <cell r="G34">
            <v>80.5</v>
          </cell>
        </row>
        <row r="35">
          <cell r="A35" t="str">
            <v>H93</v>
          </cell>
          <cell r="B35" t="str">
            <v>HDPE Pipe 110 MM Dia / 10 Kg/Sq Cm</v>
          </cell>
          <cell r="E35">
            <v>110</v>
          </cell>
          <cell r="F35" t="str">
            <v>10 kg/cm2</v>
          </cell>
          <cell r="G35">
            <v>83.7</v>
          </cell>
        </row>
        <row r="36">
          <cell r="A36" t="str">
            <v>H92</v>
          </cell>
          <cell r="B36" t="str">
            <v>HDPE Pipe 110 MM Dia / 6 Kg/Sq Cm</v>
          </cell>
          <cell r="E36">
            <v>110</v>
          </cell>
          <cell r="F36" t="e">
            <v>#N/A</v>
          </cell>
          <cell r="G36">
            <v>93.4</v>
          </cell>
        </row>
        <row r="37">
          <cell r="A37" t="str">
            <v>H91</v>
          </cell>
          <cell r="B37" t="str">
            <v>HDPE Pipe 110 MM Dia / 4 Kg/Sq Cm</v>
          </cell>
          <cell r="E37">
            <v>110</v>
          </cell>
          <cell r="F37" t="str">
            <v>4 kg/cm2</v>
          </cell>
          <cell r="G37">
            <v>99.2</v>
          </cell>
        </row>
        <row r="38">
          <cell r="A38" t="str">
            <v>G12</v>
          </cell>
          <cell r="B38" t="str">
            <v>GI Pipe ½" Medium Duty</v>
          </cell>
          <cell r="E38" t="str">
            <v>½"</v>
          </cell>
          <cell r="F38" t="str">
            <v>Medium</v>
          </cell>
          <cell r="G38">
            <v>12.7</v>
          </cell>
        </row>
        <row r="39">
          <cell r="A39" t="str">
            <v>G22</v>
          </cell>
          <cell r="B39" t="str">
            <v>GI Pipe ¾" Medium Duty</v>
          </cell>
          <cell r="E39" t="str">
            <v>¾"</v>
          </cell>
          <cell r="F39" t="str">
            <v>Medium</v>
          </cell>
          <cell r="G39">
            <v>19.100000000000001</v>
          </cell>
        </row>
        <row r="40">
          <cell r="A40" t="str">
            <v>G32</v>
          </cell>
          <cell r="B40" t="str">
            <v>GI Pipe 1" Medium Duty</v>
          </cell>
          <cell r="E40" t="str">
            <v>1"</v>
          </cell>
          <cell r="F40" t="str">
            <v>Medium</v>
          </cell>
          <cell r="G40">
            <v>25.4</v>
          </cell>
        </row>
        <row r="41">
          <cell r="A41" t="str">
            <v>G42</v>
          </cell>
          <cell r="B41" t="str">
            <v>GI Pipe 1¼" Medium Duty</v>
          </cell>
          <cell r="E41" t="str">
            <v>1¼"</v>
          </cell>
          <cell r="F41" t="str">
            <v>Medium</v>
          </cell>
          <cell r="G41">
            <v>31.7</v>
          </cell>
        </row>
        <row r="42">
          <cell r="A42" t="str">
            <v>G52</v>
          </cell>
          <cell r="B42" t="str">
            <v>GI Pipe 1½" Medium Duty</v>
          </cell>
          <cell r="E42" t="str">
            <v>1½"</v>
          </cell>
          <cell r="F42" t="str">
            <v>Medium</v>
          </cell>
          <cell r="G42">
            <v>38.1</v>
          </cell>
        </row>
        <row r="43">
          <cell r="A43" t="str">
            <v>G62</v>
          </cell>
          <cell r="B43" t="str">
            <v>GI Pipe 2" Medium Duty</v>
          </cell>
          <cell r="E43" t="str">
            <v>2"</v>
          </cell>
          <cell r="F43" t="str">
            <v>Medium</v>
          </cell>
          <cell r="G43">
            <v>51</v>
          </cell>
        </row>
        <row r="44">
          <cell r="A44" t="str">
            <v>G72</v>
          </cell>
          <cell r="B44" t="str">
            <v>GI Pipe 2½" Medium Duty</v>
          </cell>
          <cell r="E44" t="str">
            <v>2½"</v>
          </cell>
          <cell r="F44" t="str">
            <v>Medium</v>
          </cell>
          <cell r="G44">
            <v>63.7</v>
          </cell>
        </row>
        <row r="45">
          <cell r="A45" t="str">
            <v>G82</v>
          </cell>
          <cell r="B45" t="str">
            <v>GI Pipe 3" Medium Duty</v>
          </cell>
          <cell r="E45" t="str">
            <v>3"</v>
          </cell>
          <cell r="F45" t="str">
            <v>Medium</v>
          </cell>
          <cell r="G45">
            <v>76.2</v>
          </cell>
        </row>
        <row r="46">
          <cell r="A46" t="str">
            <v>G92</v>
          </cell>
          <cell r="B46" t="str">
            <v>GI Pipe 4" Medium Duty</v>
          </cell>
          <cell r="E46" t="str">
            <v>4"</v>
          </cell>
          <cell r="F46" t="str">
            <v>Medium</v>
          </cell>
          <cell r="G46">
            <v>101.6</v>
          </cell>
        </row>
        <row r="47">
          <cell r="A47" t="str">
            <v>G13</v>
          </cell>
          <cell r="B47" t="str">
            <v>GI Pipe ½" Heavy Duty</v>
          </cell>
          <cell r="E47" t="str">
            <v>½"</v>
          </cell>
          <cell r="F47" t="str">
            <v>Heavy</v>
          </cell>
          <cell r="G47">
            <v>12.7</v>
          </cell>
        </row>
        <row r="48">
          <cell r="A48" t="str">
            <v>G23</v>
          </cell>
          <cell r="B48" t="str">
            <v>GI Pipe ¾" Heavy Duty</v>
          </cell>
          <cell r="E48" t="str">
            <v>¾"</v>
          </cell>
          <cell r="F48" t="str">
            <v>Heavy</v>
          </cell>
          <cell r="G48">
            <v>19.100000000000001</v>
          </cell>
        </row>
        <row r="49">
          <cell r="A49" t="str">
            <v>G33</v>
          </cell>
          <cell r="B49" t="str">
            <v>GI Pipe 1" Heavy Duty</v>
          </cell>
          <cell r="E49" t="str">
            <v>1"</v>
          </cell>
          <cell r="F49" t="str">
            <v>Heavy</v>
          </cell>
          <cell r="G49">
            <v>25.4</v>
          </cell>
        </row>
        <row r="50">
          <cell r="A50" t="str">
            <v>G43</v>
          </cell>
          <cell r="B50" t="str">
            <v>GI Pipe 1¼" Heavy Duty</v>
          </cell>
          <cell r="E50" t="str">
            <v>1¼"</v>
          </cell>
          <cell r="F50" t="str">
            <v>Heavy</v>
          </cell>
          <cell r="G50">
            <v>31.7</v>
          </cell>
        </row>
        <row r="51">
          <cell r="A51" t="str">
            <v>G53</v>
          </cell>
          <cell r="B51" t="str">
            <v>GI Pipe 1½" Heavy Duty</v>
          </cell>
          <cell r="E51" t="str">
            <v>1½"</v>
          </cell>
          <cell r="F51" t="str">
            <v>Heavy</v>
          </cell>
          <cell r="G51">
            <v>38.1</v>
          </cell>
        </row>
        <row r="52">
          <cell r="A52" t="str">
            <v>G63</v>
          </cell>
          <cell r="B52" t="str">
            <v>GI Pipe 2" Heavy Duty</v>
          </cell>
          <cell r="E52" t="str">
            <v>2"</v>
          </cell>
          <cell r="F52" t="str">
            <v>Heavy</v>
          </cell>
          <cell r="G52">
            <v>51</v>
          </cell>
        </row>
        <row r="53">
          <cell r="A53" t="str">
            <v>G73</v>
          </cell>
          <cell r="B53" t="str">
            <v>GI Pipe 2½" Heavy Duty</v>
          </cell>
          <cell r="E53" t="str">
            <v>2½"</v>
          </cell>
          <cell r="F53" t="str">
            <v>Heavy</v>
          </cell>
          <cell r="G53">
            <v>63.7</v>
          </cell>
        </row>
        <row r="54">
          <cell r="A54" t="str">
            <v>G83</v>
          </cell>
          <cell r="B54" t="str">
            <v>GI Pipe 3" Heavy Duty</v>
          </cell>
          <cell r="E54" t="str">
            <v>3"</v>
          </cell>
          <cell r="F54" t="str">
            <v>Heavy</v>
          </cell>
          <cell r="G54">
            <v>76.2</v>
          </cell>
        </row>
        <row r="55">
          <cell r="A55" t="str">
            <v>G93</v>
          </cell>
          <cell r="B55" t="str">
            <v>GI Pipe 4" Heavy Duty</v>
          </cell>
          <cell r="E55" t="str">
            <v>4"</v>
          </cell>
          <cell r="F55" t="str">
            <v>Heavy</v>
          </cell>
          <cell r="G55">
            <v>101.6</v>
          </cell>
        </row>
        <row r="56">
          <cell r="B56" t="str">
            <v>Total =</v>
          </cell>
        </row>
      </sheetData>
      <sheetData sheetId="3" refreshError="1"/>
      <sheetData sheetId="4" refreshError="1"/>
      <sheetData sheetId="5"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cost "/>
      <sheetName val="BOQ"/>
      <sheetName val="Abstract of cost"/>
      <sheetName val="Quantity Estimate"/>
      <sheetName val="Summary of Rate"/>
      <sheetName val="Rate analysis(DOR)"/>
      <sheetName val="Collection+Tranport"/>
      <sheetName val="transportation"/>
      <sheetName val="Collection(DOR)"/>
      <sheetName val="Bar Bending"/>
      <sheetName val="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8">
          <cell r="M8">
            <v>525</v>
          </cell>
        </row>
        <row r="9">
          <cell r="M9">
            <v>375</v>
          </cell>
        </row>
        <row r="17">
          <cell r="M17">
            <v>87.61</v>
          </cell>
        </row>
      </sheetData>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ther Data"/>
      <sheetName val="HL-Data"/>
      <sheetName val="Data Input"/>
      <sheetName val="Water Demand"/>
      <sheetName val="RVT Sizing"/>
      <sheetName val="Hydraulic Design"/>
    </sheetNames>
    <sheetDataSet>
      <sheetData sheetId="0">
        <row r="4">
          <cell r="A4">
            <v>1</v>
          </cell>
          <cell r="B4" t="str">
            <v>Achham</v>
          </cell>
          <cell r="C4">
            <v>1.54</v>
          </cell>
        </row>
        <row r="5">
          <cell r="A5">
            <v>2</v>
          </cell>
          <cell r="B5" t="str">
            <v>Arghakhanchi</v>
          </cell>
          <cell r="C5">
            <v>1.42</v>
          </cell>
        </row>
        <row r="6">
          <cell r="A6">
            <v>3</v>
          </cell>
          <cell r="B6" t="str">
            <v>Baglung</v>
          </cell>
          <cell r="C6">
            <v>1.46</v>
          </cell>
        </row>
        <row r="7">
          <cell r="A7">
            <v>4</v>
          </cell>
          <cell r="B7" t="str">
            <v>Baitadi</v>
          </cell>
          <cell r="C7">
            <v>1.55</v>
          </cell>
        </row>
        <row r="8">
          <cell r="A8">
            <v>5</v>
          </cell>
          <cell r="B8" t="str">
            <v>Bajhang</v>
          </cell>
          <cell r="C8">
            <v>1.83</v>
          </cell>
        </row>
        <row r="9">
          <cell r="A9">
            <v>6</v>
          </cell>
          <cell r="B9" t="str">
            <v>Bajura</v>
          </cell>
          <cell r="C9">
            <v>1.67</v>
          </cell>
        </row>
        <row r="10">
          <cell r="A10">
            <v>7</v>
          </cell>
          <cell r="B10" t="str">
            <v>Banke</v>
          </cell>
          <cell r="C10">
            <v>3.01</v>
          </cell>
        </row>
        <row r="11">
          <cell r="A11">
            <v>8</v>
          </cell>
          <cell r="B11" t="str">
            <v>Bara</v>
          </cell>
          <cell r="C11">
            <v>2.96</v>
          </cell>
        </row>
        <row r="12">
          <cell r="A12">
            <v>9</v>
          </cell>
          <cell r="B12" t="str">
            <v>Bardiya</v>
          </cell>
          <cell r="C12">
            <v>2.76</v>
          </cell>
        </row>
        <row r="13">
          <cell r="A13">
            <v>10</v>
          </cell>
          <cell r="B13" t="str">
            <v>Bhaktapur</v>
          </cell>
          <cell r="C13">
            <v>2.65</v>
          </cell>
        </row>
        <row r="14">
          <cell r="A14">
            <v>11</v>
          </cell>
          <cell r="B14" t="str">
            <v>Bhojpur</v>
          </cell>
          <cell r="C14">
            <v>0.21</v>
          </cell>
        </row>
        <row r="15">
          <cell r="A15">
            <v>12</v>
          </cell>
          <cell r="B15" t="str">
            <v>Chitawan</v>
          </cell>
          <cell r="C15">
            <v>2.86</v>
          </cell>
        </row>
        <row r="16">
          <cell r="A16">
            <v>13</v>
          </cell>
          <cell r="B16" t="str">
            <v>Dadeldhunda</v>
          </cell>
          <cell r="C16">
            <v>1.87</v>
          </cell>
        </row>
        <row r="17">
          <cell r="A17">
            <v>14</v>
          </cell>
          <cell r="B17" t="str">
            <v>Dailekh</v>
          </cell>
          <cell r="C17">
            <v>1.84</v>
          </cell>
        </row>
        <row r="18">
          <cell r="A18">
            <v>15</v>
          </cell>
          <cell r="B18" t="str">
            <v>Dang</v>
          </cell>
          <cell r="C18">
            <v>2.66</v>
          </cell>
        </row>
        <row r="19">
          <cell r="A19">
            <v>16</v>
          </cell>
          <cell r="B19" t="str">
            <v>Darchula</v>
          </cell>
          <cell r="C19">
            <v>1.82</v>
          </cell>
        </row>
        <row r="20">
          <cell r="A20">
            <v>17</v>
          </cell>
          <cell r="B20" t="str">
            <v>Dhading</v>
          </cell>
          <cell r="C20">
            <v>1.97</v>
          </cell>
        </row>
        <row r="21">
          <cell r="A21">
            <v>18</v>
          </cell>
          <cell r="B21" t="str">
            <v>Dhankuta</v>
          </cell>
          <cell r="C21">
            <v>1.29</v>
          </cell>
        </row>
        <row r="22">
          <cell r="A22">
            <v>19</v>
          </cell>
          <cell r="B22" t="str">
            <v>Dhanusha</v>
          </cell>
          <cell r="C22">
            <v>2.11</v>
          </cell>
        </row>
        <row r="23">
          <cell r="A23">
            <v>20</v>
          </cell>
          <cell r="B23" t="str">
            <v>Dolakha</v>
          </cell>
          <cell r="C23">
            <v>1.65</v>
          </cell>
        </row>
        <row r="24">
          <cell r="A24">
            <v>21</v>
          </cell>
          <cell r="B24" t="str">
            <v>Dolpa</v>
          </cell>
          <cell r="C24">
            <v>1.67</v>
          </cell>
        </row>
        <row r="25">
          <cell r="A25">
            <v>22</v>
          </cell>
          <cell r="B25" t="str">
            <v>Doti</v>
          </cell>
          <cell r="C25">
            <v>2.14</v>
          </cell>
        </row>
        <row r="26">
          <cell r="A26">
            <v>23</v>
          </cell>
          <cell r="B26" t="str">
            <v>Gorkha</v>
          </cell>
          <cell r="C26">
            <v>1.32</v>
          </cell>
        </row>
        <row r="27">
          <cell r="A27">
            <v>24</v>
          </cell>
          <cell r="B27" t="str">
            <v>Gulmi</v>
          </cell>
          <cell r="C27">
            <v>1.08</v>
          </cell>
        </row>
        <row r="28">
          <cell r="A28">
            <v>25</v>
          </cell>
          <cell r="B28" t="str">
            <v>Humla</v>
          </cell>
          <cell r="C28">
            <v>1.66</v>
          </cell>
        </row>
        <row r="29">
          <cell r="A29">
            <v>26</v>
          </cell>
          <cell r="B29" t="str">
            <v>Ilam</v>
          </cell>
          <cell r="C29">
            <v>2.1</v>
          </cell>
        </row>
        <row r="30">
          <cell r="A30">
            <v>27</v>
          </cell>
          <cell r="B30" t="str">
            <v>Jajarkot</v>
          </cell>
          <cell r="C30">
            <v>1.68</v>
          </cell>
        </row>
        <row r="31">
          <cell r="A31">
            <v>28</v>
          </cell>
          <cell r="B31" t="str">
            <v>Jhapa</v>
          </cell>
          <cell r="C31">
            <v>1.48</v>
          </cell>
        </row>
        <row r="32">
          <cell r="A32">
            <v>29</v>
          </cell>
          <cell r="B32" t="str">
            <v>Jumla</v>
          </cell>
          <cell r="C32">
            <v>1.63</v>
          </cell>
        </row>
        <row r="33">
          <cell r="A33">
            <v>30</v>
          </cell>
          <cell r="B33" t="str">
            <v>Kailali</v>
          </cell>
          <cell r="C33">
            <v>3.89</v>
          </cell>
        </row>
        <row r="34">
          <cell r="A34">
            <v>31</v>
          </cell>
          <cell r="B34" t="str">
            <v>Kalikot</v>
          </cell>
          <cell r="C34">
            <v>1.73</v>
          </cell>
        </row>
        <row r="35">
          <cell r="A35">
            <v>32</v>
          </cell>
          <cell r="B35" t="str">
            <v>Kanchanpur</v>
          </cell>
          <cell r="C35">
            <v>3.82</v>
          </cell>
        </row>
        <row r="36">
          <cell r="A36">
            <v>33</v>
          </cell>
          <cell r="B36" t="str">
            <v>Kapilbastu</v>
          </cell>
          <cell r="C36">
            <v>2.6</v>
          </cell>
        </row>
        <row r="37">
          <cell r="A37">
            <v>34</v>
          </cell>
          <cell r="B37" t="str">
            <v>Kaski</v>
          </cell>
          <cell r="C37">
            <v>2.62</v>
          </cell>
        </row>
        <row r="38">
          <cell r="A38">
            <v>35</v>
          </cell>
          <cell r="B38" t="str">
            <v>Kathmandu</v>
          </cell>
          <cell r="C38">
            <v>4.71</v>
          </cell>
        </row>
        <row r="39">
          <cell r="A39">
            <v>36</v>
          </cell>
          <cell r="B39" t="str">
            <v>Kavre</v>
          </cell>
          <cell r="C39">
            <v>1.73</v>
          </cell>
        </row>
        <row r="40">
          <cell r="A40">
            <v>37</v>
          </cell>
          <cell r="B40" t="str">
            <v>Khotang</v>
          </cell>
          <cell r="C40">
            <v>0.69</v>
          </cell>
        </row>
        <row r="41">
          <cell r="A41">
            <v>38</v>
          </cell>
          <cell r="B41" t="str">
            <v>Lalitpur</v>
          </cell>
          <cell r="C41">
            <v>2.73</v>
          </cell>
        </row>
        <row r="42">
          <cell r="A42">
            <v>39</v>
          </cell>
          <cell r="B42" t="str">
            <v>Lamjung</v>
          </cell>
          <cell r="C42">
            <v>1.42</v>
          </cell>
        </row>
        <row r="43">
          <cell r="A43">
            <v>40</v>
          </cell>
          <cell r="B43" t="str">
            <v>Mahottari</v>
          </cell>
          <cell r="C43">
            <v>2.29</v>
          </cell>
        </row>
        <row r="44">
          <cell r="A44">
            <v>41</v>
          </cell>
          <cell r="B44" t="str">
            <v>Makawanpur</v>
          </cell>
          <cell r="C44">
            <v>2.2200000000000002</v>
          </cell>
        </row>
        <row r="45">
          <cell r="A45">
            <v>42</v>
          </cell>
          <cell r="B45" t="str">
            <v>Manang</v>
          </cell>
          <cell r="C45">
            <v>5.81</v>
          </cell>
        </row>
        <row r="46">
          <cell r="A46">
            <v>43</v>
          </cell>
          <cell r="B46" t="str">
            <v>Morang</v>
          </cell>
          <cell r="C46">
            <v>2.23</v>
          </cell>
        </row>
        <row r="47">
          <cell r="A47">
            <v>44</v>
          </cell>
          <cell r="B47" t="str">
            <v>Mugu</v>
          </cell>
          <cell r="C47">
            <v>1.89</v>
          </cell>
        </row>
        <row r="48">
          <cell r="A48">
            <v>45</v>
          </cell>
          <cell r="B48" t="str">
            <v>Mustang</v>
          </cell>
          <cell r="C48">
            <v>0.47</v>
          </cell>
        </row>
        <row r="49">
          <cell r="A49">
            <v>46</v>
          </cell>
          <cell r="B49" t="str">
            <v>Myagdi</v>
          </cell>
          <cell r="C49">
            <v>1.29</v>
          </cell>
        </row>
        <row r="50">
          <cell r="A50">
            <v>47</v>
          </cell>
          <cell r="B50" t="str">
            <v>Nawalparasi</v>
          </cell>
          <cell r="C50">
            <v>2.5499999999999998</v>
          </cell>
        </row>
        <row r="51">
          <cell r="A51">
            <v>48</v>
          </cell>
          <cell r="B51" t="str">
            <v>Nuwakot</v>
          </cell>
          <cell r="C51">
            <v>1.62</v>
          </cell>
        </row>
        <row r="52">
          <cell r="A52">
            <v>49</v>
          </cell>
          <cell r="B52" t="str">
            <v>Okhaldhunga</v>
          </cell>
          <cell r="C52">
            <v>1.17</v>
          </cell>
        </row>
        <row r="53">
          <cell r="A53">
            <v>50</v>
          </cell>
          <cell r="B53" t="str">
            <v>Palpa</v>
          </cell>
          <cell r="C53">
            <v>1.28</v>
          </cell>
        </row>
        <row r="54">
          <cell r="A54">
            <v>51</v>
          </cell>
          <cell r="B54" t="str">
            <v>Panchthar</v>
          </cell>
          <cell r="C54">
            <v>1.43</v>
          </cell>
        </row>
        <row r="55">
          <cell r="A55">
            <v>52</v>
          </cell>
          <cell r="B55" t="str">
            <v>Parbat</v>
          </cell>
          <cell r="C55">
            <v>0.95</v>
          </cell>
        </row>
        <row r="56">
          <cell r="A56">
            <v>53</v>
          </cell>
          <cell r="B56" t="str">
            <v>Parsa</v>
          </cell>
          <cell r="C56">
            <v>2.89</v>
          </cell>
        </row>
        <row r="57">
          <cell r="A57">
            <v>54</v>
          </cell>
          <cell r="B57" t="str">
            <v>Pyuthan</v>
          </cell>
          <cell r="C57">
            <v>1.91</v>
          </cell>
        </row>
        <row r="58">
          <cell r="A58">
            <v>55</v>
          </cell>
          <cell r="B58" t="str">
            <v>Ramechhap</v>
          </cell>
          <cell r="C58">
            <v>1.22</v>
          </cell>
        </row>
        <row r="59">
          <cell r="A59">
            <v>56</v>
          </cell>
          <cell r="B59" t="str">
            <v>Rasuwa</v>
          </cell>
          <cell r="C59">
            <v>1.97</v>
          </cell>
        </row>
        <row r="60">
          <cell r="A60">
            <v>57</v>
          </cell>
          <cell r="B60" t="str">
            <v>Rautahat</v>
          </cell>
          <cell r="C60">
            <v>2.75</v>
          </cell>
        </row>
        <row r="61">
          <cell r="A61">
            <v>58</v>
          </cell>
          <cell r="B61" t="str">
            <v>Rolpa</v>
          </cell>
          <cell r="C61">
            <v>1.56</v>
          </cell>
        </row>
        <row r="62">
          <cell r="A62">
            <v>59</v>
          </cell>
          <cell r="B62" t="str">
            <v>Rukum</v>
          </cell>
          <cell r="C62">
            <v>1.92</v>
          </cell>
        </row>
        <row r="63">
          <cell r="A63">
            <v>60</v>
          </cell>
          <cell r="B63" t="str">
            <v>Rupandehi</v>
          </cell>
          <cell r="C63">
            <v>3.05</v>
          </cell>
        </row>
        <row r="64">
          <cell r="A64">
            <v>61</v>
          </cell>
          <cell r="B64" t="str">
            <v>Salyan</v>
          </cell>
          <cell r="C64">
            <v>1.61</v>
          </cell>
        </row>
        <row r="65">
          <cell r="A65">
            <v>62</v>
          </cell>
          <cell r="B65" t="str">
            <v>Sankhuwasabha</v>
          </cell>
          <cell r="C65">
            <v>1.1499999999999999</v>
          </cell>
        </row>
        <row r="66">
          <cell r="A66">
            <v>63</v>
          </cell>
          <cell r="B66" t="str">
            <v>Saptari</v>
          </cell>
          <cell r="C66">
            <v>2.0299999999999998</v>
          </cell>
        </row>
        <row r="67">
          <cell r="A67">
            <v>64</v>
          </cell>
          <cell r="B67" t="str">
            <v>Sarlahee</v>
          </cell>
          <cell r="C67">
            <v>2.5499999999999998</v>
          </cell>
        </row>
        <row r="68">
          <cell r="A68">
            <v>65</v>
          </cell>
          <cell r="B68" t="str">
            <v>Sindhuli</v>
          </cell>
          <cell r="C68">
            <v>2.23</v>
          </cell>
        </row>
        <row r="69">
          <cell r="A69">
            <v>66</v>
          </cell>
          <cell r="B69" t="str">
            <v>Sindhupalchowk</v>
          </cell>
          <cell r="C69">
            <v>1.59</v>
          </cell>
        </row>
        <row r="70">
          <cell r="A70">
            <v>67</v>
          </cell>
          <cell r="B70" t="str">
            <v>Siraha</v>
          </cell>
          <cell r="C70">
            <v>2.17</v>
          </cell>
        </row>
        <row r="71">
          <cell r="A71">
            <v>68</v>
          </cell>
          <cell r="B71" t="str">
            <v>Solukhumbu</v>
          </cell>
          <cell r="C71">
            <v>1.02</v>
          </cell>
        </row>
        <row r="72">
          <cell r="A72">
            <v>69</v>
          </cell>
          <cell r="B72" t="str">
            <v>Sunsari</v>
          </cell>
          <cell r="C72">
            <v>3</v>
          </cell>
        </row>
        <row r="73">
          <cell r="A73">
            <v>70</v>
          </cell>
          <cell r="B73" t="str">
            <v>Surkhet</v>
          </cell>
          <cell r="C73">
            <v>2.4500000000000002</v>
          </cell>
        </row>
        <row r="74">
          <cell r="A74">
            <v>71</v>
          </cell>
          <cell r="B74" t="str">
            <v>Syanja</v>
          </cell>
          <cell r="C74">
            <v>0.78</v>
          </cell>
        </row>
        <row r="75">
          <cell r="A75">
            <v>72</v>
          </cell>
          <cell r="B75" t="str">
            <v>Tanahu</v>
          </cell>
          <cell r="C75">
            <v>1.62</v>
          </cell>
        </row>
        <row r="76">
          <cell r="A76">
            <v>73</v>
          </cell>
          <cell r="B76" t="str">
            <v>Taplejung</v>
          </cell>
          <cell r="C76">
            <v>1.1499999999999999</v>
          </cell>
        </row>
        <row r="77">
          <cell r="A77">
            <v>74</v>
          </cell>
          <cell r="B77" t="str">
            <v>Tehrathum</v>
          </cell>
          <cell r="C77">
            <v>0.95</v>
          </cell>
        </row>
        <row r="78">
          <cell r="A78">
            <v>75</v>
          </cell>
          <cell r="B78" t="str">
            <v>Udayapur</v>
          </cell>
          <cell r="C78">
            <v>2.63</v>
          </cell>
        </row>
      </sheetData>
      <sheetData sheetId="1">
        <row r="7">
          <cell r="C7" t="str">
            <v>H03</v>
          </cell>
          <cell r="D7" t="str">
            <v>H13</v>
          </cell>
          <cell r="E7" t="str">
            <v>H23</v>
          </cell>
          <cell r="F7" t="str">
            <v>H33</v>
          </cell>
          <cell r="G7" t="str">
            <v>H32</v>
          </cell>
          <cell r="H7" t="str">
            <v>H43</v>
          </cell>
          <cell r="I7" t="str">
            <v>H42</v>
          </cell>
          <cell r="J7" t="str">
            <v>H41</v>
          </cell>
          <cell r="K7" t="str">
            <v>H53</v>
          </cell>
          <cell r="L7" t="str">
            <v>H52</v>
          </cell>
          <cell r="M7" t="str">
            <v>H51</v>
          </cell>
          <cell r="N7" t="str">
            <v>H63</v>
          </cell>
          <cell r="O7" t="str">
            <v>H62</v>
          </cell>
          <cell r="P7" t="str">
            <v>H61</v>
          </cell>
          <cell r="Q7" t="str">
            <v>H73</v>
          </cell>
          <cell r="R7" t="str">
            <v>H72</v>
          </cell>
          <cell r="S7" t="str">
            <v>H71</v>
          </cell>
          <cell r="T7" t="str">
            <v>H83</v>
          </cell>
          <cell r="U7" t="str">
            <v>H82</v>
          </cell>
          <cell r="V7" t="str">
            <v>H81</v>
          </cell>
          <cell r="X7" t="str">
            <v>G12</v>
          </cell>
          <cell r="Y7" t="str">
            <v>G22</v>
          </cell>
          <cell r="Z7" t="str">
            <v>G32</v>
          </cell>
          <cell r="AA7" t="str">
            <v>G42</v>
          </cell>
          <cell r="AB7" t="str">
            <v>G52</v>
          </cell>
          <cell r="AC7" t="str">
            <v>G62</v>
          </cell>
          <cell r="AD7" t="str">
            <v>G72</v>
          </cell>
          <cell r="AE7" t="str">
            <v>G82</v>
          </cell>
        </row>
        <row r="10">
          <cell r="B10">
            <v>0</v>
          </cell>
          <cell r="C10" t="str">
            <v>Re-size</v>
          </cell>
          <cell r="D10" t="str">
            <v>Re-size</v>
          </cell>
          <cell r="E10" t="str">
            <v>Re-size</v>
          </cell>
          <cell r="F10" t="str">
            <v>Re-size</v>
          </cell>
          <cell r="G10" t="str">
            <v>Re-size</v>
          </cell>
          <cell r="H10" t="str">
            <v>Re-size</v>
          </cell>
          <cell r="I10" t="str">
            <v>Re-size</v>
          </cell>
          <cell r="J10" t="str">
            <v>Re-size</v>
          </cell>
          <cell r="K10" t="str">
            <v>Re-size</v>
          </cell>
          <cell r="L10" t="str">
            <v>Re-size</v>
          </cell>
          <cell r="M10" t="str">
            <v>Re-size</v>
          </cell>
          <cell r="N10" t="str">
            <v>Re-size</v>
          </cell>
          <cell r="O10" t="str">
            <v>Re-size</v>
          </cell>
          <cell r="P10" t="str">
            <v>Re-size</v>
          </cell>
          <cell r="Q10" t="str">
            <v>Re-size</v>
          </cell>
          <cell r="R10" t="str">
            <v>Re-size</v>
          </cell>
          <cell r="S10" t="str">
            <v>Re-size</v>
          </cell>
          <cell r="T10" t="str">
            <v>Re-size</v>
          </cell>
          <cell r="U10" t="str">
            <v>Re-size</v>
          </cell>
          <cell r="V10" t="str">
            <v>Re-size</v>
          </cell>
          <cell r="X10" t="str">
            <v>Re-size</v>
          </cell>
          <cell r="Y10" t="str">
            <v>Re-size</v>
          </cell>
          <cell r="Z10" t="str">
            <v>Re-size</v>
          </cell>
          <cell r="AA10" t="str">
            <v>Re-size</v>
          </cell>
          <cell r="AB10" t="str">
            <v>Re-size</v>
          </cell>
          <cell r="AC10" t="str">
            <v>Re-size</v>
          </cell>
          <cell r="AD10" t="str">
            <v>Re-size</v>
          </cell>
          <cell r="AE10" t="str">
            <v>Re-size</v>
          </cell>
        </row>
        <row r="11">
          <cell r="B11">
            <v>0.02</v>
          </cell>
          <cell r="C11" t="str">
            <v>Re-size</v>
          </cell>
          <cell r="D11">
            <v>0.25</v>
          </cell>
          <cell r="E11" t="str">
            <v>Re-size</v>
          </cell>
          <cell r="F11" t="str">
            <v>Re-size</v>
          </cell>
          <cell r="G11" t="str">
            <v>Re-size</v>
          </cell>
          <cell r="H11" t="str">
            <v>Re-size</v>
          </cell>
          <cell r="I11" t="str">
            <v>Re-size</v>
          </cell>
          <cell r="J11" t="str">
            <v>Re-size</v>
          </cell>
          <cell r="K11" t="str">
            <v>Re-size</v>
          </cell>
          <cell r="L11" t="str">
            <v>Re-size</v>
          </cell>
          <cell r="M11" t="str">
            <v>Re-size</v>
          </cell>
          <cell r="N11" t="str">
            <v>Re-size</v>
          </cell>
          <cell r="O11" t="str">
            <v>Re-size</v>
          </cell>
          <cell r="P11" t="str">
            <v>Re-size</v>
          </cell>
          <cell r="Q11" t="str">
            <v>Re-size</v>
          </cell>
          <cell r="R11" t="str">
            <v>Re-size</v>
          </cell>
          <cell r="S11" t="str">
            <v>Re-size</v>
          </cell>
          <cell r="T11" t="str">
            <v>Re-size</v>
          </cell>
          <cell r="U11" t="str">
            <v>Re-size</v>
          </cell>
          <cell r="V11" t="str">
            <v>Re-size</v>
          </cell>
          <cell r="X11" t="str">
            <v>Re-size</v>
          </cell>
          <cell r="Y11" t="str">
            <v>Re-size</v>
          </cell>
          <cell r="Z11" t="str">
            <v>Re-size</v>
          </cell>
          <cell r="AA11" t="str">
            <v>Re-size</v>
          </cell>
          <cell r="AB11" t="str">
            <v>Re-size</v>
          </cell>
          <cell r="AC11" t="str">
            <v>Re-size</v>
          </cell>
          <cell r="AD11" t="str">
            <v>Re-size</v>
          </cell>
          <cell r="AE11" t="str">
            <v>Re-size</v>
          </cell>
        </row>
        <row r="12">
          <cell r="B12">
            <v>0.03</v>
          </cell>
          <cell r="C12" t="str">
            <v>Re-size</v>
          </cell>
          <cell r="D12">
            <v>0.53</v>
          </cell>
          <cell r="E12" t="str">
            <v>Re-size</v>
          </cell>
          <cell r="F12" t="str">
            <v>Re-size</v>
          </cell>
          <cell r="G12" t="str">
            <v>Re-size</v>
          </cell>
          <cell r="H12" t="str">
            <v>Re-size</v>
          </cell>
          <cell r="I12" t="str">
            <v>Re-size</v>
          </cell>
          <cell r="J12" t="str">
            <v>Re-size</v>
          </cell>
          <cell r="K12" t="str">
            <v>Re-size</v>
          </cell>
          <cell r="L12" t="str">
            <v>Re-size</v>
          </cell>
          <cell r="M12" t="str">
            <v>Re-size</v>
          </cell>
          <cell r="N12" t="str">
            <v>Re-size</v>
          </cell>
          <cell r="O12" t="str">
            <v>Re-size</v>
          </cell>
          <cell r="P12" t="str">
            <v>Re-size</v>
          </cell>
          <cell r="Q12" t="str">
            <v>Re-size</v>
          </cell>
          <cell r="R12" t="str">
            <v>Re-size</v>
          </cell>
          <cell r="S12" t="str">
            <v>Re-size</v>
          </cell>
          <cell r="T12" t="str">
            <v>Re-size</v>
          </cell>
          <cell r="U12" t="str">
            <v>Re-size</v>
          </cell>
          <cell r="V12" t="str">
            <v>Re-size</v>
          </cell>
          <cell r="X12" t="str">
            <v>Re-size</v>
          </cell>
          <cell r="Y12" t="str">
            <v>Re-size</v>
          </cell>
          <cell r="Z12" t="str">
            <v>Re-size</v>
          </cell>
          <cell r="AA12" t="str">
            <v>Re-size</v>
          </cell>
          <cell r="AB12" t="str">
            <v>Re-size</v>
          </cell>
          <cell r="AC12" t="str">
            <v>Re-size</v>
          </cell>
          <cell r="AD12" t="str">
            <v>Re-size</v>
          </cell>
          <cell r="AE12" t="str">
            <v>Re-size</v>
          </cell>
        </row>
        <row r="13">
          <cell r="B13">
            <v>0.04</v>
          </cell>
          <cell r="C13" t="str">
            <v>Re-size</v>
          </cell>
          <cell r="D13">
            <v>0.8</v>
          </cell>
          <cell r="E13" t="str">
            <v>Re-size</v>
          </cell>
          <cell r="F13" t="str">
            <v>Re-size</v>
          </cell>
          <cell r="G13" t="str">
            <v>Re-size</v>
          </cell>
          <cell r="H13" t="str">
            <v>Re-size</v>
          </cell>
          <cell r="I13" t="str">
            <v>Re-size</v>
          </cell>
          <cell r="J13" t="str">
            <v>Re-size</v>
          </cell>
          <cell r="K13" t="str">
            <v>Re-size</v>
          </cell>
          <cell r="L13" t="str">
            <v>Re-size</v>
          </cell>
          <cell r="M13" t="str">
            <v>Re-size</v>
          </cell>
          <cell r="N13" t="str">
            <v>Re-size</v>
          </cell>
          <cell r="O13" t="str">
            <v>Re-size</v>
          </cell>
          <cell r="P13" t="str">
            <v>Re-size</v>
          </cell>
          <cell r="Q13" t="str">
            <v>Re-size</v>
          </cell>
          <cell r="R13" t="str">
            <v>Re-size</v>
          </cell>
          <cell r="S13" t="str">
            <v>Re-size</v>
          </cell>
          <cell r="T13" t="str">
            <v>Re-size</v>
          </cell>
          <cell r="U13" t="str">
            <v>Re-size</v>
          </cell>
          <cell r="V13" t="str">
            <v>Re-size</v>
          </cell>
          <cell r="X13" t="str">
            <v>Re-size</v>
          </cell>
          <cell r="Y13" t="str">
            <v>Re-size</v>
          </cell>
          <cell r="Z13" t="str">
            <v>Re-size</v>
          </cell>
          <cell r="AA13" t="str">
            <v>Re-size</v>
          </cell>
          <cell r="AB13" t="str">
            <v>Re-size</v>
          </cell>
          <cell r="AC13" t="str">
            <v>Re-size</v>
          </cell>
          <cell r="AD13" t="str">
            <v>Re-size</v>
          </cell>
          <cell r="AE13" t="str">
            <v>Re-size</v>
          </cell>
        </row>
        <row r="14">
          <cell r="B14">
            <v>0.05</v>
          </cell>
          <cell r="C14" t="str">
            <v>Re-size</v>
          </cell>
          <cell r="D14">
            <v>1.18</v>
          </cell>
          <cell r="E14" t="str">
            <v>Re-size</v>
          </cell>
          <cell r="F14" t="str">
            <v>Re-size</v>
          </cell>
          <cell r="G14" t="str">
            <v>Re-size</v>
          </cell>
          <cell r="H14" t="str">
            <v>Re-size</v>
          </cell>
          <cell r="I14" t="str">
            <v>Re-size</v>
          </cell>
          <cell r="J14" t="str">
            <v>Re-size</v>
          </cell>
          <cell r="K14" t="str">
            <v>Re-size</v>
          </cell>
          <cell r="L14" t="str">
            <v>Re-size</v>
          </cell>
          <cell r="M14" t="str">
            <v>Re-size</v>
          </cell>
          <cell r="N14" t="str">
            <v>Re-size</v>
          </cell>
          <cell r="O14" t="str">
            <v>Re-size</v>
          </cell>
          <cell r="P14" t="str">
            <v>Re-size</v>
          </cell>
          <cell r="Q14" t="str">
            <v>Re-size</v>
          </cell>
          <cell r="R14" t="str">
            <v>Re-size</v>
          </cell>
          <cell r="S14" t="str">
            <v>Re-size</v>
          </cell>
          <cell r="T14" t="str">
            <v>Re-size</v>
          </cell>
          <cell r="U14" t="str">
            <v>Re-size</v>
          </cell>
          <cell r="V14" t="str">
            <v>Re-size</v>
          </cell>
          <cell r="X14" t="str">
            <v>Re-size</v>
          </cell>
          <cell r="Y14" t="str">
            <v>Re-size</v>
          </cell>
          <cell r="Z14" t="str">
            <v>Re-size</v>
          </cell>
          <cell r="AA14" t="str">
            <v>Re-size</v>
          </cell>
          <cell r="AB14" t="str">
            <v>Re-size</v>
          </cell>
          <cell r="AC14" t="str">
            <v>Re-size</v>
          </cell>
          <cell r="AD14" t="str">
            <v>Re-size</v>
          </cell>
          <cell r="AE14" t="str">
            <v>Re-size</v>
          </cell>
        </row>
        <row r="15">
          <cell r="B15">
            <v>0.06</v>
          </cell>
          <cell r="C15" t="str">
            <v>Re-size</v>
          </cell>
          <cell r="D15">
            <v>1.55</v>
          </cell>
          <cell r="E15" t="str">
            <v>Re-size</v>
          </cell>
          <cell r="F15" t="str">
            <v>Re-size</v>
          </cell>
          <cell r="G15" t="str">
            <v>Re-size</v>
          </cell>
          <cell r="H15" t="str">
            <v>Re-size</v>
          </cell>
          <cell r="I15" t="str">
            <v>Re-size</v>
          </cell>
          <cell r="J15" t="str">
            <v>Re-size</v>
          </cell>
          <cell r="K15" t="str">
            <v>Re-size</v>
          </cell>
          <cell r="L15" t="str">
            <v>Re-size</v>
          </cell>
          <cell r="M15" t="str">
            <v>Re-size</v>
          </cell>
          <cell r="N15" t="str">
            <v>Re-size</v>
          </cell>
          <cell r="O15" t="str">
            <v>Re-size</v>
          </cell>
          <cell r="P15" t="str">
            <v>Re-size</v>
          </cell>
          <cell r="Q15" t="str">
            <v>Re-size</v>
          </cell>
          <cell r="R15" t="str">
            <v>Re-size</v>
          </cell>
          <cell r="S15" t="str">
            <v>Re-size</v>
          </cell>
          <cell r="T15" t="str">
            <v>Re-size</v>
          </cell>
          <cell r="U15" t="str">
            <v>Re-size</v>
          </cell>
          <cell r="V15" t="str">
            <v>Re-size</v>
          </cell>
          <cell r="X15" t="str">
            <v>Re-size</v>
          </cell>
          <cell r="Y15" t="str">
            <v>Re-size</v>
          </cell>
          <cell r="Z15" t="str">
            <v>Re-size</v>
          </cell>
          <cell r="AA15" t="str">
            <v>Re-size</v>
          </cell>
          <cell r="AB15" t="str">
            <v>Re-size</v>
          </cell>
          <cell r="AC15" t="str">
            <v>Re-size</v>
          </cell>
          <cell r="AD15" t="str">
            <v>Re-size</v>
          </cell>
          <cell r="AE15" t="str">
            <v>Re-size</v>
          </cell>
        </row>
        <row r="16">
          <cell r="B16">
            <v>7.0000000000000007E-2</v>
          </cell>
          <cell r="C16" t="str">
            <v>Re-size</v>
          </cell>
          <cell r="D16">
            <v>2.0499999999999998</v>
          </cell>
          <cell r="E16" t="str">
            <v>Re-size</v>
          </cell>
          <cell r="F16" t="str">
            <v>Re-size</v>
          </cell>
          <cell r="G16" t="str">
            <v>Re-size</v>
          </cell>
          <cell r="H16" t="str">
            <v>Re-size</v>
          </cell>
          <cell r="I16" t="str">
            <v>Re-size</v>
          </cell>
          <cell r="J16" t="str">
            <v>Re-size</v>
          </cell>
          <cell r="K16" t="str">
            <v>Re-size</v>
          </cell>
          <cell r="L16" t="str">
            <v>Re-size</v>
          </cell>
          <cell r="M16" t="str">
            <v>Re-size</v>
          </cell>
          <cell r="N16" t="str">
            <v>Re-size</v>
          </cell>
          <cell r="O16" t="str">
            <v>Re-size</v>
          </cell>
          <cell r="P16" t="str">
            <v>Re-size</v>
          </cell>
          <cell r="Q16" t="str">
            <v>Re-size</v>
          </cell>
          <cell r="R16" t="str">
            <v>Re-size</v>
          </cell>
          <cell r="S16" t="str">
            <v>Re-size</v>
          </cell>
          <cell r="T16" t="str">
            <v>Re-size</v>
          </cell>
          <cell r="U16" t="str">
            <v>Re-size</v>
          </cell>
          <cell r="V16" t="str">
            <v>Re-size</v>
          </cell>
          <cell r="X16" t="str">
            <v>Re-size</v>
          </cell>
          <cell r="Y16" t="str">
            <v>Re-size</v>
          </cell>
          <cell r="Z16" t="str">
            <v>Re-size</v>
          </cell>
          <cell r="AA16" t="str">
            <v>Re-size</v>
          </cell>
          <cell r="AB16" t="str">
            <v>Re-size</v>
          </cell>
          <cell r="AC16" t="str">
            <v>Re-size</v>
          </cell>
          <cell r="AD16" t="str">
            <v>Re-size</v>
          </cell>
          <cell r="AE16" t="str">
            <v>Re-size</v>
          </cell>
        </row>
        <row r="17">
          <cell r="B17">
            <v>0.08</v>
          </cell>
          <cell r="C17" t="str">
            <v>Re-size</v>
          </cell>
          <cell r="D17">
            <v>2.54</v>
          </cell>
          <cell r="E17">
            <v>0.86</v>
          </cell>
          <cell r="F17" t="str">
            <v>Re-size</v>
          </cell>
          <cell r="G17" t="str">
            <v>Re-size</v>
          </cell>
          <cell r="H17" t="str">
            <v>Re-size</v>
          </cell>
          <cell r="I17" t="str">
            <v>Re-size</v>
          </cell>
          <cell r="J17" t="str">
            <v>Re-size</v>
          </cell>
          <cell r="K17" t="str">
            <v>Re-size</v>
          </cell>
          <cell r="L17" t="str">
            <v>Re-size</v>
          </cell>
          <cell r="M17" t="str">
            <v>Re-size</v>
          </cell>
          <cell r="N17" t="str">
            <v>Re-size</v>
          </cell>
          <cell r="O17" t="str">
            <v>Re-size</v>
          </cell>
          <cell r="P17" t="str">
            <v>Re-size</v>
          </cell>
          <cell r="Q17" t="str">
            <v>Re-size</v>
          </cell>
          <cell r="R17" t="str">
            <v>Re-size</v>
          </cell>
          <cell r="S17" t="str">
            <v>Re-size</v>
          </cell>
          <cell r="T17" t="str">
            <v>Re-size</v>
          </cell>
          <cell r="U17" t="str">
            <v>Re-size</v>
          </cell>
          <cell r="V17" t="str">
            <v>Re-size</v>
          </cell>
          <cell r="X17" t="str">
            <v>Re-size</v>
          </cell>
          <cell r="Y17" t="str">
            <v>Re-size</v>
          </cell>
          <cell r="Z17" t="str">
            <v>Re-size</v>
          </cell>
          <cell r="AA17" t="str">
            <v>Re-size</v>
          </cell>
          <cell r="AB17" t="str">
            <v>Re-size</v>
          </cell>
          <cell r="AC17" t="str">
            <v>Re-size</v>
          </cell>
          <cell r="AD17" t="str">
            <v>Re-size</v>
          </cell>
          <cell r="AE17" t="str">
            <v>Re-size</v>
          </cell>
        </row>
        <row r="18">
          <cell r="B18">
            <v>0.09</v>
          </cell>
          <cell r="C18" t="str">
            <v>Re-size</v>
          </cell>
          <cell r="D18">
            <v>3.1399999999999997</v>
          </cell>
          <cell r="E18">
            <v>1.06</v>
          </cell>
          <cell r="F18" t="str">
            <v>Re-size</v>
          </cell>
          <cell r="G18" t="str">
            <v>Re-size</v>
          </cell>
          <cell r="H18" t="str">
            <v>Re-size</v>
          </cell>
          <cell r="I18" t="str">
            <v>Re-size</v>
          </cell>
          <cell r="J18" t="str">
            <v>Re-size</v>
          </cell>
          <cell r="K18" t="str">
            <v>Re-size</v>
          </cell>
          <cell r="L18" t="str">
            <v>Re-size</v>
          </cell>
          <cell r="M18" t="str">
            <v>Re-size</v>
          </cell>
          <cell r="N18" t="str">
            <v>Re-size</v>
          </cell>
          <cell r="O18" t="str">
            <v>Re-size</v>
          </cell>
          <cell r="P18" t="str">
            <v>Re-size</v>
          </cell>
          <cell r="Q18" t="str">
            <v>Re-size</v>
          </cell>
          <cell r="R18" t="str">
            <v>Re-size</v>
          </cell>
          <cell r="S18" t="str">
            <v>Re-size</v>
          </cell>
          <cell r="T18" t="str">
            <v>Re-size</v>
          </cell>
          <cell r="U18" t="str">
            <v>Re-size</v>
          </cell>
          <cell r="V18" t="str">
            <v>Re-size</v>
          </cell>
          <cell r="X18" t="str">
            <v>Re-size</v>
          </cell>
          <cell r="Y18" t="str">
            <v>Re-size</v>
          </cell>
          <cell r="Z18" t="str">
            <v>Re-size</v>
          </cell>
          <cell r="AA18" t="str">
            <v>Re-size</v>
          </cell>
          <cell r="AB18" t="str">
            <v>Re-size</v>
          </cell>
          <cell r="AC18" t="str">
            <v>Re-size</v>
          </cell>
          <cell r="AD18" t="str">
            <v>Re-size</v>
          </cell>
          <cell r="AE18" t="str">
            <v>Re-size</v>
          </cell>
        </row>
        <row r="19">
          <cell r="B19">
            <v>0.1</v>
          </cell>
          <cell r="C19">
            <v>12.6</v>
          </cell>
          <cell r="D19">
            <v>3.73</v>
          </cell>
          <cell r="E19">
            <v>1.25</v>
          </cell>
          <cell r="F19">
            <v>0.4</v>
          </cell>
          <cell r="G19">
            <v>0.24</v>
          </cell>
          <cell r="H19" t="str">
            <v>Re-size</v>
          </cell>
          <cell r="I19" t="str">
            <v>Re-size</v>
          </cell>
          <cell r="J19" t="str">
            <v>Re-size</v>
          </cell>
          <cell r="K19" t="str">
            <v>Re-size</v>
          </cell>
          <cell r="L19" t="str">
            <v>Re-size</v>
          </cell>
          <cell r="M19" t="str">
            <v>Re-size</v>
          </cell>
          <cell r="N19" t="str">
            <v>Re-size</v>
          </cell>
          <cell r="O19" t="str">
            <v>Re-size</v>
          </cell>
          <cell r="P19" t="str">
            <v>Re-size</v>
          </cell>
          <cell r="Q19" t="str">
            <v>Re-size</v>
          </cell>
          <cell r="R19" t="str">
            <v>Re-size</v>
          </cell>
          <cell r="S19" t="str">
            <v>Re-size</v>
          </cell>
          <cell r="T19" t="str">
            <v>Re-size</v>
          </cell>
          <cell r="U19" t="str">
            <v>Re-size</v>
          </cell>
          <cell r="V19" t="str">
            <v>Re-size</v>
          </cell>
          <cell r="X19">
            <v>5.9</v>
          </cell>
          <cell r="Y19">
            <v>1.5</v>
          </cell>
          <cell r="Z19">
            <v>0.45</v>
          </cell>
          <cell r="AA19" t="str">
            <v>Re-size</v>
          </cell>
          <cell r="AB19" t="str">
            <v>Re-size</v>
          </cell>
          <cell r="AC19" t="str">
            <v>Re-size</v>
          </cell>
          <cell r="AD19" t="str">
            <v>Re-size</v>
          </cell>
          <cell r="AE19" t="str">
            <v>Re-size</v>
          </cell>
        </row>
        <row r="20">
          <cell r="B20">
            <v>0.11</v>
          </cell>
          <cell r="C20">
            <v>15.05</v>
          </cell>
          <cell r="D20">
            <v>4.4399999999999995</v>
          </cell>
          <cell r="E20">
            <v>1.49</v>
          </cell>
          <cell r="F20">
            <v>0.47</v>
          </cell>
          <cell r="G20">
            <v>0.28000000000000003</v>
          </cell>
          <cell r="H20" t="str">
            <v>Re-size</v>
          </cell>
          <cell r="I20" t="str">
            <v>Re-size</v>
          </cell>
          <cell r="J20" t="str">
            <v>Re-size</v>
          </cell>
          <cell r="K20" t="str">
            <v>Re-size</v>
          </cell>
          <cell r="L20" t="str">
            <v>Re-size</v>
          </cell>
          <cell r="M20" t="str">
            <v>Re-size</v>
          </cell>
          <cell r="N20" t="str">
            <v>Re-size</v>
          </cell>
          <cell r="O20" t="str">
            <v>Re-size</v>
          </cell>
          <cell r="P20" t="str">
            <v>Re-size</v>
          </cell>
          <cell r="Q20" t="str">
            <v>Re-size</v>
          </cell>
          <cell r="R20" t="str">
            <v>Re-size</v>
          </cell>
          <cell r="S20" t="str">
            <v>Re-size</v>
          </cell>
          <cell r="T20" t="str">
            <v>Re-size</v>
          </cell>
          <cell r="U20" t="str">
            <v>Re-size</v>
          </cell>
          <cell r="V20" t="str">
            <v>Re-size</v>
          </cell>
          <cell r="X20">
            <v>7.15</v>
          </cell>
          <cell r="Y20">
            <v>1.9</v>
          </cell>
          <cell r="Z20">
            <v>0.53</v>
          </cell>
          <cell r="AA20" t="str">
            <v>Re-size</v>
          </cell>
          <cell r="AB20" t="str">
            <v>Re-size</v>
          </cell>
          <cell r="AC20" t="str">
            <v>Re-size</v>
          </cell>
          <cell r="AD20" t="str">
            <v>Re-size</v>
          </cell>
          <cell r="AE20" t="str">
            <v>Re-size</v>
          </cell>
        </row>
        <row r="21">
          <cell r="B21">
            <v>0.12</v>
          </cell>
          <cell r="C21">
            <v>17.5</v>
          </cell>
          <cell r="D21">
            <v>5.14</v>
          </cell>
          <cell r="E21">
            <v>1.73</v>
          </cell>
          <cell r="F21">
            <v>0.54</v>
          </cell>
          <cell r="G21">
            <v>0.32</v>
          </cell>
          <cell r="H21" t="str">
            <v>Re-size</v>
          </cell>
          <cell r="I21" t="str">
            <v>Re-size</v>
          </cell>
          <cell r="J21" t="str">
            <v>Re-size</v>
          </cell>
          <cell r="K21" t="str">
            <v>Re-size</v>
          </cell>
          <cell r="L21" t="str">
            <v>Re-size</v>
          </cell>
          <cell r="M21" t="str">
            <v>Re-size</v>
          </cell>
          <cell r="N21" t="str">
            <v>Re-size</v>
          </cell>
          <cell r="O21" t="str">
            <v>Re-size</v>
          </cell>
          <cell r="P21" t="str">
            <v>Re-size</v>
          </cell>
          <cell r="Q21" t="str">
            <v>Re-size</v>
          </cell>
          <cell r="R21" t="str">
            <v>Re-size</v>
          </cell>
          <cell r="S21" t="str">
            <v>Re-size</v>
          </cell>
          <cell r="T21" t="str">
            <v>Re-size</v>
          </cell>
          <cell r="U21" t="str">
            <v>Re-size</v>
          </cell>
          <cell r="V21" t="str">
            <v>Re-size</v>
          </cell>
          <cell r="X21">
            <v>8.4</v>
          </cell>
          <cell r="Y21">
            <v>2.2999999999999998</v>
          </cell>
          <cell r="Z21">
            <v>0.6</v>
          </cell>
          <cell r="AA21" t="str">
            <v>Re-size</v>
          </cell>
          <cell r="AB21" t="str">
            <v>Re-size</v>
          </cell>
          <cell r="AC21" t="str">
            <v>Re-size</v>
          </cell>
          <cell r="AD21" t="str">
            <v>Re-size</v>
          </cell>
          <cell r="AE21" t="str">
            <v>Re-size</v>
          </cell>
        </row>
        <row r="22">
          <cell r="B22">
            <v>0.13</v>
          </cell>
          <cell r="C22">
            <v>20.25</v>
          </cell>
          <cell r="D22">
            <v>5.94</v>
          </cell>
          <cell r="E22">
            <v>1.99</v>
          </cell>
          <cell r="F22">
            <v>0.63</v>
          </cell>
          <cell r="G22">
            <v>0.37</v>
          </cell>
          <cell r="H22" t="str">
            <v>Re-size</v>
          </cell>
          <cell r="I22" t="str">
            <v>Re-size</v>
          </cell>
          <cell r="J22" t="str">
            <v>Re-size</v>
          </cell>
          <cell r="K22" t="str">
            <v>Re-size</v>
          </cell>
          <cell r="L22" t="str">
            <v>Re-size</v>
          </cell>
          <cell r="M22" t="str">
            <v>Re-size</v>
          </cell>
          <cell r="N22" t="str">
            <v>Re-size</v>
          </cell>
          <cell r="O22" t="str">
            <v>Re-size</v>
          </cell>
          <cell r="P22" t="str">
            <v>Re-size</v>
          </cell>
          <cell r="Q22" t="str">
            <v>Re-size</v>
          </cell>
          <cell r="R22" t="str">
            <v>Re-size</v>
          </cell>
          <cell r="S22" t="str">
            <v>Re-size</v>
          </cell>
          <cell r="T22" t="str">
            <v>Re-size</v>
          </cell>
          <cell r="U22" t="str">
            <v>Re-size</v>
          </cell>
          <cell r="V22" t="str">
            <v>Re-size</v>
          </cell>
          <cell r="X22">
            <v>9.6999999999999993</v>
          </cell>
          <cell r="Y22">
            <v>2.65</v>
          </cell>
          <cell r="Z22">
            <v>0.65</v>
          </cell>
          <cell r="AA22" t="str">
            <v>Re-size</v>
          </cell>
          <cell r="AB22" t="str">
            <v>Re-size</v>
          </cell>
          <cell r="AC22" t="str">
            <v>Re-size</v>
          </cell>
          <cell r="AD22" t="str">
            <v>Re-size</v>
          </cell>
          <cell r="AE22" t="str">
            <v>Re-size</v>
          </cell>
        </row>
        <row r="23">
          <cell r="B23">
            <v>0.14000000000000001</v>
          </cell>
          <cell r="C23">
            <v>23</v>
          </cell>
          <cell r="D23">
            <v>6.74</v>
          </cell>
          <cell r="E23">
            <v>2.25</v>
          </cell>
          <cell r="F23">
            <v>0.71</v>
          </cell>
          <cell r="G23">
            <v>0.42</v>
          </cell>
          <cell r="H23" t="str">
            <v>Re-size</v>
          </cell>
          <cell r="I23" t="str">
            <v>Re-size</v>
          </cell>
          <cell r="J23" t="str">
            <v>Re-size</v>
          </cell>
          <cell r="K23" t="str">
            <v>Re-size</v>
          </cell>
          <cell r="L23" t="str">
            <v>Re-size</v>
          </cell>
          <cell r="M23" t="str">
            <v>Re-size</v>
          </cell>
          <cell r="N23" t="str">
            <v>Re-size</v>
          </cell>
          <cell r="O23" t="str">
            <v>Re-size</v>
          </cell>
          <cell r="P23" t="str">
            <v>Re-size</v>
          </cell>
          <cell r="Q23" t="str">
            <v>Re-size</v>
          </cell>
          <cell r="R23" t="str">
            <v>Re-size</v>
          </cell>
          <cell r="S23" t="str">
            <v>Re-size</v>
          </cell>
          <cell r="T23" t="str">
            <v>Re-size</v>
          </cell>
          <cell r="U23" t="str">
            <v>Re-size</v>
          </cell>
          <cell r="V23" t="str">
            <v>Re-size</v>
          </cell>
          <cell r="X23">
            <v>11</v>
          </cell>
          <cell r="Y23">
            <v>3</v>
          </cell>
          <cell r="Z23">
            <v>0.7</v>
          </cell>
          <cell r="AA23" t="str">
            <v>Re-size</v>
          </cell>
          <cell r="AB23" t="str">
            <v>Re-size</v>
          </cell>
          <cell r="AC23" t="str">
            <v>Re-size</v>
          </cell>
          <cell r="AD23" t="str">
            <v>Re-size</v>
          </cell>
          <cell r="AE23" t="str">
            <v>Re-size</v>
          </cell>
        </row>
        <row r="24">
          <cell r="B24">
            <v>0.15</v>
          </cell>
          <cell r="C24">
            <v>26.1</v>
          </cell>
          <cell r="D24">
            <v>7.63</v>
          </cell>
          <cell r="E24">
            <v>2.5399999999999996</v>
          </cell>
          <cell r="F24">
            <v>0.8</v>
          </cell>
          <cell r="G24">
            <v>0.48</v>
          </cell>
          <cell r="H24" t="str">
            <v>Re-size</v>
          </cell>
          <cell r="I24" t="str">
            <v>Re-size</v>
          </cell>
          <cell r="J24" t="str">
            <v>Re-size</v>
          </cell>
          <cell r="K24" t="str">
            <v>Re-size</v>
          </cell>
          <cell r="L24" t="str">
            <v>Re-size</v>
          </cell>
          <cell r="M24" t="str">
            <v>Re-size</v>
          </cell>
          <cell r="N24" t="str">
            <v>Re-size</v>
          </cell>
          <cell r="O24" t="str">
            <v>Re-size</v>
          </cell>
          <cell r="P24" t="str">
            <v>Re-size</v>
          </cell>
          <cell r="Q24" t="str">
            <v>Re-size</v>
          </cell>
          <cell r="R24" t="str">
            <v>Re-size</v>
          </cell>
          <cell r="S24" t="str">
            <v>Re-size</v>
          </cell>
          <cell r="T24" t="str">
            <v>Re-size</v>
          </cell>
          <cell r="U24" t="str">
            <v>Re-size</v>
          </cell>
          <cell r="V24" t="str">
            <v>Re-size</v>
          </cell>
          <cell r="X24">
            <v>12.55</v>
          </cell>
          <cell r="Y24">
            <v>3.45</v>
          </cell>
          <cell r="Z24">
            <v>0.8</v>
          </cell>
          <cell r="AA24" t="str">
            <v>Re-size</v>
          </cell>
          <cell r="AB24" t="str">
            <v>Re-size</v>
          </cell>
          <cell r="AC24" t="str">
            <v>Re-size</v>
          </cell>
          <cell r="AD24" t="str">
            <v>Re-size</v>
          </cell>
          <cell r="AE24" t="str">
            <v>Re-size</v>
          </cell>
        </row>
        <row r="25">
          <cell r="B25">
            <v>0.16</v>
          </cell>
          <cell r="C25">
            <v>29.2</v>
          </cell>
          <cell r="D25">
            <v>8.52</v>
          </cell>
          <cell r="E25">
            <v>2.82</v>
          </cell>
          <cell r="F25">
            <v>0.88</v>
          </cell>
          <cell r="G25">
            <v>0.53</v>
          </cell>
          <cell r="H25" t="str">
            <v>Re-size</v>
          </cell>
          <cell r="I25" t="str">
            <v>Re-size</v>
          </cell>
          <cell r="J25" t="str">
            <v>Re-size</v>
          </cell>
          <cell r="K25" t="str">
            <v>Re-size</v>
          </cell>
          <cell r="L25" t="str">
            <v>Re-size</v>
          </cell>
          <cell r="M25" t="str">
            <v>Re-size</v>
          </cell>
          <cell r="N25" t="str">
            <v>Re-size</v>
          </cell>
          <cell r="O25" t="str">
            <v>Re-size</v>
          </cell>
          <cell r="P25" t="str">
            <v>Re-size</v>
          </cell>
          <cell r="Q25" t="str">
            <v>Re-size</v>
          </cell>
          <cell r="R25" t="str">
            <v>Re-size</v>
          </cell>
          <cell r="S25" t="str">
            <v>Re-size</v>
          </cell>
          <cell r="T25" t="str">
            <v>Re-size</v>
          </cell>
          <cell r="U25" t="str">
            <v>Re-size</v>
          </cell>
          <cell r="V25" t="str">
            <v>Re-size</v>
          </cell>
          <cell r="X25">
            <v>14.1</v>
          </cell>
          <cell r="Y25">
            <v>3.9</v>
          </cell>
          <cell r="Z25">
            <v>0.9</v>
          </cell>
          <cell r="AA25">
            <v>0.3</v>
          </cell>
          <cell r="AB25" t="str">
            <v>Re-size</v>
          </cell>
          <cell r="AC25" t="str">
            <v>Re-size</v>
          </cell>
          <cell r="AD25" t="str">
            <v>Re-size</v>
          </cell>
          <cell r="AE25" t="str">
            <v>Re-size</v>
          </cell>
        </row>
        <row r="26">
          <cell r="B26">
            <v>0.17</v>
          </cell>
          <cell r="C26">
            <v>32.65</v>
          </cell>
          <cell r="D26">
            <v>9.52</v>
          </cell>
          <cell r="E26">
            <v>3.14</v>
          </cell>
          <cell r="F26">
            <v>0.99</v>
          </cell>
          <cell r="G26">
            <v>0.59</v>
          </cell>
          <cell r="H26" t="str">
            <v>Re-size</v>
          </cell>
          <cell r="I26" t="str">
            <v>Re-size</v>
          </cell>
          <cell r="J26" t="str">
            <v>Re-size</v>
          </cell>
          <cell r="K26" t="str">
            <v>Re-size</v>
          </cell>
          <cell r="L26" t="str">
            <v>Re-size</v>
          </cell>
          <cell r="M26" t="str">
            <v>Re-size</v>
          </cell>
          <cell r="N26" t="str">
            <v>Re-size</v>
          </cell>
          <cell r="O26" t="str">
            <v>Re-size</v>
          </cell>
          <cell r="P26" t="str">
            <v>Re-size</v>
          </cell>
          <cell r="Q26" t="str">
            <v>Re-size</v>
          </cell>
          <cell r="R26" t="str">
            <v>Re-size</v>
          </cell>
          <cell r="S26" t="str">
            <v>Re-size</v>
          </cell>
          <cell r="T26" t="str">
            <v>Re-size</v>
          </cell>
          <cell r="U26" t="str">
            <v>Re-size</v>
          </cell>
          <cell r="V26" t="str">
            <v>Re-size</v>
          </cell>
          <cell r="X26">
            <v>15.95</v>
          </cell>
          <cell r="Y26">
            <v>4.3499999999999996</v>
          </cell>
          <cell r="Z26">
            <v>1</v>
          </cell>
          <cell r="AA26">
            <v>0.35</v>
          </cell>
          <cell r="AB26" t="str">
            <v>Re-size</v>
          </cell>
          <cell r="AC26" t="str">
            <v>Re-size</v>
          </cell>
          <cell r="AD26" t="str">
            <v>Re-size</v>
          </cell>
          <cell r="AE26" t="str">
            <v>Re-size</v>
          </cell>
        </row>
        <row r="27">
          <cell r="B27">
            <v>0.18</v>
          </cell>
          <cell r="C27">
            <v>36.1</v>
          </cell>
          <cell r="D27">
            <v>10.51</v>
          </cell>
          <cell r="E27">
            <v>3.46</v>
          </cell>
          <cell r="F27">
            <v>1.0900000000000001</v>
          </cell>
          <cell r="G27">
            <v>0.65</v>
          </cell>
          <cell r="H27" t="str">
            <v>Re-size</v>
          </cell>
          <cell r="I27" t="str">
            <v>Re-size</v>
          </cell>
          <cell r="J27" t="str">
            <v>Re-size</v>
          </cell>
          <cell r="K27" t="str">
            <v>Re-size</v>
          </cell>
          <cell r="L27" t="str">
            <v>Re-size</v>
          </cell>
          <cell r="M27" t="str">
            <v>Re-size</v>
          </cell>
          <cell r="N27" t="str">
            <v>Re-size</v>
          </cell>
          <cell r="O27" t="str">
            <v>Re-size</v>
          </cell>
          <cell r="P27" t="str">
            <v>Re-size</v>
          </cell>
          <cell r="Q27" t="str">
            <v>Re-size</v>
          </cell>
          <cell r="R27" t="str">
            <v>Re-size</v>
          </cell>
          <cell r="S27" t="str">
            <v>Re-size</v>
          </cell>
          <cell r="T27" t="str">
            <v>Re-size</v>
          </cell>
          <cell r="U27" t="str">
            <v>Re-size</v>
          </cell>
          <cell r="V27" t="str">
            <v>Re-size</v>
          </cell>
          <cell r="X27">
            <v>17.8</v>
          </cell>
          <cell r="Y27">
            <v>4.8</v>
          </cell>
          <cell r="Z27">
            <v>1.1000000000000001</v>
          </cell>
          <cell r="AA27">
            <v>0.4</v>
          </cell>
          <cell r="AB27" t="str">
            <v>Re-size</v>
          </cell>
          <cell r="AC27" t="str">
            <v>Re-size</v>
          </cell>
          <cell r="AD27" t="str">
            <v>Re-size</v>
          </cell>
          <cell r="AE27" t="str">
            <v>Re-size</v>
          </cell>
        </row>
        <row r="28">
          <cell r="B28">
            <v>0.19</v>
          </cell>
          <cell r="C28">
            <v>39.9</v>
          </cell>
          <cell r="D28">
            <v>11.59</v>
          </cell>
          <cell r="E28">
            <v>3.82</v>
          </cell>
          <cell r="F28">
            <v>1.21</v>
          </cell>
          <cell r="G28">
            <v>0.71</v>
          </cell>
          <cell r="H28" t="str">
            <v>Re-size</v>
          </cell>
          <cell r="I28" t="str">
            <v>Re-size</v>
          </cell>
          <cell r="J28" t="str">
            <v>Re-size</v>
          </cell>
          <cell r="K28" t="str">
            <v>Re-size</v>
          </cell>
          <cell r="L28" t="str">
            <v>Re-size</v>
          </cell>
          <cell r="M28" t="str">
            <v>Re-size</v>
          </cell>
          <cell r="N28" t="str">
            <v>Re-size</v>
          </cell>
          <cell r="O28" t="str">
            <v>Re-size</v>
          </cell>
          <cell r="P28" t="str">
            <v>Re-size</v>
          </cell>
          <cell r="Q28" t="str">
            <v>Re-size</v>
          </cell>
          <cell r="R28" t="str">
            <v>Re-size</v>
          </cell>
          <cell r="S28" t="str">
            <v>Re-size</v>
          </cell>
          <cell r="T28" t="str">
            <v>Re-size</v>
          </cell>
          <cell r="U28" t="str">
            <v>Re-size</v>
          </cell>
          <cell r="V28" t="str">
            <v>Re-size</v>
          </cell>
          <cell r="X28">
            <v>19.600000000000001</v>
          </cell>
          <cell r="Y28">
            <v>5.25</v>
          </cell>
          <cell r="Z28">
            <v>1.2</v>
          </cell>
          <cell r="AA28">
            <v>0.4</v>
          </cell>
          <cell r="AB28" t="str">
            <v>Re-size</v>
          </cell>
          <cell r="AC28" t="str">
            <v>Re-size</v>
          </cell>
          <cell r="AD28" t="str">
            <v>Re-size</v>
          </cell>
          <cell r="AE28" t="str">
            <v>Re-size</v>
          </cell>
        </row>
        <row r="29">
          <cell r="B29">
            <v>0.2</v>
          </cell>
          <cell r="C29">
            <v>43.7</v>
          </cell>
          <cell r="D29">
            <v>12.67</v>
          </cell>
          <cell r="E29">
            <v>4.17</v>
          </cell>
          <cell r="F29">
            <v>1.32</v>
          </cell>
          <cell r="G29">
            <v>0.77</v>
          </cell>
          <cell r="H29" t="str">
            <v>Re-size</v>
          </cell>
          <cell r="I29" t="str">
            <v>Re-size</v>
          </cell>
          <cell r="J29" t="str">
            <v>Re-size</v>
          </cell>
          <cell r="K29" t="str">
            <v>Re-size</v>
          </cell>
          <cell r="L29" t="str">
            <v>Re-size</v>
          </cell>
          <cell r="M29" t="str">
            <v>Re-size</v>
          </cell>
          <cell r="N29" t="str">
            <v>Re-size</v>
          </cell>
          <cell r="O29" t="str">
            <v>Re-size</v>
          </cell>
          <cell r="P29" t="str">
            <v>Re-size</v>
          </cell>
          <cell r="Q29" t="str">
            <v>Re-size</v>
          </cell>
          <cell r="R29" t="str">
            <v>Re-size</v>
          </cell>
          <cell r="S29" t="str">
            <v>Re-size</v>
          </cell>
          <cell r="T29" t="str">
            <v>Re-size</v>
          </cell>
          <cell r="U29" t="str">
            <v>Re-size</v>
          </cell>
          <cell r="V29" t="str">
            <v>Re-size</v>
          </cell>
          <cell r="X29">
            <v>21.4</v>
          </cell>
          <cell r="Y29">
            <v>5.7</v>
          </cell>
          <cell r="Z29">
            <v>1.3</v>
          </cell>
          <cell r="AA29">
            <v>0.4</v>
          </cell>
          <cell r="AB29" t="str">
            <v>Re-size</v>
          </cell>
          <cell r="AC29" t="str">
            <v>Re-size</v>
          </cell>
          <cell r="AD29" t="str">
            <v>Re-size</v>
          </cell>
          <cell r="AE29" t="str">
            <v>Re-size</v>
          </cell>
        </row>
        <row r="30">
          <cell r="B30">
            <v>0.21</v>
          </cell>
          <cell r="C30">
            <v>47.8</v>
          </cell>
          <cell r="D30">
            <v>13.84</v>
          </cell>
          <cell r="E30">
            <v>4.55</v>
          </cell>
          <cell r="F30">
            <v>1.44</v>
          </cell>
          <cell r="G30">
            <v>0.85</v>
          </cell>
          <cell r="H30" t="str">
            <v>Re-size</v>
          </cell>
          <cell r="I30" t="str">
            <v>Re-size</v>
          </cell>
          <cell r="J30" t="str">
            <v>Re-size</v>
          </cell>
          <cell r="K30" t="str">
            <v>Re-size</v>
          </cell>
          <cell r="L30" t="str">
            <v>Re-size</v>
          </cell>
          <cell r="M30" t="str">
            <v>Re-size</v>
          </cell>
          <cell r="N30" t="str">
            <v>Re-size</v>
          </cell>
          <cell r="O30" t="str">
            <v>Re-size</v>
          </cell>
          <cell r="P30" t="str">
            <v>Re-size</v>
          </cell>
          <cell r="Q30" t="str">
            <v>Re-size</v>
          </cell>
          <cell r="R30" t="str">
            <v>Re-size</v>
          </cell>
          <cell r="S30" t="str">
            <v>Re-size</v>
          </cell>
          <cell r="T30" t="str">
            <v>Re-size</v>
          </cell>
          <cell r="U30" t="str">
            <v>Re-size</v>
          </cell>
          <cell r="V30" t="str">
            <v>Re-size</v>
          </cell>
          <cell r="X30">
            <v>23.45</v>
          </cell>
          <cell r="Y30">
            <v>6.05</v>
          </cell>
          <cell r="Z30">
            <v>1.45</v>
          </cell>
          <cell r="AA30">
            <v>0.45</v>
          </cell>
          <cell r="AB30" t="str">
            <v>Re-size</v>
          </cell>
          <cell r="AC30" t="str">
            <v>Re-size</v>
          </cell>
          <cell r="AD30" t="str">
            <v>Re-size</v>
          </cell>
          <cell r="AE30" t="str">
            <v>Re-size</v>
          </cell>
        </row>
        <row r="31">
          <cell r="B31">
            <v>0.22</v>
          </cell>
          <cell r="C31">
            <v>51.9</v>
          </cell>
          <cell r="D31">
            <v>15.01</v>
          </cell>
          <cell r="E31">
            <v>4.93</v>
          </cell>
          <cell r="F31">
            <v>1.55</v>
          </cell>
          <cell r="G31">
            <v>0.92</v>
          </cell>
          <cell r="H31" t="str">
            <v>Re-size</v>
          </cell>
          <cell r="I31" t="str">
            <v>Re-size</v>
          </cell>
          <cell r="J31" t="str">
            <v>Re-size</v>
          </cell>
          <cell r="K31" t="str">
            <v>Re-size</v>
          </cell>
          <cell r="L31" t="str">
            <v>Re-size</v>
          </cell>
          <cell r="M31" t="str">
            <v>Re-size</v>
          </cell>
          <cell r="N31" t="str">
            <v>Re-size</v>
          </cell>
          <cell r="O31" t="str">
            <v>Re-size</v>
          </cell>
          <cell r="P31" t="str">
            <v>Re-size</v>
          </cell>
          <cell r="Q31" t="str">
            <v>Re-size</v>
          </cell>
          <cell r="R31" t="str">
            <v>Re-size</v>
          </cell>
          <cell r="S31" t="str">
            <v>Re-size</v>
          </cell>
          <cell r="T31" t="str">
            <v>Re-size</v>
          </cell>
          <cell r="U31" t="str">
            <v>Re-size</v>
          </cell>
          <cell r="V31" t="str">
            <v>Re-size</v>
          </cell>
          <cell r="X31">
            <v>25.5</v>
          </cell>
          <cell r="Y31">
            <v>6.4</v>
          </cell>
          <cell r="Z31">
            <v>1.6</v>
          </cell>
          <cell r="AA31">
            <v>0.5</v>
          </cell>
          <cell r="AB31" t="str">
            <v>Re-size</v>
          </cell>
          <cell r="AC31" t="str">
            <v>Re-size</v>
          </cell>
          <cell r="AD31" t="str">
            <v>Re-size</v>
          </cell>
          <cell r="AE31" t="str">
            <v>Re-size</v>
          </cell>
        </row>
        <row r="32">
          <cell r="B32">
            <v>0.23</v>
          </cell>
          <cell r="C32">
            <v>56.3</v>
          </cell>
          <cell r="D32">
            <v>16.25</v>
          </cell>
          <cell r="E32">
            <v>5.35</v>
          </cell>
          <cell r="F32">
            <v>1.68</v>
          </cell>
          <cell r="G32">
            <v>0.99</v>
          </cell>
          <cell r="H32" t="str">
            <v>Re-size</v>
          </cell>
          <cell r="I32" t="str">
            <v>Re-size</v>
          </cell>
          <cell r="J32" t="str">
            <v>Re-size</v>
          </cell>
          <cell r="K32" t="str">
            <v>Re-size</v>
          </cell>
          <cell r="L32" t="str">
            <v>Re-size</v>
          </cell>
          <cell r="M32" t="str">
            <v>Re-size</v>
          </cell>
          <cell r="N32" t="str">
            <v>Re-size</v>
          </cell>
          <cell r="O32" t="str">
            <v>Re-size</v>
          </cell>
          <cell r="P32" t="str">
            <v>Re-size</v>
          </cell>
          <cell r="Q32" t="str">
            <v>Re-size</v>
          </cell>
          <cell r="R32" t="str">
            <v>Re-size</v>
          </cell>
          <cell r="S32" t="str">
            <v>Re-size</v>
          </cell>
          <cell r="T32" t="str">
            <v>Re-size</v>
          </cell>
          <cell r="U32" t="str">
            <v>Re-size</v>
          </cell>
          <cell r="V32" t="str">
            <v>Re-size</v>
          </cell>
          <cell r="X32">
            <v>27.55</v>
          </cell>
          <cell r="Y32">
            <v>7.1</v>
          </cell>
          <cell r="Z32">
            <v>1.75</v>
          </cell>
          <cell r="AA32">
            <v>0.55000000000000004</v>
          </cell>
          <cell r="AB32" t="str">
            <v>Re-size</v>
          </cell>
          <cell r="AC32" t="str">
            <v>Re-size</v>
          </cell>
          <cell r="AD32" t="str">
            <v>Re-size</v>
          </cell>
          <cell r="AE32" t="str">
            <v>Re-size</v>
          </cell>
        </row>
        <row r="33">
          <cell r="B33">
            <v>0.24</v>
          </cell>
          <cell r="C33">
            <v>60.7</v>
          </cell>
          <cell r="D33">
            <v>17.489999999999998</v>
          </cell>
          <cell r="E33">
            <v>5.76</v>
          </cell>
          <cell r="F33">
            <v>1.8</v>
          </cell>
          <cell r="G33">
            <v>1.06</v>
          </cell>
          <cell r="H33">
            <v>0.61</v>
          </cell>
          <cell r="I33" t="str">
            <v>Re-size</v>
          </cell>
          <cell r="J33" t="str">
            <v>Re-size</v>
          </cell>
          <cell r="K33" t="str">
            <v>Re-size</v>
          </cell>
          <cell r="L33" t="str">
            <v>Re-size</v>
          </cell>
          <cell r="M33" t="str">
            <v>Re-size</v>
          </cell>
          <cell r="N33" t="str">
            <v>Re-size</v>
          </cell>
          <cell r="O33" t="str">
            <v>Re-size</v>
          </cell>
          <cell r="P33" t="str">
            <v>Re-size</v>
          </cell>
          <cell r="Q33" t="str">
            <v>Re-size</v>
          </cell>
          <cell r="R33" t="str">
            <v>Re-size</v>
          </cell>
          <cell r="S33" t="str">
            <v>Re-size</v>
          </cell>
          <cell r="T33" t="str">
            <v>Re-size</v>
          </cell>
          <cell r="U33" t="str">
            <v>Re-size</v>
          </cell>
          <cell r="V33" t="str">
            <v>Re-size</v>
          </cell>
          <cell r="X33">
            <v>29.6</v>
          </cell>
          <cell r="Y33">
            <v>7.8</v>
          </cell>
          <cell r="Z33">
            <v>1.9</v>
          </cell>
          <cell r="AA33">
            <v>0.6</v>
          </cell>
          <cell r="AB33" t="str">
            <v>Re-size</v>
          </cell>
          <cell r="AC33" t="str">
            <v>Re-size</v>
          </cell>
          <cell r="AD33" t="str">
            <v>Re-size</v>
          </cell>
          <cell r="AE33" t="str">
            <v>Re-size</v>
          </cell>
        </row>
        <row r="34">
          <cell r="B34">
            <v>0.25</v>
          </cell>
          <cell r="C34">
            <v>65.45</v>
          </cell>
          <cell r="D34">
            <v>18.86</v>
          </cell>
          <cell r="E34">
            <v>6.19</v>
          </cell>
          <cell r="F34">
            <v>1.94</v>
          </cell>
          <cell r="G34">
            <v>1.1499999999999999</v>
          </cell>
          <cell r="H34">
            <v>0.66</v>
          </cell>
          <cell r="I34" t="str">
            <v>Re-size</v>
          </cell>
          <cell r="J34" t="str">
            <v>Re-size</v>
          </cell>
          <cell r="K34" t="str">
            <v>Re-size</v>
          </cell>
          <cell r="L34" t="str">
            <v>Re-size</v>
          </cell>
          <cell r="M34" t="str">
            <v>Re-size</v>
          </cell>
          <cell r="N34" t="str">
            <v>Re-size</v>
          </cell>
          <cell r="O34" t="str">
            <v>Re-size</v>
          </cell>
          <cell r="P34" t="str">
            <v>Re-size</v>
          </cell>
          <cell r="Q34" t="str">
            <v>Re-size</v>
          </cell>
          <cell r="R34" t="str">
            <v>Re-size</v>
          </cell>
          <cell r="S34" t="str">
            <v>Re-size</v>
          </cell>
          <cell r="T34" t="str">
            <v>Re-size</v>
          </cell>
          <cell r="U34" t="str">
            <v>Re-size</v>
          </cell>
          <cell r="V34" t="str">
            <v>Re-size</v>
          </cell>
          <cell r="X34">
            <v>31.95</v>
          </cell>
          <cell r="Y34">
            <v>8.5</v>
          </cell>
          <cell r="Z34">
            <v>2.0499999999999998</v>
          </cell>
          <cell r="AA34">
            <v>0.65</v>
          </cell>
          <cell r="AB34" t="str">
            <v>Re-size</v>
          </cell>
          <cell r="AC34" t="str">
            <v>Re-size</v>
          </cell>
          <cell r="AD34" t="str">
            <v>Re-size</v>
          </cell>
          <cell r="AE34" t="str">
            <v>Re-size</v>
          </cell>
        </row>
        <row r="35">
          <cell r="B35">
            <v>0.26</v>
          </cell>
          <cell r="C35">
            <v>70.2</v>
          </cell>
          <cell r="D35">
            <v>20.23</v>
          </cell>
          <cell r="E35">
            <v>6.62</v>
          </cell>
          <cell r="F35">
            <v>2.0699999999999998</v>
          </cell>
          <cell r="G35">
            <v>1.23</v>
          </cell>
          <cell r="H35">
            <v>0.7</v>
          </cell>
          <cell r="I35" t="str">
            <v>Re-size</v>
          </cell>
          <cell r="J35" t="str">
            <v>Re-size</v>
          </cell>
          <cell r="K35" t="str">
            <v>Re-size</v>
          </cell>
          <cell r="L35" t="str">
            <v>Re-size</v>
          </cell>
          <cell r="M35" t="str">
            <v>Re-size</v>
          </cell>
          <cell r="N35" t="str">
            <v>Re-size</v>
          </cell>
          <cell r="O35" t="str">
            <v>Re-size</v>
          </cell>
          <cell r="P35" t="str">
            <v>Re-size</v>
          </cell>
          <cell r="Q35" t="str">
            <v>Re-size</v>
          </cell>
          <cell r="R35" t="str">
            <v>Re-size</v>
          </cell>
          <cell r="S35" t="str">
            <v>Re-size</v>
          </cell>
          <cell r="T35" t="str">
            <v>Re-size</v>
          </cell>
          <cell r="U35" t="str">
            <v>Re-size</v>
          </cell>
          <cell r="V35" t="str">
            <v>Re-size</v>
          </cell>
          <cell r="X35">
            <v>34.299999999999997</v>
          </cell>
          <cell r="Y35">
            <v>9.1999999999999993</v>
          </cell>
          <cell r="Z35">
            <v>2.2000000000000002</v>
          </cell>
          <cell r="AA35">
            <v>0.7</v>
          </cell>
          <cell r="AB35">
            <v>0.3</v>
          </cell>
          <cell r="AC35" t="str">
            <v>Re-size</v>
          </cell>
          <cell r="AD35" t="str">
            <v>Re-size</v>
          </cell>
          <cell r="AE35" t="str">
            <v>Re-size</v>
          </cell>
        </row>
        <row r="36">
          <cell r="B36">
            <v>0.27</v>
          </cell>
          <cell r="C36">
            <v>75.3</v>
          </cell>
          <cell r="D36">
            <v>21.680000000000003</v>
          </cell>
          <cell r="E36">
            <v>7.1</v>
          </cell>
          <cell r="F36">
            <v>2.2199999999999998</v>
          </cell>
          <cell r="G36">
            <v>1.32</v>
          </cell>
          <cell r="H36">
            <v>0.75</v>
          </cell>
          <cell r="I36" t="str">
            <v>Re-size</v>
          </cell>
          <cell r="J36" t="str">
            <v>Re-size</v>
          </cell>
          <cell r="K36" t="str">
            <v>Re-size</v>
          </cell>
          <cell r="L36" t="str">
            <v>Re-size</v>
          </cell>
          <cell r="M36" t="str">
            <v>Re-size</v>
          </cell>
          <cell r="N36" t="str">
            <v>Re-size</v>
          </cell>
          <cell r="O36" t="str">
            <v>Re-size</v>
          </cell>
          <cell r="P36" t="str">
            <v>Re-size</v>
          </cell>
          <cell r="Q36" t="str">
            <v>Re-size</v>
          </cell>
          <cell r="R36" t="str">
            <v>Re-size</v>
          </cell>
          <cell r="S36" t="str">
            <v>Re-size</v>
          </cell>
          <cell r="T36" t="str">
            <v>Re-size</v>
          </cell>
          <cell r="U36" t="str">
            <v>Re-size</v>
          </cell>
          <cell r="V36" t="str">
            <v>Re-size</v>
          </cell>
          <cell r="X36">
            <v>36.950000000000003</v>
          </cell>
          <cell r="Y36">
            <v>9.85</v>
          </cell>
          <cell r="Z36">
            <v>2.4</v>
          </cell>
          <cell r="AA36">
            <v>0.75</v>
          </cell>
          <cell r="AB36">
            <v>0.3</v>
          </cell>
          <cell r="AC36" t="str">
            <v>Re-size</v>
          </cell>
          <cell r="AD36" t="str">
            <v>Re-size</v>
          </cell>
          <cell r="AE36" t="str">
            <v>Re-size</v>
          </cell>
        </row>
        <row r="37">
          <cell r="B37">
            <v>0.28000000000000003</v>
          </cell>
          <cell r="C37">
            <v>80.400000000000006</v>
          </cell>
          <cell r="D37">
            <v>23.12</v>
          </cell>
          <cell r="E37">
            <v>7.57</v>
          </cell>
          <cell r="F37">
            <v>2.36</v>
          </cell>
          <cell r="G37">
            <v>1.4</v>
          </cell>
          <cell r="H37">
            <v>0.8</v>
          </cell>
          <cell r="I37" t="str">
            <v>Re-size</v>
          </cell>
          <cell r="J37" t="str">
            <v>Re-size</v>
          </cell>
          <cell r="K37" t="str">
            <v>Re-size</v>
          </cell>
          <cell r="L37" t="str">
            <v>Re-size</v>
          </cell>
          <cell r="M37" t="str">
            <v>Re-size</v>
          </cell>
          <cell r="N37" t="str">
            <v>Re-size</v>
          </cell>
          <cell r="O37" t="str">
            <v>Re-size</v>
          </cell>
          <cell r="P37" t="str">
            <v>Re-size</v>
          </cell>
          <cell r="Q37" t="str">
            <v>Re-size</v>
          </cell>
          <cell r="R37" t="str">
            <v>Re-size</v>
          </cell>
          <cell r="S37" t="str">
            <v>Re-size</v>
          </cell>
          <cell r="T37" t="str">
            <v>Re-size</v>
          </cell>
          <cell r="U37" t="str">
            <v>Re-size</v>
          </cell>
          <cell r="V37" t="str">
            <v>Re-size</v>
          </cell>
          <cell r="X37">
            <v>39.6</v>
          </cell>
          <cell r="Y37">
            <v>10.5</v>
          </cell>
          <cell r="Z37">
            <v>2.6</v>
          </cell>
          <cell r="AA37">
            <v>0.8</v>
          </cell>
          <cell r="AB37">
            <v>0.3</v>
          </cell>
          <cell r="AC37" t="str">
            <v>Re-size</v>
          </cell>
          <cell r="AD37" t="str">
            <v>Re-size</v>
          </cell>
          <cell r="AE37" t="str">
            <v>Re-size</v>
          </cell>
        </row>
        <row r="38">
          <cell r="B38">
            <v>0.28999999999999998</v>
          </cell>
          <cell r="C38">
            <v>85.75</v>
          </cell>
          <cell r="D38">
            <v>24.64</v>
          </cell>
          <cell r="E38">
            <v>8.06</v>
          </cell>
          <cell r="F38">
            <v>2.5099999999999998</v>
          </cell>
          <cell r="G38">
            <v>1.49</v>
          </cell>
          <cell r="H38">
            <v>0.85</v>
          </cell>
          <cell r="I38" t="str">
            <v>Re-size</v>
          </cell>
          <cell r="J38" t="str">
            <v>Re-size</v>
          </cell>
          <cell r="K38" t="str">
            <v>Re-size</v>
          </cell>
          <cell r="L38" t="str">
            <v>Re-size</v>
          </cell>
          <cell r="M38" t="str">
            <v>Re-size</v>
          </cell>
          <cell r="N38" t="str">
            <v>Re-size</v>
          </cell>
          <cell r="O38" t="str">
            <v>Re-size</v>
          </cell>
          <cell r="P38" t="str">
            <v>Re-size</v>
          </cell>
          <cell r="Q38" t="str">
            <v>Re-size</v>
          </cell>
          <cell r="R38" t="str">
            <v>Re-size</v>
          </cell>
          <cell r="S38" t="str">
            <v>Re-size</v>
          </cell>
          <cell r="T38" t="str">
            <v>Re-size</v>
          </cell>
          <cell r="U38" t="str">
            <v>Re-size</v>
          </cell>
          <cell r="V38" t="str">
            <v>Re-size</v>
          </cell>
          <cell r="X38">
            <v>42.25</v>
          </cell>
          <cell r="Y38">
            <v>11.2</v>
          </cell>
          <cell r="Z38">
            <v>2.8</v>
          </cell>
          <cell r="AA38">
            <v>0.85</v>
          </cell>
          <cell r="AB38">
            <v>0.35</v>
          </cell>
          <cell r="AC38" t="str">
            <v>Re-size</v>
          </cell>
          <cell r="AD38" t="str">
            <v>Re-size</v>
          </cell>
          <cell r="AE38" t="str">
            <v>Re-size</v>
          </cell>
        </row>
        <row r="39">
          <cell r="B39">
            <v>0.3</v>
          </cell>
          <cell r="C39">
            <v>91.1</v>
          </cell>
          <cell r="D39">
            <v>26.15</v>
          </cell>
          <cell r="E39">
            <v>8.5399999999999991</v>
          </cell>
          <cell r="F39">
            <v>2.66</v>
          </cell>
          <cell r="G39">
            <v>1.57</v>
          </cell>
          <cell r="H39">
            <v>0.9</v>
          </cell>
          <cell r="I39">
            <v>0.54</v>
          </cell>
          <cell r="J39" t="str">
            <v>Re-size</v>
          </cell>
          <cell r="K39" t="str">
            <v>Re-size</v>
          </cell>
          <cell r="L39" t="str">
            <v>Re-size</v>
          </cell>
          <cell r="M39" t="str">
            <v>Re-size</v>
          </cell>
          <cell r="N39" t="str">
            <v>Re-size</v>
          </cell>
          <cell r="O39" t="str">
            <v>Re-size</v>
          </cell>
          <cell r="P39" t="str">
            <v>Re-size</v>
          </cell>
          <cell r="Q39" t="str">
            <v>Re-size</v>
          </cell>
          <cell r="R39" t="str">
            <v>Re-size</v>
          </cell>
          <cell r="S39" t="str">
            <v>Re-size</v>
          </cell>
          <cell r="T39" t="str">
            <v>Re-size</v>
          </cell>
          <cell r="U39" t="str">
            <v>Re-size</v>
          </cell>
          <cell r="V39" t="str">
            <v>Re-size</v>
          </cell>
          <cell r="X39">
            <v>44.9</v>
          </cell>
          <cell r="Y39">
            <v>11.9</v>
          </cell>
          <cell r="Z39">
            <v>3</v>
          </cell>
          <cell r="AA39">
            <v>0.9</v>
          </cell>
          <cell r="AB39">
            <v>0.4</v>
          </cell>
          <cell r="AC39" t="str">
            <v>Re-size</v>
          </cell>
          <cell r="AD39" t="str">
            <v>Re-size</v>
          </cell>
          <cell r="AE39" t="str">
            <v>Re-size</v>
          </cell>
        </row>
        <row r="40">
          <cell r="B40">
            <v>0.31</v>
          </cell>
          <cell r="C40" t="str">
            <v>Re-size</v>
          </cell>
          <cell r="D40">
            <v>27.73</v>
          </cell>
          <cell r="E40">
            <v>9.06</v>
          </cell>
          <cell r="F40">
            <v>2.8299999999999996</v>
          </cell>
          <cell r="G40">
            <v>1.67</v>
          </cell>
          <cell r="H40">
            <v>0.96</v>
          </cell>
          <cell r="I40">
            <v>0.56999999999999995</v>
          </cell>
          <cell r="J40" t="str">
            <v>Re-size</v>
          </cell>
          <cell r="K40" t="str">
            <v>Re-size</v>
          </cell>
          <cell r="L40" t="str">
            <v>Re-size</v>
          </cell>
          <cell r="M40" t="str">
            <v>Re-size</v>
          </cell>
          <cell r="N40" t="str">
            <v>Re-size</v>
          </cell>
          <cell r="O40" t="str">
            <v>Re-size</v>
          </cell>
          <cell r="P40" t="str">
            <v>Re-size</v>
          </cell>
          <cell r="Q40" t="str">
            <v>Re-size</v>
          </cell>
          <cell r="R40" t="str">
            <v>Re-size</v>
          </cell>
          <cell r="S40" t="str">
            <v>Re-size</v>
          </cell>
          <cell r="T40" t="str">
            <v>Re-size</v>
          </cell>
          <cell r="U40" t="str">
            <v>Re-size</v>
          </cell>
          <cell r="V40" t="str">
            <v>Re-size</v>
          </cell>
          <cell r="X40">
            <v>47.55</v>
          </cell>
          <cell r="Y40">
            <v>12.7</v>
          </cell>
          <cell r="Z40">
            <v>3.15</v>
          </cell>
          <cell r="AA40">
            <v>0.95</v>
          </cell>
          <cell r="AB40">
            <v>0.4</v>
          </cell>
          <cell r="AC40" t="str">
            <v>Re-size</v>
          </cell>
          <cell r="AD40" t="str">
            <v>Re-size</v>
          </cell>
          <cell r="AE40" t="str">
            <v>Re-size</v>
          </cell>
        </row>
        <row r="41">
          <cell r="B41">
            <v>0.32</v>
          </cell>
          <cell r="C41" t="str">
            <v>Re-size</v>
          </cell>
          <cell r="D41">
            <v>29.3</v>
          </cell>
          <cell r="E41">
            <v>9.58</v>
          </cell>
          <cell r="F41">
            <v>2.99</v>
          </cell>
          <cell r="G41">
            <v>1.76</v>
          </cell>
          <cell r="H41">
            <v>1.01</v>
          </cell>
          <cell r="I41">
            <v>0.6</v>
          </cell>
          <cell r="J41" t="str">
            <v>Re-size</v>
          </cell>
          <cell r="K41" t="str">
            <v>Re-size</v>
          </cell>
          <cell r="L41" t="str">
            <v>Re-size</v>
          </cell>
          <cell r="M41" t="str">
            <v>Re-size</v>
          </cell>
          <cell r="N41" t="str">
            <v>Re-size</v>
          </cell>
          <cell r="O41" t="str">
            <v>Re-size</v>
          </cell>
          <cell r="P41" t="str">
            <v>Re-size</v>
          </cell>
          <cell r="Q41" t="str">
            <v>Re-size</v>
          </cell>
          <cell r="R41" t="str">
            <v>Re-size</v>
          </cell>
          <cell r="S41" t="str">
            <v>Re-size</v>
          </cell>
          <cell r="T41" t="str">
            <v>Re-size</v>
          </cell>
          <cell r="U41" t="str">
            <v>Re-size</v>
          </cell>
          <cell r="V41" t="str">
            <v>Re-size</v>
          </cell>
          <cell r="X41">
            <v>50.2</v>
          </cell>
          <cell r="Y41">
            <v>13.5</v>
          </cell>
          <cell r="Z41">
            <v>3.3</v>
          </cell>
          <cell r="AA41">
            <v>1</v>
          </cell>
          <cell r="AB41">
            <v>0.4</v>
          </cell>
          <cell r="AC41" t="str">
            <v>Re-size</v>
          </cell>
          <cell r="AD41" t="str">
            <v>Re-size</v>
          </cell>
          <cell r="AE41" t="str">
            <v>Re-size</v>
          </cell>
        </row>
        <row r="42">
          <cell r="B42">
            <v>0.33</v>
          </cell>
          <cell r="C42" t="str">
            <v>Re-size</v>
          </cell>
          <cell r="D42">
            <v>31</v>
          </cell>
          <cell r="E42">
            <v>10.14</v>
          </cell>
          <cell r="F42">
            <v>3.1599999999999997</v>
          </cell>
          <cell r="G42">
            <v>1.86</v>
          </cell>
          <cell r="H42">
            <v>1.07</v>
          </cell>
          <cell r="I42">
            <v>0.64</v>
          </cell>
          <cell r="J42" t="str">
            <v>Re-size</v>
          </cell>
          <cell r="K42" t="str">
            <v>Re-size</v>
          </cell>
          <cell r="L42" t="str">
            <v>Re-size</v>
          </cell>
          <cell r="M42" t="str">
            <v>Re-size</v>
          </cell>
          <cell r="N42" t="str">
            <v>Re-size</v>
          </cell>
          <cell r="O42" t="str">
            <v>Re-size</v>
          </cell>
          <cell r="P42" t="str">
            <v>Re-size</v>
          </cell>
          <cell r="Q42" t="str">
            <v>Re-size</v>
          </cell>
          <cell r="R42" t="str">
            <v>Re-size</v>
          </cell>
          <cell r="S42" t="str">
            <v>Re-size</v>
          </cell>
          <cell r="T42" t="str">
            <v>Re-size</v>
          </cell>
          <cell r="U42" t="str">
            <v>Re-size</v>
          </cell>
          <cell r="V42" t="str">
            <v>Re-size</v>
          </cell>
          <cell r="X42">
            <v>52.85</v>
          </cell>
          <cell r="Y42">
            <v>14.25</v>
          </cell>
          <cell r="Z42">
            <v>3.45</v>
          </cell>
          <cell r="AA42">
            <v>1.05</v>
          </cell>
          <cell r="AB42">
            <v>0.45</v>
          </cell>
          <cell r="AC42" t="str">
            <v>Re-size</v>
          </cell>
          <cell r="AD42" t="str">
            <v>Re-size</v>
          </cell>
          <cell r="AE42" t="str">
            <v>Re-size</v>
          </cell>
        </row>
        <row r="43">
          <cell r="B43">
            <v>0.34</v>
          </cell>
          <cell r="C43" t="str">
            <v>Re-size</v>
          </cell>
          <cell r="D43">
            <v>32.700000000000003</v>
          </cell>
          <cell r="E43">
            <v>10.69</v>
          </cell>
          <cell r="F43">
            <v>3.32</v>
          </cell>
          <cell r="G43">
            <v>1.96</v>
          </cell>
          <cell r="H43">
            <v>1.1200000000000001</v>
          </cell>
          <cell r="I43">
            <v>0.67</v>
          </cell>
          <cell r="J43" t="str">
            <v>Re-size</v>
          </cell>
          <cell r="K43" t="str">
            <v>Re-size</v>
          </cell>
          <cell r="L43" t="str">
            <v>Re-size</v>
          </cell>
          <cell r="M43" t="str">
            <v>Re-size</v>
          </cell>
          <cell r="N43" t="str">
            <v>Re-size</v>
          </cell>
          <cell r="O43" t="str">
            <v>Re-size</v>
          </cell>
          <cell r="P43" t="str">
            <v>Re-size</v>
          </cell>
          <cell r="Q43" t="str">
            <v>Re-size</v>
          </cell>
          <cell r="R43" t="str">
            <v>Re-size</v>
          </cell>
          <cell r="S43" t="str">
            <v>Re-size</v>
          </cell>
          <cell r="T43" t="str">
            <v>Re-size</v>
          </cell>
          <cell r="U43" t="str">
            <v>Re-size</v>
          </cell>
          <cell r="V43" t="str">
            <v>Re-size</v>
          </cell>
          <cell r="X43">
            <v>55.5</v>
          </cell>
          <cell r="Y43">
            <v>15</v>
          </cell>
          <cell r="Z43">
            <v>3.6</v>
          </cell>
          <cell r="AA43">
            <v>1.1000000000000001</v>
          </cell>
          <cell r="AB43">
            <v>0.5</v>
          </cell>
          <cell r="AC43" t="str">
            <v>Re-size</v>
          </cell>
          <cell r="AD43" t="str">
            <v>Re-size</v>
          </cell>
          <cell r="AE43" t="str">
            <v>Re-size</v>
          </cell>
        </row>
        <row r="44">
          <cell r="B44">
            <v>0.35</v>
          </cell>
          <cell r="C44" t="str">
            <v>Re-size</v>
          </cell>
          <cell r="D44">
            <v>34.47</v>
          </cell>
          <cell r="E44">
            <v>11.28</v>
          </cell>
          <cell r="F44">
            <v>3.5</v>
          </cell>
          <cell r="G44">
            <v>2.0699999999999998</v>
          </cell>
          <cell r="H44">
            <v>1.18</v>
          </cell>
          <cell r="I44">
            <v>0.71</v>
          </cell>
          <cell r="J44" t="str">
            <v>Re-size</v>
          </cell>
          <cell r="K44" t="str">
            <v>Re-size</v>
          </cell>
          <cell r="L44" t="str">
            <v>Re-size</v>
          </cell>
          <cell r="M44" t="str">
            <v>Re-size</v>
          </cell>
          <cell r="N44" t="str">
            <v>Re-size</v>
          </cell>
          <cell r="O44" t="str">
            <v>Re-size</v>
          </cell>
          <cell r="P44" t="str">
            <v>Re-size</v>
          </cell>
          <cell r="Q44" t="str">
            <v>Re-size</v>
          </cell>
          <cell r="R44" t="str">
            <v>Re-size</v>
          </cell>
          <cell r="S44" t="str">
            <v>Re-size</v>
          </cell>
          <cell r="T44" t="str">
            <v>Re-size</v>
          </cell>
          <cell r="U44" t="str">
            <v>Re-size</v>
          </cell>
          <cell r="V44" t="str">
            <v>Re-size</v>
          </cell>
          <cell r="X44">
            <v>58.45</v>
          </cell>
          <cell r="Y44">
            <v>15.8</v>
          </cell>
          <cell r="Z44">
            <v>3.8</v>
          </cell>
          <cell r="AA44">
            <v>1.2</v>
          </cell>
          <cell r="AB44">
            <v>0.5</v>
          </cell>
          <cell r="AC44" t="str">
            <v>Re-size</v>
          </cell>
          <cell r="AD44" t="str">
            <v>Re-size</v>
          </cell>
          <cell r="AE44" t="str">
            <v>Re-size</v>
          </cell>
        </row>
        <row r="45">
          <cell r="B45">
            <v>0.36</v>
          </cell>
          <cell r="C45" t="str">
            <v>Re-size</v>
          </cell>
          <cell r="D45">
            <v>36.24</v>
          </cell>
          <cell r="E45">
            <v>11.86</v>
          </cell>
          <cell r="F45">
            <v>3.67</v>
          </cell>
          <cell r="G45">
            <v>2.17</v>
          </cell>
          <cell r="H45">
            <v>1.24</v>
          </cell>
          <cell r="I45">
            <v>0.74</v>
          </cell>
          <cell r="J45" t="str">
            <v>Re-size</v>
          </cell>
          <cell r="K45" t="str">
            <v>Re-size</v>
          </cell>
          <cell r="L45" t="str">
            <v>Re-size</v>
          </cell>
          <cell r="M45" t="str">
            <v>Re-size</v>
          </cell>
          <cell r="N45" t="str">
            <v>Re-size</v>
          </cell>
          <cell r="O45" t="str">
            <v>Re-size</v>
          </cell>
          <cell r="P45" t="str">
            <v>Re-size</v>
          </cell>
          <cell r="Q45" t="str">
            <v>Re-size</v>
          </cell>
          <cell r="R45" t="str">
            <v>Re-size</v>
          </cell>
          <cell r="S45" t="str">
            <v>Re-size</v>
          </cell>
          <cell r="T45" t="str">
            <v>Re-size</v>
          </cell>
          <cell r="U45" t="str">
            <v>Re-size</v>
          </cell>
          <cell r="V45" t="str">
            <v>Re-size</v>
          </cell>
          <cell r="X45">
            <v>61.4</v>
          </cell>
          <cell r="Y45">
            <v>16.600000000000001</v>
          </cell>
          <cell r="Z45">
            <v>4</v>
          </cell>
          <cell r="AA45">
            <v>1.3</v>
          </cell>
          <cell r="AB45">
            <v>0.5</v>
          </cell>
          <cell r="AC45" t="str">
            <v>Re-size</v>
          </cell>
          <cell r="AD45" t="str">
            <v>Re-size</v>
          </cell>
          <cell r="AE45" t="str">
            <v>Re-size</v>
          </cell>
        </row>
        <row r="46">
          <cell r="B46">
            <v>0.37</v>
          </cell>
          <cell r="C46" t="str">
            <v>Re-size</v>
          </cell>
          <cell r="D46">
            <v>38.159999999999997</v>
          </cell>
          <cell r="E46">
            <v>12.46</v>
          </cell>
          <cell r="F46">
            <v>3.86</v>
          </cell>
          <cell r="G46">
            <v>2.2799999999999998</v>
          </cell>
          <cell r="H46">
            <v>1.3</v>
          </cell>
          <cell r="I46">
            <v>0.78</v>
          </cell>
          <cell r="J46" t="str">
            <v>Re-size</v>
          </cell>
          <cell r="K46" t="str">
            <v>Re-size</v>
          </cell>
          <cell r="L46" t="str">
            <v>Re-size</v>
          </cell>
          <cell r="M46" t="str">
            <v>Re-size</v>
          </cell>
          <cell r="N46" t="str">
            <v>Re-size</v>
          </cell>
          <cell r="O46" t="str">
            <v>Re-size</v>
          </cell>
          <cell r="P46" t="str">
            <v>Re-size</v>
          </cell>
          <cell r="Q46" t="str">
            <v>Re-size</v>
          </cell>
          <cell r="R46" t="str">
            <v>Re-size</v>
          </cell>
          <cell r="S46" t="str">
            <v>Re-size</v>
          </cell>
          <cell r="T46" t="str">
            <v>Re-size</v>
          </cell>
          <cell r="U46" t="str">
            <v>Re-size</v>
          </cell>
          <cell r="V46" t="str">
            <v>Re-size</v>
          </cell>
          <cell r="X46">
            <v>64.7</v>
          </cell>
          <cell r="Y46">
            <v>17.45</v>
          </cell>
          <cell r="Z46">
            <v>4.2</v>
          </cell>
          <cell r="AA46">
            <v>1.35</v>
          </cell>
          <cell r="AB46">
            <v>0.55000000000000004</v>
          </cell>
          <cell r="AC46" t="str">
            <v>Re-size</v>
          </cell>
          <cell r="AD46" t="str">
            <v>Re-size</v>
          </cell>
          <cell r="AE46" t="str">
            <v>Re-size</v>
          </cell>
        </row>
        <row r="47">
          <cell r="B47">
            <v>0.38</v>
          </cell>
          <cell r="C47" t="str">
            <v>Re-size</v>
          </cell>
          <cell r="D47">
            <v>40.07</v>
          </cell>
          <cell r="E47">
            <v>13.06</v>
          </cell>
          <cell r="F47">
            <v>4.04</v>
          </cell>
          <cell r="G47">
            <v>2.39</v>
          </cell>
          <cell r="H47">
            <v>1.35</v>
          </cell>
          <cell r="I47">
            <v>0.82</v>
          </cell>
          <cell r="J47" t="str">
            <v>Re-size</v>
          </cell>
          <cell r="K47" t="str">
            <v>Re-size</v>
          </cell>
          <cell r="L47" t="str">
            <v>Re-size</v>
          </cell>
          <cell r="M47" t="str">
            <v>Re-size</v>
          </cell>
          <cell r="N47" t="str">
            <v>Re-size</v>
          </cell>
          <cell r="O47" t="str">
            <v>Re-size</v>
          </cell>
          <cell r="P47" t="str">
            <v>Re-size</v>
          </cell>
          <cell r="Q47" t="str">
            <v>Re-size</v>
          </cell>
          <cell r="R47" t="str">
            <v>Re-size</v>
          </cell>
          <cell r="S47" t="str">
            <v>Re-size</v>
          </cell>
          <cell r="T47" t="str">
            <v>Re-size</v>
          </cell>
          <cell r="U47" t="str">
            <v>Re-size</v>
          </cell>
          <cell r="V47" t="str">
            <v>Re-size</v>
          </cell>
          <cell r="X47">
            <v>68</v>
          </cell>
          <cell r="Y47">
            <v>18.3</v>
          </cell>
          <cell r="Z47">
            <v>4.4000000000000004</v>
          </cell>
          <cell r="AA47">
            <v>1.4</v>
          </cell>
          <cell r="AB47">
            <v>0.6</v>
          </cell>
          <cell r="AC47" t="str">
            <v>Re-size</v>
          </cell>
          <cell r="AD47" t="str">
            <v>Re-size</v>
          </cell>
          <cell r="AE47" t="str">
            <v>Re-size</v>
          </cell>
        </row>
        <row r="48">
          <cell r="B48">
            <v>0.39</v>
          </cell>
          <cell r="C48" t="str">
            <v>Re-size</v>
          </cell>
          <cell r="D48">
            <v>41.97</v>
          </cell>
          <cell r="E48">
            <v>13.69</v>
          </cell>
          <cell r="F48">
            <v>4.2300000000000004</v>
          </cell>
          <cell r="G48">
            <v>2.5</v>
          </cell>
          <cell r="H48">
            <v>1.42</v>
          </cell>
          <cell r="I48">
            <v>0.86</v>
          </cell>
          <cell r="J48" t="str">
            <v>Re-size</v>
          </cell>
          <cell r="K48" t="str">
            <v>Re-size</v>
          </cell>
          <cell r="L48" t="str">
            <v>Re-size</v>
          </cell>
          <cell r="M48" t="str">
            <v>Re-size</v>
          </cell>
          <cell r="N48" t="str">
            <v>Re-size</v>
          </cell>
          <cell r="O48" t="str">
            <v>Re-size</v>
          </cell>
          <cell r="P48" t="str">
            <v>Re-size</v>
          </cell>
          <cell r="Q48" t="str">
            <v>Re-size</v>
          </cell>
          <cell r="R48" t="str">
            <v>Re-size</v>
          </cell>
          <cell r="S48" t="str">
            <v>Re-size</v>
          </cell>
          <cell r="T48" t="str">
            <v>Re-size</v>
          </cell>
          <cell r="U48" t="str">
            <v>Re-size</v>
          </cell>
          <cell r="V48" t="str">
            <v>Re-size</v>
          </cell>
          <cell r="X48">
            <v>71.25</v>
          </cell>
          <cell r="Y48">
            <v>19.100000000000001</v>
          </cell>
          <cell r="Z48">
            <v>4.5999999999999996</v>
          </cell>
          <cell r="AA48">
            <v>1.5</v>
          </cell>
          <cell r="AB48">
            <v>0.65</v>
          </cell>
          <cell r="AC48" t="str">
            <v>Re-size</v>
          </cell>
          <cell r="AD48" t="str">
            <v>Re-size</v>
          </cell>
          <cell r="AE48" t="str">
            <v>Re-size</v>
          </cell>
        </row>
        <row r="49">
          <cell r="B49">
            <v>0.4</v>
          </cell>
          <cell r="C49" t="str">
            <v>Re-size</v>
          </cell>
          <cell r="D49">
            <v>43.87</v>
          </cell>
          <cell r="E49">
            <v>14.31</v>
          </cell>
          <cell r="F49">
            <v>4.42</v>
          </cell>
          <cell r="G49">
            <v>2.61</v>
          </cell>
          <cell r="H49">
            <v>1.48</v>
          </cell>
          <cell r="I49">
            <v>0.9</v>
          </cell>
          <cell r="J49">
            <v>0.69</v>
          </cell>
          <cell r="K49" t="str">
            <v>Re-size</v>
          </cell>
          <cell r="L49" t="str">
            <v>Re-size</v>
          </cell>
          <cell r="M49" t="str">
            <v>Re-size</v>
          </cell>
          <cell r="N49" t="str">
            <v>Re-size</v>
          </cell>
          <cell r="O49" t="str">
            <v>Re-size</v>
          </cell>
          <cell r="P49" t="str">
            <v>Re-size</v>
          </cell>
          <cell r="Q49" t="str">
            <v>Re-size</v>
          </cell>
          <cell r="R49" t="str">
            <v>Re-size</v>
          </cell>
          <cell r="S49" t="str">
            <v>Re-size</v>
          </cell>
          <cell r="T49" t="str">
            <v>Re-size</v>
          </cell>
          <cell r="U49" t="str">
            <v>Re-size</v>
          </cell>
          <cell r="V49" t="str">
            <v>Re-size</v>
          </cell>
          <cell r="X49">
            <v>74.5</v>
          </cell>
          <cell r="Y49">
            <v>19.899999999999999</v>
          </cell>
          <cell r="Z49">
            <v>4.8</v>
          </cell>
          <cell r="AA49">
            <v>1.6</v>
          </cell>
          <cell r="AB49">
            <v>0.7</v>
          </cell>
          <cell r="AC49" t="str">
            <v>Re-size</v>
          </cell>
          <cell r="AD49" t="str">
            <v>Re-size</v>
          </cell>
          <cell r="AE49" t="str">
            <v>Re-size</v>
          </cell>
        </row>
        <row r="50">
          <cell r="B50">
            <v>0.41</v>
          </cell>
          <cell r="C50" t="str">
            <v>Re-size</v>
          </cell>
          <cell r="D50">
            <v>45.93</v>
          </cell>
          <cell r="E50">
            <v>14.95</v>
          </cell>
          <cell r="F50">
            <v>4.62</v>
          </cell>
          <cell r="G50">
            <v>2.73</v>
          </cell>
          <cell r="H50">
            <v>1.55</v>
          </cell>
          <cell r="I50">
            <v>0.94000000000000006</v>
          </cell>
          <cell r="J50">
            <v>0.72</v>
          </cell>
          <cell r="K50" t="str">
            <v>Re-size</v>
          </cell>
          <cell r="L50" t="str">
            <v>Re-size</v>
          </cell>
          <cell r="M50" t="str">
            <v>Re-size</v>
          </cell>
          <cell r="N50" t="str">
            <v>Re-size</v>
          </cell>
          <cell r="O50" t="str">
            <v>Re-size</v>
          </cell>
          <cell r="P50" t="str">
            <v>Re-size</v>
          </cell>
          <cell r="Q50" t="str">
            <v>Re-size</v>
          </cell>
          <cell r="R50" t="str">
            <v>Re-size</v>
          </cell>
          <cell r="S50" t="str">
            <v>Re-size</v>
          </cell>
          <cell r="T50" t="str">
            <v>Re-size</v>
          </cell>
          <cell r="U50" t="str">
            <v>Re-size</v>
          </cell>
          <cell r="V50" t="str">
            <v>Re-size</v>
          </cell>
          <cell r="X50">
            <v>77.95</v>
          </cell>
          <cell r="Y50">
            <v>20.9</v>
          </cell>
          <cell r="Z50">
            <v>5.05</v>
          </cell>
          <cell r="AA50">
            <v>1.65</v>
          </cell>
          <cell r="AB50">
            <v>0.7</v>
          </cell>
          <cell r="AC50" t="str">
            <v>Re-size</v>
          </cell>
          <cell r="AD50" t="str">
            <v>Re-size</v>
          </cell>
          <cell r="AE50" t="str">
            <v>Re-size</v>
          </cell>
        </row>
        <row r="51">
          <cell r="B51">
            <v>0.42</v>
          </cell>
          <cell r="C51" t="str">
            <v>Re-size</v>
          </cell>
          <cell r="D51">
            <v>47.98</v>
          </cell>
          <cell r="E51">
            <v>15.59</v>
          </cell>
          <cell r="F51">
            <v>4.82</v>
          </cell>
          <cell r="G51">
            <v>2.85</v>
          </cell>
          <cell r="H51">
            <v>1.61</v>
          </cell>
          <cell r="I51">
            <v>0.97</v>
          </cell>
          <cell r="J51">
            <v>0.75</v>
          </cell>
          <cell r="K51" t="str">
            <v>Re-size</v>
          </cell>
          <cell r="L51" t="str">
            <v>Re-size</v>
          </cell>
          <cell r="M51" t="str">
            <v>Re-size</v>
          </cell>
          <cell r="N51" t="str">
            <v>Re-size</v>
          </cell>
          <cell r="O51" t="str">
            <v>Re-size</v>
          </cell>
          <cell r="P51" t="str">
            <v>Re-size</v>
          </cell>
          <cell r="Q51" t="str">
            <v>Re-size</v>
          </cell>
          <cell r="R51" t="str">
            <v>Re-size</v>
          </cell>
          <cell r="S51" t="str">
            <v>Re-size</v>
          </cell>
          <cell r="T51" t="str">
            <v>Re-size</v>
          </cell>
          <cell r="U51" t="str">
            <v>Re-size</v>
          </cell>
          <cell r="V51" t="str">
            <v>Re-size</v>
          </cell>
          <cell r="X51">
            <v>81.400000000000006</v>
          </cell>
          <cell r="Y51">
            <v>21.9</v>
          </cell>
          <cell r="Z51">
            <v>5.3</v>
          </cell>
          <cell r="AA51">
            <v>1.7</v>
          </cell>
          <cell r="AB51">
            <v>0.7</v>
          </cell>
          <cell r="AC51" t="str">
            <v>Re-size</v>
          </cell>
          <cell r="AD51" t="str">
            <v>Re-size</v>
          </cell>
          <cell r="AE51" t="str">
            <v>Re-size</v>
          </cell>
        </row>
        <row r="52">
          <cell r="B52">
            <v>0.43</v>
          </cell>
          <cell r="C52" t="str">
            <v>Re-size</v>
          </cell>
          <cell r="D52">
            <v>50.11</v>
          </cell>
          <cell r="E52">
            <v>16.290000000000003</v>
          </cell>
          <cell r="F52">
            <v>5.04</v>
          </cell>
          <cell r="G52">
            <v>2.97</v>
          </cell>
          <cell r="H52">
            <v>1.68</v>
          </cell>
          <cell r="I52">
            <v>1.02</v>
          </cell>
          <cell r="J52">
            <v>0.78</v>
          </cell>
          <cell r="K52" t="str">
            <v>Re-size</v>
          </cell>
          <cell r="L52" t="str">
            <v>Re-size</v>
          </cell>
          <cell r="M52" t="str">
            <v>Re-size</v>
          </cell>
          <cell r="N52" t="str">
            <v>Re-size</v>
          </cell>
          <cell r="O52" t="str">
            <v>Re-size</v>
          </cell>
          <cell r="P52" t="str">
            <v>Re-size</v>
          </cell>
          <cell r="Q52" t="str">
            <v>Re-size</v>
          </cell>
          <cell r="R52" t="str">
            <v>Re-size</v>
          </cell>
          <cell r="S52" t="str">
            <v>Re-size</v>
          </cell>
          <cell r="T52" t="str">
            <v>Re-size</v>
          </cell>
          <cell r="U52" t="str">
            <v>Re-size</v>
          </cell>
          <cell r="V52" t="str">
            <v>Re-size</v>
          </cell>
          <cell r="X52">
            <v>83.9</v>
          </cell>
          <cell r="Y52">
            <v>22.95</v>
          </cell>
          <cell r="Z52">
            <v>5.55</v>
          </cell>
          <cell r="AA52">
            <v>1.8</v>
          </cell>
          <cell r="AB52">
            <v>0.75</v>
          </cell>
          <cell r="AC52" t="str">
            <v>Re-size</v>
          </cell>
          <cell r="AD52" t="str">
            <v>Re-size</v>
          </cell>
          <cell r="AE52" t="str">
            <v>Re-size</v>
          </cell>
        </row>
        <row r="53">
          <cell r="B53">
            <v>0.44</v>
          </cell>
          <cell r="C53" t="str">
            <v>Re-size</v>
          </cell>
          <cell r="D53">
            <v>52.24</v>
          </cell>
          <cell r="E53">
            <v>16.98</v>
          </cell>
          <cell r="F53">
            <v>5.25</v>
          </cell>
          <cell r="G53">
            <v>3.09</v>
          </cell>
          <cell r="H53">
            <v>1.75</v>
          </cell>
          <cell r="I53">
            <v>1.07</v>
          </cell>
          <cell r="J53">
            <v>0.81</v>
          </cell>
          <cell r="K53" t="str">
            <v>Re-size</v>
          </cell>
          <cell r="L53" t="str">
            <v>Re-size</v>
          </cell>
          <cell r="M53" t="str">
            <v>Re-size</v>
          </cell>
          <cell r="N53" t="str">
            <v>Re-size</v>
          </cell>
          <cell r="O53" t="str">
            <v>Re-size</v>
          </cell>
          <cell r="P53" t="str">
            <v>Re-size</v>
          </cell>
          <cell r="Q53" t="str">
            <v>Re-size</v>
          </cell>
          <cell r="R53" t="str">
            <v>Re-size</v>
          </cell>
          <cell r="S53" t="str">
            <v>Re-size</v>
          </cell>
          <cell r="T53" t="str">
            <v>Re-size</v>
          </cell>
          <cell r="U53" t="str">
            <v>Re-size</v>
          </cell>
          <cell r="V53" t="str">
            <v>Re-size</v>
          </cell>
          <cell r="X53">
            <v>86.4</v>
          </cell>
          <cell r="Y53">
            <v>24</v>
          </cell>
          <cell r="Z53">
            <v>5.8</v>
          </cell>
          <cell r="AA53">
            <v>1.9</v>
          </cell>
          <cell r="AB53">
            <v>0.8</v>
          </cell>
          <cell r="AC53">
            <v>0.3</v>
          </cell>
          <cell r="AD53" t="str">
            <v>Re-size</v>
          </cell>
          <cell r="AE53" t="str">
            <v>Re-size</v>
          </cell>
        </row>
        <row r="54">
          <cell r="B54">
            <v>0.45</v>
          </cell>
          <cell r="C54" t="str">
            <v>Re-size</v>
          </cell>
          <cell r="D54">
            <v>54.44</v>
          </cell>
          <cell r="E54">
            <v>17.66</v>
          </cell>
          <cell r="F54">
            <v>5.47</v>
          </cell>
          <cell r="G54">
            <v>3.22</v>
          </cell>
          <cell r="H54">
            <v>1.82</v>
          </cell>
          <cell r="I54">
            <v>1.1100000000000001</v>
          </cell>
          <cell r="J54">
            <v>0.85</v>
          </cell>
          <cell r="K54" t="str">
            <v>Re-size</v>
          </cell>
          <cell r="L54" t="str">
            <v>Re-size</v>
          </cell>
          <cell r="M54" t="str">
            <v>Re-size</v>
          </cell>
          <cell r="N54" t="str">
            <v>Re-size</v>
          </cell>
          <cell r="O54" t="str">
            <v>Re-size</v>
          </cell>
          <cell r="P54" t="str">
            <v>Re-size</v>
          </cell>
          <cell r="Q54" t="str">
            <v>Re-size</v>
          </cell>
          <cell r="R54" t="str">
            <v>Re-size</v>
          </cell>
          <cell r="S54" t="str">
            <v>Re-size</v>
          </cell>
          <cell r="T54" t="str">
            <v>Re-size</v>
          </cell>
          <cell r="U54" t="str">
            <v>Re-size</v>
          </cell>
          <cell r="V54" t="str">
            <v>Re-size</v>
          </cell>
          <cell r="X54" t="str">
            <v>Re-size</v>
          </cell>
          <cell r="Y54">
            <v>25</v>
          </cell>
          <cell r="Z54">
            <v>6</v>
          </cell>
          <cell r="AA54">
            <v>1.95</v>
          </cell>
          <cell r="AB54">
            <v>0.85</v>
          </cell>
          <cell r="AC54">
            <v>0.3</v>
          </cell>
          <cell r="AD54" t="str">
            <v>Re-size</v>
          </cell>
          <cell r="AE54" t="str">
            <v>Re-size</v>
          </cell>
        </row>
        <row r="55">
          <cell r="B55">
            <v>0.46</v>
          </cell>
          <cell r="C55" t="str">
            <v>Re-size</v>
          </cell>
          <cell r="D55">
            <v>56.64</v>
          </cell>
          <cell r="E55">
            <v>18.34</v>
          </cell>
          <cell r="F55">
            <v>5.68</v>
          </cell>
          <cell r="G55">
            <v>3.35</v>
          </cell>
          <cell r="H55">
            <v>1.89</v>
          </cell>
          <cell r="I55">
            <v>1.1399999999999999</v>
          </cell>
          <cell r="J55">
            <v>0.89</v>
          </cell>
          <cell r="K55" t="str">
            <v>Re-size</v>
          </cell>
          <cell r="L55" t="str">
            <v>Re-size</v>
          </cell>
          <cell r="M55" t="str">
            <v>Re-size</v>
          </cell>
          <cell r="N55" t="str">
            <v>Re-size</v>
          </cell>
          <cell r="O55" t="str">
            <v>Re-size</v>
          </cell>
          <cell r="P55" t="str">
            <v>Re-size</v>
          </cell>
          <cell r="Q55" t="str">
            <v>Re-size</v>
          </cell>
          <cell r="R55" t="str">
            <v>Re-size</v>
          </cell>
          <cell r="S55" t="str">
            <v>Re-size</v>
          </cell>
          <cell r="T55" t="str">
            <v>Re-size</v>
          </cell>
          <cell r="U55" t="str">
            <v>Re-size</v>
          </cell>
          <cell r="V55" t="str">
            <v>Re-size</v>
          </cell>
          <cell r="X55" t="str">
            <v>Re-size</v>
          </cell>
          <cell r="Y55">
            <v>26</v>
          </cell>
          <cell r="Z55">
            <v>6.2</v>
          </cell>
          <cell r="AA55">
            <v>2</v>
          </cell>
          <cell r="AB55">
            <v>0.9</v>
          </cell>
          <cell r="AC55">
            <v>0.3</v>
          </cell>
          <cell r="AD55" t="str">
            <v>Re-size</v>
          </cell>
          <cell r="AE55" t="str">
            <v>Re-size</v>
          </cell>
        </row>
        <row r="56">
          <cell r="B56">
            <v>0.47</v>
          </cell>
          <cell r="C56" t="str">
            <v>Re-size</v>
          </cell>
          <cell r="D56">
            <v>58.91</v>
          </cell>
          <cell r="E56">
            <v>19.080000000000002</v>
          </cell>
          <cell r="F56">
            <v>5.91</v>
          </cell>
          <cell r="G56">
            <v>3.48</v>
          </cell>
          <cell r="H56">
            <v>1.96</v>
          </cell>
          <cell r="I56">
            <v>1.19</v>
          </cell>
          <cell r="J56">
            <v>0.92</v>
          </cell>
          <cell r="K56" t="str">
            <v>Re-size</v>
          </cell>
          <cell r="L56" t="str">
            <v>Re-size</v>
          </cell>
          <cell r="M56" t="str">
            <v>Re-size</v>
          </cell>
          <cell r="N56" t="str">
            <v>Re-size</v>
          </cell>
          <cell r="O56" t="str">
            <v>Re-size</v>
          </cell>
          <cell r="P56" t="str">
            <v>Re-size</v>
          </cell>
          <cell r="Q56" t="str">
            <v>Re-size</v>
          </cell>
          <cell r="R56" t="str">
            <v>Re-size</v>
          </cell>
          <cell r="S56" t="str">
            <v>Re-size</v>
          </cell>
          <cell r="T56" t="str">
            <v>Re-size</v>
          </cell>
          <cell r="U56" t="str">
            <v>Re-size</v>
          </cell>
          <cell r="V56" t="str">
            <v>Re-size</v>
          </cell>
          <cell r="X56" t="str">
            <v>Re-size</v>
          </cell>
          <cell r="Y56">
            <v>27</v>
          </cell>
          <cell r="Z56">
            <v>6.45</v>
          </cell>
          <cell r="AA56">
            <v>2.1</v>
          </cell>
          <cell r="AB56">
            <v>0.9</v>
          </cell>
          <cell r="AC56">
            <v>0.3</v>
          </cell>
          <cell r="AD56" t="str">
            <v>Re-size</v>
          </cell>
          <cell r="AE56" t="str">
            <v>Re-size</v>
          </cell>
        </row>
        <row r="57">
          <cell r="B57">
            <v>0.48</v>
          </cell>
          <cell r="C57" t="str">
            <v>Re-size</v>
          </cell>
          <cell r="D57">
            <v>61.17</v>
          </cell>
          <cell r="E57">
            <v>19.809999999999999</v>
          </cell>
          <cell r="F57">
            <v>6.14</v>
          </cell>
          <cell r="G57">
            <v>3.61</v>
          </cell>
          <cell r="H57">
            <v>2.0299999999999998</v>
          </cell>
          <cell r="I57">
            <v>1.23</v>
          </cell>
          <cell r="J57">
            <v>0.95</v>
          </cell>
          <cell r="K57" t="str">
            <v>Re-size</v>
          </cell>
          <cell r="L57" t="str">
            <v>Re-size</v>
          </cell>
          <cell r="M57" t="str">
            <v>Re-size</v>
          </cell>
          <cell r="N57" t="str">
            <v>Re-size</v>
          </cell>
          <cell r="O57" t="str">
            <v>Re-size</v>
          </cell>
          <cell r="P57" t="str">
            <v>Re-size</v>
          </cell>
          <cell r="Q57" t="str">
            <v>Re-size</v>
          </cell>
          <cell r="R57" t="str">
            <v>Re-size</v>
          </cell>
          <cell r="S57" t="str">
            <v>Re-size</v>
          </cell>
          <cell r="T57" t="str">
            <v>Re-size</v>
          </cell>
          <cell r="U57" t="str">
            <v>Re-size</v>
          </cell>
          <cell r="V57" t="str">
            <v>Re-size</v>
          </cell>
          <cell r="X57" t="str">
            <v>Re-size</v>
          </cell>
          <cell r="Y57">
            <v>28</v>
          </cell>
          <cell r="Z57">
            <v>6.7</v>
          </cell>
          <cell r="AA57">
            <v>2.2000000000000002</v>
          </cell>
          <cell r="AB57">
            <v>0.9</v>
          </cell>
          <cell r="AC57">
            <v>0.3</v>
          </cell>
          <cell r="AD57" t="str">
            <v>Re-size</v>
          </cell>
          <cell r="AE57" t="str">
            <v>Re-size</v>
          </cell>
        </row>
        <row r="58">
          <cell r="B58">
            <v>0.49</v>
          </cell>
          <cell r="C58" t="str">
            <v>Re-size</v>
          </cell>
          <cell r="D58">
            <v>62.93</v>
          </cell>
          <cell r="E58">
            <v>20.57</v>
          </cell>
          <cell r="F58">
            <v>6.36</v>
          </cell>
          <cell r="G58">
            <v>3.75</v>
          </cell>
          <cell r="H58">
            <v>2.11</v>
          </cell>
          <cell r="I58">
            <v>1.28</v>
          </cell>
          <cell r="J58">
            <v>0.98</v>
          </cell>
          <cell r="K58" t="str">
            <v>Re-size</v>
          </cell>
          <cell r="L58" t="str">
            <v>Re-size</v>
          </cell>
          <cell r="M58" t="str">
            <v>Re-size</v>
          </cell>
          <cell r="N58" t="str">
            <v>Re-size</v>
          </cell>
          <cell r="O58" t="str">
            <v>Re-size</v>
          </cell>
          <cell r="P58" t="str">
            <v>Re-size</v>
          </cell>
          <cell r="Q58" t="str">
            <v>Re-size</v>
          </cell>
          <cell r="R58" t="str">
            <v>Re-size</v>
          </cell>
          <cell r="S58" t="str">
            <v>Re-size</v>
          </cell>
          <cell r="T58" t="str">
            <v>Re-size</v>
          </cell>
          <cell r="U58" t="str">
            <v>Re-size</v>
          </cell>
          <cell r="V58" t="str">
            <v>Re-size</v>
          </cell>
          <cell r="X58" t="str">
            <v>Re-size</v>
          </cell>
          <cell r="Y58">
            <v>29</v>
          </cell>
          <cell r="Z58">
            <v>6.9</v>
          </cell>
          <cell r="AA58">
            <v>2.2999999999999998</v>
          </cell>
          <cell r="AB58">
            <v>0.95</v>
          </cell>
          <cell r="AC58">
            <v>0.3</v>
          </cell>
          <cell r="AD58" t="str">
            <v>Re-size</v>
          </cell>
          <cell r="AE58" t="str">
            <v>Re-size</v>
          </cell>
        </row>
        <row r="59">
          <cell r="B59">
            <v>0.5</v>
          </cell>
          <cell r="C59" t="str">
            <v>Re-size</v>
          </cell>
          <cell r="D59">
            <v>64.680000000000007</v>
          </cell>
          <cell r="E59">
            <v>21.33</v>
          </cell>
          <cell r="F59">
            <v>6.58</v>
          </cell>
          <cell r="G59">
            <v>3.89</v>
          </cell>
          <cell r="H59">
            <v>2.19</v>
          </cell>
          <cell r="I59">
            <v>1.32</v>
          </cell>
          <cell r="J59">
            <v>1.01</v>
          </cell>
          <cell r="K59">
            <v>0.74</v>
          </cell>
          <cell r="L59" t="str">
            <v>Re-size</v>
          </cell>
          <cell r="M59" t="str">
            <v>Re-size</v>
          </cell>
          <cell r="N59" t="str">
            <v>Re-size</v>
          </cell>
          <cell r="O59" t="str">
            <v>Re-size</v>
          </cell>
          <cell r="P59" t="str">
            <v>Re-size</v>
          </cell>
          <cell r="Q59" t="str">
            <v>Re-size</v>
          </cell>
          <cell r="R59" t="str">
            <v>Re-size</v>
          </cell>
          <cell r="S59" t="str">
            <v>Re-size</v>
          </cell>
          <cell r="T59" t="str">
            <v>Re-size</v>
          </cell>
          <cell r="U59" t="str">
            <v>Re-size</v>
          </cell>
          <cell r="V59" t="str">
            <v>Re-size</v>
          </cell>
          <cell r="X59" t="str">
            <v>Re-size</v>
          </cell>
          <cell r="Y59">
            <v>30</v>
          </cell>
          <cell r="Z59">
            <v>7.1</v>
          </cell>
          <cell r="AA59">
            <v>2.4</v>
          </cell>
          <cell r="AB59">
            <v>1</v>
          </cell>
          <cell r="AC59">
            <v>0.3</v>
          </cell>
          <cell r="AD59" t="str">
            <v>Re-size</v>
          </cell>
          <cell r="AE59" t="str">
            <v>Re-size</v>
          </cell>
        </row>
        <row r="60">
          <cell r="B60">
            <v>0.51</v>
          </cell>
          <cell r="C60" t="str">
            <v>Re-size</v>
          </cell>
          <cell r="D60">
            <v>66.72</v>
          </cell>
          <cell r="E60">
            <v>22.110000000000003</v>
          </cell>
          <cell r="F60">
            <v>6.82</v>
          </cell>
          <cell r="G60">
            <v>4.0299999999999994</v>
          </cell>
          <cell r="H60">
            <v>2.27</v>
          </cell>
          <cell r="I60">
            <v>1.37</v>
          </cell>
          <cell r="J60">
            <v>1.05</v>
          </cell>
          <cell r="K60">
            <v>0.77</v>
          </cell>
          <cell r="L60" t="str">
            <v>Re-size</v>
          </cell>
          <cell r="M60" t="str">
            <v>Re-size</v>
          </cell>
          <cell r="N60" t="str">
            <v>Re-size</v>
          </cell>
          <cell r="O60" t="str">
            <v>Re-size</v>
          </cell>
          <cell r="P60" t="str">
            <v>Re-size</v>
          </cell>
          <cell r="Q60" t="str">
            <v>Re-size</v>
          </cell>
          <cell r="R60" t="str">
            <v>Re-size</v>
          </cell>
          <cell r="S60" t="str">
            <v>Re-size</v>
          </cell>
          <cell r="T60" t="str">
            <v>Re-size</v>
          </cell>
          <cell r="U60" t="str">
            <v>Re-size</v>
          </cell>
          <cell r="V60" t="str">
            <v>Re-size</v>
          </cell>
          <cell r="X60" t="str">
            <v>Re-size</v>
          </cell>
          <cell r="Y60">
            <v>31.2</v>
          </cell>
          <cell r="Z60">
            <v>7.45</v>
          </cell>
          <cell r="AA60">
            <v>2.4500000000000002</v>
          </cell>
          <cell r="AB60">
            <v>1.05</v>
          </cell>
          <cell r="AC60">
            <v>0.35</v>
          </cell>
          <cell r="AD60" t="str">
            <v>Re-size</v>
          </cell>
          <cell r="AE60" t="str">
            <v>Re-size</v>
          </cell>
        </row>
        <row r="61">
          <cell r="B61">
            <v>0.52</v>
          </cell>
          <cell r="C61" t="str">
            <v>Re-size</v>
          </cell>
          <cell r="D61">
            <v>68.75</v>
          </cell>
          <cell r="E61">
            <v>22.88</v>
          </cell>
          <cell r="F61">
            <v>7.06</v>
          </cell>
          <cell r="G61">
            <v>4.16</v>
          </cell>
          <cell r="H61">
            <v>2.35</v>
          </cell>
          <cell r="I61">
            <v>1.41</v>
          </cell>
          <cell r="J61">
            <v>1.0900000000000001</v>
          </cell>
          <cell r="K61">
            <v>0.8</v>
          </cell>
          <cell r="L61" t="str">
            <v>Re-size</v>
          </cell>
          <cell r="M61" t="str">
            <v>Re-size</v>
          </cell>
          <cell r="N61" t="str">
            <v>Re-size</v>
          </cell>
          <cell r="O61" t="str">
            <v>Re-size</v>
          </cell>
          <cell r="P61" t="str">
            <v>Re-size</v>
          </cell>
          <cell r="Q61" t="str">
            <v>Re-size</v>
          </cell>
          <cell r="R61" t="str">
            <v>Re-size</v>
          </cell>
          <cell r="S61" t="str">
            <v>Re-size</v>
          </cell>
          <cell r="T61" t="str">
            <v>Re-size</v>
          </cell>
          <cell r="U61" t="str">
            <v>Re-size</v>
          </cell>
          <cell r="V61" t="str">
            <v>Re-size</v>
          </cell>
          <cell r="X61" t="str">
            <v>Re-size</v>
          </cell>
          <cell r="Y61">
            <v>32.4</v>
          </cell>
          <cell r="Z61">
            <v>7.8</v>
          </cell>
          <cell r="AA61">
            <v>2.5</v>
          </cell>
          <cell r="AB61">
            <v>1.1000000000000001</v>
          </cell>
          <cell r="AC61">
            <v>0.4</v>
          </cell>
          <cell r="AD61" t="str">
            <v>Re-size</v>
          </cell>
          <cell r="AE61" t="str">
            <v>Re-size</v>
          </cell>
        </row>
        <row r="62">
          <cell r="B62">
            <v>0.53</v>
          </cell>
          <cell r="C62" t="str">
            <v>Re-size</v>
          </cell>
          <cell r="D62">
            <v>70.790000000000006</v>
          </cell>
          <cell r="E62">
            <v>23.73</v>
          </cell>
          <cell r="F62">
            <v>7.31</v>
          </cell>
          <cell r="G62">
            <v>4.3099999999999996</v>
          </cell>
          <cell r="H62">
            <v>2.4300000000000002</v>
          </cell>
          <cell r="I62">
            <v>1.46</v>
          </cell>
          <cell r="J62">
            <v>1.1300000000000001</v>
          </cell>
          <cell r="K62">
            <v>0.83</v>
          </cell>
          <cell r="L62" t="str">
            <v>Re-size</v>
          </cell>
          <cell r="M62" t="str">
            <v>Re-size</v>
          </cell>
          <cell r="N62" t="str">
            <v>Re-size</v>
          </cell>
          <cell r="O62" t="str">
            <v>Re-size</v>
          </cell>
          <cell r="P62" t="str">
            <v>Re-size</v>
          </cell>
          <cell r="Q62" t="str">
            <v>Re-size</v>
          </cell>
          <cell r="R62" t="str">
            <v>Re-size</v>
          </cell>
          <cell r="S62" t="str">
            <v>Re-size</v>
          </cell>
          <cell r="T62" t="str">
            <v>Re-size</v>
          </cell>
          <cell r="U62" t="str">
            <v>Re-size</v>
          </cell>
          <cell r="V62" t="str">
            <v>Re-size</v>
          </cell>
          <cell r="X62" t="str">
            <v>Re-size</v>
          </cell>
          <cell r="Y62">
            <v>33.6</v>
          </cell>
          <cell r="Z62">
            <v>8.1</v>
          </cell>
          <cell r="AA62">
            <v>2.6</v>
          </cell>
          <cell r="AB62">
            <v>1.1499999999999999</v>
          </cell>
          <cell r="AC62">
            <v>0.4</v>
          </cell>
          <cell r="AD62" t="str">
            <v>Re-size</v>
          </cell>
          <cell r="AE62" t="str">
            <v>Re-size</v>
          </cell>
        </row>
        <row r="63">
          <cell r="B63">
            <v>0.54</v>
          </cell>
          <cell r="C63" t="str">
            <v>Re-size</v>
          </cell>
          <cell r="D63">
            <v>72.819999999999993</v>
          </cell>
          <cell r="E63">
            <v>24.58</v>
          </cell>
          <cell r="F63">
            <v>7.56</v>
          </cell>
          <cell r="G63">
            <v>4.45</v>
          </cell>
          <cell r="H63">
            <v>2.5099999999999998</v>
          </cell>
          <cell r="I63">
            <v>1.51</v>
          </cell>
          <cell r="J63">
            <v>1.1599999999999999</v>
          </cell>
          <cell r="K63">
            <v>0.85</v>
          </cell>
          <cell r="L63" t="str">
            <v>Re-size</v>
          </cell>
          <cell r="M63" t="str">
            <v>Re-size</v>
          </cell>
          <cell r="N63" t="str">
            <v>Re-size</v>
          </cell>
          <cell r="O63" t="str">
            <v>Re-size</v>
          </cell>
          <cell r="P63" t="str">
            <v>Re-size</v>
          </cell>
          <cell r="Q63" t="str">
            <v>Re-size</v>
          </cell>
          <cell r="R63" t="str">
            <v>Re-size</v>
          </cell>
          <cell r="S63" t="str">
            <v>Re-size</v>
          </cell>
          <cell r="T63" t="str">
            <v>Re-size</v>
          </cell>
          <cell r="U63" t="str">
            <v>Re-size</v>
          </cell>
          <cell r="V63" t="str">
            <v>Re-size</v>
          </cell>
          <cell r="X63" t="str">
            <v>Re-size</v>
          </cell>
          <cell r="Y63">
            <v>34.799999999999997</v>
          </cell>
          <cell r="Z63">
            <v>8.4</v>
          </cell>
          <cell r="AA63">
            <v>2.7</v>
          </cell>
          <cell r="AB63">
            <v>1.2</v>
          </cell>
          <cell r="AC63">
            <v>0.4</v>
          </cell>
          <cell r="AD63" t="str">
            <v>Re-size</v>
          </cell>
          <cell r="AE63" t="str">
            <v>Re-size</v>
          </cell>
        </row>
        <row r="64">
          <cell r="B64">
            <v>0.55000000000000004</v>
          </cell>
          <cell r="C64" t="str">
            <v>Re-size</v>
          </cell>
          <cell r="D64">
            <v>74.86</v>
          </cell>
          <cell r="E64">
            <v>25.4</v>
          </cell>
          <cell r="F64">
            <v>7.81</v>
          </cell>
          <cell r="G64">
            <v>4.5999999999999996</v>
          </cell>
          <cell r="H64">
            <v>2.5999999999999996</v>
          </cell>
          <cell r="I64">
            <v>1.56</v>
          </cell>
          <cell r="J64">
            <v>1.2</v>
          </cell>
          <cell r="K64">
            <v>0.89</v>
          </cell>
          <cell r="L64" t="str">
            <v>Re-size</v>
          </cell>
          <cell r="M64" t="str">
            <v>Re-size</v>
          </cell>
          <cell r="N64" t="str">
            <v>Re-size</v>
          </cell>
          <cell r="O64" t="str">
            <v>Re-size</v>
          </cell>
          <cell r="P64" t="str">
            <v>Re-size</v>
          </cell>
          <cell r="Q64" t="str">
            <v>Re-size</v>
          </cell>
          <cell r="R64" t="str">
            <v>Re-size</v>
          </cell>
          <cell r="S64" t="str">
            <v>Re-size</v>
          </cell>
          <cell r="T64" t="str">
            <v>Re-size</v>
          </cell>
          <cell r="U64" t="str">
            <v>Re-size</v>
          </cell>
          <cell r="V64" t="str">
            <v>Re-size</v>
          </cell>
          <cell r="X64" t="str">
            <v>Re-size</v>
          </cell>
          <cell r="Y64">
            <v>36</v>
          </cell>
          <cell r="Z64">
            <v>8.6999999999999993</v>
          </cell>
          <cell r="AA64">
            <v>2.8</v>
          </cell>
          <cell r="AB64">
            <v>1.2</v>
          </cell>
          <cell r="AC64">
            <v>0.4</v>
          </cell>
          <cell r="AD64" t="str">
            <v>Re-size</v>
          </cell>
          <cell r="AE64" t="str">
            <v>Re-size</v>
          </cell>
        </row>
        <row r="65">
          <cell r="B65">
            <v>0.56000000000000005</v>
          </cell>
          <cell r="C65" t="str">
            <v>Re-size</v>
          </cell>
          <cell r="D65">
            <v>76.89</v>
          </cell>
          <cell r="E65">
            <v>26.22</v>
          </cell>
          <cell r="F65">
            <v>8.06</v>
          </cell>
          <cell r="G65">
            <v>4.75</v>
          </cell>
          <cell r="H65">
            <v>2.68</v>
          </cell>
          <cell r="I65">
            <v>1.61</v>
          </cell>
          <cell r="J65">
            <v>1.24</v>
          </cell>
          <cell r="K65">
            <v>0.92</v>
          </cell>
          <cell r="L65" t="str">
            <v>Re-size</v>
          </cell>
          <cell r="M65" t="str">
            <v>Re-size</v>
          </cell>
          <cell r="N65" t="str">
            <v>Re-size</v>
          </cell>
          <cell r="O65" t="str">
            <v>Re-size</v>
          </cell>
          <cell r="P65" t="str">
            <v>Re-size</v>
          </cell>
          <cell r="Q65" t="str">
            <v>Re-size</v>
          </cell>
          <cell r="R65" t="str">
            <v>Re-size</v>
          </cell>
          <cell r="S65" t="str">
            <v>Re-size</v>
          </cell>
          <cell r="T65" t="str">
            <v>Re-size</v>
          </cell>
          <cell r="U65" t="str">
            <v>Re-size</v>
          </cell>
          <cell r="V65" t="str">
            <v>Re-size</v>
          </cell>
          <cell r="X65" t="str">
            <v>Re-size</v>
          </cell>
          <cell r="Y65">
            <v>37.200000000000003</v>
          </cell>
          <cell r="Z65">
            <v>9</v>
          </cell>
          <cell r="AA65">
            <v>2.9</v>
          </cell>
          <cell r="AB65">
            <v>1.2</v>
          </cell>
          <cell r="AC65">
            <v>0.4</v>
          </cell>
          <cell r="AD65" t="str">
            <v>Re-size</v>
          </cell>
          <cell r="AE65" t="str">
            <v>Re-size</v>
          </cell>
        </row>
        <row r="66">
          <cell r="B66">
            <v>0.56999999999999995</v>
          </cell>
          <cell r="C66" t="str">
            <v>Re-size</v>
          </cell>
          <cell r="D66">
            <v>78.930000000000007</v>
          </cell>
          <cell r="E66">
            <v>27.060000000000002</v>
          </cell>
          <cell r="F66">
            <v>8.32</v>
          </cell>
          <cell r="G66">
            <v>4.9000000000000004</v>
          </cell>
          <cell r="H66">
            <v>2.7699999999999996</v>
          </cell>
          <cell r="I66">
            <v>1.66</v>
          </cell>
          <cell r="J66">
            <v>1.28</v>
          </cell>
          <cell r="K66">
            <v>0.94</v>
          </cell>
          <cell r="L66" t="str">
            <v>Re-size</v>
          </cell>
          <cell r="M66" t="str">
            <v>Re-size</v>
          </cell>
          <cell r="N66" t="str">
            <v>Re-size</v>
          </cell>
          <cell r="O66" t="str">
            <v>Re-size</v>
          </cell>
          <cell r="P66" t="str">
            <v>Re-size</v>
          </cell>
          <cell r="Q66" t="str">
            <v>Re-size</v>
          </cell>
          <cell r="R66" t="str">
            <v>Re-size</v>
          </cell>
          <cell r="S66" t="str">
            <v>Re-size</v>
          </cell>
          <cell r="T66" t="str">
            <v>Re-size</v>
          </cell>
          <cell r="U66" t="str">
            <v>Re-size</v>
          </cell>
          <cell r="V66" t="str">
            <v>Re-size</v>
          </cell>
          <cell r="X66" t="str">
            <v>Re-size</v>
          </cell>
          <cell r="Y66">
            <v>38.4</v>
          </cell>
          <cell r="Z66">
            <v>9.3000000000000007</v>
          </cell>
          <cell r="AA66">
            <v>3</v>
          </cell>
          <cell r="AB66">
            <v>1.25</v>
          </cell>
          <cell r="AC66">
            <v>0.4</v>
          </cell>
          <cell r="AD66" t="str">
            <v>Re-size</v>
          </cell>
          <cell r="AE66" t="str">
            <v>Re-size</v>
          </cell>
        </row>
        <row r="67">
          <cell r="B67">
            <v>0.57999999999999996</v>
          </cell>
          <cell r="C67" t="str">
            <v>Re-size</v>
          </cell>
          <cell r="D67">
            <v>80.959999999999994</v>
          </cell>
          <cell r="E67">
            <v>27.89</v>
          </cell>
          <cell r="F67">
            <v>8.58</v>
          </cell>
          <cell r="G67">
            <v>5.05</v>
          </cell>
          <cell r="H67">
            <v>2.85</v>
          </cell>
          <cell r="I67">
            <v>1.71</v>
          </cell>
          <cell r="J67">
            <v>1.32</v>
          </cell>
          <cell r="K67">
            <v>0.96</v>
          </cell>
          <cell r="L67" t="str">
            <v>Re-size</v>
          </cell>
          <cell r="M67" t="str">
            <v>Re-size</v>
          </cell>
          <cell r="N67" t="str">
            <v>Re-size</v>
          </cell>
          <cell r="O67" t="str">
            <v>Re-size</v>
          </cell>
          <cell r="P67" t="str">
            <v>Re-size</v>
          </cell>
          <cell r="Q67" t="str">
            <v>Re-size</v>
          </cell>
          <cell r="R67" t="str">
            <v>Re-size</v>
          </cell>
          <cell r="S67" t="str">
            <v>Re-size</v>
          </cell>
          <cell r="T67" t="str">
            <v>Re-size</v>
          </cell>
          <cell r="U67" t="str">
            <v>Re-size</v>
          </cell>
          <cell r="V67" t="str">
            <v>Re-size</v>
          </cell>
          <cell r="X67" t="str">
            <v>Re-size</v>
          </cell>
          <cell r="Y67">
            <v>39.6</v>
          </cell>
          <cell r="Z67">
            <v>9.6</v>
          </cell>
          <cell r="AA67">
            <v>3.1</v>
          </cell>
          <cell r="AB67">
            <v>1.3</v>
          </cell>
          <cell r="AC67">
            <v>0.4</v>
          </cell>
          <cell r="AD67" t="str">
            <v>Re-size</v>
          </cell>
          <cell r="AE67" t="str">
            <v>Re-size</v>
          </cell>
        </row>
        <row r="68">
          <cell r="B68">
            <v>0.59</v>
          </cell>
          <cell r="C68" t="str">
            <v>Re-size</v>
          </cell>
          <cell r="D68">
            <v>83</v>
          </cell>
          <cell r="E68">
            <v>28.81</v>
          </cell>
          <cell r="F68">
            <v>8.8699999999999992</v>
          </cell>
          <cell r="G68">
            <v>5.21</v>
          </cell>
          <cell r="H68">
            <v>2.94</v>
          </cell>
          <cell r="I68">
            <v>1.77</v>
          </cell>
          <cell r="J68">
            <v>1.36</v>
          </cell>
          <cell r="K68">
            <v>0.99</v>
          </cell>
          <cell r="L68" t="str">
            <v>Re-size</v>
          </cell>
          <cell r="M68" t="str">
            <v>Re-size</v>
          </cell>
          <cell r="N68" t="str">
            <v>Re-size</v>
          </cell>
          <cell r="O68" t="str">
            <v>Re-size</v>
          </cell>
          <cell r="P68" t="str">
            <v>Re-size</v>
          </cell>
          <cell r="Q68" t="str">
            <v>Re-size</v>
          </cell>
          <cell r="R68" t="str">
            <v>Re-size</v>
          </cell>
          <cell r="S68" t="str">
            <v>Re-size</v>
          </cell>
          <cell r="T68" t="str">
            <v>Re-size</v>
          </cell>
          <cell r="U68" t="str">
            <v>Re-size</v>
          </cell>
          <cell r="V68" t="str">
            <v>Re-size</v>
          </cell>
          <cell r="X68" t="str">
            <v>Re-size</v>
          </cell>
          <cell r="Y68">
            <v>40.799999999999997</v>
          </cell>
          <cell r="Z68">
            <v>9.9</v>
          </cell>
          <cell r="AA68">
            <v>3.2</v>
          </cell>
          <cell r="AB68">
            <v>1.35</v>
          </cell>
          <cell r="AC68">
            <v>0.45</v>
          </cell>
          <cell r="AD68" t="str">
            <v>Re-size</v>
          </cell>
          <cell r="AE68" t="str">
            <v>Re-size</v>
          </cell>
        </row>
        <row r="69">
          <cell r="B69">
            <v>0.6</v>
          </cell>
          <cell r="C69" t="str">
            <v>Re-size</v>
          </cell>
          <cell r="D69">
            <v>85.03</v>
          </cell>
          <cell r="E69">
            <v>29.73</v>
          </cell>
          <cell r="F69">
            <v>9.15</v>
          </cell>
          <cell r="G69">
            <v>5.36</v>
          </cell>
          <cell r="H69">
            <v>3.03</v>
          </cell>
          <cell r="I69">
            <v>1.82</v>
          </cell>
          <cell r="J69">
            <v>1.4</v>
          </cell>
          <cell r="K69">
            <v>1.02</v>
          </cell>
          <cell r="L69">
            <v>0.62</v>
          </cell>
          <cell r="M69" t="str">
            <v>Re-size</v>
          </cell>
          <cell r="N69" t="str">
            <v>Re-size</v>
          </cell>
          <cell r="O69" t="str">
            <v>Re-size</v>
          </cell>
          <cell r="P69" t="str">
            <v>Re-size</v>
          </cell>
          <cell r="Q69" t="str">
            <v>Re-size</v>
          </cell>
          <cell r="R69" t="str">
            <v>Re-size</v>
          </cell>
          <cell r="S69" t="str">
            <v>Re-size</v>
          </cell>
          <cell r="T69" t="str">
            <v>Re-size</v>
          </cell>
          <cell r="U69" t="str">
            <v>Re-size</v>
          </cell>
          <cell r="V69" t="str">
            <v>Re-size</v>
          </cell>
          <cell r="X69" t="str">
            <v>Re-size</v>
          </cell>
          <cell r="Y69">
            <v>42</v>
          </cell>
          <cell r="Z69">
            <v>10.199999999999999</v>
          </cell>
          <cell r="AA69">
            <v>3.3</v>
          </cell>
          <cell r="AB69">
            <v>1.4</v>
          </cell>
          <cell r="AC69">
            <v>0.5</v>
          </cell>
          <cell r="AD69" t="str">
            <v>Re-size</v>
          </cell>
          <cell r="AE69" t="str">
            <v>Re-size</v>
          </cell>
        </row>
        <row r="70">
          <cell r="B70">
            <v>0.61</v>
          </cell>
          <cell r="C70" t="str">
            <v>Re-size</v>
          </cell>
          <cell r="D70">
            <v>87.070000000000007</v>
          </cell>
          <cell r="E70">
            <v>30.610000000000003</v>
          </cell>
          <cell r="F70">
            <v>9.42</v>
          </cell>
          <cell r="G70">
            <v>5.54</v>
          </cell>
          <cell r="H70">
            <v>3.12</v>
          </cell>
          <cell r="I70">
            <v>1.8800000000000001</v>
          </cell>
          <cell r="J70">
            <v>1.44</v>
          </cell>
          <cell r="K70">
            <v>1.05</v>
          </cell>
          <cell r="L70">
            <v>0.64</v>
          </cell>
          <cell r="M70" t="str">
            <v>Re-size</v>
          </cell>
          <cell r="N70" t="str">
            <v>Re-size</v>
          </cell>
          <cell r="O70" t="str">
            <v>Re-size</v>
          </cell>
          <cell r="P70" t="str">
            <v>Re-size</v>
          </cell>
          <cell r="Q70" t="str">
            <v>Re-size</v>
          </cell>
          <cell r="R70" t="str">
            <v>Re-size</v>
          </cell>
          <cell r="S70" t="str">
            <v>Re-size</v>
          </cell>
          <cell r="T70" t="str">
            <v>Re-size</v>
          </cell>
          <cell r="U70" t="str">
            <v>Re-size</v>
          </cell>
          <cell r="V70" t="str">
            <v>Re-size</v>
          </cell>
          <cell r="X70" t="str">
            <v>Re-size</v>
          </cell>
          <cell r="Y70">
            <v>43.2</v>
          </cell>
          <cell r="Z70">
            <v>10.5</v>
          </cell>
          <cell r="AA70">
            <v>3.4</v>
          </cell>
          <cell r="AB70">
            <v>1.45</v>
          </cell>
          <cell r="AC70">
            <v>0.5</v>
          </cell>
          <cell r="AD70" t="str">
            <v>Re-size</v>
          </cell>
          <cell r="AE70" t="str">
            <v>Re-size</v>
          </cell>
        </row>
        <row r="71">
          <cell r="B71">
            <v>0.62</v>
          </cell>
          <cell r="C71" t="str">
            <v>Re-size</v>
          </cell>
          <cell r="D71">
            <v>89.1</v>
          </cell>
          <cell r="E71">
            <v>31.48</v>
          </cell>
          <cell r="F71">
            <v>9.69</v>
          </cell>
          <cell r="G71">
            <v>5.71</v>
          </cell>
          <cell r="H71">
            <v>3.21</v>
          </cell>
          <cell r="I71">
            <v>1.93</v>
          </cell>
          <cell r="J71">
            <v>1.48</v>
          </cell>
          <cell r="K71">
            <v>1.08</v>
          </cell>
          <cell r="L71">
            <v>0.66</v>
          </cell>
          <cell r="M71" t="str">
            <v>Re-size</v>
          </cell>
          <cell r="N71" t="str">
            <v>Re-size</v>
          </cell>
          <cell r="O71" t="str">
            <v>Re-size</v>
          </cell>
          <cell r="P71" t="str">
            <v>Re-size</v>
          </cell>
          <cell r="Q71" t="str">
            <v>Re-size</v>
          </cell>
          <cell r="R71" t="str">
            <v>Re-size</v>
          </cell>
          <cell r="S71" t="str">
            <v>Re-size</v>
          </cell>
          <cell r="T71" t="str">
            <v>Re-size</v>
          </cell>
          <cell r="U71" t="str">
            <v>Re-size</v>
          </cell>
          <cell r="V71" t="str">
            <v>Re-size</v>
          </cell>
          <cell r="X71" t="str">
            <v>Re-size</v>
          </cell>
          <cell r="Y71">
            <v>44.4</v>
          </cell>
          <cell r="Z71">
            <v>10.8</v>
          </cell>
          <cell r="AA71">
            <v>3.5</v>
          </cell>
          <cell r="AB71">
            <v>1.5</v>
          </cell>
          <cell r="AC71">
            <v>0.5</v>
          </cell>
          <cell r="AD71" t="str">
            <v>Re-size</v>
          </cell>
          <cell r="AE71" t="str">
            <v>Re-size</v>
          </cell>
        </row>
        <row r="72">
          <cell r="B72">
            <v>0.63</v>
          </cell>
          <cell r="C72" t="str">
            <v>Re-size</v>
          </cell>
          <cell r="D72">
            <v>91.14</v>
          </cell>
          <cell r="E72">
            <v>32.44</v>
          </cell>
          <cell r="F72">
            <v>9.9700000000000006</v>
          </cell>
          <cell r="G72">
            <v>5.87</v>
          </cell>
          <cell r="H72">
            <v>3.3</v>
          </cell>
          <cell r="I72">
            <v>1.99</v>
          </cell>
          <cell r="J72">
            <v>1.53</v>
          </cell>
          <cell r="K72">
            <v>1.1100000000000001</v>
          </cell>
          <cell r="L72">
            <v>0.68</v>
          </cell>
          <cell r="M72" t="str">
            <v>Re-size</v>
          </cell>
          <cell r="N72" t="str">
            <v>Re-size</v>
          </cell>
          <cell r="O72" t="str">
            <v>Re-size</v>
          </cell>
          <cell r="P72" t="str">
            <v>Re-size</v>
          </cell>
          <cell r="Q72" t="str">
            <v>Re-size</v>
          </cell>
          <cell r="R72" t="str">
            <v>Re-size</v>
          </cell>
          <cell r="S72" t="str">
            <v>Re-size</v>
          </cell>
          <cell r="T72" t="str">
            <v>Re-size</v>
          </cell>
          <cell r="U72" t="str">
            <v>Re-size</v>
          </cell>
          <cell r="V72" t="str">
            <v>Re-size</v>
          </cell>
          <cell r="X72" t="str">
            <v>Re-size</v>
          </cell>
          <cell r="Y72">
            <v>45.6</v>
          </cell>
          <cell r="Z72">
            <v>11.1</v>
          </cell>
          <cell r="AA72">
            <v>3.6</v>
          </cell>
          <cell r="AB72">
            <v>1.55</v>
          </cell>
          <cell r="AC72">
            <v>0.5</v>
          </cell>
          <cell r="AD72" t="str">
            <v>Re-size</v>
          </cell>
          <cell r="AE72" t="str">
            <v>Re-size</v>
          </cell>
        </row>
        <row r="73">
          <cell r="B73">
            <v>0.64</v>
          </cell>
          <cell r="C73" t="str">
            <v>Re-size</v>
          </cell>
          <cell r="D73">
            <v>93.17</v>
          </cell>
          <cell r="E73">
            <v>33.4</v>
          </cell>
          <cell r="F73">
            <v>10.24</v>
          </cell>
          <cell r="G73">
            <v>6.03</v>
          </cell>
          <cell r="H73">
            <v>3.39</v>
          </cell>
          <cell r="I73">
            <v>2.04</v>
          </cell>
          <cell r="J73">
            <v>1.57</v>
          </cell>
          <cell r="K73">
            <v>1.1399999999999999</v>
          </cell>
          <cell r="L73">
            <v>0.7</v>
          </cell>
          <cell r="M73" t="str">
            <v>Re-size</v>
          </cell>
          <cell r="N73" t="str">
            <v>Re-size</v>
          </cell>
          <cell r="O73" t="str">
            <v>Re-size</v>
          </cell>
          <cell r="P73" t="str">
            <v>Re-size</v>
          </cell>
          <cell r="Q73" t="str">
            <v>Re-size</v>
          </cell>
          <cell r="R73" t="str">
            <v>Re-size</v>
          </cell>
          <cell r="S73" t="str">
            <v>Re-size</v>
          </cell>
          <cell r="T73" t="str">
            <v>Re-size</v>
          </cell>
          <cell r="U73" t="str">
            <v>Re-size</v>
          </cell>
          <cell r="V73" t="str">
            <v>Re-size</v>
          </cell>
          <cell r="X73" t="str">
            <v>Re-size</v>
          </cell>
          <cell r="Y73">
            <v>46.8</v>
          </cell>
          <cell r="Z73">
            <v>11.4</v>
          </cell>
          <cell r="AA73">
            <v>3.7</v>
          </cell>
          <cell r="AB73">
            <v>1.6</v>
          </cell>
          <cell r="AC73">
            <v>0.5</v>
          </cell>
          <cell r="AD73" t="str">
            <v>Re-size</v>
          </cell>
          <cell r="AE73" t="str">
            <v>Re-size</v>
          </cell>
        </row>
        <row r="74">
          <cell r="B74">
            <v>0.65</v>
          </cell>
          <cell r="C74" t="str">
            <v>Re-size</v>
          </cell>
          <cell r="D74">
            <v>95.210000000000008</v>
          </cell>
          <cell r="E74">
            <v>34.39</v>
          </cell>
          <cell r="F74">
            <v>10.549999999999999</v>
          </cell>
          <cell r="G74">
            <v>4.7</v>
          </cell>
          <cell r="H74">
            <v>3.49</v>
          </cell>
          <cell r="I74">
            <v>2.0999999999999996</v>
          </cell>
          <cell r="J74">
            <v>1.62</v>
          </cell>
          <cell r="K74">
            <v>1.18</v>
          </cell>
          <cell r="L74">
            <v>0.72</v>
          </cell>
          <cell r="M74" t="str">
            <v>Re-size</v>
          </cell>
          <cell r="N74" t="str">
            <v>Re-size</v>
          </cell>
          <cell r="O74" t="str">
            <v>Re-size</v>
          </cell>
          <cell r="P74" t="str">
            <v>Re-size</v>
          </cell>
          <cell r="Q74" t="str">
            <v>Re-size</v>
          </cell>
          <cell r="R74" t="str">
            <v>Re-size</v>
          </cell>
          <cell r="S74" t="str">
            <v>Re-size</v>
          </cell>
          <cell r="T74" t="str">
            <v>Re-size</v>
          </cell>
          <cell r="U74" t="str">
            <v>Re-size</v>
          </cell>
          <cell r="V74" t="str">
            <v>Re-size</v>
          </cell>
          <cell r="X74" t="str">
            <v>Re-size</v>
          </cell>
          <cell r="Y74">
            <v>48.3</v>
          </cell>
          <cell r="Z74">
            <v>11.75</v>
          </cell>
          <cell r="AA74">
            <v>3.8</v>
          </cell>
          <cell r="AB74">
            <v>1.65</v>
          </cell>
          <cell r="AC74">
            <v>0.5</v>
          </cell>
          <cell r="AD74" t="str">
            <v>Re-size</v>
          </cell>
          <cell r="AE74" t="str">
            <v>Re-size</v>
          </cell>
        </row>
        <row r="75">
          <cell r="B75">
            <v>0.66</v>
          </cell>
          <cell r="C75" t="str">
            <v>Re-size</v>
          </cell>
          <cell r="D75">
            <v>97.24</v>
          </cell>
          <cell r="E75">
            <v>35.369999999999997</v>
          </cell>
          <cell r="F75">
            <v>10.85</v>
          </cell>
          <cell r="G75">
            <v>3.36</v>
          </cell>
          <cell r="H75">
            <v>3.59</v>
          </cell>
          <cell r="I75">
            <v>2.15</v>
          </cell>
          <cell r="J75">
            <v>1.66</v>
          </cell>
          <cell r="K75">
            <v>1.21</v>
          </cell>
          <cell r="L75">
            <v>0.74</v>
          </cell>
          <cell r="M75" t="str">
            <v>Re-size</v>
          </cell>
          <cell r="N75" t="str">
            <v>Re-size</v>
          </cell>
          <cell r="O75" t="str">
            <v>Re-size</v>
          </cell>
          <cell r="P75" t="str">
            <v>Re-size</v>
          </cell>
          <cell r="Q75" t="str">
            <v>Re-size</v>
          </cell>
          <cell r="R75" t="str">
            <v>Re-size</v>
          </cell>
          <cell r="S75" t="str">
            <v>Re-size</v>
          </cell>
          <cell r="T75" t="str">
            <v>Re-size</v>
          </cell>
          <cell r="U75" t="str">
            <v>Re-size</v>
          </cell>
          <cell r="V75" t="str">
            <v>Re-size</v>
          </cell>
          <cell r="X75" t="str">
            <v>Re-size</v>
          </cell>
          <cell r="Y75">
            <v>49.8</v>
          </cell>
          <cell r="Z75">
            <v>12.1</v>
          </cell>
          <cell r="AA75">
            <v>3.9</v>
          </cell>
          <cell r="AB75">
            <v>1.7</v>
          </cell>
          <cell r="AC75">
            <v>0.5</v>
          </cell>
          <cell r="AD75" t="str">
            <v>Re-size</v>
          </cell>
          <cell r="AE75" t="str">
            <v>Re-size</v>
          </cell>
        </row>
        <row r="76">
          <cell r="B76">
            <v>0.67</v>
          </cell>
          <cell r="C76" t="str">
            <v>Re-size</v>
          </cell>
          <cell r="D76" t="str">
            <v>Re-size</v>
          </cell>
          <cell r="E76">
            <v>36.299999999999997</v>
          </cell>
          <cell r="F76">
            <v>11.14</v>
          </cell>
          <cell r="G76">
            <v>5.05</v>
          </cell>
          <cell r="H76">
            <v>3.69</v>
          </cell>
          <cell r="I76">
            <v>2.21</v>
          </cell>
          <cell r="J76">
            <v>1.7</v>
          </cell>
          <cell r="K76">
            <v>1.25</v>
          </cell>
          <cell r="L76">
            <v>0.77</v>
          </cell>
          <cell r="M76" t="str">
            <v>Re-size</v>
          </cell>
          <cell r="N76" t="str">
            <v>Re-size</v>
          </cell>
          <cell r="O76" t="str">
            <v>Re-size</v>
          </cell>
          <cell r="P76" t="str">
            <v>Re-size</v>
          </cell>
          <cell r="Q76" t="str">
            <v>Re-size</v>
          </cell>
          <cell r="R76" t="str">
            <v>Re-size</v>
          </cell>
          <cell r="S76" t="str">
            <v>Re-size</v>
          </cell>
          <cell r="T76" t="str">
            <v>Re-size</v>
          </cell>
          <cell r="U76" t="str">
            <v>Re-size</v>
          </cell>
          <cell r="V76" t="str">
            <v>Re-size</v>
          </cell>
          <cell r="X76" t="str">
            <v>Re-size</v>
          </cell>
          <cell r="Y76">
            <v>51.55</v>
          </cell>
          <cell r="Z76">
            <v>12.5</v>
          </cell>
          <cell r="AA76">
            <v>4.05</v>
          </cell>
          <cell r="AB76">
            <v>1.7</v>
          </cell>
          <cell r="AC76">
            <v>0.55000000000000004</v>
          </cell>
          <cell r="AD76" t="str">
            <v>Re-size</v>
          </cell>
          <cell r="AE76" t="str">
            <v>Re-size</v>
          </cell>
        </row>
        <row r="77">
          <cell r="B77">
            <v>0.68</v>
          </cell>
          <cell r="C77" t="str">
            <v>Re-size</v>
          </cell>
          <cell r="D77" t="str">
            <v>Re-size</v>
          </cell>
          <cell r="E77">
            <v>37.229999999999997</v>
          </cell>
          <cell r="F77">
            <v>11.42</v>
          </cell>
          <cell r="G77">
            <v>6.73</v>
          </cell>
          <cell r="H77">
            <v>3.78</v>
          </cell>
          <cell r="I77">
            <v>2.27</v>
          </cell>
          <cell r="J77">
            <v>1.74</v>
          </cell>
          <cell r="K77">
            <v>1.28</v>
          </cell>
          <cell r="L77">
            <v>0.79</v>
          </cell>
          <cell r="M77" t="str">
            <v>Re-size</v>
          </cell>
          <cell r="N77" t="str">
            <v>Re-size</v>
          </cell>
          <cell r="O77" t="str">
            <v>Re-size</v>
          </cell>
          <cell r="P77" t="str">
            <v>Re-size</v>
          </cell>
          <cell r="Q77" t="str">
            <v>Re-size</v>
          </cell>
          <cell r="R77" t="str">
            <v>Re-size</v>
          </cell>
          <cell r="S77" t="str">
            <v>Re-size</v>
          </cell>
          <cell r="T77" t="str">
            <v>Re-size</v>
          </cell>
          <cell r="U77" t="str">
            <v>Re-size</v>
          </cell>
          <cell r="V77" t="str">
            <v>Re-size</v>
          </cell>
          <cell r="X77" t="str">
            <v>Re-size</v>
          </cell>
          <cell r="Y77">
            <v>53.3</v>
          </cell>
          <cell r="Z77">
            <v>12.9</v>
          </cell>
          <cell r="AA77">
            <v>4.2</v>
          </cell>
          <cell r="AB77">
            <v>1.7</v>
          </cell>
          <cell r="AC77">
            <v>0.6</v>
          </cell>
          <cell r="AD77" t="str">
            <v>Re-size</v>
          </cell>
          <cell r="AE77" t="str">
            <v>Re-size</v>
          </cell>
        </row>
        <row r="78">
          <cell r="B78">
            <v>0.69</v>
          </cell>
          <cell r="C78" t="str">
            <v>Re-size</v>
          </cell>
          <cell r="D78" t="str">
            <v>Re-size</v>
          </cell>
          <cell r="E78">
            <v>38.26</v>
          </cell>
          <cell r="F78">
            <v>11.74</v>
          </cell>
          <cell r="G78">
            <v>6.9</v>
          </cell>
          <cell r="H78">
            <v>3.88</v>
          </cell>
          <cell r="I78">
            <v>2.33</v>
          </cell>
          <cell r="J78">
            <v>1.79</v>
          </cell>
          <cell r="K78">
            <v>1.31</v>
          </cell>
          <cell r="L78">
            <v>0.8</v>
          </cell>
          <cell r="M78" t="str">
            <v>Re-size</v>
          </cell>
          <cell r="N78" t="str">
            <v>Re-size</v>
          </cell>
          <cell r="O78" t="str">
            <v>Re-size</v>
          </cell>
          <cell r="P78" t="str">
            <v>Re-size</v>
          </cell>
          <cell r="Q78" t="str">
            <v>Re-size</v>
          </cell>
          <cell r="R78" t="str">
            <v>Re-size</v>
          </cell>
          <cell r="S78" t="str">
            <v>Re-size</v>
          </cell>
          <cell r="T78" t="str">
            <v>Re-size</v>
          </cell>
          <cell r="U78" t="str">
            <v>Re-size</v>
          </cell>
          <cell r="V78" t="str">
            <v>Re-size</v>
          </cell>
          <cell r="X78" t="str">
            <v>Re-size</v>
          </cell>
          <cell r="Y78">
            <v>54.15</v>
          </cell>
          <cell r="Z78">
            <v>13.1</v>
          </cell>
          <cell r="AA78">
            <v>4.3</v>
          </cell>
          <cell r="AB78">
            <v>1.7</v>
          </cell>
          <cell r="AC78">
            <v>0.6</v>
          </cell>
          <cell r="AD78" t="str">
            <v>Re-size</v>
          </cell>
          <cell r="AE78" t="str">
            <v>Re-size</v>
          </cell>
        </row>
        <row r="79">
          <cell r="B79">
            <v>0.7</v>
          </cell>
          <cell r="C79" t="str">
            <v>Re-size</v>
          </cell>
          <cell r="D79" t="str">
            <v>Re-size</v>
          </cell>
          <cell r="E79">
            <v>39.28</v>
          </cell>
          <cell r="F79">
            <v>12.05</v>
          </cell>
          <cell r="G79">
            <v>7.07</v>
          </cell>
          <cell r="H79">
            <v>3.98</v>
          </cell>
          <cell r="I79">
            <v>2.39</v>
          </cell>
          <cell r="J79">
            <v>1.83</v>
          </cell>
          <cell r="K79">
            <v>1.34</v>
          </cell>
          <cell r="L79">
            <v>0.81</v>
          </cell>
          <cell r="M79">
            <v>0.62</v>
          </cell>
          <cell r="N79">
            <v>0.45</v>
          </cell>
          <cell r="O79" t="str">
            <v>Re-size</v>
          </cell>
          <cell r="P79" t="str">
            <v>Re-size</v>
          </cell>
          <cell r="Q79" t="str">
            <v>Re-size</v>
          </cell>
          <cell r="R79" t="str">
            <v>Re-size</v>
          </cell>
          <cell r="S79" t="str">
            <v>Re-size</v>
          </cell>
          <cell r="T79" t="str">
            <v>Re-size</v>
          </cell>
          <cell r="U79" t="str">
            <v>Re-size</v>
          </cell>
          <cell r="V79" t="str">
            <v>Re-size</v>
          </cell>
          <cell r="X79" t="str">
            <v>Re-size</v>
          </cell>
          <cell r="Y79">
            <v>55</v>
          </cell>
          <cell r="Z79">
            <v>13.3</v>
          </cell>
          <cell r="AA79">
            <v>4.4000000000000004</v>
          </cell>
          <cell r="AB79">
            <v>1.7</v>
          </cell>
          <cell r="AC79">
            <v>0.6</v>
          </cell>
          <cell r="AD79" t="str">
            <v>Re-size</v>
          </cell>
          <cell r="AE79" t="str">
            <v>Re-size</v>
          </cell>
        </row>
        <row r="80">
          <cell r="B80">
            <v>0.71</v>
          </cell>
          <cell r="C80" t="str">
            <v>Re-size</v>
          </cell>
          <cell r="D80" t="str">
            <v>Re-size</v>
          </cell>
          <cell r="E80">
            <v>40.33</v>
          </cell>
          <cell r="F80">
            <v>12.379999999999999</v>
          </cell>
          <cell r="G80">
            <v>7.26</v>
          </cell>
          <cell r="H80">
            <v>4.09</v>
          </cell>
          <cell r="I80">
            <v>2.4500000000000002</v>
          </cell>
          <cell r="J80">
            <v>1.88</v>
          </cell>
          <cell r="K80">
            <v>1.3800000000000001</v>
          </cell>
          <cell r="L80">
            <v>0.83</v>
          </cell>
          <cell r="M80">
            <v>0.64</v>
          </cell>
          <cell r="N80">
            <v>0.47000000000000003</v>
          </cell>
          <cell r="O80" t="str">
            <v>Re-size</v>
          </cell>
          <cell r="P80" t="str">
            <v>Re-size</v>
          </cell>
          <cell r="Q80" t="str">
            <v>Re-size</v>
          </cell>
          <cell r="R80" t="str">
            <v>Re-size</v>
          </cell>
          <cell r="S80" t="str">
            <v>Re-size</v>
          </cell>
          <cell r="T80" t="str">
            <v>Re-size</v>
          </cell>
          <cell r="U80" t="str">
            <v>Re-size</v>
          </cell>
          <cell r="V80" t="str">
            <v>Re-size</v>
          </cell>
          <cell r="X80" t="str">
            <v>Re-size</v>
          </cell>
          <cell r="Y80">
            <v>56.6</v>
          </cell>
          <cell r="Z80">
            <v>13.7</v>
          </cell>
          <cell r="AA80">
            <v>4.5</v>
          </cell>
          <cell r="AB80">
            <v>1.8</v>
          </cell>
          <cell r="AC80">
            <v>0.6</v>
          </cell>
          <cell r="AD80" t="str">
            <v>Re-size</v>
          </cell>
          <cell r="AE80" t="str">
            <v>Re-size</v>
          </cell>
        </row>
        <row r="81">
          <cell r="B81">
            <v>0.72</v>
          </cell>
          <cell r="C81" t="str">
            <v>Re-size</v>
          </cell>
          <cell r="D81" t="str">
            <v>Re-size</v>
          </cell>
          <cell r="E81">
            <v>41.38</v>
          </cell>
          <cell r="F81">
            <v>12.7</v>
          </cell>
          <cell r="G81">
            <v>7.45</v>
          </cell>
          <cell r="H81">
            <v>4.1900000000000004</v>
          </cell>
          <cell r="I81">
            <v>2.5099999999999998</v>
          </cell>
          <cell r="J81">
            <v>1.93</v>
          </cell>
          <cell r="K81">
            <v>1.41</v>
          </cell>
          <cell r="L81">
            <v>0.85</v>
          </cell>
          <cell r="M81">
            <v>0.65</v>
          </cell>
          <cell r="N81">
            <v>0.48</v>
          </cell>
          <cell r="O81" t="str">
            <v>Re-size</v>
          </cell>
          <cell r="P81" t="str">
            <v>Re-size</v>
          </cell>
          <cell r="Q81" t="str">
            <v>Re-size</v>
          </cell>
          <cell r="R81" t="str">
            <v>Re-size</v>
          </cell>
          <cell r="S81" t="str">
            <v>Re-size</v>
          </cell>
          <cell r="T81" t="str">
            <v>Re-size</v>
          </cell>
          <cell r="U81" t="str">
            <v>Re-size</v>
          </cell>
          <cell r="V81" t="str">
            <v>Re-size</v>
          </cell>
          <cell r="X81" t="str">
            <v>Re-size</v>
          </cell>
          <cell r="Y81">
            <v>58.2</v>
          </cell>
          <cell r="Z81">
            <v>14.1</v>
          </cell>
          <cell r="AA81">
            <v>4.5999999999999996</v>
          </cell>
          <cell r="AB81">
            <v>1.9</v>
          </cell>
          <cell r="AC81">
            <v>0.6</v>
          </cell>
          <cell r="AD81" t="str">
            <v>Re-size</v>
          </cell>
          <cell r="AE81" t="str">
            <v>Re-size</v>
          </cell>
        </row>
        <row r="82">
          <cell r="B82">
            <v>0.73</v>
          </cell>
          <cell r="C82" t="str">
            <v>Re-size</v>
          </cell>
          <cell r="D82" t="str">
            <v>Re-size</v>
          </cell>
          <cell r="E82">
            <v>42.46</v>
          </cell>
          <cell r="F82">
            <v>13</v>
          </cell>
          <cell r="G82">
            <v>7.63</v>
          </cell>
          <cell r="H82">
            <v>4.3</v>
          </cell>
          <cell r="I82">
            <v>2.57</v>
          </cell>
          <cell r="J82">
            <v>1.98</v>
          </cell>
          <cell r="K82">
            <v>1.45</v>
          </cell>
          <cell r="L82">
            <v>0.88</v>
          </cell>
          <cell r="M82">
            <v>0.67</v>
          </cell>
          <cell r="N82">
            <v>0.49</v>
          </cell>
          <cell r="O82" t="str">
            <v>Re-size</v>
          </cell>
          <cell r="P82" t="str">
            <v>Re-size</v>
          </cell>
          <cell r="Q82" t="str">
            <v>Re-size</v>
          </cell>
          <cell r="R82" t="str">
            <v>Re-size</v>
          </cell>
          <cell r="S82" t="str">
            <v>Re-size</v>
          </cell>
          <cell r="T82" t="str">
            <v>Re-size</v>
          </cell>
          <cell r="U82" t="str">
            <v>Re-size</v>
          </cell>
          <cell r="V82" t="str">
            <v>Re-size</v>
          </cell>
          <cell r="X82" t="str">
            <v>Re-size</v>
          </cell>
          <cell r="Y82">
            <v>59.8</v>
          </cell>
          <cell r="Z82">
            <v>14.5</v>
          </cell>
          <cell r="AA82">
            <v>4.7</v>
          </cell>
          <cell r="AB82">
            <v>2</v>
          </cell>
          <cell r="AC82">
            <v>0.65</v>
          </cell>
          <cell r="AD82" t="str">
            <v>Re-size</v>
          </cell>
          <cell r="AE82" t="str">
            <v>Re-size</v>
          </cell>
        </row>
        <row r="83">
          <cell r="B83">
            <v>0.74</v>
          </cell>
          <cell r="C83" t="str">
            <v>Re-size</v>
          </cell>
          <cell r="D83" t="str">
            <v>Re-size</v>
          </cell>
          <cell r="E83">
            <v>43.53</v>
          </cell>
          <cell r="F83">
            <v>13.3</v>
          </cell>
          <cell r="G83">
            <v>7.81</v>
          </cell>
          <cell r="H83">
            <v>4.41</v>
          </cell>
          <cell r="I83">
            <v>2.63</v>
          </cell>
          <cell r="J83">
            <v>2.0299999999999998</v>
          </cell>
          <cell r="K83">
            <v>1.48</v>
          </cell>
          <cell r="L83">
            <v>0.9</v>
          </cell>
          <cell r="M83">
            <v>0.69</v>
          </cell>
          <cell r="N83">
            <v>0.5</v>
          </cell>
          <cell r="O83" t="str">
            <v>Re-size</v>
          </cell>
          <cell r="P83" t="str">
            <v>Re-size</v>
          </cell>
          <cell r="Q83" t="str">
            <v>Re-size</v>
          </cell>
          <cell r="R83" t="str">
            <v>Re-size</v>
          </cell>
          <cell r="S83" t="str">
            <v>Re-size</v>
          </cell>
          <cell r="T83" t="str">
            <v>Re-size</v>
          </cell>
          <cell r="U83" t="str">
            <v>Re-size</v>
          </cell>
          <cell r="V83" t="str">
            <v>Re-size</v>
          </cell>
          <cell r="X83" t="str">
            <v>Re-size</v>
          </cell>
          <cell r="Y83">
            <v>61.4</v>
          </cell>
          <cell r="Z83">
            <v>14.9</v>
          </cell>
          <cell r="AA83">
            <v>4.8</v>
          </cell>
          <cell r="AB83">
            <v>2.1</v>
          </cell>
          <cell r="AC83">
            <v>0.7</v>
          </cell>
          <cell r="AD83" t="str">
            <v>Re-size</v>
          </cell>
          <cell r="AE83" t="str">
            <v>Re-size</v>
          </cell>
        </row>
        <row r="84">
          <cell r="B84">
            <v>0.75</v>
          </cell>
          <cell r="C84" t="str">
            <v>Re-size</v>
          </cell>
          <cell r="D84" t="str">
            <v>Re-size</v>
          </cell>
          <cell r="E84">
            <v>44.62</v>
          </cell>
          <cell r="F84">
            <v>13.64</v>
          </cell>
          <cell r="G84">
            <v>8.01</v>
          </cell>
          <cell r="H84">
            <v>4.5199999999999996</v>
          </cell>
          <cell r="I84">
            <v>2.7</v>
          </cell>
          <cell r="J84">
            <v>2.08</v>
          </cell>
          <cell r="K84">
            <v>1.52</v>
          </cell>
          <cell r="L84">
            <v>0.92</v>
          </cell>
          <cell r="M84">
            <v>0.71</v>
          </cell>
          <cell r="N84">
            <v>0.51</v>
          </cell>
          <cell r="O84" t="str">
            <v>Re-size</v>
          </cell>
          <cell r="P84" t="str">
            <v>Re-size</v>
          </cell>
          <cell r="Q84" t="str">
            <v>Re-size</v>
          </cell>
          <cell r="R84" t="str">
            <v>Re-size</v>
          </cell>
          <cell r="S84" t="str">
            <v>Re-size</v>
          </cell>
          <cell r="T84" t="str">
            <v>Re-size</v>
          </cell>
          <cell r="U84" t="str">
            <v>Re-size</v>
          </cell>
          <cell r="V84" t="str">
            <v>Re-size</v>
          </cell>
          <cell r="X84" t="str">
            <v>Re-size</v>
          </cell>
          <cell r="Y84" t="str">
            <v>Re-size</v>
          </cell>
          <cell r="Z84">
            <v>15.3</v>
          </cell>
          <cell r="AA84">
            <v>4.9000000000000004</v>
          </cell>
          <cell r="AB84">
            <v>2.15</v>
          </cell>
          <cell r="AC84">
            <v>0.7</v>
          </cell>
          <cell r="AD84" t="str">
            <v>Re-size</v>
          </cell>
          <cell r="AE84" t="str">
            <v>Re-size</v>
          </cell>
        </row>
        <row r="85">
          <cell r="B85">
            <v>0.76</v>
          </cell>
          <cell r="C85" t="str">
            <v>Re-size</v>
          </cell>
          <cell r="D85" t="str">
            <v>Re-size</v>
          </cell>
          <cell r="E85">
            <v>45.71</v>
          </cell>
          <cell r="F85">
            <v>13.97</v>
          </cell>
          <cell r="G85">
            <v>8.1999999999999993</v>
          </cell>
          <cell r="H85">
            <v>4.62</v>
          </cell>
          <cell r="I85">
            <v>2.77</v>
          </cell>
          <cell r="J85">
            <v>2.13</v>
          </cell>
          <cell r="K85">
            <v>1.55</v>
          </cell>
          <cell r="L85">
            <v>0.94</v>
          </cell>
          <cell r="M85">
            <v>0.72</v>
          </cell>
          <cell r="N85">
            <v>0.53</v>
          </cell>
          <cell r="O85" t="str">
            <v>Re-size</v>
          </cell>
          <cell r="P85" t="str">
            <v>Re-size</v>
          </cell>
          <cell r="Q85" t="str">
            <v>Re-size</v>
          </cell>
          <cell r="R85" t="str">
            <v>Re-size</v>
          </cell>
          <cell r="S85" t="str">
            <v>Re-size</v>
          </cell>
          <cell r="T85" t="str">
            <v>Re-size</v>
          </cell>
          <cell r="U85" t="str">
            <v>Re-size</v>
          </cell>
          <cell r="V85" t="str">
            <v>Re-size</v>
          </cell>
          <cell r="X85" t="str">
            <v>Re-size</v>
          </cell>
          <cell r="Y85" t="str">
            <v>Re-size</v>
          </cell>
          <cell r="Z85">
            <v>15.7</v>
          </cell>
          <cell r="AA85">
            <v>5</v>
          </cell>
          <cell r="AB85">
            <v>2.2000000000000002</v>
          </cell>
          <cell r="AC85">
            <v>0.7</v>
          </cell>
          <cell r="AD85">
            <v>0.2</v>
          </cell>
          <cell r="AE85" t="str">
            <v>Re-size</v>
          </cell>
        </row>
        <row r="86">
          <cell r="B86">
            <v>0.77</v>
          </cell>
          <cell r="C86" t="str">
            <v>Re-size</v>
          </cell>
          <cell r="D86" t="str">
            <v>Re-size</v>
          </cell>
          <cell r="E86">
            <v>46.83</v>
          </cell>
          <cell r="F86">
            <v>14.31</v>
          </cell>
          <cell r="G86">
            <v>8.4</v>
          </cell>
          <cell r="H86">
            <v>4.7300000000000004</v>
          </cell>
          <cell r="I86">
            <v>2.84</v>
          </cell>
          <cell r="J86">
            <v>2.1799999999999997</v>
          </cell>
          <cell r="K86">
            <v>1.59</v>
          </cell>
          <cell r="L86">
            <v>0.96</v>
          </cell>
          <cell r="M86">
            <v>0.74</v>
          </cell>
          <cell r="N86">
            <v>0.54</v>
          </cell>
          <cell r="O86" t="str">
            <v>Re-size</v>
          </cell>
          <cell r="P86" t="str">
            <v>Re-size</v>
          </cell>
          <cell r="Q86" t="str">
            <v>Re-size</v>
          </cell>
          <cell r="R86" t="str">
            <v>Re-size</v>
          </cell>
          <cell r="S86" t="str">
            <v>Re-size</v>
          </cell>
          <cell r="T86" t="str">
            <v>Re-size</v>
          </cell>
          <cell r="U86" t="str">
            <v>Re-size</v>
          </cell>
          <cell r="V86" t="str">
            <v>Re-size</v>
          </cell>
          <cell r="X86" t="str">
            <v>Re-size</v>
          </cell>
          <cell r="Y86" t="str">
            <v>Re-size</v>
          </cell>
          <cell r="Z86">
            <v>16.100000000000001</v>
          </cell>
          <cell r="AA86">
            <v>5.15</v>
          </cell>
          <cell r="AB86">
            <v>2.25</v>
          </cell>
          <cell r="AC86">
            <v>0.7</v>
          </cell>
          <cell r="AD86">
            <v>0.2</v>
          </cell>
          <cell r="AE86" t="str">
            <v>Re-size</v>
          </cell>
        </row>
        <row r="87">
          <cell r="B87">
            <v>0.78</v>
          </cell>
          <cell r="C87" t="str">
            <v>Re-size</v>
          </cell>
          <cell r="D87" t="str">
            <v>Re-size</v>
          </cell>
          <cell r="E87">
            <v>47.94</v>
          </cell>
          <cell r="F87">
            <v>14.65</v>
          </cell>
          <cell r="G87">
            <v>8.6</v>
          </cell>
          <cell r="H87">
            <v>4.84</v>
          </cell>
          <cell r="I87">
            <v>2.9</v>
          </cell>
          <cell r="J87">
            <v>2.2200000000000002</v>
          </cell>
          <cell r="K87">
            <v>1.63</v>
          </cell>
          <cell r="L87">
            <v>0.98</v>
          </cell>
          <cell r="M87">
            <v>0.75</v>
          </cell>
          <cell r="N87">
            <v>0.55000000000000004</v>
          </cell>
          <cell r="O87" t="str">
            <v>Re-size</v>
          </cell>
          <cell r="P87" t="str">
            <v>Re-size</v>
          </cell>
          <cell r="Q87" t="str">
            <v>Re-size</v>
          </cell>
          <cell r="R87" t="str">
            <v>Re-size</v>
          </cell>
          <cell r="S87" t="str">
            <v>Re-size</v>
          </cell>
          <cell r="T87" t="str">
            <v>Re-size</v>
          </cell>
          <cell r="U87" t="str">
            <v>Re-size</v>
          </cell>
          <cell r="V87" t="str">
            <v>Re-size</v>
          </cell>
          <cell r="X87" t="str">
            <v>Re-size</v>
          </cell>
          <cell r="Y87" t="str">
            <v>Re-size</v>
          </cell>
          <cell r="Z87">
            <v>16.5</v>
          </cell>
          <cell r="AA87">
            <v>5.3</v>
          </cell>
          <cell r="AB87">
            <v>2.2999999999999998</v>
          </cell>
          <cell r="AC87">
            <v>0.7</v>
          </cell>
          <cell r="AD87">
            <v>0.2</v>
          </cell>
          <cell r="AE87" t="str">
            <v>Re-size</v>
          </cell>
        </row>
        <row r="88">
          <cell r="B88">
            <v>0.79</v>
          </cell>
          <cell r="C88" t="str">
            <v>Re-size</v>
          </cell>
          <cell r="D88" t="str">
            <v>Re-size</v>
          </cell>
          <cell r="E88">
            <v>48.85</v>
          </cell>
          <cell r="F88">
            <v>15</v>
          </cell>
          <cell r="G88">
            <v>8.81</v>
          </cell>
          <cell r="H88">
            <v>4.95</v>
          </cell>
          <cell r="I88">
            <v>2.9699999999999998</v>
          </cell>
          <cell r="J88">
            <v>2.2799999999999998</v>
          </cell>
          <cell r="K88">
            <v>1.67</v>
          </cell>
          <cell r="L88">
            <v>1.01</v>
          </cell>
          <cell r="M88">
            <v>0.77</v>
          </cell>
          <cell r="N88">
            <v>0.56000000000000005</v>
          </cell>
          <cell r="O88" t="str">
            <v>Re-size</v>
          </cell>
          <cell r="P88" t="str">
            <v>Re-size</v>
          </cell>
          <cell r="Q88" t="str">
            <v>Re-size</v>
          </cell>
          <cell r="R88" t="str">
            <v>Re-size</v>
          </cell>
          <cell r="S88" t="str">
            <v>Re-size</v>
          </cell>
          <cell r="T88" t="str">
            <v>Re-size</v>
          </cell>
          <cell r="U88" t="str">
            <v>Re-size</v>
          </cell>
          <cell r="V88" t="str">
            <v>Re-size</v>
          </cell>
          <cell r="X88" t="str">
            <v>Re-size</v>
          </cell>
          <cell r="Y88" t="str">
            <v>Re-size</v>
          </cell>
          <cell r="Z88">
            <v>16.95</v>
          </cell>
          <cell r="AA88">
            <v>5.45</v>
          </cell>
          <cell r="AB88">
            <v>2.35</v>
          </cell>
          <cell r="AC88">
            <v>0.75</v>
          </cell>
          <cell r="AD88">
            <v>0.2</v>
          </cell>
          <cell r="AE88" t="str">
            <v>Re-size</v>
          </cell>
        </row>
        <row r="89">
          <cell r="B89">
            <v>0.8</v>
          </cell>
          <cell r="C89" t="str">
            <v>Re-size</v>
          </cell>
          <cell r="D89" t="str">
            <v>Re-size</v>
          </cell>
          <cell r="E89">
            <v>49.75</v>
          </cell>
          <cell r="F89">
            <v>15.35</v>
          </cell>
          <cell r="G89">
            <v>9.01</v>
          </cell>
          <cell r="H89">
            <v>5.05</v>
          </cell>
          <cell r="I89">
            <v>3.03</v>
          </cell>
          <cell r="J89">
            <v>2.33</v>
          </cell>
          <cell r="K89">
            <v>1.7</v>
          </cell>
          <cell r="L89">
            <v>1.03</v>
          </cell>
          <cell r="M89">
            <v>0.78</v>
          </cell>
          <cell r="N89">
            <v>0.56999999999999995</v>
          </cell>
          <cell r="O89" t="str">
            <v>Re-size</v>
          </cell>
          <cell r="P89" t="str">
            <v>Re-size</v>
          </cell>
          <cell r="Q89" t="str">
            <v>Re-size</v>
          </cell>
          <cell r="R89" t="str">
            <v>Re-size</v>
          </cell>
          <cell r="S89" t="str">
            <v>Re-size</v>
          </cell>
          <cell r="T89" t="str">
            <v>Re-size</v>
          </cell>
          <cell r="U89" t="str">
            <v>Re-size</v>
          </cell>
          <cell r="V89" t="str">
            <v>Re-size</v>
          </cell>
          <cell r="X89" t="str">
            <v>Re-size</v>
          </cell>
          <cell r="Y89" t="str">
            <v>Re-size</v>
          </cell>
          <cell r="Z89">
            <v>17.399999999999999</v>
          </cell>
          <cell r="AA89">
            <v>5.6</v>
          </cell>
          <cell r="AB89">
            <v>2.4</v>
          </cell>
          <cell r="AC89">
            <v>0.8</v>
          </cell>
          <cell r="AD89">
            <v>0.2</v>
          </cell>
          <cell r="AE89" t="str">
            <v>Re-size</v>
          </cell>
        </row>
        <row r="90">
          <cell r="B90">
            <v>0.81</v>
          </cell>
          <cell r="C90" t="str">
            <v>Re-size</v>
          </cell>
          <cell r="D90" t="str">
            <v>Re-size</v>
          </cell>
          <cell r="E90">
            <v>50.78</v>
          </cell>
          <cell r="F90">
            <v>15.709999999999999</v>
          </cell>
          <cell r="G90">
            <v>9.1999999999999993</v>
          </cell>
          <cell r="H90">
            <v>5.17</v>
          </cell>
          <cell r="I90">
            <v>3.1</v>
          </cell>
          <cell r="J90">
            <v>2.38</v>
          </cell>
          <cell r="K90">
            <v>1.74</v>
          </cell>
          <cell r="L90">
            <v>1.06</v>
          </cell>
          <cell r="M90">
            <v>0.8</v>
          </cell>
          <cell r="N90">
            <v>0.59</v>
          </cell>
          <cell r="O90" t="str">
            <v>Re-size</v>
          </cell>
          <cell r="P90" t="str">
            <v>Re-size</v>
          </cell>
          <cell r="Q90" t="str">
            <v>Re-size</v>
          </cell>
          <cell r="R90" t="str">
            <v>Re-size</v>
          </cell>
          <cell r="S90" t="str">
            <v>Re-size</v>
          </cell>
          <cell r="T90" t="str">
            <v>Re-size</v>
          </cell>
          <cell r="U90" t="str">
            <v>Re-size</v>
          </cell>
          <cell r="V90" t="str">
            <v>Re-size</v>
          </cell>
          <cell r="X90" t="str">
            <v>Re-size</v>
          </cell>
          <cell r="Y90" t="str">
            <v>Re-size</v>
          </cell>
          <cell r="Z90">
            <v>17.7</v>
          </cell>
          <cell r="AA90">
            <v>5.7</v>
          </cell>
          <cell r="AB90">
            <v>2.4500000000000002</v>
          </cell>
          <cell r="AC90">
            <v>0.8</v>
          </cell>
          <cell r="AD90">
            <v>0.2</v>
          </cell>
          <cell r="AE90" t="str">
            <v>Re-size</v>
          </cell>
        </row>
        <row r="91">
          <cell r="B91">
            <v>0.82</v>
          </cell>
          <cell r="C91" t="str">
            <v>Re-size</v>
          </cell>
          <cell r="D91" t="str">
            <v>Re-size</v>
          </cell>
          <cell r="E91">
            <v>51.8</v>
          </cell>
          <cell r="F91">
            <v>16.059999999999999</v>
          </cell>
          <cell r="G91">
            <v>9.39</v>
          </cell>
          <cell r="H91">
            <v>5.29</v>
          </cell>
          <cell r="I91">
            <v>3.17</v>
          </cell>
          <cell r="J91">
            <v>2.4300000000000002</v>
          </cell>
          <cell r="K91">
            <v>1.78</v>
          </cell>
          <cell r="L91">
            <v>1.08</v>
          </cell>
          <cell r="M91">
            <v>0.82</v>
          </cell>
          <cell r="N91">
            <v>0.6</v>
          </cell>
          <cell r="O91" t="str">
            <v>Re-size</v>
          </cell>
          <cell r="P91" t="str">
            <v>Re-size</v>
          </cell>
          <cell r="Q91" t="str">
            <v>Re-size</v>
          </cell>
          <cell r="R91" t="str">
            <v>Re-size</v>
          </cell>
          <cell r="S91" t="str">
            <v>Re-size</v>
          </cell>
          <cell r="T91" t="str">
            <v>Re-size</v>
          </cell>
          <cell r="U91" t="str">
            <v>Re-size</v>
          </cell>
          <cell r="V91" t="str">
            <v>Re-size</v>
          </cell>
          <cell r="X91" t="str">
            <v>Re-size</v>
          </cell>
          <cell r="Y91" t="str">
            <v>Re-size</v>
          </cell>
          <cell r="Z91">
            <v>18</v>
          </cell>
          <cell r="AA91">
            <v>5.8</v>
          </cell>
          <cell r="AB91">
            <v>2.5</v>
          </cell>
          <cell r="AC91">
            <v>0.8</v>
          </cell>
          <cell r="AD91">
            <v>0.2</v>
          </cell>
          <cell r="AE91" t="str">
            <v>Re-size</v>
          </cell>
        </row>
        <row r="92">
          <cell r="B92">
            <v>0.83</v>
          </cell>
          <cell r="C92" t="str">
            <v>Re-size</v>
          </cell>
          <cell r="D92" t="str">
            <v>Re-size</v>
          </cell>
          <cell r="E92">
            <v>52.83</v>
          </cell>
          <cell r="F92">
            <v>16.420000000000002</v>
          </cell>
          <cell r="G92">
            <v>9.6</v>
          </cell>
          <cell r="H92">
            <v>5.41</v>
          </cell>
          <cell r="I92">
            <v>3.24</v>
          </cell>
          <cell r="J92">
            <v>2.4899999999999998</v>
          </cell>
          <cell r="K92">
            <v>1.82</v>
          </cell>
          <cell r="L92">
            <v>1.1000000000000001</v>
          </cell>
          <cell r="M92">
            <v>0.84</v>
          </cell>
          <cell r="N92">
            <v>0.61</v>
          </cell>
          <cell r="O92" t="str">
            <v>Re-size</v>
          </cell>
          <cell r="P92" t="str">
            <v>Re-size</v>
          </cell>
          <cell r="Q92" t="str">
            <v>Re-size</v>
          </cell>
          <cell r="R92" t="str">
            <v>Re-size</v>
          </cell>
          <cell r="S92" t="str">
            <v>Re-size</v>
          </cell>
          <cell r="T92" t="str">
            <v>Re-size</v>
          </cell>
          <cell r="U92" t="str">
            <v>Re-size</v>
          </cell>
          <cell r="V92" t="str">
            <v>Re-size</v>
          </cell>
          <cell r="X92" t="str">
            <v>Re-size</v>
          </cell>
          <cell r="Y92" t="str">
            <v>Re-size</v>
          </cell>
          <cell r="Z92">
            <v>18.3</v>
          </cell>
          <cell r="AA92">
            <v>5.9</v>
          </cell>
          <cell r="AB92">
            <v>2.5499999999999998</v>
          </cell>
          <cell r="AC92">
            <v>0.85</v>
          </cell>
          <cell r="AD92">
            <v>0.2</v>
          </cell>
          <cell r="AE92" t="str">
            <v>Re-size</v>
          </cell>
        </row>
        <row r="93">
          <cell r="B93">
            <v>0.84</v>
          </cell>
          <cell r="C93" t="str">
            <v>Re-size</v>
          </cell>
          <cell r="D93" t="str">
            <v>Re-size</v>
          </cell>
          <cell r="E93">
            <v>53.86</v>
          </cell>
          <cell r="F93">
            <v>16.78</v>
          </cell>
          <cell r="G93">
            <v>9.81</v>
          </cell>
          <cell r="H93">
            <v>5.52</v>
          </cell>
          <cell r="I93">
            <v>3.31</v>
          </cell>
          <cell r="J93">
            <v>2.54</v>
          </cell>
          <cell r="K93">
            <v>1.85</v>
          </cell>
          <cell r="L93">
            <v>1.1200000000000001</v>
          </cell>
          <cell r="M93">
            <v>0.85</v>
          </cell>
          <cell r="N93">
            <v>0.62</v>
          </cell>
          <cell r="O93" t="str">
            <v>Re-size</v>
          </cell>
          <cell r="P93" t="str">
            <v>Re-size</v>
          </cell>
          <cell r="Q93" t="str">
            <v>Re-size</v>
          </cell>
          <cell r="R93" t="str">
            <v>Re-size</v>
          </cell>
          <cell r="S93" t="str">
            <v>Re-size</v>
          </cell>
          <cell r="T93" t="str">
            <v>Re-size</v>
          </cell>
          <cell r="U93" t="str">
            <v>Re-size</v>
          </cell>
          <cell r="V93" t="str">
            <v>Re-size</v>
          </cell>
          <cell r="X93" t="str">
            <v>Re-size</v>
          </cell>
          <cell r="Y93" t="str">
            <v>Re-size</v>
          </cell>
          <cell r="Z93">
            <v>18.600000000000001</v>
          </cell>
          <cell r="AA93">
            <v>6</v>
          </cell>
          <cell r="AB93">
            <v>2.6</v>
          </cell>
          <cell r="AC93">
            <v>0.9</v>
          </cell>
          <cell r="AD93">
            <v>0.2</v>
          </cell>
          <cell r="AE93" t="str">
            <v>Re-size</v>
          </cell>
        </row>
        <row r="94">
          <cell r="B94">
            <v>0.85</v>
          </cell>
          <cell r="C94" t="str">
            <v>Re-size</v>
          </cell>
          <cell r="D94" t="str">
            <v>Re-size</v>
          </cell>
          <cell r="E94">
            <v>54.89</v>
          </cell>
          <cell r="F94">
            <v>17.150000000000002</v>
          </cell>
          <cell r="G94">
            <v>10.029999999999999</v>
          </cell>
          <cell r="H94">
            <v>5.6499999999999995</v>
          </cell>
          <cell r="I94">
            <v>3.38</v>
          </cell>
          <cell r="J94">
            <v>2.5999999999999996</v>
          </cell>
          <cell r="K94">
            <v>1.9</v>
          </cell>
          <cell r="L94">
            <v>1.1499999999999999</v>
          </cell>
          <cell r="M94">
            <v>0.87</v>
          </cell>
          <cell r="N94">
            <v>0.63</v>
          </cell>
          <cell r="O94" t="str">
            <v>Re-size</v>
          </cell>
          <cell r="P94" t="str">
            <v>Re-size</v>
          </cell>
          <cell r="Q94" t="str">
            <v>Re-size</v>
          </cell>
          <cell r="R94" t="str">
            <v>Re-size</v>
          </cell>
          <cell r="S94" t="str">
            <v>Re-size</v>
          </cell>
          <cell r="T94" t="str">
            <v>Re-size</v>
          </cell>
          <cell r="U94" t="str">
            <v>Re-size</v>
          </cell>
          <cell r="V94" t="str">
            <v>Re-size</v>
          </cell>
          <cell r="X94" t="str">
            <v>Re-size</v>
          </cell>
          <cell r="Y94" t="str">
            <v>Re-size</v>
          </cell>
          <cell r="Z94">
            <v>19</v>
          </cell>
          <cell r="AA94">
            <v>6.15</v>
          </cell>
          <cell r="AB94">
            <v>2.65</v>
          </cell>
          <cell r="AC94">
            <v>0.9</v>
          </cell>
          <cell r="AD94">
            <v>0.2</v>
          </cell>
          <cell r="AE94" t="str">
            <v>Re-size</v>
          </cell>
        </row>
        <row r="95">
          <cell r="B95">
            <v>0.86</v>
          </cell>
          <cell r="C95" t="str">
            <v>Re-size</v>
          </cell>
          <cell r="D95" t="str">
            <v>Re-size</v>
          </cell>
          <cell r="E95">
            <v>55.91</v>
          </cell>
          <cell r="F95">
            <v>17.510000000000002</v>
          </cell>
          <cell r="G95">
            <v>10.24</v>
          </cell>
          <cell r="H95">
            <v>5.77</v>
          </cell>
          <cell r="I95">
            <v>3.44</v>
          </cell>
          <cell r="J95">
            <v>2.65</v>
          </cell>
          <cell r="K95">
            <v>1.94</v>
          </cell>
          <cell r="L95">
            <v>1.17</v>
          </cell>
          <cell r="M95">
            <v>0.89</v>
          </cell>
          <cell r="N95">
            <v>0.65</v>
          </cell>
          <cell r="O95" t="str">
            <v>Re-size</v>
          </cell>
          <cell r="P95" t="str">
            <v>Re-size</v>
          </cell>
          <cell r="Q95" t="str">
            <v>Re-size</v>
          </cell>
          <cell r="R95" t="str">
            <v>Re-size</v>
          </cell>
          <cell r="S95" t="str">
            <v>Re-size</v>
          </cell>
          <cell r="T95" t="str">
            <v>Re-size</v>
          </cell>
          <cell r="U95" t="str">
            <v>Re-size</v>
          </cell>
          <cell r="V95" t="str">
            <v>Re-size</v>
          </cell>
          <cell r="X95" t="str">
            <v>Re-size</v>
          </cell>
          <cell r="Y95" t="str">
            <v>Re-size</v>
          </cell>
          <cell r="Z95">
            <v>19.399999999999999</v>
          </cell>
          <cell r="AA95">
            <v>6.3</v>
          </cell>
          <cell r="AB95">
            <v>2.7</v>
          </cell>
          <cell r="AC95">
            <v>0.9</v>
          </cell>
          <cell r="AD95">
            <v>0.2</v>
          </cell>
          <cell r="AE95" t="str">
            <v>Re-size</v>
          </cell>
        </row>
        <row r="96">
          <cell r="B96">
            <v>0.87</v>
          </cell>
          <cell r="C96" t="str">
            <v>Re-size</v>
          </cell>
          <cell r="D96" t="str">
            <v>Re-size</v>
          </cell>
          <cell r="E96">
            <v>56.94</v>
          </cell>
          <cell r="F96">
            <v>17.89</v>
          </cell>
          <cell r="G96">
            <v>10.46</v>
          </cell>
          <cell r="H96">
            <v>5.89</v>
          </cell>
          <cell r="I96">
            <v>3.5199999999999996</v>
          </cell>
          <cell r="J96">
            <v>2.71</v>
          </cell>
          <cell r="K96">
            <v>1.98</v>
          </cell>
          <cell r="L96">
            <v>1.2</v>
          </cell>
          <cell r="M96">
            <v>0.91</v>
          </cell>
          <cell r="N96">
            <v>0.66</v>
          </cell>
          <cell r="O96" t="str">
            <v>Re-size</v>
          </cell>
          <cell r="P96" t="str">
            <v>Re-size</v>
          </cell>
          <cell r="Q96" t="str">
            <v>Re-size</v>
          </cell>
          <cell r="R96" t="str">
            <v>Re-size</v>
          </cell>
          <cell r="S96" t="str">
            <v>Re-size</v>
          </cell>
          <cell r="T96" t="str">
            <v>Re-size</v>
          </cell>
          <cell r="U96" t="str">
            <v>Re-size</v>
          </cell>
          <cell r="V96" t="str">
            <v>Re-size</v>
          </cell>
          <cell r="X96" t="str">
            <v>Re-size</v>
          </cell>
          <cell r="Y96" t="str">
            <v>Re-size</v>
          </cell>
          <cell r="Z96">
            <v>19.899999999999999</v>
          </cell>
          <cell r="AA96">
            <v>6.45</v>
          </cell>
          <cell r="AB96">
            <v>2.75</v>
          </cell>
          <cell r="AC96">
            <v>0.9</v>
          </cell>
          <cell r="AD96">
            <v>0.2</v>
          </cell>
          <cell r="AE96" t="str">
            <v>Re-size</v>
          </cell>
        </row>
        <row r="97">
          <cell r="B97">
            <v>0.88</v>
          </cell>
          <cell r="C97" t="str">
            <v>Re-size</v>
          </cell>
          <cell r="D97" t="str">
            <v>Re-size</v>
          </cell>
          <cell r="E97">
            <v>57.97</v>
          </cell>
          <cell r="F97">
            <v>18.260000000000002</v>
          </cell>
          <cell r="G97">
            <v>10.68</v>
          </cell>
          <cell r="H97">
            <v>6.01</v>
          </cell>
          <cell r="I97">
            <v>3.59</v>
          </cell>
          <cell r="J97">
            <v>2.76</v>
          </cell>
          <cell r="K97">
            <v>2.02</v>
          </cell>
          <cell r="L97">
            <v>1.22</v>
          </cell>
          <cell r="M97">
            <v>0.93</v>
          </cell>
          <cell r="N97">
            <v>0.68</v>
          </cell>
          <cell r="O97" t="str">
            <v>Re-size</v>
          </cell>
          <cell r="P97" t="str">
            <v>Re-size</v>
          </cell>
          <cell r="Q97" t="str">
            <v>Re-size</v>
          </cell>
          <cell r="R97" t="str">
            <v>Re-size</v>
          </cell>
          <cell r="S97" t="str">
            <v>Re-size</v>
          </cell>
          <cell r="T97" t="str">
            <v>Re-size</v>
          </cell>
          <cell r="U97" t="str">
            <v>Re-size</v>
          </cell>
          <cell r="V97" t="str">
            <v>Re-size</v>
          </cell>
          <cell r="X97" t="str">
            <v>Re-size</v>
          </cell>
          <cell r="Y97" t="str">
            <v>Re-size</v>
          </cell>
          <cell r="Z97">
            <v>20.399999999999999</v>
          </cell>
          <cell r="AA97">
            <v>6.6</v>
          </cell>
          <cell r="AB97">
            <v>2.8</v>
          </cell>
          <cell r="AC97">
            <v>0.9</v>
          </cell>
          <cell r="AD97">
            <v>0.2</v>
          </cell>
          <cell r="AE97" t="str">
            <v>Re-size</v>
          </cell>
        </row>
        <row r="98">
          <cell r="B98">
            <v>0.89</v>
          </cell>
          <cell r="C98" t="str">
            <v>Re-size</v>
          </cell>
          <cell r="D98" t="str">
            <v>Re-size</v>
          </cell>
          <cell r="E98" t="str">
            <v>Re-size</v>
          </cell>
          <cell r="F98">
            <v>18.64</v>
          </cell>
          <cell r="G98">
            <v>10.9</v>
          </cell>
          <cell r="H98">
            <v>6.14</v>
          </cell>
          <cell r="I98">
            <v>3.67</v>
          </cell>
          <cell r="J98">
            <v>2.82</v>
          </cell>
          <cell r="K98">
            <v>2.06</v>
          </cell>
          <cell r="L98">
            <v>1.25</v>
          </cell>
          <cell r="M98">
            <v>0.95</v>
          </cell>
          <cell r="N98">
            <v>0.69000000000000006</v>
          </cell>
          <cell r="O98" t="str">
            <v>Re-size</v>
          </cell>
          <cell r="P98" t="str">
            <v>Re-size</v>
          </cell>
          <cell r="Q98" t="str">
            <v>Re-size</v>
          </cell>
          <cell r="R98" t="str">
            <v>Re-size</v>
          </cell>
          <cell r="S98" t="str">
            <v>Re-size</v>
          </cell>
          <cell r="T98" t="str">
            <v>Re-size</v>
          </cell>
          <cell r="U98" t="str">
            <v>Re-size</v>
          </cell>
          <cell r="V98" t="str">
            <v>Re-size</v>
          </cell>
          <cell r="X98" t="str">
            <v>Re-size</v>
          </cell>
          <cell r="Y98" t="str">
            <v>Re-size</v>
          </cell>
          <cell r="Z98">
            <v>20.9</v>
          </cell>
          <cell r="AA98">
            <v>6.75</v>
          </cell>
          <cell r="AB98">
            <v>2.85</v>
          </cell>
          <cell r="AC98">
            <v>0.9</v>
          </cell>
          <cell r="AD98">
            <v>0.2</v>
          </cell>
          <cell r="AE98" t="str">
            <v>Re-size</v>
          </cell>
        </row>
        <row r="99">
          <cell r="B99">
            <v>0.9</v>
          </cell>
          <cell r="C99" t="str">
            <v>Re-size</v>
          </cell>
          <cell r="D99" t="str">
            <v>Re-size</v>
          </cell>
          <cell r="E99" t="str">
            <v>Re-size</v>
          </cell>
          <cell r="F99">
            <v>19.02</v>
          </cell>
          <cell r="G99">
            <v>11.12</v>
          </cell>
          <cell r="H99">
            <v>6.26</v>
          </cell>
          <cell r="I99">
            <v>3.74</v>
          </cell>
          <cell r="J99">
            <v>2.87</v>
          </cell>
          <cell r="K99">
            <v>2.1</v>
          </cell>
          <cell r="L99">
            <v>1.27</v>
          </cell>
          <cell r="M99">
            <v>0.96</v>
          </cell>
          <cell r="N99">
            <v>0.7</v>
          </cell>
          <cell r="O99">
            <v>0.42</v>
          </cell>
          <cell r="P99" t="str">
            <v>Re-size</v>
          </cell>
          <cell r="Q99" t="str">
            <v>Re-size</v>
          </cell>
          <cell r="R99" t="str">
            <v>Re-size</v>
          </cell>
          <cell r="S99" t="str">
            <v>Re-size</v>
          </cell>
          <cell r="T99" t="str">
            <v>Re-size</v>
          </cell>
          <cell r="U99" t="str">
            <v>Re-size</v>
          </cell>
          <cell r="V99" t="str">
            <v>Re-size</v>
          </cell>
          <cell r="X99" t="str">
            <v>Re-size</v>
          </cell>
          <cell r="Y99" t="str">
            <v>Re-size</v>
          </cell>
          <cell r="Z99">
            <v>21.4</v>
          </cell>
          <cell r="AA99">
            <v>6.9</v>
          </cell>
          <cell r="AB99">
            <v>2.9</v>
          </cell>
          <cell r="AC99">
            <v>0.9</v>
          </cell>
          <cell r="AD99">
            <v>0.2</v>
          </cell>
          <cell r="AE99" t="str">
            <v>Re-size</v>
          </cell>
        </row>
        <row r="100">
          <cell r="B100">
            <v>0.91</v>
          </cell>
          <cell r="C100" t="str">
            <v>Re-size</v>
          </cell>
          <cell r="D100" t="str">
            <v>Re-size</v>
          </cell>
          <cell r="E100" t="str">
            <v>Re-size</v>
          </cell>
          <cell r="F100">
            <v>19.41</v>
          </cell>
          <cell r="G100">
            <v>11.35</v>
          </cell>
          <cell r="H100">
            <v>6.39</v>
          </cell>
          <cell r="I100">
            <v>3.82</v>
          </cell>
          <cell r="J100">
            <v>2.9299999999999997</v>
          </cell>
          <cell r="K100">
            <v>2.14</v>
          </cell>
          <cell r="L100">
            <v>1.3</v>
          </cell>
          <cell r="M100">
            <v>0.98</v>
          </cell>
          <cell r="N100">
            <v>0.72</v>
          </cell>
          <cell r="O100">
            <v>0.43</v>
          </cell>
          <cell r="P100" t="str">
            <v>Re-size</v>
          </cell>
          <cell r="Q100" t="str">
            <v>Re-size</v>
          </cell>
          <cell r="R100" t="str">
            <v>Re-size</v>
          </cell>
          <cell r="S100" t="str">
            <v>Re-size</v>
          </cell>
          <cell r="T100" t="str">
            <v>Re-size</v>
          </cell>
          <cell r="U100" t="str">
            <v>Re-size</v>
          </cell>
          <cell r="V100" t="str">
            <v>Re-size</v>
          </cell>
          <cell r="X100" t="str">
            <v>Re-size</v>
          </cell>
          <cell r="Y100" t="str">
            <v>Re-size</v>
          </cell>
          <cell r="Z100">
            <v>21.8</v>
          </cell>
          <cell r="AA100">
            <v>7</v>
          </cell>
          <cell r="AB100">
            <v>2.95</v>
          </cell>
          <cell r="AC100">
            <v>0.95</v>
          </cell>
          <cell r="AD100">
            <v>0.2</v>
          </cell>
          <cell r="AE100" t="str">
            <v>Re-size</v>
          </cell>
        </row>
        <row r="101">
          <cell r="B101">
            <v>0.92</v>
          </cell>
          <cell r="C101" t="str">
            <v>Re-size</v>
          </cell>
          <cell r="D101" t="str">
            <v>Re-size</v>
          </cell>
          <cell r="E101" t="str">
            <v>Re-size</v>
          </cell>
          <cell r="F101">
            <v>19.79</v>
          </cell>
          <cell r="G101">
            <v>11.57</v>
          </cell>
          <cell r="H101">
            <v>6.52</v>
          </cell>
          <cell r="I101">
            <v>3.89</v>
          </cell>
          <cell r="J101">
            <v>2.98</v>
          </cell>
          <cell r="K101">
            <v>2.1800000000000002</v>
          </cell>
          <cell r="L101">
            <v>1.32</v>
          </cell>
          <cell r="M101">
            <v>1</v>
          </cell>
          <cell r="N101">
            <v>0.73</v>
          </cell>
          <cell r="O101">
            <v>0.44</v>
          </cell>
          <cell r="P101" t="str">
            <v>Re-size</v>
          </cell>
          <cell r="Q101" t="str">
            <v>Re-size</v>
          </cell>
          <cell r="R101" t="str">
            <v>Re-size</v>
          </cell>
          <cell r="S101" t="str">
            <v>Re-size</v>
          </cell>
          <cell r="T101" t="str">
            <v>Re-size</v>
          </cell>
          <cell r="U101" t="str">
            <v>Re-size</v>
          </cell>
          <cell r="V101" t="str">
            <v>Re-size</v>
          </cell>
          <cell r="X101" t="str">
            <v>Re-size</v>
          </cell>
          <cell r="Y101" t="str">
            <v>Re-size</v>
          </cell>
          <cell r="Z101">
            <v>22.2</v>
          </cell>
          <cell r="AA101">
            <v>7.1</v>
          </cell>
          <cell r="AB101">
            <v>3</v>
          </cell>
          <cell r="AC101">
            <v>1</v>
          </cell>
          <cell r="AD101">
            <v>0.2</v>
          </cell>
          <cell r="AE101" t="str">
            <v>Re-size</v>
          </cell>
        </row>
        <row r="102">
          <cell r="B102">
            <v>0.93</v>
          </cell>
          <cell r="C102" t="str">
            <v>Re-size</v>
          </cell>
          <cell r="D102" t="str">
            <v>Re-size</v>
          </cell>
          <cell r="E102" t="str">
            <v>Re-size</v>
          </cell>
          <cell r="F102">
            <v>20.180000000000003</v>
          </cell>
          <cell r="G102">
            <v>11.8</v>
          </cell>
          <cell r="H102">
            <v>6.65</v>
          </cell>
          <cell r="I102">
            <v>3.97</v>
          </cell>
          <cell r="J102">
            <v>3.04</v>
          </cell>
          <cell r="K102">
            <v>2.23</v>
          </cell>
          <cell r="L102">
            <v>1.35</v>
          </cell>
          <cell r="M102">
            <v>1.02</v>
          </cell>
          <cell r="N102">
            <v>0.75</v>
          </cell>
          <cell r="O102">
            <v>0.45</v>
          </cell>
          <cell r="P102" t="str">
            <v>Re-size</v>
          </cell>
          <cell r="Q102" t="str">
            <v>Re-size</v>
          </cell>
          <cell r="R102" t="str">
            <v>Re-size</v>
          </cell>
          <cell r="S102" t="str">
            <v>Re-size</v>
          </cell>
          <cell r="T102" t="str">
            <v>Re-size</v>
          </cell>
          <cell r="U102" t="str">
            <v>Re-size</v>
          </cell>
          <cell r="V102" t="str">
            <v>Re-size</v>
          </cell>
          <cell r="X102" t="str">
            <v>Re-size</v>
          </cell>
          <cell r="Y102" t="str">
            <v>Re-size</v>
          </cell>
          <cell r="Z102">
            <v>22.65</v>
          </cell>
          <cell r="AA102">
            <v>7.25</v>
          </cell>
          <cell r="AB102">
            <v>3.1</v>
          </cell>
          <cell r="AC102">
            <v>1</v>
          </cell>
          <cell r="AD102">
            <v>0.25</v>
          </cell>
          <cell r="AE102" t="str">
            <v>Re-size</v>
          </cell>
        </row>
        <row r="103">
          <cell r="B103">
            <v>0.94</v>
          </cell>
          <cell r="C103" t="str">
            <v>Re-size</v>
          </cell>
          <cell r="D103" t="str">
            <v>Re-size</v>
          </cell>
          <cell r="E103" t="str">
            <v>Re-size</v>
          </cell>
          <cell r="F103">
            <v>20.56</v>
          </cell>
          <cell r="G103">
            <v>12.03</v>
          </cell>
          <cell r="H103">
            <v>6.78</v>
          </cell>
          <cell r="I103">
            <v>4.05</v>
          </cell>
          <cell r="J103">
            <v>3.1</v>
          </cell>
          <cell r="K103">
            <v>2.27</v>
          </cell>
          <cell r="L103">
            <v>1.37</v>
          </cell>
          <cell r="M103">
            <v>1.04</v>
          </cell>
          <cell r="N103">
            <v>0.76</v>
          </cell>
          <cell r="O103">
            <v>0.46</v>
          </cell>
          <cell r="P103" t="str">
            <v>Re-size</v>
          </cell>
          <cell r="Q103" t="str">
            <v>Re-size</v>
          </cell>
          <cell r="R103" t="str">
            <v>Re-size</v>
          </cell>
          <cell r="S103" t="str">
            <v>Re-size</v>
          </cell>
          <cell r="T103" t="str">
            <v>Re-size</v>
          </cell>
          <cell r="U103" t="str">
            <v>Re-size</v>
          </cell>
          <cell r="V103" t="str">
            <v>Re-size</v>
          </cell>
          <cell r="X103" t="str">
            <v>Re-size</v>
          </cell>
          <cell r="Y103" t="str">
            <v>Re-size</v>
          </cell>
          <cell r="Z103">
            <v>23.1</v>
          </cell>
          <cell r="AA103">
            <v>7.4</v>
          </cell>
          <cell r="AB103">
            <v>3.2</v>
          </cell>
          <cell r="AC103">
            <v>1</v>
          </cell>
          <cell r="AD103">
            <v>0.3</v>
          </cell>
          <cell r="AE103" t="str">
            <v>Re-size</v>
          </cell>
        </row>
        <row r="104">
          <cell r="B104">
            <v>0.95</v>
          </cell>
          <cell r="C104" t="str">
            <v>Re-size</v>
          </cell>
          <cell r="D104" t="str">
            <v>Re-size</v>
          </cell>
          <cell r="E104" t="str">
            <v>Re-size</v>
          </cell>
          <cell r="F104">
            <v>20.96</v>
          </cell>
          <cell r="G104">
            <v>12.26</v>
          </cell>
          <cell r="H104">
            <v>6.91</v>
          </cell>
          <cell r="I104">
            <v>4.13</v>
          </cell>
          <cell r="J104">
            <v>3.16</v>
          </cell>
          <cell r="K104">
            <v>2.31</v>
          </cell>
          <cell r="L104">
            <v>1.4</v>
          </cell>
          <cell r="M104">
            <v>1.06</v>
          </cell>
          <cell r="N104">
            <v>0.77</v>
          </cell>
          <cell r="O104">
            <v>0.46</v>
          </cell>
          <cell r="P104" t="str">
            <v>Re-size</v>
          </cell>
          <cell r="Q104" t="str">
            <v>Re-size</v>
          </cell>
          <cell r="R104" t="str">
            <v>Re-size</v>
          </cell>
          <cell r="S104" t="str">
            <v>Re-size</v>
          </cell>
          <cell r="T104" t="str">
            <v>Re-size</v>
          </cell>
          <cell r="U104" t="str">
            <v>Re-size</v>
          </cell>
          <cell r="V104" t="str">
            <v>Re-size</v>
          </cell>
          <cell r="X104" t="str">
            <v>Re-size</v>
          </cell>
          <cell r="Y104" t="str">
            <v>Re-size</v>
          </cell>
          <cell r="Z104">
            <v>23.5</v>
          </cell>
          <cell r="AA104">
            <v>7.5</v>
          </cell>
          <cell r="AB104">
            <v>3.25</v>
          </cell>
          <cell r="AC104">
            <v>1</v>
          </cell>
          <cell r="AD104">
            <v>0.3</v>
          </cell>
          <cell r="AE104" t="str">
            <v>Re-size</v>
          </cell>
        </row>
        <row r="105">
          <cell r="B105">
            <v>0.96</v>
          </cell>
          <cell r="C105" t="str">
            <v>Re-size</v>
          </cell>
          <cell r="D105" t="str">
            <v>Re-size</v>
          </cell>
          <cell r="E105" t="str">
            <v>Re-size</v>
          </cell>
          <cell r="F105">
            <v>21.36</v>
          </cell>
          <cell r="G105">
            <v>12.49</v>
          </cell>
          <cell r="H105">
            <v>7.04</v>
          </cell>
          <cell r="I105">
            <v>4.2</v>
          </cell>
          <cell r="J105">
            <v>3.22</v>
          </cell>
          <cell r="K105">
            <v>2.35</v>
          </cell>
          <cell r="L105">
            <v>1.42</v>
          </cell>
          <cell r="M105">
            <v>1.08</v>
          </cell>
          <cell r="N105">
            <v>0.79</v>
          </cell>
          <cell r="O105">
            <v>0.47000000000000003</v>
          </cell>
          <cell r="P105" t="str">
            <v>Re-size</v>
          </cell>
          <cell r="Q105" t="str">
            <v>Re-size</v>
          </cell>
          <cell r="R105" t="str">
            <v>Re-size</v>
          </cell>
          <cell r="S105" t="str">
            <v>Re-size</v>
          </cell>
          <cell r="T105" t="str">
            <v>Re-size</v>
          </cell>
          <cell r="U105" t="str">
            <v>Re-size</v>
          </cell>
          <cell r="V105" t="str">
            <v>Re-size</v>
          </cell>
          <cell r="X105" t="str">
            <v>Re-size</v>
          </cell>
          <cell r="Y105" t="str">
            <v>Re-size</v>
          </cell>
          <cell r="Z105">
            <v>23.9</v>
          </cell>
          <cell r="AA105">
            <v>7.6</v>
          </cell>
          <cell r="AB105">
            <v>3.3</v>
          </cell>
          <cell r="AC105">
            <v>1</v>
          </cell>
          <cell r="AD105">
            <v>0.3</v>
          </cell>
          <cell r="AE105" t="str">
            <v>Re-size</v>
          </cell>
        </row>
        <row r="106">
          <cell r="B106">
            <v>0.97</v>
          </cell>
          <cell r="C106" t="str">
            <v>Re-size</v>
          </cell>
          <cell r="D106" t="str">
            <v>Re-size</v>
          </cell>
          <cell r="E106" t="str">
            <v>Re-size</v>
          </cell>
          <cell r="F106">
            <v>21.76</v>
          </cell>
          <cell r="G106">
            <v>12.73</v>
          </cell>
          <cell r="H106">
            <v>7.17</v>
          </cell>
          <cell r="I106">
            <v>4.28</v>
          </cell>
          <cell r="J106">
            <v>3.28</v>
          </cell>
          <cell r="K106">
            <v>2.4</v>
          </cell>
          <cell r="L106">
            <v>1.45</v>
          </cell>
          <cell r="M106">
            <v>1.1000000000000001</v>
          </cell>
          <cell r="N106">
            <v>0.8</v>
          </cell>
          <cell r="O106">
            <v>0.48</v>
          </cell>
          <cell r="P106" t="str">
            <v>Re-size</v>
          </cell>
          <cell r="Q106" t="str">
            <v>Re-size</v>
          </cell>
          <cell r="R106" t="str">
            <v>Re-size</v>
          </cell>
          <cell r="S106" t="str">
            <v>Re-size</v>
          </cell>
          <cell r="T106" t="str">
            <v>Re-size</v>
          </cell>
          <cell r="U106" t="str">
            <v>Re-size</v>
          </cell>
          <cell r="V106" t="str">
            <v>Re-size</v>
          </cell>
          <cell r="X106" t="str">
            <v>Re-size</v>
          </cell>
          <cell r="Y106" t="str">
            <v>Re-size</v>
          </cell>
          <cell r="Z106">
            <v>24.3</v>
          </cell>
          <cell r="AA106">
            <v>7.75</v>
          </cell>
          <cell r="AB106">
            <v>3.4</v>
          </cell>
          <cell r="AC106">
            <v>1.05</v>
          </cell>
          <cell r="AD106">
            <v>0.3</v>
          </cell>
          <cell r="AE106" t="str">
            <v>Re-size</v>
          </cell>
        </row>
        <row r="107">
          <cell r="B107">
            <v>0.98</v>
          </cell>
          <cell r="C107" t="str">
            <v>Re-size</v>
          </cell>
          <cell r="D107" t="str">
            <v>Re-size</v>
          </cell>
          <cell r="E107" t="str">
            <v>Re-size</v>
          </cell>
          <cell r="F107">
            <v>22.16</v>
          </cell>
          <cell r="G107">
            <v>12.96</v>
          </cell>
          <cell r="H107">
            <v>7.3</v>
          </cell>
          <cell r="I107">
            <v>4.3600000000000003</v>
          </cell>
          <cell r="J107">
            <v>3.34</v>
          </cell>
          <cell r="K107">
            <v>2.44</v>
          </cell>
          <cell r="L107">
            <v>1.48</v>
          </cell>
          <cell r="M107">
            <v>1.1200000000000001</v>
          </cell>
          <cell r="N107">
            <v>0.82000000000000006</v>
          </cell>
          <cell r="O107">
            <v>0.49</v>
          </cell>
          <cell r="P107" t="str">
            <v>Re-size</v>
          </cell>
          <cell r="Q107" t="str">
            <v>Re-size</v>
          </cell>
          <cell r="R107" t="str">
            <v>Re-size</v>
          </cell>
          <cell r="S107" t="str">
            <v>Re-size</v>
          </cell>
          <cell r="T107" t="str">
            <v>Re-size</v>
          </cell>
          <cell r="U107" t="str">
            <v>Re-size</v>
          </cell>
          <cell r="V107" t="str">
            <v>Re-size</v>
          </cell>
          <cell r="X107" t="str">
            <v>Re-size</v>
          </cell>
          <cell r="Y107" t="str">
            <v>Re-size</v>
          </cell>
          <cell r="Z107">
            <v>24.7</v>
          </cell>
          <cell r="AA107">
            <v>7.9</v>
          </cell>
          <cell r="AB107">
            <v>3.5</v>
          </cell>
          <cell r="AC107">
            <v>1.1000000000000001</v>
          </cell>
          <cell r="AD107">
            <v>0.3</v>
          </cell>
          <cell r="AE107" t="str">
            <v>Re-size</v>
          </cell>
        </row>
        <row r="108">
          <cell r="B108">
            <v>0.99</v>
          </cell>
          <cell r="C108" t="str">
            <v>Re-size</v>
          </cell>
          <cell r="D108" t="str">
            <v>Re-size</v>
          </cell>
          <cell r="E108" t="str">
            <v>Re-size</v>
          </cell>
          <cell r="F108">
            <v>22.57</v>
          </cell>
          <cell r="G108">
            <v>13.2</v>
          </cell>
          <cell r="H108">
            <v>7.4399999999999995</v>
          </cell>
          <cell r="I108">
            <v>4.4400000000000004</v>
          </cell>
          <cell r="J108">
            <v>3.4099999999999997</v>
          </cell>
          <cell r="K108">
            <v>2.4899999999999998</v>
          </cell>
          <cell r="L108">
            <v>1.51</v>
          </cell>
          <cell r="M108">
            <v>1.1399999999999999</v>
          </cell>
          <cell r="N108">
            <v>0.83</v>
          </cell>
          <cell r="O108">
            <v>0.5</v>
          </cell>
          <cell r="P108" t="str">
            <v>Re-size</v>
          </cell>
          <cell r="Q108" t="str">
            <v>Re-size</v>
          </cell>
          <cell r="R108" t="str">
            <v>Re-size</v>
          </cell>
          <cell r="S108" t="str">
            <v>Re-size</v>
          </cell>
          <cell r="T108" t="str">
            <v>Re-size</v>
          </cell>
          <cell r="U108" t="str">
            <v>Re-size</v>
          </cell>
          <cell r="V108" t="str">
            <v>Re-size</v>
          </cell>
          <cell r="X108" t="str">
            <v>Re-size</v>
          </cell>
          <cell r="Y108" t="str">
            <v>Re-size</v>
          </cell>
          <cell r="Z108">
            <v>25.1</v>
          </cell>
          <cell r="AA108">
            <v>8.0500000000000007</v>
          </cell>
          <cell r="AB108">
            <v>3.55</v>
          </cell>
          <cell r="AC108">
            <v>1.1000000000000001</v>
          </cell>
          <cell r="AD108">
            <v>0.3</v>
          </cell>
          <cell r="AE108" t="str">
            <v>Re-size</v>
          </cell>
        </row>
        <row r="109">
          <cell r="B109">
            <v>1</v>
          </cell>
          <cell r="C109" t="str">
            <v>Re-size</v>
          </cell>
          <cell r="D109" t="str">
            <v>Re-size</v>
          </cell>
          <cell r="E109" t="str">
            <v>Re-size</v>
          </cell>
          <cell r="F109">
            <v>22.97</v>
          </cell>
          <cell r="G109">
            <v>13.43</v>
          </cell>
          <cell r="H109">
            <v>7.57</v>
          </cell>
          <cell r="I109">
            <v>4.5199999999999996</v>
          </cell>
          <cell r="J109">
            <v>3.47</v>
          </cell>
          <cell r="K109">
            <v>2.5299999999999998</v>
          </cell>
          <cell r="L109">
            <v>1.53</v>
          </cell>
          <cell r="M109">
            <v>1.1599999999999999</v>
          </cell>
          <cell r="N109">
            <v>0.84</v>
          </cell>
          <cell r="O109">
            <v>0.5</v>
          </cell>
          <cell r="P109" t="str">
            <v>Re-size</v>
          </cell>
          <cell r="Q109" t="str">
            <v>Re-size</v>
          </cell>
          <cell r="R109" t="str">
            <v>Re-size</v>
          </cell>
          <cell r="S109" t="str">
            <v>Re-size</v>
          </cell>
          <cell r="T109" t="str">
            <v>Re-size</v>
          </cell>
          <cell r="U109" t="str">
            <v>Re-size</v>
          </cell>
          <cell r="V109" t="str">
            <v>Re-size</v>
          </cell>
          <cell r="X109" t="str">
            <v>Re-size</v>
          </cell>
          <cell r="Y109" t="str">
            <v>Re-size</v>
          </cell>
          <cell r="Z109">
            <v>25.5</v>
          </cell>
          <cell r="AA109">
            <v>8.1999999999999993</v>
          </cell>
          <cell r="AB109">
            <v>3.6</v>
          </cell>
          <cell r="AC109">
            <v>1.1000000000000001</v>
          </cell>
          <cell r="AD109">
            <v>0.3</v>
          </cell>
          <cell r="AE109" t="str">
            <v>Re-size</v>
          </cell>
        </row>
        <row r="110">
          <cell r="B110">
            <v>1.01</v>
          </cell>
          <cell r="C110" t="str">
            <v>Re-size</v>
          </cell>
          <cell r="D110" t="str">
            <v>Re-size</v>
          </cell>
          <cell r="E110" t="str">
            <v>Re-size</v>
          </cell>
          <cell r="F110">
            <v>23.38</v>
          </cell>
          <cell r="G110">
            <v>13.709999999999999</v>
          </cell>
          <cell r="H110">
            <v>7.71</v>
          </cell>
          <cell r="I110">
            <v>4.6099999999999994</v>
          </cell>
          <cell r="J110">
            <v>3.53</v>
          </cell>
          <cell r="K110">
            <v>2.58</v>
          </cell>
          <cell r="L110">
            <v>1.56</v>
          </cell>
          <cell r="M110">
            <v>1.18</v>
          </cell>
          <cell r="N110">
            <v>0.86</v>
          </cell>
          <cell r="O110">
            <v>0.51</v>
          </cell>
          <cell r="P110" t="str">
            <v>Re-size</v>
          </cell>
          <cell r="Q110" t="str">
            <v>Re-size</v>
          </cell>
          <cell r="R110" t="str">
            <v>Re-size</v>
          </cell>
          <cell r="S110" t="str">
            <v>Re-size</v>
          </cell>
          <cell r="T110" t="str">
            <v>Re-size</v>
          </cell>
          <cell r="U110" t="str">
            <v>Re-size</v>
          </cell>
          <cell r="V110" t="str">
            <v>Re-size</v>
          </cell>
          <cell r="X110" t="str">
            <v>Re-size</v>
          </cell>
          <cell r="Y110" t="str">
            <v>Re-size</v>
          </cell>
          <cell r="Z110">
            <v>26.28</v>
          </cell>
          <cell r="AA110">
            <v>8.36</v>
          </cell>
          <cell r="AB110">
            <v>3.64</v>
          </cell>
          <cell r="AC110">
            <v>1.1200000000000001</v>
          </cell>
          <cell r="AD110">
            <v>0.3</v>
          </cell>
          <cell r="AE110" t="str">
            <v>Re-size</v>
          </cell>
        </row>
        <row r="111">
          <cell r="B111">
            <v>1.02</v>
          </cell>
          <cell r="C111" t="str">
            <v>Re-size</v>
          </cell>
          <cell r="D111" t="str">
            <v>Re-size</v>
          </cell>
          <cell r="E111" t="str">
            <v>Re-size</v>
          </cell>
          <cell r="F111">
            <v>23.79</v>
          </cell>
          <cell r="G111">
            <v>13.98</v>
          </cell>
          <cell r="H111">
            <v>7.84</v>
          </cell>
          <cell r="I111">
            <v>4.6900000000000004</v>
          </cell>
          <cell r="J111">
            <v>3.59</v>
          </cell>
          <cell r="K111">
            <v>2.63</v>
          </cell>
          <cell r="L111">
            <v>1.59</v>
          </cell>
          <cell r="M111">
            <v>1.2</v>
          </cell>
          <cell r="N111">
            <v>0.88</v>
          </cell>
          <cell r="O111">
            <v>0.52</v>
          </cell>
          <cell r="P111" t="str">
            <v>Re-size</v>
          </cell>
          <cell r="Q111" t="str">
            <v>Re-size</v>
          </cell>
          <cell r="R111" t="str">
            <v>Re-size</v>
          </cell>
          <cell r="S111" t="str">
            <v>Re-size</v>
          </cell>
          <cell r="T111" t="str">
            <v>Re-size</v>
          </cell>
          <cell r="U111" t="str">
            <v>Re-size</v>
          </cell>
          <cell r="V111" t="str">
            <v>Re-size</v>
          </cell>
          <cell r="X111" t="str">
            <v>Re-size</v>
          </cell>
          <cell r="Y111" t="str">
            <v>Re-size</v>
          </cell>
          <cell r="Z111">
            <v>27.06</v>
          </cell>
          <cell r="AA111">
            <v>8.52</v>
          </cell>
          <cell r="AB111">
            <v>3.68</v>
          </cell>
          <cell r="AC111">
            <v>1.1399999999999999</v>
          </cell>
          <cell r="AD111">
            <v>0.3</v>
          </cell>
          <cell r="AE111" t="str">
            <v>Re-size</v>
          </cell>
        </row>
        <row r="112">
          <cell r="B112">
            <v>1.03</v>
          </cell>
          <cell r="C112" t="str">
            <v>Re-size</v>
          </cell>
          <cell r="D112" t="str">
            <v>Re-size</v>
          </cell>
          <cell r="E112" t="str">
            <v>Re-size</v>
          </cell>
          <cell r="F112">
            <v>24.26</v>
          </cell>
          <cell r="G112">
            <v>14.23</v>
          </cell>
          <cell r="H112">
            <v>7.98</v>
          </cell>
          <cell r="I112">
            <v>4.7699999999999996</v>
          </cell>
          <cell r="J112">
            <v>3.6599999999999997</v>
          </cell>
          <cell r="K112">
            <v>2.6799999999999997</v>
          </cell>
          <cell r="L112">
            <v>1.62</v>
          </cell>
          <cell r="M112">
            <v>1.23</v>
          </cell>
          <cell r="N112">
            <v>0.89</v>
          </cell>
          <cell r="O112">
            <v>0.53</v>
          </cell>
          <cell r="P112" t="str">
            <v>Re-size</v>
          </cell>
          <cell r="Q112" t="str">
            <v>Re-size</v>
          </cell>
          <cell r="R112" t="str">
            <v>Re-size</v>
          </cell>
          <cell r="S112" t="str">
            <v>Re-size</v>
          </cell>
          <cell r="T112" t="str">
            <v>Re-size</v>
          </cell>
          <cell r="U112" t="str">
            <v>Re-size</v>
          </cell>
          <cell r="V112" t="str">
            <v>Re-size</v>
          </cell>
          <cell r="X112" t="str">
            <v>Re-size</v>
          </cell>
          <cell r="Y112" t="str">
            <v>Re-size</v>
          </cell>
          <cell r="Z112">
            <v>27.84</v>
          </cell>
          <cell r="AA112">
            <v>8.68</v>
          </cell>
          <cell r="AB112">
            <v>3.72</v>
          </cell>
          <cell r="AC112">
            <v>1.1599999999999999</v>
          </cell>
          <cell r="AD112">
            <v>0.3</v>
          </cell>
          <cell r="AE112" t="str">
            <v>Re-size</v>
          </cell>
        </row>
        <row r="113">
          <cell r="B113">
            <v>1.04</v>
          </cell>
          <cell r="C113" t="str">
            <v>Re-size</v>
          </cell>
          <cell r="D113" t="str">
            <v>Re-size</v>
          </cell>
          <cell r="E113" t="str">
            <v>Re-size</v>
          </cell>
          <cell r="F113">
            <v>24.73</v>
          </cell>
          <cell r="G113">
            <v>14.47</v>
          </cell>
          <cell r="H113">
            <v>8.1199999999999992</v>
          </cell>
          <cell r="I113">
            <v>4.8499999999999996</v>
          </cell>
          <cell r="J113">
            <v>3.72</v>
          </cell>
          <cell r="K113">
            <v>2.72</v>
          </cell>
          <cell r="L113">
            <v>1.64</v>
          </cell>
          <cell r="M113">
            <v>1.25</v>
          </cell>
          <cell r="N113">
            <v>0.91</v>
          </cell>
          <cell r="O113">
            <v>0.54</v>
          </cell>
          <cell r="P113" t="str">
            <v>Re-size</v>
          </cell>
          <cell r="Q113" t="str">
            <v>Re-size</v>
          </cell>
          <cell r="R113" t="str">
            <v>Re-size</v>
          </cell>
          <cell r="S113" t="str">
            <v>Re-size</v>
          </cell>
          <cell r="T113" t="str">
            <v>Re-size</v>
          </cell>
          <cell r="U113" t="str">
            <v>Re-size</v>
          </cell>
          <cell r="V113" t="str">
            <v>Re-size</v>
          </cell>
          <cell r="X113" t="str">
            <v>Re-size</v>
          </cell>
          <cell r="Y113" t="str">
            <v>Re-size</v>
          </cell>
          <cell r="Z113">
            <v>28.62</v>
          </cell>
          <cell r="AA113">
            <v>8.84</v>
          </cell>
          <cell r="AB113">
            <v>3.76</v>
          </cell>
          <cell r="AC113">
            <v>1.18</v>
          </cell>
          <cell r="AD113">
            <v>0.3</v>
          </cell>
          <cell r="AE113" t="str">
            <v>Re-size</v>
          </cell>
        </row>
        <row r="114">
          <cell r="B114">
            <v>1.05</v>
          </cell>
          <cell r="C114" t="str">
            <v>Re-size</v>
          </cell>
          <cell r="D114" t="str">
            <v>Re-size</v>
          </cell>
          <cell r="E114" t="str">
            <v>Re-size</v>
          </cell>
          <cell r="F114">
            <v>25.16</v>
          </cell>
          <cell r="G114">
            <v>14.72</v>
          </cell>
          <cell r="H114">
            <v>8.26</v>
          </cell>
          <cell r="I114">
            <v>4.9399999999999995</v>
          </cell>
          <cell r="J114">
            <v>3.7899999999999996</v>
          </cell>
          <cell r="K114">
            <v>2.7699999999999996</v>
          </cell>
          <cell r="L114">
            <v>1.67</v>
          </cell>
          <cell r="M114">
            <v>1.27</v>
          </cell>
          <cell r="N114">
            <v>0.92</v>
          </cell>
          <cell r="O114">
            <v>0.55000000000000004</v>
          </cell>
          <cell r="P114" t="str">
            <v>Re-size</v>
          </cell>
          <cell r="Q114" t="str">
            <v>Re-size</v>
          </cell>
          <cell r="R114" t="str">
            <v>Re-size</v>
          </cell>
          <cell r="S114" t="str">
            <v>Re-size</v>
          </cell>
          <cell r="T114" t="str">
            <v>Re-size</v>
          </cell>
          <cell r="U114" t="str">
            <v>Re-size</v>
          </cell>
          <cell r="V114" t="str">
            <v>Re-size</v>
          </cell>
          <cell r="X114" t="str">
            <v>Re-size</v>
          </cell>
          <cell r="Y114" t="str">
            <v>Re-size</v>
          </cell>
          <cell r="Z114">
            <v>29.4</v>
          </cell>
          <cell r="AA114">
            <v>9</v>
          </cell>
          <cell r="AB114">
            <v>3.8</v>
          </cell>
          <cell r="AC114">
            <v>1.2</v>
          </cell>
          <cell r="AD114">
            <v>0.3</v>
          </cell>
          <cell r="AE114" t="str">
            <v>Re-size</v>
          </cell>
        </row>
        <row r="115">
          <cell r="B115">
            <v>1.06</v>
          </cell>
          <cell r="C115" t="str">
            <v>Re-size</v>
          </cell>
          <cell r="D115" t="str">
            <v>Re-size</v>
          </cell>
          <cell r="E115" t="str">
            <v>Re-size</v>
          </cell>
          <cell r="F115">
            <v>25.58</v>
          </cell>
          <cell r="G115">
            <v>14.96</v>
          </cell>
          <cell r="H115">
            <v>8.4</v>
          </cell>
          <cell r="I115">
            <v>5.0199999999999996</v>
          </cell>
          <cell r="J115">
            <v>3.85</v>
          </cell>
          <cell r="K115">
            <v>2.81</v>
          </cell>
          <cell r="L115">
            <v>1.7</v>
          </cell>
          <cell r="M115">
            <v>1.29</v>
          </cell>
          <cell r="N115">
            <v>0.94000000000000006</v>
          </cell>
          <cell r="O115">
            <v>0.56000000000000005</v>
          </cell>
          <cell r="P115" t="str">
            <v>Re-size</v>
          </cell>
          <cell r="Q115" t="str">
            <v>Re-size</v>
          </cell>
          <cell r="R115" t="str">
            <v>Re-size</v>
          </cell>
          <cell r="S115" t="str">
            <v>Re-size</v>
          </cell>
          <cell r="T115" t="str">
            <v>Re-size</v>
          </cell>
          <cell r="U115" t="str">
            <v>Re-size</v>
          </cell>
          <cell r="V115" t="str">
            <v>Re-size</v>
          </cell>
          <cell r="X115" t="str">
            <v>Re-size</v>
          </cell>
          <cell r="Y115" t="str">
            <v>Re-size</v>
          </cell>
          <cell r="Z115">
            <v>29.64</v>
          </cell>
          <cell r="AA115">
            <v>9.16</v>
          </cell>
          <cell r="AB115">
            <v>3.88</v>
          </cell>
          <cell r="AC115">
            <v>1.22</v>
          </cell>
          <cell r="AD115">
            <v>0.3</v>
          </cell>
          <cell r="AE115" t="str">
            <v>Re-size</v>
          </cell>
        </row>
        <row r="116">
          <cell r="B116">
            <v>1.07</v>
          </cell>
          <cell r="C116" t="str">
            <v>Re-size</v>
          </cell>
          <cell r="D116" t="str">
            <v>Re-size</v>
          </cell>
          <cell r="E116" t="str">
            <v>Re-size</v>
          </cell>
          <cell r="F116">
            <v>26.01</v>
          </cell>
          <cell r="G116">
            <v>15.21</v>
          </cell>
          <cell r="H116">
            <v>8.5399999999999991</v>
          </cell>
          <cell r="I116">
            <v>5.1099999999999994</v>
          </cell>
          <cell r="J116">
            <v>3.92</v>
          </cell>
          <cell r="K116">
            <v>2.86</v>
          </cell>
          <cell r="L116">
            <v>1.73</v>
          </cell>
          <cell r="M116">
            <v>1.31</v>
          </cell>
          <cell r="N116">
            <v>0.96</v>
          </cell>
          <cell r="O116">
            <v>0.57000000000000006</v>
          </cell>
          <cell r="P116" t="str">
            <v>Re-size</v>
          </cell>
          <cell r="Q116" t="str">
            <v>Re-size</v>
          </cell>
          <cell r="R116" t="str">
            <v>Re-size</v>
          </cell>
          <cell r="S116" t="str">
            <v>Re-size</v>
          </cell>
          <cell r="T116" t="str">
            <v>Re-size</v>
          </cell>
          <cell r="U116" t="str">
            <v>Re-size</v>
          </cell>
          <cell r="V116" t="str">
            <v>Re-size</v>
          </cell>
          <cell r="X116" t="str">
            <v>Re-size</v>
          </cell>
          <cell r="Y116" t="str">
            <v>Re-size</v>
          </cell>
          <cell r="Z116">
            <v>29.88</v>
          </cell>
          <cell r="AA116">
            <v>9.32</v>
          </cell>
          <cell r="AB116">
            <v>3.96</v>
          </cell>
          <cell r="AC116">
            <v>1.24</v>
          </cell>
          <cell r="AD116">
            <v>0.3</v>
          </cell>
          <cell r="AE116" t="str">
            <v>Re-size</v>
          </cell>
        </row>
        <row r="117">
          <cell r="B117">
            <v>1.08</v>
          </cell>
          <cell r="C117" t="str">
            <v>Re-size</v>
          </cell>
          <cell r="D117" t="str">
            <v>Re-size</v>
          </cell>
          <cell r="E117" t="str">
            <v>Re-size</v>
          </cell>
          <cell r="F117">
            <v>26.44</v>
          </cell>
          <cell r="G117">
            <v>15.46</v>
          </cell>
          <cell r="H117">
            <v>8.68</v>
          </cell>
          <cell r="I117">
            <v>5.19</v>
          </cell>
          <cell r="J117">
            <v>3.98</v>
          </cell>
          <cell r="K117">
            <v>2.91</v>
          </cell>
          <cell r="L117">
            <v>1.76</v>
          </cell>
          <cell r="M117">
            <v>1.33</v>
          </cell>
          <cell r="N117">
            <v>0.97</v>
          </cell>
          <cell r="O117">
            <v>0.57999999999999996</v>
          </cell>
          <cell r="P117" t="str">
            <v>Re-size</v>
          </cell>
          <cell r="Q117" t="str">
            <v>Re-size</v>
          </cell>
          <cell r="R117" t="str">
            <v>Re-size</v>
          </cell>
          <cell r="S117" t="str">
            <v>Re-size</v>
          </cell>
          <cell r="T117" t="str">
            <v>Re-size</v>
          </cell>
          <cell r="U117" t="str">
            <v>Re-size</v>
          </cell>
          <cell r="V117" t="str">
            <v>Re-size</v>
          </cell>
          <cell r="X117" t="str">
            <v>Re-size</v>
          </cell>
          <cell r="Y117" t="str">
            <v>Re-size</v>
          </cell>
          <cell r="Z117">
            <v>30.12</v>
          </cell>
          <cell r="AA117">
            <v>9.48</v>
          </cell>
          <cell r="AB117">
            <v>4.04</v>
          </cell>
          <cell r="AC117">
            <v>1.26</v>
          </cell>
          <cell r="AD117">
            <v>0.3</v>
          </cell>
          <cell r="AE117" t="str">
            <v>Re-size</v>
          </cell>
        </row>
        <row r="118">
          <cell r="B118">
            <v>1.0900000000000001</v>
          </cell>
          <cell r="C118" t="str">
            <v>Re-size</v>
          </cell>
          <cell r="D118" t="str">
            <v>Re-size</v>
          </cell>
          <cell r="E118" t="str">
            <v>Re-size</v>
          </cell>
          <cell r="F118">
            <v>26.87</v>
          </cell>
          <cell r="G118">
            <v>15.72</v>
          </cell>
          <cell r="H118">
            <v>8.82</v>
          </cell>
          <cell r="I118">
            <v>5.2799999999999994</v>
          </cell>
          <cell r="J118">
            <v>4.05</v>
          </cell>
          <cell r="K118">
            <v>2.96</v>
          </cell>
          <cell r="L118">
            <v>1.79</v>
          </cell>
          <cell r="M118">
            <v>1.36</v>
          </cell>
          <cell r="N118">
            <v>0.99</v>
          </cell>
          <cell r="O118">
            <v>0.59</v>
          </cell>
          <cell r="P118" t="str">
            <v>Re-size</v>
          </cell>
          <cell r="Q118" t="str">
            <v>Re-size</v>
          </cell>
          <cell r="R118" t="str">
            <v>Re-size</v>
          </cell>
          <cell r="S118" t="str">
            <v>Re-size</v>
          </cell>
          <cell r="T118" t="str">
            <v>Re-size</v>
          </cell>
          <cell r="U118" t="str">
            <v>Re-size</v>
          </cell>
          <cell r="V118" t="str">
            <v>Re-size</v>
          </cell>
          <cell r="X118" t="str">
            <v>Re-size</v>
          </cell>
          <cell r="Y118" t="str">
            <v>Re-size</v>
          </cell>
          <cell r="Z118">
            <v>30.36</v>
          </cell>
          <cell r="AA118">
            <v>9.64</v>
          </cell>
          <cell r="AB118">
            <v>4.12</v>
          </cell>
          <cell r="AC118">
            <v>1.28</v>
          </cell>
          <cell r="AD118">
            <v>0.3</v>
          </cell>
          <cell r="AE118" t="str">
            <v>Re-size</v>
          </cell>
        </row>
        <row r="119">
          <cell r="B119">
            <v>1.1000000000000001</v>
          </cell>
          <cell r="C119" t="str">
            <v>Re-size</v>
          </cell>
          <cell r="D119" t="str">
            <v>Re-size</v>
          </cell>
          <cell r="E119" t="str">
            <v>Re-size</v>
          </cell>
          <cell r="F119">
            <v>27.3</v>
          </cell>
          <cell r="G119">
            <v>15.97</v>
          </cell>
          <cell r="H119">
            <v>8.9600000000000009</v>
          </cell>
          <cell r="I119">
            <v>5.36</v>
          </cell>
          <cell r="J119">
            <v>4.1100000000000003</v>
          </cell>
          <cell r="K119">
            <v>3</v>
          </cell>
          <cell r="L119">
            <v>1.82</v>
          </cell>
          <cell r="M119">
            <v>1.38</v>
          </cell>
          <cell r="N119">
            <v>1</v>
          </cell>
          <cell r="O119">
            <v>0.59</v>
          </cell>
          <cell r="P119">
            <v>0.45</v>
          </cell>
          <cell r="Q119">
            <v>0.43</v>
          </cell>
          <cell r="R119" t="str">
            <v>Re-size</v>
          </cell>
          <cell r="S119" t="str">
            <v>Re-size</v>
          </cell>
          <cell r="T119" t="str">
            <v>Re-size</v>
          </cell>
          <cell r="U119" t="str">
            <v>Re-size</v>
          </cell>
          <cell r="V119" t="str">
            <v>Re-size</v>
          </cell>
          <cell r="X119" t="str">
            <v>Re-size</v>
          </cell>
          <cell r="Y119" t="str">
            <v>Re-size</v>
          </cell>
          <cell r="Z119">
            <v>30.6</v>
          </cell>
          <cell r="AA119">
            <v>9.8000000000000007</v>
          </cell>
          <cell r="AB119">
            <v>4.2</v>
          </cell>
          <cell r="AC119">
            <v>1.3</v>
          </cell>
          <cell r="AD119">
            <v>0.3</v>
          </cell>
          <cell r="AE119" t="str">
            <v>Re-size</v>
          </cell>
        </row>
        <row r="120">
          <cell r="B120">
            <v>1.1100000000000001</v>
          </cell>
          <cell r="C120" t="str">
            <v>Re-size</v>
          </cell>
          <cell r="D120" t="str">
            <v>Re-size</v>
          </cell>
          <cell r="E120" t="str">
            <v>Re-size</v>
          </cell>
          <cell r="F120">
            <v>27.8</v>
          </cell>
          <cell r="G120">
            <v>16.270000000000003</v>
          </cell>
          <cell r="H120">
            <v>9.11</v>
          </cell>
          <cell r="I120">
            <v>5.45</v>
          </cell>
          <cell r="J120">
            <v>4.1899999999999995</v>
          </cell>
          <cell r="K120">
            <v>3.05</v>
          </cell>
          <cell r="L120">
            <v>1.85</v>
          </cell>
          <cell r="M120">
            <v>1.4</v>
          </cell>
          <cell r="N120">
            <v>1.02</v>
          </cell>
          <cell r="O120">
            <v>0.6</v>
          </cell>
          <cell r="P120">
            <v>0.46</v>
          </cell>
          <cell r="Q120">
            <v>0.44</v>
          </cell>
          <cell r="R120" t="str">
            <v>Re-size</v>
          </cell>
          <cell r="S120" t="str">
            <v>Re-size</v>
          </cell>
          <cell r="T120" t="str">
            <v>Re-size</v>
          </cell>
          <cell r="U120" t="str">
            <v>Re-size</v>
          </cell>
          <cell r="V120" t="str">
            <v>Re-size</v>
          </cell>
          <cell r="X120" t="str">
            <v>Re-size</v>
          </cell>
          <cell r="Y120" t="str">
            <v>Re-size</v>
          </cell>
          <cell r="Z120">
            <v>31.42</v>
          </cell>
          <cell r="AA120">
            <v>9.9600000000000009</v>
          </cell>
          <cell r="AB120">
            <v>4.28</v>
          </cell>
          <cell r="AC120">
            <v>1.34</v>
          </cell>
          <cell r="AD120">
            <v>0.32</v>
          </cell>
          <cell r="AE120" t="str">
            <v>Re-size</v>
          </cell>
        </row>
        <row r="121">
          <cell r="B121">
            <v>1.1200000000000001</v>
          </cell>
          <cell r="C121" t="str">
            <v>Re-size</v>
          </cell>
          <cell r="D121" t="str">
            <v>Re-size</v>
          </cell>
          <cell r="E121" t="str">
            <v>Re-size</v>
          </cell>
          <cell r="F121">
            <v>28.3</v>
          </cell>
          <cell r="G121">
            <v>16.559999999999999</v>
          </cell>
          <cell r="H121">
            <v>9.25</v>
          </cell>
          <cell r="I121">
            <v>5.53</v>
          </cell>
          <cell r="J121">
            <v>4.26</v>
          </cell>
          <cell r="K121">
            <v>3.1</v>
          </cell>
          <cell r="L121">
            <v>1.87</v>
          </cell>
          <cell r="M121">
            <v>1.42</v>
          </cell>
          <cell r="N121">
            <v>1.04</v>
          </cell>
          <cell r="O121">
            <v>0.61</v>
          </cell>
          <cell r="P121">
            <v>0.47000000000000003</v>
          </cell>
          <cell r="Q121">
            <v>0.45</v>
          </cell>
          <cell r="R121" t="str">
            <v>Re-size</v>
          </cell>
          <cell r="S121" t="str">
            <v>Re-size</v>
          </cell>
          <cell r="T121" t="str">
            <v>Re-size</v>
          </cell>
          <cell r="U121" t="str">
            <v>Re-size</v>
          </cell>
          <cell r="V121" t="str">
            <v>Re-size</v>
          </cell>
          <cell r="X121" t="str">
            <v>Re-size</v>
          </cell>
          <cell r="Y121" t="str">
            <v>Re-size</v>
          </cell>
          <cell r="Z121">
            <v>32.24</v>
          </cell>
          <cell r="AA121">
            <v>10.119999999999999</v>
          </cell>
          <cell r="AB121">
            <v>4.3600000000000003</v>
          </cell>
          <cell r="AC121">
            <v>1.38</v>
          </cell>
          <cell r="AD121">
            <v>0.34</v>
          </cell>
          <cell r="AE121" t="str">
            <v>Re-size</v>
          </cell>
        </row>
        <row r="122">
          <cell r="B122">
            <v>1.1299999999999999</v>
          </cell>
          <cell r="C122" t="str">
            <v>Re-size</v>
          </cell>
          <cell r="D122" t="str">
            <v>Re-size</v>
          </cell>
          <cell r="E122" t="str">
            <v>Re-size</v>
          </cell>
          <cell r="F122">
            <v>28.75</v>
          </cell>
          <cell r="G122">
            <v>16.82</v>
          </cell>
          <cell r="H122">
            <v>9.42</v>
          </cell>
          <cell r="I122">
            <v>5.63</v>
          </cell>
          <cell r="J122">
            <v>4.33</v>
          </cell>
          <cell r="K122">
            <v>3.15</v>
          </cell>
          <cell r="L122">
            <v>1.9</v>
          </cell>
          <cell r="M122">
            <v>1.45</v>
          </cell>
          <cell r="N122">
            <v>1.05</v>
          </cell>
          <cell r="O122">
            <v>0.62</v>
          </cell>
          <cell r="P122">
            <v>0.47000000000000003</v>
          </cell>
          <cell r="Q122">
            <v>0.46</v>
          </cell>
          <cell r="R122" t="str">
            <v>Re-size</v>
          </cell>
          <cell r="S122" t="str">
            <v>Re-size</v>
          </cell>
          <cell r="T122" t="str">
            <v>Re-size</v>
          </cell>
          <cell r="U122" t="str">
            <v>Re-size</v>
          </cell>
          <cell r="V122" t="str">
            <v>Re-size</v>
          </cell>
          <cell r="X122" t="str">
            <v>Re-size</v>
          </cell>
          <cell r="Y122" t="str">
            <v>Re-size</v>
          </cell>
          <cell r="Z122">
            <v>33.06</v>
          </cell>
          <cell r="AA122">
            <v>10.28</v>
          </cell>
          <cell r="AB122">
            <v>4.4400000000000004</v>
          </cell>
          <cell r="AC122">
            <v>1.42</v>
          </cell>
          <cell r="AD122">
            <v>0.36</v>
          </cell>
          <cell r="AE122" t="str">
            <v>Re-size</v>
          </cell>
        </row>
        <row r="123">
          <cell r="B123">
            <v>1.1399999999999999</v>
          </cell>
          <cell r="C123" t="str">
            <v>Re-size</v>
          </cell>
          <cell r="D123" t="str">
            <v>Re-size</v>
          </cell>
          <cell r="E123" t="str">
            <v>Re-size</v>
          </cell>
          <cell r="F123">
            <v>29.19</v>
          </cell>
          <cell r="G123">
            <v>17.079999999999998</v>
          </cell>
          <cell r="H123">
            <v>9.59</v>
          </cell>
          <cell r="I123">
            <v>5.73</v>
          </cell>
          <cell r="J123">
            <v>4.3899999999999997</v>
          </cell>
          <cell r="K123">
            <v>3.2</v>
          </cell>
          <cell r="L123">
            <v>1.93</v>
          </cell>
          <cell r="M123">
            <v>1.47</v>
          </cell>
          <cell r="N123">
            <v>1.07</v>
          </cell>
          <cell r="O123">
            <v>0.63</v>
          </cell>
          <cell r="P123">
            <v>0.48</v>
          </cell>
          <cell r="Q123">
            <v>0.47000000000000003</v>
          </cell>
          <cell r="R123" t="str">
            <v>Re-size</v>
          </cell>
          <cell r="S123" t="str">
            <v>Re-size</v>
          </cell>
          <cell r="T123" t="str">
            <v>Re-size</v>
          </cell>
          <cell r="U123" t="str">
            <v>Re-size</v>
          </cell>
          <cell r="V123" t="str">
            <v>Re-size</v>
          </cell>
          <cell r="X123" t="str">
            <v>Re-size</v>
          </cell>
          <cell r="Y123" t="str">
            <v>Re-size</v>
          </cell>
          <cell r="Z123">
            <v>33.880000000000003</v>
          </cell>
          <cell r="AA123">
            <v>10.44</v>
          </cell>
          <cell r="AB123">
            <v>4.5199999999999996</v>
          </cell>
          <cell r="AC123">
            <v>1.46</v>
          </cell>
          <cell r="AD123">
            <v>0.38</v>
          </cell>
          <cell r="AE123" t="str">
            <v>Re-size</v>
          </cell>
        </row>
        <row r="124">
          <cell r="B124">
            <v>1.1499999999999999</v>
          </cell>
          <cell r="C124" t="str">
            <v>Re-size</v>
          </cell>
          <cell r="D124" t="str">
            <v>Re-size</v>
          </cell>
          <cell r="E124" t="str">
            <v>Re-size</v>
          </cell>
          <cell r="F124">
            <v>29.64</v>
          </cell>
          <cell r="G124">
            <v>17.34</v>
          </cell>
          <cell r="H124">
            <v>9.74</v>
          </cell>
          <cell r="I124">
            <v>5.82</v>
          </cell>
          <cell r="J124">
            <v>4.46</v>
          </cell>
          <cell r="K124">
            <v>3.25</v>
          </cell>
          <cell r="L124">
            <v>1.96</v>
          </cell>
          <cell r="M124">
            <v>1.49</v>
          </cell>
          <cell r="N124">
            <v>1.08</v>
          </cell>
          <cell r="O124">
            <v>0.64</v>
          </cell>
          <cell r="P124">
            <v>0.48</v>
          </cell>
          <cell r="Q124">
            <v>0.47</v>
          </cell>
          <cell r="R124" t="str">
            <v>Re-size</v>
          </cell>
          <cell r="S124" t="str">
            <v>Re-size</v>
          </cell>
          <cell r="T124" t="str">
            <v>Re-size</v>
          </cell>
          <cell r="U124" t="str">
            <v>Re-size</v>
          </cell>
          <cell r="V124" t="str">
            <v>Re-size</v>
          </cell>
          <cell r="X124" t="str">
            <v>Re-size</v>
          </cell>
          <cell r="Y124" t="str">
            <v>Re-size</v>
          </cell>
          <cell r="Z124">
            <v>34.700000000000003</v>
          </cell>
          <cell r="AA124">
            <v>10.6</v>
          </cell>
          <cell r="AB124">
            <v>4.5999999999999996</v>
          </cell>
          <cell r="AC124">
            <v>1.5</v>
          </cell>
          <cell r="AD124">
            <v>0.4</v>
          </cell>
          <cell r="AE124" t="str">
            <v>Re-size</v>
          </cell>
        </row>
        <row r="125">
          <cell r="B125">
            <v>1.1599999999999999</v>
          </cell>
          <cell r="C125" t="str">
            <v>Re-size</v>
          </cell>
          <cell r="D125" t="str">
            <v>Re-size</v>
          </cell>
          <cell r="E125" t="str">
            <v>Re-size</v>
          </cell>
          <cell r="F125">
            <v>30.09</v>
          </cell>
          <cell r="G125">
            <v>17.600000000000001</v>
          </cell>
          <cell r="H125">
            <v>9.8800000000000008</v>
          </cell>
          <cell r="I125">
            <v>5.91</v>
          </cell>
          <cell r="J125">
            <v>4.53</v>
          </cell>
          <cell r="K125">
            <v>3.3</v>
          </cell>
          <cell r="L125">
            <v>1.99</v>
          </cell>
          <cell r="M125">
            <v>1.51</v>
          </cell>
          <cell r="N125">
            <v>1.1000000000000001</v>
          </cell>
          <cell r="O125">
            <v>0.65</v>
          </cell>
          <cell r="P125">
            <v>0.49</v>
          </cell>
          <cell r="Q125">
            <v>0.48</v>
          </cell>
          <cell r="R125" t="str">
            <v>Re-size</v>
          </cell>
          <cell r="S125" t="str">
            <v>Re-size</v>
          </cell>
          <cell r="T125" t="str">
            <v>Re-size</v>
          </cell>
          <cell r="U125" t="str">
            <v>Re-size</v>
          </cell>
          <cell r="V125" t="str">
            <v>Re-size</v>
          </cell>
          <cell r="X125" t="str">
            <v>Re-size</v>
          </cell>
          <cell r="Y125" t="str">
            <v>Re-size</v>
          </cell>
          <cell r="Z125">
            <v>34.9</v>
          </cell>
          <cell r="AA125">
            <v>10.78</v>
          </cell>
          <cell r="AB125">
            <v>4.66</v>
          </cell>
          <cell r="AC125">
            <v>1.52</v>
          </cell>
          <cell r="AD125">
            <v>0.4</v>
          </cell>
          <cell r="AE125" t="str">
            <v>Re-size</v>
          </cell>
        </row>
        <row r="126">
          <cell r="B126">
            <v>1.17</v>
          </cell>
          <cell r="C126" t="str">
            <v>Re-size</v>
          </cell>
          <cell r="D126" t="str">
            <v>Re-size</v>
          </cell>
          <cell r="E126" t="str">
            <v>Re-size</v>
          </cell>
          <cell r="F126">
            <v>30.61</v>
          </cell>
          <cell r="G126">
            <v>17.91</v>
          </cell>
          <cell r="H126">
            <v>10.029999999999999</v>
          </cell>
          <cell r="I126">
            <v>6</v>
          </cell>
          <cell r="J126">
            <v>4.5999999999999996</v>
          </cell>
          <cell r="K126">
            <v>3.36</v>
          </cell>
          <cell r="L126">
            <v>2.02</v>
          </cell>
          <cell r="M126">
            <v>1.54</v>
          </cell>
          <cell r="N126">
            <v>1.1200000000000001</v>
          </cell>
          <cell r="O126">
            <v>0.66</v>
          </cell>
          <cell r="P126">
            <v>0.5</v>
          </cell>
          <cell r="Q126">
            <v>0.49</v>
          </cell>
          <cell r="R126" t="str">
            <v>Re-size</v>
          </cell>
          <cell r="S126" t="str">
            <v>Re-size</v>
          </cell>
          <cell r="T126" t="str">
            <v>Re-size</v>
          </cell>
          <cell r="U126" t="str">
            <v>Re-size</v>
          </cell>
          <cell r="V126" t="str">
            <v>Re-size</v>
          </cell>
          <cell r="X126" t="str">
            <v>Re-size</v>
          </cell>
          <cell r="Y126" t="str">
            <v>Re-size</v>
          </cell>
          <cell r="Z126">
            <v>35.1</v>
          </cell>
          <cell r="AA126">
            <v>10.96</v>
          </cell>
          <cell r="AB126">
            <v>4.72</v>
          </cell>
          <cell r="AC126">
            <v>1.54</v>
          </cell>
          <cell r="AD126">
            <v>0.4</v>
          </cell>
          <cell r="AE126" t="str">
            <v>Re-size</v>
          </cell>
        </row>
        <row r="127">
          <cell r="B127">
            <v>1.18</v>
          </cell>
          <cell r="C127" t="str">
            <v>Re-size</v>
          </cell>
          <cell r="D127" t="str">
            <v>Re-size</v>
          </cell>
          <cell r="E127" t="str">
            <v>Re-size</v>
          </cell>
          <cell r="F127">
            <v>31.13</v>
          </cell>
          <cell r="G127">
            <v>18.21</v>
          </cell>
          <cell r="H127">
            <v>10.18</v>
          </cell>
          <cell r="I127">
            <v>6.09</v>
          </cell>
          <cell r="J127">
            <v>4.67</v>
          </cell>
          <cell r="K127">
            <v>3.41</v>
          </cell>
          <cell r="L127">
            <v>2.0499999999999998</v>
          </cell>
          <cell r="M127">
            <v>1.56</v>
          </cell>
          <cell r="N127">
            <v>1.1300000000000001</v>
          </cell>
          <cell r="O127">
            <v>0.67</v>
          </cell>
          <cell r="P127">
            <v>0.51</v>
          </cell>
          <cell r="Q127">
            <v>0.49</v>
          </cell>
          <cell r="R127" t="str">
            <v>Re-size</v>
          </cell>
          <cell r="S127" t="str">
            <v>Re-size</v>
          </cell>
          <cell r="T127" t="str">
            <v>Re-size</v>
          </cell>
          <cell r="U127" t="str">
            <v>Re-size</v>
          </cell>
          <cell r="V127" t="str">
            <v>Re-size</v>
          </cell>
          <cell r="X127" t="str">
            <v>Re-size</v>
          </cell>
          <cell r="Y127" t="str">
            <v>Re-size</v>
          </cell>
          <cell r="Z127">
            <v>35.299999999999997</v>
          </cell>
          <cell r="AA127">
            <v>11.14</v>
          </cell>
          <cell r="AB127">
            <v>4.78</v>
          </cell>
          <cell r="AC127">
            <v>1.56</v>
          </cell>
          <cell r="AD127">
            <v>0.4</v>
          </cell>
          <cell r="AE127" t="str">
            <v>Re-size</v>
          </cell>
        </row>
        <row r="128">
          <cell r="B128">
            <v>1.19</v>
          </cell>
          <cell r="C128" t="str">
            <v>Re-size</v>
          </cell>
          <cell r="D128" t="str">
            <v>Re-size</v>
          </cell>
          <cell r="E128" t="str">
            <v>Re-size</v>
          </cell>
          <cell r="F128">
            <v>31.59</v>
          </cell>
          <cell r="G128">
            <v>18.48</v>
          </cell>
          <cell r="H128">
            <v>10.33</v>
          </cell>
          <cell r="I128">
            <v>6.18</v>
          </cell>
          <cell r="J128">
            <v>4.74</v>
          </cell>
          <cell r="K128">
            <v>3.46</v>
          </cell>
          <cell r="L128">
            <v>2.09</v>
          </cell>
          <cell r="M128">
            <v>1.59</v>
          </cell>
          <cell r="N128">
            <v>1.1499999999999999</v>
          </cell>
          <cell r="O128">
            <v>0.68</v>
          </cell>
          <cell r="P128">
            <v>0.52</v>
          </cell>
          <cell r="Q128">
            <v>0.5</v>
          </cell>
          <cell r="R128" t="str">
            <v>Re-size</v>
          </cell>
          <cell r="S128" t="str">
            <v>Re-size</v>
          </cell>
          <cell r="T128" t="str">
            <v>Re-size</v>
          </cell>
          <cell r="U128" t="str">
            <v>Re-size</v>
          </cell>
          <cell r="V128" t="str">
            <v>Re-size</v>
          </cell>
          <cell r="X128" t="str">
            <v>Re-size</v>
          </cell>
          <cell r="Y128" t="str">
            <v>Re-size</v>
          </cell>
          <cell r="Z128">
            <v>35.5</v>
          </cell>
          <cell r="AA128">
            <v>11.32</v>
          </cell>
          <cell r="AB128">
            <v>4.84</v>
          </cell>
          <cell r="AC128">
            <v>1.58</v>
          </cell>
          <cell r="AD128">
            <v>0.4</v>
          </cell>
          <cell r="AE128" t="str">
            <v>Re-size</v>
          </cell>
        </row>
        <row r="129">
          <cell r="B129">
            <v>1.2</v>
          </cell>
          <cell r="C129" t="str">
            <v>Re-size</v>
          </cell>
          <cell r="D129" t="str">
            <v>Re-size</v>
          </cell>
          <cell r="E129" t="str">
            <v>Re-size</v>
          </cell>
          <cell r="F129">
            <v>32.049999999999997</v>
          </cell>
          <cell r="G129">
            <v>18.75</v>
          </cell>
          <cell r="H129">
            <v>10.48</v>
          </cell>
          <cell r="I129">
            <v>6.27</v>
          </cell>
          <cell r="J129">
            <v>4.8099999999999996</v>
          </cell>
          <cell r="K129">
            <v>3.51</v>
          </cell>
          <cell r="L129">
            <v>2.12</v>
          </cell>
          <cell r="M129">
            <v>1.61</v>
          </cell>
          <cell r="N129">
            <v>1.1599999999999999</v>
          </cell>
          <cell r="O129">
            <v>0.69</v>
          </cell>
          <cell r="P129">
            <v>0.53</v>
          </cell>
          <cell r="Q129">
            <v>0.5</v>
          </cell>
          <cell r="R129" t="str">
            <v>Re-size</v>
          </cell>
          <cell r="S129" t="str">
            <v>Re-size</v>
          </cell>
          <cell r="T129" t="str">
            <v>Re-size</v>
          </cell>
          <cell r="U129" t="str">
            <v>Re-size</v>
          </cell>
          <cell r="V129" t="str">
            <v>Re-size</v>
          </cell>
          <cell r="X129" t="str">
            <v>Re-size</v>
          </cell>
          <cell r="Y129" t="str">
            <v>Re-size</v>
          </cell>
          <cell r="Z129">
            <v>35.700000000000003</v>
          </cell>
          <cell r="AA129">
            <v>11.5</v>
          </cell>
          <cell r="AB129">
            <v>4.9000000000000004</v>
          </cell>
          <cell r="AC129">
            <v>1.6</v>
          </cell>
          <cell r="AD129">
            <v>0.4</v>
          </cell>
          <cell r="AE129" t="str">
            <v>Re-size</v>
          </cell>
        </row>
        <row r="130">
          <cell r="B130">
            <v>1.21</v>
          </cell>
          <cell r="C130" t="str">
            <v>Re-size</v>
          </cell>
          <cell r="D130" t="str">
            <v>Re-size</v>
          </cell>
          <cell r="E130" t="str">
            <v>Re-size</v>
          </cell>
          <cell r="F130">
            <v>32.519999999999996</v>
          </cell>
          <cell r="G130">
            <v>19.03</v>
          </cell>
          <cell r="H130">
            <v>10.66</v>
          </cell>
          <cell r="I130">
            <v>6.36</v>
          </cell>
          <cell r="J130">
            <v>4.88</v>
          </cell>
          <cell r="K130">
            <v>3.57</v>
          </cell>
          <cell r="L130">
            <v>2.15</v>
          </cell>
          <cell r="M130">
            <v>1.63</v>
          </cell>
          <cell r="N130">
            <v>1.18</v>
          </cell>
          <cell r="O130">
            <v>0.7</v>
          </cell>
          <cell r="P130">
            <v>0.54</v>
          </cell>
          <cell r="Q130">
            <v>0.51</v>
          </cell>
          <cell r="R130" t="str">
            <v>Re-size</v>
          </cell>
          <cell r="S130" t="str">
            <v>Re-size</v>
          </cell>
          <cell r="T130" t="str">
            <v>Re-size</v>
          </cell>
          <cell r="U130" t="str">
            <v>Re-size</v>
          </cell>
          <cell r="V130" t="str">
            <v>Re-size</v>
          </cell>
          <cell r="X130" t="str">
            <v>Re-size</v>
          </cell>
          <cell r="Y130" t="str">
            <v>Re-size</v>
          </cell>
          <cell r="Z130">
            <v>36.22</v>
          </cell>
          <cell r="AA130">
            <v>11.68</v>
          </cell>
          <cell r="AB130">
            <v>4.9800000000000004</v>
          </cell>
          <cell r="AC130">
            <v>1.62</v>
          </cell>
          <cell r="AD130">
            <v>0.4</v>
          </cell>
          <cell r="AE130" t="str">
            <v>Re-size</v>
          </cell>
        </row>
        <row r="131">
          <cell r="B131">
            <v>1.22</v>
          </cell>
          <cell r="C131" t="str">
            <v>Re-size</v>
          </cell>
          <cell r="D131" t="str">
            <v>Re-size</v>
          </cell>
          <cell r="E131" t="str">
            <v>Re-size</v>
          </cell>
          <cell r="F131">
            <v>32.979999999999997</v>
          </cell>
          <cell r="G131">
            <v>19.3</v>
          </cell>
          <cell r="H131">
            <v>10.83</v>
          </cell>
          <cell r="I131">
            <v>6.45</v>
          </cell>
          <cell r="J131">
            <v>4.95</v>
          </cell>
          <cell r="K131">
            <v>3.62</v>
          </cell>
          <cell r="L131">
            <v>2.1800000000000002</v>
          </cell>
          <cell r="M131">
            <v>1.65</v>
          </cell>
          <cell r="N131">
            <v>1.2</v>
          </cell>
          <cell r="O131">
            <v>0.71</v>
          </cell>
          <cell r="P131">
            <v>0.55000000000000004</v>
          </cell>
          <cell r="Q131">
            <v>0.52</v>
          </cell>
          <cell r="R131" t="str">
            <v>Re-size</v>
          </cell>
          <cell r="S131" t="str">
            <v>Re-size</v>
          </cell>
          <cell r="T131" t="str">
            <v>Re-size</v>
          </cell>
          <cell r="U131" t="str">
            <v>Re-size</v>
          </cell>
          <cell r="V131" t="str">
            <v>Re-size</v>
          </cell>
          <cell r="X131" t="str">
            <v>Re-size</v>
          </cell>
          <cell r="Y131" t="str">
            <v>Re-size</v>
          </cell>
          <cell r="Z131">
            <v>36.74</v>
          </cell>
          <cell r="AA131">
            <v>11.86</v>
          </cell>
          <cell r="AB131">
            <v>5.0599999999999996</v>
          </cell>
          <cell r="AC131">
            <v>1.64</v>
          </cell>
          <cell r="AD131">
            <v>0.4</v>
          </cell>
          <cell r="AE131" t="str">
            <v>Re-size</v>
          </cell>
        </row>
        <row r="132">
          <cell r="B132">
            <v>1.23</v>
          </cell>
          <cell r="C132" t="str">
            <v>Re-size</v>
          </cell>
          <cell r="D132" t="str">
            <v>Re-size</v>
          </cell>
          <cell r="E132" t="str">
            <v>Re-size</v>
          </cell>
          <cell r="F132">
            <v>33.53</v>
          </cell>
          <cell r="G132">
            <v>19.62</v>
          </cell>
          <cell r="H132">
            <v>10.99</v>
          </cell>
          <cell r="I132">
            <v>6.56</v>
          </cell>
          <cell r="J132">
            <v>5.03</v>
          </cell>
          <cell r="K132">
            <v>3.67</v>
          </cell>
          <cell r="L132">
            <v>2.2199999999999998</v>
          </cell>
          <cell r="M132">
            <v>1.68</v>
          </cell>
          <cell r="N132">
            <v>1.22</v>
          </cell>
          <cell r="O132">
            <v>0.72</v>
          </cell>
          <cell r="P132">
            <v>0.55000000000000004</v>
          </cell>
          <cell r="Q132">
            <v>0.53</v>
          </cell>
          <cell r="R132" t="str">
            <v>Re-size</v>
          </cell>
          <cell r="S132" t="str">
            <v>Re-size</v>
          </cell>
          <cell r="T132" t="str">
            <v>Re-size</v>
          </cell>
          <cell r="U132" t="str">
            <v>Re-size</v>
          </cell>
          <cell r="V132" t="str">
            <v>Re-size</v>
          </cell>
          <cell r="X132" t="str">
            <v>Re-size</v>
          </cell>
          <cell r="Y132" t="str">
            <v>Re-size</v>
          </cell>
          <cell r="Z132">
            <v>37.26</v>
          </cell>
          <cell r="AA132">
            <v>12.04</v>
          </cell>
          <cell r="AB132">
            <v>5.14</v>
          </cell>
          <cell r="AC132">
            <v>1.66</v>
          </cell>
          <cell r="AD132">
            <v>0.4</v>
          </cell>
          <cell r="AE132" t="str">
            <v>Re-size</v>
          </cell>
        </row>
        <row r="133">
          <cell r="B133">
            <v>1.24</v>
          </cell>
          <cell r="C133" t="str">
            <v>Re-size</v>
          </cell>
          <cell r="D133" t="str">
            <v>Re-size</v>
          </cell>
          <cell r="E133" t="str">
            <v>Re-size</v>
          </cell>
          <cell r="F133">
            <v>34.07</v>
          </cell>
          <cell r="G133">
            <v>19.93</v>
          </cell>
          <cell r="H133">
            <v>11.14</v>
          </cell>
          <cell r="I133">
            <v>6.66</v>
          </cell>
          <cell r="J133">
            <v>5.1100000000000003</v>
          </cell>
          <cell r="K133">
            <v>3.72</v>
          </cell>
          <cell r="L133">
            <v>2.25</v>
          </cell>
          <cell r="M133">
            <v>1.7</v>
          </cell>
          <cell r="N133">
            <v>1.24</v>
          </cell>
          <cell r="O133">
            <v>0.73</v>
          </cell>
          <cell r="P133">
            <v>0.56000000000000005</v>
          </cell>
          <cell r="Q133">
            <v>0.54</v>
          </cell>
          <cell r="R133" t="str">
            <v>Re-size</v>
          </cell>
          <cell r="S133" t="str">
            <v>Re-size</v>
          </cell>
          <cell r="T133" t="str">
            <v>Re-size</v>
          </cell>
          <cell r="U133" t="str">
            <v>Re-size</v>
          </cell>
          <cell r="V133" t="str">
            <v>Re-size</v>
          </cell>
          <cell r="X133" t="str">
            <v>Re-size</v>
          </cell>
          <cell r="Y133" t="str">
            <v>Re-size</v>
          </cell>
          <cell r="Z133">
            <v>37.78</v>
          </cell>
          <cell r="AA133">
            <v>12.22</v>
          </cell>
          <cell r="AB133">
            <v>5.22</v>
          </cell>
          <cell r="AC133">
            <v>1.68</v>
          </cell>
          <cell r="AD133">
            <v>0.4</v>
          </cell>
          <cell r="AE133" t="str">
            <v>Re-size</v>
          </cell>
        </row>
        <row r="134">
          <cell r="B134">
            <v>1.25</v>
          </cell>
          <cell r="C134" t="str">
            <v>Re-size</v>
          </cell>
          <cell r="D134" t="str">
            <v>Re-size</v>
          </cell>
          <cell r="E134" t="str">
            <v>Re-size</v>
          </cell>
          <cell r="F134">
            <v>34.54</v>
          </cell>
          <cell r="G134">
            <v>20.21</v>
          </cell>
          <cell r="H134">
            <v>11.299999999999999</v>
          </cell>
          <cell r="I134">
            <v>6.76</v>
          </cell>
          <cell r="J134">
            <v>5.18</v>
          </cell>
          <cell r="K134">
            <v>3.78</v>
          </cell>
          <cell r="L134">
            <v>2.2799999999999998</v>
          </cell>
          <cell r="M134">
            <v>1.73</v>
          </cell>
          <cell r="N134">
            <v>1.25</v>
          </cell>
          <cell r="O134">
            <v>0.74</v>
          </cell>
          <cell r="P134">
            <v>0.56000000000000005</v>
          </cell>
          <cell r="Q134">
            <v>0.54</v>
          </cell>
          <cell r="R134" t="str">
            <v>Re-size</v>
          </cell>
          <cell r="S134" t="str">
            <v>Re-size</v>
          </cell>
          <cell r="T134" t="str">
            <v>Re-size</v>
          </cell>
          <cell r="U134" t="str">
            <v>Re-size</v>
          </cell>
          <cell r="V134" t="str">
            <v>Re-size</v>
          </cell>
          <cell r="X134" t="str">
            <v>Re-size</v>
          </cell>
          <cell r="Y134" t="str">
            <v>Re-size</v>
          </cell>
          <cell r="Z134">
            <v>38.299999999999997</v>
          </cell>
          <cell r="AA134">
            <v>12.4</v>
          </cell>
          <cell r="AB134">
            <v>5.3</v>
          </cell>
          <cell r="AC134">
            <v>1.7</v>
          </cell>
          <cell r="AD134">
            <v>0.4</v>
          </cell>
          <cell r="AE134" t="str">
            <v>Re-size</v>
          </cell>
        </row>
        <row r="135">
          <cell r="B135">
            <v>1.26</v>
          </cell>
          <cell r="C135" t="str">
            <v>Re-size</v>
          </cell>
          <cell r="D135" t="str">
            <v>Re-size</v>
          </cell>
          <cell r="E135" t="str">
            <v>Re-size</v>
          </cell>
          <cell r="F135">
            <v>35.01</v>
          </cell>
          <cell r="G135">
            <v>20.49</v>
          </cell>
          <cell r="H135">
            <v>11.45</v>
          </cell>
          <cell r="I135">
            <v>6.85</v>
          </cell>
          <cell r="J135">
            <v>5.25</v>
          </cell>
          <cell r="K135">
            <v>3.84</v>
          </cell>
          <cell r="L135">
            <v>2.31</v>
          </cell>
          <cell r="M135">
            <v>1.75</v>
          </cell>
          <cell r="N135">
            <v>1.27</v>
          </cell>
          <cell r="O135">
            <v>0.76</v>
          </cell>
          <cell r="P135">
            <v>0.57000000000000006</v>
          </cell>
          <cell r="Q135">
            <v>0.55000000000000004</v>
          </cell>
          <cell r="R135" t="str">
            <v>Re-size</v>
          </cell>
          <cell r="S135" t="str">
            <v>Re-size</v>
          </cell>
          <cell r="T135" t="str">
            <v>Re-size</v>
          </cell>
          <cell r="U135" t="str">
            <v>Re-size</v>
          </cell>
          <cell r="V135" t="str">
            <v>Re-size</v>
          </cell>
          <cell r="X135" t="str">
            <v>Re-size</v>
          </cell>
          <cell r="Y135" t="str">
            <v>Re-size</v>
          </cell>
          <cell r="Z135">
            <v>38.799999999999997</v>
          </cell>
          <cell r="AA135">
            <v>12.58</v>
          </cell>
          <cell r="AB135">
            <v>5.38</v>
          </cell>
          <cell r="AC135">
            <v>1.72</v>
          </cell>
          <cell r="AD135">
            <v>0.42</v>
          </cell>
          <cell r="AE135" t="str">
            <v>Re-size</v>
          </cell>
        </row>
        <row r="136">
          <cell r="B136">
            <v>1.27</v>
          </cell>
          <cell r="C136" t="str">
            <v>Re-size</v>
          </cell>
          <cell r="D136" t="str">
            <v>Re-size</v>
          </cell>
          <cell r="E136" t="str">
            <v>Re-size</v>
          </cell>
          <cell r="F136">
            <v>35.49</v>
          </cell>
          <cell r="G136">
            <v>20.77</v>
          </cell>
          <cell r="H136">
            <v>11.64</v>
          </cell>
          <cell r="I136">
            <v>6.95</v>
          </cell>
          <cell r="J136">
            <v>5.33</v>
          </cell>
          <cell r="K136">
            <v>3.9</v>
          </cell>
          <cell r="L136">
            <v>2.3499999999999996</v>
          </cell>
          <cell r="M136">
            <v>1.78</v>
          </cell>
          <cell r="N136">
            <v>1.29</v>
          </cell>
          <cell r="O136">
            <v>0.77</v>
          </cell>
          <cell r="P136">
            <v>0.57999999999999996</v>
          </cell>
          <cell r="Q136">
            <v>0.56000000000000005</v>
          </cell>
          <cell r="R136" t="str">
            <v>Re-size</v>
          </cell>
          <cell r="S136" t="str">
            <v>Re-size</v>
          </cell>
          <cell r="T136" t="str">
            <v>Re-size</v>
          </cell>
          <cell r="U136" t="str">
            <v>Re-size</v>
          </cell>
          <cell r="V136" t="str">
            <v>Re-size</v>
          </cell>
          <cell r="X136" t="str">
            <v>Re-size</v>
          </cell>
          <cell r="Y136" t="str">
            <v>Re-size</v>
          </cell>
          <cell r="Z136">
            <v>39.299999999999997</v>
          </cell>
          <cell r="AA136">
            <v>12.76</v>
          </cell>
          <cell r="AB136">
            <v>5.46</v>
          </cell>
          <cell r="AC136">
            <v>1.74</v>
          </cell>
          <cell r="AD136">
            <v>0.44</v>
          </cell>
          <cell r="AE136" t="str">
            <v>Re-size</v>
          </cell>
        </row>
        <row r="137">
          <cell r="B137">
            <v>1.28</v>
          </cell>
          <cell r="C137" t="str">
            <v>Re-size</v>
          </cell>
          <cell r="D137" t="str">
            <v>Re-size</v>
          </cell>
          <cell r="E137" t="str">
            <v>Re-size</v>
          </cell>
          <cell r="F137">
            <v>35.97</v>
          </cell>
          <cell r="G137">
            <v>21.05</v>
          </cell>
          <cell r="H137">
            <v>11.82</v>
          </cell>
          <cell r="I137">
            <v>7.04</v>
          </cell>
          <cell r="J137">
            <v>5.4</v>
          </cell>
          <cell r="K137">
            <v>3.95</v>
          </cell>
          <cell r="L137">
            <v>2.38</v>
          </cell>
          <cell r="M137">
            <v>1.81</v>
          </cell>
          <cell r="N137">
            <v>1.31</v>
          </cell>
          <cell r="O137">
            <v>0.78</v>
          </cell>
          <cell r="P137">
            <v>0.59</v>
          </cell>
          <cell r="Q137">
            <v>0.56000000000000005</v>
          </cell>
          <cell r="R137" t="str">
            <v>Re-size</v>
          </cell>
          <cell r="S137" t="str">
            <v>Re-size</v>
          </cell>
          <cell r="T137" t="str">
            <v>Re-size</v>
          </cell>
          <cell r="U137" t="str">
            <v>Re-size</v>
          </cell>
          <cell r="V137" t="str">
            <v>Re-size</v>
          </cell>
          <cell r="X137" t="str">
            <v>Re-size</v>
          </cell>
          <cell r="Y137" t="str">
            <v>Re-size</v>
          </cell>
          <cell r="Z137">
            <v>39.799999999999997</v>
          </cell>
          <cell r="AA137">
            <v>12.94</v>
          </cell>
          <cell r="AB137">
            <v>5.54</v>
          </cell>
          <cell r="AC137">
            <v>1.76</v>
          </cell>
          <cell r="AD137">
            <v>0.46</v>
          </cell>
          <cell r="AE137" t="str">
            <v>Re-size</v>
          </cell>
        </row>
        <row r="138">
          <cell r="B138">
            <v>1.29</v>
          </cell>
          <cell r="C138" t="str">
            <v>Re-size</v>
          </cell>
          <cell r="D138" t="str">
            <v>Re-size</v>
          </cell>
          <cell r="E138" t="str">
            <v>Re-size</v>
          </cell>
          <cell r="F138">
            <v>36.46</v>
          </cell>
          <cell r="G138">
            <v>21.38</v>
          </cell>
          <cell r="H138">
            <v>11.98</v>
          </cell>
          <cell r="I138">
            <v>7.15</v>
          </cell>
          <cell r="J138">
            <v>5.49</v>
          </cell>
          <cell r="K138">
            <v>4</v>
          </cell>
          <cell r="L138">
            <v>2.41</v>
          </cell>
          <cell r="M138">
            <v>1.83</v>
          </cell>
          <cell r="N138">
            <v>1.33</v>
          </cell>
          <cell r="O138">
            <v>0.79</v>
          </cell>
          <cell r="P138">
            <v>0.6</v>
          </cell>
          <cell r="Q138">
            <v>0.57000000000000006</v>
          </cell>
          <cell r="R138" t="str">
            <v>Re-size</v>
          </cell>
          <cell r="S138" t="str">
            <v>Re-size</v>
          </cell>
          <cell r="T138" t="str">
            <v>Re-size</v>
          </cell>
          <cell r="U138" t="str">
            <v>Re-size</v>
          </cell>
          <cell r="V138" t="str">
            <v>Re-size</v>
          </cell>
          <cell r="X138" t="str">
            <v>Re-size</v>
          </cell>
          <cell r="Y138" t="str">
            <v>Re-size</v>
          </cell>
          <cell r="Z138">
            <v>40.299999999999997</v>
          </cell>
          <cell r="AA138">
            <v>13.12</v>
          </cell>
          <cell r="AB138">
            <v>5.62</v>
          </cell>
          <cell r="AC138">
            <v>1.78</v>
          </cell>
          <cell r="AD138">
            <v>0.48</v>
          </cell>
          <cell r="AE138" t="str">
            <v>Re-size</v>
          </cell>
        </row>
        <row r="139">
          <cell r="B139">
            <v>1.3</v>
          </cell>
          <cell r="C139" t="str">
            <v>Re-size</v>
          </cell>
          <cell r="D139" t="str">
            <v>Re-size</v>
          </cell>
          <cell r="E139" t="str">
            <v>Re-size</v>
          </cell>
          <cell r="F139">
            <v>36.94</v>
          </cell>
          <cell r="G139">
            <v>21.71</v>
          </cell>
          <cell r="H139">
            <v>12.14</v>
          </cell>
          <cell r="I139">
            <v>7.26</v>
          </cell>
          <cell r="J139">
            <v>5.57</v>
          </cell>
          <cell r="K139">
            <v>4.05</v>
          </cell>
          <cell r="L139">
            <v>2.44</v>
          </cell>
          <cell r="M139">
            <v>1.85</v>
          </cell>
          <cell r="N139">
            <v>1.34</v>
          </cell>
          <cell r="O139">
            <v>0.8</v>
          </cell>
          <cell r="P139">
            <v>0.6</v>
          </cell>
          <cell r="Q139">
            <v>0.56999999999999995</v>
          </cell>
          <cell r="R139" t="str">
            <v>Re-size</v>
          </cell>
          <cell r="S139" t="str">
            <v>Re-size</v>
          </cell>
          <cell r="T139" t="str">
            <v>Re-size</v>
          </cell>
          <cell r="U139" t="str">
            <v>Re-size</v>
          </cell>
          <cell r="V139" t="str">
            <v>Re-size</v>
          </cell>
          <cell r="X139" t="str">
            <v>Re-size</v>
          </cell>
          <cell r="Y139" t="str">
            <v>Re-size</v>
          </cell>
          <cell r="Z139">
            <v>40.799999999999997</v>
          </cell>
          <cell r="AA139">
            <v>13.3</v>
          </cell>
          <cell r="AB139">
            <v>5.7</v>
          </cell>
          <cell r="AC139">
            <v>1.8</v>
          </cell>
          <cell r="AD139">
            <v>0.5</v>
          </cell>
          <cell r="AE139" t="str">
            <v>Re-size</v>
          </cell>
        </row>
        <row r="140">
          <cell r="B140">
            <v>1.31</v>
          </cell>
          <cell r="C140" t="str">
            <v>Re-size</v>
          </cell>
          <cell r="D140" t="str">
            <v>Re-size</v>
          </cell>
          <cell r="E140" t="str">
            <v>Re-size</v>
          </cell>
          <cell r="F140">
            <v>37.43</v>
          </cell>
          <cell r="G140">
            <v>22</v>
          </cell>
          <cell r="H140">
            <v>12.3</v>
          </cell>
          <cell r="I140">
            <v>7.3599999999999994</v>
          </cell>
          <cell r="J140">
            <v>5.6499999999999995</v>
          </cell>
          <cell r="K140">
            <v>4.1099999999999994</v>
          </cell>
          <cell r="L140">
            <v>2.48</v>
          </cell>
          <cell r="M140">
            <v>1.8800000000000001</v>
          </cell>
          <cell r="N140">
            <v>1.36</v>
          </cell>
          <cell r="O140">
            <v>0.81</v>
          </cell>
          <cell r="P140">
            <v>0.61</v>
          </cell>
          <cell r="Q140">
            <v>0.57999999999999996</v>
          </cell>
          <cell r="R140" t="str">
            <v>Re-size</v>
          </cell>
          <cell r="S140" t="str">
            <v>Re-size</v>
          </cell>
          <cell r="T140" t="str">
            <v>Re-size</v>
          </cell>
          <cell r="U140" t="str">
            <v>Re-size</v>
          </cell>
          <cell r="V140" t="str">
            <v>Re-size</v>
          </cell>
          <cell r="X140" t="str">
            <v>Re-size</v>
          </cell>
          <cell r="Y140" t="str">
            <v>Re-size</v>
          </cell>
          <cell r="Z140">
            <v>41.52</v>
          </cell>
          <cell r="AA140">
            <v>13.5</v>
          </cell>
          <cell r="AB140">
            <v>5.8</v>
          </cell>
          <cell r="AC140">
            <v>1.84</v>
          </cell>
          <cell r="AD140">
            <v>0.5</v>
          </cell>
          <cell r="AE140" t="str">
            <v>Re-size</v>
          </cell>
        </row>
        <row r="141">
          <cell r="B141">
            <v>1.32</v>
          </cell>
          <cell r="C141" t="str">
            <v>Re-size</v>
          </cell>
          <cell r="D141" t="str">
            <v>Re-size</v>
          </cell>
          <cell r="E141" t="str">
            <v>Re-size</v>
          </cell>
          <cell r="F141">
            <v>37.92</v>
          </cell>
          <cell r="G141">
            <v>22.28</v>
          </cell>
          <cell r="H141">
            <v>12.46</v>
          </cell>
          <cell r="I141">
            <v>7.45</v>
          </cell>
          <cell r="J141">
            <v>5.72</v>
          </cell>
          <cell r="K141">
            <v>4.16</v>
          </cell>
          <cell r="L141">
            <v>2.52</v>
          </cell>
          <cell r="M141">
            <v>1.9</v>
          </cell>
          <cell r="N141">
            <v>1.38</v>
          </cell>
          <cell r="O141">
            <v>0.82</v>
          </cell>
          <cell r="P141">
            <v>0.62</v>
          </cell>
          <cell r="Q141">
            <v>0.59</v>
          </cell>
          <cell r="R141" t="str">
            <v>Re-size</v>
          </cell>
          <cell r="S141" t="str">
            <v>Re-size</v>
          </cell>
          <cell r="T141" t="str">
            <v>Re-size</v>
          </cell>
          <cell r="U141" t="str">
            <v>Re-size</v>
          </cell>
          <cell r="V141" t="str">
            <v>Re-size</v>
          </cell>
          <cell r="X141" t="str">
            <v>Re-size</v>
          </cell>
          <cell r="Y141" t="str">
            <v>Re-size</v>
          </cell>
          <cell r="Z141">
            <v>42.24</v>
          </cell>
          <cell r="AA141">
            <v>13.7</v>
          </cell>
          <cell r="AB141">
            <v>5.9</v>
          </cell>
          <cell r="AC141">
            <v>1.88</v>
          </cell>
          <cell r="AD141">
            <v>0.5</v>
          </cell>
          <cell r="AE141" t="str">
            <v>Re-size</v>
          </cell>
        </row>
        <row r="142">
          <cell r="B142">
            <v>1.33</v>
          </cell>
          <cell r="C142" t="str">
            <v>Re-size</v>
          </cell>
          <cell r="D142" t="str">
            <v>Re-size</v>
          </cell>
          <cell r="E142" t="str">
            <v>Re-size</v>
          </cell>
          <cell r="F142">
            <v>38.409999999999997</v>
          </cell>
          <cell r="G142">
            <v>22.62</v>
          </cell>
          <cell r="H142">
            <v>12.65</v>
          </cell>
          <cell r="I142">
            <v>7.55</v>
          </cell>
          <cell r="J142">
            <v>5.79</v>
          </cell>
          <cell r="K142">
            <v>4.2299999999999995</v>
          </cell>
          <cell r="L142">
            <v>2.5499999999999998</v>
          </cell>
          <cell r="M142">
            <v>1.93</v>
          </cell>
          <cell r="N142">
            <v>1.4</v>
          </cell>
          <cell r="O142">
            <v>0.83</v>
          </cell>
          <cell r="P142">
            <v>0.63</v>
          </cell>
          <cell r="Q142">
            <v>0.6</v>
          </cell>
          <cell r="R142" t="str">
            <v>Re-size</v>
          </cell>
          <cell r="S142" t="str">
            <v>Re-size</v>
          </cell>
          <cell r="T142" t="str">
            <v>Re-size</v>
          </cell>
          <cell r="U142" t="str">
            <v>Re-size</v>
          </cell>
          <cell r="V142" t="str">
            <v>Re-size</v>
          </cell>
          <cell r="X142" t="str">
            <v>Re-size</v>
          </cell>
          <cell r="Y142" t="str">
            <v>Re-size</v>
          </cell>
          <cell r="Z142">
            <v>42.96</v>
          </cell>
          <cell r="AA142">
            <v>13.9</v>
          </cell>
          <cell r="AB142">
            <v>6</v>
          </cell>
          <cell r="AC142">
            <v>1.92</v>
          </cell>
          <cell r="AD142">
            <v>0.5</v>
          </cell>
          <cell r="AE142" t="str">
            <v>Re-size</v>
          </cell>
        </row>
        <row r="143">
          <cell r="B143">
            <v>1.34</v>
          </cell>
          <cell r="C143" t="str">
            <v>Re-size</v>
          </cell>
          <cell r="D143" t="str">
            <v>Re-size</v>
          </cell>
          <cell r="E143" t="str">
            <v>Re-size</v>
          </cell>
          <cell r="F143">
            <v>38.89</v>
          </cell>
          <cell r="G143">
            <v>22.96</v>
          </cell>
          <cell r="H143">
            <v>12.84</v>
          </cell>
          <cell r="I143">
            <v>7.65</v>
          </cell>
          <cell r="J143">
            <v>5.86</v>
          </cell>
          <cell r="K143">
            <v>4.29</v>
          </cell>
          <cell r="L143">
            <v>2.58</v>
          </cell>
          <cell r="M143">
            <v>1.95</v>
          </cell>
          <cell r="N143">
            <v>1.42</v>
          </cell>
          <cell r="O143">
            <v>0.84</v>
          </cell>
          <cell r="P143">
            <v>0.64</v>
          </cell>
          <cell r="Q143">
            <v>0.61</v>
          </cell>
          <cell r="R143" t="str">
            <v>Re-size</v>
          </cell>
          <cell r="S143" t="str">
            <v>Re-size</v>
          </cell>
          <cell r="T143" t="str">
            <v>Re-size</v>
          </cell>
          <cell r="U143" t="str">
            <v>Re-size</v>
          </cell>
          <cell r="V143" t="str">
            <v>Re-size</v>
          </cell>
          <cell r="X143" t="str">
            <v>Re-size</v>
          </cell>
          <cell r="Y143" t="str">
            <v>Re-size</v>
          </cell>
          <cell r="Z143">
            <v>43.68</v>
          </cell>
          <cell r="AA143">
            <v>14.1</v>
          </cell>
          <cell r="AB143">
            <v>6.1</v>
          </cell>
          <cell r="AC143">
            <v>1.96</v>
          </cell>
          <cell r="AD143">
            <v>0.5</v>
          </cell>
          <cell r="AE143" t="str">
            <v>Re-size</v>
          </cell>
        </row>
        <row r="144">
          <cell r="B144">
            <v>1.35</v>
          </cell>
          <cell r="C144" t="str">
            <v>Re-size</v>
          </cell>
          <cell r="D144" t="str">
            <v>Re-size</v>
          </cell>
          <cell r="E144" t="str">
            <v>Re-size</v>
          </cell>
          <cell r="F144">
            <v>39.380000000000003</v>
          </cell>
          <cell r="G144">
            <v>23.25</v>
          </cell>
          <cell r="H144">
            <v>13</v>
          </cell>
          <cell r="I144">
            <v>7.77</v>
          </cell>
          <cell r="J144">
            <v>5.95</v>
          </cell>
          <cell r="K144">
            <v>4.3499999999999996</v>
          </cell>
          <cell r="L144">
            <v>2.6199999999999997</v>
          </cell>
          <cell r="M144">
            <v>1.98</v>
          </cell>
          <cell r="N144">
            <v>1.44</v>
          </cell>
          <cell r="O144">
            <v>0.85</v>
          </cell>
          <cell r="P144">
            <v>0.64</v>
          </cell>
          <cell r="Q144">
            <v>0.61</v>
          </cell>
          <cell r="R144" t="str">
            <v>Re-size</v>
          </cell>
          <cell r="S144" t="str">
            <v>Re-size</v>
          </cell>
          <cell r="T144" t="str">
            <v>Re-size</v>
          </cell>
          <cell r="U144" t="str">
            <v>Re-size</v>
          </cell>
          <cell r="V144" t="str">
            <v>Re-size</v>
          </cell>
          <cell r="X144" t="str">
            <v>Re-size</v>
          </cell>
          <cell r="Y144" t="str">
            <v>Re-size</v>
          </cell>
          <cell r="Z144">
            <v>44.4</v>
          </cell>
          <cell r="AA144">
            <v>14.3</v>
          </cell>
          <cell r="AB144">
            <v>6.2</v>
          </cell>
          <cell r="AC144">
            <v>2</v>
          </cell>
          <cell r="AD144">
            <v>0.5</v>
          </cell>
          <cell r="AE144" t="str">
            <v>Re-size</v>
          </cell>
        </row>
        <row r="145">
          <cell r="B145">
            <v>1.36</v>
          </cell>
          <cell r="C145" t="str">
            <v>Re-size</v>
          </cell>
          <cell r="D145" t="str">
            <v>Re-size</v>
          </cell>
          <cell r="E145" t="str">
            <v>Re-size</v>
          </cell>
          <cell r="F145">
            <v>39.869999999999997</v>
          </cell>
          <cell r="G145">
            <v>23.54</v>
          </cell>
          <cell r="H145">
            <v>13.16</v>
          </cell>
          <cell r="I145">
            <v>7.88</v>
          </cell>
          <cell r="J145">
            <v>6.04</v>
          </cell>
          <cell r="K145">
            <v>4.4000000000000004</v>
          </cell>
          <cell r="L145">
            <v>2.65</v>
          </cell>
          <cell r="M145">
            <v>2.0099999999999998</v>
          </cell>
          <cell r="N145">
            <v>1.46</v>
          </cell>
          <cell r="O145">
            <v>0.87</v>
          </cell>
          <cell r="P145">
            <v>0.65</v>
          </cell>
          <cell r="Q145">
            <v>0.62</v>
          </cell>
          <cell r="R145" t="str">
            <v>Re-size</v>
          </cell>
          <cell r="S145" t="str">
            <v>Re-size</v>
          </cell>
          <cell r="T145" t="str">
            <v>Re-size</v>
          </cell>
          <cell r="U145" t="str">
            <v>Re-size</v>
          </cell>
          <cell r="V145" t="str">
            <v>Re-size</v>
          </cell>
          <cell r="X145" t="str">
            <v>Re-size</v>
          </cell>
          <cell r="Y145" t="str">
            <v>Re-size</v>
          </cell>
          <cell r="Z145">
            <v>45.12</v>
          </cell>
          <cell r="AA145">
            <v>14.5</v>
          </cell>
          <cell r="AB145">
            <v>6.28</v>
          </cell>
          <cell r="AC145">
            <v>2.02</v>
          </cell>
          <cell r="AD145">
            <v>0.5</v>
          </cell>
          <cell r="AE145" t="str">
            <v>Re-size</v>
          </cell>
        </row>
        <row r="146">
          <cell r="B146">
            <v>1.37</v>
          </cell>
          <cell r="C146" t="str">
            <v>Re-size</v>
          </cell>
          <cell r="D146" t="str">
            <v>Re-size</v>
          </cell>
          <cell r="E146" t="str">
            <v>Re-size</v>
          </cell>
          <cell r="F146">
            <v>40.340000000000003</v>
          </cell>
          <cell r="G146">
            <v>23.84</v>
          </cell>
          <cell r="H146">
            <v>13.36</v>
          </cell>
          <cell r="I146">
            <v>7.9799999999999995</v>
          </cell>
          <cell r="J146">
            <v>6.12</v>
          </cell>
          <cell r="K146">
            <v>4.46</v>
          </cell>
          <cell r="L146">
            <v>2.69</v>
          </cell>
          <cell r="M146">
            <v>2.0399999999999996</v>
          </cell>
          <cell r="N146">
            <v>1.48</v>
          </cell>
          <cell r="O146">
            <v>0.88</v>
          </cell>
          <cell r="P146">
            <v>0.66</v>
          </cell>
          <cell r="Q146">
            <v>0.63</v>
          </cell>
          <cell r="R146" t="str">
            <v>Re-size</v>
          </cell>
          <cell r="S146" t="str">
            <v>Re-size</v>
          </cell>
          <cell r="T146" t="str">
            <v>Re-size</v>
          </cell>
          <cell r="U146" t="str">
            <v>Re-size</v>
          </cell>
          <cell r="V146" t="str">
            <v>Re-size</v>
          </cell>
          <cell r="X146" t="str">
            <v>Re-size</v>
          </cell>
          <cell r="Y146" t="str">
            <v>Re-size</v>
          </cell>
          <cell r="Z146">
            <v>45.84</v>
          </cell>
          <cell r="AA146">
            <v>14.7</v>
          </cell>
          <cell r="AB146">
            <v>6.36</v>
          </cell>
          <cell r="AC146">
            <v>2.04</v>
          </cell>
          <cell r="AD146">
            <v>0.5</v>
          </cell>
          <cell r="AE146" t="str">
            <v>Re-size</v>
          </cell>
        </row>
        <row r="147">
          <cell r="B147">
            <v>1.38</v>
          </cell>
          <cell r="C147" t="str">
            <v>Re-size</v>
          </cell>
          <cell r="D147" t="str">
            <v>Re-size</v>
          </cell>
          <cell r="E147" t="str">
            <v>Re-size</v>
          </cell>
          <cell r="F147">
            <v>40.81</v>
          </cell>
          <cell r="G147">
            <v>24.13</v>
          </cell>
          <cell r="H147">
            <v>13.55</v>
          </cell>
          <cell r="I147">
            <v>8.07</v>
          </cell>
          <cell r="J147">
            <v>6.19</v>
          </cell>
          <cell r="K147">
            <v>4.51</v>
          </cell>
          <cell r="L147">
            <v>2.72</v>
          </cell>
          <cell r="M147">
            <v>2.06</v>
          </cell>
          <cell r="N147">
            <v>1.5</v>
          </cell>
          <cell r="O147">
            <v>0.89</v>
          </cell>
          <cell r="P147">
            <v>0.67</v>
          </cell>
          <cell r="Q147">
            <v>0.64</v>
          </cell>
          <cell r="R147" t="str">
            <v>Re-size</v>
          </cell>
          <cell r="S147" t="str">
            <v>Re-size</v>
          </cell>
          <cell r="T147" t="str">
            <v>Re-size</v>
          </cell>
          <cell r="U147" t="str">
            <v>Re-size</v>
          </cell>
          <cell r="V147" t="str">
            <v>Re-size</v>
          </cell>
          <cell r="X147" t="str">
            <v>Re-size</v>
          </cell>
          <cell r="Y147" t="str">
            <v>Re-size</v>
          </cell>
          <cell r="Z147">
            <v>46.56</v>
          </cell>
          <cell r="AA147">
            <v>14.9</v>
          </cell>
          <cell r="AB147">
            <v>6.44</v>
          </cell>
          <cell r="AC147">
            <v>2.06</v>
          </cell>
          <cell r="AD147">
            <v>0.5</v>
          </cell>
          <cell r="AE147" t="str">
            <v>Re-size</v>
          </cell>
        </row>
        <row r="148">
          <cell r="B148">
            <v>1.39</v>
          </cell>
          <cell r="C148" t="str">
            <v>Re-size</v>
          </cell>
          <cell r="D148" t="str">
            <v>Re-size</v>
          </cell>
          <cell r="E148" t="str">
            <v>Re-size</v>
          </cell>
          <cell r="F148" t="str">
            <v>Re-size</v>
          </cell>
          <cell r="G148">
            <v>24.490000000000002</v>
          </cell>
          <cell r="H148">
            <v>13.72</v>
          </cell>
          <cell r="I148">
            <v>8.17</v>
          </cell>
          <cell r="J148">
            <v>6.27</v>
          </cell>
          <cell r="K148">
            <v>4.58</v>
          </cell>
          <cell r="L148">
            <v>2.76</v>
          </cell>
          <cell r="M148">
            <v>2.09</v>
          </cell>
          <cell r="N148">
            <v>1.52</v>
          </cell>
          <cell r="O148">
            <v>0.9</v>
          </cell>
          <cell r="P148">
            <v>0.68</v>
          </cell>
          <cell r="Q148">
            <v>0.65</v>
          </cell>
          <cell r="R148" t="str">
            <v>Re-size</v>
          </cell>
          <cell r="S148" t="str">
            <v>Re-size</v>
          </cell>
          <cell r="T148" t="str">
            <v>Re-size</v>
          </cell>
          <cell r="U148" t="str">
            <v>Re-size</v>
          </cell>
          <cell r="V148" t="str">
            <v>Re-size</v>
          </cell>
          <cell r="X148" t="str">
            <v>Re-size</v>
          </cell>
          <cell r="Y148" t="str">
            <v>Re-size</v>
          </cell>
          <cell r="Z148">
            <v>47.28</v>
          </cell>
          <cell r="AA148">
            <v>15.1</v>
          </cell>
          <cell r="AB148">
            <v>6.52</v>
          </cell>
          <cell r="AC148">
            <v>2.08</v>
          </cell>
          <cell r="AD148">
            <v>0.5</v>
          </cell>
          <cell r="AE148" t="str">
            <v>Re-size</v>
          </cell>
        </row>
        <row r="149">
          <cell r="B149">
            <v>1.4</v>
          </cell>
          <cell r="C149" t="str">
            <v>Re-size</v>
          </cell>
          <cell r="D149" t="str">
            <v>Re-size</v>
          </cell>
          <cell r="E149" t="str">
            <v>Re-size</v>
          </cell>
          <cell r="F149" t="str">
            <v>Re-size</v>
          </cell>
          <cell r="G149">
            <v>24.84</v>
          </cell>
          <cell r="H149">
            <v>13.89</v>
          </cell>
          <cell r="I149">
            <v>8.27</v>
          </cell>
          <cell r="J149">
            <v>6.34</v>
          </cell>
          <cell r="K149">
            <v>4.6399999999999997</v>
          </cell>
          <cell r="L149">
            <v>2.8</v>
          </cell>
          <cell r="M149">
            <v>2.11</v>
          </cell>
          <cell r="N149">
            <v>1.53</v>
          </cell>
          <cell r="O149">
            <v>0.91</v>
          </cell>
          <cell r="P149">
            <v>0.69</v>
          </cell>
          <cell r="Q149">
            <v>0.65</v>
          </cell>
          <cell r="R149">
            <v>0.39</v>
          </cell>
          <cell r="S149" t="str">
            <v>Re-size</v>
          </cell>
          <cell r="T149" t="str">
            <v>Re-size</v>
          </cell>
          <cell r="U149" t="str">
            <v>Re-size</v>
          </cell>
          <cell r="V149" t="str">
            <v>Re-size</v>
          </cell>
          <cell r="X149" t="str">
            <v>Re-size</v>
          </cell>
          <cell r="Y149" t="str">
            <v>Re-size</v>
          </cell>
          <cell r="Z149">
            <v>48</v>
          </cell>
          <cell r="AA149">
            <v>15.3</v>
          </cell>
          <cell r="AB149">
            <v>6.6</v>
          </cell>
          <cell r="AC149">
            <v>2.1</v>
          </cell>
          <cell r="AD149">
            <v>0.5</v>
          </cell>
          <cell r="AE149" t="str">
            <v>Re-size</v>
          </cell>
        </row>
        <row r="150">
          <cell r="B150">
            <v>1.41</v>
          </cell>
          <cell r="C150" t="str">
            <v>Re-size</v>
          </cell>
          <cell r="D150" t="str">
            <v>Re-size</v>
          </cell>
          <cell r="E150" t="str">
            <v>Re-size</v>
          </cell>
          <cell r="F150" t="str">
            <v>Re-size</v>
          </cell>
          <cell r="G150">
            <v>25.14</v>
          </cell>
          <cell r="H150">
            <v>14.09</v>
          </cell>
          <cell r="I150">
            <v>8.39</v>
          </cell>
          <cell r="J150">
            <v>6.4399999999999995</v>
          </cell>
          <cell r="K150">
            <v>4.7</v>
          </cell>
          <cell r="L150">
            <v>2.83</v>
          </cell>
          <cell r="M150">
            <v>2.14</v>
          </cell>
          <cell r="N150">
            <v>1.55</v>
          </cell>
          <cell r="O150">
            <v>0.93</v>
          </cell>
          <cell r="P150">
            <v>0.7</v>
          </cell>
          <cell r="Q150">
            <v>0.66</v>
          </cell>
          <cell r="R150">
            <v>0.4</v>
          </cell>
          <cell r="S150" t="str">
            <v>Re-size</v>
          </cell>
          <cell r="T150" t="str">
            <v>Re-size</v>
          </cell>
          <cell r="U150" t="str">
            <v>Re-size</v>
          </cell>
          <cell r="V150" t="str">
            <v>Re-size</v>
          </cell>
          <cell r="X150" t="str">
            <v>Re-size</v>
          </cell>
          <cell r="Y150" t="str">
            <v>Re-size</v>
          </cell>
          <cell r="Z150">
            <v>48.6</v>
          </cell>
          <cell r="AA150">
            <v>15.52</v>
          </cell>
          <cell r="AB150">
            <v>6.7</v>
          </cell>
          <cell r="AC150">
            <v>2.14</v>
          </cell>
          <cell r="AD150">
            <v>0.52</v>
          </cell>
          <cell r="AE150" t="str">
            <v>Re-size</v>
          </cell>
        </row>
        <row r="151">
          <cell r="B151">
            <v>1.42</v>
          </cell>
          <cell r="C151" t="str">
            <v>Re-size</v>
          </cell>
          <cell r="D151" t="str">
            <v>Re-size</v>
          </cell>
          <cell r="E151" t="str">
            <v>Re-size</v>
          </cell>
          <cell r="F151" t="str">
            <v>Re-size</v>
          </cell>
          <cell r="G151">
            <v>25.43</v>
          </cell>
          <cell r="H151">
            <v>14.29</v>
          </cell>
          <cell r="I151">
            <v>8.51</v>
          </cell>
          <cell r="J151">
            <v>6.53</v>
          </cell>
          <cell r="K151">
            <v>4.75</v>
          </cell>
          <cell r="L151">
            <v>2.86</v>
          </cell>
          <cell r="M151">
            <v>2.17</v>
          </cell>
          <cell r="N151">
            <v>1.57</v>
          </cell>
          <cell r="O151">
            <v>0.94000000000000006</v>
          </cell>
          <cell r="P151">
            <v>0.71</v>
          </cell>
          <cell r="Q151">
            <v>0.67</v>
          </cell>
          <cell r="R151">
            <v>0.41000000000000003</v>
          </cell>
          <cell r="S151" t="str">
            <v>Re-size</v>
          </cell>
          <cell r="T151" t="str">
            <v>Re-size</v>
          </cell>
          <cell r="U151" t="str">
            <v>Re-size</v>
          </cell>
          <cell r="V151" t="str">
            <v>Re-size</v>
          </cell>
          <cell r="X151" t="str">
            <v>Re-size</v>
          </cell>
          <cell r="Y151" t="str">
            <v>Re-size</v>
          </cell>
          <cell r="Z151">
            <v>49.2</v>
          </cell>
          <cell r="AA151">
            <v>15.74</v>
          </cell>
          <cell r="AB151">
            <v>6.8</v>
          </cell>
          <cell r="AC151">
            <v>2.1800000000000002</v>
          </cell>
          <cell r="AD151">
            <v>0.54</v>
          </cell>
          <cell r="AE151" t="str">
            <v>Re-size</v>
          </cell>
        </row>
        <row r="152">
          <cell r="B152">
            <v>1.43</v>
          </cell>
          <cell r="C152" t="str">
            <v>Re-size</v>
          </cell>
          <cell r="D152" t="str">
            <v>Re-size</v>
          </cell>
          <cell r="E152" t="str">
            <v>Re-size</v>
          </cell>
          <cell r="F152" t="str">
            <v>Re-size</v>
          </cell>
          <cell r="G152">
            <v>25.79</v>
          </cell>
          <cell r="H152">
            <v>14.459999999999999</v>
          </cell>
          <cell r="I152">
            <v>8.61</v>
          </cell>
          <cell r="J152">
            <v>6.6099999999999994</v>
          </cell>
          <cell r="K152">
            <v>4.8099999999999996</v>
          </cell>
          <cell r="L152">
            <v>2.9</v>
          </cell>
          <cell r="M152">
            <v>2.2000000000000002</v>
          </cell>
          <cell r="N152">
            <v>1.59</v>
          </cell>
          <cell r="O152">
            <v>0.95</v>
          </cell>
          <cell r="P152">
            <v>0.72</v>
          </cell>
          <cell r="Q152">
            <v>0.68</v>
          </cell>
          <cell r="R152">
            <v>0.41000000000000003</v>
          </cell>
          <cell r="S152" t="str">
            <v>Re-size</v>
          </cell>
          <cell r="T152" t="str">
            <v>Re-size</v>
          </cell>
          <cell r="U152" t="str">
            <v>Re-size</v>
          </cell>
          <cell r="V152" t="str">
            <v>Re-size</v>
          </cell>
          <cell r="X152" t="str">
            <v>Re-size</v>
          </cell>
          <cell r="Y152" t="str">
            <v>Re-size</v>
          </cell>
          <cell r="Z152">
            <v>49.8</v>
          </cell>
          <cell r="AA152">
            <v>15.96</v>
          </cell>
          <cell r="AB152">
            <v>6.9</v>
          </cell>
          <cell r="AC152">
            <v>2.2200000000000002</v>
          </cell>
          <cell r="AD152">
            <v>0.56000000000000005</v>
          </cell>
          <cell r="AE152" t="str">
            <v>Re-size</v>
          </cell>
        </row>
        <row r="153">
          <cell r="B153">
            <v>1.44</v>
          </cell>
          <cell r="C153" t="str">
            <v>Re-size</v>
          </cell>
          <cell r="D153" t="str">
            <v>Re-size</v>
          </cell>
          <cell r="E153" t="str">
            <v>Re-size</v>
          </cell>
          <cell r="F153" t="str">
            <v>Re-size</v>
          </cell>
          <cell r="G153">
            <v>26.15</v>
          </cell>
          <cell r="H153">
            <v>14.62</v>
          </cell>
          <cell r="I153">
            <v>8.7100000000000009</v>
          </cell>
          <cell r="J153">
            <v>6.68</v>
          </cell>
          <cell r="K153">
            <v>4.87</v>
          </cell>
          <cell r="L153">
            <v>2.93</v>
          </cell>
          <cell r="M153">
            <v>2.23</v>
          </cell>
          <cell r="N153">
            <v>1.61</v>
          </cell>
          <cell r="O153">
            <v>0.96</v>
          </cell>
          <cell r="P153">
            <v>0.73</v>
          </cell>
          <cell r="Q153">
            <v>0.69</v>
          </cell>
          <cell r="R153">
            <v>0.42</v>
          </cell>
          <cell r="S153" t="str">
            <v>Re-size</v>
          </cell>
          <cell r="T153" t="str">
            <v>Re-size</v>
          </cell>
          <cell r="U153" t="str">
            <v>Re-size</v>
          </cell>
          <cell r="V153" t="str">
            <v>Re-size</v>
          </cell>
          <cell r="X153" t="str">
            <v>Re-size</v>
          </cell>
          <cell r="Y153" t="str">
            <v>Re-size</v>
          </cell>
          <cell r="Z153">
            <v>50.4</v>
          </cell>
          <cell r="AA153">
            <v>16.18</v>
          </cell>
          <cell r="AB153">
            <v>7</v>
          </cell>
          <cell r="AC153">
            <v>2.2599999999999998</v>
          </cell>
          <cell r="AD153">
            <v>0.57999999999999996</v>
          </cell>
          <cell r="AE153" t="str">
            <v>Re-size</v>
          </cell>
        </row>
        <row r="154">
          <cell r="B154">
            <v>1.45</v>
          </cell>
          <cell r="C154" t="str">
            <v>Re-size</v>
          </cell>
          <cell r="D154" t="str">
            <v>Re-size</v>
          </cell>
          <cell r="E154" t="str">
            <v>Re-size</v>
          </cell>
          <cell r="F154" t="str">
            <v>Re-size</v>
          </cell>
          <cell r="G154">
            <v>26.46</v>
          </cell>
          <cell r="H154">
            <v>14.79</v>
          </cell>
          <cell r="I154">
            <v>8.84</v>
          </cell>
          <cell r="J154">
            <v>6.76</v>
          </cell>
          <cell r="K154">
            <v>4.9399999999999995</v>
          </cell>
          <cell r="L154">
            <v>2.97</v>
          </cell>
          <cell r="M154">
            <v>2.2599999999999998</v>
          </cell>
          <cell r="N154">
            <v>1.63</v>
          </cell>
          <cell r="O154">
            <v>0.97</v>
          </cell>
          <cell r="P154">
            <v>0.73</v>
          </cell>
          <cell r="Q154">
            <v>0.7</v>
          </cell>
          <cell r="R154">
            <v>0.42</v>
          </cell>
          <cell r="S154" t="str">
            <v>Re-size</v>
          </cell>
          <cell r="T154" t="str">
            <v>Re-size</v>
          </cell>
          <cell r="U154" t="str">
            <v>Re-size</v>
          </cell>
          <cell r="V154" t="str">
            <v>Re-size</v>
          </cell>
          <cell r="X154" t="str">
            <v>Re-size</v>
          </cell>
          <cell r="Y154" t="str">
            <v>Re-size</v>
          </cell>
          <cell r="Z154">
            <v>51</v>
          </cell>
          <cell r="AA154">
            <v>16.399999999999999</v>
          </cell>
          <cell r="AB154">
            <v>7.1</v>
          </cell>
          <cell r="AC154">
            <v>2.2999999999999998</v>
          </cell>
          <cell r="AD154">
            <v>0.6</v>
          </cell>
          <cell r="AE154" t="str">
            <v>Re-size</v>
          </cell>
        </row>
        <row r="155">
          <cell r="B155">
            <v>1.46</v>
          </cell>
          <cell r="C155" t="str">
            <v>Re-size</v>
          </cell>
          <cell r="D155" t="str">
            <v>Re-size</v>
          </cell>
          <cell r="E155" t="str">
            <v>Re-size</v>
          </cell>
          <cell r="F155" t="str">
            <v>Re-size</v>
          </cell>
          <cell r="G155">
            <v>26.76</v>
          </cell>
          <cell r="H155">
            <v>14.96</v>
          </cell>
          <cell r="I155">
            <v>8.9600000000000009</v>
          </cell>
          <cell r="J155">
            <v>6.84</v>
          </cell>
          <cell r="K155">
            <v>5</v>
          </cell>
          <cell r="L155">
            <v>3.01</v>
          </cell>
          <cell r="M155">
            <v>2.2799999999999998</v>
          </cell>
          <cell r="N155">
            <v>1.66</v>
          </cell>
          <cell r="O155">
            <v>0.99</v>
          </cell>
          <cell r="P155">
            <v>0.74</v>
          </cell>
          <cell r="Q155">
            <v>0.71</v>
          </cell>
          <cell r="R155">
            <v>0.43</v>
          </cell>
          <cell r="S155" t="str">
            <v>Re-size</v>
          </cell>
          <cell r="T155" t="str">
            <v>Re-size</v>
          </cell>
          <cell r="U155" t="str">
            <v>Re-size</v>
          </cell>
          <cell r="V155" t="str">
            <v>Re-size</v>
          </cell>
          <cell r="X155" t="str">
            <v>Re-size</v>
          </cell>
          <cell r="Y155" t="str">
            <v>Re-size</v>
          </cell>
          <cell r="Z155">
            <v>51.62</v>
          </cell>
          <cell r="AA155">
            <v>16.62</v>
          </cell>
          <cell r="AB155">
            <v>7.2</v>
          </cell>
          <cell r="AC155">
            <v>2.34</v>
          </cell>
          <cell r="AD155">
            <v>0.6</v>
          </cell>
          <cell r="AE155" t="str">
            <v>Re-size</v>
          </cell>
        </row>
        <row r="156">
          <cell r="B156">
            <v>1.47</v>
          </cell>
          <cell r="C156" t="str">
            <v>Re-size</v>
          </cell>
          <cell r="D156" t="str">
            <v>Re-size</v>
          </cell>
          <cell r="E156" t="str">
            <v>Re-size</v>
          </cell>
          <cell r="F156" t="str">
            <v>Re-size</v>
          </cell>
          <cell r="G156">
            <v>27.13</v>
          </cell>
          <cell r="H156">
            <v>15.17</v>
          </cell>
          <cell r="I156">
            <v>9.06</v>
          </cell>
          <cell r="J156">
            <v>6.9399999999999995</v>
          </cell>
          <cell r="K156">
            <v>5.0599999999999996</v>
          </cell>
          <cell r="L156">
            <v>3.05</v>
          </cell>
          <cell r="M156">
            <v>2.3099999999999996</v>
          </cell>
          <cell r="N156">
            <v>1.68</v>
          </cell>
          <cell r="O156">
            <v>1</v>
          </cell>
          <cell r="P156">
            <v>0.75</v>
          </cell>
          <cell r="Q156">
            <v>0.72</v>
          </cell>
          <cell r="R156">
            <v>0.44</v>
          </cell>
          <cell r="S156" t="str">
            <v>Re-size</v>
          </cell>
          <cell r="T156" t="str">
            <v>Re-size</v>
          </cell>
          <cell r="U156" t="str">
            <v>Re-size</v>
          </cell>
          <cell r="V156" t="str">
            <v>Re-size</v>
          </cell>
          <cell r="X156" t="str">
            <v>Re-size</v>
          </cell>
          <cell r="Y156" t="str">
            <v>Re-size</v>
          </cell>
          <cell r="Z156">
            <v>52.24</v>
          </cell>
          <cell r="AA156">
            <v>16.84</v>
          </cell>
          <cell r="AB156">
            <v>7.3</v>
          </cell>
          <cell r="AC156">
            <v>2.38</v>
          </cell>
          <cell r="AD156">
            <v>0.6</v>
          </cell>
          <cell r="AE156" t="str">
            <v>Re-size</v>
          </cell>
        </row>
        <row r="157">
          <cell r="B157">
            <v>1.48</v>
          </cell>
          <cell r="C157" t="str">
            <v>Re-size</v>
          </cell>
          <cell r="D157" t="str">
            <v>Re-size</v>
          </cell>
          <cell r="E157" t="str">
            <v>Re-size</v>
          </cell>
          <cell r="F157" t="str">
            <v>Re-size</v>
          </cell>
          <cell r="G157">
            <v>27.5</v>
          </cell>
          <cell r="H157">
            <v>15.38</v>
          </cell>
          <cell r="I157">
            <v>9.16</v>
          </cell>
          <cell r="J157">
            <v>7.03</v>
          </cell>
          <cell r="K157">
            <v>5.12</v>
          </cell>
          <cell r="L157">
            <v>3.08</v>
          </cell>
          <cell r="M157">
            <v>2.33</v>
          </cell>
          <cell r="N157">
            <v>1.7</v>
          </cell>
          <cell r="O157">
            <v>1.01</v>
          </cell>
          <cell r="P157">
            <v>0.76</v>
          </cell>
          <cell r="Q157">
            <v>0.73</v>
          </cell>
          <cell r="R157">
            <v>0.44</v>
          </cell>
          <cell r="S157" t="str">
            <v>Re-size</v>
          </cell>
          <cell r="T157" t="str">
            <v>Re-size</v>
          </cell>
          <cell r="U157" t="str">
            <v>Re-size</v>
          </cell>
          <cell r="V157" t="str">
            <v>Re-size</v>
          </cell>
          <cell r="X157" t="str">
            <v>Re-size</v>
          </cell>
          <cell r="Y157" t="str">
            <v>Re-size</v>
          </cell>
          <cell r="Z157">
            <v>52.86</v>
          </cell>
          <cell r="AA157">
            <v>17.059999999999999</v>
          </cell>
          <cell r="AB157">
            <v>7.4</v>
          </cell>
          <cell r="AC157">
            <v>2.42</v>
          </cell>
          <cell r="AD157">
            <v>0.6</v>
          </cell>
          <cell r="AE157" t="str">
            <v>Re-size</v>
          </cell>
        </row>
        <row r="158">
          <cell r="B158">
            <v>1.49</v>
          </cell>
          <cell r="C158" t="str">
            <v>Re-size</v>
          </cell>
          <cell r="D158" t="str">
            <v>Re-size</v>
          </cell>
          <cell r="E158" t="str">
            <v>Re-size</v>
          </cell>
          <cell r="F158" t="str">
            <v>Re-size</v>
          </cell>
          <cell r="G158">
            <v>27.810000000000002</v>
          </cell>
          <cell r="H158">
            <v>15.55</v>
          </cell>
          <cell r="I158">
            <v>9.27</v>
          </cell>
          <cell r="J158">
            <v>7.11</v>
          </cell>
          <cell r="K158">
            <v>5.19</v>
          </cell>
          <cell r="L158">
            <v>3.1199999999999997</v>
          </cell>
          <cell r="M158">
            <v>2.3699999999999997</v>
          </cell>
          <cell r="N158">
            <v>1.72</v>
          </cell>
          <cell r="O158">
            <v>1.02</v>
          </cell>
          <cell r="P158">
            <v>0.77</v>
          </cell>
          <cell r="Q158">
            <v>0.74</v>
          </cell>
          <cell r="R158">
            <v>0.45</v>
          </cell>
          <cell r="S158" t="str">
            <v>Re-size</v>
          </cell>
          <cell r="T158" t="str">
            <v>Re-size</v>
          </cell>
          <cell r="U158" t="str">
            <v>Re-size</v>
          </cell>
          <cell r="V158" t="str">
            <v>Re-size</v>
          </cell>
          <cell r="X158" t="str">
            <v>Re-size</v>
          </cell>
          <cell r="Y158" t="str">
            <v>Re-size</v>
          </cell>
          <cell r="Z158">
            <v>53.48</v>
          </cell>
          <cell r="AA158">
            <v>17.28</v>
          </cell>
          <cell r="AB158">
            <v>7.5</v>
          </cell>
          <cell r="AC158">
            <v>2.46</v>
          </cell>
          <cell r="AD158">
            <v>0.6</v>
          </cell>
          <cell r="AE158" t="str">
            <v>Re-size</v>
          </cell>
        </row>
        <row r="159">
          <cell r="B159">
            <v>1.5</v>
          </cell>
          <cell r="C159" t="str">
            <v>Re-size</v>
          </cell>
          <cell r="D159" t="str">
            <v>Re-size</v>
          </cell>
          <cell r="E159" t="str">
            <v>Re-size</v>
          </cell>
          <cell r="F159" t="str">
            <v>Re-size</v>
          </cell>
          <cell r="G159">
            <v>28.11</v>
          </cell>
          <cell r="H159">
            <v>15.72</v>
          </cell>
          <cell r="I159">
            <v>9.3699999999999992</v>
          </cell>
          <cell r="J159">
            <v>7.19</v>
          </cell>
          <cell r="K159">
            <v>5.26</v>
          </cell>
          <cell r="L159">
            <v>3.15</v>
          </cell>
          <cell r="M159">
            <v>2.4</v>
          </cell>
          <cell r="N159">
            <v>1.74</v>
          </cell>
          <cell r="O159">
            <v>1.03</v>
          </cell>
          <cell r="P159">
            <v>0.77</v>
          </cell>
          <cell r="Q159">
            <v>0.74</v>
          </cell>
          <cell r="R159">
            <v>0.45</v>
          </cell>
          <cell r="S159" t="str">
            <v>Re-size</v>
          </cell>
          <cell r="T159">
            <v>0.31</v>
          </cell>
          <cell r="U159" t="str">
            <v>Re-size</v>
          </cell>
          <cell r="V159" t="str">
            <v>Re-size</v>
          </cell>
          <cell r="X159" t="str">
            <v>Re-size</v>
          </cell>
          <cell r="Y159" t="str">
            <v>Re-size</v>
          </cell>
          <cell r="Z159">
            <v>54.1</v>
          </cell>
          <cell r="AA159">
            <v>17.5</v>
          </cell>
          <cell r="AB159">
            <v>7.6</v>
          </cell>
          <cell r="AC159">
            <v>2.5</v>
          </cell>
          <cell r="AD159">
            <v>0.6</v>
          </cell>
          <cell r="AE159">
            <v>0.3</v>
          </cell>
        </row>
        <row r="160">
          <cell r="B160">
            <v>1.51</v>
          </cell>
          <cell r="C160" t="str">
            <v>Re-size</v>
          </cell>
          <cell r="D160" t="str">
            <v>Re-size</v>
          </cell>
          <cell r="E160" t="str">
            <v>Re-size</v>
          </cell>
          <cell r="F160" t="str">
            <v>Re-size</v>
          </cell>
          <cell r="G160">
            <v>28.49</v>
          </cell>
          <cell r="H160">
            <v>15.94</v>
          </cell>
          <cell r="I160">
            <v>9.5</v>
          </cell>
          <cell r="J160">
            <v>7.29</v>
          </cell>
          <cell r="K160">
            <v>5.3199999999999994</v>
          </cell>
          <cell r="L160">
            <v>3.1999999999999997</v>
          </cell>
          <cell r="M160">
            <v>2.4299999999999997</v>
          </cell>
          <cell r="N160">
            <v>1.76</v>
          </cell>
          <cell r="O160">
            <v>1.05</v>
          </cell>
          <cell r="P160">
            <v>0.78</v>
          </cell>
          <cell r="Q160">
            <v>0.75</v>
          </cell>
          <cell r="R160">
            <v>0.46</v>
          </cell>
          <cell r="S160" t="str">
            <v>Re-size</v>
          </cell>
          <cell r="T160">
            <v>0.32</v>
          </cell>
          <cell r="U160" t="str">
            <v>Re-size</v>
          </cell>
          <cell r="V160" t="str">
            <v>Re-size</v>
          </cell>
          <cell r="X160" t="str">
            <v>Re-size</v>
          </cell>
          <cell r="Y160" t="str">
            <v>Re-size</v>
          </cell>
          <cell r="Z160">
            <v>54.82</v>
          </cell>
          <cell r="AA160">
            <v>17.7</v>
          </cell>
          <cell r="AB160">
            <v>7.68</v>
          </cell>
          <cell r="AC160">
            <v>2.52</v>
          </cell>
          <cell r="AD160">
            <v>0.6</v>
          </cell>
          <cell r="AE160">
            <v>0.3</v>
          </cell>
        </row>
        <row r="161">
          <cell r="B161">
            <v>1.52</v>
          </cell>
          <cell r="C161" t="str">
            <v>Re-size</v>
          </cell>
          <cell r="D161" t="str">
            <v>Re-size</v>
          </cell>
          <cell r="E161" t="str">
            <v>Re-size</v>
          </cell>
          <cell r="F161" t="str">
            <v>Re-size</v>
          </cell>
          <cell r="G161">
            <v>28.87</v>
          </cell>
          <cell r="H161">
            <v>16.149999999999999</v>
          </cell>
          <cell r="I161">
            <v>9.6199999999999992</v>
          </cell>
          <cell r="J161">
            <v>7.38</v>
          </cell>
          <cell r="K161">
            <v>5.37</v>
          </cell>
          <cell r="L161">
            <v>3.24</v>
          </cell>
          <cell r="M161">
            <v>2.4500000000000002</v>
          </cell>
          <cell r="N161">
            <v>1.78</v>
          </cell>
          <cell r="O161">
            <v>1.06</v>
          </cell>
          <cell r="P161">
            <v>0.79</v>
          </cell>
          <cell r="Q161">
            <v>0.76</v>
          </cell>
          <cell r="R161">
            <v>0.46</v>
          </cell>
          <cell r="S161" t="str">
            <v>Re-size</v>
          </cell>
          <cell r="T161">
            <v>0.32</v>
          </cell>
          <cell r="U161" t="str">
            <v>Re-size</v>
          </cell>
          <cell r="V161" t="str">
            <v>Re-size</v>
          </cell>
          <cell r="X161" t="str">
            <v>Re-size</v>
          </cell>
          <cell r="Y161" t="str">
            <v>Re-size</v>
          </cell>
          <cell r="Z161">
            <v>55.54</v>
          </cell>
          <cell r="AA161">
            <v>17.899999999999999</v>
          </cell>
          <cell r="AB161">
            <v>7.76</v>
          </cell>
          <cell r="AC161">
            <v>2.54</v>
          </cell>
          <cell r="AD161">
            <v>0.6</v>
          </cell>
          <cell r="AE161">
            <v>0.3</v>
          </cell>
        </row>
        <row r="162">
          <cell r="B162">
            <v>1.53</v>
          </cell>
          <cell r="C162" t="str">
            <v>Re-size</v>
          </cell>
          <cell r="D162" t="str">
            <v>Re-size</v>
          </cell>
          <cell r="E162" t="str">
            <v>Re-size</v>
          </cell>
          <cell r="F162" t="str">
            <v>Re-size</v>
          </cell>
          <cell r="G162">
            <v>29.18</v>
          </cell>
          <cell r="H162">
            <v>16.330000000000002</v>
          </cell>
          <cell r="I162">
            <v>9.73</v>
          </cell>
          <cell r="J162">
            <v>7.46</v>
          </cell>
          <cell r="K162">
            <v>5.43</v>
          </cell>
          <cell r="L162">
            <v>3.28</v>
          </cell>
          <cell r="M162">
            <v>2.48</v>
          </cell>
          <cell r="N162">
            <v>1.8</v>
          </cell>
          <cell r="O162">
            <v>1.07</v>
          </cell>
          <cell r="P162">
            <v>0.8</v>
          </cell>
          <cell r="Q162">
            <v>0.77</v>
          </cell>
          <cell r="R162">
            <v>0.47000000000000003</v>
          </cell>
          <cell r="S162" t="str">
            <v>Re-size</v>
          </cell>
          <cell r="T162">
            <v>0.33</v>
          </cell>
          <cell r="U162" t="str">
            <v>Re-size</v>
          </cell>
          <cell r="V162" t="str">
            <v>Re-size</v>
          </cell>
          <cell r="X162" t="str">
            <v>Re-size</v>
          </cell>
          <cell r="Y162" t="str">
            <v>Re-size</v>
          </cell>
          <cell r="Z162">
            <v>56.26</v>
          </cell>
          <cell r="AA162">
            <v>18.100000000000001</v>
          </cell>
          <cell r="AB162">
            <v>7.84</v>
          </cell>
          <cell r="AC162">
            <v>2.56</v>
          </cell>
          <cell r="AD162">
            <v>0.6</v>
          </cell>
          <cell r="AE162">
            <v>0.3</v>
          </cell>
        </row>
        <row r="163">
          <cell r="B163">
            <v>1.54</v>
          </cell>
          <cell r="C163" t="str">
            <v>Re-size</v>
          </cell>
          <cell r="D163" t="str">
            <v>Re-size</v>
          </cell>
          <cell r="E163" t="str">
            <v>Re-size</v>
          </cell>
          <cell r="F163" t="str">
            <v>Re-size</v>
          </cell>
          <cell r="G163">
            <v>29.49</v>
          </cell>
          <cell r="H163">
            <v>16.5</v>
          </cell>
          <cell r="I163">
            <v>9.83</v>
          </cell>
          <cell r="J163">
            <v>7.54</v>
          </cell>
          <cell r="K163">
            <v>5.49</v>
          </cell>
          <cell r="L163">
            <v>3.31</v>
          </cell>
          <cell r="M163">
            <v>2.5099999999999998</v>
          </cell>
          <cell r="N163">
            <v>1.82</v>
          </cell>
          <cell r="O163">
            <v>1.08</v>
          </cell>
          <cell r="P163">
            <v>0.81</v>
          </cell>
          <cell r="Q163">
            <v>0.78</v>
          </cell>
          <cell r="R163">
            <v>0.47000000000000003</v>
          </cell>
          <cell r="S163" t="str">
            <v>Re-size</v>
          </cell>
          <cell r="T163">
            <v>0.33</v>
          </cell>
          <cell r="U163" t="str">
            <v>Re-size</v>
          </cell>
          <cell r="V163" t="str">
            <v>Re-size</v>
          </cell>
          <cell r="X163" t="str">
            <v>Re-size</v>
          </cell>
          <cell r="Y163" t="str">
            <v>Re-size</v>
          </cell>
          <cell r="Z163">
            <v>56.98</v>
          </cell>
          <cell r="AA163">
            <v>18.3</v>
          </cell>
          <cell r="AB163">
            <v>7.92</v>
          </cell>
          <cell r="AC163">
            <v>2.58</v>
          </cell>
          <cell r="AD163">
            <v>0.6</v>
          </cell>
          <cell r="AE163">
            <v>0.3</v>
          </cell>
        </row>
        <row r="164">
          <cell r="B164">
            <v>1.55</v>
          </cell>
          <cell r="C164" t="str">
            <v>Re-size</v>
          </cell>
          <cell r="D164" t="str">
            <v>Re-size</v>
          </cell>
          <cell r="E164" t="str">
            <v>Re-size</v>
          </cell>
          <cell r="F164" t="str">
            <v>Re-size</v>
          </cell>
          <cell r="G164">
            <v>29.88</v>
          </cell>
          <cell r="H164">
            <v>16.720000000000002</v>
          </cell>
          <cell r="I164">
            <v>9.9600000000000009</v>
          </cell>
          <cell r="J164">
            <v>7.64</v>
          </cell>
          <cell r="K164">
            <v>5.56</v>
          </cell>
          <cell r="L164">
            <v>3.36</v>
          </cell>
          <cell r="M164">
            <v>2.54</v>
          </cell>
          <cell r="N164">
            <v>1.84</v>
          </cell>
          <cell r="O164">
            <v>1.0900000000000001</v>
          </cell>
          <cell r="P164">
            <v>0.82</v>
          </cell>
          <cell r="Q164">
            <v>0.78</v>
          </cell>
          <cell r="R164">
            <v>0.47</v>
          </cell>
          <cell r="S164" t="str">
            <v>Re-size</v>
          </cell>
          <cell r="T164">
            <v>0.33</v>
          </cell>
          <cell r="U164" t="str">
            <v>Re-size</v>
          </cell>
          <cell r="V164" t="str">
            <v>Re-size</v>
          </cell>
          <cell r="X164" t="str">
            <v>Re-size</v>
          </cell>
          <cell r="Y164" t="str">
            <v>Re-size</v>
          </cell>
          <cell r="Z164">
            <v>57.7</v>
          </cell>
          <cell r="AA164">
            <v>18.5</v>
          </cell>
          <cell r="AB164">
            <v>8</v>
          </cell>
          <cell r="AC164">
            <v>2.6</v>
          </cell>
          <cell r="AD164">
            <v>0.6</v>
          </cell>
          <cell r="AE164">
            <v>0.3</v>
          </cell>
        </row>
        <row r="165">
          <cell r="B165">
            <v>1.56</v>
          </cell>
          <cell r="C165" t="str">
            <v>Re-size</v>
          </cell>
          <cell r="D165" t="str">
            <v>Re-size</v>
          </cell>
          <cell r="E165" t="str">
            <v>Re-size</v>
          </cell>
          <cell r="F165" t="str">
            <v>Re-size</v>
          </cell>
          <cell r="G165">
            <v>30.27</v>
          </cell>
          <cell r="H165">
            <v>16.93</v>
          </cell>
          <cell r="I165">
            <v>10.09</v>
          </cell>
          <cell r="J165">
            <v>7.74</v>
          </cell>
          <cell r="K165">
            <v>5.63</v>
          </cell>
          <cell r="L165">
            <v>3.4</v>
          </cell>
          <cell r="M165">
            <v>2.57</v>
          </cell>
          <cell r="N165">
            <v>1.86</v>
          </cell>
          <cell r="O165">
            <v>1.1100000000000001</v>
          </cell>
          <cell r="P165">
            <v>0.83</v>
          </cell>
          <cell r="Q165">
            <v>0.79</v>
          </cell>
          <cell r="R165">
            <v>0.48</v>
          </cell>
          <cell r="S165" t="str">
            <v>Re-size</v>
          </cell>
          <cell r="T165">
            <v>0.34</v>
          </cell>
          <cell r="U165" t="str">
            <v>Re-size</v>
          </cell>
          <cell r="V165" t="str">
            <v>Re-size</v>
          </cell>
          <cell r="X165" t="str">
            <v>Re-size</v>
          </cell>
          <cell r="Y165" t="str">
            <v>Re-size</v>
          </cell>
          <cell r="Z165">
            <v>58.4</v>
          </cell>
          <cell r="AA165">
            <v>18.7</v>
          </cell>
          <cell r="AB165">
            <v>8.1</v>
          </cell>
          <cell r="AC165">
            <v>2.62</v>
          </cell>
          <cell r="AD165">
            <v>0.62</v>
          </cell>
          <cell r="AE165">
            <v>0.3</v>
          </cell>
        </row>
        <row r="166">
          <cell r="B166">
            <v>1.57</v>
          </cell>
          <cell r="C166" t="str">
            <v>Re-size</v>
          </cell>
          <cell r="D166" t="str">
            <v>Re-size</v>
          </cell>
          <cell r="E166" t="str">
            <v>Re-size</v>
          </cell>
          <cell r="F166" t="str">
            <v>Re-size</v>
          </cell>
          <cell r="G166">
            <v>30.59</v>
          </cell>
          <cell r="H166">
            <v>17.110000000000003</v>
          </cell>
          <cell r="I166">
            <v>10.199999999999999</v>
          </cell>
          <cell r="J166">
            <v>7.82</v>
          </cell>
          <cell r="K166">
            <v>5.69</v>
          </cell>
          <cell r="L166">
            <v>3.44</v>
          </cell>
          <cell r="M166">
            <v>2.5999999999999996</v>
          </cell>
          <cell r="N166">
            <v>1.88</v>
          </cell>
          <cell r="O166">
            <v>1.1200000000000001</v>
          </cell>
          <cell r="P166">
            <v>0.84</v>
          </cell>
          <cell r="Q166">
            <v>0.8</v>
          </cell>
          <cell r="R166">
            <v>0.48</v>
          </cell>
          <cell r="S166" t="str">
            <v>Re-size</v>
          </cell>
          <cell r="T166">
            <v>0.34</v>
          </cell>
          <cell r="U166" t="str">
            <v>Re-size</v>
          </cell>
          <cell r="V166" t="str">
            <v>Re-size</v>
          </cell>
          <cell r="X166" t="str">
            <v>Re-size</v>
          </cell>
          <cell r="Y166" t="str">
            <v>Re-size</v>
          </cell>
          <cell r="Z166">
            <v>59.1</v>
          </cell>
          <cell r="AA166">
            <v>18.899999999999999</v>
          </cell>
          <cell r="AB166">
            <v>8.1999999999999993</v>
          </cell>
          <cell r="AC166">
            <v>2.64</v>
          </cell>
          <cell r="AD166">
            <v>0.64</v>
          </cell>
          <cell r="AE166">
            <v>0.3</v>
          </cell>
        </row>
        <row r="167">
          <cell r="B167">
            <v>1.58</v>
          </cell>
          <cell r="C167" t="str">
            <v>Re-size</v>
          </cell>
          <cell r="D167" t="str">
            <v>Re-size</v>
          </cell>
          <cell r="E167" t="str">
            <v>Re-size</v>
          </cell>
          <cell r="F167" t="str">
            <v>Re-size</v>
          </cell>
          <cell r="G167">
            <v>30.9</v>
          </cell>
          <cell r="H167">
            <v>17.28</v>
          </cell>
          <cell r="I167">
            <v>10.3</v>
          </cell>
          <cell r="J167">
            <v>7.9</v>
          </cell>
          <cell r="K167">
            <v>5.75</v>
          </cell>
          <cell r="L167">
            <v>3.47</v>
          </cell>
          <cell r="M167">
            <v>2.62</v>
          </cell>
          <cell r="N167">
            <v>1.9</v>
          </cell>
          <cell r="O167">
            <v>1.1300000000000001</v>
          </cell>
          <cell r="P167">
            <v>0.85</v>
          </cell>
          <cell r="Q167">
            <v>0.81</v>
          </cell>
          <cell r="R167">
            <v>0.49</v>
          </cell>
          <cell r="S167" t="str">
            <v>Re-size</v>
          </cell>
          <cell r="T167">
            <v>0.35000000000000003</v>
          </cell>
          <cell r="U167" t="str">
            <v>Re-size</v>
          </cell>
          <cell r="V167" t="str">
            <v>Re-size</v>
          </cell>
          <cell r="X167" t="str">
            <v>Re-size</v>
          </cell>
          <cell r="Y167" t="str">
            <v>Re-size</v>
          </cell>
          <cell r="Z167">
            <v>59.8</v>
          </cell>
          <cell r="AA167">
            <v>19.100000000000001</v>
          </cell>
          <cell r="AB167">
            <v>8.3000000000000007</v>
          </cell>
          <cell r="AC167">
            <v>2.66</v>
          </cell>
          <cell r="AD167">
            <v>0.66</v>
          </cell>
          <cell r="AE167">
            <v>0.3</v>
          </cell>
        </row>
        <row r="168">
          <cell r="B168">
            <v>1.59</v>
          </cell>
          <cell r="C168" t="str">
            <v>Re-size</v>
          </cell>
          <cell r="D168" t="str">
            <v>Re-size</v>
          </cell>
          <cell r="E168" t="str">
            <v>Re-size</v>
          </cell>
          <cell r="F168" t="str">
            <v>Re-size</v>
          </cell>
          <cell r="G168">
            <v>31.25</v>
          </cell>
          <cell r="H168">
            <v>17.5</v>
          </cell>
          <cell r="I168">
            <v>10.43</v>
          </cell>
          <cell r="J168">
            <v>8</v>
          </cell>
          <cell r="K168">
            <v>5.83</v>
          </cell>
          <cell r="L168">
            <v>3.5199999999999996</v>
          </cell>
          <cell r="M168">
            <v>2.6599999999999997</v>
          </cell>
          <cell r="N168">
            <v>1.92</v>
          </cell>
          <cell r="O168">
            <v>1.1399999999999999</v>
          </cell>
          <cell r="P168">
            <v>0.86</v>
          </cell>
          <cell r="Q168">
            <v>0.82</v>
          </cell>
          <cell r="R168">
            <v>0.49</v>
          </cell>
          <cell r="S168" t="str">
            <v>Re-size</v>
          </cell>
          <cell r="T168">
            <v>0.35000000000000003</v>
          </cell>
          <cell r="U168" t="str">
            <v>Re-size</v>
          </cell>
          <cell r="V168" t="str">
            <v>Re-size</v>
          </cell>
          <cell r="X168" t="str">
            <v>Re-size</v>
          </cell>
          <cell r="Y168" t="str">
            <v>Re-size</v>
          </cell>
          <cell r="Z168">
            <v>60.5</v>
          </cell>
          <cell r="AA168">
            <v>19.3</v>
          </cell>
          <cell r="AB168">
            <v>8.4</v>
          </cell>
          <cell r="AC168">
            <v>2.68</v>
          </cell>
          <cell r="AD168">
            <v>0.68</v>
          </cell>
          <cell r="AE168">
            <v>0.3</v>
          </cell>
        </row>
        <row r="169">
          <cell r="B169">
            <v>1.6</v>
          </cell>
          <cell r="C169" t="str">
            <v>Re-size</v>
          </cell>
          <cell r="D169" t="str">
            <v>Re-size</v>
          </cell>
          <cell r="E169" t="str">
            <v>Re-size</v>
          </cell>
          <cell r="F169" t="str">
            <v>Re-size</v>
          </cell>
          <cell r="G169">
            <v>31.59</v>
          </cell>
          <cell r="H169">
            <v>17.72</v>
          </cell>
          <cell r="I169">
            <v>10.56</v>
          </cell>
          <cell r="J169">
            <v>8.1</v>
          </cell>
          <cell r="K169">
            <v>5.9</v>
          </cell>
          <cell r="L169">
            <v>3.56</v>
          </cell>
          <cell r="M169">
            <v>2.69</v>
          </cell>
          <cell r="N169">
            <v>1.94</v>
          </cell>
          <cell r="O169">
            <v>1.1499999999999999</v>
          </cell>
          <cell r="P169">
            <v>0.87</v>
          </cell>
          <cell r="Q169">
            <v>0.83</v>
          </cell>
          <cell r="R169">
            <v>0.49</v>
          </cell>
          <cell r="S169">
            <v>0.38</v>
          </cell>
          <cell r="T169">
            <v>0.35</v>
          </cell>
          <cell r="U169" t="str">
            <v>Re-size</v>
          </cell>
          <cell r="V169" t="str">
            <v>Re-size</v>
          </cell>
          <cell r="X169" t="str">
            <v>Re-size</v>
          </cell>
          <cell r="Y169" t="str">
            <v>Re-size</v>
          </cell>
          <cell r="Z169">
            <v>61.2</v>
          </cell>
          <cell r="AA169">
            <v>19.5</v>
          </cell>
          <cell r="AB169">
            <v>8.5</v>
          </cell>
          <cell r="AC169">
            <v>2.7</v>
          </cell>
          <cell r="AD169">
            <v>0.7</v>
          </cell>
          <cell r="AE169">
            <v>0.3</v>
          </cell>
        </row>
        <row r="170">
          <cell r="B170">
            <v>1.61</v>
          </cell>
          <cell r="C170" t="str">
            <v>Re-size</v>
          </cell>
          <cell r="D170" t="str">
            <v>Re-size</v>
          </cell>
          <cell r="E170" t="str">
            <v>Re-size</v>
          </cell>
          <cell r="F170" t="str">
            <v>Re-size</v>
          </cell>
          <cell r="G170">
            <v>31.93</v>
          </cell>
          <cell r="H170">
            <v>17.899999999999999</v>
          </cell>
          <cell r="I170">
            <v>10.67</v>
          </cell>
          <cell r="J170">
            <v>8.19</v>
          </cell>
          <cell r="K170">
            <v>5.96</v>
          </cell>
          <cell r="L170">
            <v>3.5999999999999996</v>
          </cell>
          <cell r="M170">
            <v>2.72</v>
          </cell>
          <cell r="N170">
            <v>1.97</v>
          </cell>
          <cell r="O170">
            <v>1.17</v>
          </cell>
          <cell r="P170">
            <v>0.88</v>
          </cell>
          <cell r="Q170">
            <v>0.84</v>
          </cell>
          <cell r="R170">
            <v>0.5</v>
          </cell>
          <cell r="S170">
            <v>0.39</v>
          </cell>
          <cell r="T170">
            <v>0.36</v>
          </cell>
          <cell r="U170" t="str">
            <v>Re-size</v>
          </cell>
          <cell r="V170" t="str">
            <v>Re-size</v>
          </cell>
          <cell r="X170" t="str">
            <v>Re-size</v>
          </cell>
          <cell r="Y170" t="str">
            <v>Re-size</v>
          </cell>
          <cell r="Z170">
            <v>61.82</v>
          </cell>
          <cell r="AA170">
            <v>19.760000000000002</v>
          </cell>
          <cell r="AB170">
            <v>8.6</v>
          </cell>
          <cell r="AC170">
            <v>2.74</v>
          </cell>
          <cell r="AD170">
            <v>0.7</v>
          </cell>
          <cell r="AE170">
            <v>0.3</v>
          </cell>
        </row>
        <row r="171">
          <cell r="B171">
            <v>1.62</v>
          </cell>
          <cell r="C171" t="str">
            <v>Re-size</v>
          </cell>
          <cell r="D171" t="str">
            <v>Re-size</v>
          </cell>
          <cell r="E171" t="str">
            <v>Re-size</v>
          </cell>
          <cell r="F171" t="str">
            <v>Re-size</v>
          </cell>
          <cell r="G171">
            <v>32.270000000000003</v>
          </cell>
          <cell r="H171">
            <v>18.079999999999998</v>
          </cell>
          <cell r="I171">
            <v>10.78</v>
          </cell>
          <cell r="J171">
            <v>8.27</v>
          </cell>
          <cell r="K171">
            <v>6.02</v>
          </cell>
          <cell r="L171">
            <v>3.63</v>
          </cell>
          <cell r="M171">
            <v>2.75</v>
          </cell>
          <cell r="N171">
            <v>1.99</v>
          </cell>
          <cell r="O171">
            <v>1.18</v>
          </cell>
          <cell r="P171">
            <v>0.89</v>
          </cell>
          <cell r="Q171">
            <v>0.85</v>
          </cell>
          <cell r="R171">
            <v>0.51</v>
          </cell>
          <cell r="S171">
            <v>0.4</v>
          </cell>
          <cell r="T171">
            <v>0.36</v>
          </cell>
          <cell r="U171" t="str">
            <v>Re-size</v>
          </cell>
          <cell r="V171" t="str">
            <v>Re-size</v>
          </cell>
          <cell r="X171" t="str">
            <v>Re-size</v>
          </cell>
          <cell r="Y171" t="str">
            <v>Re-size</v>
          </cell>
          <cell r="Z171">
            <v>62.44</v>
          </cell>
          <cell r="AA171">
            <v>20.02</v>
          </cell>
          <cell r="AB171">
            <v>8.6999999999999993</v>
          </cell>
          <cell r="AC171">
            <v>2.78</v>
          </cell>
          <cell r="AD171">
            <v>0.7</v>
          </cell>
          <cell r="AE171">
            <v>0.3</v>
          </cell>
        </row>
        <row r="172">
          <cell r="B172">
            <v>1.63</v>
          </cell>
          <cell r="C172" t="str">
            <v>Re-size</v>
          </cell>
          <cell r="D172" t="str">
            <v>Re-size</v>
          </cell>
          <cell r="E172" t="str">
            <v>Re-size</v>
          </cell>
          <cell r="F172" t="str">
            <v>Re-size</v>
          </cell>
          <cell r="G172">
            <v>32.619999999999997</v>
          </cell>
          <cell r="H172">
            <v>18.310000000000002</v>
          </cell>
          <cell r="I172">
            <v>10.91</v>
          </cell>
          <cell r="J172">
            <v>8.3699999999999992</v>
          </cell>
          <cell r="K172">
            <v>6.1</v>
          </cell>
          <cell r="L172">
            <v>3.67</v>
          </cell>
          <cell r="M172">
            <v>2.78</v>
          </cell>
          <cell r="N172">
            <v>2.0199999999999996</v>
          </cell>
          <cell r="O172">
            <v>1.2</v>
          </cell>
          <cell r="P172">
            <v>0.9</v>
          </cell>
          <cell r="Q172">
            <v>0.86</v>
          </cell>
          <cell r="R172">
            <v>0.51</v>
          </cell>
          <cell r="S172">
            <v>0.4</v>
          </cell>
          <cell r="T172">
            <v>0.37</v>
          </cell>
          <cell r="U172" t="str">
            <v>Re-size</v>
          </cell>
          <cell r="V172" t="str">
            <v>Re-size</v>
          </cell>
          <cell r="X172" t="str">
            <v>Re-size</v>
          </cell>
          <cell r="Y172" t="str">
            <v>Re-size</v>
          </cell>
          <cell r="Z172">
            <v>63.06</v>
          </cell>
          <cell r="AA172">
            <v>20.28</v>
          </cell>
          <cell r="AB172">
            <v>8.8000000000000007</v>
          </cell>
          <cell r="AC172">
            <v>2.82</v>
          </cell>
          <cell r="AD172">
            <v>0.7</v>
          </cell>
          <cell r="AE172">
            <v>0.3</v>
          </cell>
        </row>
        <row r="173">
          <cell r="B173">
            <v>1.64</v>
          </cell>
          <cell r="C173" t="str">
            <v>Re-size</v>
          </cell>
          <cell r="D173" t="str">
            <v>Re-size</v>
          </cell>
          <cell r="E173" t="str">
            <v>Re-size</v>
          </cell>
          <cell r="F173" t="str">
            <v>Re-size</v>
          </cell>
          <cell r="G173">
            <v>32.96</v>
          </cell>
          <cell r="H173">
            <v>18.53</v>
          </cell>
          <cell r="I173">
            <v>11.04</v>
          </cell>
          <cell r="J173">
            <v>8.4700000000000006</v>
          </cell>
          <cell r="K173">
            <v>6.17</v>
          </cell>
          <cell r="L173">
            <v>3.7</v>
          </cell>
          <cell r="M173">
            <v>2.81</v>
          </cell>
          <cell r="N173">
            <v>2.0399999999999996</v>
          </cell>
          <cell r="O173">
            <v>1.21</v>
          </cell>
          <cell r="P173">
            <v>0.91</v>
          </cell>
          <cell r="Q173">
            <v>0.87</v>
          </cell>
          <cell r="R173">
            <v>0.52</v>
          </cell>
          <cell r="S173">
            <v>0.41000000000000003</v>
          </cell>
          <cell r="T173">
            <v>0.37</v>
          </cell>
          <cell r="U173" t="str">
            <v>Re-size</v>
          </cell>
          <cell r="V173" t="str">
            <v>Re-size</v>
          </cell>
          <cell r="X173" t="str">
            <v>Re-size</v>
          </cell>
          <cell r="Y173" t="str">
            <v>Re-size</v>
          </cell>
          <cell r="Z173">
            <v>63.68</v>
          </cell>
          <cell r="AA173">
            <v>20.54</v>
          </cell>
          <cell r="AB173">
            <v>8.9</v>
          </cell>
          <cell r="AC173">
            <v>2.86</v>
          </cell>
          <cell r="AD173">
            <v>0.7</v>
          </cell>
          <cell r="AE173">
            <v>0.3</v>
          </cell>
        </row>
        <row r="174">
          <cell r="B174">
            <v>1.65</v>
          </cell>
          <cell r="C174" t="str">
            <v>Re-size</v>
          </cell>
          <cell r="D174" t="str">
            <v>Re-size</v>
          </cell>
          <cell r="E174" t="str">
            <v>Re-size</v>
          </cell>
          <cell r="F174" t="str">
            <v>Re-size</v>
          </cell>
          <cell r="G174">
            <v>33.299999999999997</v>
          </cell>
          <cell r="H174">
            <v>18.720000000000002</v>
          </cell>
          <cell r="I174">
            <v>11.15</v>
          </cell>
          <cell r="J174">
            <v>8.56</v>
          </cell>
          <cell r="K174">
            <v>6.23</v>
          </cell>
          <cell r="L174">
            <v>3.75</v>
          </cell>
          <cell r="M174">
            <v>2.84</v>
          </cell>
          <cell r="N174">
            <v>2.06</v>
          </cell>
          <cell r="O174">
            <v>1.22</v>
          </cell>
          <cell r="P174">
            <v>0.92</v>
          </cell>
          <cell r="Q174">
            <v>0.87</v>
          </cell>
          <cell r="R174">
            <v>0.52</v>
          </cell>
          <cell r="S174">
            <v>0.41</v>
          </cell>
          <cell r="T174">
            <v>0.37</v>
          </cell>
          <cell r="U174" t="str">
            <v>Re-size</v>
          </cell>
          <cell r="V174" t="str">
            <v>Re-size</v>
          </cell>
          <cell r="X174" t="str">
            <v>Re-size</v>
          </cell>
          <cell r="Y174" t="str">
            <v>Re-size</v>
          </cell>
          <cell r="Z174">
            <v>64.3</v>
          </cell>
          <cell r="AA174">
            <v>20.8</v>
          </cell>
          <cell r="AB174">
            <v>9</v>
          </cell>
          <cell r="AC174">
            <v>2.9</v>
          </cell>
          <cell r="AD174">
            <v>0.7</v>
          </cell>
          <cell r="AE174">
            <v>0.3</v>
          </cell>
        </row>
        <row r="175">
          <cell r="B175">
            <v>1.66</v>
          </cell>
          <cell r="C175" t="str">
            <v>Re-size</v>
          </cell>
          <cell r="D175" t="str">
            <v>Re-size</v>
          </cell>
          <cell r="E175" t="str">
            <v>Re-size</v>
          </cell>
          <cell r="F175" t="str">
            <v>Re-size</v>
          </cell>
          <cell r="G175">
            <v>33.64</v>
          </cell>
          <cell r="H175">
            <v>18.899999999999999</v>
          </cell>
          <cell r="I175">
            <v>11.26</v>
          </cell>
          <cell r="J175">
            <v>8.64</v>
          </cell>
          <cell r="K175">
            <v>6.29</v>
          </cell>
          <cell r="L175">
            <v>3.79</v>
          </cell>
          <cell r="M175">
            <v>2.87</v>
          </cell>
          <cell r="N175">
            <v>2.09</v>
          </cell>
          <cell r="O175">
            <v>1.24</v>
          </cell>
          <cell r="P175">
            <v>0.93</v>
          </cell>
          <cell r="Q175">
            <v>0.88</v>
          </cell>
          <cell r="R175">
            <v>0.53</v>
          </cell>
          <cell r="S175">
            <v>0.42</v>
          </cell>
          <cell r="T175">
            <v>0.38</v>
          </cell>
          <cell r="U175" t="str">
            <v>Re-size</v>
          </cell>
          <cell r="V175" t="str">
            <v>Re-size</v>
          </cell>
          <cell r="X175" t="str">
            <v>Re-size</v>
          </cell>
          <cell r="Y175" t="str">
            <v>Re-size</v>
          </cell>
          <cell r="Z175">
            <v>64.92</v>
          </cell>
          <cell r="AA175">
            <v>21.04</v>
          </cell>
          <cell r="AB175">
            <v>9.1</v>
          </cell>
          <cell r="AC175">
            <v>2.94</v>
          </cell>
          <cell r="AD175">
            <v>0.72</v>
          </cell>
          <cell r="AE175">
            <v>0.3</v>
          </cell>
        </row>
        <row r="176">
          <cell r="B176">
            <v>1.67</v>
          </cell>
          <cell r="C176" t="str">
            <v>Re-size</v>
          </cell>
          <cell r="D176" t="str">
            <v>Re-size</v>
          </cell>
          <cell r="E176" t="str">
            <v>Re-size</v>
          </cell>
          <cell r="F176" t="str">
            <v>Re-size</v>
          </cell>
          <cell r="G176">
            <v>33.979999999999997</v>
          </cell>
          <cell r="H176">
            <v>19.13</v>
          </cell>
          <cell r="I176">
            <v>11.4</v>
          </cell>
          <cell r="J176">
            <v>8.75</v>
          </cell>
          <cell r="K176">
            <v>6.37</v>
          </cell>
          <cell r="L176">
            <v>3.83</v>
          </cell>
          <cell r="M176">
            <v>2.9099999999999997</v>
          </cell>
          <cell r="N176">
            <v>2.11</v>
          </cell>
          <cell r="O176">
            <v>1.25</v>
          </cell>
          <cell r="P176">
            <v>0.94</v>
          </cell>
          <cell r="Q176">
            <v>0.89</v>
          </cell>
          <cell r="R176">
            <v>0.54</v>
          </cell>
          <cell r="S176">
            <v>0.42</v>
          </cell>
          <cell r="T176">
            <v>0.38</v>
          </cell>
          <cell r="U176" t="str">
            <v>Re-size</v>
          </cell>
          <cell r="V176" t="str">
            <v>Re-size</v>
          </cell>
          <cell r="X176" t="str">
            <v>Re-size</v>
          </cell>
          <cell r="Y176" t="str">
            <v>Re-size</v>
          </cell>
          <cell r="Z176">
            <v>65.540000000000006</v>
          </cell>
          <cell r="AA176">
            <v>21.28</v>
          </cell>
          <cell r="AB176">
            <v>9.1999999999999993</v>
          </cell>
          <cell r="AC176">
            <v>2.98</v>
          </cell>
          <cell r="AD176">
            <v>0.74</v>
          </cell>
          <cell r="AE176">
            <v>0.3</v>
          </cell>
        </row>
        <row r="177">
          <cell r="B177">
            <v>1.68</v>
          </cell>
          <cell r="C177" t="str">
            <v>Re-size</v>
          </cell>
          <cell r="D177" t="str">
            <v>Re-size</v>
          </cell>
          <cell r="E177" t="str">
            <v>Re-size</v>
          </cell>
          <cell r="F177" t="str">
            <v>Re-size</v>
          </cell>
          <cell r="G177">
            <v>34.32</v>
          </cell>
          <cell r="H177">
            <v>19.36</v>
          </cell>
          <cell r="I177">
            <v>11.54</v>
          </cell>
          <cell r="J177">
            <v>8.85</v>
          </cell>
          <cell r="K177">
            <v>6.45</v>
          </cell>
          <cell r="L177">
            <v>3.87</v>
          </cell>
          <cell r="M177">
            <v>2.94</v>
          </cell>
          <cell r="N177">
            <v>2.13</v>
          </cell>
          <cell r="O177">
            <v>1.26</v>
          </cell>
          <cell r="P177">
            <v>0.95</v>
          </cell>
          <cell r="Q177">
            <v>0.9</v>
          </cell>
          <cell r="R177">
            <v>0.54</v>
          </cell>
          <cell r="S177">
            <v>0.43</v>
          </cell>
          <cell r="T177">
            <v>0.39</v>
          </cell>
          <cell r="U177" t="str">
            <v>Re-size</v>
          </cell>
          <cell r="V177" t="str">
            <v>Re-size</v>
          </cell>
          <cell r="X177" t="str">
            <v>Re-size</v>
          </cell>
          <cell r="Y177" t="str">
            <v>Re-size</v>
          </cell>
          <cell r="Z177">
            <v>66.16</v>
          </cell>
          <cell r="AA177">
            <v>21.52</v>
          </cell>
          <cell r="AB177">
            <v>9.3000000000000007</v>
          </cell>
          <cell r="AC177">
            <v>3.02</v>
          </cell>
          <cell r="AD177">
            <v>0.76</v>
          </cell>
          <cell r="AE177">
            <v>0.3</v>
          </cell>
        </row>
        <row r="178">
          <cell r="B178">
            <v>1.69</v>
          </cell>
          <cell r="C178" t="str">
            <v>Re-size</v>
          </cell>
          <cell r="D178" t="str">
            <v>Re-size</v>
          </cell>
          <cell r="E178" t="str">
            <v>Re-size</v>
          </cell>
          <cell r="F178" t="str">
            <v>Re-size</v>
          </cell>
          <cell r="G178">
            <v>34.669999999999995</v>
          </cell>
          <cell r="H178">
            <v>19.59</v>
          </cell>
          <cell r="I178">
            <v>11.65</v>
          </cell>
          <cell r="J178">
            <v>8.94</v>
          </cell>
          <cell r="K178">
            <v>6.51</v>
          </cell>
          <cell r="L178">
            <v>3.92</v>
          </cell>
          <cell r="M178">
            <v>2.97</v>
          </cell>
          <cell r="N178">
            <v>2.15</v>
          </cell>
          <cell r="O178">
            <v>1.27</v>
          </cell>
          <cell r="P178">
            <v>0.96</v>
          </cell>
          <cell r="Q178">
            <v>0.91</v>
          </cell>
          <cell r="R178">
            <v>0.55000000000000004</v>
          </cell>
          <cell r="S178">
            <v>0.43</v>
          </cell>
          <cell r="T178">
            <v>0.39</v>
          </cell>
          <cell r="U178" t="str">
            <v>Re-size</v>
          </cell>
          <cell r="V178" t="str">
            <v>Re-size</v>
          </cell>
          <cell r="X178" t="str">
            <v>Re-size</v>
          </cell>
          <cell r="Y178" t="str">
            <v>Re-size</v>
          </cell>
          <cell r="Z178">
            <v>66.78</v>
          </cell>
          <cell r="AA178">
            <v>21.76</v>
          </cell>
          <cell r="AB178">
            <v>9.4</v>
          </cell>
          <cell r="AC178">
            <v>3.06</v>
          </cell>
          <cell r="AD178">
            <v>0.78</v>
          </cell>
          <cell r="AE178">
            <v>0.3</v>
          </cell>
        </row>
        <row r="179">
          <cell r="B179">
            <v>1.7</v>
          </cell>
          <cell r="C179" t="str">
            <v>Re-size</v>
          </cell>
          <cell r="D179" t="str">
            <v>Re-size</v>
          </cell>
          <cell r="E179" t="str">
            <v>Re-size</v>
          </cell>
          <cell r="F179" t="str">
            <v>Re-size</v>
          </cell>
          <cell r="G179">
            <v>35.01</v>
          </cell>
          <cell r="H179">
            <v>19.82</v>
          </cell>
          <cell r="I179">
            <v>11.76</v>
          </cell>
          <cell r="J179">
            <v>9.02</v>
          </cell>
          <cell r="K179">
            <v>6.57</v>
          </cell>
          <cell r="L179">
            <v>3.96</v>
          </cell>
          <cell r="M179">
            <v>3</v>
          </cell>
          <cell r="N179">
            <v>2.17</v>
          </cell>
          <cell r="O179">
            <v>1.28</v>
          </cell>
          <cell r="P179">
            <v>0.97</v>
          </cell>
          <cell r="Q179">
            <v>0.92</v>
          </cell>
          <cell r="R179">
            <v>0.55000000000000004</v>
          </cell>
          <cell r="S179">
            <v>0.43</v>
          </cell>
          <cell r="T179">
            <v>0.39</v>
          </cell>
          <cell r="U179" t="str">
            <v>Re-size</v>
          </cell>
          <cell r="V179" t="str">
            <v>Re-size</v>
          </cell>
          <cell r="X179" t="str">
            <v>Re-size</v>
          </cell>
          <cell r="Y179" t="str">
            <v>Re-size</v>
          </cell>
          <cell r="Z179">
            <v>67.400000000000006</v>
          </cell>
          <cell r="AA179">
            <v>22</v>
          </cell>
          <cell r="AB179">
            <v>9.5</v>
          </cell>
          <cell r="AC179">
            <v>3.1</v>
          </cell>
          <cell r="AD179">
            <v>0.8</v>
          </cell>
          <cell r="AE179">
            <v>0.3</v>
          </cell>
        </row>
        <row r="180">
          <cell r="B180">
            <v>1.71</v>
          </cell>
          <cell r="C180" t="str">
            <v>Re-size</v>
          </cell>
          <cell r="D180" t="str">
            <v>Re-size</v>
          </cell>
          <cell r="E180" t="str">
            <v>Re-size</v>
          </cell>
          <cell r="F180" t="str">
            <v>Re-size</v>
          </cell>
          <cell r="G180">
            <v>35.35</v>
          </cell>
          <cell r="H180">
            <v>20.010000000000002</v>
          </cell>
          <cell r="I180">
            <v>11.9</v>
          </cell>
          <cell r="J180">
            <v>9.129999999999999</v>
          </cell>
          <cell r="K180">
            <v>6.65</v>
          </cell>
          <cell r="L180">
            <v>4</v>
          </cell>
          <cell r="M180">
            <v>3.03</v>
          </cell>
          <cell r="N180">
            <v>2.1999999999999997</v>
          </cell>
          <cell r="O180">
            <v>1.3</v>
          </cell>
          <cell r="P180">
            <v>0.98</v>
          </cell>
          <cell r="Q180">
            <v>0.93</v>
          </cell>
          <cell r="R180">
            <v>0.56000000000000005</v>
          </cell>
          <cell r="S180">
            <v>0.44</v>
          </cell>
          <cell r="T180">
            <v>0.4</v>
          </cell>
          <cell r="U180" t="str">
            <v>Re-size</v>
          </cell>
          <cell r="V180" t="str">
            <v>Re-size</v>
          </cell>
          <cell r="X180" t="str">
            <v>Re-size</v>
          </cell>
          <cell r="Y180" t="str">
            <v>Re-size</v>
          </cell>
          <cell r="Z180">
            <v>68.3</v>
          </cell>
          <cell r="AA180">
            <v>22.22</v>
          </cell>
          <cell r="AB180">
            <v>9.6</v>
          </cell>
          <cell r="AC180">
            <v>3.14</v>
          </cell>
          <cell r="AD180">
            <v>0.8</v>
          </cell>
          <cell r="AE180">
            <v>0.32</v>
          </cell>
        </row>
        <row r="181">
          <cell r="B181">
            <v>1.72</v>
          </cell>
          <cell r="C181" t="str">
            <v>Re-size</v>
          </cell>
          <cell r="D181" t="str">
            <v>Re-size</v>
          </cell>
          <cell r="E181" t="str">
            <v>Re-size</v>
          </cell>
          <cell r="F181" t="str">
            <v>Re-size</v>
          </cell>
          <cell r="G181">
            <v>35.69</v>
          </cell>
          <cell r="H181">
            <v>20.2</v>
          </cell>
          <cell r="I181">
            <v>12.03</v>
          </cell>
          <cell r="J181">
            <v>9.23</v>
          </cell>
          <cell r="K181">
            <v>6.73</v>
          </cell>
          <cell r="L181">
            <v>4.04</v>
          </cell>
          <cell r="M181">
            <v>3.05</v>
          </cell>
          <cell r="N181">
            <v>2.2199999999999998</v>
          </cell>
          <cell r="O181">
            <v>1.31</v>
          </cell>
          <cell r="P181">
            <v>0.99</v>
          </cell>
          <cell r="Q181">
            <v>0.94</v>
          </cell>
          <cell r="R181">
            <v>0.57000000000000006</v>
          </cell>
          <cell r="S181">
            <v>0.44</v>
          </cell>
          <cell r="T181">
            <v>0.4</v>
          </cell>
          <cell r="U181" t="str">
            <v>Re-size</v>
          </cell>
          <cell r="V181" t="str">
            <v>Re-size</v>
          </cell>
          <cell r="X181" t="str">
            <v>Re-size</v>
          </cell>
          <cell r="Y181" t="str">
            <v>Re-size</v>
          </cell>
          <cell r="Z181">
            <v>69.2</v>
          </cell>
          <cell r="AA181">
            <v>22.44</v>
          </cell>
          <cell r="AB181">
            <v>9.6999999999999993</v>
          </cell>
          <cell r="AC181">
            <v>3.18</v>
          </cell>
          <cell r="AD181">
            <v>0.8</v>
          </cell>
          <cell r="AE181">
            <v>0.34</v>
          </cell>
        </row>
        <row r="182">
          <cell r="B182">
            <v>1.73</v>
          </cell>
          <cell r="C182" t="str">
            <v>Re-size</v>
          </cell>
          <cell r="D182" t="str">
            <v>Re-size</v>
          </cell>
          <cell r="E182" t="str">
            <v>Re-size</v>
          </cell>
          <cell r="F182" t="str">
            <v>Re-size</v>
          </cell>
          <cell r="G182" t="str">
            <v>Re-size</v>
          </cell>
          <cell r="H182">
            <v>20.440000000000001</v>
          </cell>
          <cell r="I182">
            <v>12.18</v>
          </cell>
          <cell r="J182">
            <v>9.32</v>
          </cell>
          <cell r="K182">
            <v>6.79</v>
          </cell>
          <cell r="L182">
            <v>4.09</v>
          </cell>
          <cell r="M182">
            <v>3.09</v>
          </cell>
          <cell r="N182">
            <v>2.2399999999999998</v>
          </cell>
          <cell r="O182">
            <v>1.33</v>
          </cell>
          <cell r="P182">
            <v>1</v>
          </cell>
          <cell r="Q182">
            <v>0.95</v>
          </cell>
          <cell r="R182">
            <v>0.57000000000000006</v>
          </cell>
          <cell r="S182">
            <v>0.45</v>
          </cell>
          <cell r="T182">
            <v>0.41000000000000003</v>
          </cell>
          <cell r="U182" t="str">
            <v>Re-size</v>
          </cell>
          <cell r="V182" t="str">
            <v>Re-size</v>
          </cell>
          <cell r="X182" t="str">
            <v>Re-size</v>
          </cell>
          <cell r="Y182" t="str">
            <v>Re-size</v>
          </cell>
          <cell r="Z182">
            <v>70.099999999999994</v>
          </cell>
          <cell r="AA182">
            <v>22.66</v>
          </cell>
          <cell r="AB182">
            <v>9.8000000000000007</v>
          </cell>
          <cell r="AC182">
            <v>3.22</v>
          </cell>
          <cell r="AD182">
            <v>0.8</v>
          </cell>
          <cell r="AE182">
            <v>0.36</v>
          </cell>
        </row>
        <row r="183">
          <cell r="B183">
            <v>1.74</v>
          </cell>
          <cell r="C183" t="str">
            <v>Re-size</v>
          </cell>
          <cell r="D183" t="str">
            <v>Re-size</v>
          </cell>
          <cell r="E183" t="str">
            <v>Re-size</v>
          </cell>
          <cell r="F183" t="str">
            <v>Re-size</v>
          </cell>
          <cell r="G183" t="str">
            <v>Re-size</v>
          </cell>
          <cell r="H183">
            <v>20.67</v>
          </cell>
          <cell r="I183">
            <v>12.32</v>
          </cell>
          <cell r="J183">
            <v>9.41</v>
          </cell>
          <cell r="K183">
            <v>6.85</v>
          </cell>
          <cell r="L183">
            <v>4.13</v>
          </cell>
          <cell r="M183">
            <v>3.13</v>
          </cell>
          <cell r="N183">
            <v>2.2599999999999998</v>
          </cell>
          <cell r="O183">
            <v>1.34</v>
          </cell>
          <cell r="P183">
            <v>1.01</v>
          </cell>
          <cell r="Q183">
            <v>0.96</v>
          </cell>
          <cell r="R183">
            <v>0.57999999999999996</v>
          </cell>
          <cell r="S183">
            <v>0.45</v>
          </cell>
          <cell r="T183">
            <v>0.41000000000000003</v>
          </cell>
          <cell r="U183" t="str">
            <v>Re-size</v>
          </cell>
          <cell r="V183" t="str">
            <v>Re-size</v>
          </cell>
          <cell r="X183" t="str">
            <v>Re-size</v>
          </cell>
          <cell r="Y183" t="str">
            <v>Re-size</v>
          </cell>
          <cell r="Z183">
            <v>71</v>
          </cell>
          <cell r="AA183">
            <v>22.88</v>
          </cell>
          <cell r="AB183">
            <v>9.9</v>
          </cell>
          <cell r="AC183">
            <v>3.26</v>
          </cell>
          <cell r="AD183">
            <v>0.8</v>
          </cell>
          <cell r="AE183">
            <v>0.38</v>
          </cell>
        </row>
        <row r="184">
          <cell r="B184">
            <v>1.75</v>
          </cell>
          <cell r="C184" t="str">
            <v>Re-size</v>
          </cell>
          <cell r="D184" t="str">
            <v>Re-size</v>
          </cell>
          <cell r="E184" t="str">
            <v>Re-size</v>
          </cell>
          <cell r="F184" t="str">
            <v>Re-size</v>
          </cell>
          <cell r="G184" t="str">
            <v>Re-size</v>
          </cell>
          <cell r="H184">
            <v>20.86</v>
          </cell>
          <cell r="I184">
            <v>12.43</v>
          </cell>
          <cell r="J184">
            <v>9.52</v>
          </cell>
          <cell r="K184">
            <v>6.93</v>
          </cell>
          <cell r="L184">
            <v>4.17</v>
          </cell>
          <cell r="M184">
            <v>3.1599999999999997</v>
          </cell>
          <cell r="N184">
            <v>2.2799999999999998</v>
          </cell>
          <cell r="O184">
            <v>1.35</v>
          </cell>
          <cell r="P184">
            <v>1.02</v>
          </cell>
          <cell r="Q184">
            <v>0.97</v>
          </cell>
          <cell r="R184">
            <v>0.57999999999999996</v>
          </cell>
          <cell r="S184">
            <v>0.45</v>
          </cell>
          <cell r="T184">
            <v>0.41</v>
          </cell>
          <cell r="U184" t="str">
            <v>Re-size</v>
          </cell>
          <cell r="V184" t="str">
            <v>Re-size</v>
          </cell>
          <cell r="X184" t="str">
            <v>Re-size</v>
          </cell>
          <cell r="Y184" t="str">
            <v>Re-size</v>
          </cell>
          <cell r="Z184">
            <v>71.900000000000006</v>
          </cell>
          <cell r="AA184">
            <v>23.1</v>
          </cell>
          <cell r="AB184">
            <v>10</v>
          </cell>
          <cell r="AC184">
            <v>3.3</v>
          </cell>
          <cell r="AD184">
            <v>0.8</v>
          </cell>
          <cell r="AE184">
            <v>0.4</v>
          </cell>
        </row>
        <row r="185">
          <cell r="B185">
            <v>1.76</v>
          </cell>
          <cell r="C185" t="str">
            <v>Re-size</v>
          </cell>
          <cell r="D185" t="str">
            <v>Re-size</v>
          </cell>
          <cell r="E185" t="str">
            <v>Re-size</v>
          </cell>
          <cell r="F185" t="str">
            <v>Re-size</v>
          </cell>
          <cell r="G185" t="str">
            <v>Re-size</v>
          </cell>
          <cell r="H185">
            <v>21.05</v>
          </cell>
          <cell r="I185">
            <v>12.54</v>
          </cell>
          <cell r="J185">
            <v>9.6199999999999992</v>
          </cell>
          <cell r="K185">
            <v>7.01</v>
          </cell>
          <cell r="L185">
            <v>4.21</v>
          </cell>
          <cell r="M185">
            <v>3.18</v>
          </cell>
          <cell r="N185">
            <v>2.3099999999999996</v>
          </cell>
          <cell r="O185">
            <v>1.37</v>
          </cell>
          <cell r="P185">
            <v>1.03</v>
          </cell>
          <cell r="Q185">
            <v>0.98</v>
          </cell>
          <cell r="R185">
            <v>0.59</v>
          </cell>
          <cell r="S185">
            <v>0.46</v>
          </cell>
          <cell r="T185">
            <v>0.42</v>
          </cell>
          <cell r="U185" t="str">
            <v>Re-size</v>
          </cell>
          <cell r="V185" t="str">
            <v>Re-size</v>
          </cell>
          <cell r="X185" t="str">
            <v>Re-size</v>
          </cell>
          <cell r="Y185" t="str">
            <v>Re-size</v>
          </cell>
          <cell r="Z185">
            <v>72.819999999999993</v>
          </cell>
          <cell r="AA185">
            <v>23.32</v>
          </cell>
          <cell r="AB185">
            <v>10.1</v>
          </cell>
          <cell r="AC185">
            <v>3.34</v>
          </cell>
          <cell r="AD185">
            <v>0.8</v>
          </cell>
          <cell r="AE185">
            <v>0.4</v>
          </cell>
        </row>
        <row r="186">
          <cell r="B186">
            <v>1.77</v>
          </cell>
          <cell r="C186" t="str">
            <v>Re-size</v>
          </cell>
          <cell r="D186" t="str">
            <v>Re-size</v>
          </cell>
          <cell r="E186" t="str">
            <v>Re-size</v>
          </cell>
          <cell r="F186" t="str">
            <v>Re-size</v>
          </cell>
          <cell r="G186" t="str">
            <v>Re-size</v>
          </cell>
          <cell r="H186">
            <v>21.29</v>
          </cell>
          <cell r="I186">
            <v>12.69</v>
          </cell>
          <cell r="J186">
            <v>9.7100000000000009</v>
          </cell>
          <cell r="K186">
            <v>7.08</v>
          </cell>
          <cell r="L186">
            <v>4.26</v>
          </cell>
          <cell r="M186">
            <v>3.22</v>
          </cell>
          <cell r="N186">
            <v>2.3299999999999996</v>
          </cell>
          <cell r="O186">
            <v>1.3800000000000001</v>
          </cell>
          <cell r="P186">
            <v>1.04</v>
          </cell>
          <cell r="Q186">
            <v>0.99</v>
          </cell>
          <cell r="R186">
            <v>0.6</v>
          </cell>
          <cell r="S186">
            <v>0.46</v>
          </cell>
          <cell r="T186">
            <v>0.42</v>
          </cell>
          <cell r="U186" t="str">
            <v>Re-size</v>
          </cell>
          <cell r="V186" t="str">
            <v>Re-size</v>
          </cell>
          <cell r="X186" t="str">
            <v>Re-size</v>
          </cell>
          <cell r="Y186" t="str">
            <v>Re-size</v>
          </cell>
          <cell r="Z186">
            <v>73.739999999999995</v>
          </cell>
          <cell r="AA186">
            <v>23.54</v>
          </cell>
          <cell r="AB186">
            <v>10.199999999999999</v>
          </cell>
          <cell r="AC186">
            <v>3.38</v>
          </cell>
          <cell r="AD186">
            <v>0.8</v>
          </cell>
          <cell r="AE186">
            <v>0.4</v>
          </cell>
        </row>
        <row r="187">
          <cell r="B187">
            <v>1.78</v>
          </cell>
          <cell r="C187" t="str">
            <v>Re-size</v>
          </cell>
          <cell r="D187" t="str">
            <v>Re-size</v>
          </cell>
          <cell r="E187" t="str">
            <v>Re-size</v>
          </cell>
          <cell r="F187" t="str">
            <v>Re-size</v>
          </cell>
          <cell r="G187" t="str">
            <v>Re-size</v>
          </cell>
          <cell r="H187">
            <v>21.53</v>
          </cell>
          <cell r="I187">
            <v>12.83</v>
          </cell>
          <cell r="J187">
            <v>9.8000000000000007</v>
          </cell>
          <cell r="K187">
            <v>7.14</v>
          </cell>
          <cell r="L187">
            <v>4.3</v>
          </cell>
          <cell r="M187">
            <v>3.26</v>
          </cell>
          <cell r="N187">
            <v>2.36</v>
          </cell>
          <cell r="O187">
            <v>1.4</v>
          </cell>
          <cell r="P187">
            <v>1.05</v>
          </cell>
          <cell r="Q187">
            <v>1</v>
          </cell>
          <cell r="R187">
            <v>0.6</v>
          </cell>
          <cell r="S187">
            <v>0.47000000000000003</v>
          </cell>
          <cell r="T187">
            <v>0.43</v>
          </cell>
          <cell r="U187" t="str">
            <v>Re-size</v>
          </cell>
          <cell r="V187" t="str">
            <v>Re-size</v>
          </cell>
          <cell r="X187" t="str">
            <v>Re-size</v>
          </cell>
          <cell r="Y187" t="str">
            <v>Re-size</v>
          </cell>
          <cell r="Z187">
            <v>74.66</v>
          </cell>
          <cell r="AA187">
            <v>23.76</v>
          </cell>
          <cell r="AB187">
            <v>10.3</v>
          </cell>
          <cell r="AC187">
            <v>3.42</v>
          </cell>
          <cell r="AD187">
            <v>0.8</v>
          </cell>
          <cell r="AE187">
            <v>0.4</v>
          </cell>
        </row>
        <row r="188">
          <cell r="B188">
            <v>1.79</v>
          </cell>
          <cell r="C188" t="str">
            <v>Re-size</v>
          </cell>
          <cell r="D188" t="str">
            <v>Re-size</v>
          </cell>
          <cell r="E188" t="str">
            <v>Re-size</v>
          </cell>
          <cell r="F188" t="str">
            <v>Re-size</v>
          </cell>
          <cell r="G188" t="str">
            <v>Re-size</v>
          </cell>
          <cell r="H188">
            <v>21.77</v>
          </cell>
          <cell r="I188">
            <v>12.95</v>
          </cell>
          <cell r="J188">
            <v>9.91</v>
          </cell>
          <cell r="K188">
            <v>7.22</v>
          </cell>
          <cell r="L188">
            <v>4.34</v>
          </cell>
          <cell r="M188">
            <v>3.29</v>
          </cell>
          <cell r="N188">
            <v>2.38</v>
          </cell>
          <cell r="O188">
            <v>1.41</v>
          </cell>
          <cell r="P188">
            <v>1.06</v>
          </cell>
          <cell r="Q188">
            <v>1.01</v>
          </cell>
          <cell r="R188">
            <v>0.61</v>
          </cell>
          <cell r="S188">
            <v>0.47000000000000003</v>
          </cell>
          <cell r="T188">
            <v>0.43</v>
          </cell>
          <cell r="U188" t="str">
            <v>Re-size</v>
          </cell>
          <cell r="V188" t="str">
            <v>Re-size</v>
          </cell>
          <cell r="X188" t="str">
            <v>Re-size</v>
          </cell>
          <cell r="Y188" t="str">
            <v>Re-size</v>
          </cell>
          <cell r="Z188">
            <v>75.58</v>
          </cell>
          <cell r="AA188">
            <v>23.98</v>
          </cell>
          <cell r="AB188">
            <v>10.4</v>
          </cell>
          <cell r="AC188">
            <v>3.46</v>
          </cell>
          <cell r="AD188">
            <v>0.8</v>
          </cell>
          <cell r="AE188">
            <v>0.4</v>
          </cell>
        </row>
        <row r="189">
          <cell r="B189">
            <v>1.8</v>
          </cell>
          <cell r="C189" t="str">
            <v>Re-size</v>
          </cell>
          <cell r="D189" t="str">
            <v>Re-size</v>
          </cell>
          <cell r="E189" t="str">
            <v>Re-size</v>
          </cell>
          <cell r="F189" t="str">
            <v>Re-size</v>
          </cell>
          <cell r="G189" t="str">
            <v>Re-size</v>
          </cell>
          <cell r="H189">
            <v>22.01</v>
          </cell>
          <cell r="I189">
            <v>13.06</v>
          </cell>
          <cell r="J189">
            <v>10.02</v>
          </cell>
          <cell r="K189">
            <v>7.3</v>
          </cell>
          <cell r="L189">
            <v>4.38</v>
          </cell>
          <cell r="M189">
            <v>3.32</v>
          </cell>
          <cell r="N189">
            <v>2.4</v>
          </cell>
          <cell r="O189">
            <v>1.42</v>
          </cell>
          <cell r="P189">
            <v>1.07</v>
          </cell>
          <cell r="Q189">
            <v>1.02</v>
          </cell>
          <cell r="R189">
            <v>0.61</v>
          </cell>
          <cell r="S189">
            <v>0.47</v>
          </cell>
          <cell r="T189">
            <v>0.43</v>
          </cell>
          <cell r="U189" t="str">
            <v>Re-size</v>
          </cell>
          <cell r="V189" t="str">
            <v>Re-size</v>
          </cell>
          <cell r="X189" t="str">
            <v>Re-size</v>
          </cell>
          <cell r="Y189" t="str">
            <v>Re-size</v>
          </cell>
          <cell r="Z189">
            <v>76.5</v>
          </cell>
          <cell r="AA189">
            <v>24.2</v>
          </cell>
          <cell r="AB189">
            <v>10.5</v>
          </cell>
          <cell r="AC189">
            <v>3.5</v>
          </cell>
          <cell r="AD189">
            <v>0.8</v>
          </cell>
          <cell r="AE189">
            <v>0.4</v>
          </cell>
        </row>
        <row r="190">
          <cell r="B190">
            <v>1.81</v>
          </cell>
          <cell r="C190" t="str">
            <v>Re-size</v>
          </cell>
          <cell r="D190" t="str">
            <v>Re-size</v>
          </cell>
          <cell r="E190" t="str">
            <v>Re-size</v>
          </cell>
          <cell r="F190" t="str">
            <v>Re-size</v>
          </cell>
          <cell r="G190" t="str">
            <v>Re-size</v>
          </cell>
          <cell r="H190">
            <v>22.21</v>
          </cell>
          <cell r="I190">
            <v>13.209999999999999</v>
          </cell>
          <cell r="J190">
            <v>10.11</v>
          </cell>
          <cell r="K190">
            <v>7.37</v>
          </cell>
          <cell r="L190">
            <v>4.43</v>
          </cell>
          <cell r="M190">
            <v>3.36</v>
          </cell>
          <cell r="N190">
            <v>2.4299999999999997</v>
          </cell>
          <cell r="O190">
            <v>1.44</v>
          </cell>
          <cell r="P190">
            <v>1.0900000000000001</v>
          </cell>
          <cell r="Q190">
            <v>1.03</v>
          </cell>
          <cell r="R190">
            <v>0.62</v>
          </cell>
          <cell r="S190">
            <v>0.48</v>
          </cell>
          <cell r="T190">
            <v>0.44</v>
          </cell>
          <cell r="U190" t="str">
            <v>Re-size</v>
          </cell>
          <cell r="V190" t="str">
            <v>Re-size</v>
          </cell>
          <cell r="X190" t="str">
            <v>Re-size</v>
          </cell>
          <cell r="Y190" t="str">
            <v>Re-size</v>
          </cell>
          <cell r="Z190" t="str">
            <v>Re-size</v>
          </cell>
          <cell r="AA190">
            <v>24.44</v>
          </cell>
          <cell r="AB190">
            <v>10.62</v>
          </cell>
          <cell r="AC190">
            <v>3.52</v>
          </cell>
          <cell r="AD190">
            <v>0.82</v>
          </cell>
          <cell r="AE190">
            <v>0.4</v>
          </cell>
        </row>
        <row r="191">
          <cell r="B191">
            <v>1.82</v>
          </cell>
          <cell r="C191" t="str">
            <v>Re-size</v>
          </cell>
          <cell r="D191" t="str">
            <v>Re-size</v>
          </cell>
          <cell r="E191" t="str">
            <v>Re-size</v>
          </cell>
          <cell r="F191" t="str">
            <v>Re-size</v>
          </cell>
          <cell r="G191" t="str">
            <v>Re-size</v>
          </cell>
          <cell r="H191">
            <v>22.4</v>
          </cell>
          <cell r="I191">
            <v>13.35</v>
          </cell>
          <cell r="J191">
            <v>10.199999999999999</v>
          </cell>
          <cell r="K191">
            <v>7.43</v>
          </cell>
          <cell r="L191">
            <v>4.4800000000000004</v>
          </cell>
          <cell r="M191">
            <v>3.39</v>
          </cell>
          <cell r="N191">
            <v>2.46</v>
          </cell>
          <cell r="O191">
            <v>1.45</v>
          </cell>
          <cell r="P191">
            <v>1.1000000000000001</v>
          </cell>
          <cell r="Q191">
            <v>1.04</v>
          </cell>
          <cell r="R191">
            <v>0.63</v>
          </cell>
          <cell r="S191">
            <v>0.48</v>
          </cell>
          <cell r="T191">
            <v>0.44</v>
          </cell>
          <cell r="U191" t="str">
            <v>Re-size</v>
          </cell>
          <cell r="V191" t="str">
            <v>Re-size</v>
          </cell>
          <cell r="X191" t="str">
            <v>Re-size</v>
          </cell>
          <cell r="Y191" t="str">
            <v>Re-size</v>
          </cell>
          <cell r="Z191" t="str">
            <v>Re-size</v>
          </cell>
          <cell r="AA191">
            <v>24.68</v>
          </cell>
          <cell r="AB191">
            <v>10.74</v>
          </cell>
          <cell r="AC191">
            <v>3.54</v>
          </cell>
          <cell r="AD191">
            <v>0.84</v>
          </cell>
          <cell r="AE191">
            <v>0.4</v>
          </cell>
        </row>
        <row r="192">
          <cell r="B192">
            <v>1.83</v>
          </cell>
          <cell r="C192" t="str">
            <v>Re-size</v>
          </cell>
          <cell r="D192" t="str">
            <v>Re-size</v>
          </cell>
          <cell r="E192" t="str">
            <v>Re-size</v>
          </cell>
          <cell r="F192" t="str">
            <v>Re-size</v>
          </cell>
          <cell r="G192" t="str">
            <v>Re-size</v>
          </cell>
          <cell r="H192">
            <v>22.650000000000002</v>
          </cell>
          <cell r="I192">
            <v>13.47</v>
          </cell>
          <cell r="J192">
            <v>10.31</v>
          </cell>
          <cell r="K192">
            <v>7.51</v>
          </cell>
          <cell r="L192">
            <v>4.5199999999999996</v>
          </cell>
          <cell r="M192">
            <v>3.42</v>
          </cell>
          <cell r="N192">
            <v>2.48</v>
          </cell>
          <cell r="O192">
            <v>1.47</v>
          </cell>
          <cell r="P192">
            <v>1.1100000000000001</v>
          </cell>
          <cell r="Q192">
            <v>1.05</v>
          </cell>
          <cell r="R192">
            <v>0.63</v>
          </cell>
          <cell r="S192">
            <v>0.49</v>
          </cell>
          <cell r="T192">
            <v>0.45</v>
          </cell>
          <cell r="U192" t="str">
            <v>Re-size</v>
          </cell>
          <cell r="V192" t="str">
            <v>Re-size</v>
          </cell>
          <cell r="X192" t="str">
            <v>Re-size</v>
          </cell>
          <cell r="Y192" t="str">
            <v>Re-size</v>
          </cell>
          <cell r="Z192" t="str">
            <v>Re-size</v>
          </cell>
          <cell r="AA192">
            <v>24.92</v>
          </cell>
          <cell r="AB192">
            <v>10.86</v>
          </cell>
          <cell r="AC192">
            <v>3.56</v>
          </cell>
          <cell r="AD192">
            <v>0.86</v>
          </cell>
          <cell r="AE192">
            <v>0.4</v>
          </cell>
        </row>
        <row r="193">
          <cell r="B193">
            <v>1.84</v>
          </cell>
          <cell r="C193" t="str">
            <v>Re-size</v>
          </cell>
          <cell r="D193" t="str">
            <v>Re-size</v>
          </cell>
          <cell r="E193" t="str">
            <v>Re-size</v>
          </cell>
          <cell r="F193" t="str">
            <v>Re-size</v>
          </cell>
          <cell r="G193" t="str">
            <v>Re-size</v>
          </cell>
          <cell r="H193">
            <v>22.89</v>
          </cell>
          <cell r="I193">
            <v>13.58</v>
          </cell>
          <cell r="J193">
            <v>10.42</v>
          </cell>
          <cell r="K193">
            <v>7.59</v>
          </cell>
          <cell r="L193">
            <v>4.5599999999999996</v>
          </cell>
          <cell r="M193">
            <v>3.45</v>
          </cell>
          <cell r="N193">
            <v>2.5099999999999998</v>
          </cell>
          <cell r="O193">
            <v>1.48</v>
          </cell>
          <cell r="P193">
            <v>1.1200000000000001</v>
          </cell>
          <cell r="Q193">
            <v>1.06</v>
          </cell>
          <cell r="R193">
            <v>0.64</v>
          </cell>
          <cell r="S193">
            <v>0.49</v>
          </cell>
          <cell r="T193">
            <v>0.45</v>
          </cell>
          <cell r="U193" t="str">
            <v>Re-size</v>
          </cell>
          <cell r="V193" t="str">
            <v>Re-size</v>
          </cell>
          <cell r="X193" t="str">
            <v>Re-size</v>
          </cell>
          <cell r="Y193" t="str">
            <v>Re-size</v>
          </cell>
          <cell r="Z193" t="str">
            <v>Re-size</v>
          </cell>
          <cell r="AA193">
            <v>25.16</v>
          </cell>
          <cell r="AB193">
            <v>10.98</v>
          </cell>
          <cell r="AC193">
            <v>3.58</v>
          </cell>
          <cell r="AD193">
            <v>0.88</v>
          </cell>
          <cell r="AE193">
            <v>0.4</v>
          </cell>
        </row>
        <row r="194">
          <cell r="B194">
            <v>1.85</v>
          </cell>
          <cell r="C194" t="str">
            <v>Re-size</v>
          </cell>
          <cell r="D194" t="str">
            <v>Re-size</v>
          </cell>
          <cell r="E194" t="str">
            <v>Re-size</v>
          </cell>
          <cell r="F194" t="str">
            <v>Re-size</v>
          </cell>
          <cell r="G194" t="str">
            <v>Re-size</v>
          </cell>
          <cell r="H194">
            <v>23.09</v>
          </cell>
          <cell r="I194">
            <v>13.73</v>
          </cell>
          <cell r="J194">
            <v>10.54</v>
          </cell>
          <cell r="K194">
            <v>7.66</v>
          </cell>
          <cell r="L194">
            <v>4.6100000000000003</v>
          </cell>
          <cell r="M194">
            <v>3.4899999999999998</v>
          </cell>
          <cell r="N194">
            <v>2.5299999999999998</v>
          </cell>
          <cell r="O194">
            <v>1.49</v>
          </cell>
          <cell r="P194">
            <v>1.1299999999999999</v>
          </cell>
          <cell r="Q194">
            <v>1.07</v>
          </cell>
          <cell r="R194">
            <v>0.64</v>
          </cell>
          <cell r="S194">
            <v>0.49</v>
          </cell>
          <cell r="T194">
            <v>0.45</v>
          </cell>
          <cell r="U194">
            <v>0.14000000000000001</v>
          </cell>
          <cell r="V194" t="str">
            <v>Re-size</v>
          </cell>
          <cell r="X194" t="str">
            <v>Re-size</v>
          </cell>
          <cell r="Y194" t="str">
            <v>Re-size</v>
          </cell>
          <cell r="Z194" t="str">
            <v>Re-size</v>
          </cell>
          <cell r="AA194">
            <v>25.4</v>
          </cell>
          <cell r="AB194">
            <v>11.1</v>
          </cell>
          <cell r="AC194">
            <v>3.6</v>
          </cell>
          <cell r="AD194">
            <v>0.9</v>
          </cell>
          <cell r="AE194">
            <v>0.4</v>
          </cell>
        </row>
        <row r="195">
          <cell r="B195">
            <v>1.86</v>
          </cell>
          <cell r="C195" t="str">
            <v>Re-size</v>
          </cell>
          <cell r="D195" t="str">
            <v>Re-size</v>
          </cell>
          <cell r="E195" t="str">
            <v>Re-size</v>
          </cell>
          <cell r="F195" t="str">
            <v>Re-size</v>
          </cell>
          <cell r="G195" t="str">
            <v>Re-size</v>
          </cell>
          <cell r="H195">
            <v>23.28</v>
          </cell>
          <cell r="I195">
            <v>13.88</v>
          </cell>
          <cell r="J195">
            <v>10.65</v>
          </cell>
          <cell r="K195">
            <v>7.72</v>
          </cell>
          <cell r="L195">
            <v>4.66</v>
          </cell>
          <cell r="M195">
            <v>3.52</v>
          </cell>
          <cell r="N195">
            <v>2.5599999999999996</v>
          </cell>
          <cell r="O195">
            <v>1.51</v>
          </cell>
          <cell r="P195">
            <v>1.1399999999999999</v>
          </cell>
          <cell r="Q195">
            <v>1.0900000000000001</v>
          </cell>
          <cell r="R195">
            <v>0.65</v>
          </cell>
          <cell r="S195">
            <v>0.5</v>
          </cell>
          <cell r="T195">
            <v>0.46</v>
          </cell>
          <cell r="U195">
            <v>0.17</v>
          </cell>
          <cell r="V195" t="str">
            <v>Re-size</v>
          </cell>
          <cell r="X195" t="str">
            <v>Re-size</v>
          </cell>
          <cell r="Y195" t="str">
            <v>Re-size</v>
          </cell>
          <cell r="Z195" t="str">
            <v>Re-size</v>
          </cell>
          <cell r="AA195">
            <v>25.62</v>
          </cell>
          <cell r="AB195">
            <v>11.22</v>
          </cell>
          <cell r="AC195">
            <v>3.64</v>
          </cell>
          <cell r="AD195">
            <v>0.9</v>
          </cell>
          <cell r="AE195">
            <v>0.4</v>
          </cell>
        </row>
        <row r="196">
          <cell r="B196">
            <v>1.87</v>
          </cell>
          <cell r="C196" t="str">
            <v>Re-size</v>
          </cell>
          <cell r="D196" t="str">
            <v>Re-size</v>
          </cell>
          <cell r="E196" t="str">
            <v>Re-size</v>
          </cell>
          <cell r="F196" t="str">
            <v>Re-size</v>
          </cell>
          <cell r="G196" t="str">
            <v>Re-size</v>
          </cell>
          <cell r="H196">
            <v>23.53</v>
          </cell>
          <cell r="I196">
            <v>14.03</v>
          </cell>
          <cell r="J196">
            <v>10.74</v>
          </cell>
          <cell r="K196">
            <v>7.81</v>
          </cell>
          <cell r="L196">
            <v>4.7</v>
          </cell>
          <cell r="M196">
            <v>3.56</v>
          </cell>
          <cell r="N196">
            <v>2.5799999999999996</v>
          </cell>
          <cell r="O196">
            <v>1.53</v>
          </cell>
          <cell r="P196">
            <v>1.1499999999999999</v>
          </cell>
          <cell r="Q196">
            <v>1.1000000000000001</v>
          </cell>
          <cell r="R196">
            <v>0.66</v>
          </cell>
          <cell r="S196">
            <v>0.51</v>
          </cell>
          <cell r="T196">
            <v>0.46</v>
          </cell>
          <cell r="U196">
            <v>0.2</v>
          </cell>
          <cell r="V196" t="str">
            <v>Re-size</v>
          </cell>
          <cell r="X196" t="str">
            <v>Re-size</v>
          </cell>
          <cell r="Y196" t="str">
            <v>Re-size</v>
          </cell>
          <cell r="Z196" t="str">
            <v>Re-size</v>
          </cell>
          <cell r="AA196">
            <v>25.84</v>
          </cell>
          <cell r="AB196">
            <v>11.34</v>
          </cell>
          <cell r="AC196">
            <v>3.68</v>
          </cell>
          <cell r="AD196">
            <v>0.9</v>
          </cell>
          <cell r="AE196">
            <v>0.4</v>
          </cell>
        </row>
        <row r="197">
          <cell r="B197">
            <v>1.88</v>
          </cell>
          <cell r="C197" t="str">
            <v>Re-size</v>
          </cell>
          <cell r="D197" t="str">
            <v>Re-size</v>
          </cell>
          <cell r="E197" t="str">
            <v>Re-size</v>
          </cell>
          <cell r="F197" t="str">
            <v>Re-size</v>
          </cell>
          <cell r="G197" t="str">
            <v>Re-size</v>
          </cell>
          <cell r="H197">
            <v>23.78</v>
          </cell>
          <cell r="I197">
            <v>14.18</v>
          </cell>
          <cell r="J197">
            <v>10.83</v>
          </cell>
          <cell r="K197">
            <v>7.89</v>
          </cell>
          <cell r="L197">
            <v>4.74</v>
          </cell>
          <cell r="M197">
            <v>3.6</v>
          </cell>
          <cell r="N197">
            <v>2.61</v>
          </cell>
          <cell r="O197">
            <v>1.54</v>
          </cell>
          <cell r="P197">
            <v>1.1599999999999999</v>
          </cell>
          <cell r="Q197">
            <v>1.1100000000000001</v>
          </cell>
          <cell r="R197">
            <v>0.66</v>
          </cell>
          <cell r="S197">
            <v>0.51</v>
          </cell>
          <cell r="T197">
            <v>0.47000000000000003</v>
          </cell>
          <cell r="U197">
            <v>0.23</v>
          </cell>
          <cell r="V197" t="str">
            <v>Re-size</v>
          </cell>
          <cell r="X197" t="str">
            <v>Re-size</v>
          </cell>
          <cell r="Y197" t="str">
            <v>Re-size</v>
          </cell>
          <cell r="Z197" t="str">
            <v>Re-size</v>
          </cell>
          <cell r="AA197">
            <v>26.06</v>
          </cell>
          <cell r="AB197">
            <v>11.46</v>
          </cell>
          <cell r="AC197">
            <v>3.72</v>
          </cell>
          <cell r="AD197">
            <v>0.9</v>
          </cell>
          <cell r="AE197">
            <v>0.4</v>
          </cell>
        </row>
        <row r="198">
          <cell r="B198">
            <v>1.89</v>
          </cell>
          <cell r="C198" t="str">
            <v>Re-size</v>
          </cell>
          <cell r="D198" t="str">
            <v>Re-size</v>
          </cell>
          <cell r="E198" t="str">
            <v>Re-size</v>
          </cell>
          <cell r="F198" t="str">
            <v>Re-size</v>
          </cell>
          <cell r="G198" t="str">
            <v>Re-size</v>
          </cell>
          <cell r="H198">
            <v>24.040000000000003</v>
          </cell>
          <cell r="I198">
            <v>14.299999999999999</v>
          </cell>
          <cell r="J198">
            <v>10.95</v>
          </cell>
          <cell r="K198">
            <v>7.9799999999999995</v>
          </cell>
          <cell r="L198">
            <v>4.79</v>
          </cell>
          <cell r="M198">
            <v>3.63</v>
          </cell>
          <cell r="N198">
            <v>2.63</v>
          </cell>
          <cell r="O198">
            <v>1.56</v>
          </cell>
          <cell r="P198">
            <v>1.17</v>
          </cell>
          <cell r="Q198">
            <v>1.1200000000000001</v>
          </cell>
          <cell r="R198">
            <v>0.67</v>
          </cell>
          <cell r="S198">
            <v>0.52</v>
          </cell>
          <cell r="T198">
            <v>0.47000000000000003</v>
          </cell>
          <cell r="U198">
            <v>0.26</v>
          </cell>
          <cell r="V198" t="str">
            <v>Re-size</v>
          </cell>
          <cell r="X198" t="str">
            <v>Re-size</v>
          </cell>
          <cell r="Y198" t="str">
            <v>Re-size</v>
          </cell>
          <cell r="Z198" t="str">
            <v>Re-size</v>
          </cell>
          <cell r="AA198">
            <v>26.28</v>
          </cell>
          <cell r="AB198">
            <v>11.58</v>
          </cell>
          <cell r="AC198">
            <v>3.76</v>
          </cell>
          <cell r="AD198">
            <v>0.9</v>
          </cell>
          <cell r="AE198">
            <v>0.4</v>
          </cell>
        </row>
        <row r="199">
          <cell r="B199">
            <v>1.9</v>
          </cell>
          <cell r="C199" t="str">
            <v>Re-size</v>
          </cell>
          <cell r="D199" t="str">
            <v>Re-size</v>
          </cell>
          <cell r="E199" t="str">
            <v>Re-size</v>
          </cell>
          <cell r="F199" t="str">
            <v>Re-size</v>
          </cell>
          <cell r="G199" t="str">
            <v>Re-size</v>
          </cell>
          <cell r="H199">
            <v>24.29</v>
          </cell>
          <cell r="I199">
            <v>14.41</v>
          </cell>
          <cell r="J199">
            <v>11.06</v>
          </cell>
          <cell r="K199">
            <v>8.06</v>
          </cell>
          <cell r="L199">
            <v>4.84</v>
          </cell>
          <cell r="M199">
            <v>3.66</v>
          </cell>
          <cell r="N199">
            <v>2.65</v>
          </cell>
          <cell r="O199">
            <v>1.57</v>
          </cell>
          <cell r="P199">
            <v>1.18</v>
          </cell>
          <cell r="Q199">
            <v>1.1299999999999999</v>
          </cell>
          <cell r="R199">
            <v>0.67</v>
          </cell>
          <cell r="S199">
            <v>0.52</v>
          </cell>
          <cell r="T199">
            <v>0.47</v>
          </cell>
          <cell r="U199">
            <v>0.28000000000000003</v>
          </cell>
          <cell r="V199" t="str">
            <v>Re-size</v>
          </cell>
          <cell r="X199" t="str">
            <v>Re-size</v>
          </cell>
          <cell r="Y199" t="str">
            <v>Re-size</v>
          </cell>
          <cell r="Z199" t="str">
            <v>Re-size</v>
          </cell>
          <cell r="AA199">
            <v>26.5</v>
          </cell>
          <cell r="AB199">
            <v>11.7</v>
          </cell>
          <cell r="AC199">
            <v>3.8</v>
          </cell>
          <cell r="AD199">
            <v>0.9</v>
          </cell>
          <cell r="AE199">
            <v>0.4</v>
          </cell>
        </row>
        <row r="200">
          <cell r="B200">
            <v>1.91</v>
          </cell>
          <cell r="C200" t="str">
            <v>Re-size</v>
          </cell>
          <cell r="D200" t="str">
            <v>Re-size</v>
          </cell>
          <cell r="E200" t="str">
            <v>Re-size</v>
          </cell>
          <cell r="F200" t="str">
            <v>Re-size</v>
          </cell>
          <cell r="G200" t="str">
            <v>Re-size</v>
          </cell>
          <cell r="H200">
            <v>24.49</v>
          </cell>
          <cell r="I200">
            <v>14.57</v>
          </cell>
          <cell r="J200">
            <v>11.15</v>
          </cell>
          <cell r="K200">
            <v>8.129999999999999</v>
          </cell>
          <cell r="L200">
            <v>4.8899999999999997</v>
          </cell>
          <cell r="M200">
            <v>3.7</v>
          </cell>
          <cell r="N200">
            <v>2.6799999999999997</v>
          </cell>
          <cell r="O200">
            <v>1.59</v>
          </cell>
          <cell r="P200">
            <v>1.2</v>
          </cell>
          <cell r="Q200">
            <v>1.1399999999999999</v>
          </cell>
          <cell r="R200">
            <v>0.68</v>
          </cell>
          <cell r="S200">
            <v>0.53</v>
          </cell>
          <cell r="T200">
            <v>0.48</v>
          </cell>
          <cell r="U200">
            <v>0.29000000000000004</v>
          </cell>
          <cell r="V200" t="str">
            <v>Re-size</v>
          </cell>
          <cell r="X200" t="str">
            <v>Re-size</v>
          </cell>
          <cell r="Y200" t="str">
            <v>Re-size</v>
          </cell>
          <cell r="Z200" t="str">
            <v>Re-size</v>
          </cell>
          <cell r="AA200">
            <v>26.8</v>
          </cell>
          <cell r="AB200">
            <v>11.8</v>
          </cell>
          <cell r="AC200">
            <v>3.82</v>
          </cell>
          <cell r="AD200">
            <v>0.92</v>
          </cell>
          <cell r="AE200">
            <v>0.4</v>
          </cell>
        </row>
        <row r="201">
          <cell r="B201">
            <v>1.92</v>
          </cell>
          <cell r="C201" t="str">
            <v>Re-size</v>
          </cell>
          <cell r="D201" t="str">
            <v>Re-size</v>
          </cell>
          <cell r="E201" t="str">
            <v>Re-size</v>
          </cell>
          <cell r="F201" t="str">
            <v>Re-size</v>
          </cell>
          <cell r="G201" t="str">
            <v>Re-size</v>
          </cell>
          <cell r="H201">
            <v>24.69</v>
          </cell>
          <cell r="I201">
            <v>14.72</v>
          </cell>
          <cell r="J201">
            <v>11.24</v>
          </cell>
          <cell r="K201">
            <v>8.19</v>
          </cell>
          <cell r="L201">
            <v>4.9400000000000004</v>
          </cell>
          <cell r="M201">
            <v>3.74</v>
          </cell>
          <cell r="N201">
            <v>2.6999999999999997</v>
          </cell>
          <cell r="O201">
            <v>1.6</v>
          </cell>
          <cell r="P201">
            <v>1.21</v>
          </cell>
          <cell r="Q201">
            <v>1.1499999999999999</v>
          </cell>
          <cell r="R201">
            <v>0.69000000000000006</v>
          </cell>
          <cell r="S201">
            <v>0.53</v>
          </cell>
          <cell r="T201">
            <v>0.48</v>
          </cell>
          <cell r="U201">
            <v>0.29000000000000004</v>
          </cell>
          <cell r="V201" t="str">
            <v>Re-size</v>
          </cell>
          <cell r="X201" t="str">
            <v>Re-size</v>
          </cell>
          <cell r="Y201" t="str">
            <v>Re-size</v>
          </cell>
          <cell r="Z201" t="str">
            <v>Re-size</v>
          </cell>
          <cell r="AA201">
            <v>27.1</v>
          </cell>
          <cell r="AB201">
            <v>11.9</v>
          </cell>
          <cell r="AC201">
            <v>3.84</v>
          </cell>
          <cell r="AD201">
            <v>0.94</v>
          </cell>
          <cell r="AE201">
            <v>0.4</v>
          </cell>
        </row>
        <row r="202">
          <cell r="B202">
            <v>1.93</v>
          </cell>
          <cell r="C202" t="str">
            <v>Re-size</v>
          </cell>
          <cell r="D202" t="str">
            <v>Re-size</v>
          </cell>
          <cell r="E202" t="str">
            <v>Re-size</v>
          </cell>
          <cell r="F202" t="str">
            <v>Re-size</v>
          </cell>
          <cell r="G202" t="str">
            <v>Re-size</v>
          </cell>
          <cell r="H202">
            <v>24.950000000000003</v>
          </cell>
          <cell r="I202">
            <v>14.84</v>
          </cell>
          <cell r="J202">
            <v>11.36</v>
          </cell>
          <cell r="K202">
            <v>8.2799999999999994</v>
          </cell>
          <cell r="L202">
            <v>4.9800000000000004</v>
          </cell>
          <cell r="M202">
            <v>3.77</v>
          </cell>
          <cell r="N202">
            <v>2.73</v>
          </cell>
          <cell r="O202">
            <v>1.62</v>
          </cell>
          <cell r="P202">
            <v>1.22</v>
          </cell>
          <cell r="Q202">
            <v>1.1599999999999999</v>
          </cell>
          <cell r="R202">
            <v>0.69000000000000006</v>
          </cell>
          <cell r="S202">
            <v>0.54</v>
          </cell>
          <cell r="T202">
            <v>0.49</v>
          </cell>
          <cell r="U202">
            <v>0.29000000000000004</v>
          </cell>
          <cell r="V202" t="str">
            <v>Re-size</v>
          </cell>
          <cell r="X202" t="str">
            <v>Re-size</v>
          </cell>
          <cell r="Y202" t="str">
            <v>Re-size</v>
          </cell>
          <cell r="Z202" t="str">
            <v>Re-size</v>
          </cell>
          <cell r="AA202">
            <v>27.4</v>
          </cell>
          <cell r="AB202">
            <v>12</v>
          </cell>
          <cell r="AC202">
            <v>3.86</v>
          </cell>
          <cell r="AD202">
            <v>0.96</v>
          </cell>
          <cell r="AE202">
            <v>0.4</v>
          </cell>
        </row>
        <row r="203">
          <cell r="B203">
            <v>1.94</v>
          </cell>
          <cell r="C203" t="str">
            <v>Re-size</v>
          </cell>
          <cell r="D203" t="str">
            <v>Re-size</v>
          </cell>
          <cell r="E203" t="str">
            <v>Re-size</v>
          </cell>
          <cell r="F203" t="str">
            <v>Re-size</v>
          </cell>
          <cell r="G203" t="str">
            <v>Re-size</v>
          </cell>
          <cell r="H203">
            <v>25.2</v>
          </cell>
          <cell r="I203">
            <v>14.95</v>
          </cell>
          <cell r="J203">
            <v>11.48</v>
          </cell>
          <cell r="K203">
            <v>8.36</v>
          </cell>
          <cell r="L203">
            <v>5.0199999999999996</v>
          </cell>
          <cell r="M203">
            <v>3.8</v>
          </cell>
          <cell r="N203">
            <v>2.75</v>
          </cell>
          <cell r="O203">
            <v>1.6300000000000001</v>
          </cell>
          <cell r="P203">
            <v>1.23</v>
          </cell>
          <cell r="Q203">
            <v>1.17</v>
          </cell>
          <cell r="R203">
            <v>0.7</v>
          </cell>
          <cell r="S203">
            <v>0.54</v>
          </cell>
          <cell r="T203">
            <v>0.49</v>
          </cell>
          <cell r="U203">
            <v>0.3</v>
          </cell>
          <cell r="V203" t="str">
            <v>Re-size</v>
          </cell>
          <cell r="X203" t="str">
            <v>Re-size</v>
          </cell>
          <cell r="Y203" t="str">
            <v>Re-size</v>
          </cell>
          <cell r="Z203" t="str">
            <v>Re-size</v>
          </cell>
          <cell r="AA203">
            <v>27.7</v>
          </cell>
          <cell r="AB203">
            <v>12.1</v>
          </cell>
          <cell r="AC203">
            <v>3.88</v>
          </cell>
          <cell r="AD203">
            <v>0.98</v>
          </cell>
          <cell r="AE203">
            <v>0.4</v>
          </cell>
        </row>
        <row r="204">
          <cell r="B204">
            <v>1.95</v>
          </cell>
          <cell r="C204" t="str">
            <v>Re-size</v>
          </cell>
          <cell r="D204" t="str">
            <v>Re-size</v>
          </cell>
          <cell r="E204" t="str">
            <v>Re-size</v>
          </cell>
          <cell r="F204" t="str">
            <v>Re-size</v>
          </cell>
          <cell r="G204" t="str">
            <v>Re-size</v>
          </cell>
          <cell r="H204">
            <v>25.470000000000002</v>
          </cell>
          <cell r="I204">
            <v>15.11</v>
          </cell>
          <cell r="J204">
            <v>11.6</v>
          </cell>
          <cell r="K204">
            <v>8.43</v>
          </cell>
          <cell r="L204">
            <v>5.07</v>
          </cell>
          <cell r="M204">
            <v>3.84</v>
          </cell>
          <cell r="N204">
            <v>2.77</v>
          </cell>
          <cell r="O204">
            <v>1.64</v>
          </cell>
          <cell r="P204">
            <v>1.24</v>
          </cell>
          <cell r="Q204">
            <v>1.18</v>
          </cell>
          <cell r="R204">
            <v>0.7</v>
          </cell>
          <cell r="S204">
            <v>0.54</v>
          </cell>
          <cell r="T204">
            <v>0.49</v>
          </cell>
          <cell r="U204">
            <v>0.29499999999999998</v>
          </cell>
          <cell r="V204" t="str">
            <v>Re-size</v>
          </cell>
          <cell r="X204" t="str">
            <v>Re-size</v>
          </cell>
          <cell r="Y204" t="str">
            <v>Re-size</v>
          </cell>
          <cell r="Z204" t="str">
            <v>Re-size</v>
          </cell>
          <cell r="AA204">
            <v>28</v>
          </cell>
          <cell r="AB204">
            <v>12.2</v>
          </cell>
          <cell r="AC204">
            <v>3.9</v>
          </cell>
          <cell r="AD204">
            <v>1</v>
          </cell>
          <cell r="AE204">
            <v>0.4</v>
          </cell>
        </row>
        <row r="205">
          <cell r="B205">
            <v>1.96</v>
          </cell>
          <cell r="C205" t="str">
            <v>Re-size</v>
          </cell>
          <cell r="D205" t="str">
            <v>Re-size</v>
          </cell>
          <cell r="E205" t="str">
            <v>Re-size</v>
          </cell>
          <cell r="F205" t="str">
            <v>Re-size</v>
          </cell>
          <cell r="G205" t="str">
            <v>Re-size</v>
          </cell>
          <cell r="H205">
            <v>25.73</v>
          </cell>
          <cell r="I205">
            <v>15.26</v>
          </cell>
          <cell r="J205">
            <v>11.71</v>
          </cell>
          <cell r="K205">
            <v>8.49</v>
          </cell>
          <cell r="L205">
            <v>5.12</v>
          </cell>
          <cell r="M205">
            <v>3.88</v>
          </cell>
          <cell r="N205">
            <v>2.8</v>
          </cell>
          <cell r="O205">
            <v>1.66</v>
          </cell>
          <cell r="P205">
            <v>1.26</v>
          </cell>
          <cell r="Q205">
            <v>1.19</v>
          </cell>
          <cell r="R205">
            <v>0.71</v>
          </cell>
          <cell r="S205">
            <v>0.55000000000000004</v>
          </cell>
          <cell r="T205">
            <v>0.5</v>
          </cell>
          <cell r="U205">
            <v>0.3</v>
          </cell>
          <cell r="V205" t="str">
            <v>Re-size</v>
          </cell>
          <cell r="X205" t="str">
            <v>Re-size</v>
          </cell>
          <cell r="Y205" t="str">
            <v>Re-size</v>
          </cell>
          <cell r="Z205" t="str">
            <v>Re-size</v>
          </cell>
          <cell r="AA205">
            <v>28.3</v>
          </cell>
          <cell r="AB205">
            <v>12.32</v>
          </cell>
          <cell r="AC205">
            <v>3.94</v>
          </cell>
          <cell r="AD205">
            <v>1</v>
          </cell>
          <cell r="AE205">
            <v>0.4</v>
          </cell>
        </row>
        <row r="206">
          <cell r="B206">
            <v>1.97</v>
          </cell>
          <cell r="C206" t="str">
            <v>Re-size</v>
          </cell>
          <cell r="D206" t="str">
            <v>Re-size</v>
          </cell>
          <cell r="E206" t="str">
            <v>Re-size</v>
          </cell>
          <cell r="F206" t="str">
            <v>Re-size</v>
          </cell>
          <cell r="G206" t="str">
            <v>Re-size</v>
          </cell>
          <cell r="H206">
            <v>25.93</v>
          </cell>
          <cell r="I206">
            <v>15.42</v>
          </cell>
          <cell r="J206">
            <v>11.81</v>
          </cell>
          <cell r="K206">
            <v>8.58</v>
          </cell>
          <cell r="L206">
            <v>5.16</v>
          </cell>
          <cell r="M206">
            <v>3.91</v>
          </cell>
          <cell r="N206">
            <v>2.8299999999999996</v>
          </cell>
          <cell r="O206">
            <v>1.67</v>
          </cell>
          <cell r="P206">
            <v>1.27</v>
          </cell>
          <cell r="Q206">
            <v>1.2</v>
          </cell>
          <cell r="R206">
            <v>0.72</v>
          </cell>
          <cell r="S206">
            <v>0.56000000000000005</v>
          </cell>
          <cell r="T206">
            <v>0.5</v>
          </cell>
          <cell r="U206">
            <v>0.31</v>
          </cell>
          <cell r="V206" t="str">
            <v>Re-size</v>
          </cell>
          <cell r="X206" t="str">
            <v>Re-size</v>
          </cell>
          <cell r="Y206" t="str">
            <v>Re-size</v>
          </cell>
          <cell r="Z206" t="str">
            <v>Re-size</v>
          </cell>
          <cell r="AA206">
            <v>28.6</v>
          </cell>
          <cell r="AB206">
            <v>12.44</v>
          </cell>
          <cell r="AC206">
            <v>3.98</v>
          </cell>
          <cell r="AD206">
            <v>1</v>
          </cell>
          <cell r="AE206">
            <v>0.4</v>
          </cell>
        </row>
        <row r="207">
          <cell r="B207">
            <v>1.98</v>
          </cell>
          <cell r="C207" t="str">
            <v>Re-size</v>
          </cell>
          <cell r="D207" t="str">
            <v>Re-size</v>
          </cell>
          <cell r="E207" t="str">
            <v>Re-size</v>
          </cell>
          <cell r="F207" t="str">
            <v>Re-size</v>
          </cell>
          <cell r="G207" t="str">
            <v>Re-size</v>
          </cell>
          <cell r="H207">
            <v>26.13</v>
          </cell>
          <cell r="I207">
            <v>15.58</v>
          </cell>
          <cell r="J207">
            <v>11.9</v>
          </cell>
          <cell r="K207">
            <v>8.67</v>
          </cell>
          <cell r="L207">
            <v>5.2</v>
          </cell>
          <cell r="M207">
            <v>3.94</v>
          </cell>
          <cell r="N207">
            <v>2.8499999999999996</v>
          </cell>
          <cell r="O207">
            <v>1.69</v>
          </cell>
          <cell r="P207">
            <v>1.28</v>
          </cell>
          <cell r="Q207">
            <v>1.21</v>
          </cell>
          <cell r="R207">
            <v>0.72</v>
          </cell>
          <cell r="S207">
            <v>0.56000000000000005</v>
          </cell>
          <cell r="T207">
            <v>0.51</v>
          </cell>
          <cell r="U207">
            <v>0.31</v>
          </cell>
          <cell r="V207" t="str">
            <v>Re-size</v>
          </cell>
          <cell r="X207" t="str">
            <v>Re-size</v>
          </cell>
          <cell r="Y207" t="str">
            <v>Re-size</v>
          </cell>
          <cell r="Z207" t="str">
            <v>Re-size</v>
          </cell>
          <cell r="AA207">
            <v>28.9</v>
          </cell>
          <cell r="AB207">
            <v>12.56</v>
          </cell>
          <cell r="AC207">
            <v>4.0199999999999996</v>
          </cell>
          <cell r="AD207">
            <v>1</v>
          </cell>
          <cell r="AE207">
            <v>0.4</v>
          </cell>
        </row>
        <row r="208">
          <cell r="B208">
            <v>1.99</v>
          </cell>
          <cell r="C208" t="str">
            <v>Re-size</v>
          </cell>
          <cell r="D208" t="str">
            <v>Re-size</v>
          </cell>
          <cell r="E208" t="str">
            <v>Re-size</v>
          </cell>
          <cell r="F208" t="str">
            <v>Re-size</v>
          </cell>
          <cell r="G208" t="str">
            <v>Re-size</v>
          </cell>
          <cell r="H208">
            <v>26.400000000000002</v>
          </cell>
          <cell r="I208">
            <v>15.7</v>
          </cell>
          <cell r="J208">
            <v>12.02</v>
          </cell>
          <cell r="K208">
            <v>8.76</v>
          </cell>
          <cell r="L208">
            <v>5.26</v>
          </cell>
          <cell r="M208">
            <v>3.98</v>
          </cell>
          <cell r="N208">
            <v>2.88</v>
          </cell>
          <cell r="O208">
            <v>1.7</v>
          </cell>
          <cell r="P208">
            <v>1.29</v>
          </cell>
          <cell r="Q208">
            <v>1.22</v>
          </cell>
          <cell r="R208">
            <v>0.73</v>
          </cell>
          <cell r="S208">
            <v>0.57000000000000006</v>
          </cell>
          <cell r="T208">
            <v>0.51</v>
          </cell>
          <cell r="U208">
            <v>0.31</v>
          </cell>
          <cell r="V208" t="str">
            <v>Re-size</v>
          </cell>
          <cell r="X208" t="str">
            <v>Re-size</v>
          </cell>
          <cell r="Y208" t="str">
            <v>Re-size</v>
          </cell>
          <cell r="Z208" t="str">
            <v>Re-size</v>
          </cell>
          <cell r="AA208">
            <v>29.2</v>
          </cell>
          <cell r="AB208">
            <v>12.68</v>
          </cell>
          <cell r="AC208">
            <v>4.0599999999999996</v>
          </cell>
          <cell r="AD208">
            <v>1</v>
          </cell>
          <cell r="AE208">
            <v>0.4</v>
          </cell>
        </row>
        <row r="209">
          <cell r="B209">
            <v>2</v>
          </cell>
          <cell r="C209" t="str">
            <v>Re-size</v>
          </cell>
          <cell r="D209" t="str">
            <v>Re-size</v>
          </cell>
          <cell r="E209" t="str">
            <v>Re-size</v>
          </cell>
          <cell r="F209" t="str">
            <v>Re-size</v>
          </cell>
          <cell r="G209" t="str">
            <v>Re-size</v>
          </cell>
          <cell r="H209">
            <v>26.66</v>
          </cell>
          <cell r="I209">
            <v>15.82</v>
          </cell>
          <cell r="J209">
            <v>12.14</v>
          </cell>
          <cell r="K209">
            <v>8.84</v>
          </cell>
          <cell r="L209">
            <v>5.31</v>
          </cell>
          <cell r="M209">
            <v>4.0199999999999996</v>
          </cell>
          <cell r="N209">
            <v>2.9</v>
          </cell>
          <cell r="O209">
            <v>1.71</v>
          </cell>
          <cell r="P209">
            <v>1.3</v>
          </cell>
          <cell r="Q209">
            <v>1.23</v>
          </cell>
          <cell r="R209">
            <v>0.73</v>
          </cell>
          <cell r="S209">
            <v>0.56999999999999995</v>
          </cell>
          <cell r="T209">
            <v>0.51</v>
          </cell>
          <cell r="U209">
            <v>0.31</v>
          </cell>
          <cell r="V209" t="str">
            <v>Re-size</v>
          </cell>
          <cell r="X209" t="str">
            <v>Re-size</v>
          </cell>
          <cell r="Y209" t="str">
            <v>Re-size</v>
          </cell>
          <cell r="Z209" t="str">
            <v>Re-size</v>
          </cell>
          <cell r="AA209">
            <v>29.5</v>
          </cell>
          <cell r="AB209">
            <v>12.8</v>
          </cell>
          <cell r="AC209">
            <v>4.0999999999999996</v>
          </cell>
          <cell r="AD209">
            <v>1</v>
          </cell>
          <cell r="AE209">
            <v>0.4</v>
          </cell>
        </row>
        <row r="210">
          <cell r="B210">
            <v>2.0099999999999998</v>
          </cell>
          <cell r="C210" t="str">
            <v>Re-size</v>
          </cell>
          <cell r="D210" t="str">
            <v>Re-size</v>
          </cell>
          <cell r="E210" t="str">
            <v>Re-size</v>
          </cell>
          <cell r="F210" t="str">
            <v>Re-size</v>
          </cell>
          <cell r="G210" t="str">
            <v>Re-size</v>
          </cell>
          <cell r="H210">
            <v>26.88</v>
          </cell>
          <cell r="I210">
            <v>16.07</v>
          </cell>
          <cell r="J210">
            <v>12.23</v>
          </cell>
          <cell r="K210">
            <v>8.91</v>
          </cell>
          <cell r="L210">
            <v>5.35</v>
          </cell>
          <cell r="M210">
            <v>4.05</v>
          </cell>
          <cell r="N210">
            <v>2.9299999999999997</v>
          </cell>
          <cell r="O210">
            <v>1.73</v>
          </cell>
          <cell r="P210">
            <v>1.32</v>
          </cell>
          <cell r="Q210">
            <v>1.25</v>
          </cell>
          <cell r="R210">
            <v>0.74</v>
          </cell>
          <cell r="S210">
            <v>0.57999999999999996</v>
          </cell>
          <cell r="T210">
            <v>0.52</v>
          </cell>
          <cell r="U210">
            <v>0.32</v>
          </cell>
          <cell r="V210" t="str">
            <v>Re-size</v>
          </cell>
          <cell r="X210" t="str">
            <v>Re-size</v>
          </cell>
          <cell r="Y210" t="str">
            <v>Re-size</v>
          </cell>
          <cell r="Z210" t="str">
            <v>Re-size</v>
          </cell>
          <cell r="AA210">
            <v>29.78</v>
          </cell>
          <cell r="AB210">
            <v>12.92</v>
          </cell>
          <cell r="AC210">
            <v>4.1399999999999997</v>
          </cell>
          <cell r="AD210">
            <v>1.02</v>
          </cell>
          <cell r="AE210">
            <v>0.42</v>
          </cell>
        </row>
        <row r="211">
          <cell r="B211">
            <v>2.02</v>
          </cell>
          <cell r="C211" t="str">
            <v>Re-size</v>
          </cell>
          <cell r="D211" t="str">
            <v>Re-size</v>
          </cell>
          <cell r="E211" t="str">
            <v>Re-size</v>
          </cell>
          <cell r="F211" t="str">
            <v>Re-size</v>
          </cell>
          <cell r="G211" t="str">
            <v>Re-size</v>
          </cell>
          <cell r="H211">
            <v>27.1</v>
          </cell>
          <cell r="I211">
            <v>16.309999999999999</v>
          </cell>
          <cell r="J211">
            <v>12.32</v>
          </cell>
          <cell r="K211">
            <v>8.98</v>
          </cell>
          <cell r="L211">
            <v>5.39</v>
          </cell>
          <cell r="M211">
            <v>4.08</v>
          </cell>
          <cell r="N211">
            <v>2.96</v>
          </cell>
          <cell r="O211">
            <v>1.75</v>
          </cell>
          <cell r="P211">
            <v>1.33</v>
          </cell>
          <cell r="Q211">
            <v>1.26</v>
          </cell>
          <cell r="R211">
            <v>0.75</v>
          </cell>
          <cell r="S211">
            <v>0.57999999999999996</v>
          </cell>
          <cell r="T211">
            <v>0.52</v>
          </cell>
          <cell r="U211">
            <v>0.32</v>
          </cell>
          <cell r="V211" t="str">
            <v>Re-size</v>
          </cell>
          <cell r="X211" t="str">
            <v>Re-size</v>
          </cell>
          <cell r="Y211" t="str">
            <v>Re-size</v>
          </cell>
          <cell r="Z211" t="str">
            <v>Re-size</v>
          </cell>
          <cell r="AA211">
            <v>30.06</v>
          </cell>
          <cell r="AB211">
            <v>13.04</v>
          </cell>
          <cell r="AC211">
            <v>4.18</v>
          </cell>
          <cell r="AD211">
            <v>1.04</v>
          </cell>
          <cell r="AE211">
            <v>0.44</v>
          </cell>
        </row>
        <row r="212">
          <cell r="B212">
            <v>2.0299999999999998</v>
          </cell>
          <cell r="C212" t="str">
            <v>Re-size</v>
          </cell>
          <cell r="D212" t="str">
            <v>Re-size</v>
          </cell>
          <cell r="E212" t="str">
            <v>Re-size</v>
          </cell>
          <cell r="F212" t="str">
            <v>Re-size</v>
          </cell>
          <cell r="G212" t="str">
            <v>Re-size</v>
          </cell>
          <cell r="H212">
            <v>27.34</v>
          </cell>
          <cell r="I212">
            <v>16.38</v>
          </cell>
          <cell r="J212">
            <v>12.45</v>
          </cell>
          <cell r="K212">
            <v>9.07</v>
          </cell>
          <cell r="L212">
            <v>5.45</v>
          </cell>
          <cell r="M212">
            <v>4.12</v>
          </cell>
          <cell r="N212">
            <v>2.98</v>
          </cell>
          <cell r="O212">
            <v>1.76</v>
          </cell>
          <cell r="P212">
            <v>1.34</v>
          </cell>
          <cell r="Q212">
            <v>1.27</v>
          </cell>
          <cell r="R212">
            <v>0.76</v>
          </cell>
          <cell r="S212">
            <v>0.59</v>
          </cell>
          <cell r="T212">
            <v>0.53</v>
          </cell>
          <cell r="U212">
            <v>0.32</v>
          </cell>
          <cell r="V212" t="str">
            <v>Re-size</v>
          </cell>
          <cell r="X212" t="str">
            <v>Re-size</v>
          </cell>
          <cell r="Y212" t="str">
            <v>Re-size</v>
          </cell>
          <cell r="Z212" t="str">
            <v>Re-size</v>
          </cell>
          <cell r="AA212">
            <v>30.34</v>
          </cell>
          <cell r="AB212">
            <v>13.16</v>
          </cell>
          <cell r="AC212">
            <v>4.22</v>
          </cell>
          <cell r="AD212">
            <v>1.06</v>
          </cell>
          <cell r="AE212">
            <v>0.46</v>
          </cell>
        </row>
        <row r="213">
          <cell r="B213">
            <v>2.04</v>
          </cell>
          <cell r="C213" t="str">
            <v>Re-size</v>
          </cell>
          <cell r="D213" t="str">
            <v>Re-size</v>
          </cell>
          <cell r="E213" t="str">
            <v>Re-size</v>
          </cell>
          <cell r="F213" t="str">
            <v>Re-size</v>
          </cell>
          <cell r="G213" t="str">
            <v>Re-size</v>
          </cell>
          <cell r="H213">
            <v>27.57</v>
          </cell>
          <cell r="I213">
            <v>16.45</v>
          </cell>
          <cell r="J213">
            <v>12.57</v>
          </cell>
          <cell r="K213">
            <v>9.16</v>
          </cell>
          <cell r="L213">
            <v>5.5</v>
          </cell>
          <cell r="M213">
            <v>4.16</v>
          </cell>
          <cell r="N213">
            <v>3.01</v>
          </cell>
          <cell r="O213">
            <v>1.78</v>
          </cell>
          <cell r="P213">
            <v>1.35</v>
          </cell>
          <cell r="Q213">
            <v>1.28</v>
          </cell>
          <cell r="R213">
            <v>0.77</v>
          </cell>
          <cell r="S213">
            <v>0.59</v>
          </cell>
          <cell r="T213">
            <v>0.53</v>
          </cell>
          <cell r="U213">
            <v>0.33</v>
          </cell>
          <cell r="V213" t="str">
            <v>Re-size</v>
          </cell>
          <cell r="X213" t="str">
            <v>Re-size</v>
          </cell>
          <cell r="Y213" t="str">
            <v>Re-size</v>
          </cell>
          <cell r="Z213" t="str">
            <v>Re-size</v>
          </cell>
          <cell r="AA213">
            <v>30.62</v>
          </cell>
          <cell r="AB213">
            <v>13.28</v>
          </cell>
          <cell r="AC213">
            <v>4.26</v>
          </cell>
          <cell r="AD213">
            <v>1.08</v>
          </cell>
          <cell r="AE213">
            <v>0.48</v>
          </cell>
        </row>
        <row r="214">
          <cell r="B214">
            <v>2.0499999999999998</v>
          </cell>
          <cell r="C214" t="str">
            <v>Re-size</v>
          </cell>
          <cell r="D214" t="str">
            <v>Re-size</v>
          </cell>
          <cell r="E214" t="str">
            <v>Re-size</v>
          </cell>
          <cell r="F214" t="str">
            <v>Re-size</v>
          </cell>
          <cell r="G214" t="str">
            <v>Re-size</v>
          </cell>
          <cell r="H214">
            <v>27.81</v>
          </cell>
          <cell r="I214">
            <v>16.580000000000002</v>
          </cell>
          <cell r="J214">
            <v>12.7</v>
          </cell>
          <cell r="K214">
            <v>9.23</v>
          </cell>
          <cell r="L214">
            <v>5.56</v>
          </cell>
          <cell r="M214">
            <v>4.2</v>
          </cell>
          <cell r="N214">
            <v>3.03</v>
          </cell>
          <cell r="O214">
            <v>1.79</v>
          </cell>
          <cell r="P214">
            <v>1.36</v>
          </cell>
          <cell r="Q214">
            <v>1.29</v>
          </cell>
          <cell r="R214">
            <v>0.77</v>
          </cell>
          <cell r="S214">
            <v>0.59</v>
          </cell>
          <cell r="T214">
            <v>0.53500000000000003</v>
          </cell>
          <cell r="U214">
            <v>0.32500000000000001</v>
          </cell>
          <cell r="V214">
            <v>0.13</v>
          </cell>
          <cell r="X214" t="str">
            <v>Re-size</v>
          </cell>
          <cell r="Y214" t="str">
            <v>Re-size</v>
          </cell>
          <cell r="Z214" t="str">
            <v>Re-size</v>
          </cell>
          <cell r="AA214">
            <v>30.9</v>
          </cell>
          <cell r="AB214">
            <v>13.4</v>
          </cell>
          <cell r="AC214">
            <v>4.3</v>
          </cell>
          <cell r="AD214">
            <v>1.1000000000000001</v>
          </cell>
          <cell r="AE214">
            <v>0.5</v>
          </cell>
        </row>
        <row r="215">
          <cell r="B215">
            <v>2.06</v>
          </cell>
          <cell r="C215" t="str">
            <v>Re-size</v>
          </cell>
          <cell r="D215" t="str">
            <v>Re-size</v>
          </cell>
          <cell r="E215" t="str">
            <v>Re-size</v>
          </cell>
          <cell r="F215" t="str">
            <v>Re-size</v>
          </cell>
          <cell r="G215" t="str">
            <v>Re-size</v>
          </cell>
          <cell r="H215">
            <v>28.05</v>
          </cell>
          <cell r="I215">
            <v>16.7</v>
          </cell>
          <cell r="J215">
            <v>12.82</v>
          </cell>
          <cell r="K215">
            <v>9.2899999999999991</v>
          </cell>
          <cell r="L215">
            <v>5.61</v>
          </cell>
          <cell r="M215">
            <v>4.24</v>
          </cell>
          <cell r="N215">
            <v>3.0599999999999996</v>
          </cell>
          <cell r="O215">
            <v>1.81</v>
          </cell>
          <cell r="P215">
            <v>1.3800000000000001</v>
          </cell>
          <cell r="Q215">
            <v>1.3</v>
          </cell>
          <cell r="R215">
            <v>0.78</v>
          </cell>
          <cell r="S215">
            <v>0.6</v>
          </cell>
          <cell r="T215">
            <v>0.54</v>
          </cell>
          <cell r="U215">
            <v>0.33</v>
          </cell>
          <cell r="V215">
            <v>0.16</v>
          </cell>
          <cell r="X215" t="str">
            <v>Re-size</v>
          </cell>
          <cell r="Y215" t="str">
            <v>Re-size</v>
          </cell>
          <cell r="Z215" t="str">
            <v>Re-size</v>
          </cell>
          <cell r="AA215">
            <v>31.18</v>
          </cell>
          <cell r="AB215">
            <v>13.52</v>
          </cell>
          <cell r="AC215">
            <v>4.34</v>
          </cell>
          <cell r="AD215">
            <v>1.1000000000000001</v>
          </cell>
          <cell r="AE215">
            <v>0.5</v>
          </cell>
        </row>
        <row r="216">
          <cell r="B216">
            <v>2.0699999999999998</v>
          </cell>
          <cell r="C216" t="str">
            <v>Re-size</v>
          </cell>
          <cell r="D216" t="str">
            <v>Re-size</v>
          </cell>
          <cell r="E216" t="str">
            <v>Re-size</v>
          </cell>
          <cell r="F216" t="str">
            <v>Re-size</v>
          </cell>
          <cell r="G216" t="str">
            <v>Re-size</v>
          </cell>
          <cell r="H216">
            <v>28.290000000000003</v>
          </cell>
          <cell r="I216">
            <v>16.86</v>
          </cell>
          <cell r="J216">
            <v>12.91</v>
          </cell>
          <cell r="K216">
            <v>9.3800000000000008</v>
          </cell>
          <cell r="L216">
            <v>5.65</v>
          </cell>
          <cell r="M216">
            <v>4.2799999999999994</v>
          </cell>
          <cell r="N216">
            <v>3.09</v>
          </cell>
          <cell r="O216">
            <v>1.83</v>
          </cell>
          <cell r="P216">
            <v>1.39</v>
          </cell>
          <cell r="Q216">
            <v>1.31</v>
          </cell>
          <cell r="R216">
            <v>0.79</v>
          </cell>
          <cell r="S216">
            <v>0.61</v>
          </cell>
          <cell r="T216">
            <v>0.55000000000000004</v>
          </cell>
          <cell r="U216">
            <v>0.34</v>
          </cell>
          <cell r="V216">
            <v>0.19</v>
          </cell>
          <cell r="X216" t="str">
            <v>Re-size</v>
          </cell>
          <cell r="Y216" t="str">
            <v>Re-size</v>
          </cell>
          <cell r="Z216" t="str">
            <v>Re-size</v>
          </cell>
          <cell r="AA216">
            <v>31.46</v>
          </cell>
          <cell r="AB216">
            <v>13.64</v>
          </cell>
          <cell r="AC216">
            <v>4.38</v>
          </cell>
          <cell r="AD216">
            <v>1.1000000000000001</v>
          </cell>
          <cell r="AE216">
            <v>0.5</v>
          </cell>
        </row>
        <row r="217">
          <cell r="B217">
            <v>2.08</v>
          </cell>
          <cell r="C217" t="str">
            <v>Re-size</v>
          </cell>
          <cell r="D217" t="str">
            <v>Re-size</v>
          </cell>
          <cell r="E217" t="str">
            <v>Re-size</v>
          </cell>
          <cell r="F217" t="str">
            <v>Re-size</v>
          </cell>
          <cell r="G217" t="str">
            <v>Re-size</v>
          </cell>
          <cell r="H217">
            <v>28.52</v>
          </cell>
          <cell r="I217">
            <v>17.02</v>
          </cell>
          <cell r="J217">
            <v>13</v>
          </cell>
          <cell r="K217">
            <v>9.4700000000000006</v>
          </cell>
          <cell r="L217">
            <v>5.69</v>
          </cell>
          <cell r="M217">
            <v>4.3099999999999996</v>
          </cell>
          <cell r="N217">
            <v>3.1199999999999997</v>
          </cell>
          <cell r="O217">
            <v>1.84</v>
          </cell>
          <cell r="P217">
            <v>1.4</v>
          </cell>
          <cell r="Q217">
            <v>1.32</v>
          </cell>
          <cell r="R217">
            <v>0.79</v>
          </cell>
          <cell r="S217">
            <v>0.61</v>
          </cell>
          <cell r="T217">
            <v>0.55000000000000004</v>
          </cell>
          <cell r="U217">
            <v>0.34</v>
          </cell>
          <cell r="V217">
            <v>0.21000000000000002</v>
          </cell>
          <cell r="X217" t="str">
            <v>Re-size</v>
          </cell>
          <cell r="Y217" t="str">
            <v>Re-size</v>
          </cell>
          <cell r="Z217" t="str">
            <v>Re-size</v>
          </cell>
          <cell r="AA217">
            <v>31.74</v>
          </cell>
          <cell r="AB217">
            <v>13.76</v>
          </cell>
          <cell r="AC217">
            <v>4.42</v>
          </cell>
          <cell r="AD217">
            <v>1.1000000000000001</v>
          </cell>
          <cell r="AE217">
            <v>0.5</v>
          </cell>
        </row>
        <row r="218">
          <cell r="B218">
            <v>2.09</v>
          </cell>
          <cell r="C218" t="str">
            <v>Re-size</v>
          </cell>
          <cell r="D218" t="str">
            <v>Re-size</v>
          </cell>
          <cell r="E218" t="str">
            <v>Re-size</v>
          </cell>
          <cell r="F218" t="str">
            <v>Re-size</v>
          </cell>
          <cell r="G218" t="str">
            <v>Re-size</v>
          </cell>
          <cell r="H218">
            <v>28.76</v>
          </cell>
          <cell r="I218">
            <v>17.190000000000001</v>
          </cell>
          <cell r="J218">
            <v>13.129999999999999</v>
          </cell>
          <cell r="K218">
            <v>9.57</v>
          </cell>
          <cell r="L218">
            <v>5.75</v>
          </cell>
          <cell r="M218">
            <v>4.3499999999999996</v>
          </cell>
          <cell r="N218">
            <v>3.15</v>
          </cell>
          <cell r="O218">
            <v>1.86</v>
          </cell>
          <cell r="P218">
            <v>1.41</v>
          </cell>
          <cell r="Q218">
            <v>1.33</v>
          </cell>
          <cell r="R218">
            <v>0.8</v>
          </cell>
          <cell r="S218">
            <v>0.62</v>
          </cell>
          <cell r="T218">
            <v>0.56000000000000005</v>
          </cell>
          <cell r="U218">
            <v>0.34</v>
          </cell>
          <cell r="V218">
            <v>0.24000000000000002</v>
          </cell>
          <cell r="X218" t="str">
            <v>Re-size</v>
          </cell>
          <cell r="Y218" t="str">
            <v>Re-size</v>
          </cell>
          <cell r="Z218" t="str">
            <v>Re-size</v>
          </cell>
          <cell r="AA218">
            <v>32.020000000000003</v>
          </cell>
          <cell r="AB218">
            <v>13.88</v>
          </cell>
          <cell r="AC218">
            <v>4.46</v>
          </cell>
          <cell r="AD218">
            <v>1.1000000000000001</v>
          </cell>
          <cell r="AE218">
            <v>0.5</v>
          </cell>
        </row>
        <row r="219">
          <cell r="B219">
            <v>2.1</v>
          </cell>
          <cell r="C219" t="str">
            <v>Re-size</v>
          </cell>
          <cell r="D219" t="str">
            <v>Re-size</v>
          </cell>
          <cell r="E219" t="str">
            <v>Re-size</v>
          </cell>
          <cell r="F219" t="str">
            <v>Re-size</v>
          </cell>
          <cell r="G219" t="str">
            <v>Re-size</v>
          </cell>
          <cell r="H219">
            <v>28.99</v>
          </cell>
          <cell r="I219">
            <v>17.350000000000001</v>
          </cell>
          <cell r="J219">
            <v>13.25</v>
          </cell>
          <cell r="K219">
            <v>9.66</v>
          </cell>
          <cell r="L219">
            <v>5.8</v>
          </cell>
          <cell r="M219">
            <v>4.3899999999999997</v>
          </cell>
          <cell r="N219">
            <v>3.17</v>
          </cell>
          <cell r="O219">
            <v>1.87</v>
          </cell>
          <cell r="P219">
            <v>1.42</v>
          </cell>
          <cell r="Q219">
            <v>1.34</v>
          </cell>
          <cell r="R219">
            <v>0.8</v>
          </cell>
          <cell r="S219">
            <v>0.62</v>
          </cell>
          <cell r="T219">
            <v>0.56000000000000005</v>
          </cell>
          <cell r="U219">
            <v>0.34</v>
          </cell>
          <cell r="V219">
            <v>0.26</v>
          </cell>
          <cell r="X219" t="str">
            <v>Re-size</v>
          </cell>
          <cell r="Y219" t="str">
            <v>Re-size</v>
          </cell>
          <cell r="Z219" t="str">
            <v>Re-size</v>
          </cell>
          <cell r="AA219">
            <v>32.299999999999997</v>
          </cell>
          <cell r="AB219">
            <v>14</v>
          </cell>
          <cell r="AC219">
            <v>4.5</v>
          </cell>
          <cell r="AD219">
            <v>1.1000000000000001</v>
          </cell>
          <cell r="AE219">
            <v>0.5</v>
          </cell>
        </row>
        <row r="220">
          <cell r="B220">
            <v>2.11</v>
          </cell>
          <cell r="C220" t="str">
            <v>Re-size</v>
          </cell>
          <cell r="D220" t="str">
            <v>Re-size</v>
          </cell>
          <cell r="E220" t="str">
            <v>Re-size</v>
          </cell>
          <cell r="F220" t="str">
            <v>Re-size</v>
          </cell>
          <cell r="G220" t="str">
            <v>Re-size</v>
          </cell>
          <cell r="H220">
            <v>29.23</v>
          </cell>
          <cell r="I220">
            <v>17.48</v>
          </cell>
          <cell r="J220">
            <v>13.38</v>
          </cell>
          <cell r="K220">
            <v>9.73</v>
          </cell>
          <cell r="L220">
            <v>5.8599999999999994</v>
          </cell>
          <cell r="M220">
            <v>4.42</v>
          </cell>
          <cell r="N220">
            <v>3.1999999999999997</v>
          </cell>
          <cell r="O220">
            <v>1.89</v>
          </cell>
          <cell r="P220">
            <v>1.44</v>
          </cell>
          <cell r="Q220">
            <v>1.36</v>
          </cell>
          <cell r="R220">
            <v>0.81</v>
          </cell>
          <cell r="S220">
            <v>0.63</v>
          </cell>
          <cell r="T220">
            <v>0.57000000000000006</v>
          </cell>
          <cell r="U220">
            <v>0.35000000000000003</v>
          </cell>
          <cell r="V220">
            <v>0.27</v>
          </cell>
          <cell r="X220" t="str">
            <v>Re-size</v>
          </cell>
          <cell r="Y220" t="str">
            <v>Re-size</v>
          </cell>
          <cell r="Z220" t="str">
            <v>Re-size</v>
          </cell>
          <cell r="AA220">
            <v>32.58</v>
          </cell>
          <cell r="AB220">
            <v>14.14</v>
          </cell>
          <cell r="AC220">
            <v>4.54</v>
          </cell>
          <cell r="AD220">
            <v>1.1200000000000001</v>
          </cell>
          <cell r="AE220">
            <v>0.5</v>
          </cell>
        </row>
        <row r="221">
          <cell r="B221">
            <v>2.12</v>
          </cell>
          <cell r="C221" t="str">
            <v>Re-size</v>
          </cell>
          <cell r="D221" t="str">
            <v>Re-size</v>
          </cell>
          <cell r="E221" t="str">
            <v>Re-size</v>
          </cell>
          <cell r="F221" t="str">
            <v>Re-size</v>
          </cell>
          <cell r="G221" t="str">
            <v>Re-size</v>
          </cell>
          <cell r="H221">
            <v>29.46</v>
          </cell>
          <cell r="I221">
            <v>17.600000000000001</v>
          </cell>
          <cell r="J221">
            <v>13.51</v>
          </cell>
          <cell r="K221">
            <v>9.8000000000000007</v>
          </cell>
          <cell r="L221">
            <v>5.91</v>
          </cell>
          <cell r="M221">
            <v>4.45</v>
          </cell>
          <cell r="N221">
            <v>3.23</v>
          </cell>
          <cell r="O221">
            <v>1.91</v>
          </cell>
          <cell r="P221">
            <v>1.45</v>
          </cell>
          <cell r="Q221">
            <v>1.37</v>
          </cell>
          <cell r="R221">
            <v>0.82000000000000006</v>
          </cell>
          <cell r="S221">
            <v>0.64</v>
          </cell>
          <cell r="T221">
            <v>0.56999999999999995</v>
          </cell>
          <cell r="U221">
            <v>0.35000000000000003</v>
          </cell>
          <cell r="V221">
            <v>0.27</v>
          </cell>
          <cell r="X221" t="str">
            <v>Re-size</v>
          </cell>
          <cell r="Y221" t="str">
            <v>Re-size</v>
          </cell>
          <cell r="Z221" t="str">
            <v>Re-size</v>
          </cell>
          <cell r="AA221">
            <v>32.86</v>
          </cell>
          <cell r="AB221">
            <v>14.28</v>
          </cell>
          <cell r="AC221">
            <v>4.58</v>
          </cell>
          <cell r="AD221">
            <v>1.1399999999999999</v>
          </cell>
          <cell r="AE221">
            <v>0.5</v>
          </cell>
        </row>
        <row r="222">
          <cell r="B222">
            <v>2.13</v>
          </cell>
          <cell r="C222" t="str">
            <v>Re-size</v>
          </cell>
          <cell r="D222" t="str">
            <v>Re-size</v>
          </cell>
          <cell r="E222" t="str">
            <v>Re-size</v>
          </cell>
          <cell r="F222" t="str">
            <v>Re-size</v>
          </cell>
          <cell r="G222" t="str">
            <v>Re-size</v>
          </cell>
          <cell r="H222" t="str">
            <v>Re-size</v>
          </cell>
          <cell r="I222">
            <v>17.770000000000003</v>
          </cell>
          <cell r="J222">
            <v>13.61</v>
          </cell>
          <cell r="K222">
            <v>9.89</v>
          </cell>
          <cell r="L222">
            <v>5.95</v>
          </cell>
          <cell r="M222">
            <v>4.5</v>
          </cell>
          <cell r="N222">
            <v>3.26</v>
          </cell>
          <cell r="O222">
            <v>1.92</v>
          </cell>
          <cell r="P222">
            <v>1.46</v>
          </cell>
          <cell r="Q222">
            <v>1.3800000000000001</v>
          </cell>
          <cell r="R222">
            <v>0.82000000000000006</v>
          </cell>
          <cell r="S222">
            <v>0.64</v>
          </cell>
          <cell r="T222">
            <v>0.57999999999999996</v>
          </cell>
          <cell r="U222">
            <v>0.35000000000000003</v>
          </cell>
          <cell r="V222">
            <v>0.27</v>
          </cell>
          <cell r="X222" t="str">
            <v>Re-size</v>
          </cell>
          <cell r="Y222" t="str">
            <v>Re-size</v>
          </cell>
          <cell r="Z222" t="str">
            <v>Re-size</v>
          </cell>
          <cell r="AA222">
            <v>33.14</v>
          </cell>
          <cell r="AB222">
            <v>14.42</v>
          </cell>
          <cell r="AC222">
            <v>4.62</v>
          </cell>
          <cell r="AD222">
            <v>1.1599999999999999</v>
          </cell>
          <cell r="AE222">
            <v>0.5</v>
          </cell>
        </row>
        <row r="223">
          <cell r="B223">
            <v>2.14</v>
          </cell>
          <cell r="C223" t="str">
            <v>Re-size</v>
          </cell>
          <cell r="D223" t="str">
            <v>Re-size</v>
          </cell>
          <cell r="E223" t="str">
            <v>Re-size</v>
          </cell>
          <cell r="F223" t="str">
            <v>Re-size</v>
          </cell>
          <cell r="G223" t="str">
            <v>Re-size</v>
          </cell>
          <cell r="H223" t="str">
            <v>Re-size</v>
          </cell>
          <cell r="I223">
            <v>17.93</v>
          </cell>
          <cell r="J223">
            <v>13.7</v>
          </cell>
          <cell r="K223">
            <v>9.98</v>
          </cell>
          <cell r="L223">
            <v>5.99</v>
          </cell>
          <cell r="M223">
            <v>4.54</v>
          </cell>
          <cell r="N223">
            <v>3.2899999999999996</v>
          </cell>
          <cell r="O223">
            <v>1.94</v>
          </cell>
          <cell r="P223">
            <v>1.47</v>
          </cell>
          <cell r="Q223">
            <v>1.39</v>
          </cell>
          <cell r="R223">
            <v>0.83</v>
          </cell>
          <cell r="S223">
            <v>0.65</v>
          </cell>
          <cell r="T223">
            <v>0.57999999999999996</v>
          </cell>
          <cell r="U223">
            <v>0.35000000000000003</v>
          </cell>
          <cell r="V223">
            <v>0.27</v>
          </cell>
          <cell r="X223" t="str">
            <v>Re-size</v>
          </cell>
          <cell r="Y223" t="str">
            <v>Re-size</v>
          </cell>
          <cell r="Z223" t="str">
            <v>Re-size</v>
          </cell>
          <cell r="AA223">
            <v>33.42</v>
          </cell>
          <cell r="AB223">
            <v>14.56</v>
          </cell>
          <cell r="AC223">
            <v>4.66</v>
          </cell>
          <cell r="AD223">
            <v>1.18</v>
          </cell>
          <cell r="AE223">
            <v>0.5</v>
          </cell>
        </row>
        <row r="224">
          <cell r="B224">
            <v>2.15</v>
          </cell>
          <cell r="C224" t="str">
            <v>Re-size</v>
          </cell>
          <cell r="D224" t="str">
            <v>Re-size</v>
          </cell>
          <cell r="E224" t="str">
            <v>Re-size</v>
          </cell>
          <cell r="F224" t="str">
            <v>Re-size</v>
          </cell>
          <cell r="G224" t="str">
            <v>Re-size</v>
          </cell>
          <cell r="H224" t="str">
            <v>Re-size</v>
          </cell>
          <cell r="I224">
            <v>18.100000000000001</v>
          </cell>
          <cell r="J224">
            <v>13.83</v>
          </cell>
          <cell r="K224">
            <v>10.08</v>
          </cell>
          <cell r="L224">
            <v>6.05</v>
          </cell>
          <cell r="M224">
            <v>4.58</v>
          </cell>
          <cell r="N224">
            <v>3.31</v>
          </cell>
          <cell r="O224">
            <v>1.95</v>
          </cell>
          <cell r="P224">
            <v>1.48</v>
          </cell>
          <cell r="Q224">
            <v>1.4</v>
          </cell>
          <cell r="R224">
            <v>0.83</v>
          </cell>
          <cell r="S224">
            <v>0.65</v>
          </cell>
          <cell r="T224">
            <v>0.58499999999999996</v>
          </cell>
          <cell r="U224">
            <v>0.35</v>
          </cell>
          <cell r="V224">
            <v>0.27</v>
          </cell>
          <cell r="X224" t="str">
            <v>Re-size</v>
          </cell>
          <cell r="Y224" t="str">
            <v>Re-size</v>
          </cell>
          <cell r="Z224" t="str">
            <v>Re-size</v>
          </cell>
          <cell r="AA224">
            <v>33.700000000000003</v>
          </cell>
          <cell r="AB224">
            <v>14.7</v>
          </cell>
          <cell r="AC224">
            <v>4.7</v>
          </cell>
          <cell r="AD224">
            <v>1.2</v>
          </cell>
          <cell r="AE224">
            <v>0.5</v>
          </cell>
        </row>
        <row r="225">
          <cell r="B225">
            <v>2.16</v>
          </cell>
          <cell r="C225" t="str">
            <v>Re-size</v>
          </cell>
          <cell r="D225" t="str">
            <v>Re-size</v>
          </cell>
          <cell r="E225" t="str">
            <v>Re-size</v>
          </cell>
          <cell r="F225" t="str">
            <v>Re-size</v>
          </cell>
          <cell r="G225" t="str">
            <v>Re-size</v>
          </cell>
          <cell r="H225" t="str">
            <v>Re-size</v>
          </cell>
          <cell r="I225">
            <v>18.27</v>
          </cell>
          <cell r="J225">
            <v>13.96</v>
          </cell>
          <cell r="K225">
            <v>10.17</v>
          </cell>
          <cell r="L225">
            <v>6.11</v>
          </cell>
          <cell r="M225">
            <v>4.62</v>
          </cell>
          <cell r="N225">
            <v>3.34</v>
          </cell>
          <cell r="O225">
            <v>1.97</v>
          </cell>
          <cell r="P225">
            <v>1.5</v>
          </cell>
          <cell r="Q225">
            <v>1.42</v>
          </cell>
          <cell r="R225">
            <v>0.84</v>
          </cell>
          <cell r="S225">
            <v>0.66</v>
          </cell>
          <cell r="T225">
            <v>0.59</v>
          </cell>
          <cell r="U225">
            <v>0.36</v>
          </cell>
          <cell r="V225">
            <v>0.28000000000000003</v>
          </cell>
          <cell r="X225" t="str">
            <v>Re-size</v>
          </cell>
          <cell r="Y225" t="str">
            <v>Re-size</v>
          </cell>
          <cell r="Z225" t="str">
            <v>Re-size</v>
          </cell>
          <cell r="AA225">
            <v>33.96</v>
          </cell>
          <cell r="AB225">
            <v>14.82</v>
          </cell>
          <cell r="AC225">
            <v>4.74</v>
          </cell>
          <cell r="AD225">
            <v>1.2</v>
          </cell>
          <cell r="AE225">
            <v>0.5</v>
          </cell>
        </row>
        <row r="226">
          <cell r="B226">
            <v>2.17</v>
          </cell>
          <cell r="C226" t="str">
            <v>Re-size</v>
          </cell>
          <cell r="D226" t="str">
            <v>Re-size</v>
          </cell>
          <cell r="E226" t="str">
            <v>Re-size</v>
          </cell>
          <cell r="F226" t="str">
            <v>Re-size</v>
          </cell>
          <cell r="G226" t="str">
            <v>Re-size</v>
          </cell>
          <cell r="H226" t="str">
            <v>Re-size</v>
          </cell>
          <cell r="I226">
            <v>18.400000000000002</v>
          </cell>
          <cell r="J226">
            <v>14.09</v>
          </cell>
          <cell r="K226">
            <v>10.24</v>
          </cell>
          <cell r="L226">
            <v>6.15</v>
          </cell>
          <cell r="M226">
            <v>4.66</v>
          </cell>
          <cell r="N226">
            <v>3.3699999999999997</v>
          </cell>
          <cell r="O226">
            <v>1.99</v>
          </cell>
          <cell r="P226">
            <v>1.51</v>
          </cell>
          <cell r="Q226">
            <v>1.43</v>
          </cell>
          <cell r="R226">
            <v>0.85</v>
          </cell>
          <cell r="S226">
            <v>0.66</v>
          </cell>
          <cell r="T226">
            <v>0.6</v>
          </cell>
          <cell r="U226">
            <v>0.36</v>
          </cell>
          <cell r="V226">
            <v>0.28000000000000003</v>
          </cell>
          <cell r="X226" t="str">
            <v>Re-size</v>
          </cell>
          <cell r="Y226" t="str">
            <v>Re-size</v>
          </cell>
          <cell r="Z226" t="str">
            <v>Re-size</v>
          </cell>
          <cell r="AA226">
            <v>34.22</v>
          </cell>
          <cell r="AB226">
            <v>14.94</v>
          </cell>
          <cell r="AC226">
            <v>4.78</v>
          </cell>
          <cell r="AD226">
            <v>1.2</v>
          </cell>
          <cell r="AE226">
            <v>0.5</v>
          </cell>
        </row>
        <row r="227">
          <cell r="B227">
            <v>2.1800000000000002</v>
          </cell>
          <cell r="C227" t="str">
            <v>Re-size</v>
          </cell>
          <cell r="D227" t="str">
            <v>Re-size</v>
          </cell>
          <cell r="E227" t="str">
            <v>Re-size</v>
          </cell>
          <cell r="F227" t="str">
            <v>Re-size</v>
          </cell>
          <cell r="G227" t="str">
            <v>Re-size</v>
          </cell>
          <cell r="H227" t="str">
            <v>Re-size</v>
          </cell>
          <cell r="I227">
            <v>18.52</v>
          </cell>
          <cell r="J227">
            <v>14.22</v>
          </cell>
          <cell r="K227">
            <v>10.31</v>
          </cell>
          <cell r="L227">
            <v>6.19</v>
          </cell>
          <cell r="M227">
            <v>4.6900000000000004</v>
          </cell>
          <cell r="N227">
            <v>3.4</v>
          </cell>
          <cell r="O227">
            <v>2.0099999999999998</v>
          </cell>
          <cell r="P227">
            <v>1.52</v>
          </cell>
          <cell r="Q227">
            <v>1.44</v>
          </cell>
          <cell r="R227">
            <v>0.86</v>
          </cell>
          <cell r="S227">
            <v>0.67</v>
          </cell>
          <cell r="T227">
            <v>0.6</v>
          </cell>
          <cell r="U227">
            <v>0.36</v>
          </cell>
          <cell r="V227">
            <v>0.28000000000000003</v>
          </cell>
          <cell r="X227" t="str">
            <v>Re-size</v>
          </cell>
          <cell r="Y227" t="str">
            <v>Re-size</v>
          </cell>
          <cell r="Z227" t="str">
            <v>Re-size</v>
          </cell>
          <cell r="AA227">
            <v>34.479999999999997</v>
          </cell>
          <cell r="AB227">
            <v>15.06</v>
          </cell>
          <cell r="AC227">
            <v>4.82</v>
          </cell>
          <cell r="AD227">
            <v>1.2</v>
          </cell>
          <cell r="AE227">
            <v>0.5</v>
          </cell>
        </row>
        <row r="228">
          <cell r="B228">
            <v>2.19</v>
          </cell>
          <cell r="C228" t="str">
            <v>Re-size</v>
          </cell>
          <cell r="D228" t="str">
            <v>Re-size</v>
          </cell>
          <cell r="E228" t="str">
            <v>Re-size</v>
          </cell>
          <cell r="F228" t="str">
            <v>Re-size</v>
          </cell>
          <cell r="G228" t="str">
            <v>Re-size</v>
          </cell>
          <cell r="H228" t="str">
            <v>Re-size</v>
          </cell>
          <cell r="I228">
            <v>18.690000000000001</v>
          </cell>
          <cell r="J228">
            <v>14.32</v>
          </cell>
          <cell r="K228">
            <v>10.41</v>
          </cell>
          <cell r="L228">
            <v>6.25</v>
          </cell>
          <cell r="M228">
            <v>4.7300000000000004</v>
          </cell>
          <cell r="N228">
            <v>3.4299999999999997</v>
          </cell>
          <cell r="O228">
            <v>2.0299999999999998</v>
          </cell>
          <cell r="P228">
            <v>1.53</v>
          </cell>
          <cell r="Q228">
            <v>1.45</v>
          </cell>
          <cell r="R228">
            <v>0.87</v>
          </cell>
          <cell r="S228">
            <v>0.67</v>
          </cell>
          <cell r="T228">
            <v>0.61</v>
          </cell>
          <cell r="U228">
            <v>0.36</v>
          </cell>
          <cell r="V228">
            <v>0.28000000000000003</v>
          </cell>
          <cell r="X228" t="str">
            <v>Re-size</v>
          </cell>
          <cell r="Y228" t="str">
            <v>Re-size</v>
          </cell>
          <cell r="Z228" t="str">
            <v>Re-size</v>
          </cell>
          <cell r="AA228">
            <v>34.74</v>
          </cell>
          <cell r="AB228">
            <v>15.18</v>
          </cell>
          <cell r="AC228">
            <v>4.8600000000000003</v>
          </cell>
          <cell r="AD228">
            <v>1.2</v>
          </cell>
          <cell r="AE228">
            <v>0.5</v>
          </cell>
        </row>
        <row r="229">
          <cell r="B229">
            <v>2.2000000000000002</v>
          </cell>
          <cell r="C229" t="str">
            <v>Re-size</v>
          </cell>
          <cell r="D229" t="str">
            <v>Re-size</v>
          </cell>
          <cell r="E229" t="str">
            <v>Re-size</v>
          </cell>
          <cell r="F229" t="str">
            <v>Re-size</v>
          </cell>
          <cell r="G229" t="str">
            <v>Re-size</v>
          </cell>
          <cell r="H229" t="str">
            <v>Re-size</v>
          </cell>
          <cell r="I229">
            <v>18.86</v>
          </cell>
          <cell r="J229">
            <v>14.41</v>
          </cell>
          <cell r="K229">
            <v>10.5</v>
          </cell>
          <cell r="L229">
            <v>6.31</v>
          </cell>
          <cell r="M229">
            <v>4.7699999999999996</v>
          </cell>
          <cell r="N229">
            <v>3.45</v>
          </cell>
          <cell r="O229">
            <v>2.04</v>
          </cell>
          <cell r="P229">
            <v>1.54</v>
          </cell>
          <cell r="Q229">
            <v>1.46</v>
          </cell>
          <cell r="R229">
            <v>0.87</v>
          </cell>
          <cell r="S229">
            <v>0.67</v>
          </cell>
          <cell r="T229">
            <v>0.61</v>
          </cell>
          <cell r="U229">
            <v>0.36</v>
          </cell>
          <cell r="V229">
            <v>0.28000000000000003</v>
          </cell>
          <cell r="X229" t="str">
            <v>Re-size</v>
          </cell>
          <cell r="Y229" t="str">
            <v>Re-size</v>
          </cell>
          <cell r="Z229" t="str">
            <v>Re-size</v>
          </cell>
          <cell r="AA229">
            <v>35</v>
          </cell>
          <cell r="AB229">
            <v>15.3</v>
          </cell>
          <cell r="AC229">
            <v>4.9000000000000004</v>
          </cell>
          <cell r="AD229">
            <v>1.2</v>
          </cell>
          <cell r="AE229">
            <v>0.5</v>
          </cell>
        </row>
        <row r="230">
          <cell r="B230">
            <v>2.21</v>
          </cell>
          <cell r="C230" t="str">
            <v>Re-size</v>
          </cell>
          <cell r="D230" t="str">
            <v>Re-size</v>
          </cell>
          <cell r="E230" t="str">
            <v>Re-size</v>
          </cell>
          <cell r="F230" t="str">
            <v>Re-size</v>
          </cell>
          <cell r="G230" t="str">
            <v>Re-size</v>
          </cell>
          <cell r="H230" t="str">
            <v>Re-size</v>
          </cell>
          <cell r="I230">
            <v>19.040000000000003</v>
          </cell>
          <cell r="J230">
            <v>14.54</v>
          </cell>
          <cell r="K230">
            <v>10.6</v>
          </cell>
          <cell r="L230">
            <v>6.37</v>
          </cell>
          <cell r="M230">
            <v>4.8199999999999994</v>
          </cell>
          <cell r="N230">
            <v>3.48</v>
          </cell>
          <cell r="O230">
            <v>2.0599999999999996</v>
          </cell>
          <cell r="P230">
            <v>1.56</v>
          </cell>
          <cell r="Q230">
            <v>1.48</v>
          </cell>
          <cell r="R230">
            <v>0.88</v>
          </cell>
          <cell r="S230">
            <v>0.68</v>
          </cell>
          <cell r="T230">
            <v>0.62</v>
          </cell>
          <cell r="U230">
            <v>0.37</v>
          </cell>
          <cell r="V230">
            <v>0.29000000000000004</v>
          </cell>
          <cell r="X230" t="str">
            <v>Re-size</v>
          </cell>
          <cell r="Y230" t="str">
            <v>Re-size</v>
          </cell>
          <cell r="Z230" t="str">
            <v>Re-size</v>
          </cell>
          <cell r="AA230">
            <v>35.36</v>
          </cell>
          <cell r="AB230">
            <v>15.44</v>
          </cell>
          <cell r="AC230">
            <v>4.9400000000000004</v>
          </cell>
          <cell r="AD230">
            <v>1.22</v>
          </cell>
          <cell r="AE230">
            <v>0.52</v>
          </cell>
        </row>
        <row r="231">
          <cell r="B231">
            <v>2.2200000000000002</v>
          </cell>
          <cell r="C231" t="str">
            <v>Re-size</v>
          </cell>
          <cell r="D231" t="str">
            <v>Re-size</v>
          </cell>
          <cell r="E231" t="str">
            <v>Re-size</v>
          </cell>
          <cell r="F231" t="str">
            <v>Re-size</v>
          </cell>
          <cell r="G231" t="str">
            <v>Re-size</v>
          </cell>
          <cell r="H231" t="str">
            <v>Re-size</v>
          </cell>
          <cell r="I231">
            <v>19.21</v>
          </cell>
          <cell r="J231">
            <v>14.67</v>
          </cell>
          <cell r="K231">
            <v>10.69</v>
          </cell>
          <cell r="L231">
            <v>6.42</v>
          </cell>
          <cell r="M231">
            <v>4.8600000000000003</v>
          </cell>
          <cell r="N231">
            <v>3.51</v>
          </cell>
          <cell r="O231">
            <v>2.0799999999999996</v>
          </cell>
          <cell r="P231">
            <v>1.57</v>
          </cell>
          <cell r="Q231">
            <v>1.49</v>
          </cell>
          <cell r="R231">
            <v>0.89</v>
          </cell>
          <cell r="S231">
            <v>0.69000000000000006</v>
          </cell>
          <cell r="T231">
            <v>0.62</v>
          </cell>
          <cell r="U231">
            <v>0.37</v>
          </cell>
          <cell r="V231">
            <v>0.29000000000000004</v>
          </cell>
          <cell r="X231" t="str">
            <v>Re-size</v>
          </cell>
          <cell r="Y231" t="str">
            <v>Re-size</v>
          </cell>
          <cell r="Z231" t="str">
            <v>Re-size</v>
          </cell>
          <cell r="AA231">
            <v>35.72</v>
          </cell>
          <cell r="AB231">
            <v>15.58</v>
          </cell>
          <cell r="AC231">
            <v>4.9800000000000004</v>
          </cell>
          <cell r="AD231">
            <v>1.24</v>
          </cell>
          <cell r="AE231">
            <v>0.54</v>
          </cell>
        </row>
        <row r="232">
          <cell r="B232">
            <v>2.23</v>
          </cell>
          <cell r="C232" t="str">
            <v>Re-size</v>
          </cell>
          <cell r="D232" t="str">
            <v>Re-size</v>
          </cell>
          <cell r="E232" t="str">
            <v>Re-size</v>
          </cell>
          <cell r="F232" t="str">
            <v>Re-size</v>
          </cell>
          <cell r="G232" t="str">
            <v>Re-size</v>
          </cell>
          <cell r="H232" t="str">
            <v>Re-size</v>
          </cell>
          <cell r="I232">
            <v>19.34</v>
          </cell>
          <cell r="J232">
            <v>14.81</v>
          </cell>
          <cell r="K232">
            <v>10.76</v>
          </cell>
          <cell r="L232">
            <v>6.47</v>
          </cell>
          <cell r="M232">
            <v>4.8999999999999995</v>
          </cell>
          <cell r="N232">
            <v>3.5399999999999996</v>
          </cell>
          <cell r="O232">
            <v>2.09</v>
          </cell>
          <cell r="P232">
            <v>1.58</v>
          </cell>
          <cell r="Q232">
            <v>1.5</v>
          </cell>
          <cell r="R232">
            <v>0.89</v>
          </cell>
          <cell r="S232">
            <v>0.69000000000000006</v>
          </cell>
          <cell r="T232">
            <v>0.63</v>
          </cell>
          <cell r="U232">
            <v>0.37</v>
          </cell>
          <cell r="V232">
            <v>0.29000000000000004</v>
          </cell>
          <cell r="X232" t="str">
            <v>Re-size</v>
          </cell>
          <cell r="Y232" t="str">
            <v>Re-size</v>
          </cell>
          <cell r="Z232" t="str">
            <v>Re-size</v>
          </cell>
          <cell r="AA232">
            <v>36.08</v>
          </cell>
          <cell r="AB232">
            <v>15.72</v>
          </cell>
          <cell r="AC232">
            <v>5.0199999999999996</v>
          </cell>
          <cell r="AD232">
            <v>1.26</v>
          </cell>
          <cell r="AE232">
            <v>0.56000000000000005</v>
          </cell>
        </row>
        <row r="233">
          <cell r="B233">
            <v>2.2400000000000002</v>
          </cell>
          <cell r="C233" t="str">
            <v>Re-size</v>
          </cell>
          <cell r="D233" t="str">
            <v>Re-size</v>
          </cell>
          <cell r="E233" t="str">
            <v>Re-size</v>
          </cell>
          <cell r="F233" t="str">
            <v>Re-size</v>
          </cell>
          <cell r="G233" t="str">
            <v>Re-size</v>
          </cell>
          <cell r="H233" t="str">
            <v>Re-size</v>
          </cell>
          <cell r="I233">
            <v>19.46</v>
          </cell>
          <cell r="J233">
            <v>14.94</v>
          </cell>
          <cell r="K233">
            <v>10.83</v>
          </cell>
          <cell r="L233">
            <v>6.51</v>
          </cell>
          <cell r="M233">
            <v>4.93</v>
          </cell>
          <cell r="N233">
            <v>3.57</v>
          </cell>
          <cell r="O233">
            <v>2.11</v>
          </cell>
          <cell r="P233">
            <v>1.59</v>
          </cell>
          <cell r="Q233">
            <v>1.51</v>
          </cell>
          <cell r="R233">
            <v>0.9</v>
          </cell>
          <cell r="S233">
            <v>0.7</v>
          </cell>
          <cell r="T233">
            <v>0.63</v>
          </cell>
          <cell r="U233">
            <v>0.38</v>
          </cell>
          <cell r="V233">
            <v>0.29000000000000004</v>
          </cell>
          <cell r="X233" t="str">
            <v>Re-size</v>
          </cell>
          <cell r="Y233" t="str">
            <v>Re-size</v>
          </cell>
          <cell r="Z233" t="str">
            <v>Re-size</v>
          </cell>
          <cell r="AA233">
            <v>36.44</v>
          </cell>
          <cell r="AB233">
            <v>15.86</v>
          </cell>
          <cell r="AC233">
            <v>5.0599999999999996</v>
          </cell>
          <cell r="AD233">
            <v>1.28</v>
          </cell>
          <cell r="AE233">
            <v>0.57999999999999996</v>
          </cell>
        </row>
        <row r="234">
          <cell r="B234">
            <v>2.25</v>
          </cell>
          <cell r="C234" t="str">
            <v>Re-size</v>
          </cell>
          <cell r="D234" t="str">
            <v>Re-size</v>
          </cell>
          <cell r="E234" t="str">
            <v>Re-size</v>
          </cell>
          <cell r="F234" t="str">
            <v>Re-size</v>
          </cell>
          <cell r="G234" t="str">
            <v>Re-size</v>
          </cell>
          <cell r="H234" t="str">
            <v>Re-size</v>
          </cell>
          <cell r="I234">
            <v>19.64</v>
          </cell>
          <cell r="J234">
            <v>15.04</v>
          </cell>
          <cell r="K234">
            <v>10.93</v>
          </cell>
          <cell r="L234">
            <v>6.5699999999999994</v>
          </cell>
          <cell r="M234">
            <v>4.97</v>
          </cell>
          <cell r="N234">
            <v>3.59</v>
          </cell>
          <cell r="O234">
            <v>2.12</v>
          </cell>
          <cell r="P234">
            <v>1.6</v>
          </cell>
          <cell r="Q234">
            <v>1.52</v>
          </cell>
          <cell r="R234">
            <v>0.9</v>
          </cell>
          <cell r="S234">
            <v>0.7</v>
          </cell>
          <cell r="T234">
            <v>0.63500000000000001</v>
          </cell>
          <cell r="U234">
            <v>0.375</v>
          </cell>
          <cell r="V234">
            <v>0.28999999999999998</v>
          </cell>
          <cell r="X234" t="str">
            <v>Re-size</v>
          </cell>
          <cell r="Y234" t="str">
            <v>Re-size</v>
          </cell>
          <cell r="Z234" t="str">
            <v>Re-size</v>
          </cell>
          <cell r="AA234">
            <v>36.799999999999997</v>
          </cell>
          <cell r="AB234">
            <v>16</v>
          </cell>
          <cell r="AC234">
            <v>5.0999999999999996</v>
          </cell>
          <cell r="AD234">
            <v>1.3</v>
          </cell>
          <cell r="AE234">
            <v>0.6</v>
          </cell>
        </row>
        <row r="235">
          <cell r="B235">
            <v>2.2599999999999998</v>
          </cell>
          <cell r="C235" t="str">
            <v>Re-size</v>
          </cell>
          <cell r="D235" t="str">
            <v>Re-size</v>
          </cell>
          <cell r="E235" t="str">
            <v>Re-size</v>
          </cell>
          <cell r="F235" t="str">
            <v>Re-size</v>
          </cell>
          <cell r="G235" t="str">
            <v>Re-size</v>
          </cell>
          <cell r="H235" t="str">
            <v>Re-size</v>
          </cell>
          <cell r="I235">
            <v>19.809999999999999</v>
          </cell>
          <cell r="J235">
            <v>15.13</v>
          </cell>
          <cell r="K235">
            <v>11.03</v>
          </cell>
          <cell r="L235">
            <v>6.62</v>
          </cell>
          <cell r="M235">
            <v>5.01</v>
          </cell>
          <cell r="N235">
            <v>3.6199999999999997</v>
          </cell>
          <cell r="O235">
            <v>2.1399999999999997</v>
          </cell>
          <cell r="P235">
            <v>1.62</v>
          </cell>
          <cell r="Q235">
            <v>1.54</v>
          </cell>
          <cell r="R235">
            <v>0.91</v>
          </cell>
          <cell r="S235">
            <v>0.71</v>
          </cell>
          <cell r="T235">
            <v>0.64</v>
          </cell>
          <cell r="U235">
            <v>0.38</v>
          </cell>
          <cell r="V235">
            <v>0.3</v>
          </cell>
          <cell r="X235" t="str">
            <v>Re-size</v>
          </cell>
          <cell r="Y235" t="str">
            <v>Re-size</v>
          </cell>
          <cell r="Z235" t="str">
            <v>Re-size</v>
          </cell>
          <cell r="AA235">
            <v>37.14</v>
          </cell>
          <cell r="AB235">
            <v>16.12</v>
          </cell>
          <cell r="AC235">
            <v>5.14</v>
          </cell>
          <cell r="AD235">
            <v>1.3</v>
          </cell>
          <cell r="AE235">
            <v>0.6</v>
          </cell>
        </row>
        <row r="236">
          <cell r="B236">
            <v>2.27</v>
          </cell>
          <cell r="C236" t="str">
            <v>Re-size</v>
          </cell>
          <cell r="D236" t="str">
            <v>Re-size</v>
          </cell>
          <cell r="E236" t="str">
            <v>Re-size</v>
          </cell>
          <cell r="F236" t="str">
            <v>Re-size</v>
          </cell>
          <cell r="G236" t="str">
            <v>Re-size</v>
          </cell>
          <cell r="H236" t="str">
            <v>Re-size</v>
          </cell>
          <cell r="I236">
            <v>19.990000000000002</v>
          </cell>
          <cell r="J236">
            <v>15.27</v>
          </cell>
          <cell r="K236">
            <v>11.129999999999999</v>
          </cell>
          <cell r="L236">
            <v>6.68</v>
          </cell>
          <cell r="M236">
            <v>5.05</v>
          </cell>
          <cell r="N236">
            <v>3.65</v>
          </cell>
          <cell r="O236">
            <v>2.1599999999999997</v>
          </cell>
          <cell r="P236">
            <v>1.6300000000000001</v>
          </cell>
          <cell r="Q236">
            <v>1.55</v>
          </cell>
          <cell r="R236">
            <v>0.92</v>
          </cell>
          <cell r="S236">
            <v>0.72</v>
          </cell>
          <cell r="T236">
            <v>0.65</v>
          </cell>
          <cell r="U236">
            <v>0.39</v>
          </cell>
          <cell r="V236">
            <v>0.3</v>
          </cell>
          <cell r="X236" t="str">
            <v>Re-size</v>
          </cell>
          <cell r="Y236" t="str">
            <v>Re-size</v>
          </cell>
          <cell r="Z236" t="str">
            <v>Re-size</v>
          </cell>
          <cell r="AA236">
            <v>37.479999999999997</v>
          </cell>
          <cell r="AB236">
            <v>16.239999999999998</v>
          </cell>
          <cell r="AC236">
            <v>5.18</v>
          </cell>
          <cell r="AD236">
            <v>1.3</v>
          </cell>
          <cell r="AE236">
            <v>0.6</v>
          </cell>
        </row>
        <row r="237">
          <cell r="B237">
            <v>2.2799999999999998</v>
          </cell>
          <cell r="C237" t="str">
            <v>Re-size</v>
          </cell>
          <cell r="D237" t="str">
            <v>Re-size</v>
          </cell>
          <cell r="E237" t="str">
            <v>Re-size</v>
          </cell>
          <cell r="F237" t="str">
            <v>Re-size</v>
          </cell>
          <cell r="G237" t="str">
            <v>Re-size</v>
          </cell>
          <cell r="H237" t="str">
            <v>Re-size</v>
          </cell>
          <cell r="I237">
            <v>20.16</v>
          </cell>
          <cell r="J237">
            <v>15.4</v>
          </cell>
          <cell r="K237">
            <v>11.22</v>
          </cell>
          <cell r="L237">
            <v>6.74</v>
          </cell>
          <cell r="M237">
            <v>5.08</v>
          </cell>
          <cell r="N237">
            <v>3.6799999999999997</v>
          </cell>
          <cell r="O237">
            <v>2.17</v>
          </cell>
          <cell r="P237">
            <v>1.64</v>
          </cell>
          <cell r="Q237">
            <v>1.56</v>
          </cell>
          <cell r="R237">
            <v>0.93</v>
          </cell>
          <cell r="S237">
            <v>0.72</v>
          </cell>
          <cell r="T237">
            <v>0.65</v>
          </cell>
          <cell r="U237">
            <v>0.39</v>
          </cell>
          <cell r="V237">
            <v>0.3</v>
          </cell>
          <cell r="X237" t="str">
            <v>Re-size</v>
          </cell>
          <cell r="Y237" t="str">
            <v>Re-size</v>
          </cell>
          <cell r="Z237" t="str">
            <v>Re-size</v>
          </cell>
          <cell r="AA237">
            <v>37.82</v>
          </cell>
          <cell r="AB237">
            <v>16.36</v>
          </cell>
          <cell r="AC237">
            <v>5.22</v>
          </cell>
          <cell r="AD237">
            <v>1.3</v>
          </cell>
          <cell r="AE237">
            <v>0.6</v>
          </cell>
        </row>
        <row r="238">
          <cell r="B238">
            <v>2.29</v>
          </cell>
          <cell r="C238" t="str">
            <v>Re-size</v>
          </cell>
          <cell r="D238" t="str">
            <v>Re-size</v>
          </cell>
          <cell r="E238" t="str">
            <v>Re-size</v>
          </cell>
          <cell r="F238" t="str">
            <v>Re-size</v>
          </cell>
          <cell r="G238" t="str">
            <v>Re-size</v>
          </cell>
          <cell r="H238" t="str">
            <v>Re-size</v>
          </cell>
          <cell r="I238">
            <v>20.290000000000003</v>
          </cell>
          <cell r="J238">
            <v>15.54</v>
          </cell>
          <cell r="K238">
            <v>11.29</v>
          </cell>
          <cell r="L238">
            <v>6.79</v>
          </cell>
          <cell r="M238">
            <v>5.13</v>
          </cell>
          <cell r="N238">
            <v>3.71</v>
          </cell>
          <cell r="O238">
            <v>2.19</v>
          </cell>
          <cell r="P238">
            <v>1.65</v>
          </cell>
          <cell r="Q238">
            <v>1.57</v>
          </cell>
          <cell r="R238">
            <v>0.94000000000000006</v>
          </cell>
          <cell r="S238">
            <v>0.73</v>
          </cell>
          <cell r="T238">
            <v>0.66</v>
          </cell>
          <cell r="U238">
            <v>0.39</v>
          </cell>
          <cell r="V238">
            <v>0.3</v>
          </cell>
          <cell r="X238" t="str">
            <v>Re-size</v>
          </cell>
          <cell r="Y238" t="str">
            <v>Re-size</v>
          </cell>
          <cell r="Z238" t="str">
            <v>Re-size</v>
          </cell>
          <cell r="AA238">
            <v>38.159999999999997</v>
          </cell>
          <cell r="AB238">
            <v>16.48</v>
          </cell>
          <cell r="AC238">
            <v>5.26</v>
          </cell>
          <cell r="AD238">
            <v>1.3</v>
          </cell>
          <cell r="AE238">
            <v>0.6</v>
          </cell>
        </row>
        <row r="239">
          <cell r="B239">
            <v>2.2999999999999998</v>
          </cell>
          <cell r="C239" t="str">
            <v>Re-size</v>
          </cell>
          <cell r="D239" t="str">
            <v>Re-size</v>
          </cell>
          <cell r="E239" t="str">
            <v>Re-size</v>
          </cell>
          <cell r="F239" t="str">
            <v>Re-size</v>
          </cell>
          <cell r="G239" t="str">
            <v>Re-size</v>
          </cell>
          <cell r="H239" t="str">
            <v>Re-size</v>
          </cell>
          <cell r="I239">
            <v>20.41</v>
          </cell>
          <cell r="J239">
            <v>15.67</v>
          </cell>
          <cell r="K239">
            <v>11.36</v>
          </cell>
          <cell r="L239">
            <v>6.83</v>
          </cell>
          <cell r="M239">
            <v>5.17</v>
          </cell>
          <cell r="N239">
            <v>3.73</v>
          </cell>
          <cell r="O239">
            <v>2.2000000000000002</v>
          </cell>
          <cell r="P239">
            <v>1.66</v>
          </cell>
          <cell r="Q239">
            <v>1.58</v>
          </cell>
          <cell r="R239">
            <v>0.94</v>
          </cell>
          <cell r="S239">
            <v>0.73</v>
          </cell>
          <cell r="T239">
            <v>0.66</v>
          </cell>
          <cell r="U239">
            <v>0.39</v>
          </cell>
          <cell r="V239">
            <v>0.3</v>
          </cell>
          <cell r="X239" t="str">
            <v>Re-size</v>
          </cell>
          <cell r="Y239" t="str">
            <v>Re-size</v>
          </cell>
          <cell r="Z239" t="str">
            <v>Re-size</v>
          </cell>
          <cell r="AA239">
            <v>38.5</v>
          </cell>
          <cell r="AB239">
            <v>16.600000000000001</v>
          </cell>
          <cell r="AC239">
            <v>5.3</v>
          </cell>
          <cell r="AD239">
            <v>1.3</v>
          </cell>
          <cell r="AE239">
            <v>0.6</v>
          </cell>
        </row>
        <row r="240">
          <cell r="B240">
            <v>2.31</v>
          </cell>
          <cell r="C240" t="str">
            <v>Re-size</v>
          </cell>
          <cell r="D240" t="str">
            <v>Re-size</v>
          </cell>
          <cell r="E240" t="str">
            <v>Re-size</v>
          </cell>
          <cell r="F240" t="str">
            <v>Re-size</v>
          </cell>
          <cell r="G240" t="str">
            <v>Re-size</v>
          </cell>
          <cell r="H240" t="str">
            <v>Re-size</v>
          </cell>
          <cell r="I240">
            <v>20.59</v>
          </cell>
          <cell r="J240">
            <v>15.77</v>
          </cell>
          <cell r="K240">
            <v>11.46</v>
          </cell>
          <cell r="L240">
            <v>6.89</v>
          </cell>
          <cell r="M240">
            <v>5.22</v>
          </cell>
          <cell r="N240">
            <v>3.76</v>
          </cell>
          <cell r="O240">
            <v>2.2199999999999998</v>
          </cell>
          <cell r="P240">
            <v>1.68</v>
          </cell>
          <cell r="Q240">
            <v>1.6</v>
          </cell>
          <cell r="R240">
            <v>0.95</v>
          </cell>
          <cell r="S240">
            <v>0.74</v>
          </cell>
          <cell r="T240">
            <v>0.67</v>
          </cell>
          <cell r="U240">
            <v>0.4</v>
          </cell>
          <cell r="V240">
            <v>0.31</v>
          </cell>
          <cell r="X240" t="str">
            <v>Re-size</v>
          </cell>
          <cell r="Y240" t="str">
            <v>Re-size</v>
          </cell>
          <cell r="Z240" t="str">
            <v>Re-size</v>
          </cell>
          <cell r="AA240">
            <v>38.86</v>
          </cell>
          <cell r="AB240">
            <v>16.739999999999998</v>
          </cell>
          <cell r="AC240">
            <v>5.34</v>
          </cell>
          <cell r="AD240">
            <v>1.32</v>
          </cell>
          <cell r="AE240">
            <v>0.6</v>
          </cell>
        </row>
        <row r="241">
          <cell r="B241">
            <v>2.3199999999999998</v>
          </cell>
          <cell r="C241" t="str">
            <v>Re-size</v>
          </cell>
          <cell r="D241" t="str">
            <v>Re-size</v>
          </cell>
          <cell r="E241" t="str">
            <v>Re-size</v>
          </cell>
          <cell r="F241" t="str">
            <v>Re-size</v>
          </cell>
          <cell r="G241" t="str">
            <v>Re-size</v>
          </cell>
          <cell r="H241" t="str">
            <v>Re-size</v>
          </cell>
          <cell r="I241">
            <v>20.77</v>
          </cell>
          <cell r="J241">
            <v>15.87</v>
          </cell>
          <cell r="K241">
            <v>11.56</v>
          </cell>
          <cell r="L241">
            <v>6.95</v>
          </cell>
          <cell r="M241">
            <v>5.26</v>
          </cell>
          <cell r="N241">
            <v>3.79</v>
          </cell>
          <cell r="O241">
            <v>2.2399999999999998</v>
          </cell>
          <cell r="P241">
            <v>1.69</v>
          </cell>
          <cell r="Q241">
            <v>1.61</v>
          </cell>
          <cell r="R241">
            <v>0.96</v>
          </cell>
          <cell r="S241">
            <v>0.75</v>
          </cell>
          <cell r="T241">
            <v>0.67</v>
          </cell>
          <cell r="U241">
            <v>0.4</v>
          </cell>
          <cell r="V241">
            <v>0.31</v>
          </cell>
          <cell r="X241" t="str">
            <v>Re-size</v>
          </cell>
          <cell r="Y241" t="str">
            <v>Re-size</v>
          </cell>
          <cell r="Z241" t="str">
            <v>Re-size</v>
          </cell>
          <cell r="AA241">
            <v>39.22</v>
          </cell>
          <cell r="AB241">
            <v>16.88</v>
          </cell>
          <cell r="AC241">
            <v>5.38</v>
          </cell>
          <cell r="AD241">
            <v>1.34</v>
          </cell>
          <cell r="AE241">
            <v>0.6</v>
          </cell>
        </row>
        <row r="242">
          <cell r="B242">
            <v>2.33</v>
          </cell>
          <cell r="C242" t="str">
            <v>Re-size</v>
          </cell>
          <cell r="D242" t="str">
            <v>Re-size</v>
          </cell>
          <cell r="E242" t="str">
            <v>Re-size</v>
          </cell>
          <cell r="F242" t="str">
            <v>Re-size</v>
          </cell>
          <cell r="G242" t="str">
            <v>Re-size</v>
          </cell>
          <cell r="H242" t="str">
            <v>Re-size</v>
          </cell>
          <cell r="I242">
            <v>20.95</v>
          </cell>
          <cell r="J242">
            <v>16.010000000000002</v>
          </cell>
          <cell r="K242">
            <v>11.66</v>
          </cell>
          <cell r="L242">
            <v>7.01</v>
          </cell>
          <cell r="M242">
            <v>5.29</v>
          </cell>
          <cell r="N242">
            <v>3.82</v>
          </cell>
          <cell r="O242">
            <v>2.2599999999999998</v>
          </cell>
          <cell r="P242">
            <v>1.71</v>
          </cell>
          <cell r="Q242">
            <v>1.6300000000000001</v>
          </cell>
          <cell r="R242">
            <v>0.97</v>
          </cell>
          <cell r="S242">
            <v>0.75</v>
          </cell>
          <cell r="T242">
            <v>0.68</v>
          </cell>
          <cell r="U242">
            <v>0.4</v>
          </cell>
          <cell r="V242">
            <v>0.31</v>
          </cell>
          <cell r="X242" t="str">
            <v>Re-size</v>
          </cell>
          <cell r="Y242" t="str">
            <v>Re-size</v>
          </cell>
          <cell r="Z242" t="str">
            <v>Re-size</v>
          </cell>
          <cell r="AA242">
            <v>39.58</v>
          </cell>
          <cell r="AB242">
            <v>17.02</v>
          </cell>
          <cell r="AC242">
            <v>5.42</v>
          </cell>
          <cell r="AD242">
            <v>1.36</v>
          </cell>
          <cell r="AE242">
            <v>0.6</v>
          </cell>
        </row>
        <row r="243">
          <cell r="B243">
            <v>2.34</v>
          </cell>
          <cell r="C243" t="str">
            <v>Re-size</v>
          </cell>
          <cell r="D243" t="str">
            <v>Re-size</v>
          </cell>
          <cell r="E243" t="str">
            <v>Re-size</v>
          </cell>
          <cell r="F243" t="str">
            <v>Re-size</v>
          </cell>
          <cell r="G243" t="str">
            <v>Re-size</v>
          </cell>
          <cell r="H243" t="str">
            <v>Re-size</v>
          </cell>
          <cell r="I243">
            <v>21.13</v>
          </cell>
          <cell r="J243">
            <v>16.14</v>
          </cell>
          <cell r="K243">
            <v>11.76</v>
          </cell>
          <cell r="L243">
            <v>7.07</v>
          </cell>
          <cell r="M243">
            <v>5.32</v>
          </cell>
          <cell r="N243">
            <v>3.85</v>
          </cell>
          <cell r="O243">
            <v>2.2799999999999998</v>
          </cell>
          <cell r="P243">
            <v>1.72</v>
          </cell>
          <cell r="Q243">
            <v>1.64</v>
          </cell>
          <cell r="R243">
            <v>0.98</v>
          </cell>
          <cell r="S243">
            <v>0.76</v>
          </cell>
          <cell r="T243">
            <v>0.68</v>
          </cell>
          <cell r="U243">
            <v>0.41000000000000003</v>
          </cell>
          <cell r="V243">
            <v>0.32</v>
          </cell>
          <cell r="X243" t="str">
            <v>Re-size</v>
          </cell>
          <cell r="Y243" t="str">
            <v>Re-size</v>
          </cell>
          <cell r="Z243" t="str">
            <v>Re-size</v>
          </cell>
          <cell r="AA243">
            <v>39.94</v>
          </cell>
          <cell r="AB243">
            <v>17.16</v>
          </cell>
          <cell r="AC243">
            <v>5.46</v>
          </cell>
          <cell r="AD243">
            <v>1.38</v>
          </cell>
          <cell r="AE243">
            <v>0.6</v>
          </cell>
        </row>
        <row r="244">
          <cell r="B244">
            <v>2.35</v>
          </cell>
          <cell r="C244" t="str">
            <v>Re-size</v>
          </cell>
          <cell r="D244" t="str">
            <v>Re-size</v>
          </cell>
          <cell r="E244" t="str">
            <v>Re-size</v>
          </cell>
          <cell r="F244" t="str">
            <v>Re-size</v>
          </cell>
          <cell r="G244" t="str">
            <v>Re-size</v>
          </cell>
          <cell r="H244" t="str">
            <v>Re-size</v>
          </cell>
          <cell r="I244">
            <v>21.31</v>
          </cell>
          <cell r="J244">
            <v>16.28</v>
          </cell>
          <cell r="K244">
            <v>11.84</v>
          </cell>
          <cell r="L244">
            <v>7.11</v>
          </cell>
          <cell r="M244">
            <v>5.37</v>
          </cell>
          <cell r="N244">
            <v>3.88</v>
          </cell>
          <cell r="O244">
            <v>2.29</v>
          </cell>
          <cell r="P244">
            <v>1.73</v>
          </cell>
          <cell r="Q244">
            <v>1.65</v>
          </cell>
          <cell r="R244">
            <v>0.98</v>
          </cell>
          <cell r="S244">
            <v>0.76</v>
          </cell>
          <cell r="T244">
            <v>0.68500000000000005</v>
          </cell>
          <cell r="U244">
            <v>0.40500000000000003</v>
          </cell>
          <cell r="V244">
            <v>0.315</v>
          </cell>
          <cell r="X244" t="str">
            <v>Re-size</v>
          </cell>
          <cell r="Y244" t="str">
            <v>Re-size</v>
          </cell>
          <cell r="Z244" t="str">
            <v>Re-size</v>
          </cell>
          <cell r="AA244">
            <v>40.299999999999997</v>
          </cell>
          <cell r="AB244">
            <v>17.3</v>
          </cell>
          <cell r="AC244">
            <v>5.5</v>
          </cell>
          <cell r="AD244">
            <v>1.4</v>
          </cell>
          <cell r="AE244">
            <v>0.6</v>
          </cell>
        </row>
        <row r="245">
          <cell r="B245">
            <v>2.36</v>
          </cell>
          <cell r="C245" t="str">
            <v>Re-size</v>
          </cell>
          <cell r="D245" t="str">
            <v>Re-size</v>
          </cell>
          <cell r="E245" t="str">
            <v>Re-size</v>
          </cell>
          <cell r="F245" t="str">
            <v>Re-size</v>
          </cell>
          <cell r="G245" t="str">
            <v>Re-size</v>
          </cell>
          <cell r="H245" t="str">
            <v>Re-size</v>
          </cell>
          <cell r="I245">
            <v>21.49</v>
          </cell>
          <cell r="J245">
            <v>16.420000000000002</v>
          </cell>
          <cell r="K245">
            <v>11.91</v>
          </cell>
          <cell r="L245">
            <v>7.15</v>
          </cell>
          <cell r="M245">
            <v>5.42</v>
          </cell>
          <cell r="N245">
            <v>3.92</v>
          </cell>
          <cell r="O245">
            <v>2.3099999999999996</v>
          </cell>
          <cell r="P245">
            <v>1.75</v>
          </cell>
          <cell r="Q245">
            <v>1.67</v>
          </cell>
          <cell r="R245">
            <v>0.99</v>
          </cell>
          <cell r="S245">
            <v>0.77</v>
          </cell>
          <cell r="T245">
            <v>0.69</v>
          </cell>
          <cell r="U245">
            <v>0.41000000000000003</v>
          </cell>
          <cell r="V245">
            <v>0.32</v>
          </cell>
          <cell r="X245" t="str">
            <v>Re-size</v>
          </cell>
          <cell r="Y245" t="str">
            <v>Re-size</v>
          </cell>
          <cell r="Z245" t="str">
            <v>Re-size</v>
          </cell>
          <cell r="AA245">
            <v>40.64</v>
          </cell>
          <cell r="AB245">
            <v>17.420000000000002</v>
          </cell>
          <cell r="AC245">
            <v>5.54</v>
          </cell>
          <cell r="AD245">
            <v>1.4</v>
          </cell>
          <cell r="AE245">
            <v>0.6</v>
          </cell>
        </row>
        <row r="246">
          <cell r="B246">
            <v>2.37</v>
          </cell>
          <cell r="C246" t="str">
            <v>Re-size</v>
          </cell>
          <cell r="D246" t="str">
            <v>Re-size</v>
          </cell>
          <cell r="E246" t="str">
            <v>Re-size</v>
          </cell>
          <cell r="F246" t="str">
            <v>Re-size</v>
          </cell>
          <cell r="G246" t="str">
            <v>Re-size</v>
          </cell>
          <cell r="H246" t="str">
            <v>Re-size</v>
          </cell>
          <cell r="I246">
            <v>21.62</v>
          </cell>
          <cell r="J246">
            <v>16.52</v>
          </cell>
          <cell r="K246">
            <v>12.01</v>
          </cell>
          <cell r="L246">
            <v>7.21</v>
          </cell>
          <cell r="M246">
            <v>5.47</v>
          </cell>
          <cell r="N246">
            <v>3.9499999999999997</v>
          </cell>
          <cell r="O246">
            <v>2.3299999999999996</v>
          </cell>
          <cell r="P246">
            <v>1.76</v>
          </cell>
          <cell r="Q246">
            <v>1.68</v>
          </cell>
          <cell r="R246">
            <v>1</v>
          </cell>
          <cell r="S246">
            <v>0.78</v>
          </cell>
          <cell r="T246">
            <v>0.7</v>
          </cell>
          <cell r="U246">
            <v>0.42</v>
          </cell>
          <cell r="V246">
            <v>0.33</v>
          </cell>
          <cell r="X246" t="str">
            <v>Re-size</v>
          </cell>
          <cell r="Y246" t="str">
            <v>Re-size</v>
          </cell>
          <cell r="Z246" t="str">
            <v>Re-size</v>
          </cell>
          <cell r="AA246">
            <v>40.98</v>
          </cell>
          <cell r="AB246">
            <v>17.54</v>
          </cell>
          <cell r="AC246">
            <v>5.58</v>
          </cell>
          <cell r="AD246">
            <v>1.4</v>
          </cell>
          <cell r="AE246">
            <v>0.6</v>
          </cell>
        </row>
        <row r="247">
          <cell r="B247">
            <v>2.38</v>
          </cell>
          <cell r="C247" t="str">
            <v>Re-size</v>
          </cell>
          <cell r="D247" t="str">
            <v>Re-size</v>
          </cell>
          <cell r="E247" t="str">
            <v>Re-size</v>
          </cell>
          <cell r="F247" t="str">
            <v>Re-size</v>
          </cell>
          <cell r="G247" t="str">
            <v>Re-size</v>
          </cell>
          <cell r="H247" t="str">
            <v>Re-size</v>
          </cell>
          <cell r="I247">
            <v>21.75</v>
          </cell>
          <cell r="J247">
            <v>16.62</v>
          </cell>
          <cell r="K247">
            <v>12.11</v>
          </cell>
          <cell r="L247">
            <v>7.27</v>
          </cell>
          <cell r="M247">
            <v>5.51</v>
          </cell>
          <cell r="N247">
            <v>3.98</v>
          </cell>
          <cell r="O247">
            <v>2.3499999999999996</v>
          </cell>
          <cell r="P247">
            <v>1.78</v>
          </cell>
          <cell r="Q247">
            <v>1.69</v>
          </cell>
          <cell r="R247">
            <v>1.01</v>
          </cell>
          <cell r="S247">
            <v>0.78</v>
          </cell>
          <cell r="T247">
            <v>0.7</v>
          </cell>
          <cell r="U247">
            <v>0.42</v>
          </cell>
          <cell r="V247">
            <v>0.33</v>
          </cell>
          <cell r="X247" t="str">
            <v>Re-size</v>
          </cell>
          <cell r="Y247" t="str">
            <v>Re-size</v>
          </cell>
          <cell r="Z247" t="str">
            <v>Re-size</v>
          </cell>
          <cell r="AA247">
            <v>41.32</v>
          </cell>
          <cell r="AB247">
            <v>17.66</v>
          </cell>
          <cell r="AC247">
            <v>5.62</v>
          </cell>
          <cell r="AD247">
            <v>1.4</v>
          </cell>
          <cell r="AE247">
            <v>0.6</v>
          </cell>
        </row>
        <row r="248">
          <cell r="B248">
            <v>2.39</v>
          </cell>
          <cell r="C248" t="str">
            <v>Re-size</v>
          </cell>
          <cell r="D248" t="str">
            <v>Re-size</v>
          </cell>
          <cell r="E248" t="str">
            <v>Re-size</v>
          </cell>
          <cell r="F248" t="str">
            <v>Re-size</v>
          </cell>
          <cell r="G248" t="str">
            <v>Re-size</v>
          </cell>
          <cell r="H248" t="str">
            <v>Re-size</v>
          </cell>
          <cell r="I248">
            <v>21.94</v>
          </cell>
          <cell r="J248">
            <v>16.760000000000002</v>
          </cell>
          <cell r="K248">
            <v>12.21</v>
          </cell>
          <cell r="L248">
            <v>7.34</v>
          </cell>
          <cell r="M248">
            <v>5.54</v>
          </cell>
          <cell r="N248">
            <v>4.01</v>
          </cell>
          <cell r="O248">
            <v>2.3699999999999997</v>
          </cell>
          <cell r="P248">
            <v>1.79</v>
          </cell>
          <cell r="Q248">
            <v>1.7</v>
          </cell>
          <cell r="R248">
            <v>1.02</v>
          </cell>
          <cell r="S248">
            <v>0.79</v>
          </cell>
          <cell r="T248">
            <v>0.71</v>
          </cell>
          <cell r="U248">
            <v>0.42</v>
          </cell>
          <cell r="V248">
            <v>0.33</v>
          </cell>
          <cell r="X248" t="str">
            <v>Re-size</v>
          </cell>
          <cell r="Y248" t="str">
            <v>Re-size</v>
          </cell>
          <cell r="Z248" t="str">
            <v>Re-size</v>
          </cell>
          <cell r="AA248">
            <v>41.66</v>
          </cell>
          <cell r="AB248">
            <v>17.78</v>
          </cell>
          <cell r="AC248">
            <v>5.66</v>
          </cell>
          <cell r="AD248">
            <v>1.4</v>
          </cell>
          <cell r="AE248">
            <v>0.6</v>
          </cell>
        </row>
        <row r="249">
          <cell r="B249">
            <v>2.4</v>
          </cell>
          <cell r="C249" t="str">
            <v>Re-size</v>
          </cell>
          <cell r="D249" t="str">
            <v>Re-size</v>
          </cell>
          <cell r="E249" t="str">
            <v>Re-size</v>
          </cell>
          <cell r="F249" t="str">
            <v>Re-size</v>
          </cell>
          <cell r="G249" t="str">
            <v>Re-size</v>
          </cell>
          <cell r="H249" t="str">
            <v>Re-size</v>
          </cell>
          <cell r="I249">
            <v>22.12</v>
          </cell>
          <cell r="J249">
            <v>16.899999999999999</v>
          </cell>
          <cell r="K249">
            <v>12.31</v>
          </cell>
          <cell r="L249">
            <v>7.4</v>
          </cell>
          <cell r="M249">
            <v>5.57</v>
          </cell>
          <cell r="N249">
            <v>4.04</v>
          </cell>
          <cell r="O249">
            <v>2.38</v>
          </cell>
          <cell r="P249">
            <v>1.8</v>
          </cell>
          <cell r="Q249">
            <v>1.71</v>
          </cell>
          <cell r="R249">
            <v>1.02</v>
          </cell>
          <cell r="S249">
            <v>0.79</v>
          </cell>
          <cell r="T249">
            <v>0.71</v>
          </cell>
          <cell r="U249">
            <v>0.42</v>
          </cell>
          <cell r="V249">
            <v>0.33</v>
          </cell>
          <cell r="X249" t="str">
            <v>Re-size</v>
          </cell>
          <cell r="Y249" t="str">
            <v>Re-size</v>
          </cell>
          <cell r="Z249" t="str">
            <v>Re-size</v>
          </cell>
          <cell r="AA249">
            <v>42</v>
          </cell>
          <cell r="AB249">
            <v>17.899999999999999</v>
          </cell>
          <cell r="AC249">
            <v>5.7</v>
          </cell>
          <cell r="AD249">
            <v>1.4</v>
          </cell>
          <cell r="AE249">
            <v>0.6</v>
          </cell>
        </row>
        <row r="250">
          <cell r="B250">
            <v>2.41</v>
          </cell>
          <cell r="C250" t="str">
            <v>Re-size</v>
          </cell>
          <cell r="D250" t="str">
            <v>Re-size</v>
          </cell>
          <cell r="E250" t="str">
            <v>Re-size</v>
          </cell>
          <cell r="F250" t="str">
            <v>Re-size</v>
          </cell>
          <cell r="G250" t="str">
            <v>Re-size</v>
          </cell>
          <cell r="H250" t="str">
            <v>Re-size</v>
          </cell>
          <cell r="I250">
            <v>22.310000000000002</v>
          </cell>
          <cell r="J250">
            <v>17.04</v>
          </cell>
          <cell r="K250">
            <v>12.39</v>
          </cell>
          <cell r="L250">
            <v>7.44</v>
          </cell>
          <cell r="M250">
            <v>5.62</v>
          </cell>
          <cell r="N250">
            <v>4.07</v>
          </cell>
          <cell r="O250">
            <v>2.4</v>
          </cell>
          <cell r="P250">
            <v>1.82</v>
          </cell>
          <cell r="Q250">
            <v>1.73</v>
          </cell>
          <cell r="R250">
            <v>1.03</v>
          </cell>
          <cell r="S250">
            <v>0.8</v>
          </cell>
          <cell r="T250">
            <v>0.72</v>
          </cell>
          <cell r="U250">
            <v>0.43</v>
          </cell>
          <cell r="V250">
            <v>0.34</v>
          </cell>
          <cell r="X250" t="str">
            <v>Re-size</v>
          </cell>
          <cell r="Y250" t="str">
            <v>Re-size</v>
          </cell>
          <cell r="Z250" t="str">
            <v>Re-size</v>
          </cell>
          <cell r="AA250">
            <v>42.34</v>
          </cell>
          <cell r="AB250">
            <v>18.02</v>
          </cell>
          <cell r="AC250">
            <v>5.76</v>
          </cell>
          <cell r="AD250">
            <v>1.42</v>
          </cell>
          <cell r="AE250">
            <v>0.6</v>
          </cell>
        </row>
        <row r="251">
          <cell r="B251">
            <v>2.42</v>
          </cell>
          <cell r="C251" t="str">
            <v>Re-size</v>
          </cell>
          <cell r="D251" t="str">
            <v>Re-size</v>
          </cell>
          <cell r="E251" t="str">
            <v>Re-size</v>
          </cell>
          <cell r="F251" t="str">
            <v>Re-size</v>
          </cell>
          <cell r="G251" t="str">
            <v>Re-size</v>
          </cell>
          <cell r="H251" t="str">
            <v>Re-size</v>
          </cell>
          <cell r="I251">
            <v>22.49</v>
          </cell>
          <cell r="J251">
            <v>17.18</v>
          </cell>
          <cell r="K251">
            <v>12.46</v>
          </cell>
          <cell r="L251">
            <v>7.48</v>
          </cell>
          <cell r="M251">
            <v>5.67</v>
          </cell>
          <cell r="N251">
            <v>4.0999999999999996</v>
          </cell>
          <cell r="O251">
            <v>2.42</v>
          </cell>
          <cell r="P251">
            <v>1.83</v>
          </cell>
          <cell r="Q251">
            <v>1.74</v>
          </cell>
          <cell r="R251">
            <v>1.04</v>
          </cell>
          <cell r="S251">
            <v>0.81</v>
          </cell>
          <cell r="T251">
            <v>0.72</v>
          </cell>
          <cell r="U251">
            <v>0.43</v>
          </cell>
          <cell r="V251">
            <v>0.34</v>
          </cell>
          <cell r="X251" t="str">
            <v>Re-size</v>
          </cell>
          <cell r="Y251" t="str">
            <v>Re-size</v>
          </cell>
          <cell r="Z251" t="str">
            <v>Re-size</v>
          </cell>
          <cell r="AA251">
            <v>42.68</v>
          </cell>
          <cell r="AB251">
            <v>18.14</v>
          </cell>
          <cell r="AC251">
            <v>5.82</v>
          </cell>
          <cell r="AD251">
            <v>1.44</v>
          </cell>
          <cell r="AE251">
            <v>0.6</v>
          </cell>
        </row>
        <row r="252">
          <cell r="B252">
            <v>2.4300000000000002</v>
          </cell>
          <cell r="C252" t="str">
            <v>Re-size</v>
          </cell>
          <cell r="D252" t="str">
            <v>Re-size</v>
          </cell>
          <cell r="E252" t="str">
            <v>Re-size</v>
          </cell>
          <cell r="F252" t="str">
            <v>Re-size</v>
          </cell>
          <cell r="G252" t="str">
            <v>Re-size</v>
          </cell>
          <cell r="H252" t="str">
            <v>Re-size</v>
          </cell>
          <cell r="I252">
            <v>22.62</v>
          </cell>
          <cell r="J252">
            <v>17.32</v>
          </cell>
          <cell r="K252">
            <v>12.57</v>
          </cell>
          <cell r="L252">
            <v>7.55</v>
          </cell>
          <cell r="M252">
            <v>5.72</v>
          </cell>
          <cell r="N252">
            <v>4.13</v>
          </cell>
          <cell r="O252">
            <v>2.44</v>
          </cell>
          <cell r="P252">
            <v>1.85</v>
          </cell>
          <cell r="Q252">
            <v>1.75</v>
          </cell>
          <cell r="R252">
            <v>1.04</v>
          </cell>
          <cell r="S252">
            <v>0.81</v>
          </cell>
          <cell r="T252">
            <v>0.73</v>
          </cell>
          <cell r="U252">
            <v>0.44</v>
          </cell>
          <cell r="V252">
            <v>0.34</v>
          </cell>
          <cell r="X252" t="str">
            <v>Re-size</v>
          </cell>
          <cell r="Y252" t="str">
            <v>Re-size</v>
          </cell>
          <cell r="Z252" t="str">
            <v>Re-size</v>
          </cell>
          <cell r="AA252">
            <v>43.02</v>
          </cell>
          <cell r="AB252">
            <v>18.260000000000002</v>
          </cell>
          <cell r="AC252">
            <v>5.88</v>
          </cell>
          <cell r="AD252">
            <v>1.46</v>
          </cell>
          <cell r="AE252">
            <v>0.6</v>
          </cell>
        </row>
        <row r="253">
          <cell r="B253">
            <v>2.44</v>
          </cell>
          <cell r="C253" t="str">
            <v>Re-size</v>
          </cell>
          <cell r="D253" t="str">
            <v>Re-size</v>
          </cell>
          <cell r="E253" t="str">
            <v>Re-size</v>
          </cell>
          <cell r="F253" t="str">
            <v>Re-size</v>
          </cell>
          <cell r="G253" t="str">
            <v>Re-size</v>
          </cell>
          <cell r="H253" t="str">
            <v>Re-size</v>
          </cell>
          <cell r="I253">
            <v>22.75</v>
          </cell>
          <cell r="J253">
            <v>17.46</v>
          </cell>
          <cell r="K253">
            <v>12.67</v>
          </cell>
          <cell r="L253">
            <v>7.61</v>
          </cell>
          <cell r="M253">
            <v>5.76</v>
          </cell>
          <cell r="N253">
            <v>4.16</v>
          </cell>
          <cell r="O253">
            <v>2.46</v>
          </cell>
          <cell r="P253">
            <v>1.86</v>
          </cell>
          <cell r="Q253">
            <v>1.76</v>
          </cell>
          <cell r="R253">
            <v>1.05</v>
          </cell>
          <cell r="S253">
            <v>0.82000000000000006</v>
          </cell>
          <cell r="T253">
            <v>0.73</v>
          </cell>
          <cell r="U253">
            <v>0.44</v>
          </cell>
          <cell r="V253">
            <v>0.35000000000000003</v>
          </cell>
          <cell r="X253" t="str">
            <v>Re-size</v>
          </cell>
          <cell r="Y253" t="str">
            <v>Re-size</v>
          </cell>
          <cell r="Z253" t="str">
            <v>Re-size</v>
          </cell>
          <cell r="AA253">
            <v>43.36</v>
          </cell>
          <cell r="AB253">
            <v>18.38</v>
          </cell>
          <cell r="AC253">
            <v>5.94</v>
          </cell>
          <cell r="AD253">
            <v>1.48</v>
          </cell>
          <cell r="AE253">
            <v>0.6</v>
          </cell>
        </row>
        <row r="254">
          <cell r="B254">
            <v>2.4500000000000002</v>
          </cell>
          <cell r="C254" t="str">
            <v>Re-size</v>
          </cell>
          <cell r="D254" t="str">
            <v>Re-size</v>
          </cell>
          <cell r="E254" t="str">
            <v>Re-size</v>
          </cell>
          <cell r="F254" t="str">
            <v>Re-size</v>
          </cell>
          <cell r="G254" t="str">
            <v>Re-size</v>
          </cell>
          <cell r="H254" t="str">
            <v>Re-size</v>
          </cell>
          <cell r="I254">
            <v>22.94</v>
          </cell>
          <cell r="J254">
            <v>17.559999999999999</v>
          </cell>
          <cell r="K254">
            <v>12.77</v>
          </cell>
          <cell r="L254">
            <v>7.67</v>
          </cell>
          <cell r="M254">
            <v>5.8</v>
          </cell>
          <cell r="N254">
            <v>4.1900000000000004</v>
          </cell>
          <cell r="O254">
            <v>2.4700000000000002</v>
          </cell>
          <cell r="P254">
            <v>1.87</v>
          </cell>
          <cell r="Q254">
            <v>1.77</v>
          </cell>
          <cell r="R254">
            <v>1.05</v>
          </cell>
          <cell r="S254">
            <v>0.82</v>
          </cell>
          <cell r="T254">
            <v>0.73499999999999999</v>
          </cell>
          <cell r="U254">
            <v>0.44</v>
          </cell>
          <cell r="V254">
            <v>0.34499999999999997</v>
          </cell>
          <cell r="X254" t="str">
            <v>Re-size</v>
          </cell>
          <cell r="Y254" t="str">
            <v>Re-size</v>
          </cell>
          <cell r="Z254" t="str">
            <v>Re-size</v>
          </cell>
          <cell r="AA254">
            <v>43.7</v>
          </cell>
          <cell r="AB254">
            <v>18.5</v>
          </cell>
          <cell r="AC254">
            <v>6</v>
          </cell>
          <cell r="AD254">
            <v>1.5</v>
          </cell>
          <cell r="AE254">
            <v>0.6</v>
          </cell>
        </row>
        <row r="255">
          <cell r="B255">
            <v>2.46</v>
          </cell>
          <cell r="C255" t="str">
            <v>Re-size</v>
          </cell>
          <cell r="D255" t="str">
            <v>Re-size</v>
          </cell>
          <cell r="E255" t="str">
            <v>Re-size</v>
          </cell>
          <cell r="F255" t="str">
            <v>Re-size</v>
          </cell>
          <cell r="G255" t="str">
            <v>Re-size</v>
          </cell>
          <cell r="H255" t="str">
            <v>Re-size</v>
          </cell>
          <cell r="I255">
            <v>23.12</v>
          </cell>
          <cell r="J255">
            <v>17.66</v>
          </cell>
          <cell r="K255">
            <v>12.87</v>
          </cell>
          <cell r="L255">
            <v>7.73</v>
          </cell>
          <cell r="M255">
            <v>5.83</v>
          </cell>
          <cell r="N255">
            <v>4.2299999999999995</v>
          </cell>
          <cell r="O255">
            <v>2.4900000000000002</v>
          </cell>
          <cell r="P255">
            <v>1.89</v>
          </cell>
          <cell r="Q255">
            <v>1.79</v>
          </cell>
          <cell r="R255">
            <v>1.06</v>
          </cell>
          <cell r="S255">
            <v>0.83</v>
          </cell>
          <cell r="T255">
            <v>0.74</v>
          </cell>
          <cell r="U255">
            <v>0.45</v>
          </cell>
          <cell r="V255">
            <v>0.35000000000000003</v>
          </cell>
          <cell r="X255" t="str">
            <v>Re-size</v>
          </cell>
          <cell r="Y255" t="str">
            <v>Re-size</v>
          </cell>
          <cell r="Z255" t="str">
            <v>Re-size</v>
          </cell>
          <cell r="AA255">
            <v>44</v>
          </cell>
          <cell r="AB255">
            <v>18.62</v>
          </cell>
          <cell r="AC255">
            <v>6.04</v>
          </cell>
          <cell r="AD255">
            <v>1.5</v>
          </cell>
          <cell r="AE255">
            <v>0.62</v>
          </cell>
        </row>
        <row r="256">
          <cell r="B256">
            <v>2.4700000000000002</v>
          </cell>
          <cell r="C256" t="str">
            <v>Re-size</v>
          </cell>
          <cell r="D256" t="str">
            <v>Re-size</v>
          </cell>
          <cell r="E256" t="str">
            <v>Re-size</v>
          </cell>
          <cell r="F256" t="str">
            <v>Re-size</v>
          </cell>
          <cell r="G256" t="str">
            <v>Re-size</v>
          </cell>
          <cell r="H256" t="str">
            <v>Re-size</v>
          </cell>
          <cell r="I256">
            <v>23.31</v>
          </cell>
          <cell r="J256">
            <v>17.810000000000002</v>
          </cell>
          <cell r="K256">
            <v>12.98</v>
          </cell>
          <cell r="L256">
            <v>7.7799999999999994</v>
          </cell>
          <cell r="M256">
            <v>5.88</v>
          </cell>
          <cell r="N256">
            <v>4.26</v>
          </cell>
          <cell r="O256">
            <v>2.5099999999999998</v>
          </cell>
          <cell r="P256">
            <v>1.9</v>
          </cell>
          <cell r="Q256">
            <v>1.8</v>
          </cell>
          <cell r="R256">
            <v>1.07</v>
          </cell>
          <cell r="S256">
            <v>0.84</v>
          </cell>
          <cell r="T256">
            <v>0.75</v>
          </cell>
          <cell r="U256">
            <v>0.45</v>
          </cell>
          <cell r="V256">
            <v>0.36</v>
          </cell>
          <cell r="X256" t="str">
            <v>Re-size</v>
          </cell>
          <cell r="Y256" t="str">
            <v>Re-size</v>
          </cell>
          <cell r="Z256" t="str">
            <v>Re-size</v>
          </cell>
          <cell r="AA256">
            <v>44.3</v>
          </cell>
          <cell r="AB256">
            <v>18.739999999999998</v>
          </cell>
          <cell r="AC256">
            <v>6.08</v>
          </cell>
          <cell r="AD256">
            <v>1.5</v>
          </cell>
          <cell r="AE256">
            <v>0.64</v>
          </cell>
        </row>
        <row r="257">
          <cell r="B257">
            <v>2.48</v>
          </cell>
          <cell r="C257" t="str">
            <v>Re-size</v>
          </cell>
          <cell r="D257" t="str">
            <v>Re-size</v>
          </cell>
          <cell r="E257" t="str">
            <v>Re-size</v>
          </cell>
          <cell r="F257" t="str">
            <v>Re-size</v>
          </cell>
          <cell r="G257" t="str">
            <v>Re-size</v>
          </cell>
          <cell r="H257" t="str">
            <v>Re-size</v>
          </cell>
          <cell r="I257">
            <v>23.5</v>
          </cell>
          <cell r="J257">
            <v>17.95</v>
          </cell>
          <cell r="K257">
            <v>13.08</v>
          </cell>
          <cell r="L257">
            <v>7.82</v>
          </cell>
          <cell r="M257">
            <v>5.92</v>
          </cell>
          <cell r="N257">
            <v>4.29</v>
          </cell>
          <cell r="O257">
            <v>2.5299999999999998</v>
          </cell>
          <cell r="P257">
            <v>1.92</v>
          </cell>
          <cell r="Q257">
            <v>1.82</v>
          </cell>
          <cell r="R257">
            <v>1.08</v>
          </cell>
          <cell r="S257">
            <v>0.84</v>
          </cell>
          <cell r="T257">
            <v>0.75</v>
          </cell>
          <cell r="U257">
            <v>0.46</v>
          </cell>
          <cell r="V257">
            <v>0.36</v>
          </cell>
          <cell r="X257" t="str">
            <v>Re-size</v>
          </cell>
          <cell r="Y257" t="str">
            <v>Re-size</v>
          </cell>
          <cell r="Z257" t="str">
            <v>Re-size</v>
          </cell>
          <cell r="AA257">
            <v>44.6</v>
          </cell>
          <cell r="AB257">
            <v>18.86</v>
          </cell>
          <cell r="AC257">
            <v>6.12</v>
          </cell>
          <cell r="AD257">
            <v>1.5</v>
          </cell>
          <cell r="AE257">
            <v>0.66</v>
          </cell>
        </row>
        <row r="258">
          <cell r="B258">
            <v>2.4900000000000002</v>
          </cell>
          <cell r="C258" t="str">
            <v>Re-size</v>
          </cell>
          <cell r="D258" t="str">
            <v>Re-size</v>
          </cell>
          <cell r="E258" t="str">
            <v>Re-size</v>
          </cell>
          <cell r="F258" t="str">
            <v>Re-size</v>
          </cell>
          <cell r="G258" t="str">
            <v>Re-size</v>
          </cell>
          <cell r="H258" t="str">
            <v>Re-size</v>
          </cell>
          <cell r="I258">
            <v>23.65</v>
          </cell>
          <cell r="J258">
            <v>18.100000000000001</v>
          </cell>
          <cell r="K258">
            <v>13.16</v>
          </cell>
          <cell r="L258">
            <v>7.89</v>
          </cell>
          <cell r="M258">
            <v>5.97</v>
          </cell>
          <cell r="N258">
            <v>4.3199999999999994</v>
          </cell>
          <cell r="O258">
            <v>2.5499999999999998</v>
          </cell>
          <cell r="P258">
            <v>1.93</v>
          </cell>
          <cell r="Q258">
            <v>1.83</v>
          </cell>
          <cell r="R258">
            <v>1.0900000000000001</v>
          </cell>
          <cell r="S258">
            <v>0.85</v>
          </cell>
          <cell r="T258">
            <v>0.76</v>
          </cell>
          <cell r="U258">
            <v>0.46</v>
          </cell>
          <cell r="V258">
            <v>0.36</v>
          </cell>
          <cell r="X258" t="str">
            <v>Re-size</v>
          </cell>
          <cell r="Y258" t="str">
            <v>Re-size</v>
          </cell>
          <cell r="Z258" t="str">
            <v>Re-size</v>
          </cell>
          <cell r="AA258">
            <v>44.9</v>
          </cell>
          <cell r="AB258">
            <v>18.98</v>
          </cell>
          <cell r="AC258">
            <v>6.16</v>
          </cell>
          <cell r="AD258">
            <v>1.5</v>
          </cell>
          <cell r="AE258">
            <v>0.68</v>
          </cell>
        </row>
        <row r="259">
          <cell r="B259">
            <v>2.5</v>
          </cell>
          <cell r="C259" t="str">
            <v>Re-size</v>
          </cell>
          <cell r="D259" t="str">
            <v>Re-size</v>
          </cell>
          <cell r="E259" t="str">
            <v>Re-size</v>
          </cell>
          <cell r="F259" t="str">
            <v>Re-size</v>
          </cell>
          <cell r="G259" t="str">
            <v>Re-size</v>
          </cell>
          <cell r="H259" t="str">
            <v>Re-size</v>
          </cell>
          <cell r="I259">
            <v>23.8</v>
          </cell>
          <cell r="J259">
            <v>18.239999999999998</v>
          </cell>
          <cell r="K259">
            <v>13.23</v>
          </cell>
          <cell r="L259">
            <v>7.95</v>
          </cell>
          <cell r="M259">
            <v>6.02</v>
          </cell>
          <cell r="N259">
            <v>4.3499999999999996</v>
          </cell>
          <cell r="O259">
            <v>2.57</v>
          </cell>
          <cell r="P259">
            <v>1.94</v>
          </cell>
          <cell r="Q259">
            <v>1.84</v>
          </cell>
          <cell r="R259">
            <v>1.0900000000000001</v>
          </cell>
          <cell r="S259">
            <v>0.85</v>
          </cell>
          <cell r="T259">
            <v>0.76</v>
          </cell>
          <cell r="U259">
            <v>0.46</v>
          </cell>
          <cell r="V259">
            <v>0.36</v>
          </cell>
          <cell r="X259" t="str">
            <v>Re-size</v>
          </cell>
          <cell r="Y259" t="str">
            <v>Re-size</v>
          </cell>
          <cell r="Z259" t="str">
            <v>Re-size</v>
          </cell>
          <cell r="AA259">
            <v>45.2</v>
          </cell>
          <cell r="AB259">
            <v>19.100000000000001</v>
          </cell>
          <cell r="AC259">
            <v>6.2</v>
          </cell>
          <cell r="AD259">
            <v>1.5</v>
          </cell>
          <cell r="AE259">
            <v>0.7</v>
          </cell>
        </row>
        <row r="260">
          <cell r="B260">
            <v>2.5099999999999998</v>
          </cell>
          <cell r="C260" t="str">
            <v>Re-size</v>
          </cell>
          <cell r="D260" t="str">
            <v>Re-size</v>
          </cell>
          <cell r="E260" t="str">
            <v>Re-size</v>
          </cell>
          <cell r="F260" t="str">
            <v>Re-size</v>
          </cell>
          <cell r="G260" t="str">
            <v>Re-size</v>
          </cell>
          <cell r="H260" t="str">
            <v>Re-size</v>
          </cell>
          <cell r="I260">
            <v>23.97</v>
          </cell>
          <cell r="J260">
            <v>18.39</v>
          </cell>
          <cell r="K260">
            <v>13.34</v>
          </cell>
          <cell r="L260">
            <v>8.02</v>
          </cell>
          <cell r="M260">
            <v>6.07</v>
          </cell>
          <cell r="N260">
            <v>4.38</v>
          </cell>
          <cell r="O260">
            <v>2.59</v>
          </cell>
          <cell r="P260">
            <v>1.96</v>
          </cell>
          <cell r="Q260">
            <v>1.86</v>
          </cell>
          <cell r="R260">
            <v>1.1000000000000001</v>
          </cell>
          <cell r="S260">
            <v>0.86</v>
          </cell>
          <cell r="T260">
            <v>0.77</v>
          </cell>
          <cell r="U260">
            <v>0.47000000000000003</v>
          </cell>
          <cell r="V260">
            <v>0.37</v>
          </cell>
          <cell r="X260" t="str">
            <v>Re-size</v>
          </cell>
          <cell r="Y260" t="str">
            <v>Re-size</v>
          </cell>
          <cell r="Z260" t="str">
            <v>Re-size</v>
          </cell>
          <cell r="AA260" t="str">
            <v>Re-size</v>
          </cell>
          <cell r="AB260" t="str">
            <v>Re-size</v>
          </cell>
          <cell r="AC260" t="str">
            <v>Re-size</v>
          </cell>
          <cell r="AD260" t="str">
            <v>Re-size</v>
          </cell>
          <cell r="AE260" t="str">
            <v>Re-size</v>
          </cell>
        </row>
        <row r="261">
          <cell r="B261">
            <v>2.52</v>
          </cell>
          <cell r="C261" t="str">
            <v>Re-size</v>
          </cell>
          <cell r="D261" t="str">
            <v>Re-size</v>
          </cell>
          <cell r="E261" t="str">
            <v>Re-size</v>
          </cell>
          <cell r="F261" t="str">
            <v>Re-size</v>
          </cell>
          <cell r="G261" t="str">
            <v>Re-size</v>
          </cell>
          <cell r="H261" t="str">
            <v>Re-size</v>
          </cell>
          <cell r="I261">
            <v>24.14</v>
          </cell>
          <cell r="J261">
            <v>18.54</v>
          </cell>
          <cell r="K261">
            <v>13.44</v>
          </cell>
          <cell r="L261">
            <v>8.08</v>
          </cell>
          <cell r="M261">
            <v>6.12</v>
          </cell>
          <cell r="N261">
            <v>4.41</v>
          </cell>
          <cell r="O261">
            <v>2.61</v>
          </cell>
          <cell r="P261">
            <v>1.97</v>
          </cell>
          <cell r="Q261">
            <v>1.87</v>
          </cell>
          <cell r="R261">
            <v>1.1100000000000001</v>
          </cell>
          <cell r="S261">
            <v>0.87</v>
          </cell>
          <cell r="T261">
            <v>0.78</v>
          </cell>
          <cell r="U261">
            <v>0.47000000000000003</v>
          </cell>
          <cell r="V261">
            <v>0.37</v>
          </cell>
          <cell r="X261" t="str">
            <v>Re-size</v>
          </cell>
          <cell r="Y261" t="str">
            <v>Re-size</v>
          </cell>
          <cell r="Z261" t="str">
            <v>Re-size</v>
          </cell>
          <cell r="AA261" t="str">
            <v>Re-size</v>
          </cell>
          <cell r="AB261" t="str">
            <v>Re-size</v>
          </cell>
          <cell r="AC261" t="str">
            <v>Re-size</v>
          </cell>
          <cell r="AD261" t="str">
            <v>Re-size</v>
          </cell>
          <cell r="AE261" t="str">
            <v>Re-size</v>
          </cell>
        </row>
        <row r="262">
          <cell r="B262">
            <v>2.5299999999999998</v>
          </cell>
          <cell r="C262" t="str">
            <v>Re-size</v>
          </cell>
          <cell r="D262" t="str">
            <v>Re-size</v>
          </cell>
          <cell r="E262" t="str">
            <v>Re-size</v>
          </cell>
          <cell r="F262" t="str">
            <v>Re-size</v>
          </cell>
          <cell r="G262" t="str">
            <v>Re-size</v>
          </cell>
          <cell r="H262" t="str">
            <v>Re-size</v>
          </cell>
          <cell r="I262">
            <v>24.31</v>
          </cell>
          <cell r="J262">
            <v>18.64</v>
          </cell>
          <cell r="K262">
            <v>13.55</v>
          </cell>
          <cell r="L262">
            <v>8.15</v>
          </cell>
          <cell r="M262">
            <v>6.15</v>
          </cell>
          <cell r="N262">
            <v>4.4400000000000004</v>
          </cell>
          <cell r="O262">
            <v>2.63</v>
          </cell>
          <cell r="P262">
            <v>1.99</v>
          </cell>
          <cell r="Q262">
            <v>1.8800000000000001</v>
          </cell>
          <cell r="R262">
            <v>1.1200000000000001</v>
          </cell>
          <cell r="S262">
            <v>0.87</v>
          </cell>
          <cell r="T262">
            <v>0.78</v>
          </cell>
          <cell r="U262">
            <v>0.47000000000000003</v>
          </cell>
          <cell r="V262">
            <v>0.37</v>
          </cell>
          <cell r="X262" t="str">
            <v>Re-size</v>
          </cell>
          <cell r="Y262" t="str">
            <v>Re-size</v>
          </cell>
          <cell r="Z262" t="str">
            <v>Re-size</v>
          </cell>
          <cell r="AA262" t="str">
            <v>Re-size</v>
          </cell>
          <cell r="AB262" t="str">
            <v>Re-size</v>
          </cell>
          <cell r="AC262" t="str">
            <v>Re-size</v>
          </cell>
          <cell r="AD262" t="str">
            <v>Re-size</v>
          </cell>
          <cell r="AE262" t="str">
            <v>Re-size</v>
          </cell>
        </row>
        <row r="263">
          <cell r="B263">
            <v>2.54</v>
          </cell>
          <cell r="C263" t="str">
            <v>Re-size</v>
          </cell>
          <cell r="D263" t="str">
            <v>Re-size</v>
          </cell>
          <cell r="E263" t="str">
            <v>Re-size</v>
          </cell>
          <cell r="F263" t="str">
            <v>Re-size</v>
          </cell>
          <cell r="G263" t="str">
            <v>Re-size</v>
          </cell>
          <cell r="H263" t="str">
            <v>Re-size</v>
          </cell>
          <cell r="I263">
            <v>24.48</v>
          </cell>
          <cell r="J263">
            <v>18.739999999999998</v>
          </cell>
          <cell r="K263">
            <v>13.66</v>
          </cell>
          <cell r="L263">
            <v>8.2100000000000009</v>
          </cell>
          <cell r="M263">
            <v>6.18</v>
          </cell>
          <cell r="N263">
            <v>4.47</v>
          </cell>
          <cell r="O263">
            <v>2.65</v>
          </cell>
          <cell r="P263">
            <v>2</v>
          </cell>
          <cell r="Q263">
            <v>1.89</v>
          </cell>
          <cell r="R263">
            <v>1.1300000000000001</v>
          </cell>
          <cell r="S263">
            <v>0.88</v>
          </cell>
          <cell r="T263">
            <v>0.79</v>
          </cell>
          <cell r="U263">
            <v>0.48</v>
          </cell>
          <cell r="V263">
            <v>0.37</v>
          </cell>
          <cell r="X263" t="str">
            <v>Re-size</v>
          </cell>
          <cell r="Y263" t="str">
            <v>Re-size</v>
          </cell>
          <cell r="Z263" t="str">
            <v>Re-size</v>
          </cell>
          <cell r="AA263" t="str">
            <v>Re-size</v>
          </cell>
          <cell r="AB263" t="str">
            <v>Re-size</v>
          </cell>
          <cell r="AC263" t="str">
            <v>Re-size</v>
          </cell>
          <cell r="AD263" t="str">
            <v>Re-size</v>
          </cell>
          <cell r="AE263" t="str">
            <v>Re-size</v>
          </cell>
        </row>
        <row r="264">
          <cell r="B264">
            <v>2.5499999999999998</v>
          </cell>
          <cell r="C264" t="str">
            <v>Re-size</v>
          </cell>
          <cell r="D264" t="str">
            <v>Re-size</v>
          </cell>
          <cell r="E264" t="str">
            <v>Re-size</v>
          </cell>
          <cell r="F264" t="str">
            <v>Re-size</v>
          </cell>
          <cell r="G264" t="str">
            <v>Re-size</v>
          </cell>
          <cell r="H264" t="str">
            <v>Re-size</v>
          </cell>
          <cell r="I264">
            <v>24.650000000000002</v>
          </cell>
          <cell r="J264">
            <v>18.89</v>
          </cell>
          <cell r="K264">
            <v>13.73</v>
          </cell>
          <cell r="L264">
            <v>8.25</v>
          </cell>
          <cell r="M264">
            <v>6.23</v>
          </cell>
          <cell r="N264">
            <v>4.5</v>
          </cell>
          <cell r="O264">
            <v>2.66</v>
          </cell>
          <cell r="P264">
            <v>2.0099999999999998</v>
          </cell>
          <cell r="Q264">
            <v>1.9</v>
          </cell>
          <cell r="R264">
            <v>1.1299999999999999</v>
          </cell>
          <cell r="S264">
            <v>0.88</v>
          </cell>
          <cell r="T264">
            <v>0.79</v>
          </cell>
          <cell r="U264">
            <v>0.47499999999999998</v>
          </cell>
          <cell r="V264">
            <v>0.37</v>
          </cell>
          <cell r="X264" t="str">
            <v>Re-size</v>
          </cell>
          <cell r="Y264" t="str">
            <v>Re-size</v>
          </cell>
          <cell r="Z264" t="str">
            <v>Re-size</v>
          </cell>
          <cell r="AA264" t="str">
            <v>Re-size</v>
          </cell>
          <cell r="AB264" t="str">
            <v>Re-size</v>
          </cell>
          <cell r="AC264" t="str">
            <v>Re-size</v>
          </cell>
          <cell r="AD264" t="str">
            <v>Re-size</v>
          </cell>
          <cell r="AE264" t="str">
            <v>Re-size</v>
          </cell>
        </row>
        <row r="265">
          <cell r="B265">
            <v>2.56</v>
          </cell>
          <cell r="C265" t="str">
            <v>Re-size</v>
          </cell>
          <cell r="D265" t="str">
            <v>Re-size</v>
          </cell>
          <cell r="E265" t="str">
            <v>Re-size</v>
          </cell>
          <cell r="F265" t="str">
            <v>Re-size</v>
          </cell>
          <cell r="G265" t="str">
            <v>Re-size</v>
          </cell>
          <cell r="H265" t="str">
            <v>Re-size</v>
          </cell>
          <cell r="I265">
            <v>24.81</v>
          </cell>
          <cell r="J265">
            <v>19.03</v>
          </cell>
          <cell r="K265">
            <v>13.8</v>
          </cell>
          <cell r="L265">
            <v>8.2899999999999991</v>
          </cell>
          <cell r="M265">
            <v>6.28</v>
          </cell>
          <cell r="N265">
            <v>4.54</v>
          </cell>
          <cell r="O265">
            <v>2.6799999999999997</v>
          </cell>
          <cell r="P265">
            <v>2.0299999999999998</v>
          </cell>
          <cell r="Q265">
            <v>1.92</v>
          </cell>
          <cell r="R265">
            <v>1.1399999999999999</v>
          </cell>
          <cell r="S265">
            <v>0.89</v>
          </cell>
          <cell r="T265">
            <v>0.8</v>
          </cell>
          <cell r="U265">
            <v>0.48</v>
          </cell>
          <cell r="V265">
            <v>0.38</v>
          </cell>
          <cell r="X265" t="str">
            <v>Re-size</v>
          </cell>
          <cell r="Y265" t="str">
            <v>Re-size</v>
          </cell>
          <cell r="Z265" t="str">
            <v>Re-size</v>
          </cell>
          <cell r="AA265" t="str">
            <v>Re-size</v>
          </cell>
          <cell r="AB265" t="str">
            <v>Re-size</v>
          </cell>
          <cell r="AC265" t="str">
            <v>Re-size</v>
          </cell>
          <cell r="AD265" t="str">
            <v>Re-size</v>
          </cell>
          <cell r="AE265" t="str">
            <v>Re-size</v>
          </cell>
        </row>
        <row r="266">
          <cell r="B266">
            <v>2.57</v>
          </cell>
          <cell r="C266" t="str">
            <v>Re-size</v>
          </cell>
          <cell r="D266" t="str">
            <v>Re-size</v>
          </cell>
          <cell r="E266" t="str">
            <v>Re-size</v>
          </cell>
          <cell r="F266" t="str">
            <v>Re-size</v>
          </cell>
          <cell r="G266" t="str">
            <v>Re-size</v>
          </cell>
          <cell r="H266" t="str">
            <v>Re-size</v>
          </cell>
          <cell r="I266">
            <v>24.98</v>
          </cell>
          <cell r="J266">
            <v>19.18</v>
          </cell>
          <cell r="K266">
            <v>13.91</v>
          </cell>
          <cell r="L266">
            <v>8.36</v>
          </cell>
          <cell r="M266">
            <v>6.33</v>
          </cell>
          <cell r="N266">
            <v>4.5699999999999994</v>
          </cell>
          <cell r="O266">
            <v>2.6999999999999997</v>
          </cell>
          <cell r="P266">
            <v>2.0399999999999996</v>
          </cell>
          <cell r="Q266">
            <v>1.93</v>
          </cell>
          <cell r="R266">
            <v>1.1499999999999999</v>
          </cell>
          <cell r="S266">
            <v>0.9</v>
          </cell>
          <cell r="T266">
            <v>0.81</v>
          </cell>
          <cell r="U266">
            <v>0.49</v>
          </cell>
          <cell r="V266">
            <v>0.38</v>
          </cell>
          <cell r="X266" t="str">
            <v>Re-size</v>
          </cell>
          <cell r="Y266" t="str">
            <v>Re-size</v>
          </cell>
          <cell r="Z266" t="str">
            <v>Re-size</v>
          </cell>
          <cell r="AA266" t="str">
            <v>Re-size</v>
          </cell>
          <cell r="AB266" t="str">
            <v>Re-size</v>
          </cell>
          <cell r="AC266" t="str">
            <v>Re-size</v>
          </cell>
          <cell r="AD266" t="str">
            <v>Re-size</v>
          </cell>
          <cell r="AE266" t="str">
            <v>Re-size</v>
          </cell>
        </row>
        <row r="267">
          <cell r="B267">
            <v>2.58</v>
          </cell>
          <cell r="C267" t="str">
            <v>Re-size</v>
          </cell>
          <cell r="D267" t="str">
            <v>Re-size</v>
          </cell>
          <cell r="E267" t="str">
            <v>Re-size</v>
          </cell>
          <cell r="F267" t="str">
            <v>Re-size</v>
          </cell>
          <cell r="G267" t="str">
            <v>Re-size</v>
          </cell>
          <cell r="H267" t="str">
            <v>Re-size</v>
          </cell>
          <cell r="I267">
            <v>25.15</v>
          </cell>
          <cell r="J267">
            <v>19.329999999999998</v>
          </cell>
          <cell r="K267">
            <v>14.02</v>
          </cell>
          <cell r="L267">
            <v>8.42</v>
          </cell>
          <cell r="M267">
            <v>6.38</v>
          </cell>
          <cell r="N267">
            <v>4.5999999999999996</v>
          </cell>
          <cell r="O267">
            <v>2.7199999999999998</v>
          </cell>
          <cell r="P267">
            <v>2.0599999999999996</v>
          </cell>
          <cell r="Q267">
            <v>1.95</v>
          </cell>
          <cell r="R267">
            <v>1.1599999999999999</v>
          </cell>
          <cell r="S267">
            <v>0.9</v>
          </cell>
          <cell r="T267">
            <v>0.81</v>
          </cell>
          <cell r="U267">
            <v>0.49</v>
          </cell>
          <cell r="V267">
            <v>0.38</v>
          </cell>
          <cell r="X267" t="str">
            <v>Re-size</v>
          </cell>
          <cell r="Y267" t="str">
            <v>Re-size</v>
          </cell>
          <cell r="Z267" t="str">
            <v>Re-size</v>
          </cell>
          <cell r="AA267" t="str">
            <v>Re-size</v>
          </cell>
          <cell r="AB267" t="str">
            <v>Re-size</v>
          </cell>
          <cell r="AC267" t="str">
            <v>Re-size</v>
          </cell>
          <cell r="AD267" t="str">
            <v>Re-size</v>
          </cell>
          <cell r="AE267" t="str">
            <v>Re-size</v>
          </cell>
        </row>
        <row r="268">
          <cell r="B268">
            <v>2.59</v>
          </cell>
          <cell r="C268" t="str">
            <v>Re-size</v>
          </cell>
          <cell r="D268" t="str">
            <v>Re-size</v>
          </cell>
          <cell r="E268" t="str">
            <v>Re-size</v>
          </cell>
          <cell r="F268" t="str">
            <v>Re-size</v>
          </cell>
          <cell r="G268" t="str">
            <v>Re-size</v>
          </cell>
          <cell r="H268" t="str">
            <v>Re-size</v>
          </cell>
          <cell r="I268">
            <v>25.32</v>
          </cell>
          <cell r="J268">
            <v>19.440000000000001</v>
          </cell>
          <cell r="K268">
            <v>14.13</v>
          </cell>
          <cell r="L268">
            <v>8.49</v>
          </cell>
          <cell r="M268">
            <v>6.42</v>
          </cell>
          <cell r="N268">
            <v>4.63</v>
          </cell>
          <cell r="O268">
            <v>2.7399999999999998</v>
          </cell>
          <cell r="P268">
            <v>2.0699999999999998</v>
          </cell>
          <cell r="Q268">
            <v>1.96</v>
          </cell>
          <cell r="R268">
            <v>1.17</v>
          </cell>
          <cell r="S268">
            <v>0.91</v>
          </cell>
          <cell r="T268">
            <v>0.82000000000000006</v>
          </cell>
          <cell r="U268">
            <v>0.49</v>
          </cell>
          <cell r="V268">
            <v>0.38</v>
          </cell>
          <cell r="X268" t="str">
            <v>Re-size</v>
          </cell>
          <cell r="Y268" t="str">
            <v>Re-size</v>
          </cell>
          <cell r="Z268" t="str">
            <v>Re-size</v>
          </cell>
          <cell r="AA268" t="str">
            <v>Re-size</v>
          </cell>
          <cell r="AB268" t="str">
            <v>Re-size</v>
          </cell>
          <cell r="AC268" t="str">
            <v>Re-size</v>
          </cell>
          <cell r="AD268" t="str">
            <v>Re-size</v>
          </cell>
          <cell r="AE268" t="str">
            <v>Re-size</v>
          </cell>
        </row>
        <row r="269">
          <cell r="B269">
            <v>2.6</v>
          </cell>
          <cell r="C269" t="str">
            <v>Re-size</v>
          </cell>
          <cell r="D269" t="str">
            <v>Re-size</v>
          </cell>
          <cell r="E269" t="str">
            <v>Re-size</v>
          </cell>
          <cell r="F269" t="str">
            <v>Re-size</v>
          </cell>
          <cell r="G269" t="str">
            <v>Re-size</v>
          </cell>
          <cell r="H269" t="str">
            <v>Re-size</v>
          </cell>
          <cell r="I269">
            <v>25.48</v>
          </cell>
          <cell r="J269">
            <v>19.54</v>
          </cell>
          <cell r="K269">
            <v>14.24</v>
          </cell>
          <cell r="L269">
            <v>8.56</v>
          </cell>
          <cell r="M269">
            <v>6.45</v>
          </cell>
          <cell r="N269">
            <v>4.66</v>
          </cell>
          <cell r="O269">
            <v>2.75</v>
          </cell>
          <cell r="P269">
            <v>2.08</v>
          </cell>
          <cell r="Q269">
            <v>1.97</v>
          </cell>
          <cell r="R269">
            <v>1.18</v>
          </cell>
          <cell r="S269">
            <v>0.91</v>
          </cell>
          <cell r="T269">
            <v>0.82</v>
          </cell>
          <cell r="U269">
            <v>0.49</v>
          </cell>
          <cell r="V269">
            <v>0.38</v>
          </cell>
          <cell r="X269" t="str">
            <v>Re-size</v>
          </cell>
          <cell r="Y269" t="str">
            <v>Re-size</v>
          </cell>
          <cell r="Z269" t="str">
            <v>Re-size</v>
          </cell>
          <cell r="AA269" t="str">
            <v>Re-size</v>
          </cell>
          <cell r="AB269" t="str">
            <v>Re-size</v>
          </cell>
          <cell r="AC269" t="str">
            <v>Re-size</v>
          </cell>
          <cell r="AD269" t="str">
            <v>Re-size</v>
          </cell>
          <cell r="AE269" t="str">
            <v>Re-size</v>
          </cell>
        </row>
        <row r="270">
          <cell r="B270">
            <v>2.61</v>
          </cell>
          <cell r="C270" t="str">
            <v>Re-size</v>
          </cell>
          <cell r="D270" t="str">
            <v>Re-size</v>
          </cell>
          <cell r="E270" t="str">
            <v>Re-size</v>
          </cell>
          <cell r="F270" t="str">
            <v>Re-size</v>
          </cell>
          <cell r="G270" t="str">
            <v>Re-size</v>
          </cell>
          <cell r="H270" t="str">
            <v>Re-size</v>
          </cell>
          <cell r="I270" t="str">
            <v>Re-size</v>
          </cell>
          <cell r="J270">
            <v>19.690000000000001</v>
          </cell>
          <cell r="K270">
            <v>14.35</v>
          </cell>
          <cell r="L270">
            <v>8.61</v>
          </cell>
          <cell r="M270">
            <v>6.5</v>
          </cell>
          <cell r="N270">
            <v>4.7</v>
          </cell>
          <cell r="O270">
            <v>2.77</v>
          </cell>
          <cell r="P270">
            <v>2.0999999999999996</v>
          </cell>
          <cell r="Q270">
            <v>1.99</v>
          </cell>
          <cell r="R270">
            <v>1.19</v>
          </cell>
          <cell r="S270">
            <v>0.92</v>
          </cell>
          <cell r="T270">
            <v>0.83</v>
          </cell>
          <cell r="U270">
            <v>0.5</v>
          </cell>
          <cell r="V270">
            <v>0.39</v>
          </cell>
          <cell r="X270" t="str">
            <v>Re-size</v>
          </cell>
          <cell r="Y270" t="str">
            <v>Re-size</v>
          </cell>
          <cell r="Z270" t="str">
            <v>Re-size</v>
          </cell>
          <cell r="AA270" t="str">
            <v>Re-size</v>
          </cell>
          <cell r="AB270" t="str">
            <v>Re-size</v>
          </cell>
          <cell r="AC270" t="str">
            <v>Re-size</v>
          </cell>
          <cell r="AD270" t="str">
            <v>Re-size</v>
          </cell>
          <cell r="AE270" t="str">
            <v>Re-size</v>
          </cell>
        </row>
        <row r="271">
          <cell r="B271">
            <v>2.62</v>
          </cell>
          <cell r="C271" t="str">
            <v>Re-size</v>
          </cell>
          <cell r="D271" t="str">
            <v>Re-size</v>
          </cell>
          <cell r="E271" t="str">
            <v>Re-size</v>
          </cell>
          <cell r="F271" t="str">
            <v>Re-size</v>
          </cell>
          <cell r="G271" t="str">
            <v>Re-size</v>
          </cell>
          <cell r="H271" t="str">
            <v>Re-size</v>
          </cell>
          <cell r="I271" t="str">
            <v>Re-size</v>
          </cell>
          <cell r="J271">
            <v>19.84</v>
          </cell>
          <cell r="K271">
            <v>14.46</v>
          </cell>
          <cell r="L271">
            <v>8.65</v>
          </cell>
          <cell r="M271">
            <v>6.55</v>
          </cell>
          <cell r="N271">
            <v>4.74</v>
          </cell>
          <cell r="O271">
            <v>2.79</v>
          </cell>
          <cell r="P271">
            <v>2.11</v>
          </cell>
          <cell r="Q271">
            <v>2.0099999999999998</v>
          </cell>
          <cell r="R271">
            <v>1.2</v>
          </cell>
          <cell r="S271">
            <v>0.93</v>
          </cell>
          <cell r="T271">
            <v>0.84</v>
          </cell>
          <cell r="U271">
            <v>0.5</v>
          </cell>
          <cell r="V271">
            <v>0.39</v>
          </cell>
          <cell r="X271" t="str">
            <v>Re-size</v>
          </cell>
          <cell r="Y271" t="str">
            <v>Re-size</v>
          </cell>
          <cell r="Z271" t="str">
            <v>Re-size</v>
          </cell>
          <cell r="AA271" t="str">
            <v>Re-size</v>
          </cell>
          <cell r="AB271" t="str">
            <v>Re-size</v>
          </cell>
          <cell r="AC271" t="str">
            <v>Re-size</v>
          </cell>
          <cell r="AD271" t="str">
            <v>Re-size</v>
          </cell>
          <cell r="AE271" t="str">
            <v>Re-size</v>
          </cell>
        </row>
        <row r="272">
          <cell r="B272">
            <v>2.63</v>
          </cell>
          <cell r="C272" t="str">
            <v>Re-size</v>
          </cell>
          <cell r="D272" t="str">
            <v>Re-size</v>
          </cell>
          <cell r="E272" t="str">
            <v>Re-size</v>
          </cell>
          <cell r="F272" t="str">
            <v>Re-size</v>
          </cell>
          <cell r="G272" t="str">
            <v>Re-size</v>
          </cell>
          <cell r="H272" t="str">
            <v>Re-size</v>
          </cell>
          <cell r="I272" t="str">
            <v>Re-size</v>
          </cell>
          <cell r="J272">
            <v>19.989999999999998</v>
          </cell>
          <cell r="K272">
            <v>14.54</v>
          </cell>
          <cell r="L272">
            <v>8.7200000000000006</v>
          </cell>
          <cell r="M272">
            <v>6.6</v>
          </cell>
          <cell r="N272">
            <v>4.7699999999999996</v>
          </cell>
          <cell r="O272">
            <v>2.81</v>
          </cell>
          <cell r="P272">
            <v>2.13</v>
          </cell>
          <cell r="Q272">
            <v>2.0199999999999996</v>
          </cell>
          <cell r="R272">
            <v>1.21</v>
          </cell>
          <cell r="S272">
            <v>0.93</v>
          </cell>
          <cell r="T272">
            <v>0.84</v>
          </cell>
          <cell r="U272">
            <v>0.5</v>
          </cell>
          <cell r="V272">
            <v>0.39</v>
          </cell>
          <cell r="X272" t="str">
            <v>Re-size</v>
          </cell>
          <cell r="Y272" t="str">
            <v>Re-size</v>
          </cell>
          <cell r="Z272" t="str">
            <v>Re-size</v>
          </cell>
          <cell r="AA272" t="str">
            <v>Re-size</v>
          </cell>
          <cell r="AB272" t="str">
            <v>Re-size</v>
          </cell>
          <cell r="AC272" t="str">
            <v>Re-size</v>
          </cell>
          <cell r="AD272" t="str">
            <v>Re-size</v>
          </cell>
          <cell r="AE272" t="str">
            <v>Re-size</v>
          </cell>
        </row>
        <row r="273">
          <cell r="B273">
            <v>2.64</v>
          </cell>
          <cell r="C273" t="str">
            <v>Re-size</v>
          </cell>
          <cell r="D273" t="str">
            <v>Re-size</v>
          </cell>
          <cell r="E273" t="str">
            <v>Re-size</v>
          </cell>
          <cell r="F273" t="str">
            <v>Re-size</v>
          </cell>
          <cell r="G273" t="str">
            <v>Re-size</v>
          </cell>
          <cell r="H273" t="str">
            <v>Re-size</v>
          </cell>
          <cell r="I273" t="str">
            <v>Re-size</v>
          </cell>
          <cell r="J273">
            <v>20.14</v>
          </cell>
          <cell r="K273">
            <v>14.61</v>
          </cell>
          <cell r="L273">
            <v>8.7799999999999994</v>
          </cell>
          <cell r="M273">
            <v>6.65</v>
          </cell>
          <cell r="N273">
            <v>4.8099999999999996</v>
          </cell>
          <cell r="O273">
            <v>2.83</v>
          </cell>
          <cell r="P273">
            <v>2.1399999999999997</v>
          </cell>
          <cell r="Q273">
            <v>2.0399999999999996</v>
          </cell>
          <cell r="R273">
            <v>1.22</v>
          </cell>
          <cell r="S273">
            <v>0.94000000000000006</v>
          </cell>
          <cell r="T273">
            <v>0.85</v>
          </cell>
          <cell r="U273">
            <v>0.51</v>
          </cell>
          <cell r="V273">
            <v>0.39</v>
          </cell>
          <cell r="X273" t="str">
            <v>Re-size</v>
          </cell>
          <cell r="Y273" t="str">
            <v>Re-size</v>
          </cell>
          <cell r="Z273" t="str">
            <v>Re-size</v>
          </cell>
          <cell r="AA273" t="str">
            <v>Re-size</v>
          </cell>
          <cell r="AB273" t="str">
            <v>Re-size</v>
          </cell>
          <cell r="AC273" t="str">
            <v>Re-size</v>
          </cell>
          <cell r="AD273" t="str">
            <v>Re-size</v>
          </cell>
          <cell r="AE273" t="str">
            <v>Re-size</v>
          </cell>
        </row>
        <row r="274">
          <cell r="B274">
            <v>2.65</v>
          </cell>
          <cell r="C274" t="str">
            <v>Re-size</v>
          </cell>
          <cell r="D274" t="str">
            <v>Re-size</v>
          </cell>
          <cell r="E274" t="str">
            <v>Re-size</v>
          </cell>
          <cell r="F274" t="str">
            <v>Re-size</v>
          </cell>
          <cell r="G274" t="str">
            <v>Re-size</v>
          </cell>
          <cell r="H274" t="str">
            <v>Re-size</v>
          </cell>
          <cell r="I274" t="str">
            <v>Re-size</v>
          </cell>
          <cell r="J274">
            <v>20.3</v>
          </cell>
          <cell r="K274">
            <v>14.72</v>
          </cell>
          <cell r="L274">
            <v>8.85</v>
          </cell>
          <cell r="M274">
            <v>6.6899999999999995</v>
          </cell>
          <cell r="N274">
            <v>4.84</v>
          </cell>
          <cell r="O274">
            <v>2.85</v>
          </cell>
          <cell r="P274">
            <v>2.15</v>
          </cell>
          <cell r="Q274">
            <v>2.0499999999999998</v>
          </cell>
          <cell r="R274">
            <v>1.22</v>
          </cell>
          <cell r="S274">
            <v>0.94</v>
          </cell>
          <cell r="T274">
            <v>0.85</v>
          </cell>
          <cell r="U274">
            <v>0.505</v>
          </cell>
          <cell r="V274">
            <v>0.39</v>
          </cell>
          <cell r="X274" t="str">
            <v>Re-size</v>
          </cell>
          <cell r="Y274" t="str">
            <v>Re-size</v>
          </cell>
          <cell r="Z274" t="str">
            <v>Re-size</v>
          </cell>
          <cell r="AA274" t="str">
            <v>Re-size</v>
          </cell>
          <cell r="AB274" t="str">
            <v>Re-size</v>
          </cell>
          <cell r="AC274" t="str">
            <v>Re-size</v>
          </cell>
          <cell r="AD274" t="str">
            <v>Re-size</v>
          </cell>
          <cell r="AE274" t="str">
            <v>Re-size</v>
          </cell>
        </row>
        <row r="275">
          <cell r="B275">
            <v>2.66</v>
          </cell>
          <cell r="C275" t="str">
            <v>Re-size</v>
          </cell>
          <cell r="D275" t="str">
            <v>Re-size</v>
          </cell>
          <cell r="E275" t="str">
            <v>Re-size</v>
          </cell>
          <cell r="F275" t="str">
            <v>Re-size</v>
          </cell>
          <cell r="G275" t="str">
            <v>Re-size</v>
          </cell>
          <cell r="H275" t="str">
            <v>Re-size</v>
          </cell>
          <cell r="I275" t="str">
            <v>Re-size</v>
          </cell>
          <cell r="J275">
            <v>20.45</v>
          </cell>
          <cell r="K275">
            <v>14.83</v>
          </cell>
          <cell r="L275">
            <v>8.91</v>
          </cell>
          <cell r="M275">
            <v>6.72</v>
          </cell>
          <cell r="N275">
            <v>4.88</v>
          </cell>
          <cell r="O275">
            <v>2.8699999999999997</v>
          </cell>
          <cell r="P275">
            <v>2.17</v>
          </cell>
          <cell r="Q275">
            <v>2.0699999999999998</v>
          </cell>
          <cell r="R275">
            <v>1.23</v>
          </cell>
          <cell r="S275">
            <v>0.95</v>
          </cell>
          <cell r="T275">
            <v>0.86</v>
          </cell>
          <cell r="U275">
            <v>0.51</v>
          </cell>
          <cell r="V275">
            <v>0.4</v>
          </cell>
          <cell r="X275" t="str">
            <v>Re-size</v>
          </cell>
          <cell r="Y275" t="str">
            <v>Re-size</v>
          </cell>
          <cell r="Z275" t="str">
            <v>Re-size</v>
          </cell>
          <cell r="AA275" t="str">
            <v>Re-size</v>
          </cell>
          <cell r="AB275" t="str">
            <v>Re-size</v>
          </cell>
          <cell r="AC275" t="str">
            <v>Re-size</v>
          </cell>
          <cell r="AD275" t="str">
            <v>Re-size</v>
          </cell>
          <cell r="AE275" t="str">
            <v>Re-size</v>
          </cell>
        </row>
        <row r="276">
          <cell r="B276">
            <v>2.67</v>
          </cell>
          <cell r="C276" t="str">
            <v>Re-size</v>
          </cell>
          <cell r="D276" t="str">
            <v>Re-size</v>
          </cell>
          <cell r="E276" t="str">
            <v>Re-size</v>
          </cell>
          <cell r="F276" t="str">
            <v>Re-size</v>
          </cell>
          <cell r="G276" t="str">
            <v>Re-size</v>
          </cell>
          <cell r="H276" t="str">
            <v>Re-size</v>
          </cell>
          <cell r="I276" t="str">
            <v>Re-size</v>
          </cell>
          <cell r="J276">
            <v>20.55</v>
          </cell>
          <cell r="K276">
            <v>14.94</v>
          </cell>
          <cell r="L276">
            <v>8.98</v>
          </cell>
          <cell r="M276">
            <v>6.77</v>
          </cell>
          <cell r="N276">
            <v>4.91</v>
          </cell>
          <cell r="O276">
            <v>2.8899999999999997</v>
          </cell>
          <cell r="P276">
            <v>2.1799999999999997</v>
          </cell>
          <cell r="Q276">
            <v>2.0799999999999996</v>
          </cell>
          <cell r="R276">
            <v>1.24</v>
          </cell>
          <cell r="S276">
            <v>0.96</v>
          </cell>
          <cell r="T276">
            <v>0.87</v>
          </cell>
          <cell r="U276">
            <v>0.52</v>
          </cell>
          <cell r="V276">
            <v>0.4</v>
          </cell>
          <cell r="X276" t="str">
            <v>Re-size</v>
          </cell>
          <cell r="Y276" t="str">
            <v>Re-size</v>
          </cell>
          <cell r="Z276" t="str">
            <v>Re-size</v>
          </cell>
          <cell r="AA276" t="str">
            <v>Re-size</v>
          </cell>
          <cell r="AB276" t="str">
            <v>Re-size</v>
          </cell>
          <cell r="AC276" t="str">
            <v>Re-size</v>
          </cell>
          <cell r="AD276" t="str">
            <v>Re-size</v>
          </cell>
          <cell r="AE276" t="str">
            <v>Re-size</v>
          </cell>
        </row>
        <row r="277">
          <cell r="B277">
            <v>2.68</v>
          </cell>
          <cell r="C277" t="str">
            <v>Re-size</v>
          </cell>
          <cell r="D277" t="str">
            <v>Re-size</v>
          </cell>
          <cell r="E277" t="str">
            <v>Re-size</v>
          </cell>
          <cell r="F277" t="str">
            <v>Re-size</v>
          </cell>
          <cell r="G277" t="str">
            <v>Re-size</v>
          </cell>
          <cell r="H277" t="str">
            <v>Re-size</v>
          </cell>
          <cell r="I277" t="str">
            <v>Re-size</v>
          </cell>
          <cell r="J277">
            <v>20.65</v>
          </cell>
          <cell r="K277">
            <v>15.05</v>
          </cell>
          <cell r="L277">
            <v>9.0500000000000007</v>
          </cell>
          <cell r="M277">
            <v>6.82</v>
          </cell>
          <cell r="N277">
            <v>4.9399999999999995</v>
          </cell>
          <cell r="O277">
            <v>2.9099999999999997</v>
          </cell>
          <cell r="P277">
            <v>2.1999999999999997</v>
          </cell>
          <cell r="Q277">
            <v>2.09</v>
          </cell>
          <cell r="R277">
            <v>1.25</v>
          </cell>
          <cell r="S277">
            <v>0.96</v>
          </cell>
          <cell r="T277">
            <v>0.87</v>
          </cell>
          <cell r="U277">
            <v>0.52</v>
          </cell>
          <cell r="V277">
            <v>0.4</v>
          </cell>
          <cell r="X277" t="str">
            <v>Re-size</v>
          </cell>
          <cell r="Y277" t="str">
            <v>Re-size</v>
          </cell>
          <cell r="Z277" t="str">
            <v>Re-size</v>
          </cell>
          <cell r="AA277" t="str">
            <v>Re-size</v>
          </cell>
          <cell r="AB277" t="str">
            <v>Re-size</v>
          </cell>
          <cell r="AC277" t="str">
            <v>Re-size</v>
          </cell>
          <cell r="AD277" t="str">
            <v>Re-size</v>
          </cell>
          <cell r="AE277" t="str">
            <v>Re-size</v>
          </cell>
        </row>
        <row r="278">
          <cell r="B278">
            <v>2.69</v>
          </cell>
          <cell r="C278" t="str">
            <v>Re-size</v>
          </cell>
          <cell r="D278" t="str">
            <v>Re-size</v>
          </cell>
          <cell r="E278" t="str">
            <v>Re-size</v>
          </cell>
          <cell r="F278" t="str">
            <v>Re-size</v>
          </cell>
          <cell r="G278" t="str">
            <v>Re-size</v>
          </cell>
          <cell r="H278" t="str">
            <v>Re-size</v>
          </cell>
          <cell r="I278" t="str">
            <v>Re-size</v>
          </cell>
          <cell r="J278">
            <v>20.810000000000002</v>
          </cell>
          <cell r="K278">
            <v>15.17</v>
          </cell>
          <cell r="L278">
            <v>9.1</v>
          </cell>
          <cell r="M278">
            <v>6.87</v>
          </cell>
          <cell r="N278">
            <v>4.97</v>
          </cell>
          <cell r="O278">
            <v>2.9299999999999997</v>
          </cell>
          <cell r="P278">
            <v>2.21</v>
          </cell>
          <cell r="Q278">
            <v>2.0999999999999996</v>
          </cell>
          <cell r="R278">
            <v>1.26</v>
          </cell>
          <cell r="S278">
            <v>0.97</v>
          </cell>
          <cell r="T278">
            <v>0.88</v>
          </cell>
          <cell r="U278">
            <v>0.52</v>
          </cell>
          <cell r="V278">
            <v>0.4</v>
          </cell>
          <cell r="X278" t="str">
            <v>Re-size</v>
          </cell>
          <cell r="Y278" t="str">
            <v>Re-size</v>
          </cell>
          <cell r="Z278" t="str">
            <v>Re-size</v>
          </cell>
          <cell r="AA278" t="str">
            <v>Re-size</v>
          </cell>
          <cell r="AB278" t="str">
            <v>Re-size</v>
          </cell>
          <cell r="AC278" t="str">
            <v>Re-size</v>
          </cell>
          <cell r="AD278" t="str">
            <v>Re-size</v>
          </cell>
          <cell r="AE278" t="str">
            <v>Re-size</v>
          </cell>
        </row>
        <row r="279">
          <cell r="B279">
            <v>2.7</v>
          </cell>
          <cell r="C279" t="str">
            <v>Re-size</v>
          </cell>
          <cell r="D279" t="str">
            <v>Re-size</v>
          </cell>
          <cell r="E279" t="str">
            <v>Re-size</v>
          </cell>
          <cell r="F279" t="str">
            <v>Re-size</v>
          </cell>
          <cell r="G279" t="str">
            <v>Re-size</v>
          </cell>
          <cell r="H279" t="str">
            <v>Re-size</v>
          </cell>
          <cell r="I279" t="str">
            <v>Re-size</v>
          </cell>
          <cell r="J279">
            <v>20.96</v>
          </cell>
          <cell r="K279">
            <v>15.28</v>
          </cell>
          <cell r="L279">
            <v>9.14</v>
          </cell>
          <cell r="M279">
            <v>6.92</v>
          </cell>
          <cell r="N279">
            <v>5</v>
          </cell>
          <cell r="O279">
            <v>2.94</v>
          </cell>
          <cell r="P279">
            <v>2.2200000000000002</v>
          </cell>
          <cell r="Q279">
            <v>2.11</v>
          </cell>
          <cell r="R279">
            <v>1.26</v>
          </cell>
          <cell r="S279">
            <v>0.97</v>
          </cell>
          <cell r="T279">
            <v>0.88</v>
          </cell>
          <cell r="U279">
            <v>0.52</v>
          </cell>
          <cell r="V279">
            <v>0.4</v>
          </cell>
          <cell r="X279" t="str">
            <v>Re-size</v>
          </cell>
          <cell r="Y279" t="str">
            <v>Re-size</v>
          </cell>
          <cell r="Z279" t="str">
            <v>Re-size</v>
          </cell>
          <cell r="AA279" t="str">
            <v>Re-size</v>
          </cell>
          <cell r="AB279" t="str">
            <v>Re-size</v>
          </cell>
          <cell r="AC279" t="str">
            <v>Re-size</v>
          </cell>
          <cell r="AD279" t="str">
            <v>Re-size</v>
          </cell>
          <cell r="AE279" t="str">
            <v>Re-size</v>
          </cell>
        </row>
        <row r="280">
          <cell r="B280">
            <v>2.71</v>
          </cell>
          <cell r="C280" t="str">
            <v>Re-size</v>
          </cell>
          <cell r="D280" t="str">
            <v>Re-size</v>
          </cell>
          <cell r="E280" t="str">
            <v>Re-size</v>
          </cell>
          <cell r="F280" t="str">
            <v>Re-size</v>
          </cell>
          <cell r="G280" t="str">
            <v>Re-size</v>
          </cell>
          <cell r="H280" t="str">
            <v>Re-size</v>
          </cell>
          <cell r="I280" t="str">
            <v>Re-size</v>
          </cell>
          <cell r="J280">
            <v>21.12</v>
          </cell>
          <cell r="K280">
            <v>15.36</v>
          </cell>
          <cell r="L280">
            <v>9.2099999999999991</v>
          </cell>
          <cell r="M280">
            <v>6.97</v>
          </cell>
          <cell r="N280">
            <v>5.04</v>
          </cell>
          <cell r="O280">
            <v>2.9699999999999998</v>
          </cell>
          <cell r="P280">
            <v>2.2399999999999998</v>
          </cell>
          <cell r="Q280">
            <v>2.13</v>
          </cell>
          <cell r="R280">
            <v>1.27</v>
          </cell>
          <cell r="S280">
            <v>0.98</v>
          </cell>
          <cell r="T280">
            <v>0.89</v>
          </cell>
          <cell r="U280">
            <v>0.53</v>
          </cell>
          <cell r="V280">
            <v>0.41000000000000003</v>
          </cell>
          <cell r="X280" t="str">
            <v>Re-size</v>
          </cell>
          <cell r="Y280" t="str">
            <v>Re-size</v>
          </cell>
          <cell r="Z280" t="str">
            <v>Re-size</v>
          </cell>
          <cell r="AA280" t="str">
            <v>Re-size</v>
          </cell>
          <cell r="AB280" t="str">
            <v>Re-size</v>
          </cell>
          <cell r="AC280" t="str">
            <v>Re-size</v>
          </cell>
          <cell r="AD280" t="str">
            <v>Re-size</v>
          </cell>
          <cell r="AE280" t="str">
            <v>Re-size</v>
          </cell>
        </row>
        <row r="281">
          <cell r="B281">
            <v>2.72</v>
          </cell>
          <cell r="C281" t="str">
            <v>Re-size</v>
          </cell>
          <cell r="D281" t="str">
            <v>Re-size</v>
          </cell>
          <cell r="E281" t="str">
            <v>Re-size</v>
          </cell>
          <cell r="F281" t="str">
            <v>Re-size</v>
          </cell>
          <cell r="G281" t="str">
            <v>Re-size</v>
          </cell>
          <cell r="H281" t="str">
            <v>Re-size</v>
          </cell>
          <cell r="I281" t="str">
            <v>Re-size</v>
          </cell>
          <cell r="J281">
            <v>21.27</v>
          </cell>
          <cell r="K281">
            <v>15.43</v>
          </cell>
          <cell r="L281">
            <v>9.27</v>
          </cell>
          <cell r="M281">
            <v>7.02</v>
          </cell>
          <cell r="N281">
            <v>5.0699999999999994</v>
          </cell>
          <cell r="O281">
            <v>2.9899999999999998</v>
          </cell>
          <cell r="P281">
            <v>2.2599999999999998</v>
          </cell>
          <cell r="Q281">
            <v>2.1399999999999997</v>
          </cell>
          <cell r="R281">
            <v>1.28</v>
          </cell>
          <cell r="S281">
            <v>0.99</v>
          </cell>
          <cell r="T281">
            <v>0.9</v>
          </cell>
          <cell r="U281">
            <v>0.53</v>
          </cell>
          <cell r="V281">
            <v>0.41000000000000003</v>
          </cell>
          <cell r="X281" t="str">
            <v>Re-size</v>
          </cell>
          <cell r="Y281" t="str">
            <v>Re-size</v>
          </cell>
          <cell r="Z281" t="str">
            <v>Re-size</v>
          </cell>
          <cell r="AA281" t="str">
            <v>Re-size</v>
          </cell>
          <cell r="AB281" t="str">
            <v>Re-size</v>
          </cell>
          <cell r="AC281" t="str">
            <v>Re-size</v>
          </cell>
          <cell r="AD281" t="str">
            <v>Re-size</v>
          </cell>
          <cell r="AE281" t="str">
            <v>Re-size</v>
          </cell>
        </row>
        <row r="282">
          <cell r="B282">
            <v>2.73</v>
          </cell>
          <cell r="C282" t="str">
            <v>Re-size</v>
          </cell>
          <cell r="D282" t="str">
            <v>Re-size</v>
          </cell>
          <cell r="E282" t="str">
            <v>Re-size</v>
          </cell>
          <cell r="F282" t="str">
            <v>Re-size</v>
          </cell>
          <cell r="G282" t="str">
            <v>Re-size</v>
          </cell>
          <cell r="H282" t="str">
            <v>Re-size</v>
          </cell>
          <cell r="I282" t="str">
            <v>Re-size</v>
          </cell>
          <cell r="J282">
            <v>21.43</v>
          </cell>
          <cell r="K282">
            <v>15.549999999999999</v>
          </cell>
          <cell r="L282">
            <v>9.34</v>
          </cell>
          <cell r="M282">
            <v>7.06</v>
          </cell>
          <cell r="N282">
            <v>5.0999999999999996</v>
          </cell>
          <cell r="O282">
            <v>3.01</v>
          </cell>
          <cell r="P282">
            <v>2.2699999999999996</v>
          </cell>
          <cell r="Q282">
            <v>2.1599999999999997</v>
          </cell>
          <cell r="R282">
            <v>1.29</v>
          </cell>
          <cell r="S282">
            <v>0.99</v>
          </cell>
          <cell r="T282">
            <v>0.9</v>
          </cell>
          <cell r="U282">
            <v>0.54</v>
          </cell>
          <cell r="V282">
            <v>0.41000000000000003</v>
          </cell>
          <cell r="X282" t="str">
            <v>Re-size</v>
          </cell>
          <cell r="Y282" t="str">
            <v>Re-size</v>
          </cell>
          <cell r="Z282" t="str">
            <v>Re-size</v>
          </cell>
          <cell r="AA282" t="str">
            <v>Re-size</v>
          </cell>
          <cell r="AB282" t="str">
            <v>Re-size</v>
          </cell>
          <cell r="AC282" t="str">
            <v>Re-size</v>
          </cell>
          <cell r="AD282" t="str">
            <v>Re-size</v>
          </cell>
          <cell r="AE282" t="str">
            <v>Re-size</v>
          </cell>
        </row>
        <row r="283">
          <cell r="B283">
            <v>2.74</v>
          </cell>
          <cell r="C283" t="str">
            <v>Re-size</v>
          </cell>
          <cell r="D283" t="str">
            <v>Re-size</v>
          </cell>
          <cell r="E283" t="str">
            <v>Re-size</v>
          </cell>
          <cell r="F283" t="str">
            <v>Re-size</v>
          </cell>
          <cell r="G283" t="str">
            <v>Re-size</v>
          </cell>
          <cell r="H283" t="str">
            <v>Re-size</v>
          </cell>
          <cell r="I283" t="str">
            <v>Re-size</v>
          </cell>
          <cell r="J283">
            <v>21.59</v>
          </cell>
          <cell r="K283">
            <v>15.66</v>
          </cell>
          <cell r="L283">
            <v>9.41</v>
          </cell>
          <cell r="M283">
            <v>7.09</v>
          </cell>
          <cell r="N283">
            <v>5.13</v>
          </cell>
          <cell r="O283">
            <v>3.03</v>
          </cell>
          <cell r="P283">
            <v>2.2899999999999996</v>
          </cell>
          <cell r="Q283">
            <v>2.17</v>
          </cell>
          <cell r="R283">
            <v>1.3</v>
          </cell>
          <cell r="S283">
            <v>1</v>
          </cell>
          <cell r="T283">
            <v>0.91</v>
          </cell>
          <cell r="U283">
            <v>0.54</v>
          </cell>
          <cell r="V283">
            <v>0.42</v>
          </cell>
          <cell r="X283" t="str">
            <v>Re-size</v>
          </cell>
          <cell r="Y283" t="str">
            <v>Re-size</v>
          </cell>
          <cell r="Z283" t="str">
            <v>Re-size</v>
          </cell>
          <cell r="AA283" t="str">
            <v>Re-size</v>
          </cell>
          <cell r="AB283" t="str">
            <v>Re-size</v>
          </cell>
          <cell r="AC283" t="str">
            <v>Re-size</v>
          </cell>
          <cell r="AD283" t="str">
            <v>Re-size</v>
          </cell>
          <cell r="AE283" t="str">
            <v>Re-size</v>
          </cell>
        </row>
        <row r="284">
          <cell r="B284">
            <v>2.75</v>
          </cell>
          <cell r="C284" t="str">
            <v>Re-size</v>
          </cell>
          <cell r="D284" t="str">
            <v>Re-size</v>
          </cell>
          <cell r="E284" t="str">
            <v>Re-size</v>
          </cell>
          <cell r="F284" t="str">
            <v>Re-size</v>
          </cell>
          <cell r="G284" t="str">
            <v>Re-size</v>
          </cell>
          <cell r="H284" t="str">
            <v>Re-size</v>
          </cell>
          <cell r="I284" t="str">
            <v>Re-size</v>
          </cell>
          <cell r="J284">
            <v>21.69</v>
          </cell>
          <cell r="K284">
            <v>15.78</v>
          </cell>
          <cell r="L284">
            <v>9.4599999999999991</v>
          </cell>
          <cell r="M284">
            <v>7.1499999999999995</v>
          </cell>
          <cell r="N284">
            <v>5.16</v>
          </cell>
          <cell r="O284">
            <v>3.05</v>
          </cell>
          <cell r="P284">
            <v>2.2999999999999998</v>
          </cell>
          <cell r="Q284">
            <v>2.1800000000000002</v>
          </cell>
          <cell r="R284">
            <v>1.3</v>
          </cell>
          <cell r="S284">
            <v>1</v>
          </cell>
          <cell r="T284">
            <v>0.91</v>
          </cell>
          <cell r="U284">
            <v>0.54</v>
          </cell>
          <cell r="V284">
            <v>0.41499999999999998</v>
          </cell>
          <cell r="X284" t="str">
            <v>Re-size</v>
          </cell>
          <cell r="Y284" t="str">
            <v>Re-size</v>
          </cell>
          <cell r="Z284" t="str">
            <v>Re-size</v>
          </cell>
          <cell r="AA284" t="str">
            <v>Re-size</v>
          </cell>
          <cell r="AB284" t="str">
            <v>Re-size</v>
          </cell>
          <cell r="AC284" t="str">
            <v>Re-size</v>
          </cell>
          <cell r="AD284" t="str">
            <v>Re-size</v>
          </cell>
          <cell r="AE284" t="str">
            <v>Re-size</v>
          </cell>
        </row>
        <row r="285">
          <cell r="B285">
            <v>2.76</v>
          </cell>
          <cell r="C285" t="str">
            <v>Re-size</v>
          </cell>
          <cell r="D285" t="str">
            <v>Re-size</v>
          </cell>
          <cell r="E285" t="str">
            <v>Re-size</v>
          </cell>
          <cell r="F285" t="str">
            <v>Re-size</v>
          </cell>
          <cell r="G285" t="str">
            <v>Re-size</v>
          </cell>
          <cell r="H285" t="str">
            <v>Re-size</v>
          </cell>
          <cell r="I285" t="str">
            <v>Re-size</v>
          </cell>
          <cell r="J285">
            <v>21.79</v>
          </cell>
          <cell r="K285">
            <v>15.89</v>
          </cell>
          <cell r="L285">
            <v>9.5</v>
          </cell>
          <cell r="M285">
            <v>7.2</v>
          </cell>
          <cell r="N285">
            <v>5.2</v>
          </cell>
          <cell r="O285">
            <v>3.07</v>
          </cell>
          <cell r="P285">
            <v>2.3199999999999998</v>
          </cell>
          <cell r="Q285">
            <v>2.1999999999999997</v>
          </cell>
          <cell r="R285">
            <v>1.31</v>
          </cell>
          <cell r="S285">
            <v>1.01</v>
          </cell>
          <cell r="T285">
            <v>0.92</v>
          </cell>
          <cell r="U285">
            <v>0.55000000000000004</v>
          </cell>
          <cell r="V285">
            <v>0.42</v>
          </cell>
          <cell r="X285" t="str">
            <v>Re-size</v>
          </cell>
          <cell r="Y285" t="str">
            <v>Re-size</v>
          </cell>
          <cell r="Z285" t="str">
            <v>Re-size</v>
          </cell>
          <cell r="AA285" t="str">
            <v>Re-size</v>
          </cell>
          <cell r="AB285" t="str">
            <v>Re-size</v>
          </cell>
          <cell r="AC285" t="str">
            <v>Re-size</v>
          </cell>
          <cell r="AD285" t="str">
            <v>Re-size</v>
          </cell>
          <cell r="AE285" t="str">
            <v>Re-size</v>
          </cell>
        </row>
        <row r="286">
          <cell r="B286">
            <v>2.77</v>
          </cell>
          <cell r="C286" t="str">
            <v>Re-size</v>
          </cell>
          <cell r="D286" t="str">
            <v>Re-size</v>
          </cell>
          <cell r="E286" t="str">
            <v>Re-size</v>
          </cell>
          <cell r="F286" t="str">
            <v>Re-size</v>
          </cell>
          <cell r="G286" t="str">
            <v>Re-size</v>
          </cell>
          <cell r="H286" t="str">
            <v>Re-size</v>
          </cell>
          <cell r="I286" t="str">
            <v>Re-size</v>
          </cell>
          <cell r="J286">
            <v>21.95</v>
          </cell>
          <cell r="K286">
            <v>16.010000000000002</v>
          </cell>
          <cell r="L286">
            <v>9.57</v>
          </cell>
          <cell r="M286">
            <v>7.25</v>
          </cell>
          <cell r="N286">
            <v>5.2299999999999995</v>
          </cell>
          <cell r="O286">
            <v>3.09</v>
          </cell>
          <cell r="P286">
            <v>2.3299999999999996</v>
          </cell>
          <cell r="Q286">
            <v>2.21</v>
          </cell>
          <cell r="R286">
            <v>1.32</v>
          </cell>
          <cell r="S286">
            <v>1.02</v>
          </cell>
          <cell r="T286">
            <v>0.93</v>
          </cell>
          <cell r="U286">
            <v>0.55000000000000004</v>
          </cell>
          <cell r="V286">
            <v>0.43</v>
          </cell>
          <cell r="X286" t="str">
            <v>Re-size</v>
          </cell>
          <cell r="Y286" t="str">
            <v>Re-size</v>
          </cell>
          <cell r="Z286" t="str">
            <v>Re-size</v>
          </cell>
          <cell r="AA286" t="str">
            <v>Re-size</v>
          </cell>
          <cell r="AB286" t="str">
            <v>Re-size</v>
          </cell>
          <cell r="AC286" t="str">
            <v>Re-size</v>
          </cell>
          <cell r="AD286" t="str">
            <v>Re-size</v>
          </cell>
          <cell r="AE286" t="str">
            <v>Re-size</v>
          </cell>
        </row>
        <row r="287">
          <cell r="B287">
            <v>2.78</v>
          </cell>
          <cell r="C287" t="str">
            <v>Re-size</v>
          </cell>
          <cell r="D287" t="str">
            <v>Re-size</v>
          </cell>
          <cell r="E287" t="str">
            <v>Re-size</v>
          </cell>
          <cell r="F287" t="str">
            <v>Re-size</v>
          </cell>
          <cell r="G287" t="str">
            <v>Re-size</v>
          </cell>
          <cell r="H287" t="str">
            <v>Re-size</v>
          </cell>
          <cell r="I287" t="str">
            <v>Re-size</v>
          </cell>
          <cell r="J287">
            <v>22.11</v>
          </cell>
          <cell r="K287">
            <v>16.12</v>
          </cell>
          <cell r="L287">
            <v>9.64</v>
          </cell>
          <cell r="M287">
            <v>7.3</v>
          </cell>
          <cell r="N287">
            <v>5.26</v>
          </cell>
          <cell r="O287">
            <v>3.11</v>
          </cell>
          <cell r="P287">
            <v>2.3499999999999996</v>
          </cell>
          <cell r="Q287">
            <v>2.23</v>
          </cell>
          <cell r="R287">
            <v>1.33</v>
          </cell>
          <cell r="S287">
            <v>1.02</v>
          </cell>
          <cell r="T287">
            <v>0.93</v>
          </cell>
          <cell r="U287">
            <v>0.56000000000000005</v>
          </cell>
          <cell r="V287">
            <v>0.43</v>
          </cell>
          <cell r="X287" t="str">
            <v>Re-size</v>
          </cell>
          <cell r="Y287" t="str">
            <v>Re-size</v>
          </cell>
          <cell r="Z287" t="str">
            <v>Re-size</v>
          </cell>
          <cell r="AA287" t="str">
            <v>Re-size</v>
          </cell>
          <cell r="AB287" t="str">
            <v>Re-size</v>
          </cell>
          <cell r="AC287" t="str">
            <v>Re-size</v>
          </cell>
          <cell r="AD287" t="str">
            <v>Re-size</v>
          </cell>
          <cell r="AE287" t="str">
            <v>Re-size</v>
          </cell>
        </row>
        <row r="288">
          <cell r="B288">
            <v>2.79</v>
          </cell>
          <cell r="C288" t="str">
            <v>Re-size</v>
          </cell>
          <cell r="D288" t="str">
            <v>Re-size</v>
          </cell>
          <cell r="E288" t="str">
            <v>Re-size</v>
          </cell>
          <cell r="F288" t="str">
            <v>Re-size</v>
          </cell>
          <cell r="G288" t="str">
            <v>Re-size</v>
          </cell>
          <cell r="H288" t="str">
            <v>Re-size</v>
          </cell>
          <cell r="I288" t="str">
            <v>Re-size</v>
          </cell>
          <cell r="J288">
            <v>22.25</v>
          </cell>
          <cell r="K288">
            <v>16.200000000000003</v>
          </cell>
          <cell r="L288">
            <v>9.7100000000000009</v>
          </cell>
          <cell r="M288">
            <v>7.3599999999999994</v>
          </cell>
          <cell r="N288">
            <v>5.29</v>
          </cell>
          <cell r="O288">
            <v>3.13</v>
          </cell>
          <cell r="P288">
            <v>2.36</v>
          </cell>
          <cell r="Q288">
            <v>2.2399999999999998</v>
          </cell>
          <cell r="R288">
            <v>1.34</v>
          </cell>
          <cell r="S288">
            <v>1.03</v>
          </cell>
          <cell r="T288">
            <v>0.94000000000000006</v>
          </cell>
          <cell r="U288">
            <v>0.56000000000000005</v>
          </cell>
          <cell r="V288">
            <v>0.43</v>
          </cell>
          <cell r="X288" t="str">
            <v>Re-size</v>
          </cell>
          <cell r="Y288" t="str">
            <v>Re-size</v>
          </cell>
          <cell r="Z288" t="str">
            <v>Re-size</v>
          </cell>
          <cell r="AA288" t="str">
            <v>Re-size</v>
          </cell>
          <cell r="AB288" t="str">
            <v>Re-size</v>
          </cell>
          <cell r="AC288" t="str">
            <v>Re-size</v>
          </cell>
          <cell r="AD288" t="str">
            <v>Re-size</v>
          </cell>
          <cell r="AE288" t="str">
            <v>Re-size</v>
          </cell>
        </row>
        <row r="289">
          <cell r="B289">
            <v>2.8</v>
          </cell>
          <cell r="C289" t="str">
            <v>Re-size</v>
          </cell>
          <cell r="D289" t="str">
            <v>Re-size</v>
          </cell>
          <cell r="E289" t="str">
            <v>Re-size</v>
          </cell>
          <cell r="F289" t="str">
            <v>Re-size</v>
          </cell>
          <cell r="G289" t="str">
            <v>Re-size</v>
          </cell>
          <cell r="H289" t="str">
            <v>Re-size</v>
          </cell>
          <cell r="I289" t="str">
            <v>Re-size</v>
          </cell>
          <cell r="J289">
            <v>22.38</v>
          </cell>
          <cell r="K289">
            <v>16.27</v>
          </cell>
          <cell r="L289">
            <v>9.7799999999999994</v>
          </cell>
          <cell r="M289">
            <v>7.41</v>
          </cell>
          <cell r="N289">
            <v>5.32</v>
          </cell>
          <cell r="O289">
            <v>3.15</v>
          </cell>
          <cell r="P289">
            <v>2.37</v>
          </cell>
          <cell r="Q289">
            <v>2.25</v>
          </cell>
          <cell r="R289">
            <v>1.34</v>
          </cell>
          <cell r="S289">
            <v>1.03</v>
          </cell>
          <cell r="T289">
            <v>0.94</v>
          </cell>
          <cell r="U289">
            <v>0.56000000000000005</v>
          </cell>
          <cell r="V289">
            <v>0.43</v>
          </cell>
          <cell r="X289" t="str">
            <v>Re-size</v>
          </cell>
          <cell r="Y289" t="str">
            <v>Re-size</v>
          </cell>
          <cell r="Z289" t="str">
            <v>Re-size</v>
          </cell>
          <cell r="AA289" t="str">
            <v>Re-size</v>
          </cell>
          <cell r="AB289" t="str">
            <v>Re-size</v>
          </cell>
          <cell r="AC289" t="str">
            <v>Re-size</v>
          </cell>
          <cell r="AD289" t="str">
            <v>Re-size</v>
          </cell>
          <cell r="AE289" t="str">
            <v>Re-size</v>
          </cell>
        </row>
        <row r="290">
          <cell r="B290">
            <v>2.81</v>
          </cell>
          <cell r="C290" t="str">
            <v>Re-size</v>
          </cell>
          <cell r="D290" t="str">
            <v>Re-size</v>
          </cell>
          <cell r="E290" t="str">
            <v>Re-size</v>
          </cell>
          <cell r="F290" t="str">
            <v>Re-size</v>
          </cell>
          <cell r="G290" t="str">
            <v>Re-size</v>
          </cell>
          <cell r="H290" t="str">
            <v>Re-size</v>
          </cell>
          <cell r="I290" t="str">
            <v>Re-size</v>
          </cell>
          <cell r="J290">
            <v>22.52</v>
          </cell>
          <cell r="K290">
            <v>16.39</v>
          </cell>
          <cell r="L290">
            <v>9.85</v>
          </cell>
          <cell r="M290">
            <v>7.44</v>
          </cell>
          <cell r="N290">
            <v>5.3599999999999994</v>
          </cell>
          <cell r="O290">
            <v>3.17</v>
          </cell>
          <cell r="P290">
            <v>2.3899999999999997</v>
          </cell>
          <cell r="Q290">
            <v>2.2699999999999996</v>
          </cell>
          <cell r="R290">
            <v>1.35</v>
          </cell>
          <cell r="S290">
            <v>1.04</v>
          </cell>
          <cell r="T290">
            <v>0.95</v>
          </cell>
          <cell r="U290">
            <v>0.57000000000000006</v>
          </cell>
          <cell r="V290">
            <v>0.44</v>
          </cell>
          <cell r="X290" t="str">
            <v>Re-size</v>
          </cell>
          <cell r="Y290" t="str">
            <v>Re-size</v>
          </cell>
          <cell r="Z290" t="str">
            <v>Re-size</v>
          </cell>
          <cell r="AA290" t="str">
            <v>Re-size</v>
          </cell>
          <cell r="AB290" t="str">
            <v>Re-size</v>
          </cell>
          <cell r="AC290" t="str">
            <v>Re-size</v>
          </cell>
          <cell r="AD290" t="str">
            <v>Re-size</v>
          </cell>
          <cell r="AE290" t="str">
            <v>Re-size</v>
          </cell>
        </row>
        <row r="291">
          <cell r="B291">
            <v>2.82</v>
          </cell>
          <cell r="C291" t="str">
            <v>Re-size</v>
          </cell>
          <cell r="D291" t="str">
            <v>Re-size</v>
          </cell>
          <cell r="E291" t="str">
            <v>Re-size</v>
          </cell>
          <cell r="F291" t="str">
            <v>Re-size</v>
          </cell>
          <cell r="G291" t="str">
            <v>Re-size</v>
          </cell>
          <cell r="H291" t="str">
            <v>Re-size</v>
          </cell>
          <cell r="I291" t="str">
            <v>Re-size</v>
          </cell>
          <cell r="J291">
            <v>22.66</v>
          </cell>
          <cell r="K291">
            <v>16.5</v>
          </cell>
          <cell r="L291">
            <v>9.92</v>
          </cell>
          <cell r="M291">
            <v>7.47</v>
          </cell>
          <cell r="N291">
            <v>5.3999999999999995</v>
          </cell>
          <cell r="O291">
            <v>3.19</v>
          </cell>
          <cell r="P291">
            <v>2.4099999999999997</v>
          </cell>
          <cell r="Q291">
            <v>2.2899999999999996</v>
          </cell>
          <cell r="R291">
            <v>1.36</v>
          </cell>
          <cell r="S291">
            <v>1.05</v>
          </cell>
          <cell r="T291">
            <v>0.96</v>
          </cell>
          <cell r="U291">
            <v>0.57000000000000006</v>
          </cell>
          <cell r="V291">
            <v>0.44</v>
          </cell>
          <cell r="X291" t="str">
            <v>Re-size</v>
          </cell>
          <cell r="Y291" t="str">
            <v>Re-size</v>
          </cell>
          <cell r="Z291" t="str">
            <v>Re-size</v>
          </cell>
          <cell r="AA291" t="str">
            <v>Re-size</v>
          </cell>
          <cell r="AB291" t="str">
            <v>Re-size</v>
          </cell>
          <cell r="AC291" t="str">
            <v>Re-size</v>
          </cell>
          <cell r="AD291" t="str">
            <v>Re-size</v>
          </cell>
          <cell r="AE291" t="str">
            <v>Re-size</v>
          </cell>
        </row>
        <row r="292">
          <cell r="B292">
            <v>2.83</v>
          </cell>
          <cell r="C292" t="str">
            <v>Re-size</v>
          </cell>
          <cell r="D292" t="str">
            <v>Re-size</v>
          </cell>
          <cell r="E292" t="str">
            <v>Re-size</v>
          </cell>
          <cell r="F292" t="str">
            <v>Re-size</v>
          </cell>
          <cell r="G292" t="str">
            <v>Re-size</v>
          </cell>
          <cell r="H292" t="str">
            <v>Re-size</v>
          </cell>
          <cell r="I292" t="str">
            <v>Re-size</v>
          </cell>
          <cell r="J292">
            <v>22.8</v>
          </cell>
          <cell r="K292">
            <v>16.62</v>
          </cell>
          <cell r="L292">
            <v>9.9700000000000006</v>
          </cell>
          <cell r="M292">
            <v>7.5299999999999994</v>
          </cell>
          <cell r="N292">
            <v>5.4399999999999995</v>
          </cell>
          <cell r="O292">
            <v>3.21</v>
          </cell>
          <cell r="P292">
            <v>2.42</v>
          </cell>
          <cell r="Q292">
            <v>2.2999999999999998</v>
          </cell>
          <cell r="R292">
            <v>1.37</v>
          </cell>
          <cell r="S292">
            <v>1.06</v>
          </cell>
          <cell r="T292">
            <v>0.96</v>
          </cell>
          <cell r="U292">
            <v>0.57000000000000006</v>
          </cell>
          <cell r="V292">
            <v>0.44</v>
          </cell>
          <cell r="X292" t="str">
            <v>Re-size</v>
          </cell>
          <cell r="Y292" t="str">
            <v>Re-size</v>
          </cell>
          <cell r="Z292" t="str">
            <v>Re-size</v>
          </cell>
          <cell r="AA292" t="str">
            <v>Re-size</v>
          </cell>
          <cell r="AB292" t="str">
            <v>Re-size</v>
          </cell>
          <cell r="AC292" t="str">
            <v>Re-size</v>
          </cell>
          <cell r="AD292" t="str">
            <v>Re-size</v>
          </cell>
          <cell r="AE292" t="str">
            <v>Re-size</v>
          </cell>
        </row>
        <row r="293">
          <cell r="B293">
            <v>2.84</v>
          </cell>
          <cell r="C293" t="str">
            <v>Re-size</v>
          </cell>
          <cell r="D293" t="str">
            <v>Re-size</v>
          </cell>
          <cell r="E293" t="str">
            <v>Re-size</v>
          </cell>
          <cell r="F293" t="str">
            <v>Re-size</v>
          </cell>
          <cell r="G293" t="str">
            <v>Re-size</v>
          </cell>
          <cell r="H293" t="str">
            <v>Re-size</v>
          </cell>
          <cell r="I293" t="str">
            <v>Re-size</v>
          </cell>
          <cell r="J293">
            <v>22.94</v>
          </cell>
          <cell r="K293">
            <v>16.739999999999998</v>
          </cell>
          <cell r="L293">
            <v>10.01</v>
          </cell>
          <cell r="M293">
            <v>7.58</v>
          </cell>
          <cell r="N293">
            <v>5.4799999999999995</v>
          </cell>
          <cell r="O293">
            <v>3.23</v>
          </cell>
          <cell r="P293">
            <v>2.44</v>
          </cell>
          <cell r="Q293">
            <v>2.3199999999999998</v>
          </cell>
          <cell r="R293">
            <v>1.38</v>
          </cell>
          <cell r="S293">
            <v>1.07</v>
          </cell>
          <cell r="T293">
            <v>0.97</v>
          </cell>
          <cell r="U293">
            <v>0.57999999999999996</v>
          </cell>
          <cell r="V293">
            <v>0.45</v>
          </cell>
          <cell r="X293" t="str">
            <v>Re-size</v>
          </cell>
          <cell r="Y293" t="str">
            <v>Re-size</v>
          </cell>
          <cell r="Z293" t="str">
            <v>Re-size</v>
          </cell>
          <cell r="AA293" t="str">
            <v>Re-size</v>
          </cell>
          <cell r="AB293" t="str">
            <v>Re-size</v>
          </cell>
          <cell r="AC293" t="str">
            <v>Re-size</v>
          </cell>
          <cell r="AD293" t="str">
            <v>Re-size</v>
          </cell>
          <cell r="AE293" t="str">
            <v>Re-size</v>
          </cell>
        </row>
        <row r="294">
          <cell r="B294">
            <v>2.85</v>
          </cell>
          <cell r="C294" t="str">
            <v>Re-size</v>
          </cell>
          <cell r="D294" t="str">
            <v>Re-size</v>
          </cell>
          <cell r="E294" t="str">
            <v>Re-size</v>
          </cell>
          <cell r="F294" t="str">
            <v>Re-size</v>
          </cell>
          <cell r="G294" t="str">
            <v>Re-size</v>
          </cell>
          <cell r="H294" t="str">
            <v>Re-size</v>
          </cell>
          <cell r="I294" t="str">
            <v>Re-size</v>
          </cell>
          <cell r="J294">
            <v>23.08</v>
          </cell>
          <cell r="K294">
            <v>16.860000000000003</v>
          </cell>
          <cell r="L294">
            <v>10.08</v>
          </cell>
          <cell r="M294">
            <v>7.64</v>
          </cell>
          <cell r="N294">
            <v>5.51</v>
          </cell>
          <cell r="O294">
            <v>3.25</v>
          </cell>
          <cell r="P294">
            <v>2.4500000000000002</v>
          </cell>
          <cell r="Q294">
            <v>2.33</v>
          </cell>
          <cell r="R294">
            <v>1.39</v>
          </cell>
          <cell r="S294">
            <v>1.07</v>
          </cell>
          <cell r="T294">
            <v>0.97</v>
          </cell>
          <cell r="U294">
            <v>0.57499999999999996</v>
          </cell>
          <cell r="V294">
            <v>0.44500000000000001</v>
          </cell>
          <cell r="X294" t="str">
            <v>Re-size</v>
          </cell>
          <cell r="Y294" t="str">
            <v>Re-size</v>
          </cell>
          <cell r="Z294" t="str">
            <v>Re-size</v>
          </cell>
          <cell r="AA294" t="str">
            <v>Re-size</v>
          </cell>
          <cell r="AB294" t="str">
            <v>Re-size</v>
          </cell>
          <cell r="AC294" t="str">
            <v>Re-size</v>
          </cell>
          <cell r="AD294" t="str">
            <v>Re-size</v>
          </cell>
          <cell r="AE294" t="str">
            <v>Re-size</v>
          </cell>
        </row>
        <row r="295">
          <cell r="B295">
            <v>2.86</v>
          </cell>
          <cell r="C295" t="str">
            <v>Re-size</v>
          </cell>
          <cell r="D295" t="str">
            <v>Re-size</v>
          </cell>
          <cell r="E295" t="str">
            <v>Re-size</v>
          </cell>
          <cell r="F295" t="str">
            <v>Re-size</v>
          </cell>
          <cell r="G295" t="str">
            <v>Re-size</v>
          </cell>
          <cell r="H295" t="str">
            <v>Re-size</v>
          </cell>
          <cell r="I295" t="str">
            <v>Re-size</v>
          </cell>
          <cell r="J295">
            <v>23.22</v>
          </cell>
          <cell r="K295">
            <v>16.97</v>
          </cell>
          <cell r="L295">
            <v>10.15</v>
          </cell>
          <cell r="M295">
            <v>7.69</v>
          </cell>
          <cell r="N295">
            <v>5.55</v>
          </cell>
          <cell r="O295">
            <v>3.28</v>
          </cell>
          <cell r="P295">
            <v>2.4699999999999998</v>
          </cell>
          <cell r="Q295">
            <v>2.3499999999999996</v>
          </cell>
          <cell r="R295">
            <v>1.4</v>
          </cell>
          <cell r="S295">
            <v>1.08</v>
          </cell>
          <cell r="T295">
            <v>0.98</v>
          </cell>
          <cell r="U295">
            <v>0.57999999999999996</v>
          </cell>
          <cell r="V295">
            <v>0.45</v>
          </cell>
          <cell r="X295" t="str">
            <v>Re-size</v>
          </cell>
          <cell r="Y295" t="str">
            <v>Re-size</v>
          </cell>
          <cell r="Z295" t="str">
            <v>Re-size</v>
          </cell>
          <cell r="AA295" t="str">
            <v>Re-size</v>
          </cell>
          <cell r="AB295" t="str">
            <v>Re-size</v>
          </cell>
          <cell r="AC295" t="str">
            <v>Re-size</v>
          </cell>
          <cell r="AD295" t="str">
            <v>Re-size</v>
          </cell>
          <cell r="AE295" t="str">
            <v>Re-size</v>
          </cell>
        </row>
        <row r="296">
          <cell r="B296">
            <v>2.87</v>
          </cell>
          <cell r="C296" t="str">
            <v>Re-size</v>
          </cell>
          <cell r="D296" t="str">
            <v>Re-size</v>
          </cell>
          <cell r="E296" t="str">
            <v>Re-size</v>
          </cell>
          <cell r="F296" t="str">
            <v>Re-size</v>
          </cell>
          <cell r="G296" t="str">
            <v>Re-size</v>
          </cell>
          <cell r="H296" t="str">
            <v>Re-size</v>
          </cell>
          <cell r="I296" t="str">
            <v>Re-size</v>
          </cell>
          <cell r="J296">
            <v>23.36</v>
          </cell>
          <cell r="K296">
            <v>17.05</v>
          </cell>
          <cell r="L296">
            <v>10.220000000000001</v>
          </cell>
          <cell r="M296">
            <v>7.75</v>
          </cell>
          <cell r="N296">
            <v>5.58</v>
          </cell>
          <cell r="O296">
            <v>3.3</v>
          </cell>
          <cell r="P296">
            <v>2.4899999999999998</v>
          </cell>
          <cell r="Q296">
            <v>2.36</v>
          </cell>
          <cell r="R296">
            <v>1.41</v>
          </cell>
          <cell r="S296">
            <v>1.0900000000000001</v>
          </cell>
          <cell r="T296">
            <v>0.99</v>
          </cell>
          <cell r="U296">
            <v>0.59</v>
          </cell>
          <cell r="V296">
            <v>0.46</v>
          </cell>
          <cell r="X296" t="str">
            <v>Re-size</v>
          </cell>
          <cell r="Y296" t="str">
            <v>Re-size</v>
          </cell>
          <cell r="Z296" t="str">
            <v>Re-size</v>
          </cell>
          <cell r="AA296" t="str">
            <v>Re-size</v>
          </cell>
          <cell r="AB296" t="str">
            <v>Re-size</v>
          </cell>
          <cell r="AC296" t="str">
            <v>Re-size</v>
          </cell>
          <cell r="AD296" t="str">
            <v>Re-size</v>
          </cell>
          <cell r="AE296" t="str">
            <v>Re-size</v>
          </cell>
        </row>
        <row r="297">
          <cell r="B297">
            <v>2.88</v>
          </cell>
          <cell r="C297" t="str">
            <v>Re-size</v>
          </cell>
          <cell r="D297" t="str">
            <v>Re-size</v>
          </cell>
          <cell r="E297" t="str">
            <v>Re-size</v>
          </cell>
          <cell r="F297" t="str">
            <v>Re-size</v>
          </cell>
          <cell r="G297" t="str">
            <v>Re-size</v>
          </cell>
          <cell r="H297" t="str">
            <v>Re-size</v>
          </cell>
          <cell r="I297" t="str">
            <v>Re-size</v>
          </cell>
          <cell r="J297">
            <v>23.5</v>
          </cell>
          <cell r="K297">
            <v>17.13</v>
          </cell>
          <cell r="L297">
            <v>10.29</v>
          </cell>
          <cell r="M297">
            <v>7.8</v>
          </cell>
          <cell r="N297">
            <v>5.62</v>
          </cell>
          <cell r="O297">
            <v>3.32</v>
          </cell>
          <cell r="P297">
            <v>2.5</v>
          </cell>
          <cell r="Q297">
            <v>2.38</v>
          </cell>
          <cell r="R297">
            <v>1.42</v>
          </cell>
          <cell r="S297">
            <v>1.0900000000000001</v>
          </cell>
          <cell r="T297">
            <v>0.99</v>
          </cell>
          <cell r="U297">
            <v>0.59</v>
          </cell>
          <cell r="V297">
            <v>0.46</v>
          </cell>
          <cell r="X297" t="str">
            <v>Re-size</v>
          </cell>
          <cell r="Y297" t="str">
            <v>Re-size</v>
          </cell>
          <cell r="Z297" t="str">
            <v>Re-size</v>
          </cell>
          <cell r="AA297" t="str">
            <v>Re-size</v>
          </cell>
          <cell r="AB297" t="str">
            <v>Re-size</v>
          </cell>
          <cell r="AC297" t="str">
            <v>Re-size</v>
          </cell>
          <cell r="AD297" t="str">
            <v>Re-size</v>
          </cell>
          <cell r="AE297" t="str">
            <v>Re-size</v>
          </cell>
        </row>
        <row r="298">
          <cell r="B298">
            <v>2.89</v>
          </cell>
          <cell r="C298" t="str">
            <v>Re-size</v>
          </cell>
          <cell r="D298" t="str">
            <v>Re-size</v>
          </cell>
          <cell r="E298" t="str">
            <v>Re-size</v>
          </cell>
          <cell r="F298" t="str">
            <v>Re-size</v>
          </cell>
          <cell r="G298" t="str">
            <v>Re-size</v>
          </cell>
          <cell r="H298" t="str">
            <v>Re-size</v>
          </cell>
          <cell r="I298" t="str">
            <v>Re-size</v>
          </cell>
          <cell r="J298">
            <v>23.64</v>
          </cell>
          <cell r="K298">
            <v>17.25</v>
          </cell>
          <cell r="L298">
            <v>10.37</v>
          </cell>
          <cell r="M298">
            <v>7.84</v>
          </cell>
          <cell r="N298">
            <v>5.6499999999999995</v>
          </cell>
          <cell r="O298">
            <v>3.34</v>
          </cell>
          <cell r="P298">
            <v>2.5199999999999996</v>
          </cell>
          <cell r="Q298">
            <v>2.3899999999999997</v>
          </cell>
          <cell r="R298">
            <v>1.43</v>
          </cell>
          <cell r="S298">
            <v>1.1000000000000001</v>
          </cell>
          <cell r="T298">
            <v>1</v>
          </cell>
          <cell r="U298">
            <v>0.59</v>
          </cell>
          <cell r="V298">
            <v>0.46</v>
          </cell>
          <cell r="X298" t="str">
            <v>Re-size</v>
          </cell>
          <cell r="Y298" t="str">
            <v>Re-size</v>
          </cell>
          <cell r="Z298" t="str">
            <v>Re-size</v>
          </cell>
          <cell r="AA298" t="str">
            <v>Re-size</v>
          </cell>
          <cell r="AB298" t="str">
            <v>Re-size</v>
          </cell>
          <cell r="AC298" t="str">
            <v>Re-size</v>
          </cell>
          <cell r="AD298" t="str">
            <v>Re-size</v>
          </cell>
          <cell r="AE298" t="str">
            <v>Re-size</v>
          </cell>
        </row>
        <row r="299">
          <cell r="B299">
            <v>2.9</v>
          </cell>
          <cell r="C299" t="str">
            <v>Re-size</v>
          </cell>
          <cell r="D299" t="str">
            <v>Re-size</v>
          </cell>
          <cell r="E299" t="str">
            <v>Re-size</v>
          </cell>
          <cell r="F299" t="str">
            <v>Re-size</v>
          </cell>
          <cell r="G299" t="str">
            <v>Re-size</v>
          </cell>
          <cell r="H299" t="str">
            <v>Re-size</v>
          </cell>
          <cell r="I299" t="str">
            <v>Re-size</v>
          </cell>
          <cell r="J299">
            <v>23.78</v>
          </cell>
          <cell r="K299">
            <v>17.36</v>
          </cell>
          <cell r="L299">
            <v>10.44</v>
          </cell>
          <cell r="M299">
            <v>7.87</v>
          </cell>
          <cell r="N299">
            <v>5.68</v>
          </cell>
          <cell r="O299">
            <v>3.36</v>
          </cell>
          <cell r="P299">
            <v>2.5299999999999998</v>
          </cell>
          <cell r="Q299">
            <v>2.4</v>
          </cell>
          <cell r="R299">
            <v>1.43</v>
          </cell>
          <cell r="S299">
            <v>1.1000000000000001</v>
          </cell>
          <cell r="T299">
            <v>1</v>
          </cell>
          <cell r="U299">
            <v>0.59</v>
          </cell>
          <cell r="V299">
            <v>0.46</v>
          </cell>
          <cell r="X299" t="str">
            <v>Re-size</v>
          </cell>
          <cell r="Y299" t="str">
            <v>Re-size</v>
          </cell>
          <cell r="Z299" t="str">
            <v>Re-size</v>
          </cell>
          <cell r="AA299" t="str">
            <v>Re-size</v>
          </cell>
          <cell r="AB299" t="str">
            <v>Re-size</v>
          </cell>
          <cell r="AC299" t="str">
            <v>Re-size</v>
          </cell>
          <cell r="AD299" t="str">
            <v>Re-size</v>
          </cell>
          <cell r="AE299" t="str">
            <v>Re-size</v>
          </cell>
        </row>
        <row r="300">
          <cell r="B300">
            <v>2.91</v>
          </cell>
          <cell r="C300" t="str">
            <v>Re-size</v>
          </cell>
          <cell r="D300" t="str">
            <v>Re-size</v>
          </cell>
          <cell r="E300" t="str">
            <v>Re-size</v>
          </cell>
          <cell r="F300" t="str">
            <v>Re-size</v>
          </cell>
          <cell r="G300" t="str">
            <v>Re-size</v>
          </cell>
          <cell r="H300" t="str">
            <v>Re-size</v>
          </cell>
          <cell r="I300" t="str">
            <v>Re-size</v>
          </cell>
          <cell r="J300">
            <v>23.92</v>
          </cell>
          <cell r="K300">
            <v>17.48</v>
          </cell>
          <cell r="L300">
            <v>10.49</v>
          </cell>
          <cell r="M300">
            <v>7.92</v>
          </cell>
          <cell r="N300">
            <v>5.72</v>
          </cell>
          <cell r="O300">
            <v>3.38</v>
          </cell>
          <cell r="P300">
            <v>2.5499999999999998</v>
          </cell>
          <cell r="Q300">
            <v>2.42</v>
          </cell>
          <cell r="R300">
            <v>1.44</v>
          </cell>
          <cell r="S300">
            <v>1.1100000000000001</v>
          </cell>
          <cell r="T300">
            <v>1.01</v>
          </cell>
          <cell r="U300">
            <v>0.6</v>
          </cell>
          <cell r="V300">
            <v>0.47000000000000003</v>
          </cell>
          <cell r="X300" t="str">
            <v>Re-size</v>
          </cell>
          <cell r="Y300" t="str">
            <v>Re-size</v>
          </cell>
          <cell r="Z300" t="str">
            <v>Re-size</v>
          </cell>
          <cell r="AA300" t="str">
            <v>Re-size</v>
          </cell>
          <cell r="AB300" t="str">
            <v>Re-size</v>
          </cell>
          <cell r="AC300" t="str">
            <v>Re-size</v>
          </cell>
          <cell r="AD300" t="str">
            <v>Re-size</v>
          </cell>
          <cell r="AE300" t="str">
            <v>Re-size</v>
          </cell>
        </row>
        <row r="301">
          <cell r="B301">
            <v>2.92</v>
          </cell>
          <cell r="C301" t="str">
            <v>Re-size</v>
          </cell>
          <cell r="D301" t="str">
            <v>Re-size</v>
          </cell>
          <cell r="E301" t="str">
            <v>Re-size</v>
          </cell>
          <cell r="F301" t="str">
            <v>Re-size</v>
          </cell>
          <cell r="G301" t="str">
            <v>Re-size</v>
          </cell>
          <cell r="H301" t="str">
            <v>Re-size</v>
          </cell>
          <cell r="I301" t="str">
            <v>Re-size</v>
          </cell>
          <cell r="J301">
            <v>24.06</v>
          </cell>
          <cell r="K301">
            <v>17.600000000000001</v>
          </cell>
          <cell r="L301">
            <v>10.53</v>
          </cell>
          <cell r="M301">
            <v>7.97</v>
          </cell>
          <cell r="N301">
            <v>5.76</v>
          </cell>
          <cell r="O301">
            <v>3.4</v>
          </cell>
          <cell r="P301">
            <v>2.57</v>
          </cell>
          <cell r="Q301">
            <v>2.44</v>
          </cell>
          <cell r="R301">
            <v>1.45</v>
          </cell>
          <cell r="S301">
            <v>1.1200000000000001</v>
          </cell>
          <cell r="T301">
            <v>1.02</v>
          </cell>
          <cell r="U301">
            <v>0.6</v>
          </cell>
          <cell r="V301">
            <v>0.47000000000000003</v>
          </cell>
          <cell r="X301" t="str">
            <v>Re-size</v>
          </cell>
          <cell r="Y301" t="str">
            <v>Re-size</v>
          </cell>
          <cell r="Z301" t="str">
            <v>Re-size</v>
          </cell>
          <cell r="AA301" t="str">
            <v>Re-size</v>
          </cell>
          <cell r="AB301" t="str">
            <v>Re-size</v>
          </cell>
          <cell r="AC301" t="str">
            <v>Re-size</v>
          </cell>
          <cell r="AD301" t="str">
            <v>Re-size</v>
          </cell>
          <cell r="AE301" t="str">
            <v>Re-size</v>
          </cell>
        </row>
        <row r="302">
          <cell r="B302">
            <v>2.93</v>
          </cell>
          <cell r="C302" t="str">
            <v>Re-size</v>
          </cell>
          <cell r="D302" t="str">
            <v>Re-size</v>
          </cell>
          <cell r="E302" t="str">
            <v>Re-size</v>
          </cell>
          <cell r="F302" t="str">
            <v>Re-size</v>
          </cell>
          <cell r="G302" t="str">
            <v>Re-size</v>
          </cell>
          <cell r="H302" t="str">
            <v>Re-size</v>
          </cell>
          <cell r="I302" t="str">
            <v>Re-size</v>
          </cell>
          <cell r="J302" t="str">
            <v>Re-size</v>
          </cell>
          <cell r="K302">
            <v>17.73</v>
          </cell>
          <cell r="L302">
            <v>10.6</v>
          </cell>
          <cell r="M302">
            <v>8.0299999999999994</v>
          </cell>
          <cell r="N302">
            <v>5.8</v>
          </cell>
          <cell r="O302">
            <v>3.42</v>
          </cell>
          <cell r="P302">
            <v>2.5799999999999996</v>
          </cell>
          <cell r="Q302">
            <v>2.4499999999999997</v>
          </cell>
          <cell r="R302">
            <v>1.46</v>
          </cell>
          <cell r="S302">
            <v>1.1300000000000001</v>
          </cell>
          <cell r="T302">
            <v>1.02</v>
          </cell>
          <cell r="U302">
            <v>0.61</v>
          </cell>
          <cell r="V302">
            <v>0.47000000000000003</v>
          </cell>
          <cell r="X302" t="str">
            <v>Re-size</v>
          </cell>
          <cell r="Y302" t="str">
            <v>Re-size</v>
          </cell>
          <cell r="Z302" t="str">
            <v>Re-size</v>
          </cell>
          <cell r="AA302" t="str">
            <v>Re-size</v>
          </cell>
          <cell r="AB302" t="str">
            <v>Re-size</v>
          </cell>
          <cell r="AC302" t="str">
            <v>Re-size</v>
          </cell>
          <cell r="AD302" t="str">
            <v>Re-size</v>
          </cell>
          <cell r="AE302" t="str">
            <v>Re-size</v>
          </cell>
        </row>
        <row r="303">
          <cell r="B303">
            <v>2.94</v>
          </cell>
          <cell r="C303" t="str">
            <v>Re-size</v>
          </cell>
          <cell r="D303" t="str">
            <v>Re-size</v>
          </cell>
          <cell r="E303" t="str">
            <v>Re-size</v>
          </cell>
          <cell r="F303" t="str">
            <v>Re-size</v>
          </cell>
          <cell r="G303" t="str">
            <v>Re-size</v>
          </cell>
          <cell r="H303" t="str">
            <v>Re-size</v>
          </cell>
          <cell r="I303" t="str">
            <v>Re-size</v>
          </cell>
          <cell r="J303" t="str">
            <v>Re-size</v>
          </cell>
          <cell r="K303">
            <v>17.850000000000001</v>
          </cell>
          <cell r="L303">
            <v>10.67</v>
          </cell>
          <cell r="M303">
            <v>8.08</v>
          </cell>
          <cell r="N303">
            <v>5.84</v>
          </cell>
          <cell r="O303">
            <v>3.44</v>
          </cell>
          <cell r="P303">
            <v>2.5999999999999996</v>
          </cell>
          <cell r="Q303">
            <v>2.4699999999999998</v>
          </cell>
          <cell r="R303">
            <v>1.47</v>
          </cell>
          <cell r="S303">
            <v>1.1399999999999999</v>
          </cell>
          <cell r="T303">
            <v>1.03</v>
          </cell>
          <cell r="U303">
            <v>0.61</v>
          </cell>
          <cell r="V303">
            <v>0.48</v>
          </cell>
          <cell r="X303" t="str">
            <v>Re-size</v>
          </cell>
          <cell r="Y303" t="str">
            <v>Re-size</v>
          </cell>
          <cell r="Z303" t="str">
            <v>Re-size</v>
          </cell>
          <cell r="AA303" t="str">
            <v>Re-size</v>
          </cell>
          <cell r="AB303" t="str">
            <v>Re-size</v>
          </cell>
          <cell r="AC303" t="str">
            <v>Re-size</v>
          </cell>
          <cell r="AD303" t="str">
            <v>Re-size</v>
          </cell>
          <cell r="AE303" t="str">
            <v>Re-size</v>
          </cell>
        </row>
        <row r="304">
          <cell r="B304">
            <v>2.95</v>
          </cell>
          <cell r="C304" t="str">
            <v>Re-size</v>
          </cell>
          <cell r="D304" t="str">
            <v>Re-size</v>
          </cell>
          <cell r="E304" t="str">
            <v>Re-size</v>
          </cell>
          <cell r="F304" t="str">
            <v>Re-size</v>
          </cell>
          <cell r="G304" t="str">
            <v>Re-size</v>
          </cell>
          <cell r="H304" t="str">
            <v>Re-size</v>
          </cell>
          <cell r="I304" t="str">
            <v>Re-size</v>
          </cell>
          <cell r="J304" t="str">
            <v>Re-size</v>
          </cell>
          <cell r="K304">
            <v>17.97</v>
          </cell>
          <cell r="L304">
            <v>10.75</v>
          </cell>
          <cell r="M304">
            <v>8.14</v>
          </cell>
          <cell r="N304">
            <v>5.88</v>
          </cell>
          <cell r="O304">
            <v>3.46</v>
          </cell>
          <cell r="P304">
            <v>2.61</v>
          </cell>
          <cell r="Q304">
            <v>2.48</v>
          </cell>
          <cell r="R304">
            <v>1.47</v>
          </cell>
          <cell r="S304">
            <v>1.1399999999999999</v>
          </cell>
          <cell r="T304">
            <v>1.03</v>
          </cell>
          <cell r="U304">
            <v>0.61</v>
          </cell>
          <cell r="V304">
            <v>0.47499999999999998</v>
          </cell>
          <cell r="X304" t="str">
            <v>Re-size</v>
          </cell>
          <cell r="Y304" t="str">
            <v>Re-size</v>
          </cell>
          <cell r="Z304" t="str">
            <v>Re-size</v>
          </cell>
          <cell r="AA304" t="str">
            <v>Re-size</v>
          </cell>
          <cell r="AB304" t="str">
            <v>Re-size</v>
          </cell>
          <cell r="AC304" t="str">
            <v>Re-size</v>
          </cell>
          <cell r="AD304" t="str">
            <v>Re-size</v>
          </cell>
          <cell r="AE304" t="str">
            <v>Re-size</v>
          </cell>
        </row>
        <row r="305">
          <cell r="B305">
            <v>2.96</v>
          </cell>
          <cell r="C305" t="str">
            <v>Re-size</v>
          </cell>
          <cell r="D305" t="str">
            <v>Re-size</v>
          </cell>
          <cell r="E305" t="str">
            <v>Re-size</v>
          </cell>
          <cell r="F305" t="str">
            <v>Re-size</v>
          </cell>
          <cell r="G305" t="str">
            <v>Re-size</v>
          </cell>
          <cell r="H305" t="str">
            <v>Re-size</v>
          </cell>
          <cell r="I305" t="str">
            <v>Re-size</v>
          </cell>
          <cell r="J305" t="str">
            <v>Re-size</v>
          </cell>
          <cell r="K305">
            <v>18.09</v>
          </cell>
          <cell r="L305">
            <v>10.82</v>
          </cell>
          <cell r="M305">
            <v>8.19</v>
          </cell>
          <cell r="N305">
            <v>5.92</v>
          </cell>
          <cell r="O305">
            <v>3.48</v>
          </cell>
          <cell r="P305">
            <v>2.63</v>
          </cell>
          <cell r="Q305">
            <v>2.5</v>
          </cell>
          <cell r="R305">
            <v>1.48</v>
          </cell>
          <cell r="S305">
            <v>1.1499999999999999</v>
          </cell>
          <cell r="T305">
            <v>1.04</v>
          </cell>
          <cell r="U305">
            <v>0.62</v>
          </cell>
          <cell r="V305">
            <v>0.48</v>
          </cell>
          <cell r="X305" t="str">
            <v>Re-size</v>
          </cell>
          <cell r="Y305" t="str">
            <v>Re-size</v>
          </cell>
          <cell r="Z305" t="str">
            <v>Re-size</v>
          </cell>
          <cell r="AA305" t="str">
            <v>Re-size</v>
          </cell>
          <cell r="AB305" t="str">
            <v>Re-size</v>
          </cell>
          <cell r="AC305" t="str">
            <v>Re-size</v>
          </cell>
          <cell r="AD305" t="str">
            <v>Re-size</v>
          </cell>
          <cell r="AE305" t="str">
            <v>Re-size</v>
          </cell>
        </row>
        <row r="306">
          <cell r="B306">
            <v>2.97</v>
          </cell>
          <cell r="C306" t="str">
            <v>Re-size</v>
          </cell>
          <cell r="D306" t="str">
            <v>Re-size</v>
          </cell>
          <cell r="E306" t="str">
            <v>Re-size</v>
          </cell>
          <cell r="F306" t="str">
            <v>Re-size</v>
          </cell>
          <cell r="G306" t="str">
            <v>Re-size</v>
          </cell>
          <cell r="H306" t="str">
            <v>Re-size</v>
          </cell>
          <cell r="I306" t="str">
            <v>Re-size</v>
          </cell>
          <cell r="J306" t="str">
            <v>Re-size</v>
          </cell>
          <cell r="K306">
            <v>18.170000000000002</v>
          </cell>
          <cell r="L306">
            <v>10.9</v>
          </cell>
          <cell r="M306">
            <v>8.23</v>
          </cell>
          <cell r="N306">
            <v>5.95</v>
          </cell>
          <cell r="O306">
            <v>3.5</v>
          </cell>
          <cell r="P306">
            <v>2.65</v>
          </cell>
          <cell r="Q306">
            <v>2.5099999999999998</v>
          </cell>
          <cell r="R306">
            <v>1.49</v>
          </cell>
          <cell r="S306">
            <v>1.1599999999999999</v>
          </cell>
          <cell r="T306">
            <v>1.05</v>
          </cell>
          <cell r="U306">
            <v>0.62</v>
          </cell>
          <cell r="V306">
            <v>0.49</v>
          </cell>
          <cell r="X306" t="str">
            <v>Re-size</v>
          </cell>
          <cell r="Y306" t="str">
            <v>Re-size</v>
          </cell>
          <cell r="Z306" t="str">
            <v>Re-size</v>
          </cell>
          <cell r="AA306" t="str">
            <v>Re-size</v>
          </cell>
          <cell r="AB306" t="str">
            <v>Re-size</v>
          </cell>
          <cell r="AC306" t="str">
            <v>Re-size</v>
          </cell>
          <cell r="AD306" t="str">
            <v>Re-size</v>
          </cell>
          <cell r="AE306" t="str">
            <v>Re-size</v>
          </cell>
        </row>
        <row r="307">
          <cell r="B307">
            <v>2.98</v>
          </cell>
          <cell r="C307" t="str">
            <v>Re-size</v>
          </cell>
          <cell r="D307" t="str">
            <v>Re-size</v>
          </cell>
          <cell r="E307" t="str">
            <v>Re-size</v>
          </cell>
          <cell r="F307" t="str">
            <v>Re-size</v>
          </cell>
          <cell r="G307" t="str">
            <v>Re-size</v>
          </cell>
          <cell r="H307" t="str">
            <v>Re-size</v>
          </cell>
          <cell r="I307" t="str">
            <v>Re-size</v>
          </cell>
          <cell r="J307" t="str">
            <v>Re-size</v>
          </cell>
          <cell r="K307">
            <v>18.239999999999998</v>
          </cell>
          <cell r="L307">
            <v>10.97</v>
          </cell>
          <cell r="M307">
            <v>8.26</v>
          </cell>
          <cell r="N307">
            <v>5.99</v>
          </cell>
          <cell r="O307">
            <v>3.52</v>
          </cell>
          <cell r="P307">
            <v>2.6599999999999997</v>
          </cell>
          <cell r="Q307">
            <v>2.5299999999999998</v>
          </cell>
          <cell r="R307">
            <v>1.5</v>
          </cell>
          <cell r="S307">
            <v>1.1599999999999999</v>
          </cell>
          <cell r="T307">
            <v>1.05</v>
          </cell>
          <cell r="U307">
            <v>0.63</v>
          </cell>
          <cell r="V307">
            <v>0.49</v>
          </cell>
          <cell r="X307" t="str">
            <v>Re-size</v>
          </cell>
          <cell r="Y307" t="str">
            <v>Re-size</v>
          </cell>
          <cell r="Z307" t="str">
            <v>Re-size</v>
          </cell>
          <cell r="AA307" t="str">
            <v>Re-size</v>
          </cell>
          <cell r="AB307" t="str">
            <v>Re-size</v>
          </cell>
          <cell r="AC307" t="str">
            <v>Re-size</v>
          </cell>
          <cell r="AD307" t="str">
            <v>Re-size</v>
          </cell>
          <cell r="AE307" t="str">
            <v>Re-size</v>
          </cell>
        </row>
        <row r="308">
          <cell r="B308">
            <v>2.99</v>
          </cell>
          <cell r="C308" t="str">
            <v>Re-size</v>
          </cell>
          <cell r="D308" t="str">
            <v>Re-size</v>
          </cell>
          <cell r="E308" t="str">
            <v>Re-size</v>
          </cell>
          <cell r="F308" t="str">
            <v>Re-size</v>
          </cell>
          <cell r="G308" t="str">
            <v>Re-size</v>
          </cell>
          <cell r="H308" t="str">
            <v>Re-size</v>
          </cell>
          <cell r="I308" t="str">
            <v>Re-size</v>
          </cell>
          <cell r="J308" t="str">
            <v>Re-size</v>
          </cell>
          <cell r="K308">
            <v>18.37</v>
          </cell>
          <cell r="L308">
            <v>11.04</v>
          </cell>
          <cell r="M308">
            <v>8.32</v>
          </cell>
          <cell r="N308">
            <v>6.02</v>
          </cell>
          <cell r="O308">
            <v>3.54</v>
          </cell>
          <cell r="P308">
            <v>2.6799999999999997</v>
          </cell>
          <cell r="Q308">
            <v>2.5399999999999996</v>
          </cell>
          <cell r="R308">
            <v>1.51</v>
          </cell>
          <cell r="S308">
            <v>1.17</v>
          </cell>
          <cell r="T308">
            <v>1.06</v>
          </cell>
          <cell r="U308">
            <v>0.63</v>
          </cell>
          <cell r="V308">
            <v>0.49</v>
          </cell>
          <cell r="X308" t="str">
            <v>Re-size</v>
          </cell>
          <cell r="Y308" t="str">
            <v>Re-size</v>
          </cell>
          <cell r="Z308" t="str">
            <v>Re-size</v>
          </cell>
          <cell r="AA308" t="str">
            <v>Re-size</v>
          </cell>
          <cell r="AB308" t="str">
            <v>Re-size</v>
          </cell>
          <cell r="AC308" t="str">
            <v>Re-size</v>
          </cell>
          <cell r="AD308" t="str">
            <v>Re-size</v>
          </cell>
          <cell r="AE308" t="str">
            <v>Re-size</v>
          </cell>
        </row>
        <row r="309">
          <cell r="B309">
            <v>3</v>
          </cell>
          <cell r="C309" t="str">
            <v>Re-size</v>
          </cell>
          <cell r="D309" t="str">
            <v>Re-size</v>
          </cell>
          <cell r="E309" t="str">
            <v>Re-size</v>
          </cell>
          <cell r="F309" t="str">
            <v>Re-size</v>
          </cell>
          <cell r="G309" t="str">
            <v>Re-size</v>
          </cell>
          <cell r="H309" t="str">
            <v>Re-size</v>
          </cell>
          <cell r="I309" t="str">
            <v>Re-size</v>
          </cell>
          <cell r="J309" t="str">
            <v>Re-size</v>
          </cell>
          <cell r="K309">
            <v>18.489999999999998</v>
          </cell>
          <cell r="L309">
            <v>11.11</v>
          </cell>
          <cell r="M309">
            <v>8.3800000000000008</v>
          </cell>
          <cell r="N309">
            <v>6.05</v>
          </cell>
          <cell r="O309">
            <v>3.56</v>
          </cell>
          <cell r="P309">
            <v>2.69</v>
          </cell>
          <cell r="Q309">
            <v>2.5499999999999998</v>
          </cell>
          <cell r="R309">
            <v>1.52</v>
          </cell>
          <cell r="S309">
            <v>1.17</v>
          </cell>
          <cell r="T309">
            <v>1.06</v>
          </cell>
          <cell r="U309">
            <v>0.63</v>
          </cell>
          <cell r="V309">
            <v>0.49</v>
          </cell>
          <cell r="X309" t="str">
            <v>Re-size</v>
          </cell>
          <cell r="Y309" t="str">
            <v>Re-size</v>
          </cell>
          <cell r="Z309" t="str">
            <v>Re-size</v>
          </cell>
          <cell r="AA309" t="str">
            <v>Re-size</v>
          </cell>
          <cell r="AB309" t="str">
            <v>Re-size</v>
          </cell>
          <cell r="AC309" t="str">
            <v>Re-size</v>
          </cell>
          <cell r="AD309" t="str">
            <v>Re-size</v>
          </cell>
          <cell r="AE309" t="str">
            <v>Re-size</v>
          </cell>
        </row>
        <row r="310">
          <cell r="B310">
            <v>3.01</v>
          </cell>
          <cell r="C310" t="str">
            <v>Re-size</v>
          </cell>
          <cell r="D310" t="str">
            <v>Re-size</v>
          </cell>
          <cell r="E310" t="str">
            <v>Re-size</v>
          </cell>
          <cell r="F310" t="str">
            <v>Re-size</v>
          </cell>
          <cell r="G310" t="str">
            <v>Re-size</v>
          </cell>
          <cell r="H310" t="str">
            <v>Re-size</v>
          </cell>
          <cell r="I310" t="str">
            <v>Re-size</v>
          </cell>
          <cell r="J310" t="str">
            <v>Re-size</v>
          </cell>
          <cell r="K310">
            <v>18.62</v>
          </cell>
          <cell r="L310">
            <v>11.16</v>
          </cell>
          <cell r="M310">
            <v>8.44</v>
          </cell>
          <cell r="N310">
            <v>6.09</v>
          </cell>
          <cell r="O310">
            <v>3.59</v>
          </cell>
          <cell r="P310">
            <v>2.71</v>
          </cell>
          <cell r="Q310">
            <v>2.57</v>
          </cell>
          <cell r="R310">
            <v>1.53</v>
          </cell>
          <cell r="S310">
            <v>1.18</v>
          </cell>
          <cell r="T310">
            <v>1.07</v>
          </cell>
          <cell r="U310">
            <v>0.64</v>
          </cell>
          <cell r="V310">
            <v>0.5</v>
          </cell>
          <cell r="X310" t="str">
            <v>Re-size</v>
          </cell>
          <cell r="Y310" t="str">
            <v>Re-size</v>
          </cell>
          <cell r="Z310" t="str">
            <v>Re-size</v>
          </cell>
          <cell r="AA310" t="str">
            <v>Re-size</v>
          </cell>
          <cell r="AB310" t="str">
            <v>Re-size</v>
          </cell>
          <cell r="AC310" t="str">
            <v>Re-size</v>
          </cell>
          <cell r="AD310" t="str">
            <v>Re-size</v>
          </cell>
          <cell r="AE310" t="str">
            <v>Re-size</v>
          </cell>
        </row>
        <row r="311">
          <cell r="B311">
            <v>3.02</v>
          </cell>
          <cell r="C311" t="str">
            <v>Re-size</v>
          </cell>
          <cell r="D311" t="str">
            <v>Re-size</v>
          </cell>
          <cell r="E311" t="str">
            <v>Re-size</v>
          </cell>
          <cell r="F311" t="str">
            <v>Re-size</v>
          </cell>
          <cell r="G311" t="str">
            <v>Re-size</v>
          </cell>
          <cell r="H311" t="str">
            <v>Re-size</v>
          </cell>
          <cell r="I311" t="str">
            <v>Re-size</v>
          </cell>
          <cell r="J311" t="str">
            <v>Re-size</v>
          </cell>
          <cell r="K311">
            <v>18.739999999999998</v>
          </cell>
          <cell r="L311">
            <v>11.21</v>
          </cell>
          <cell r="M311">
            <v>8.49</v>
          </cell>
          <cell r="N311">
            <v>6.12</v>
          </cell>
          <cell r="O311">
            <v>3.61</v>
          </cell>
          <cell r="P311">
            <v>2.7199999999999998</v>
          </cell>
          <cell r="Q311">
            <v>2.59</v>
          </cell>
          <cell r="R311">
            <v>1.54</v>
          </cell>
          <cell r="S311">
            <v>1.19</v>
          </cell>
          <cell r="T311">
            <v>1.08</v>
          </cell>
          <cell r="U311">
            <v>0.64</v>
          </cell>
          <cell r="V311">
            <v>0.5</v>
          </cell>
          <cell r="X311" t="str">
            <v>Re-size</v>
          </cell>
          <cell r="Y311" t="str">
            <v>Re-size</v>
          </cell>
          <cell r="Z311" t="str">
            <v>Re-size</v>
          </cell>
          <cell r="AA311" t="str">
            <v>Re-size</v>
          </cell>
          <cell r="AB311" t="str">
            <v>Re-size</v>
          </cell>
          <cell r="AC311" t="str">
            <v>Re-size</v>
          </cell>
          <cell r="AD311" t="str">
            <v>Re-size</v>
          </cell>
          <cell r="AE311" t="str">
            <v>Re-size</v>
          </cell>
        </row>
        <row r="312">
          <cell r="B312">
            <v>3.03</v>
          </cell>
          <cell r="C312" t="str">
            <v>Re-size</v>
          </cell>
          <cell r="D312" t="str">
            <v>Re-size</v>
          </cell>
          <cell r="E312" t="str">
            <v>Re-size</v>
          </cell>
          <cell r="F312" t="str">
            <v>Re-size</v>
          </cell>
          <cell r="G312" t="str">
            <v>Re-size</v>
          </cell>
          <cell r="H312" t="str">
            <v>Re-size</v>
          </cell>
          <cell r="I312" t="str">
            <v>Re-size</v>
          </cell>
          <cell r="J312" t="str">
            <v>Re-size</v>
          </cell>
          <cell r="K312">
            <v>18.87</v>
          </cell>
          <cell r="L312">
            <v>11.28</v>
          </cell>
          <cell r="M312">
            <v>8.5499999999999989</v>
          </cell>
          <cell r="N312">
            <v>6.16</v>
          </cell>
          <cell r="O312">
            <v>3.6399999999999997</v>
          </cell>
          <cell r="P312">
            <v>2.7399999999999998</v>
          </cell>
          <cell r="Q312">
            <v>2.5999999999999996</v>
          </cell>
          <cell r="R312">
            <v>1.55</v>
          </cell>
          <cell r="S312">
            <v>1.2</v>
          </cell>
          <cell r="T312">
            <v>1.0900000000000001</v>
          </cell>
          <cell r="U312">
            <v>0.65</v>
          </cell>
          <cell r="V312">
            <v>0.5</v>
          </cell>
          <cell r="X312" t="str">
            <v>Re-size</v>
          </cell>
          <cell r="Y312" t="str">
            <v>Re-size</v>
          </cell>
          <cell r="Z312" t="str">
            <v>Re-size</v>
          </cell>
          <cell r="AA312" t="str">
            <v>Re-size</v>
          </cell>
          <cell r="AB312" t="str">
            <v>Re-size</v>
          </cell>
          <cell r="AC312" t="str">
            <v>Re-size</v>
          </cell>
          <cell r="AD312" t="str">
            <v>Re-size</v>
          </cell>
          <cell r="AE312" t="str">
            <v>Re-size</v>
          </cell>
        </row>
        <row r="313">
          <cell r="B313">
            <v>3.04</v>
          </cell>
          <cell r="C313" t="str">
            <v>Re-size</v>
          </cell>
          <cell r="D313" t="str">
            <v>Re-size</v>
          </cell>
          <cell r="E313" t="str">
            <v>Re-size</v>
          </cell>
          <cell r="F313" t="str">
            <v>Re-size</v>
          </cell>
          <cell r="G313" t="str">
            <v>Re-size</v>
          </cell>
          <cell r="H313" t="str">
            <v>Re-size</v>
          </cell>
          <cell r="I313" t="str">
            <v>Re-size</v>
          </cell>
          <cell r="J313" t="str">
            <v>Re-size</v>
          </cell>
          <cell r="K313">
            <v>18.989999999999998</v>
          </cell>
          <cell r="L313">
            <v>11.35</v>
          </cell>
          <cell r="M313">
            <v>8.6</v>
          </cell>
          <cell r="N313">
            <v>6.1899999999999995</v>
          </cell>
          <cell r="O313">
            <v>3.6599999999999997</v>
          </cell>
          <cell r="P313">
            <v>2.75</v>
          </cell>
          <cell r="Q313">
            <v>2.6199999999999997</v>
          </cell>
          <cell r="R313">
            <v>1.56</v>
          </cell>
          <cell r="S313">
            <v>1.21</v>
          </cell>
          <cell r="T313">
            <v>1.0900000000000001</v>
          </cell>
          <cell r="U313">
            <v>0.65</v>
          </cell>
          <cell r="V313">
            <v>0.51</v>
          </cell>
          <cell r="X313" t="str">
            <v>Re-size</v>
          </cell>
          <cell r="Y313" t="str">
            <v>Re-size</v>
          </cell>
          <cell r="Z313" t="str">
            <v>Re-size</v>
          </cell>
          <cell r="AA313" t="str">
            <v>Re-size</v>
          </cell>
          <cell r="AB313" t="str">
            <v>Re-size</v>
          </cell>
          <cell r="AC313" t="str">
            <v>Re-size</v>
          </cell>
          <cell r="AD313" t="str">
            <v>Re-size</v>
          </cell>
          <cell r="AE313" t="str">
            <v>Re-size</v>
          </cell>
        </row>
        <row r="314">
          <cell r="B314">
            <v>3.05</v>
          </cell>
          <cell r="C314" t="str">
            <v>Re-size</v>
          </cell>
          <cell r="D314" t="str">
            <v>Re-size</v>
          </cell>
          <cell r="E314" t="str">
            <v>Re-size</v>
          </cell>
          <cell r="F314" t="str">
            <v>Re-size</v>
          </cell>
          <cell r="G314" t="str">
            <v>Re-size</v>
          </cell>
          <cell r="H314" t="str">
            <v>Re-size</v>
          </cell>
          <cell r="I314" t="str">
            <v>Re-size</v>
          </cell>
          <cell r="J314" t="str">
            <v>Re-size</v>
          </cell>
          <cell r="K314">
            <v>19.07</v>
          </cell>
          <cell r="L314">
            <v>11.43</v>
          </cell>
          <cell r="M314">
            <v>8.64</v>
          </cell>
          <cell r="N314">
            <v>6.22</v>
          </cell>
          <cell r="O314">
            <v>3.68</v>
          </cell>
          <cell r="P314">
            <v>2.76</v>
          </cell>
          <cell r="Q314">
            <v>2.63</v>
          </cell>
          <cell r="R314">
            <v>1.57</v>
          </cell>
          <cell r="S314">
            <v>1.21</v>
          </cell>
          <cell r="T314">
            <v>1.095</v>
          </cell>
          <cell r="U314">
            <v>0.65</v>
          </cell>
          <cell r="V314">
            <v>0.505</v>
          </cell>
          <cell r="X314" t="str">
            <v>Re-size</v>
          </cell>
          <cell r="Y314" t="str">
            <v>Re-size</v>
          </cell>
          <cell r="Z314" t="str">
            <v>Re-size</v>
          </cell>
          <cell r="AA314" t="str">
            <v>Re-size</v>
          </cell>
          <cell r="AB314" t="str">
            <v>Re-size</v>
          </cell>
          <cell r="AC314" t="str">
            <v>Re-size</v>
          </cell>
          <cell r="AD314" t="str">
            <v>Re-size</v>
          </cell>
          <cell r="AE314" t="str">
            <v>Re-size</v>
          </cell>
        </row>
        <row r="315">
          <cell r="B315">
            <v>3.06</v>
          </cell>
          <cell r="C315" t="str">
            <v>Re-size</v>
          </cell>
          <cell r="D315" t="str">
            <v>Re-size</v>
          </cell>
          <cell r="E315" t="str">
            <v>Re-size</v>
          </cell>
          <cell r="F315" t="str">
            <v>Re-size</v>
          </cell>
          <cell r="G315" t="str">
            <v>Re-size</v>
          </cell>
          <cell r="H315" t="str">
            <v>Re-size</v>
          </cell>
          <cell r="I315" t="str">
            <v>Re-size</v>
          </cell>
          <cell r="J315" t="str">
            <v>Re-size</v>
          </cell>
          <cell r="K315">
            <v>19.14</v>
          </cell>
          <cell r="L315">
            <v>11.5</v>
          </cell>
          <cell r="M315">
            <v>8.67</v>
          </cell>
          <cell r="N315">
            <v>6.27</v>
          </cell>
          <cell r="O315">
            <v>3.7</v>
          </cell>
          <cell r="P315">
            <v>2.78</v>
          </cell>
          <cell r="Q315">
            <v>2.65</v>
          </cell>
          <cell r="R315">
            <v>1.58</v>
          </cell>
          <cell r="S315">
            <v>1.22</v>
          </cell>
          <cell r="T315">
            <v>1.1100000000000001</v>
          </cell>
          <cell r="U315">
            <v>0.66</v>
          </cell>
          <cell r="V315">
            <v>0.51</v>
          </cell>
          <cell r="X315" t="str">
            <v>Re-size</v>
          </cell>
          <cell r="Y315" t="str">
            <v>Re-size</v>
          </cell>
          <cell r="Z315" t="str">
            <v>Re-size</v>
          </cell>
          <cell r="AA315" t="str">
            <v>Re-size</v>
          </cell>
          <cell r="AB315" t="str">
            <v>Re-size</v>
          </cell>
          <cell r="AC315" t="str">
            <v>Re-size</v>
          </cell>
          <cell r="AD315" t="str">
            <v>Re-size</v>
          </cell>
          <cell r="AE315" t="str">
            <v>Re-size</v>
          </cell>
        </row>
        <row r="316">
          <cell r="B316">
            <v>3.07</v>
          </cell>
          <cell r="C316" t="str">
            <v>Re-size</v>
          </cell>
          <cell r="D316" t="str">
            <v>Re-size</v>
          </cell>
          <cell r="E316" t="str">
            <v>Re-size</v>
          </cell>
          <cell r="F316" t="str">
            <v>Re-size</v>
          </cell>
          <cell r="G316" t="str">
            <v>Re-size</v>
          </cell>
          <cell r="H316" t="str">
            <v>Re-size</v>
          </cell>
          <cell r="I316" t="str">
            <v>Re-size</v>
          </cell>
          <cell r="J316" t="str">
            <v>Re-size</v>
          </cell>
          <cell r="K316">
            <v>19.270000000000003</v>
          </cell>
          <cell r="L316">
            <v>11.58</v>
          </cell>
          <cell r="M316">
            <v>8.73</v>
          </cell>
          <cell r="N316">
            <v>6.31</v>
          </cell>
          <cell r="O316">
            <v>3.72</v>
          </cell>
          <cell r="P316">
            <v>2.8</v>
          </cell>
          <cell r="Q316">
            <v>2.67</v>
          </cell>
          <cell r="R316">
            <v>1.59</v>
          </cell>
          <cell r="S316">
            <v>1.23</v>
          </cell>
          <cell r="T316">
            <v>1.1100000000000001</v>
          </cell>
          <cell r="U316">
            <v>0.66</v>
          </cell>
          <cell r="V316">
            <v>0.52</v>
          </cell>
          <cell r="X316" t="str">
            <v>Re-size</v>
          </cell>
          <cell r="Y316" t="str">
            <v>Re-size</v>
          </cell>
          <cell r="Z316" t="str">
            <v>Re-size</v>
          </cell>
          <cell r="AA316" t="str">
            <v>Re-size</v>
          </cell>
          <cell r="AB316" t="str">
            <v>Re-size</v>
          </cell>
          <cell r="AC316" t="str">
            <v>Re-size</v>
          </cell>
          <cell r="AD316" t="str">
            <v>Re-size</v>
          </cell>
          <cell r="AE316" t="str">
            <v>Re-size</v>
          </cell>
        </row>
        <row r="317">
          <cell r="B317">
            <v>3.08</v>
          </cell>
          <cell r="C317" t="str">
            <v>Re-size</v>
          </cell>
          <cell r="D317" t="str">
            <v>Re-size</v>
          </cell>
          <cell r="E317" t="str">
            <v>Re-size</v>
          </cell>
          <cell r="F317" t="str">
            <v>Re-size</v>
          </cell>
          <cell r="G317" t="str">
            <v>Re-size</v>
          </cell>
          <cell r="H317" t="str">
            <v>Re-size</v>
          </cell>
          <cell r="I317" t="str">
            <v>Re-size</v>
          </cell>
          <cell r="J317" t="str">
            <v>Re-size</v>
          </cell>
          <cell r="K317">
            <v>19.39</v>
          </cell>
          <cell r="L317">
            <v>11.66</v>
          </cell>
          <cell r="M317">
            <v>8.7799999999999994</v>
          </cell>
          <cell r="N317">
            <v>6.35</v>
          </cell>
          <cell r="O317">
            <v>3.74</v>
          </cell>
          <cell r="P317">
            <v>2.82</v>
          </cell>
          <cell r="Q317">
            <v>2.6799999999999997</v>
          </cell>
          <cell r="R317">
            <v>1.6</v>
          </cell>
          <cell r="S317">
            <v>1.23</v>
          </cell>
          <cell r="T317">
            <v>1.1200000000000001</v>
          </cell>
          <cell r="U317">
            <v>0.67</v>
          </cell>
          <cell r="V317">
            <v>0.52</v>
          </cell>
          <cell r="X317" t="str">
            <v>Re-size</v>
          </cell>
          <cell r="Y317" t="str">
            <v>Re-size</v>
          </cell>
          <cell r="Z317" t="str">
            <v>Re-size</v>
          </cell>
          <cell r="AA317" t="str">
            <v>Re-size</v>
          </cell>
          <cell r="AB317" t="str">
            <v>Re-size</v>
          </cell>
          <cell r="AC317" t="str">
            <v>Re-size</v>
          </cell>
          <cell r="AD317" t="str">
            <v>Re-size</v>
          </cell>
          <cell r="AE317" t="str">
            <v>Re-size</v>
          </cell>
        </row>
        <row r="318">
          <cell r="B318">
            <v>3.09</v>
          </cell>
          <cell r="C318" t="str">
            <v>Re-size</v>
          </cell>
          <cell r="D318" t="str">
            <v>Re-size</v>
          </cell>
          <cell r="E318" t="str">
            <v>Re-size</v>
          </cell>
          <cell r="F318" t="str">
            <v>Re-size</v>
          </cell>
          <cell r="G318" t="str">
            <v>Re-size</v>
          </cell>
          <cell r="H318" t="str">
            <v>Re-size</v>
          </cell>
          <cell r="I318" t="str">
            <v>Re-size</v>
          </cell>
          <cell r="J318" t="str">
            <v>Re-size</v>
          </cell>
          <cell r="K318">
            <v>19.520000000000003</v>
          </cell>
          <cell r="L318">
            <v>11.709999999999999</v>
          </cell>
          <cell r="M318">
            <v>8.84</v>
          </cell>
          <cell r="N318">
            <v>6.39</v>
          </cell>
          <cell r="O318">
            <v>3.76</v>
          </cell>
          <cell r="P318">
            <v>2.84</v>
          </cell>
          <cell r="Q318">
            <v>2.6999999999999997</v>
          </cell>
          <cell r="R318">
            <v>1.61</v>
          </cell>
          <cell r="S318">
            <v>1.24</v>
          </cell>
          <cell r="T318">
            <v>1.1300000000000001</v>
          </cell>
          <cell r="U318">
            <v>0.67</v>
          </cell>
          <cell r="V318">
            <v>0.52</v>
          </cell>
          <cell r="X318" t="str">
            <v>Re-size</v>
          </cell>
          <cell r="Y318" t="str">
            <v>Re-size</v>
          </cell>
          <cell r="Z318" t="str">
            <v>Re-size</v>
          </cell>
          <cell r="AA318" t="str">
            <v>Re-size</v>
          </cell>
          <cell r="AB318" t="str">
            <v>Re-size</v>
          </cell>
          <cell r="AC318" t="str">
            <v>Re-size</v>
          </cell>
          <cell r="AD318" t="str">
            <v>Re-size</v>
          </cell>
          <cell r="AE318" t="str">
            <v>Re-size</v>
          </cell>
        </row>
        <row r="319">
          <cell r="B319">
            <v>3.1</v>
          </cell>
          <cell r="C319" t="str">
            <v>Re-size</v>
          </cell>
          <cell r="D319" t="str">
            <v>Re-size</v>
          </cell>
          <cell r="E319" t="str">
            <v>Re-size</v>
          </cell>
          <cell r="F319" t="str">
            <v>Re-size</v>
          </cell>
          <cell r="G319" t="str">
            <v>Re-size</v>
          </cell>
          <cell r="H319" t="str">
            <v>Re-size</v>
          </cell>
          <cell r="I319" t="str">
            <v>Re-size</v>
          </cell>
          <cell r="J319" t="str">
            <v>Re-size</v>
          </cell>
          <cell r="K319">
            <v>19.64</v>
          </cell>
          <cell r="L319">
            <v>11.75</v>
          </cell>
          <cell r="M319">
            <v>8.9</v>
          </cell>
          <cell r="N319">
            <v>6.43</v>
          </cell>
          <cell r="O319">
            <v>3.78</v>
          </cell>
          <cell r="P319">
            <v>2.85</v>
          </cell>
          <cell r="Q319">
            <v>2.71</v>
          </cell>
          <cell r="R319">
            <v>1.61</v>
          </cell>
          <cell r="S319">
            <v>1.24</v>
          </cell>
          <cell r="T319">
            <v>1.1299999999999999</v>
          </cell>
          <cell r="U319">
            <v>0.67</v>
          </cell>
          <cell r="V319">
            <v>0.52</v>
          </cell>
          <cell r="X319" t="str">
            <v>Re-size</v>
          </cell>
          <cell r="Y319" t="str">
            <v>Re-size</v>
          </cell>
          <cell r="Z319" t="str">
            <v>Re-size</v>
          </cell>
          <cell r="AA319" t="str">
            <v>Re-size</v>
          </cell>
          <cell r="AB319" t="str">
            <v>Re-size</v>
          </cell>
          <cell r="AC319" t="str">
            <v>Re-size</v>
          </cell>
          <cell r="AD319" t="str">
            <v>Re-size</v>
          </cell>
          <cell r="AE319" t="str">
            <v>Re-size</v>
          </cell>
        </row>
        <row r="320">
          <cell r="B320">
            <v>3.11</v>
          </cell>
          <cell r="C320" t="str">
            <v>Re-size</v>
          </cell>
          <cell r="D320" t="str">
            <v>Re-size</v>
          </cell>
          <cell r="E320" t="str">
            <v>Re-size</v>
          </cell>
          <cell r="F320" t="str">
            <v>Re-size</v>
          </cell>
          <cell r="G320" t="str">
            <v>Re-size</v>
          </cell>
          <cell r="H320" t="str">
            <v>Re-size</v>
          </cell>
          <cell r="I320" t="str">
            <v>Re-size</v>
          </cell>
          <cell r="J320" t="str">
            <v>Re-size</v>
          </cell>
          <cell r="K320">
            <v>19.77</v>
          </cell>
          <cell r="L320">
            <v>11.83</v>
          </cell>
          <cell r="M320">
            <v>8.9599999999999991</v>
          </cell>
          <cell r="N320">
            <v>6.47</v>
          </cell>
          <cell r="O320">
            <v>3.8099999999999996</v>
          </cell>
          <cell r="P320">
            <v>2.8699999999999997</v>
          </cell>
          <cell r="Q320">
            <v>2.73</v>
          </cell>
          <cell r="R320">
            <v>1.62</v>
          </cell>
          <cell r="S320">
            <v>1.25</v>
          </cell>
          <cell r="T320">
            <v>1.1399999999999999</v>
          </cell>
          <cell r="U320">
            <v>0.68</v>
          </cell>
          <cell r="V320">
            <v>0.53</v>
          </cell>
          <cell r="X320" t="str">
            <v>Re-size</v>
          </cell>
          <cell r="Y320" t="str">
            <v>Re-size</v>
          </cell>
          <cell r="Z320" t="str">
            <v>Re-size</v>
          </cell>
          <cell r="AA320" t="str">
            <v>Re-size</v>
          </cell>
          <cell r="AB320" t="str">
            <v>Re-size</v>
          </cell>
          <cell r="AC320" t="str">
            <v>Re-size</v>
          </cell>
          <cell r="AD320" t="str">
            <v>Re-size</v>
          </cell>
          <cell r="AE320" t="str">
            <v>Re-size</v>
          </cell>
        </row>
        <row r="321">
          <cell r="B321">
            <v>3.12</v>
          </cell>
          <cell r="C321" t="str">
            <v>Re-size</v>
          </cell>
          <cell r="D321" t="str">
            <v>Re-size</v>
          </cell>
          <cell r="E321" t="str">
            <v>Re-size</v>
          </cell>
          <cell r="F321" t="str">
            <v>Re-size</v>
          </cell>
          <cell r="G321" t="str">
            <v>Re-size</v>
          </cell>
          <cell r="H321" t="str">
            <v>Re-size</v>
          </cell>
          <cell r="I321" t="str">
            <v>Re-size</v>
          </cell>
          <cell r="J321" t="str">
            <v>Re-size</v>
          </cell>
          <cell r="K321">
            <v>19.899999999999999</v>
          </cell>
          <cell r="L321">
            <v>11.9</v>
          </cell>
          <cell r="M321">
            <v>9.01</v>
          </cell>
          <cell r="N321">
            <v>6.5</v>
          </cell>
          <cell r="O321">
            <v>3.8299999999999996</v>
          </cell>
          <cell r="P321">
            <v>2.8899999999999997</v>
          </cell>
          <cell r="Q321">
            <v>2.75</v>
          </cell>
          <cell r="R321">
            <v>1.6300000000000001</v>
          </cell>
          <cell r="S321">
            <v>1.26</v>
          </cell>
          <cell r="T321">
            <v>1.1499999999999999</v>
          </cell>
          <cell r="U321">
            <v>0.68</v>
          </cell>
          <cell r="V321">
            <v>0.53</v>
          </cell>
          <cell r="X321" t="str">
            <v>Re-size</v>
          </cell>
          <cell r="Y321" t="str">
            <v>Re-size</v>
          </cell>
          <cell r="Z321" t="str">
            <v>Re-size</v>
          </cell>
          <cell r="AA321" t="str">
            <v>Re-size</v>
          </cell>
          <cell r="AB321" t="str">
            <v>Re-size</v>
          </cell>
          <cell r="AC321" t="str">
            <v>Re-size</v>
          </cell>
          <cell r="AD321" t="str">
            <v>Re-size</v>
          </cell>
          <cell r="AE321" t="str">
            <v>Re-size</v>
          </cell>
        </row>
        <row r="322">
          <cell r="B322">
            <v>3.13</v>
          </cell>
          <cell r="C322" t="str">
            <v>Re-size</v>
          </cell>
          <cell r="D322" t="str">
            <v>Re-size</v>
          </cell>
          <cell r="E322" t="str">
            <v>Re-size</v>
          </cell>
          <cell r="F322" t="str">
            <v>Re-size</v>
          </cell>
          <cell r="G322" t="str">
            <v>Re-size</v>
          </cell>
          <cell r="H322" t="str">
            <v>Re-size</v>
          </cell>
          <cell r="I322" t="str">
            <v>Re-size</v>
          </cell>
          <cell r="J322" t="str">
            <v>Re-size</v>
          </cell>
          <cell r="K322">
            <v>20.03</v>
          </cell>
          <cell r="L322">
            <v>11.98</v>
          </cell>
          <cell r="M322">
            <v>9.0499999999999989</v>
          </cell>
          <cell r="N322">
            <v>6.54</v>
          </cell>
          <cell r="O322">
            <v>3.8499999999999996</v>
          </cell>
          <cell r="P322">
            <v>2.9</v>
          </cell>
          <cell r="Q322">
            <v>2.7699999999999996</v>
          </cell>
          <cell r="R322">
            <v>1.64</v>
          </cell>
          <cell r="S322">
            <v>1.27</v>
          </cell>
          <cell r="T322">
            <v>1.1499999999999999</v>
          </cell>
          <cell r="U322">
            <v>0.69000000000000006</v>
          </cell>
          <cell r="V322">
            <v>0.53</v>
          </cell>
          <cell r="X322" t="str">
            <v>Re-size</v>
          </cell>
          <cell r="Y322" t="str">
            <v>Re-size</v>
          </cell>
          <cell r="Z322" t="str">
            <v>Re-size</v>
          </cell>
          <cell r="AA322" t="str">
            <v>Re-size</v>
          </cell>
          <cell r="AB322" t="str">
            <v>Re-size</v>
          </cell>
          <cell r="AC322" t="str">
            <v>Re-size</v>
          </cell>
          <cell r="AD322" t="str">
            <v>Re-size</v>
          </cell>
          <cell r="AE322" t="str">
            <v>Re-size</v>
          </cell>
        </row>
        <row r="323">
          <cell r="B323">
            <v>3.14</v>
          </cell>
          <cell r="C323" t="str">
            <v>Re-size</v>
          </cell>
          <cell r="D323" t="str">
            <v>Re-size</v>
          </cell>
          <cell r="E323" t="str">
            <v>Re-size</v>
          </cell>
          <cell r="F323" t="str">
            <v>Re-size</v>
          </cell>
          <cell r="G323" t="str">
            <v>Re-size</v>
          </cell>
          <cell r="H323" t="str">
            <v>Re-size</v>
          </cell>
          <cell r="I323" t="str">
            <v>Re-size</v>
          </cell>
          <cell r="J323" t="str">
            <v>Re-size</v>
          </cell>
          <cell r="K323">
            <v>20.149999999999999</v>
          </cell>
          <cell r="L323">
            <v>12.05</v>
          </cell>
          <cell r="M323">
            <v>9.08</v>
          </cell>
          <cell r="N323">
            <v>6.5699999999999994</v>
          </cell>
          <cell r="O323">
            <v>3.8699999999999997</v>
          </cell>
          <cell r="P323">
            <v>2.92</v>
          </cell>
          <cell r="Q323">
            <v>2.7899999999999996</v>
          </cell>
          <cell r="R323">
            <v>1.65</v>
          </cell>
          <cell r="S323">
            <v>1.28</v>
          </cell>
          <cell r="T323">
            <v>1.1599999999999999</v>
          </cell>
          <cell r="U323">
            <v>0.69000000000000006</v>
          </cell>
          <cell r="V323">
            <v>0.54</v>
          </cell>
          <cell r="X323" t="str">
            <v>Re-size</v>
          </cell>
          <cell r="Y323" t="str">
            <v>Re-size</v>
          </cell>
          <cell r="Z323" t="str">
            <v>Re-size</v>
          </cell>
          <cell r="AA323" t="str">
            <v>Re-size</v>
          </cell>
          <cell r="AB323" t="str">
            <v>Re-size</v>
          </cell>
          <cell r="AC323" t="str">
            <v>Re-size</v>
          </cell>
          <cell r="AD323" t="str">
            <v>Re-size</v>
          </cell>
          <cell r="AE323" t="str">
            <v>Re-size</v>
          </cell>
        </row>
        <row r="324">
          <cell r="B324">
            <v>3.15</v>
          </cell>
          <cell r="C324" t="str">
            <v>Re-size</v>
          </cell>
          <cell r="D324" t="str">
            <v>Re-size</v>
          </cell>
          <cell r="E324" t="str">
            <v>Re-size</v>
          </cell>
          <cell r="F324" t="str">
            <v>Re-size</v>
          </cell>
          <cell r="G324" t="str">
            <v>Re-size</v>
          </cell>
          <cell r="H324" t="str">
            <v>Re-size</v>
          </cell>
          <cell r="I324" t="str">
            <v>Re-size</v>
          </cell>
          <cell r="J324" t="str">
            <v>Re-size</v>
          </cell>
          <cell r="K324">
            <v>20.23</v>
          </cell>
          <cell r="L324">
            <v>12.13</v>
          </cell>
          <cell r="M324">
            <v>9.14</v>
          </cell>
          <cell r="N324">
            <v>6.6</v>
          </cell>
          <cell r="O324">
            <v>3.89</v>
          </cell>
          <cell r="P324">
            <v>2.93</v>
          </cell>
          <cell r="Q324">
            <v>2.8</v>
          </cell>
          <cell r="R324">
            <v>1.65</v>
          </cell>
          <cell r="S324">
            <v>1.28</v>
          </cell>
          <cell r="T324">
            <v>1.1599999999999999</v>
          </cell>
          <cell r="U324">
            <v>0.69</v>
          </cell>
          <cell r="V324">
            <v>0.53500000000000003</v>
          </cell>
          <cell r="X324" t="str">
            <v>Re-size</v>
          </cell>
          <cell r="Y324" t="str">
            <v>Re-size</v>
          </cell>
          <cell r="Z324" t="str">
            <v>Re-size</v>
          </cell>
          <cell r="AA324" t="str">
            <v>Re-size</v>
          </cell>
          <cell r="AB324" t="str">
            <v>Re-size</v>
          </cell>
          <cell r="AC324" t="str">
            <v>Re-size</v>
          </cell>
          <cell r="AD324" t="str">
            <v>Re-size</v>
          </cell>
          <cell r="AE324" t="str">
            <v>Re-size</v>
          </cell>
        </row>
        <row r="325">
          <cell r="B325">
            <v>3.16</v>
          </cell>
          <cell r="C325" t="str">
            <v>Re-size</v>
          </cell>
          <cell r="D325" t="str">
            <v>Re-size</v>
          </cell>
          <cell r="E325" t="str">
            <v>Re-size</v>
          </cell>
          <cell r="F325" t="str">
            <v>Re-size</v>
          </cell>
          <cell r="G325" t="str">
            <v>Re-size</v>
          </cell>
          <cell r="H325" t="str">
            <v>Re-size</v>
          </cell>
          <cell r="I325" t="str">
            <v>Re-size</v>
          </cell>
          <cell r="J325" t="str">
            <v>Re-size</v>
          </cell>
          <cell r="K325">
            <v>20.309999999999999</v>
          </cell>
          <cell r="L325">
            <v>12.21</v>
          </cell>
          <cell r="M325">
            <v>9.1999999999999993</v>
          </cell>
          <cell r="N325">
            <v>6.6499999999999995</v>
          </cell>
          <cell r="O325">
            <v>3.92</v>
          </cell>
          <cell r="P325">
            <v>2.95</v>
          </cell>
          <cell r="Q325">
            <v>2.82</v>
          </cell>
          <cell r="R325">
            <v>1.67</v>
          </cell>
          <cell r="S325">
            <v>1.29</v>
          </cell>
          <cell r="T325">
            <v>1.17</v>
          </cell>
          <cell r="U325">
            <v>0.7</v>
          </cell>
          <cell r="V325">
            <v>0.54</v>
          </cell>
          <cell r="X325" t="str">
            <v>Re-size</v>
          </cell>
          <cell r="Y325" t="str">
            <v>Re-size</v>
          </cell>
          <cell r="Z325" t="str">
            <v>Re-size</v>
          </cell>
          <cell r="AA325" t="str">
            <v>Re-size</v>
          </cell>
          <cell r="AB325" t="str">
            <v>Re-size</v>
          </cell>
          <cell r="AC325" t="str">
            <v>Re-size</v>
          </cell>
          <cell r="AD325" t="str">
            <v>Re-size</v>
          </cell>
          <cell r="AE325" t="str">
            <v>Re-size</v>
          </cell>
        </row>
        <row r="326">
          <cell r="B326">
            <v>3.17</v>
          </cell>
          <cell r="C326" t="str">
            <v>Re-size</v>
          </cell>
          <cell r="D326" t="str">
            <v>Re-size</v>
          </cell>
          <cell r="E326" t="str">
            <v>Re-size</v>
          </cell>
          <cell r="F326" t="str">
            <v>Re-size</v>
          </cell>
          <cell r="G326" t="str">
            <v>Re-size</v>
          </cell>
          <cell r="H326" t="str">
            <v>Re-size</v>
          </cell>
          <cell r="I326" t="str">
            <v>Re-size</v>
          </cell>
          <cell r="J326" t="str">
            <v>Re-size</v>
          </cell>
          <cell r="K326">
            <v>20.440000000000001</v>
          </cell>
          <cell r="L326">
            <v>12.29</v>
          </cell>
          <cell r="M326">
            <v>9.26</v>
          </cell>
          <cell r="N326">
            <v>6.6899999999999995</v>
          </cell>
          <cell r="O326">
            <v>3.94</v>
          </cell>
          <cell r="P326">
            <v>2.97</v>
          </cell>
          <cell r="Q326">
            <v>2.8299999999999996</v>
          </cell>
          <cell r="R326">
            <v>1.68</v>
          </cell>
          <cell r="S326">
            <v>1.3</v>
          </cell>
          <cell r="T326">
            <v>1.18</v>
          </cell>
          <cell r="U326">
            <v>0.7</v>
          </cell>
          <cell r="V326">
            <v>0.55000000000000004</v>
          </cell>
          <cell r="X326" t="str">
            <v>Re-size</v>
          </cell>
          <cell r="Y326" t="str">
            <v>Re-size</v>
          </cell>
          <cell r="Z326" t="str">
            <v>Re-size</v>
          </cell>
          <cell r="AA326" t="str">
            <v>Re-size</v>
          </cell>
          <cell r="AB326" t="str">
            <v>Re-size</v>
          </cell>
          <cell r="AC326" t="str">
            <v>Re-size</v>
          </cell>
          <cell r="AD326" t="str">
            <v>Re-size</v>
          </cell>
          <cell r="AE326" t="str">
            <v>Re-size</v>
          </cell>
        </row>
        <row r="327">
          <cell r="B327">
            <v>3.18</v>
          </cell>
          <cell r="C327" t="str">
            <v>Re-size</v>
          </cell>
          <cell r="D327" t="str">
            <v>Re-size</v>
          </cell>
          <cell r="E327" t="str">
            <v>Re-size</v>
          </cell>
          <cell r="F327" t="str">
            <v>Re-size</v>
          </cell>
          <cell r="G327" t="str">
            <v>Re-size</v>
          </cell>
          <cell r="H327" t="str">
            <v>Re-size</v>
          </cell>
          <cell r="I327" t="str">
            <v>Re-size</v>
          </cell>
          <cell r="J327" t="str">
            <v>Re-size</v>
          </cell>
          <cell r="K327">
            <v>20.56</v>
          </cell>
          <cell r="L327">
            <v>12.36</v>
          </cell>
          <cell r="M327">
            <v>9.32</v>
          </cell>
          <cell r="N327">
            <v>6.74</v>
          </cell>
          <cell r="O327">
            <v>3.9699999999999998</v>
          </cell>
          <cell r="P327">
            <v>2.99</v>
          </cell>
          <cell r="Q327">
            <v>2.8499999999999996</v>
          </cell>
          <cell r="R327">
            <v>1.69</v>
          </cell>
          <cell r="S327">
            <v>1.31</v>
          </cell>
          <cell r="T327">
            <v>1.18</v>
          </cell>
          <cell r="U327">
            <v>0.71</v>
          </cell>
          <cell r="V327">
            <v>0.55000000000000004</v>
          </cell>
          <cell r="X327" t="str">
            <v>Re-size</v>
          </cell>
          <cell r="Y327" t="str">
            <v>Re-size</v>
          </cell>
          <cell r="Z327" t="str">
            <v>Re-size</v>
          </cell>
          <cell r="AA327" t="str">
            <v>Re-size</v>
          </cell>
          <cell r="AB327" t="str">
            <v>Re-size</v>
          </cell>
          <cell r="AC327" t="str">
            <v>Re-size</v>
          </cell>
          <cell r="AD327" t="str">
            <v>Re-size</v>
          </cell>
          <cell r="AE327" t="str">
            <v>Re-size</v>
          </cell>
        </row>
        <row r="328">
          <cell r="B328">
            <v>3.19</v>
          </cell>
          <cell r="C328" t="str">
            <v>Re-size</v>
          </cell>
          <cell r="D328" t="str">
            <v>Re-size</v>
          </cell>
          <cell r="E328" t="str">
            <v>Re-size</v>
          </cell>
          <cell r="F328" t="str">
            <v>Re-size</v>
          </cell>
          <cell r="G328" t="str">
            <v>Re-size</v>
          </cell>
          <cell r="H328" t="str">
            <v>Re-size</v>
          </cell>
          <cell r="I328" t="str">
            <v>Re-size</v>
          </cell>
          <cell r="J328" t="str">
            <v>Re-size</v>
          </cell>
          <cell r="K328">
            <v>20.67</v>
          </cell>
          <cell r="L328">
            <v>12.41</v>
          </cell>
          <cell r="M328">
            <v>9.379999999999999</v>
          </cell>
          <cell r="N328">
            <v>6.7799999999999994</v>
          </cell>
          <cell r="O328">
            <v>3.9899999999999998</v>
          </cell>
          <cell r="P328">
            <v>3.01</v>
          </cell>
          <cell r="Q328">
            <v>2.86</v>
          </cell>
          <cell r="R328">
            <v>1.7</v>
          </cell>
          <cell r="S328">
            <v>1.32</v>
          </cell>
          <cell r="T328">
            <v>1.19</v>
          </cell>
          <cell r="U328">
            <v>0.71</v>
          </cell>
          <cell r="V328">
            <v>0.55000000000000004</v>
          </cell>
          <cell r="X328" t="str">
            <v>Re-size</v>
          </cell>
          <cell r="Y328" t="str">
            <v>Re-size</v>
          </cell>
          <cell r="Z328" t="str">
            <v>Re-size</v>
          </cell>
          <cell r="AA328" t="str">
            <v>Re-size</v>
          </cell>
          <cell r="AB328" t="str">
            <v>Re-size</v>
          </cell>
          <cell r="AC328" t="str">
            <v>Re-size</v>
          </cell>
          <cell r="AD328" t="str">
            <v>Re-size</v>
          </cell>
          <cell r="AE328" t="str">
            <v>Re-size</v>
          </cell>
        </row>
        <row r="329">
          <cell r="B329">
            <v>3.2</v>
          </cell>
          <cell r="C329" t="str">
            <v>Re-size</v>
          </cell>
          <cell r="D329" t="str">
            <v>Re-size</v>
          </cell>
          <cell r="E329" t="str">
            <v>Re-size</v>
          </cell>
          <cell r="F329" t="str">
            <v>Re-size</v>
          </cell>
          <cell r="G329" t="str">
            <v>Re-size</v>
          </cell>
          <cell r="H329" t="str">
            <v>Re-size</v>
          </cell>
          <cell r="I329" t="str">
            <v>Re-size</v>
          </cell>
          <cell r="J329" t="str">
            <v>Re-size</v>
          </cell>
          <cell r="K329">
            <v>20.78</v>
          </cell>
          <cell r="L329">
            <v>12.45</v>
          </cell>
          <cell r="M329">
            <v>9.43</v>
          </cell>
          <cell r="N329">
            <v>6.82</v>
          </cell>
          <cell r="O329">
            <v>4.01</v>
          </cell>
          <cell r="P329">
            <v>3.03</v>
          </cell>
          <cell r="Q329">
            <v>2.87</v>
          </cell>
          <cell r="R329">
            <v>1.71</v>
          </cell>
          <cell r="S329">
            <v>1.32</v>
          </cell>
          <cell r="T329">
            <v>1.19</v>
          </cell>
          <cell r="U329">
            <v>0.71</v>
          </cell>
          <cell r="V329">
            <v>0.55000000000000004</v>
          </cell>
          <cell r="X329" t="str">
            <v>Re-size</v>
          </cell>
          <cell r="Y329" t="str">
            <v>Re-size</v>
          </cell>
          <cell r="Z329" t="str">
            <v>Re-size</v>
          </cell>
          <cell r="AA329" t="str">
            <v>Re-size</v>
          </cell>
          <cell r="AB329" t="str">
            <v>Re-size</v>
          </cell>
          <cell r="AC329" t="str">
            <v>Re-size</v>
          </cell>
          <cell r="AD329" t="str">
            <v>Re-size</v>
          </cell>
          <cell r="AE329" t="str">
            <v>Re-size</v>
          </cell>
        </row>
        <row r="330">
          <cell r="B330">
            <v>3.21</v>
          </cell>
          <cell r="C330" t="str">
            <v>Re-size</v>
          </cell>
          <cell r="D330" t="str">
            <v>Re-size</v>
          </cell>
          <cell r="E330" t="str">
            <v>Re-size</v>
          </cell>
          <cell r="F330" t="str">
            <v>Re-size</v>
          </cell>
          <cell r="G330" t="str">
            <v>Re-size</v>
          </cell>
          <cell r="H330" t="str">
            <v>Re-size</v>
          </cell>
          <cell r="I330" t="str">
            <v>Re-size</v>
          </cell>
          <cell r="J330" t="str">
            <v>Re-size</v>
          </cell>
          <cell r="K330">
            <v>20.900000000000002</v>
          </cell>
          <cell r="L330">
            <v>12.53</v>
          </cell>
          <cell r="M330">
            <v>9.49</v>
          </cell>
          <cell r="N330">
            <v>6.8599999999999994</v>
          </cell>
          <cell r="O330">
            <v>4.04</v>
          </cell>
          <cell r="P330">
            <v>3.05</v>
          </cell>
          <cell r="Q330">
            <v>2.8899999999999997</v>
          </cell>
          <cell r="R330">
            <v>1.72</v>
          </cell>
          <cell r="S330">
            <v>1.33</v>
          </cell>
          <cell r="T330">
            <v>1.2</v>
          </cell>
          <cell r="U330">
            <v>0.72</v>
          </cell>
          <cell r="V330">
            <v>0.56000000000000005</v>
          </cell>
          <cell r="X330" t="str">
            <v>Re-size</v>
          </cell>
          <cell r="Y330" t="str">
            <v>Re-size</v>
          </cell>
          <cell r="Z330" t="str">
            <v>Re-size</v>
          </cell>
          <cell r="AA330" t="str">
            <v>Re-size</v>
          </cell>
          <cell r="AB330" t="str">
            <v>Re-size</v>
          </cell>
          <cell r="AC330" t="str">
            <v>Re-size</v>
          </cell>
          <cell r="AD330" t="str">
            <v>Re-size</v>
          </cell>
          <cell r="AE330" t="str">
            <v>Re-size</v>
          </cell>
        </row>
        <row r="331">
          <cell r="B331">
            <v>3.22</v>
          </cell>
          <cell r="C331" t="str">
            <v>Re-size</v>
          </cell>
          <cell r="D331" t="str">
            <v>Re-size</v>
          </cell>
          <cell r="E331" t="str">
            <v>Re-size</v>
          </cell>
          <cell r="F331" t="str">
            <v>Re-size</v>
          </cell>
          <cell r="G331" t="str">
            <v>Re-size</v>
          </cell>
          <cell r="H331" t="str">
            <v>Re-size</v>
          </cell>
          <cell r="I331" t="str">
            <v>Re-size</v>
          </cell>
          <cell r="J331" t="str">
            <v>Re-size</v>
          </cell>
          <cell r="K331">
            <v>21.01</v>
          </cell>
          <cell r="L331">
            <v>12.61</v>
          </cell>
          <cell r="M331">
            <v>9.5500000000000007</v>
          </cell>
          <cell r="N331">
            <v>6.89</v>
          </cell>
          <cell r="O331">
            <v>4.0599999999999996</v>
          </cell>
          <cell r="P331">
            <v>3.07</v>
          </cell>
          <cell r="Q331">
            <v>2.9099999999999997</v>
          </cell>
          <cell r="R331">
            <v>1.73</v>
          </cell>
          <cell r="S331">
            <v>1.34</v>
          </cell>
          <cell r="T331">
            <v>1.21</v>
          </cell>
          <cell r="U331">
            <v>0.72</v>
          </cell>
          <cell r="V331">
            <v>0.56000000000000005</v>
          </cell>
          <cell r="X331" t="str">
            <v>Re-size</v>
          </cell>
          <cell r="Y331" t="str">
            <v>Re-size</v>
          </cell>
          <cell r="Z331" t="str">
            <v>Re-size</v>
          </cell>
          <cell r="AA331" t="str">
            <v>Re-size</v>
          </cell>
          <cell r="AB331" t="str">
            <v>Re-size</v>
          </cell>
          <cell r="AC331" t="str">
            <v>Re-size</v>
          </cell>
          <cell r="AD331" t="str">
            <v>Re-size</v>
          </cell>
          <cell r="AE331" t="str">
            <v>Re-size</v>
          </cell>
        </row>
        <row r="332">
          <cell r="B332">
            <v>3.23</v>
          </cell>
          <cell r="C332" t="str">
            <v>Re-size</v>
          </cell>
          <cell r="D332" t="str">
            <v>Re-size</v>
          </cell>
          <cell r="E332" t="str">
            <v>Re-size</v>
          </cell>
          <cell r="F332" t="str">
            <v>Re-size</v>
          </cell>
          <cell r="G332" t="str">
            <v>Re-size</v>
          </cell>
          <cell r="H332" t="str">
            <v>Re-size</v>
          </cell>
          <cell r="I332" t="str">
            <v>Re-size</v>
          </cell>
          <cell r="J332" t="str">
            <v>Re-size</v>
          </cell>
          <cell r="K332">
            <v>21.130000000000003</v>
          </cell>
          <cell r="L332">
            <v>12.69</v>
          </cell>
          <cell r="M332">
            <v>9.59</v>
          </cell>
          <cell r="N332">
            <v>6.93</v>
          </cell>
          <cell r="O332">
            <v>4.08</v>
          </cell>
          <cell r="P332">
            <v>3.0799999999999996</v>
          </cell>
          <cell r="Q332">
            <v>2.92</v>
          </cell>
          <cell r="R332">
            <v>1.74</v>
          </cell>
          <cell r="S332">
            <v>1.34</v>
          </cell>
          <cell r="T332">
            <v>1.22</v>
          </cell>
          <cell r="U332">
            <v>0.73</v>
          </cell>
          <cell r="V332">
            <v>0.56000000000000005</v>
          </cell>
          <cell r="X332" t="str">
            <v>Re-size</v>
          </cell>
          <cell r="Y332" t="str">
            <v>Re-size</v>
          </cell>
          <cell r="Z332" t="str">
            <v>Re-size</v>
          </cell>
          <cell r="AA332" t="str">
            <v>Re-size</v>
          </cell>
          <cell r="AB332" t="str">
            <v>Re-size</v>
          </cell>
          <cell r="AC332" t="str">
            <v>Re-size</v>
          </cell>
          <cell r="AD332" t="str">
            <v>Re-size</v>
          </cell>
          <cell r="AE332" t="str">
            <v>Re-size</v>
          </cell>
        </row>
        <row r="333">
          <cell r="B333">
            <v>3.24</v>
          </cell>
          <cell r="C333" t="str">
            <v>Re-size</v>
          </cell>
          <cell r="D333" t="str">
            <v>Re-size</v>
          </cell>
          <cell r="E333" t="str">
            <v>Re-size</v>
          </cell>
          <cell r="F333" t="str">
            <v>Re-size</v>
          </cell>
          <cell r="G333" t="str">
            <v>Re-size</v>
          </cell>
          <cell r="H333" t="str">
            <v>Re-size</v>
          </cell>
          <cell r="I333" t="str">
            <v>Re-size</v>
          </cell>
          <cell r="J333" t="str">
            <v>Re-size</v>
          </cell>
          <cell r="K333">
            <v>21.24</v>
          </cell>
          <cell r="L333">
            <v>12.77</v>
          </cell>
          <cell r="M333">
            <v>9.6199999999999992</v>
          </cell>
          <cell r="N333">
            <v>6.96</v>
          </cell>
          <cell r="O333">
            <v>4.0999999999999996</v>
          </cell>
          <cell r="P333">
            <v>3.0999999999999996</v>
          </cell>
          <cell r="Q333">
            <v>2.94</v>
          </cell>
          <cell r="R333">
            <v>1.75</v>
          </cell>
          <cell r="S333">
            <v>1.35</v>
          </cell>
          <cell r="T333">
            <v>1.22</v>
          </cell>
          <cell r="U333">
            <v>0.73</v>
          </cell>
          <cell r="V333">
            <v>0.57000000000000006</v>
          </cell>
          <cell r="X333" t="str">
            <v>Re-size</v>
          </cell>
          <cell r="Y333" t="str">
            <v>Re-size</v>
          </cell>
          <cell r="Z333" t="str">
            <v>Re-size</v>
          </cell>
          <cell r="AA333" t="str">
            <v>Re-size</v>
          </cell>
          <cell r="AB333" t="str">
            <v>Re-size</v>
          </cell>
          <cell r="AC333" t="str">
            <v>Re-size</v>
          </cell>
          <cell r="AD333" t="str">
            <v>Re-size</v>
          </cell>
          <cell r="AE333" t="str">
            <v>Re-size</v>
          </cell>
        </row>
        <row r="334">
          <cell r="B334">
            <v>3.25</v>
          </cell>
          <cell r="C334" t="str">
            <v>Re-size</v>
          </cell>
          <cell r="D334" t="str">
            <v>Re-size</v>
          </cell>
          <cell r="E334" t="str">
            <v>Re-size</v>
          </cell>
          <cell r="F334" t="str">
            <v>Re-size</v>
          </cell>
          <cell r="G334" t="str">
            <v>Re-size</v>
          </cell>
          <cell r="H334" t="str">
            <v>Re-size</v>
          </cell>
          <cell r="I334" t="str">
            <v>Re-size</v>
          </cell>
          <cell r="J334" t="str">
            <v>Re-size</v>
          </cell>
          <cell r="K334">
            <v>21.360000000000003</v>
          </cell>
          <cell r="L334">
            <v>12.85</v>
          </cell>
          <cell r="M334">
            <v>9.68</v>
          </cell>
          <cell r="N334">
            <v>6.99</v>
          </cell>
          <cell r="O334">
            <v>4.12</v>
          </cell>
          <cell r="P334">
            <v>3.11</v>
          </cell>
          <cell r="Q334">
            <v>2.95</v>
          </cell>
          <cell r="R334">
            <v>1.75</v>
          </cell>
          <cell r="S334">
            <v>1.35</v>
          </cell>
          <cell r="T334">
            <v>1.2250000000000001</v>
          </cell>
          <cell r="U334">
            <v>0.73</v>
          </cell>
          <cell r="V334">
            <v>0.56499999999999995</v>
          </cell>
          <cell r="X334" t="str">
            <v>Re-size</v>
          </cell>
          <cell r="Y334" t="str">
            <v>Re-size</v>
          </cell>
          <cell r="Z334" t="str">
            <v>Re-size</v>
          </cell>
          <cell r="AA334" t="str">
            <v>Re-size</v>
          </cell>
          <cell r="AB334" t="str">
            <v>Re-size</v>
          </cell>
          <cell r="AC334" t="str">
            <v>Re-size</v>
          </cell>
          <cell r="AD334" t="str">
            <v>Re-size</v>
          </cell>
          <cell r="AE334" t="str">
            <v>Re-size</v>
          </cell>
        </row>
        <row r="335">
          <cell r="B335">
            <v>3.26</v>
          </cell>
          <cell r="C335" t="str">
            <v>Re-size</v>
          </cell>
          <cell r="D335" t="str">
            <v>Re-size</v>
          </cell>
          <cell r="E335" t="str">
            <v>Re-size</v>
          </cell>
          <cell r="F335" t="str">
            <v>Re-size</v>
          </cell>
          <cell r="G335" t="str">
            <v>Re-size</v>
          </cell>
          <cell r="H335" t="str">
            <v>Re-size</v>
          </cell>
          <cell r="I335" t="str">
            <v>Re-size</v>
          </cell>
          <cell r="J335" t="str">
            <v>Re-size</v>
          </cell>
          <cell r="K335">
            <v>21.47</v>
          </cell>
          <cell r="L335">
            <v>12.93</v>
          </cell>
          <cell r="M335">
            <v>9.74</v>
          </cell>
          <cell r="N335">
            <v>7.0299999999999994</v>
          </cell>
          <cell r="O335">
            <v>4.1499999999999995</v>
          </cell>
          <cell r="P335">
            <v>3.13</v>
          </cell>
          <cell r="Q335">
            <v>2.9699999999999998</v>
          </cell>
          <cell r="R335">
            <v>1.76</v>
          </cell>
          <cell r="S335">
            <v>1.36</v>
          </cell>
          <cell r="T335">
            <v>1.24</v>
          </cell>
          <cell r="U335">
            <v>0.74</v>
          </cell>
          <cell r="V335">
            <v>0.57000000000000006</v>
          </cell>
          <cell r="X335" t="str">
            <v>Re-size</v>
          </cell>
          <cell r="Y335" t="str">
            <v>Re-size</v>
          </cell>
          <cell r="Z335" t="str">
            <v>Re-size</v>
          </cell>
          <cell r="AA335" t="str">
            <v>Re-size</v>
          </cell>
          <cell r="AB335" t="str">
            <v>Re-size</v>
          </cell>
          <cell r="AC335" t="str">
            <v>Re-size</v>
          </cell>
          <cell r="AD335" t="str">
            <v>Re-size</v>
          </cell>
          <cell r="AE335" t="str">
            <v>Re-size</v>
          </cell>
        </row>
        <row r="336">
          <cell r="B336">
            <v>3.27</v>
          </cell>
          <cell r="C336" t="str">
            <v>Re-size</v>
          </cell>
          <cell r="D336" t="str">
            <v>Re-size</v>
          </cell>
          <cell r="E336" t="str">
            <v>Re-size</v>
          </cell>
          <cell r="F336" t="str">
            <v>Re-size</v>
          </cell>
          <cell r="G336" t="str">
            <v>Re-size</v>
          </cell>
          <cell r="H336" t="str">
            <v>Re-size</v>
          </cell>
          <cell r="I336" t="str">
            <v>Re-size</v>
          </cell>
          <cell r="J336" t="str">
            <v>Re-size</v>
          </cell>
          <cell r="K336">
            <v>21.58</v>
          </cell>
          <cell r="L336">
            <v>13.01</v>
          </cell>
          <cell r="M336">
            <v>9.8000000000000007</v>
          </cell>
          <cell r="N336">
            <v>7.0699999999999994</v>
          </cell>
          <cell r="O336">
            <v>4.18</v>
          </cell>
          <cell r="P336">
            <v>3.15</v>
          </cell>
          <cell r="Q336">
            <v>2.9899999999999998</v>
          </cell>
          <cell r="R336">
            <v>1.77</v>
          </cell>
          <cell r="S336">
            <v>1.37</v>
          </cell>
          <cell r="T336">
            <v>1.24</v>
          </cell>
          <cell r="U336">
            <v>0.74</v>
          </cell>
          <cell r="V336">
            <v>0.57999999999999996</v>
          </cell>
          <cell r="X336" t="str">
            <v>Re-size</v>
          </cell>
          <cell r="Y336" t="str">
            <v>Re-size</v>
          </cell>
          <cell r="Z336" t="str">
            <v>Re-size</v>
          </cell>
          <cell r="AA336" t="str">
            <v>Re-size</v>
          </cell>
          <cell r="AB336" t="str">
            <v>Re-size</v>
          </cell>
          <cell r="AC336" t="str">
            <v>Re-size</v>
          </cell>
          <cell r="AD336" t="str">
            <v>Re-size</v>
          </cell>
          <cell r="AE336" t="str">
            <v>Re-size</v>
          </cell>
        </row>
        <row r="337">
          <cell r="B337">
            <v>3.28</v>
          </cell>
          <cell r="C337" t="str">
            <v>Re-size</v>
          </cell>
          <cell r="D337" t="str">
            <v>Re-size</v>
          </cell>
          <cell r="E337" t="str">
            <v>Re-size</v>
          </cell>
          <cell r="F337" t="str">
            <v>Re-size</v>
          </cell>
          <cell r="G337" t="str">
            <v>Re-size</v>
          </cell>
          <cell r="H337" t="str">
            <v>Re-size</v>
          </cell>
          <cell r="I337" t="str">
            <v>Re-size</v>
          </cell>
          <cell r="J337" t="str">
            <v>Re-size</v>
          </cell>
          <cell r="K337">
            <v>21.69</v>
          </cell>
          <cell r="L337">
            <v>13.08</v>
          </cell>
          <cell r="M337">
            <v>9.86</v>
          </cell>
          <cell r="N337">
            <v>7.1099999999999994</v>
          </cell>
          <cell r="O337">
            <v>4.2</v>
          </cell>
          <cell r="P337">
            <v>3.1599999999999997</v>
          </cell>
          <cell r="Q337">
            <v>3.01</v>
          </cell>
          <cell r="R337">
            <v>1.78</v>
          </cell>
          <cell r="S337">
            <v>1.3800000000000001</v>
          </cell>
          <cell r="T337">
            <v>1.25</v>
          </cell>
          <cell r="U337">
            <v>0.75</v>
          </cell>
          <cell r="V337">
            <v>0.57999999999999996</v>
          </cell>
          <cell r="X337" t="str">
            <v>Re-size</v>
          </cell>
          <cell r="Y337" t="str">
            <v>Re-size</v>
          </cell>
          <cell r="Z337" t="str">
            <v>Re-size</v>
          </cell>
          <cell r="AA337" t="str">
            <v>Re-size</v>
          </cell>
          <cell r="AB337" t="str">
            <v>Re-size</v>
          </cell>
          <cell r="AC337" t="str">
            <v>Re-size</v>
          </cell>
          <cell r="AD337" t="str">
            <v>Re-size</v>
          </cell>
          <cell r="AE337" t="str">
            <v>Re-size</v>
          </cell>
        </row>
        <row r="338">
          <cell r="B338">
            <v>3.29</v>
          </cell>
          <cell r="C338" t="str">
            <v>Re-size</v>
          </cell>
          <cell r="D338" t="str">
            <v>Re-size</v>
          </cell>
          <cell r="E338" t="str">
            <v>Re-size</v>
          </cell>
          <cell r="F338" t="str">
            <v>Re-size</v>
          </cell>
          <cell r="G338" t="str">
            <v>Re-size</v>
          </cell>
          <cell r="H338" t="str">
            <v>Re-size</v>
          </cell>
          <cell r="I338" t="str">
            <v>Re-size</v>
          </cell>
          <cell r="J338" t="str">
            <v>Re-size</v>
          </cell>
          <cell r="K338" t="str">
            <v>Re-size</v>
          </cell>
          <cell r="L338">
            <v>13.13</v>
          </cell>
          <cell r="M338">
            <v>9.92</v>
          </cell>
          <cell r="N338">
            <v>7.1499999999999995</v>
          </cell>
          <cell r="O338">
            <v>4.2299999999999995</v>
          </cell>
          <cell r="P338">
            <v>3.1799999999999997</v>
          </cell>
          <cell r="Q338">
            <v>3.03</v>
          </cell>
          <cell r="R338">
            <v>1.79</v>
          </cell>
          <cell r="S338">
            <v>1.39</v>
          </cell>
          <cell r="T338">
            <v>1.26</v>
          </cell>
          <cell r="U338">
            <v>0.75</v>
          </cell>
          <cell r="V338">
            <v>0.57999999999999996</v>
          </cell>
          <cell r="X338" t="str">
            <v>Re-size</v>
          </cell>
          <cell r="Y338" t="str">
            <v>Re-size</v>
          </cell>
          <cell r="Z338" t="str">
            <v>Re-size</v>
          </cell>
          <cell r="AA338" t="str">
            <v>Re-size</v>
          </cell>
          <cell r="AB338" t="str">
            <v>Re-size</v>
          </cell>
          <cell r="AC338" t="str">
            <v>Re-size</v>
          </cell>
          <cell r="AD338" t="str">
            <v>Re-size</v>
          </cell>
          <cell r="AE338" t="str">
            <v>Re-size</v>
          </cell>
        </row>
        <row r="339">
          <cell r="B339">
            <v>3.3</v>
          </cell>
          <cell r="C339" t="str">
            <v>Re-size</v>
          </cell>
          <cell r="D339" t="str">
            <v>Re-size</v>
          </cell>
          <cell r="E339" t="str">
            <v>Re-size</v>
          </cell>
          <cell r="F339" t="str">
            <v>Re-size</v>
          </cell>
          <cell r="G339" t="str">
            <v>Re-size</v>
          </cell>
          <cell r="H339" t="str">
            <v>Re-size</v>
          </cell>
          <cell r="I339" t="str">
            <v>Re-size</v>
          </cell>
          <cell r="J339" t="str">
            <v>Re-size</v>
          </cell>
          <cell r="K339" t="str">
            <v>Re-size</v>
          </cell>
          <cell r="L339">
            <v>13.18</v>
          </cell>
          <cell r="M339">
            <v>9.98</v>
          </cell>
          <cell r="N339">
            <v>7.18</v>
          </cell>
          <cell r="O339">
            <v>4.25</v>
          </cell>
          <cell r="P339">
            <v>3.19</v>
          </cell>
          <cell r="Q339">
            <v>3.04</v>
          </cell>
          <cell r="R339">
            <v>1.8</v>
          </cell>
          <cell r="S339">
            <v>1.39</v>
          </cell>
          <cell r="T339">
            <v>1.26</v>
          </cell>
          <cell r="U339">
            <v>0.75</v>
          </cell>
          <cell r="V339">
            <v>0.57999999999999996</v>
          </cell>
          <cell r="X339" t="str">
            <v>Re-size</v>
          </cell>
          <cell r="Y339" t="str">
            <v>Re-size</v>
          </cell>
          <cell r="Z339" t="str">
            <v>Re-size</v>
          </cell>
          <cell r="AA339" t="str">
            <v>Re-size</v>
          </cell>
          <cell r="AB339" t="str">
            <v>Re-size</v>
          </cell>
          <cell r="AC339" t="str">
            <v>Re-size</v>
          </cell>
          <cell r="AD339" t="str">
            <v>Re-size</v>
          </cell>
          <cell r="AE339" t="str">
            <v>Re-size</v>
          </cell>
        </row>
        <row r="340">
          <cell r="B340">
            <v>3.31</v>
          </cell>
          <cell r="C340" t="str">
            <v>Re-size</v>
          </cell>
          <cell r="D340" t="str">
            <v>Re-size</v>
          </cell>
          <cell r="E340" t="str">
            <v>Re-size</v>
          </cell>
          <cell r="F340" t="str">
            <v>Re-size</v>
          </cell>
          <cell r="G340" t="str">
            <v>Re-size</v>
          </cell>
          <cell r="H340" t="str">
            <v>Re-size</v>
          </cell>
          <cell r="I340" t="str">
            <v>Re-size</v>
          </cell>
          <cell r="J340" t="str">
            <v>Re-size</v>
          </cell>
          <cell r="K340" t="str">
            <v>Re-size</v>
          </cell>
          <cell r="L340">
            <v>13.26</v>
          </cell>
          <cell r="M340">
            <v>10.02</v>
          </cell>
          <cell r="N340">
            <v>7.2299999999999995</v>
          </cell>
          <cell r="O340">
            <v>4.2699999999999996</v>
          </cell>
          <cell r="P340">
            <v>3.21</v>
          </cell>
          <cell r="Q340">
            <v>3.0599999999999996</v>
          </cell>
          <cell r="R340">
            <v>1.81</v>
          </cell>
          <cell r="S340">
            <v>1.4</v>
          </cell>
          <cell r="T340">
            <v>1.27</v>
          </cell>
          <cell r="U340">
            <v>0.76</v>
          </cell>
          <cell r="V340">
            <v>0.59</v>
          </cell>
          <cell r="X340" t="str">
            <v>Re-size</v>
          </cell>
          <cell r="Y340" t="str">
            <v>Re-size</v>
          </cell>
          <cell r="Z340" t="str">
            <v>Re-size</v>
          </cell>
          <cell r="AA340" t="str">
            <v>Re-size</v>
          </cell>
          <cell r="AB340" t="str">
            <v>Re-size</v>
          </cell>
          <cell r="AC340" t="str">
            <v>Re-size</v>
          </cell>
          <cell r="AD340" t="str">
            <v>Re-size</v>
          </cell>
          <cell r="AE340" t="str">
            <v>Re-size</v>
          </cell>
        </row>
        <row r="341">
          <cell r="B341">
            <v>3.32</v>
          </cell>
          <cell r="C341" t="str">
            <v>Re-size</v>
          </cell>
          <cell r="D341" t="str">
            <v>Re-size</v>
          </cell>
          <cell r="E341" t="str">
            <v>Re-size</v>
          </cell>
          <cell r="F341" t="str">
            <v>Re-size</v>
          </cell>
          <cell r="G341" t="str">
            <v>Re-size</v>
          </cell>
          <cell r="H341" t="str">
            <v>Re-size</v>
          </cell>
          <cell r="I341" t="str">
            <v>Re-size</v>
          </cell>
          <cell r="J341" t="str">
            <v>Re-size</v>
          </cell>
          <cell r="K341" t="str">
            <v>Re-size</v>
          </cell>
          <cell r="L341">
            <v>13.34</v>
          </cell>
          <cell r="M341">
            <v>10.050000000000001</v>
          </cell>
          <cell r="N341">
            <v>7.27</v>
          </cell>
          <cell r="O341">
            <v>4.29</v>
          </cell>
          <cell r="P341">
            <v>3.23</v>
          </cell>
          <cell r="Q341">
            <v>3.0799999999999996</v>
          </cell>
          <cell r="R341">
            <v>1.82</v>
          </cell>
          <cell r="S341">
            <v>1.41</v>
          </cell>
          <cell r="T341">
            <v>1.28</v>
          </cell>
          <cell r="U341">
            <v>0.76</v>
          </cell>
          <cell r="V341">
            <v>0.59</v>
          </cell>
          <cell r="X341" t="str">
            <v>Re-size</v>
          </cell>
          <cell r="Y341" t="str">
            <v>Re-size</v>
          </cell>
          <cell r="Z341" t="str">
            <v>Re-size</v>
          </cell>
          <cell r="AA341" t="str">
            <v>Re-size</v>
          </cell>
          <cell r="AB341" t="str">
            <v>Re-size</v>
          </cell>
          <cell r="AC341" t="str">
            <v>Re-size</v>
          </cell>
          <cell r="AD341" t="str">
            <v>Re-size</v>
          </cell>
          <cell r="AE341" t="str">
            <v>Re-size</v>
          </cell>
        </row>
        <row r="342">
          <cell r="B342">
            <v>3.33</v>
          </cell>
          <cell r="C342" t="str">
            <v>Re-size</v>
          </cell>
          <cell r="D342" t="str">
            <v>Re-size</v>
          </cell>
          <cell r="E342" t="str">
            <v>Re-size</v>
          </cell>
          <cell r="F342" t="str">
            <v>Re-size</v>
          </cell>
          <cell r="G342" t="str">
            <v>Re-size</v>
          </cell>
          <cell r="H342" t="str">
            <v>Re-size</v>
          </cell>
          <cell r="I342" t="str">
            <v>Re-size</v>
          </cell>
          <cell r="J342" t="str">
            <v>Re-size</v>
          </cell>
          <cell r="K342" t="str">
            <v>Re-size</v>
          </cell>
          <cell r="L342">
            <v>13.42</v>
          </cell>
          <cell r="M342">
            <v>10.119999999999999</v>
          </cell>
          <cell r="N342">
            <v>7.31</v>
          </cell>
          <cell r="O342">
            <v>4.3099999999999996</v>
          </cell>
          <cell r="P342">
            <v>3.25</v>
          </cell>
          <cell r="Q342">
            <v>3.09</v>
          </cell>
          <cell r="R342">
            <v>1.83</v>
          </cell>
          <cell r="S342">
            <v>1.42</v>
          </cell>
          <cell r="T342">
            <v>1.29</v>
          </cell>
          <cell r="U342">
            <v>0.77</v>
          </cell>
          <cell r="V342">
            <v>0.59</v>
          </cell>
          <cell r="X342" t="str">
            <v>Re-size</v>
          </cell>
          <cell r="Y342" t="str">
            <v>Re-size</v>
          </cell>
          <cell r="Z342" t="str">
            <v>Re-size</v>
          </cell>
          <cell r="AA342" t="str">
            <v>Re-size</v>
          </cell>
          <cell r="AB342" t="str">
            <v>Re-size</v>
          </cell>
          <cell r="AC342" t="str">
            <v>Re-size</v>
          </cell>
          <cell r="AD342" t="str">
            <v>Re-size</v>
          </cell>
          <cell r="AE342" t="str">
            <v>Re-size</v>
          </cell>
        </row>
        <row r="343">
          <cell r="B343">
            <v>3.34</v>
          </cell>
          <cell r="C343" t="str">
            <v>Re-size</v>
          </cell>
          <cell r="D343" t="str">
            <v>Re-size</v>
          </cell>
          <cell r="E343" t="str">
            <v>Re-size</v>
          </cell>
          <cell r="F343" t="str">
            <v>Re-size</v>
          </cell>
          <cell r="G343" t="str">
            <v>Re-size</v>
          </cell>
          <cell r="H343" t="str">
            <v>Re-size</v>
          </cell>
          <cell r="I343" t="str">
            <v>Re-size</v>
          </cell>
          <cell r="J343" t="str">
            <v>Re-size</v>
          </cell>
          <cell r="K343" t="str">
            <v>Re-size</v>
          </cell>
          <cell r="L343">
            <v>13.5</v>
          </cell>
          <cell r="M343">
            <v>10.18</v>
          </cell>
          <cell r="N343">
            <v>7.35</v>
          </cell>
          <cell r="O343">
            <v>4.33</v>
          </cell>
          <cell r="P343">
            <v>3.27</v>
          </cell>
          <cell r="Q343">
            <v>3.11</v>
          </cell>
          <cell r="R343">
            <v>1.84</v>
          </cell>
          <cell r="S343">
            <v>1.43</v>
          </cell>
          <cell r="T343">
            <v>1.29</v>
          </cell>
          <cell r="U343">
            <v>0.77</v>
          </cell>
          <cell r="V343">
            <v>0.6</v>
          </cell>
          <cell r="X343" t="str">
            <v>Re-size</v>
          </cell>
          <cell r="Y343" t="str">
            <v>Re-size</v>
          </cell>
          <cell r="Z343" t="str">
            <v>Re-size</v>
          </cell>
          <cell r="AA343" t="str">
            <v>Re-size</v>
          </cell>
          <cell r="AB343" t="str">
            <v>Re-size</v>
          </cell>
          <cell r="AC343" t="str">
            <v>Re-size</v>
          </cell>
          <cell r="AD343" t="str">
            <v>Re-size</v>
          </cell>
          <cell r="AE343" t="str">
            <v>Re-size</v>
          </cell>
        </row>
        <row r="344">
          <cell r="B344">
            <v>3.35</v>
          </cell>
          <cell r="C344" t="str">
            <v>Re-size</v>
          </cell>
          <cell r="D344" t="str">
            <v>Re-size</v>
          </cell>
          <cell r="E344" t="str">
            <v>Re-size</v>
          </cell>
          <cell r="F344" t="str">
            <v>Re-size</v>
          </cell>
          <cell r="G344" t="str">
            <v>Re-size</v>
          </cell>
          <cell r="H344" t="str">
            <v>Re-size</v>
          </cell>
          <cell r="I344" t="str">
            <v>Re-size</v>
          </cell>
          <cell r="J344" t="str">
            <v>Re-size</v>
          </cell>
          <cell r="K344" t="str">
            <v>Re-size</v>
          </cell>
          <cell r="L344">
            <v>13.58</v>
          </cell>
          <cell r="M344">
            <v>10.24</v>
          </cell>
          <cell r="N344">
            <v>7.39</v>
          </cell>
          <cell r="O344">
            <v>4.3499999999999996</v>
          </cell>
          <cell r="P344">
            <v>3.29</v>
          </cell>
          <cell r="Q344">
            <v>3.12</v>
          </cell>
          <cell r="R344">
            <v>1.85</v>
          </cell>
          <cell r="S344">
            <v>1.43</v>
          </cell>
          <cell r="T344">
            <v>1.2949999999999999</v>
          </cell>
          <cell r="U344">
            <v>0.77</v>
          </cell>
          <cell r="V344">
            <v>0.59499999999999997</v>
          </cell>
          <cell r="X344" t="str">
            <v>Re-size</v>
          </cell>
          <cell r="Y344" t="str">
            <v>Re-size</v>
          </cell>
          <cell r="Z344" t="str">
            <v>Re-size</v>
          </cell>
          <cell r="AA344" t="str">
            <v>Re-size</v>
          </cell>
          <cell r="AB344" t="str">
            <v>Re-size</v>
          </cell>
          <cell r="AC344" t="str">
            <v>Re-size</v>
          </cell>
          <cell r="AD344" t="str">
            <v>Re-size</v>
          </cell>
          <cell r="AE344" t="str">
            <v>Re-size</v>
          </cell>
        </row>
        <row r="345">
          <cell r="B345">
            <v>3.36</v>
          </cell>
          <cell r="C345" t="str">
            <v>Re-size</v>
          </cell>
          <cell r="D345" t="str">
            <v>Re-size</v>
          </cell>
          <cell r="E345" t="str">
            <v>Re-size</v>
          </cell>
          <cell r="F345" t="str">
            <v>Re-size</v>
          </cell>
          <cell r="G345" t="str">
            <v>Re-size</v>
          </cell>
          <cell r="H345" t="str">
            <v>Re-size</v>
          </cell>
          <cell r="I345" t="str">
            <v>Re-size</v>
          </cell>
          <cell r="J345" t="str">
            <v>Re-size</v>
          </cell>
          <cell r="K345" t="str">
            <v>Re-size</v>
          </cell>
          <cell r="L345">
            <v>13.66</v>
          </cell>
          <cell r="M345">
            <v>10.3</v>
          </cell>
          <cell r="N345">
            <v>7.43</v>
          </cell>
          <cell r="O345">
            <v>4.38</v>
          </cell>
          <cell r="P345">
            <v>3.3099999999999996</v>
          </cell>
          <cell r="Q345">
            <v>3.1399999999999997</v>
          </cell>
          <cell r="R345">
            <v>1.86</v>
          </cell>
          <cell r="S345">
            <v>1.44</v>
          </cell>
          <cell r="T345">
            <v>1.31</v>
          </cell>
          <cell r="U345">
            <v>0.78</v>
          </cell>
          <cell r="V345">
            <v>0.6</v>
          </cell>
          <cell r="X345" t="str">
            <v>Re-size</v>
          </cell>
          <cell r="Y345" t="str">
            <v>Re-size</v>
          </cell>
          <cell r="Z345" t="str">
            <v>Re-size</v>
          </cell>
          <cell r="AA345" t="str">
            <v>Re-size</v>
          </cell>
          <cell r="AB345" t="str">
            <v>Re-size</v>
          </cell>
          <cell r="AC345" t="str">
            <v>Re-size</v>
          </cell>
          <cell r="AD345" t="str">
            <v>Re-size</v>
          </cell>
          <cell r="AE345" t="str">
            <v>Re-size</v>
          </cell>
        </row>
        <row r="346">
          <cell r="B346">
            <v>3.37</v>
          </cell>
          <cell r="C346" t="str">
            <v>Re-size</v>
          </cell>
          <cell r="D346" t="str">
            <v>Re-size</v>
          </cell>
          <cell r="E346" t="str">
            <v>Re-size</v>
          </cell>
          <cell r="F346" t="str">
            <v>Re-size</v>
          </cell>
          <cell r="G346" t="str">
            <v>Re-size</v>
          </cell>
          <cell r="H346" t="str">
            <v>Re-size</v>
          </cell>
          <cell r="I346" t="str">
            <v>Re-size</v>
          </cell>
          <cell r="J346" t="str">
            <v>Re-size</v>
          </cell>
          <cell r="K346" t="str">
            <v>Re-size</v>
          </cell>
          <cell r="L346">
            <v>13.74</v>
          </cell>
          <cell r="M346">
            <v>10.36</v>
          </cell>
          <cell r="N346">
            <v>7.47</v>
          </cell>
          <cell r="O346">
            <v>4.3999999999999995</v>
          </cell>
          <cell r="P346">
            <v>3.3299999999999996</v>
          </cell>
          <cell r="Q346">
            <v>3.1599999999999997</v>
          </cell>
          <cell r="R346">
            <v>1.87</v>
          </cell>
          <cell r="S346">
            <v>1.45</v>
          </cell>
          <cell r="T346">
            <v>1.31</v>
          </cell>
          <cell r="U346">
            <v>0.78</v>
          </cell>
          <cell r="V346">
            <v>0.61</v>
          </cell>
          <cell r="X346" t="str">
            <v>Re-size</v>
          </cell>
          <cell r="Y346" t="str">
            <v>Re-size</v>
          </cell>
          <cell r="Z346" t="str">
            <v>Re-size</v>
          </cell>
          <cell r="AA346" t="str">
            <v>Re-size</v>
          </cell>
          <cell r="AB346" t="str">
            <v>Re-size</v>
          </cell>
          <cell r="AC346" t="str">
            <v>Re-size</v>
          </cell>
          <cell r="AD346" t="str">
            <v>Re-size</v>
          </cell>
          <cell r="AE346" t="str">
            <v>Re-size</v>
          </cell>
        </row>
        <row r="347">
          <cell r="B347">
            <v>3.38</v>
          </cell>
          <cell r="C347" t="str">
            <v>Re-size</v>
          </cell>
          <cell r="D347" t="str">
            <v>Re-size</v>
          </cell>
          <cell r="E347" t="str">
            <v>Re-size</v>
          </cell>
          <cell r="F347" t="str">
            <v>Re-size</v>
          </cell>
          <cell r="G347" t="str">
            <v>Re-size</v>
          </cell>
          <cell r="H347" t="str">
            <v>Re-size</v>
          </cell>
          <cell r="I347" t="str">
            <v>Re-size</v>
          </cell>
          <cell r="J347" t="str">
            <v>Re-size</v>
          </cell>
          <cell r="K347" t="str">
            <v>Re-size</v>
          </cell>
          <cell r="L347">
            <v>13.82</v>
          </cell>
          <cell r="M347">
            <v>10.42</v>
          </cell>
          <cell r="N347">
            <v>7.51</v>
          </cell>
          <cell r="O347">
            <v>4.42</v>
          </cell>
          <cell r="P347">
            <v>3.34</v>
          </cell>
          <cell r="Q347">
            <v>3.1799999999999997</v>
          </cell>
          <cell r="R347">
            <v>1.88</v>
          </cell>
          <cell r="S347">
            <v>1.46</v>
          </cell>
          <cell r="T347">
            <v>1.32</v>
          </cell>
          <cell r="U347">
            <v>0.79</v>
          </cell>
          <cell r="V347">
            <v>0.61</v>
          </cell>
          <cell r="X347" t="str">
            <v>Re-size</v>
          </cell>
          <cell r="Y347" t="str">
            <v>Re-size</v>
          </cell>
          <cell r="Z347" t="str">
            <v>Re-size</v>
          </cell>
          <cell r="AA347" t="str">
            <v>Re-size</v>
          </cell>
          <cell r="AB347" t="str">
            <v>Re-size</v>
          </cell>
          <cell r="AC347" t="str">
            <v>Re-size</v>
          </cell>
          <cell r="AD347" t="str">
            <v>Re-size</v>
          </cell>
          <cell r="AE347" t="str">
            <v>Re-size</v>
          </cell>
        </row>
        <row r="348">
          <cell r="B348">
            <v>3.39</v>
          </cell>
          <cell r="C348" t="str">
            <v>Re-size</v>
          </cell>
          <cell r="D348" t="str">
            <v>Re-size</v>
          </cell>
          <cell r="E348" t="str">
            <v>Re-size</v>
          </cell>
          <cell r="F348" t="str">
            <v>Re-size</v>
          </cell>
          <cell r="G348" t="str">
            <v>Re-size</v>
          </cell>
          <cell r="H348" t="str">
            <v>Re-size</v>
          </cell>
          <cell r="I348" t="str">
            <v>Re-size</v>
          </cell>
          <cell r="J348" t="str">
            <v>Re-size</v>
          </cell>
          <cell r="K348" t="str">
            <v>Re-size</v>
          </cell>
          <cell r="L348">
            <v>13.87</v>
          </cell>
          <cell r="M348">
            <v>10.48</v>
          </cell>
          <cell r="N348">
            <v>7.55</v>
          </cell>
          <cell r="O348">
            <v>4.4399999999999995</v>
          </cell>
          <cell r="P348">
            <v>3.36</v>
          </cell>
          <cell r="Q348">
            <v>3.1999999999999997</v>
          </cell>
          <cell r="R348">
            <v>1.89</v>
          </cell>
          <cell r="S348">
            <v>1.47</v>
          </cell>
          <cell r="T348">
            <v>1.33</v>
          </cell>
          <cell r="U348">
            <v>0.79</v>
          </cell>
          <cell r="V348">
            <v>0.61</v>
          </cell>
          <cell r="X348" t="str">
            <v>Re-size</v>
          </cell>
          <cell r="Y348" t="str">
            <v>Re-size</v>
          </cell>
          <cell r="Z348" t="str">
            <v>Re-size</v>
          </cell>
          <cell r="AA348" t="str">
            <v>Re-size</v>
          </cell>
          <cell r="AB348" t="str">
            <v>Re-size</v>
          </cell>
          <cell r="AC348" t="str">
            <v>Re-size</v>
          </cell>
          <cell r="AD348" t="str">
            <v>Re-size</v>
          </cell>
          <cell r="AE348" t="str">
            <v>Re-size</v>
          </cell>
        </row>
        <row r="349">
          <cell r="B349">
            <v>3.4</v>
          </cell>
          <cell r="C349" t="str">
            <v>Re-size</v>
          </cell>
          <cell r="D349" t="str">
            <v>Re-size</v>
          </cell>
          <cell r="E349" t="str">
            <v>Re-size</v>
          </cell>
          <cell r="F349" t="str">
            <v>Re-size</v>
          </cell>
          <cell r="G349" t="str">
            <v>Re-size</v>
          </cell>
          <cell r="H349" t="str">
            <v>Re-size</v>
          </cell>
          <cell r="I349" t="str">
            <v>Re-size</v>
          </cell>
          <cell r="J349" t="str">
            <v>Re-size</v>
          </cell>
          <cell r="K349" t="str">
            <v>Re-size</v>
          </cell>
          <cell r="L349">
            <v>13.92</v>
          </cell>
          <cell r="M349">
            <v>10.54</v>
          </cell>
          <cell r="N349">
            <v>7.58</v>
          </cell>
          <cell r="O349">
            <v>4.46</v>
          </cell>
          <cell r="P349">
            <v>3.37</v>
          </cell>
          <cell r="Q349">
            <v>3.21</v>
          </cell>
          <cell r="R349">
            <v>1.9</v>
          </cell>
          <cell r="S349">
            <v>1.47</v>
          </cell>
          <cell r="T349">
            <v>1.33</v>
          </cell>
          <cell r="U349">
            <v>0.79</v>
          </cell>
          <cell r="V349">
            <v>0.61</v>
          </cell>
          <cell r="X349" t="str">
            <v>Re-size</v>
          </cell>
          <cell r="Y349" t="str">
            <v>Re-size</v>
          </cell>
          <cell r="Z349" t="str">
            <v>Re-size</v>
          </cell>
          <cell r="AA349" t="str">
            <v>Re-size</v>
          </cell>
          <cell r="AB349" t="str">
            <v>Re-size</v>
          </cell>
          <cell r="AC349" t="str">
            <v>Re-size</v>
          </cell>
          <cell r="AD349" t="str">
            <v>Re-size</v>
          </cell>
          <cell r="AE349" t="str">
            <v>Re-size</v>
          </cell>
        </row>
        <row r="350">
          <cell r="B350">
            <v>3.41</v>
          </cell>
          <cell r="C350" t="str">
            <v>Re-size</v>
          </cell>
          <cell r="D350" t="str">
            <v>Re-size</v>
          </cell>
          <cell r="E350" t="str">
            <v>Re-size</v>
          </cell>
          <cell r="F350" t="str">
            <v>Re-size</v>
          </cell>
          <cell r="G350" t="str">
            <v>Re-size</v>
          </cell>
          <cell r="H350" t="str">
            <v>Re-size</v>
          </cell>
          <cell r="I350" t="str">
            <v>Re-size</v>
          </cell>
          <cell r="J350" t="str">
            <v>Re-size</v>
          </cell>
          <cell r="K350" t="str">
            <v>Re-size</v>
          </cell>
          <cell r="L350">
            <v>14</v>
          </cell>
          <cell r="M350">
            <v>10.58</v>
          </cell>
          <cell r="N350">
            <v>7.63</v>
          </cell>
          <cell r="O350">
            <v>4.49</v>
          </cell>
          <cell r="P350">
            <v>3.39</v>
          </cell>
          <cell r="Q350">
            <v>3.23</v>
          </cell>
          <cell r="R350">
            <v>1.92</v>
          </cell>
          <cell r="S350">
            <v>1.48</v>
          </cell>
          <cell r="T350">
            <v>1.34</v>
          </cell>
          <cell r="U350">
            <v>0.8</v>
          </cell>
          <cell r="V350">
            <v>0.62</v>
          </cell>
          <cell r="X350" t="str">
            <v>Re-size</v>
          </cell>
          <cell r="Y350" t="str">
            <v>Re-size</v>
          </cell>
          <cell r="Z350" t="str">
            <v>Re-size</v>
          </cell>
          <cell r="AA350" t="str">
            <v>Re-size</v>
          </cell>
          <cell r="AB350" t="str">
            <v>Re-size</v>
          </cell>
          <cell r="AC350" t="str">
            <v>Re-size</v>
          </cell>
          <cell r="AD350" t="str">
            <v>Re-size</v>
          </cell>
          <cell r="AE350" t="str">
            <v>Re-size</v>
          </cell>
        </row>
        <row r="351">
          <cell r="B351">
            <v>3.42</v>
          </cell>
          <cell r="C351" t="str">
            <v>Re-size</v>
          </cell>
          <cell r="D351" t="str">
            <v>Re-size</v>
          </cell>
          <cell r="E351" t="str">
            <v>Re-size</v>
          </cell>
          <cell r="F351" t="str">
            <v>Re-size</v>
          </cell>
          <cell r="G351" t="str">
            <v>Re-size</v>
          </cell>
          <cell r="H351" t="str">
            <v>Re-size</v>
          </cell>
          <cell r="I351" t="str">
            <v>Re-size</v>
          </cell>
          <cell r="J351" t="str">
            <v>Re-size</v>
          </cell>
          <cell r="K351" t="str">
            <v>Re-size</v>
          </cell>
          <cell r="L351">
            <v>14.08</v>
          </cell>
          <cell r="M351">
            <v>10.61</v>
          </cell>
          <cell r="N351">
            <v>7.67</v>
          </cell>
          <cell r="O351">
            <v>4.5199999999999996</v>
          </cell>
          <cell r="P351">
            <v>3.41</v>
          </cell>
          <cell r="Q351">
            <v>3.25</v>
          </cell>
          <cell r="R351">
            <v>1.93</v>
          </cell>
          <cell r="S351">
            <v>1.49</v>
          </cell>
          <cell r="T351">
            <v>1.35</v>
          </cell>
          <cell r="U351">
            <v>0.8</v>
          </cell>
          <cell r="V351">
            <v>0.62</v>
          </cell>
          <cell r="X351" t="str">
            <v>Re-size</v>
          </cell>
          <cell r="Y351" t="str">
            <v>Re-size</v>
          </cell>
          <cell r="Z351" t="str">
            <v>Re-size</v>
          </cell>
          <cell r="AA351" t="str">
            <v>Re-size</v>
          </cell>
          <cell r="AB351" t="str">
            <v>Re-size</v>
          </cell>
          <cell r="AC351" t="str">
            <v>Re-size</v>
          </cell>
          <cell r="AD351" t="str">
            <v>Re-size</v>
          </cell>
          <cell r="AE351" t="str">
            <v>Re-size</v>
          </cell>
        </row>
        <row r="352">
          <cell r="B352">
            <v>3.43</v>
          </cell>
          <cell r="C352" t="str">
            <v>Re-size</v>
          </cell>
          <cell r="D352" t="str">
            <v>Re-size</v>
          </cell>
          <cell r="E352" t="str">
            <v>Re-size</v>
          </cell>
          <cell r="F352" t="str">
            <v>Re-size</v>
          </cell>
          <cell r="G352" t="str">
            <v>Re-size</v>
          </cell>
          <cell r="H352" t="str">
            <v>Re-size</v>
          </cell>
          <cell r="I352" t="str">
            <v>Re-size</v>
          </cell>
          <cell r="J352" t="str">
            <v>Re-size</v>
          </cell>
          <cell r="K352" t="str">
            <v>Re-size</v>
          </cell>
          <cell r="L352">
            <v>14.17</v>
          </cell>
          <cell r="M352">
            <v>10.68</v>
          </cell>
          <cell r="N352">
            <v>7.72</v>
          </cell>
          <cell r="O352">
            <v>4.55</v>
          </cell>
          <cell r="P352">
            <v>3.43</v>
          </cell>
          <cell r="Q352">
            <v>3.26</v>
          </cell>
          <cell r="R352">
            <v>1.94</v>
          </cell>
          <cell r="S352">
            <v>1.49</v>
          </cell>
          <cell r="T352">
            <v>1.36</v>
          </cell>
          <cell r="U352">
            <v>0.81</v>
          </cell>
          <cell r="V352">
            <v>0.62</v>
          </cell>
          <cell r="X352" t="str">
            <v>Re-size</v>
          </cell>
          <cell r="Y352" t="str">
            <v>Re-size</v>
          </cell>
          <cell r="Z352" t="str">
            <v>Re-size</v>
          </cell>
          <cell r="AA352" t="str">
            <v>Re-size</v>
          </cell>
          <cell r="AB352" t="str">
            <v>Re-size</v>
          </cell>
          <cell r="AC352" t="str">
            <v>Re-size</v>
          </cell>
          <cell r="AD352" t="str">
            <v>Re-size</v>
          </cell>
          <cell r="AE352" t="str">
            <v>Re-size</v>
          </cell>
        </row>
        <row r="353">
          <cell r="B353">
            <v>3.44</v>
          </cell>
          <cell r="C353" t="str">
            <v>Re-size</v>
          </cell>
          <cell r="D353" t="str">
            <v>Re-size</v>
          </cell>
          <cell r="E353" t="str">
            <v>Re-size</v>
          </cell>
          <cell r="F353" t="str">
            <v>Re-size</v>
          </cell>
          <cell r="G353" t="str">
            <v>Re-size</v>
          </cell>
          <cell r="H353" t="str">
            <v>Re-size</v>
          </cell>
          <cell r="I353" t="str">
            <v>Re-size</v>
          </cell>
          <cell r="J353" t="str">
            <v>Re-size</v>
          </cell>
          <cell r="K353" t="str">
            <v>Re-size</v>
          </cell>
          <cell r="L353">
            <v>14.25</v>
          </cell>
          <cell r="M353">
            <v>10.74</v>
          </cell>
          <cell r="N353">
            <v>7.76</v>
          </cell>
          <cell r="O353">
            <v>4.58</v>
          </cell>
          <cell r="P353">
            <v>3.45</v>
          </cell>
          <cell r="Q353">
            <v>3.28</v>
          </cell>
          <cell r="R353">
            <v>1.95</v>
          </cell>
          <cell r="S353">
            <v>1.5</v>
          </cell>
          <cell r="T353">
            <v>1.36</v>
          </cell>
          <cell r="U353">
            <v>0.81</v>
          </cell>
          <cell r="V353">
            <v>0.63</v>
          </cell>
          <cell r="X353" t="str">
            <v>Re-size</v>
          </cell>
          <cell r="Y353" t="str">
            <v>Re-size</v>
          </cell>
          <cell r="Z353" t="str">
            <v>Re-size</v>
          </cell>
          <cell r="AA353" t="str">
            <v>Re-size</v>
          </cell>
          <cell r="AB353" t="str">
            <v>Re-size</v>
          </cell>
          <cell r="AC353" t="str">
            <v>Re-size</v>
          </cell>
          <cell r="AD353" t="str">
            <v>Re-size</v>
          </cell>
          <cell r="AE353" t="str">
            <v>Re-size</v>
          </cell>
        </row>
        <row r="354">
          <cell r="B354">
            <v>3.45</v>
          </cell>
          <cell r="C354" t="str">
            <v>Re-size</v>
          </cell>
          <cell r="D354" t="str">
            <v>Re-size</v>
          </cell>
          <cell r="E354" t="str">
            <v>Re-size</v>
          </cell>
          <cell r="F354" t="str">
            <v>Re-size</v>
          </cell>
          <cell r="G354" t="str">
            <v>Re-size</v>
          </cell>
          <cell r="H354" t="str">
            <v>Re-size</v>
          </cell>
          <cell r="I354" t="str">
            <v>Re-size</v>
          </cell>
          <cell r="J354" t="str">
            <v>Re-size</v>
          </cell>
          <cell r="K354" t="str">
            <v>Re-size</v>
          </cell>
          <cell r="L354">
            <v>14.33</v>
          </cell>
          <cell r="M354">
            <v>10.8</v>
          </cell>
          <cell r="N354">
            <v>7.8</v>
          </cell>
          <cell r="O354">
            <v>4.5999999999999996</v>
          </cell>
          <cell r="P354">
            <v>3.47</v>
          </cell>
          <cell r="Q354">
            <v>3.29</v>
          </cell>
          <cell r="R354">
            <v>1.96</v>
          </cell>
          <cell r="S354">
            <v>1.5</v>
          </cell>
          <cell r="T354">
            <v>1.365</v>
          </cell>
          <cell r="U354">
            <v>0.81</v>
          </cell>
          <cell r="V354">
            <v>0.625</v>
          </cell>
          <cell r="X354" t="str">
            <v>Re-size</v>
          </cell>
          <cell r="Y354" t="str">
            <v>Re-size</v>
          </cell>
          <cell r="Z354" t="str">
            <v>Re-size</v>
          </cell>
          <cell r="AA354" t="str">
            <v>Re-size</v>
          </cell>
          <cell r="AB354" t="str">
            <v>Re-size</v>
          </cell>
          <cell r="AC354" t="str">
            <v>Re-size</v>
          </cell>
          <cell r="AD354" t="str">
            <v>Re-size</v>
          </cell>
          <cell r="AE354" t="str">
            <v>Re-size</v>
          </cell>
        </row>
        <row r="355">
          <cell r="B355">
            <v>3.46</v>
          </cell>
          <cell r="C355" t="str">
            <v>Re-size</v>
          </cell>
          <cell r="D355" t="str">
            <v>Re-size</v>
          </cell>
          <cell r="E355" t="str">
            <v>Re-size</v>
          </cell>
          <cell r="F355" t="str">
            <v>Re-size</v>
          </cell>
          <cell r="G355" t="str">
            <v>Re-size</v>
          </cell>
          <cell r="H355" t="str">
            <v>Re-size</v>
          </cell>
          <cell r="I355" t="str">
            <v>Re-size</v>
          </cell>
          <cell r="J355" t="str">
            <v>Re-size</v>
          </cell>
          <cell r="K355" t="str">
            <v>Re-size</v>
          </cell>
          <cell r="L355">
            <v>14.41</v>
          </cell>
          <cell r="M355">
            <v>10.86</v>
          </cell>
          <cell r="N355">
            <v>7.84</v>
          </cell>
          <cell r="O355">
            <v>4.63</v>
          </cell>
          <cell r="P355">
            <v>3.4899999999999998</v>
          </cell>
          <cell r="Q355">
            <v>3.3099999999999996</v>
          </cell>
          <cell r="R355">
            <v>1.97</v>
          </cell>
          <cell r="S355">
            <v>1.51</v>
          </cell>
          <cell r="T355">
            <v>1.3800000000000001</v>
          </cell>
          <cell r="U355">
            <v>0.82000000000000006</v>
          </cell>
          <cell r="V355">
            <v>0.63</v>
          </cell>
          <cell r="X355" t="str">
            <v>Re-size</v>
          </cell>
          <cell r="Y355" t="str">
            <v>Re-size</v>
          </cell>
          <cell r="Z355" t="str">
            <v>Re-size</v>
          </cell>
          <cell r="AA355" t="str">
            <v>Re-size</v>
          </cell>
          <cell r="AB355" t="str">
            <v>Re-size</v>
          </cell>
          <cell r="AC355" t="str">
            <v>Re-size</v>
          </cell>
          <cell r="AD355" t="str">
            <v>Re-size</v>
          </cell>
          <cell r="AE355" t="str">
            <v>Re-size</v>
          </cell>
        </row>
        <row r="356">
          <cell r="B356">
            <v>3.47</v>
          </cell>
          <cell r="C356" t="str">
            <v>Re-size</v>
          </cell>
          <cell r="D356" t="str">
            <v>Re-size</v>
          </cell>
          <cell r="E356" t="str">
            <v>Re-size</v>
          </cell>
          <cell r="F356" t="str">
            <v>Re-size</v>
          </cell>
          <cell r="G356" t="str">
            <v>Re-size</v>
          </cell>
          <cell r="H356" t="str">
            <v>Re-size</v>
          </cell>
          <cell r="I356" t="str">
            <v>Re-size</v>
          </cell>
          <cell r="J356" t="str">
            <v>Re-size</v>
          </cell>
          <cell r="K356" t="str">
            <v>Re-size</v>
          </cell>
          <cell r="L356">
            <v>14.5</v>
          </cell>
          <cell r="M356">
            <v>10.93</v>
          </cell>
          <cell r="N356">
            <v>7.88</v>
          </cell>
          <cell r="O356">
            <v>4.6499999999999995</v>
          </cell>
          <cell r="P356">
            <v>3.51</v>
          </cell>
          <cell r="Q356">
            <v>3.3299999999999996</v>
          </cell>
          <cell r="R356">
            <v>1.98</v>
          </cell>
          <cell r="S356">
            <v>1.52</v>
          </cell>
          <cell r="T356">
            <v>1.3800000000000001</v>
          </cell>
          <cell r="U356">
            <v>0.82000000000000006</v>
          </cell>
          <cell r="V356">
            <v>0.64</v>
          </cell>
          <cell r="X356" t="str">
            <v>Re-size</v>
          </cell>
          <cell r="Y356" t="str">
            <v>Re-size</v>
          </cell>
          <cell r="Z356" t="str">
            <v>Re-size</v>
          </cell>
          <cell r="AA356" t="str">
            <v>Re-size</v>
          </cell>
          <cell r="AB356" t="str">
            <v>Re-size</v>
          </cell>
          <cell r="AC356" t="str">
            <v>Re-size</v>
          </cell>
          <cell r="AD356" t="str">
            <v>Re-size</v>
          </cell>
          <cell r="AE356" t="str">
            <v>Re-size</v>
          </cell>
        </row>
        <row r="357">
          <cell r="B357">
            <v>3.48</v>
          </cell>
          <cell r="C357" t="str">
            <v>Re-size</v>
          </cell>
          <cell r="D357" t="str">
            <v>Re-size</v>
          </cell>
          <cell r="E357" t="str">
            <v>Re-size</v>
          </cell>
          <cell r="F357" t="str">
            <v>Re-size</v>
          </cell>
          <cell r="G357" t="str">
            <v>Re-size</v>
          </cell>
          <cell r="H357" t="str">
            <v>Re-size</v>
          </cell>
          <cell r="I357" t="str">
            <v>Re-size</v>
          </cell>
          <cell r="J357" t="str">
            <v>Re-size</v>
          </cell>
          <cell r="K357" t="str">
            <v>Re-size</v>
          </cell>
          <cell r="L357">
            <v>14.58</v>
          </cell>
          <cell r="M357">
            <v>10.99</v>
          </cell>
          <cell r="N357">
            <v>7.92</v>
          </cell>
          <cell r="O357">
            <v>4.67</v>
          </cell>
          <cell r="P357">
            <v>3.5199999999999996</v>
          </cell>
          <cell r="Q357">
            <v>3.34</v>
          </cell>
          <cell r="R357">
            <v>1.99</v>
          </cell>
          <cell r="S357">
            <v>1.53</v>
          </cell>
          <cell r="T357">
            <v>1.39</v>
          </cell>
          <cell r="U357">
            <v>0.83</v>
          </cell>
          <cell r="V357">
            <v>0.64</v>
          </cell>
          <cell r="X357" t="str">
            <v>Re-size</v>
          </cell>
          <cell r="Y357" t="str">
            <v>Re-size</v>
          </cell>
          <cell r="Z357" t="str">
            <v>Re-size</v>
          </cell>
          <cell r="AA357" t="str">
            <v>Re-size</v>
          </cell>
          <cell r="AB357" t="str">
            <v>Re-size</v>
          </cell>
          <cell r="AC357" t="str">
            <v>Re-size</v>
          </cell>
          <cell r="AD357" t="str">
            <v>Re-size</v>
          </cell>
          <cell r="AE357" t="str">
            <v>Re-size</v>
          </cell>
        </row>
        <row r="358">
          <cell r="B358">
            <v>3.49</v>
          </cell>
          <cell r="C358" t="str">
            <v>Re-size</v>
          </cell>
          <cell r="D358" t="str">
            <v>Re-size</v>
          </cell>
          <cell r="E358" t="str">
            <v>Re-size</v>
          </cell>
          <cell r="F358" t="str">
            <v>Re-size</v>
          </cell>
          <cell r="G358" t="str">
            <v>Re-size</v>
          </cell>
          <cell r="H358" t="str">
            <v>Re-size</v>
          </cell>
          <cell r="I358" t="str">
            <v>Re-size</v>
          </cell>
          <cell r="J358" t="str">
            <v>Re-size</v>
          </cell>
          <cell r="K358" t="str">
            <v>Re-size</v>
          </cell>
          <cell r="L358">
            <v>14.629999999999999</v>
          </cell>
          <cell r="M358">
            <v>11.06</v>
          </cell>
          <cell r="N358">
            <v>7.96</v>
          </cell>
          <cell r="O358">
            <v>4.6899999999999995</v>
          </cell>
          <cell r="P358">
            <v>3.5399999999999996</v>
          </cell>
          <cell r="Q358">
            <v>3.36</v>
          </cell>
          <cell r="R358">
            <v>2</v>
          </cell>
          <cell r="S358">
            <v>1.54</v>
          </cell>
          <cell r="T358">
            <v>1.4</v>
          </cell>
          <cell r="U358">
            <v>0.83</v>
          </cell>
          <cell r="V358">
            <v>0.64</v>
          </cell>
          <cell r="X358" t="str">
            <v>Re-size</v>
          </cell>
          <cell r="Y358" t="str">
            <v>Re-size</v>
          </cell>
          <cell r="Z358" t="str">
            <v>Re-size</v>
          </cell>
          <cell r="AA358" t="str">
            <v>Re-size</v>
          </cell>
          <cell r="AB358" t="str">
            <v>Re-size</v>
          </cell>
          <cell r="AC358" t="str">
            <v>Re-size</v>
          </cell>
          <cell r="AD358" t="str">
            <v>Re-size</v>
          </cell>
          <cell r="AE358" t="str">
            <v>Re-size</v>
          </cell>
        </row>
        <row r="359">
          <cell r="B359">
            <v>3.5</v>
          </cell>
          <cell r="C359" t="str">
            <v>Re-size</v>
          </cell>
          <cell r="D359" t="str">
            <v>Re-size</v>
          </cell>
          <cell r="E359" t="str">
            <v>Re-size</v>
          </cell>
          <cell r="F359" t="str">
            <v>Re-size</v>
          </cell>
          <cell r="G359" t="str">
            <v>Re-size</v>
          </cell>
          <cell r="H359" t="str">
            <v>Re-size</v>
          </cell>
          <cell r="I359" t="str">
            <v>Re-size</v>
          </cell>
          <cell r="J359" t="str">
            <v>Re-size</v>
          </cell>
          <cell r="K359" t="str">
            <v>Re-size</v>
          </cell>
          <cell r="L359">
            <v>14.67</v>
          </cell>
          <cell r="M359">
            <v>11.12</v>
          </cell>
          <cell r="N359">
            <v>7.99</v>
          </cell>
          <cell r="O359">
            <v>4.71</v>
          </cell>
          <cell r="P359">
            <v>3.55</v>
          </cell>
          <cell r="Q359">
            <v>3.37</v>
          </cell>
          <cell r="R359">
            <v>2</v>
          </cell>
          <cell r="S359">
            <v>1.55</v>
          </cell>
          <cell r="T359">
            <v>1.4</v>
          </cell>
          <cell r="U359">
            <v>0.83</v>
          </cell>
          <cell r="V359">
            <v>0.64</v>
          </cell>
          <cell r="X359" t="str">
            <v>Re-size</v>
          </cell>
          <cell r="Y359" t="str">
            <v>Re-size</v>
          </cell>
          <cell r="Z359" t="str">
            <v>Re-size</v>
          </cell>
          <cell r="AA359" t="str">
            <v>Re-size</v>
          </cell>
          <cell r="AB359" t="str">
            <v>Re-size</v>
          </cell>
          <cell r="AC359" t="str">
            <v>Re-size</v>
          </cell>
          <cell r="AD359" t="str">
            <v>Re-size</v>
          </cell>
          <cell r="AE359" t="str">
            <v>Re-size</v>
          </cell>
        </row>
        <row r="360">
          <cell r="B360">
            <v>3.51</v>
          </cell>
          <cell r="C360" t="str">
            <v>Re-size</v>
          </cell>
          <cell r="D360" t="str">
            <v>Re-size</v>
          </cell>
          <cell r="E360" t="str">
            <v>Re-size</v>
          </cell>
          <cell r="F360" t="str">
            <v>Re-size</v>
          </cell>
          <cell r="G360" t="str">
            <v>Re-size</v>
          </cell>
          <cell r="H360" t="str">
            <v>Re-size</v>
          </cell>
          <cell r="I360" t="str">
            <v>Re-size</v>
          </cell>
          <cell r="J360" t="str">
            <v>Re-size</v>
          </cell>
          <cell r="K360" t="str">
            <v>Re-size</v>
          </cell>
          <cell r="L360">
            <v>14.76</v>
          </cell>
          <cell r="M360">
            <v>11.16</v>
          </cell>
          <cell r="N360">
            <v>8.0399999999999991</v>
          </cell>
          <cell r="O360">
            <v>4.74</v>
          </cell>
          <cell r="P360">
            <v>3.57</v>
          </cell>
          <cell r="Q360">
            <v>3.39</v>
          </cell>
          <cell r="R360">
            <v>2.0099999999999998</v>
          </cell>
          <cell r="S360">
            <v>1.56</v>
          </cell>
          <cell r="T360">
            <v>1.41</v>
          </cell>
          <cell r="U360">
            <v>0.84</v>
          </cell>
          <cell r="V360">
            <v>0.65</v>
          </cell>
          <cell r="X360" t="str">
            <v>Re-size</v>
          </cell>
          <cell r="Y360" t="str">
            <v>Re-size</v>
          </cell>
          <cell r="Z360" t="str">
            <v>Re-size</v>
          </cell>
          <cell r="AA360" t="str">
            <v>Re-size</v>
          </cell>
          <cell r="AB360" t="str">
            <v>Re-size</v>
          </cell>
          <cell r="AC360" t="str">
            <v>Re-size</v>
          </cell>
          <cell r="AD360" t="str">
            <v>Re-size</v>
          </cell>
          <cell r="AE360" t="str">
            <v>Re-size</v>
          </cell>
        </row>
        <row r="361">
          <cell r="B361">
            <v>3.52</v>
          </cell>
          <cell r="C361" t="str">
            <v>Re-size</v>
          </cell>
          <cell r="D361" t="str">
            <v>Re-size</v>
          </cell>
          <cell r="E361" t="str">
            <v>Re-size</v>
          </cell>
          <cell r="F361" t="str">
            <v>Re-size</v>
          </cell>
          <cell r="G361" t="str">
            <v>Re-size</v>
          </cell>
          <cell r="H361" t="str">
            <v>Re-size</v>
          </cell>
          <cell r="I361" t="str">
            <v>Re-size</v>
          </cell>
          <cell r="J361" t="str">
            <v>Re-size</v>
          </cell>
          <cell r="K361" t="str">
            <v>Re-size</v>
          </cell>
          <cell r="L361">
            <v>14.84</v>
          </cell>
          <cell r="M361">
            <v>11.19</v>
          </cell>
          <cell r="N361">
            <v>8.09</v>
          </cell>
          <cell r="O361">
            <v>4.7699999999999996</v>
          </cell>
          <cell r="P361">
            <v>3.59</v>
          </cell>
          <cell r="Q361">
            <v>3.41</v>
          </cell>
          <cell r="R361">
            <v>2.02</v>
          </cell>
          <cell r="S361">
            <v>1.57</v>
          </cell>
          <cell r="T361">
            <v>1.42</v>
          </cell>
          <cell r="U361">
            <v>0.84</v>
          </cell>
          <cell r="V361">
            <v>0.65</v>
          </cell>
          <cell r="X361" t="str">
            <v>Re-size</v>
          </cell>
          <cell r="Y361" t="str">
            <v>Re-size</v>
          </cell>
          <cell r="Z361" t="str">
            <v>Re-size</v>
          </cell>
          <cell r="AA361" t="str">
            <v>Re-size</v>
          </cell>
          <cell r="AB361" t="str">
            <v>Re-size</v>
          </cell>
          <cell r="AC361" t="str">
            <v>Re-size</v>
          </cell>
          <cell r="AD361" t="str">
            <v>Re-size</v>
          </cell>
          <cell r="AE361" t="str">
            <v>Re-size</v>
          </cell>
        </row>
        <row r="362">
          <cell r="B362">
            <v>3.53</v>
          </cell>
          <cell r="C362" t="str">
            <v>Re-size</v>
          </cell>
          <cell r="D362" t="str">
            <v>Re-size</v>
          </cell>
          <cell r="E362" t="str">
            <v>Re-size</v>
          </cell>
          <cell r="F362" t="str">
            <v>Re-size</v>
          </cell>
          <cell r="G362" t="str">
            <v>Re-size</v>
          </cell>
          <cell r="H362" t="str">
            <v>Re-size</v>
          </cell>
          <cell r="I362" t="str">
            <v>Re-size</v>
          </cell>
          <cell r="J362" t="str">
            <v>Re-size</v>
          </cell>
          <cell r="K362" t="str">
            <v>Re-size</v>
          </cell>
          <cell r="L362">
            <v>14.93</v>
          </cell>
          <cell r="M362">
            <v>11.25</v>
          </cell>
          <cell r="N362">
            <v>8.129999999999999</v>
          </cell>
          <cell r="O362">
            <v>4.79</v>
          </cell>
          <cell r="P362">
            <v>3.61</v>
          </cell>
          <cell r="Q362">
            <v>3.43</v>
          </cell>
          <cell r="R362">
            <v>2.0299999999999998</v>
          </cell>
          <cell r="S362">
            <v>1.57</v>
          </cell>
          <cell r="T362">
            <v>1.43</v>
          </cell>
          <cell r="U362">
            <v>0.85</v>
          </cell>
          <cell r="V362">
            <v>0.65</v>
          </cell>
          <cell r="X362" t="str">
            <v>Re-size</v>
          </cell>
          <cell r="Y362" t="str">
            <v>Re-size</v>
          </cell>
          <cell r="Z362" t="str">
            <v>Re-size</v>
          </cell>
          <cell r="AA362" t="str">
            <v>Re-size</v>
          </cell>
          <cell r="AB362" t="str">
            <v>Re-size</v>
          </cell>
          <cell r="AC362" t="str">
            <v>Re-size</v>
          </cell>
          <cell r="AD362" t="str">
            <v>Re-size</v>
          </cell>
          <cell r="AE362" t="str">
            <v>Re-size</v>
          </cell>
        </row>
        <row r="363">
          <cell r="B363">
            <v>3.54</v>
          </cell>
          <cell r="C363" t="str">
            <v>Re-size</v>
          </cell>
          <cell r="D363" t="str">
            <v>Re-size</v>
          </cell>
          <cell r="E363" t="str">
            <v>Re-size</v>
          </cell>
          <cell r="F363" t="str">
            <v>Re-size</v>
          </cell>
          <cell r="G363" t="str">
            <v>Re-size</v>
          </cell>
          <cell r="H363" t="str">
            <v>Re-size</v>
          </cell>
          <cell r="I363" t="str">
            <v>Re-size</v>
          </cell>
          <cell r="J363" t="str">
            <v>Re-size</v>
          </cell>
          <cell r="K363" t="str">
            <v>Re-size</v>
          </cell>
          <cell r="L363">
            <v>15.01</v>
          </cell>
          <cell r="M363">
            <v>11.31</v>
          </cell>
          <cell r="N363">
            <v>8.18</v>
          </cell>
          <cell r="O363">
            <v>4.8199999999999994</v>
          </cell>
          <cell r="P363">
            <v>3.63</v>
          </cell>
          <cell r="Q363">
            <v>3.45</v>
          </cell>
          <cell r="R363">
            <v>2.04</v>
          </cell>
          <cell r="S363">
            <v>1.58</v>
          </cell>
          <cell r="T363">
            <v>1.43</v>
          </cell>
          <cell r="U363">
            <v>0.85</v>
          </cell>
          <cell r="V363">
            <v>0.66</v>
          </cell>
          <cell r="X363" t="str">
            <v>Re-size</v>
          </cell>
          <cell r="Y363" t="str">
            <v>Re-size</v>
          </cell>
          <cell r="Z363" t="str">
            <v>Re-size</v>
          </cell>
          <cell r="AA363" t="str">
            <v>Re-size</v>
          </cell>
          <cell r="AB363" t="str">
            <v>Re-size</v>
          </cell>
          <cell r="AC363" t="str">
            <v>Re-size</v>
          </cell>
          <cell r="AD363" t="str">
            <v>Re-size</v>
          </cell>
          <cell r="AE363" t="str">
            <v>Re-size</v>
          </cell>
        </row>
        <row r="364">
          <cell r="B364">
            <v>3.55</v>
          </cell>
          <cell r="C364" t="str">
            <v>Re-size</v>
          </cell>
          <cell r="D364" t="str">
            <v>Re-size</v>
          </cell>
          <cell r="E364" t="str">
            <v>Re-size</v>
          </cell>
          <cell r="F364" t="str">
            <v>Re-size</v>
          </cell>
          <cell r="G364" t="str">
            <v>Re-size</v>
          </cell>
          <cell r="H364" t="str">
            <v>Re-size</v>
          </cell>
          <cell r="I364" t="str">
            <v>Re-size</v>
          </cell>
          <cell r="J364" t="str">
            <v>Re-size</v>
          </cell>
          <cell r="K364" t="str">
            <v>Re-size</v>
          </cell>
          <cell r="L364">
            <v>15.1</v>
          </cell>
          <cell r="M364">
            <v>11.379999999999999</v>
          </cell>
          <cell r="N364">
            <v>8.2200000000000006</v>
          </cell>
          <cell r="O364">
            <v>4.84</v>
          </cell>
          <cell r="P364">
            <v>3.65</v>
          </cell>
          <cell r="Q364">
            <v>3.47</v>
          </cell>
          <cell r="R364">
            <v>2.0499999999999998</v>
          </cell>
          <cell r="S364">
            <v>1.58</v>
          </cell>
          <cell r="T364">
            <v>1.4350000000000001</v>
          </cell>
          <cell r="U364">
            <v>0.85</v>
          </cell>
          <cell r="V364">
            <v>0.65500000000000003</v>
          </cell>
          <cell r="X364" t="str">
            <v>Re-size</v>
          </cell>
          <cell r="Y364" t="str">
            <v>Re-size</v>
          </cell>
          <cell r="Z364" t="str">
            <v>Re-size</v>
          </cell>
          <cell r="AA364" t="str">
            <v>Re-size</v>
          </cell>
          <cell r="AB364" t="str">
            <v>Re-size</v>
          </cell>
          <cell r="AC364" t="str">
            <v>Re-size</v>
          </cell>
          <cell r="AD364" t="str">
            <v>Re-size</v>
          </cell>
          <cell r="AE364" t="str">
            <v>Re-size</v>
          </cell>
        </row>
        <row r="365">
          <cell r="B365">
            <v>3.56</v>
          </cell>
          <cell r="C365" t="str">
            <v>Re-size</v>
          </cell>
          <cell r="D365" t="str">
            <v>Re-size</v>
          </cell>
          <cell r="E365" t="str">
            <v>Re-size</v>
          </cell>
          <cell r="F365" t="str">
            <v>Re-size</v>
          </cell>
          <cell r="G365" t="str">
            <v>Re-size</v>
          </cell>
          <cell r="H365" t="str">
            <v>Re-size</v>
          </cell>
          <cell r="I365" t="str">
            <v>Re-size</v>
          </cell>
          <cell r="J365" t="str">
            <v>Re-size</v>
          </cell>
          <cell r="K365" t="str">
            <v>Re-size</v>
          </cell>
          <cell r="L365">
            <v>15.18</v>
          </cell>
          <cell r="M365">
            <v>11.44</v>
          </cell>
          <cell r="N365">
            <v>8.26</v>
          </cell>
          <cell r="O365">
            <v>4.87</v>
          </cell>
          <cell r="P365">
            <v>3.67</v>
          </cell>
          <cell r="Q365">
            <v>3.4899999999999998</v>
          </cell>
          <cell r="R365">
            <v>2.0699999999999998</v>
          </cell>
          <cell r="S365">
            <v>1.59</v>
          </cell>
          <cell r="T365">
            <v>1.45</v>
          </cell>
          <cell r="U365">
            <v>0.86</v>
          </cell>
          <cell r="V365">
            <v>0.66</v>
          </cell>
          <cell r="X365" t="str">
            <v>Re-size</v>
          </cell>
          <cell r="Y365" t="str">
            <v>Re-size</v>
          </cell>
          <cell r="Z365" t="str">
            <v>Re-size</v>
          </cell>
          <cell r="AA365" t="str">
            <v>Re-size</v>
          </cell>
          <cell r="AB365" t="str">
            <v>Re-size</v>
          </cell>
          <cell r="AC365" t="str">
            <v>Re-size</v>
          </cell>
          <cell r="AD365" t="str">
            <v>Re-size</v>
          </cell>
          <cell r="AE365" t="str">
            <v>Re-size</v>
          </cell>
        </row>
        <row r="366">
          <cell r="B366">
            <v>3.57</v>
          </cell>
          <cell r="C366" t="str">
            <v>Re-size</v>
          </cell>
          <cell r="D366" t="str">
            <v>Re-size</v>
          </cell>
          <cell r="E366" t="str">
            <v>Re-size</v>
          </cell>
          <cell r="F366" t="str">
            <v>Re-size</v>
          </cell>
          <cell r="G366" t="str">
            <v>Re-size</v>
          </cell>
          <cell r="H366" t="str">
            <v>Re-size</v>
          </cell>
          <cell r="I366" t="str">
            <v>Re-size</v>
          </cell>
          <cell r="J366" t="str">
            <v>Re-size</v>
          </cell>
          <cell r="K366" t="str">
            <v>Re-size</v>
          </cell>
          <cell r="L366">
            <v>15.27</v>
          </cell>
          <cell r="M366">
            <v>11.51</v>
          </cell>
          <cell r="N366">
            <v>8.2999999999999989</v>
          </cell>
          <cell r="O366">
            <v>4.8899999999999997</v>
          </cell>
          <cell r="P366">
            <v>3.69</v>
          </cell>
          <cell r="Q366">
            <v>3.51</v>
          </cell>
          <cell r="R366">
            <v>2.0799999999999996</v>
          </cell>
          <cell r="S366">
            <v>1.6</v>
          </cell>
          <cell r="T366">
            <v>1.45</v>
          </cell>
          <cell r="U366">
            <v>0.86</v>
          </cell>
          <cell r="V366">
            <v>0.67</v>
          </cell>
          <cell r="X366" t="str">
            <v>Re-size</v>
          </cell>
          <cell r="Y366" t="str">
            <v>Re-size</v>
          </cell>
          <cell r="Z366" t="str">
            <v>Re-size</v>
          </cell>
          <cell r="AA366" t="str">
            <v>Re-size</v>
          </cell>
          <cell r="AB366" t="str">
            <v>Re-size</v>
          </cell>
          <cell r="AC366" t="str">
            <v>Re-size</v>
          </cell>
          <cell r="AD366" t="str">
            <v>Re-size</v>
          </cell>
          <cell r="AE366" t="str">
            <v>Re-size</v>
          </cell>
        </row>
        <row r="367">
          <cell r="B367">
            <v>3.58</v>
          </cell>
          <cell r="C367" t="str">
            <v>Re-size</v>
          </cell>
          <cell r="D367" t="str">
            <v>Re-size</v>
          </cell>
          <cell r="E367" t="str">
            <v>Re-size</v>
          </cell>
          <cell r="F367" t="str">
            <v>Re-size</v>
          </cell>
          <cell r="G367" t="str">
            <v>Re-size</v>
          </cell>
          <cell r="H367" t="str">
            <v>Re-size</v>
          </cell>
          <cell r="I367" t="str">
            <v>Re-size</v>
          </cell>
          <cell r="J367" t="str">
            <v>Re-size</v>
          </cell>
          <cell r="K367" t="str">
            <v>Re-size</v>
          </cell>
          <cell r="L367">
            <v>15.35</v>
          </cell>
          <cell r="M367">
            <v>11.57</v>
          </cell>
          <cell r="N367">
            <v>8.34</v>
          </cell>
          <cell r="O367">
            <v>4.91</v>
          </cell>
          <cell r="P367">
            <v>3.71</v>
          </cell>
          <cell r="Q367">
            <v>3.5199999999999996</v>
          </cell>
          <cell r="R367">
            <v>2.09</v>
          </cell>
          <cell r="S367">
            <v>1.61</v>
          </cell>
          <cell r="T367">
            <v>1.46</v>
          </cell>
          <cell r="U367">
            <v>0.87</v>
          </cell>
          <cell r="V367">
            <v>0.67</v>
          </cell>
          <cell r="X367" t="str">
            <v>Re-size</v>
          </cell>
          <cell r="Y367" t="str">
            <v>Re-size</v>
          </cell>
          <cell r="Z367" t="str">
            <v>Re-size</v>
          </cell>
          <cell r="AA367" t="str">
            <v>Re-size</v>
          </cell>
          <cell r="AB367" t="str">
            <v>Re-size</v>
          </cell>
          <cell r="AC367" t="str">
            <v>Re-size</v>
          </cell>
          <cell r="AD367" t="str">
            <v>Re-size</v>
          </cell>
          <cell r="AE367" t="str">
            <v>Re-size</v>
          </cell>
        </row>
        <row r="368">
          <cell r="B368">
            <v>3.59</v>
          </cell>
          <cell r="C368" t="str">
            <v>Re-size</v>
          </cell>
          <cell r="D368" t="str">
            <v>Re-size</v>
          </cell>
          <cell r="E368" t="str">
            <v>Re-size</v>
          </cell>
          <cell r="F368" t="str">
            <v>Re-size</v>
          </cell>
          <cell r="G368" t="str">
            <v>Re-size</v>
          </cell>
          <cell r="H368" t="str">
            <v>Re-size</v>
          </cell>
          <cell r="I368" t="str">
            <v>Re-size</v>
          </cell>
          <cell r="J368" t="str">
            <v>Re-size</v>
          </cell>
          <cell r="K368" t="str">
            <v>Re-size</v>
          </cell>
          <cell r="L368">
            <v>15.4</v>
          </cell>
          <cell r="M368">
            <v>11.64</v>
          </cell>
          <cell r="N368">
            <v>8.379999999999999</v>
          </cell>
          <cell r="O368">
            <v>4.93</v>
          </cell>
          <cell r="P368">
            <v>3.73</v>
          </cell>
          <cell r="Q368">
            <v>3.5399999999999996</v>
          </cell>
          <cell r="R368">
            <v>2.0999999999999996</v>
          </cell>
          <cell r="S368">
            <v>1.62</v>
          </cell>
          <cell r="T368">
            <v>1.47</v>
          </cell>
          <cell r="U368">
            <v>0.87</v>
          </cell>
          <cell r="V368">
            <v>0.67</v>
          </cell>
          <cell r="X368" t="str">
            <v>Re-size</v>
          </cell>
          <cell r="Y368" t="str">
            <v>Re-size</v>
          </cell>
          <cell r="Z368" t="str">
            <v>Re-size</v>
          </cell>
          <cell r="AA368" t="str">
            <v>Re-size</v>
          </cell>
          <cell r="AB368" t="str">
            <v>Re-size</v>
          </cell>
          <cell r="AC368" t="str">
            <v>Re-size</v>
          </cell>
          <cell r="AD368" t="str">
            <v>Re-size</v>
          </cell>
          <cell r="AE368" t="str">
            <v>Re-size</v>
          </cell>
        </row>
        <row r="369">
          <cell r="B369">
            <v>3.6</v>
          </cell>
          <cell r="C369" t="str">
            <v>Re-size</v>
          </cell>
          <cell r="D369" t="str">
            <v>Re-size</v>
          </cell>
          <cell r="E369" t="str">
            <v>Re-size</v>
          </cell>
          <cell r="F369" t="str">
            <v>Re-size</v>
          </cell>
          <cell r="G369" t="str">
            <v>Re-size</v>
          </cell>
          <cell r="H369" t="str">
            <v>Re-size</v>
          </cell>
          <cell r="I369" t="str">
            <v>Re-size</v>
          </cell>
          <cell r="J369" t="str">
            <v>Re-size</v>
          </cell>
          <cell r="K369" t="str">
            <v>Re-size</v>
          </cell>
          <cell r="L369">
            <v>15.44</v>
          </cell>
          <cell r="M369">
            <v>11.7</v>
          </cell>
          <cell r="N369">
            <v>8.41</v>
          </cell>
          <cell r="O369">
            <v>4.95</v>
          </cell>
          <cell r="P369">
            <v>3.74</v>
          </cell>
          <cell r="Q369">
            <v>3.55</v>
          </cell>
          <cell r="R369">
            <v>2.11</v>
          </cell>
          <cell r="S369">
            <v>1.63</v>
          </cell>
          <cell r="T369">
            <v>1.47</v>
          </cell>
          <cell r="U369">
            <v>0.87</v>
          </cell>
          <cell r="V369">
            <v>0.67</v>
          </cell>
          <cell r="X369" t="str">
            <v>Re-size</v>
          </cell>
          <cell r="Y369" t="str">
            <v>Re-size</v>
          </cell>
          <cell r="Z369" t="str">
            <v>Re-size</v>
          </cell>
          <cell r="AA369" t="str">
            <v>Re-size</v>
          </cell>
          <cell r="AB369" t="str">
            <v>Re-size</v>
          </cell>
          <cell r="AC369" t="str">
            <v>Re-size</v>
          </cell>
          <cell r="AD369" t="str">
            <v>Re-size</v>
          </cell>
          <cell r="AE369" t="str">
            <v>Re-size</v>
          </cell>
        </row>
        <row r="370">
          <cell r="B370">
            <v>3.61</v>
          </cell>
          <cell r="C370" t="str">
            <v>Re-size</v>
          </cell>
          <cell r="D370" t="str">
            <v>Re-size</v>
          </cell>
          <cell r="E370" t="str">
            <v>Re-size</v>
          </cell>
          <cell r="F370" t="str">
            <v>Re-size</v>
          </cell>
          <cell r="G370" t="str">
            <v>Re-size</v>
          </cell>
          <cell r="H370" t="str">
            <v>Re-size</v>
          </cell>
          <cell r="I370" t="str">
            <v>Re-size</v>
          </cell>
          <cell r="J370" t="str">
            <v>Re-size</v>
          </cell>
          <cell r="K370" t="str">
            <v>Re-size</v>
          </cell>
          <cell r="L370">
            <v>15.53</v>
          </cell>
          <cell r="M370">
            <v>11.77</v>
          </cell>
          <cell r="N370">
            <v>8.4599999999999991</v>
          </cell>
          <cell r="O370">
            <v>4.9799999999999995</v>
          </cell>
          <cell r="P370">
            <v>3.76</v>
          </cell>
          <cell r="Q370">
            <v>3.57</v>
          </cell>
          <cell r="R370">
            <v>2.12</v>
          </cell>
          <cell r="S370">
            <v>1.64</v>
          </cell>
          <cell r="T370">
            <v>1.48</v>
          </cell>
          <cell r="U370">
            <v>0.88</v>
          </cell>
          <cell r="V370">
            <v>0.68</v>
          </cell>
          <cell r="X370" t="str">
            <v>Re-size</v>
          </cell>
          <cell r="Y370" t="str">
            <v>Re-size</v>
          </cell>
          <cell r="Z370" t="str">
            <v>Re-size</v>
          </cell>
          <cell r="AA370" t="str">
            <v>Re-size</v>
          </cell>
          <cell r="AB370" t="str">
            <v>Re-size</v>
          </cell>
          <cell r="AC370" t="str">
            <v>Re-size</v>
          </cell>
          <cell r="AD370" t="str">
            <v>Re-size</v>
          </cell>
          <cell r="AE370" t="str">
            <v>Re-size</v>
          </cell>
        </row>
        <row r="371">
          <cell r="B371">
            <v>3.62</v>
          </cell>
          <cell r="C371" t="str">
            <v>Re-size</v>
          </cell>
          <cell r="D371" t="str">
            <v>Re-size</v>
          </cell>
          <cell r="E371" t="str">
            <v>Re-size</v>
          </cell>
          <cell r="F371" t="str">
            <v>Re-size</v>
          </cell>
          <cell r="G371" t="str">
            <v>Re-size</v>
          </cell>
          <cell r="H371" t="str">
            <v>Re-size</v>
          </cell>
          <cell r="I371" t="str">
            <v>Re-size</v>
          </cell>
          <cell r="J371" t="str">
            <v>Re-size</v>
          </cell>
          <cell r="K371" t="str">
            <v>Re-size</v>
          </cell>
          <cell r="L371">
            <v>15.61</v>
          </cell>
          <cell r="M371">
            <v>11.83</v>
          </cell>
          <cell r="N371">
            <v>8.51</v>
          </cell>
          <cell r="O371">
            <v>5.01</v>
          </cell>
          <cell r="P371">
            <v>3.78</v>
          </cell>
          <cell r="Q371">
            <v>3.59</v>
          </cell>
          <cell r="R371">
            <v>2.13</v>
          </cell>
          <cell r="S371">
            <v>1.65</v>
          </cell>
          <cell r="T371">
            <v>1.49</v>
          </cell>
          <cell r="U371">
            <v>0.88</v>
          </cell>
          <cell r="V371">
            <v>0.68</v>
          </cell>
          <cell r="X371" t="str">
            <v>Re-size</v>
          </cell>
          <cell r="Y371" t="str">
            <v>Re-size</v>
          </cell>
          <cell r="Z371" t="str">
            <v>Re-size</v>
          </cell>
          <cell r="AA371" t="str">
            <v>Re-size</v>
          </cell>
          <cell r="AB371" t="str">
            <v>Re-size</v>
          </cell>
          <cell r="AC371" t="str">
            <v>Re-size</v>
          </cell>
          <cell r="AD371" t="str">
            <v>Re-size</v>
          </cell>
          <cell r="AE371" t="str">
            <v>Re-size</v>
          </cell>
        </row>
        <row r="372">
          <cell r="B372">
            <v>3.63</v>
          </cell>
          <cell r="C372" t="str">
            <v>Re-size</v>
          </cell>
          <cell r="D372" t="str">
            <v>Re-size</v>
          </cell>
          <cell r="E372" t="str">
            <v>Re-size</v>
          </cell>
          <cell r="F372" t="str">
            <v>Re-size</v>
          </cell>
          <cell r="G372" t="str">
            <v>Re-size</v>
          </cell>
          <cell r="H372" t="str">
            <v>Re-size</v>
          </cell>
          <cell r="I372" t="str">
            <v>Re-size</v>
          </cell>
          <cell r="J372" t="str">
            <v>Re-size</v>
          </cell>
          <cell r="K372" t="str">
            <v>Re-size</v>
          </cell>
          <cell r="L372">
            <v>15.7</v>
          </cell>
          <cell r="M372">
            <v>11.87</v>
          </cell>
          <cell r="N372">
            <v>8.56</v>
          </cell>
          <cell r="O372">
            <v>5.04</v>
          </cell>
          <cell r="P372">
            <v>3.8</v>
          </cell>
          <cell r="Q372">
            <v>3.61</v>
          </cell>
          <cell r="R372">
            <v>2.14</v>
          </cell>
          <cell r="S372">
            <v>1.66</v>
          </cell>
          <cell r="T372">
            <v>1.5</v>
          </cell>
          <cell r="U372">
            <v>0.89</v>
          </cell>
          <cell r="V372">
            <v>0.69000000000000006</v>
          </cell>
          <cell r="X372" t="str">
            <v>Re-size</v>
          </cell>
          <cell r="Y372" t="str">
            <v>Re-size</v>
          </cell>
          <cell r="Z372" t="str">
            <v>Re-size</v>
          </cell>
          <cell r="AA372" t="str">
            <v>Re-size</v>
          </cell>
          <cell r="AB372" t="str">
            <v>Re-size</v>
          </cell>
          <cell r="AC372" t="str">
            <v>Re-size</v>
          </cell>
          <cell r="AD372" t="str">
            <v>Re-size</v>
          </cell>
          <cell r="AE372" t="str">
            <v>Re-size</v>
          </cell>
        </row>
        <row r="373">
          <cell r="B373">
            <v>3.64</v>
          </cell>
          <cell r="C373" t="str">
            <v>Re-size</v>
          </cell>
          <cell r="D373" t="str">
            <v>Re-size</v>
          </cell>
          <cell r="E373" t="str">
            <v>Re-size</v>
          </cell>
          <cell r="F373" t="str">
            <v>Re-size</v>
          </cell>
          <cell r="G373" t="str">
            <v>Re-size</v>
          </cell>
          <cell r="H373" t="str">
            <v>Re-size</v>
          </cell>
          <cell r="I373" t="str">
            <v>Re-size</v>
          </cell>
          <cell r="J373" t="str">
            <v>Re-size</v>
          </cell>
          <cell r="K373" t="str">
            <v>Re-size</v>
          </cell>
          <cell r="L373">
            <v>15.79</v>
          </cell>
          <cell r="M373">
            <v>11.9</v>
          </cell>
          <cell r="N373">
            <v>8.61</v>
          </cell>
          <cell r="O373">
            <v>5.0699999999999994</v>
          </cell>
          <cell r="P373">
            <v>3.82</v>
          </cell>
          <cell r="Q373">
            <v>3.63</v>
          </cell>
          <cell r="R373">
            <v>2.15</v>
          </cell>
          <cell r="S373">
            <v>1.67</v>
          </cell>
          <cell r="T373">
            <v>1.51</v>
          </cell>
          <cell r="U373">
            <v>0.89</v>
          </cell>
          <cell r="V373">
            <v>0.69000000000000006</v>
          </cell>
          <cell r="X373" t="str">
            <v>Re-size</v>
          </cell>
          <cell r="Y373" t="str">
            <v>Re-size</v>
          </cell>
          <cell r="Z373" t="str">
            <v>Re-size</v>
          </cell>
          <cell r="AA373" t="str">
            <v>Re-size</v>
          </cell>
          <cell r="AB373" t="str">
            <v>Re-size</v>
          </cell>
          <cell r="AC373" t="str">
            <v>Re-size</v>
          </cell>
          <cell r="AD373" t="str">
            <v>Re-size</v>
          </cell>
          <cell r="AE373" t="str">
            <v>Re-size</v>
          </cell>
        </row>
        <row r="374">
          <cell r="B374">
            <v>3.65</v>
          </cell>
          <cell r="C374" t="str">
            <v>Re-size</v>
          </cell>
          <cell r="D374" t="str">
            <v>Re-size</v>
          </cell>
          <cell r="E374" t="str">
            <v>Re-size</v>
          </cell>
          <cell r="F374" t="str">
            <v>Re-size</v>
          </cell>
          <cell r="G374" t="str">
            <v>Re-size</v>
          </cell>
          <cell r="H374" t="str">
            <v>Re-size</v>
          </cell>
          <cell r="I374" t="str">
            <v>Re-size</v>
          </cell>
          <cell r="J374" t="str">
            <v>Re-size</v>
          </cell>
          <cell r="K374" t="str">
            <v>Re-size</v>
          </cell>
          <cell r="L374">
            <v>15.879999999999999</v>
          </cell>
          <cell r="M374">
            <v>11.97</v>
          </cell>
          <cell r="N374">
            <v>8.65</v>
          </cell>
          <cell r="O374">
            <v>5.09</v>
          </cell>
          <cell r="P374">
            <v>3.84</v>
          </cell>
          <cell r="Q374">
            <v>3.65</v>
          </cell>
          <cell r="R374">
            <v>2.16</v>
          </cell>
          <cell r="S374">
            <v>1.67</v>
          </cell>
          <cell r="T374">
            <v>1.51</v>
          </cell>
          <cell r="U374">
            <v>0.89500000000000002</v>
          </cell>
          <cell r="V374">
            <v>0.69</v>
          </cell>
          <cell r="X374" t="str">
            <v>Re-size</v>
          </cell>
          <cell r="Y374" t="str">
            <v>Re-size</v>
          </cell>
          <cell r="Z374" t="str">
            <v>Re-size</v>
          </cell>
          <cell r="AA374" t="str">
            <v>Re-size</v>
          </cell>
          <cell r="AB374" t="str">
            <v>Re-size</v>
          </cell>
          <cell r="AC374" t="str">
            <v>Re-size</v>
          </cell>
          <cell r="AD374" t="str">
            <v>Re-size</v>
          </cell>
          <cell r="AE374" t="str">
            <v>Re-size</v>
          </cell>
        </row>
        <row r="375">
          <cell r="B375">
            <v>3.66</v>
          </cell>
          <cell r="C375" t="str">
            <v>Re-size</v>
          </cell>
          <cell r="D375" t="str">
            <v>Re-size</v>
          </cell>
          <cell r="E375" t="str">
            <v>Re-size</v>
          </cell>
          <cell r="F375" t="str">
            <v>Re-size</v>
          </cell>
          <cell r="G375" t="str">
            <v>Re-size</v>
          </cell>
          <cell r="H375" t="str">
            <v>Re-size</v>
          </cell>
          <cell r="I375" t="str">
            <v>Re-size</v>
          </cell>
          <cell r="J375" t="str">
            <v>Re-size</v>
          </cell>
          <cell r="K375" t="str">
            <v>Re-size</v>
          </cell>
          <cell r="L375">
            <v>15.96</v>
          </cell>
          <cell r="M375">
            <v>12.03</v>
          </cell>
          <cell r="N375">
            <v>8.69</v>
          </cell>
          <cell r="O375">
            <v>5.12</v>
          </cell>
          <cell r="P375">
            <v>3.86</v>
          </cell>
          <cell r="Q375">
            <v>3.67</v>
          </cell>
          <cell r="R375">
            <v>2.1799999999999997</v>
          </cell>
          <cell r="S375">
            <v>1.68</v>
          </cell>
          <cell r="T375">
            <v>1.52</v>
          </cell>
          <cell r="U375">
            <v>0.9</v>
          </cell>
          <cell r="V375">
            <v>0.7</v>
          </cell>
          <cell r="X375" t="str">
            <v>Re-size</v>
          </cell>
          <cell r="Y375" t="str">
            <v>Re-size</v>
          </cell>
          <cell r="Z375" t="str">
            <v>Re-size</v>
          </cell>
          <cell r="AA375" t="str">
            <v>Re-size</v>
          </cell>
          <cell r="AB375" t="str">
            <v>Re-size</v>
          </cell>
          <cell r="AC375" t="str">
            <v>Re-size</v>
          </cell>
          <cell r="AD375" t="str">
            <v>Re-size</v>
          </cell>
          <cell r="AE375" t="str">
            <v>Re-size</v>
          </cell>
        </row>
        <row r="376">
          <cell r="B376">
            <v>3.67</v>
          </cell>
          <cell r="C376" t="str">
            <v>Re-size</v>
          </cell>
          <cell r="D376" t="str">
            <v>Re-size</v>
          </cell>
          <cell r="E376" t="str">
            <v>Re-size</v>
          </cell>
          <cell r="F376" t="str">
            <v>Re-size</v>
          </cell>
          <cell r="G376" t="str">
            <v>Re-size</v>
          </cell>
          <cell r="H376" t="str">
            <v>Re-size</v>
          </cell>
          <cell r="I376" t="str">
            <v>Re-size</v>
          </cell>
          <cell r="J376" t="str">
            <v>Re-size</v>
          </cell>
          <cell r="K376" t="str">
            <v>Re-size</v>
          </cell>
          <cell r="L376">
            <v>16.05</v>
          </cell>
          <cell r="M376">
            <v>12.1</v>
          </cell>
          <cell r="N376">
            <v>8.73</v>
          </cell>
          <cell r="O376">
            <v>5.14</v>
          </cell>
          <cell r="P376">
            <v>3.88</v>
          </cell>
          <cell r="Q376">
            <v>3.69</v>
          </cell>
          <cell r="R376">
            <v>2.19</v>
          </cell>
          <cell r="S376">
            <v>1.69</v>
          </cell>
          <cell r="T376">
            <v>1.53</v>
          </cell>
          <cell r="U376">
            <v>0.91</v>
          </cell>
          <cell r="V376">
            <v>0.7</v>
          </cell>
          <cell r="X376" t="str">
            <v>Re-size</v>
          </cell>
          <cell r="Y376" t="str">
            <v>Re-size</v>
          </cell>
          <cell r="Z376" t="str">
            <v>Re-size</v>
          </cell>
          <cell r="AA376" t="str">
            <v>Re-size</v>
          </cell>
          <cell r="AB376" t="str">
            <v>Re-size</v>
          </cell>
          <cell r="AC376" t="str">
            <v>Re-size</v>
          </cell>
          <cell r="AD376" t="str">
            <v>Re-size</v>
          </cell>
          <cell r="AE376" t="str">
            <v>Re-size</v>
          </cell>
        </row>
        <row r="377">
          <cell r="B377">
            <v>3.68</v>
          </cell>
          <cell r="C377" t="str">
            <v>Re-size</v>
          </cell>
          <cell r="D377" t="str">
            <v>Re-size</v>
          </cell>
          <cell r="E377" t="str">
            <v>Re-size</v>
          </cell>
          <cell r="F377" t="str">
            <v>Re-size</v>
          </cell>
          <cell r="G377" t="str">
            <v>Re-size</v>
          </cell>
          <cell r="H377" t="str">
            <v>Re-size</v>
          </cell>
          <cell r="I377" t="str">
            <v>Re-size</v>
          </cell>
          <cell r="J377" t="str">
            <v>Re-size</v>
          </cell>
          <cell r="K377" t="str">
            <v>Re-size</v>
          </cell>
          <cell r="L377">
            <v>16.14</v>
          </cell>
          <cell r="M377">
            <v>12.16</v>
          </cell>
          <cell r="N377">
            <v>8.77</v>
          </cell>
          <cell r="O377">
            <v>5.17</v>
          </cell>
          <cell r="P377">
            <v>3.9</v>
          </cell>
          <cell r="Q377">
            <v>3.6999999999999997</v>
          </cell>
          <cell r="R377">
            <v>2.1999999999999997</v>
          </cell>
          <cell r="S377">
            <v>1.7</v>
          </cell>
          <cell r="T377">
            <v>1.54</v>
          </cell>
          <cell r="U377">
            <v>0.91</v>
          </cell>
          <cell r="V377">
            <v>0.71</v>
          </cell>
          <cell r="X377" t="str">
            <v>Re-size</v>
          </cell>
          <cell r="Y377" t="str">
            <v>Re-size</v>
          </cell>
          <cell r="Z377" t="str">
            <v>Re-size</v>
          </cell>
          <cell r="AA377" t="str">
            <v>Re-size</v>
          </cell>
          <cell r="AB377" t="str">
            <v>Re-size</v>
          </cell>
          <cell r="AC377" t="str">
            <v>Re-size</v>
          </cell>
          <cell r="AD377" t="str">
            <v>Re-size</v>
          </cell>
          <cell r="AE377" t="str">
            <v>Re-size</v>
          </cell>
        </row>
        <row r="378">
          <cell r="B378">
            <v>3.69</v>
          </cell>
          <cell r="C378" t="str">
            <v>Re-size</v>
          </cell>
          <cell r="D378" t="str">
            <v>Re-size</v>
          </cell>
          <cell r="E378" t="str">
            <v>Re-size</v>
          </cell>
          <cell r="F378" t="str">
            <v>Re-size</v>
          </cell>
          <cell r="G378" t="str">
            <v>Re-size</v>
          </cell>
          <cell r="H378" t="str">
            <v>Re-size</v>
          </cell>
          <cell r="I378" t="str">
            <v>Re-size</v>
          </cell>
          <cell r="J378" t="str">
            <v>Re-size</v>
          </cell>
          <cell r="K378" t="str">
            <v>Re-size</v>
          </cell>
          <cell r="L378">
            <v>16.23</v>
          </cell>
          <cell r="M378">
            <v>12.23</v>
          </cell>
          <cell r="N378">
            <v>8.81</v>
          </cell>
          <cell r="O378">
            <v>5.1899999999999995</v>
          </cell>
          <cell r="P378">
            <v>3.92</v>
          </cell>
          <cell r="Q378">
            <v>3.7199999999999998</v>
          </cell>
          <cell r="R378">
            <v>2.21</v>
          </cell>
          <cell r="S378">
            <v>1.71</v>
          </cell>
          <cell r="T378">
            <v>1.55</v>
          </cell>
          <cell r="U378">
            <v>0.92</v>
          </cell>
          <cell r="V378">
            <v>0.71</v>
          </cell>
          <cell r="X378" t="str">
            <v>Re-size</v>
          </cell>
          <cell r="Y378" t="str">
            <v>Re-size</v>
          </cell>
          <cell r="Z378" t="str">
            <v>Re-size</v>
          </cell>
          <cell r="AA378" t="str">
            <v>Re-size</v>
          </cell>
          <cell r="AB378" t="str">
            <v>Re-size</v>
          </cell>
          <cell r="AC378" t="str">
            <v>Re-size</v>
          </cell>
          <cell r="AD378" t="str">
            <v>Re-size</v>
          </cell>
          <cell r="AE378" t="str">
            <v>Re-size</v>
          </cell>
        </row>
        <row r="379">
          <cell r="B379">
            <v>3.7</v>
          </cell>
          <cell r="C379" t="str">
            <v>Re-size</v>
          </cell>
          <cell r="D379" t="str">
            <v>Re-size</v>
          </cell>
          <cell r="E379" t="str">
            <v>Re-size</v>
          </cell>
          <cell r="F379" t="str">
            <v>Re-size</v>
          </cell>
          <cell r="G379" t="str">
            <v>Re-size</v>
          </cell>
          <cell r="H379" t="str">
            <v>Re-size</v>
          </cell>
          <cell r="I379" t="str">
            <v>Re-size</v>
          </cell>
          <cell r="J379" t="str">
            <v>Re-size</v>
          </cell>
          <cell r="K379" t="str">
            <v>Re-size</v>
          </cell>
          <cell r="L379">
            <v>16.309999999999999</v>
          </cell>
          <cell r="M379">
            <v>12.3</v>
          </cell>
          <cell r="N379">
            <v>8.84</v>
          </cell>
          <cell r="O379">
            <v>5.21</v>
          </cell>
          <cell r="P379">
            <v>3.93</v>
          </cell>
          <cell r="Q379">
            <v>3.73</v>
          </cell>
          <cell r="R379">
            <v>2.2200000000000002</v>
          </cell>
          <cell r="S379">
            <v>1.71</v>
          </cell>
          <cell r="T379">
            <v>1.55</v>
          </cell>
          <cell r="U379">
            <v>0.92</v>
          </cell>
          <cell r="V379">
            <v>0.71</v>
          </cell>
          <cell r="X379" t="str">
            <v>Re-size</v>
          </cell>
          <cell r="Y379" t="str">
            <v>Re-size</v>
          </cell>
          <cell r="Z379" t="str">
            <v>Re-size</v>
          </cell>
          <cell r="AA379" t="str">
            <v>Re-size</v>
          </cell>
          <cell r="AB379" t="str">
            <v>Re-size</v>
          </cell>
          <cell r="AC379" t="str">
            <v>Re-size</v>
          </cell>
          <cell r="AD379" t="str">
            <v>Re-size</v>
          </cell>
          <cell r="AE379" t="str">
            <v>Re-size</v>
          </cell>
        </row>
        <row r="380">
          <cell r="B380">
            <v>3.71</v>
          </cell>
          <cell r="C380" t="str">
            <v>Re-size</v>
          </cell>
          <cell r="D380" t="str">
            <v>Re-size</v>
          </cell>
          <cell r="E380" t="str">
            <v>Re-size</v>
          </cell>
          <cell r="F380" t="str">
            <v>Re-size</v>
          </cell>
          <cell r="G380" t="str">
            <v>Re-size</v>
          </cell>
          <cell r="H380" t="str">
            <v>Re-size</v>
          </cell>
          <cell r="I380" t="str">
            <v>Re-size</v>
          </cell>
          <cell r="J380" t="str">
            <v>Re-size</v>
          </cell>
          <cell r="K380" t="str">
            <v>Re-size</v>
          </cell>
          <cell r="L380">
            <v>16.360000000000003</v>
          </cell>
          <cell r="M380">
            <v>12.37</v>
          </cell>
          <cell r="N380">
            <v>8.89</v>
          </cell>
          <cell r="O380">
            <v>5.24</v>
          </cell>
          <cell r="P380">
            <v>3.96</v>
          </cell>
          <cell r="Q380">
            <v>3.75</v>
          </cell>
          <cell r="R380">
            <v>2.23</v>
          </cell>
          <cell r="S380">
            <v>1.72</v>
          </cell>
          <cell r="T380">
            <v>1.56</v>
          </cell>
          <cell r="U380">
            <v>0.93</v>
          </cell>
          <cell r="V380">
            <v>0.72</v>
          </cell>
          <cell r="X380" t="str">
            <v>Re-size</v>
          </cell>
          <cell r="Y380" t="str">
            <v>Re-size</v>
          </cell>
          <cell r="Z380" t="str">
            <v>Re-size</v>
          </cell>
          <cell r="AA380" t="str">
            <v>Re-size</v>
          </cell>
          <cell r="AB380" t="str">
            <v>Re-size</v>
          </cell>
          <cell r="AC380" t="str">
            <v>Re-size</v>
          </cell>
          <cell r="AD380" t="str">
            <v>Re-size</v>
          </cell>
          <cell r="AE380" t="str">
            <v>Re-size</v>
          </cell>
        </row>
        <row r="381">
          <cell r="B381">
            <v>3.72</v>
          </cell>
          <cell r="C381" t="str">
            <v>Re-size</v>
          </cell>
          <cell r="D381" t="str">
            <v>Re-size</v>
          </cell>
          <cell r="E381" t="str">
            <v>Re-size</v>
          </cell>
          <cell r="F381" t="str">
            <v>Re-size</v>
          </cell>
          <cell r="G381" t="str">
            <v>Re-size</v>
          </cell>
          <cell r="H381" t="str">
            <v>Re-size</v>
          </cell>
          <cell r="I381" t="str">
            <v>Re-size</v>
          </cell>
          <cell r="J381" t="str">
            <v>Re-size</v>
          </cell>
          <cell r="K381" t="str">
            <v>Re-size</v>
          </cell>
          <cell r="L381">
            <v>16.399999999999999</v>
          </cell>
          <cell r="M381">
            <v>12.43</v>
          </cell>
          <cell r="N381">
            <v>8.94</v>
          </cell>
          <cell r="O381">
            <v>5.27</v>
          </cell>
          <cell r="P381">
            <v>3.98</v>
          </cell>
          <cell r="Q381">
            <v>3.77</v>
          </cell>
          <cell r="R381">
            <v>2.2400000000000002</v>
          </cell>
          <cell r="S381">
            <v>1.73</v>
          </cell>
          <cell r="T381">
            <v>1.57</v>
          </cell>
          <cell r="U381">
            <v>0.93</v>
          </cell>
          <cell r="V381">
            <v>0.72</v>
          </cell>
          <cell r="X381" t="str">
            <v>Re-size</v>
          </cell>
          <cell r="Y381" t="str">
            <v>Re-size</v>
          </cell>
          <cell r="Z381" t="str">
            <v>Re-size</v>
          </cell>
          <cell r="AA381" t="str">
            <v>Re-size</v>
          </cell>
          <cell r="AB381" t="str">
            <v>Re-size</v>
          </cell>
          <cell r="AC381" t="str">
            <v>Re-size</v>
          </cell>
          <cell r="AD381" t="str">
            <v>Re-size</v>
          </cell>
          <cell r="AE381" t="str">
            <v>Re-size</v>
          </cell>
        </row>
        <row r="382">
          <cell r="B382">
            <v>3.73</v>
          </cell>
          <cell r="C382" t="str">
            <v>Re-size</v>
          </cell>
          <cell r="D382" t="str">
            <v>Re-size</v>
          </cell>
          <cell r="E382" t="str">
            <v>Re-size</v>
          </cell>
          <cell r="F382" t="str">
            <v>Re-size</v>
          </cell>
          <cell r="G382" t="str">
            <v>Re-size</v>
          </cell>
          <cell r="H382" t="str">
            <v>Re-size</v>
          </cell>
          <cell r="I382" t="str">
            <v>Re-size</v>
          </cell>
          <cell r="J382" t="str">
            <v>Re-size</v>
          </cell>
          <cell r="K382" t="str">
            <v>Re-size</v>
          </cell>
          <cell r="L382">
            <v>16.489999999999998</v>
          </cell>
          <cell r="M382">
            <v>12.47</v>
          </cell>
          <cell r="N382">
            <v>8.99</v>
          </cell>
          <cell r="O382">
            <v>5.3</v>
          </cell>
          <cell r="P382">
            <v>4</v>
          </cell>
          <cell r="Q382">
            <v>3.79</v>
          </cell>
          <cell r="R382">
            <v>2.25</v>
          </cell>
          <cell r="S382">
            <v>1.74</v>
          </cell>
          <cell r="T382">
            <v>1.58</v>
          </cell>
          <cell r="U382">
            <v>0.94000000000000006</v>
          </cell>
          <cell r="V382">
            <v>0.72</v>
          </cell>
          <cell r="X382" t="str">
            <v>Re-size</v>
          </cell>
          <cell r="Y382" t="str">
            <v>Re-size</v>
          </cell>
          <cell r="Z382" t="str">
            <v>Re-size</v>
          </cell>
          <cell r="AA382" t="str">
            <v>Re-size</v>
          </cell>
          <cell r="AB382" t="str">
            <v>Re-size</v>
          </cell>
          <cell r="AC382" t="str">
            <v>Re-size</v>
          </cell>
          <cell r="AD382" t="str">
            <v>Re-size</v>
          </cell>
          <cell r="AE382" t="str">
            <v>Re-size</v>
          </cell>
        </row>
        <row r="383">
          <cell r="B383">
            <v>3.74</v>
          </cell>
          <cell r="C383" t="str">
            <v>Re-size</v>
          </cell>
          <cell r="D383" t="str">
            <v>Re-size</v>
          </cell>
          <cell r="E383" t="str">
            <v>Re-size</v>
          </cell>
          <cell r="F383" t="str">
            <v>Re-size</v>
          </cell>
          <cell r="G383" t="str">
            <v>Re-size</v>
          </cell>
          <cell r="H383" t="str">
            <v>Re-size</v>
          </cell>
          <cell r="I383" t="str">
            <v>Re-size</v>
          </cell>
          <cell r="J383" t="str">
            <v>Re-size</v>
          </cell>
          <cell r="K383" t="str">
            <v>Re-size</v>
          </cell>
          <cell r="L383">
            <v>16.579999999999998</v>
          </cell>
          <cell r="M383">
            <v>12.5</v>
          </cell>
          <cell r="N383">
            <v>9.0399999999999991</v>
          </cell>
          <cell r="O383">
            <v>5.33</v>
          </cell>
          <cell r="P383">
            <v>4.0199999999999996</v>
          </cell>
          <cell r="Q383">
            <v>3.81</v>
          </cell>
          <cell r="R383">
            <v>2.2599999999999998</v>
          </cell>
          <cell r="S383">
            <v>1.75</v>
          </cell>
          <cell r="T383">
            <v>1.58</v>
          </cell>
          <cell r="U383">
            <v>0.94000000000000006</v>
          </cell>
          <cell r="V383">
            <v>0.73</v>
          </cell>
          <cell r="X383" t="str">
            <v>Re-size</v>
          </cell>
          <cell r="Y383" t="str">
            <v>Re-size</v>
          </cell>
          <cell r="Z383" t="str">
            <v>Re-size</v>
          </cell>
          <cell r="AA383" t="str">
            <v>Re-size</v>
          </cell>
          <cell r="AB383" t="str">
            <v>Re-size</v>
          </cell>
          <cell r="AC383" t="str">
            <v>Re-size</v>
          </cell>
          <cell r="AD383" t="str">
            <v>Re-size</v>
          </cell>
          <cell r="AE383" t="str">
            <v>Re-size</v>
          </cell>
        </row>
        <row r="384">
          <cell r="B384">
            <v>3.75</v>
          </cell>
          <cell r="C384" t="str">
            <v>Re-size</v>
          </cell>
          <cell r="D384" t="str">
            <v>Re-size</v>
          </cell>
          <cell r="E384" t="str">
            <v>Re-size</v>
          </cell>
          <cell r="F384" t="str">
            <v>Re-size</v>
          </cell>
          <cell r="G384" t="str">
            <v>Re-size</v>
          </cell>
          <cell r="H384" t="str">
            <v>Re-size</v>
          </cell>
          <cell r="I384" t="str">
            <v>Re-size</v>
          </cell>
          <cell r="J384" t="str">
            <v>Re-size</v>
          </cell>
          <cell r="K384" t="str">
            <v>Re-size</v>
          </cell>
          <cell r="L384">
            <v>16.670000000000002</v>
          </cell>
          <cell r="M384">
            <v>12.57</v>
          </cell>
          <cell r="N384">
            <v>9.08</v>
          </cell>
          <cell r="O384">
            <v>5.35</v>
          </cell>
          <cell r="P384">
            <v>4.04</v>
          </cell>
          <cell r="Q384">
            <v>3.83</v>
          </cell>
          <cell r="R384">
            <v>2.27</v>
          </cell>
          <cell r="S384">
            <v>1.75</v>
          </cell>
          <cell r="T384">
            <v>1.585</v>
          </cell>
          <cell r="U384">
            <v>0.94</v>
          </cell>
          <cell r="V384">
            <v>0.72499999999999998</v>
          </cell>
          <cell r="X384" t="str">
            <v>Re-size</v>
          </cell>
          <cell r="Y384" t="str">
            <v>Re-size</v>
          </cell>
          <cell r="Z384" t="str">
            <v>Re-size</v>
          </cell>
          <cell r="AA384" t="str">
            <v>Re-size</v>
          </cell>
          <cell r="AB384" t="str">
            <v>Re-size</v>
          </cell>
          <cell r="AC384" t="str">
            <v>Re-size</v>
          </cell>
          <cell r="AD384" t="str">
            <v>Re-size</v>
          </cell>
          <cell r="AE384" t="str">
            <v>Re-size</v>
          </cell>
        </row>
        <row r="385">
          <cell r="B385">
            <v>3.76</v>
          </cell>
          <cell r="C385" t="str">
            <v>Re-size</v>
          </cell>
          <cell r="D385" t="str">
            <v>Re-size</v>
          </cell>
          <cell r="E385" t="str">
            <v>Re-size</v>
          </cell>
          <cell r="F385" t="str">
            <v>Re-size</v>
          </cell>
          <cell r="G385" t="str">
            <v>Re-size</v>
          </cell>
          <cell r="H385" t="str">
            <v>Re-size</v>
          </cell>
          <cell r="I385" t="str">
            <v>Re-size</v>
          </cell>
          <cell r="J385" t="str">
            <v>Re-size</v>
          </cell>
          <cell r="K385" t="str">
            <v>Re-size</v>
          </cell>
          <cell r="L385">
            <v>16.760000000000002</v>
          </cell>
          <cell r="M385">
            <v>12.63</v>
          </cell>
          <cell r="N385">
            <v>9.129999999999999</v>
          </cell>
          <cell r="O385">
            <v>5.38</v>
          </cell>
          <cell r="P385">
            <v>4.0599999999999996</v>
          </cell>
          <cell r="Q385">
            <v>3.8499999999999996</v>
          </cell>
          <cell r="R385">
            <v>2.2899999999999996</v>
          </cell>
          <cell r="S385">
            <v>1.76</v>
          </cell>
          <cell r="T385">
            <v>1.6</v>
          </cell>
          <cell r="U385">
            <v>0.95</v>
          </cell>
          <cell r="V385">
            <v>0.73</v>
          </cell>
          <cell r="X385" t="str">
            <v>Re-size</v>
          </cell>
          <cell r="Y385" t="str">
            <v>Re-size</v>
          </cell>
          <cell r="Z385" t="str">
            <v>Re-size</v>
          </cell>
          <cell r="AA385" t="str">
            <v>Re-size</v>
          </cell>
          <cell r="AB385" t="str">
            <v>Re-size</v>
          </cell>
          <cell r="AC385" t="str">
            <v>Re-size</v>
          </cell>
          <cell r="AD385" t="str">
            <v>Re-size</v>
          </cell>
          <cell r="AE385" t="str">
            <v>Re-size</v>
          </cell>
        </row>
        <row r="386">
          <cell r="B386">
            <v>3.77</v>
          </cell>
          <cell r="C386" t="str">
            <v>Re-size</v>
          </cell>
          <cell r="D386" t="str">
            <v>Re-size</v>
          </cell>
          <cell r="E386" t="str">
            <v>Re-size</v>
          </cell>
          <cell r="F386" t="str">
            <v>Re-size</v>
          </cell>
          <cell r="G386" t="str">
            <v>Re-size</v>
          </cell>
          <cell r="H386" t="str">
            <v>Re-size</v>
          </cell>
          <cell r="I386" t="str">
            <v>Re-size</v>
          </cell>
          <cell r="J386" t="str">
            <v>Re-size</v>
          </cell>
          <cell r="K386" t="str">
            <v>Re-size</v>
          </cell>
          <cell r="L386">
            <v>16.850000000000001</v>
          </cell>
          <cell r="M386">
            <v>12.7</v>
          </cell>
          <cell r="N386">
            <v>9.18</v>
          </cell>
          <cell r="O386">
            <v>5.3999999999999995</v>
          </cell>
          <cell r="P386">
            <v>4.08</v>
          </cell>
          <cell r="Q386">
            <v>3.8699999999999997</v>
          </cell>
          <cell r="R386">
            <v>2.2999999999999998</v>
          </cell>
          <cell r="S386">
            <v>1.77</v>
          </cell>
          <cell r="T386">
            <v>1.6</v>
          </cell>
          <cell r="U386">
            <v>0.95</v>
          </cell>
          <cell r="V386">
            <v>0.74</v>
          </cell>
          <cell r="X386" t="str">
            <v>Re-size</v>
          </cell>
          <cell r="Y386" t="str">
            <v>Re-size</v>
          </cell>
          <cell r="Z386" t="str">
            <v>Re-size</v>
          </cell>
          <cell r="AA386" t="str">
            <v>Re-size</v>
          </cell>
          <cell r="AB386" t="str">
            <v>Re-size</v>
          </cell>
          <cell r="AC386" t="str">
            <v>Re-size</v>
          </cell>
          <cell r="AD386" t="str">
            <v>Re-size</v>
          </cell>
          <cell r="AE386" t="str">
            <v>Re-size</v>
          </cell>
        </row>
        <row r="387">
          <cell r="B387">
            <v>3.78</v>
          </cell>
          <cell r="C387" t="str">
            <v>Re-size</v>
          </cell>
          <cell r="D387" t="str">
            <v>Re-size</v>
          </cell>
          <cell r="E387" t="str">
            <v>Re-size</v>
          </cell>
          <cell r="F387" t="str">
            <v>Re-size</v>
          </cell>
          <cell r="G387" t="str">
            <v>Re-size</v>
          </cell>
          <cell r="H387" t="str">
            <v>Re-size</v>
          </cell>
          <cell r="I387" t="str">
            <v>Re-size</v>
          </cell>
          <cell r="J387" t="str">
            <v>Re-size</v>
          </cell>
          <cell r="K387" t="str">
            <v>Re-size</v>
          </cell>
          <cell r="L387">
            <v>16.940000000000001</v>
          </cell>
          <cell r="M387">
            <v>12.77</v>
          </cell>
          <cell r="N387">
            <v>9.23</v>
          </cell>
          <cell r="O387">
            <v>5.42</v>
          </cell>
          <cell r="P387">
            <v>4.09</v>
          </cell>
          <cell r="Q387">
            <v>3.88</v>
          </cell>
          <cell r="R387">
            <v>2.3099999999999996</v>
          </cell>
          <cell r="S387">
            <v>1.78</v>
          </cell>
          <cell r="T387">
            <v>1.61</v>
          </cell>
          <cell r="U387">
            <v>0.96</v>
          </cell>
          <cell r="V387">
            <v>0.74</v>
          </cell>
          <cell r="X387" t="str">
            <v>Re-size</v>
          </cell>
          <cell r="Y387" t="str">
            <v>Re-size</v>
          </cell>
          <cell r="Z387" t="str">
            <v>Re-size</v>
          </cell>
          <cell r="AA387" t="str">
            <v>Re-size</v>
          </cell>
          <cell r="AB387" t="str">
            <v>Re-size</v>
          </cell>
          <cell r="AC387" t="str">
            <v>Re-size</v>
          </cell>
          <cell r="AD387" t="str">
            <v>Re-size</v>
          </cell>
          <cell r="AE387" t="str">
            <v>Re-size</v>
          </cell>
        </row>
        <row r="388">
          <cell r="B388">
            <v>3.79</v>
          </cell>
          <cell r="C388" t="str">
            <v>Re-size</v>
          </cell>
          <cell r="D388" t="str">
            <v>Re-size</v>
          </cell>
          <cell r="E388" t="str">
            <v>Re-size</v>
          </cell>
          <cell r="F388" t="str">
            <v>Re-size</v>
          </cell>
          <cell r="G388" t="str">
            <v>Re-size</v>
          </cell>
          <cell r="H388" t="str">
            <v>Re-size</v>
          </cell>
          <cell r="I388" t="str">
            <v>Re-size</v>
          </cell>
          <cell r="J388" t="str">
            <v>Re-size</v>
          </cell>
          <cell r="K388" t="str">
            <v>Re-size</v>
          </cell>
          <cell r="L388">
            <v>17.03</v>
          </cell>
          <cell r="M388">
            <v>12.84</v>
          </cell>
          <cell r="N388">
            <v>9.2799999999999994</v>
          </cell>
          <cell r="O388">
            <v>5.4399999999999995</v>
          </cell>
          <cell r="P388">
            <v>4.1099999999999994</v>
          </cell>
          <cell r="Q388">
            <v>3.9</v>
          </cell>
          <cell r="R388">
            <v>2.3199999999999998</v>
          </cell>
          <cell r="S388">
            <v>1.79</v>
          </cell>
          <cell r="T388">
            <v>1.62</v>
          </cell>
          <cell r="U388">
            <v>0.96</v>
          </cell>
          <cell r="V388">
            <v>0.74</v>
          </cell>
          <cell r="X388" t="str">
            <v>Re-size</v>
          </cell>
          <cell r="Y388" t="str">
            <v>Re-size</v>
          </cell>
          <cell r="Z388" t="str">
            <v>Re-size</v>
          </cell>
          <cell r="AA388" t="str">
            <v>Re-size</v>
          </cell>
          <cell r="AB388" t="str">
            <v>Re-size</v>
          </cell>
          <cell r="AC388" t="str">
            <v>Re-size</v>
          </cell>
          <cell r="AD388" t="str">
            <v>Re-size</v>
          </cell>
          <cell r="AE388" t="str">
            <v>Re-size</v>
          </cell>
        </row>
        <row r="389">
          <cell r="B389">
            <v>3.8</v>
          </cell>
          <cell r="C389" t="str">
            <v>Re-size</v>
          </cell>
          <cell r="D389" t="str">
            <v>Re-size</v>
          </cell>
          <cell r="E389" t="str">
            <v>Re-size</v>
          </cell>
          <cell r="F389" t="str">
            <v>Re-size</v>
          </cell>
          <cell r="G389" t="str">
            <v>Re-size</v>
          </cell>
          <cell r="H389" t="str">
            <v>Re-size</v>
          </cell>
          <cell r="I389" t="str">
            <v>Re-size</v>
          </cell>
          <cell r="J389" t="str">
            <v>Re-size</v>
          </cell>
          <cell r="K389" t="str">
            <v>Re-size</v>
          </cell>
          <cell r="L389">
            <v>17.12</v>
          </cell>
          <cell r="M389">
            <v>12.9</v>
          </cell>
          <cell r="N389">
            <v>9.32</v>
          </cell>
          <cell r="O389">
            <v>5.46</v>
          </cell>
          <cell r="P389">
            <v>4.12</v>
          </cell>
          <cell r="Q389">
            <v>3.91</v>
          </cell>
          <cell r="R389">
            <v>2.33</v>
          </cell>
          <cell r="S389">
            <v>1.79</v>
          </cell>
          <cell r="T389">
            <v>1.62</v>
          </cell>
          <cell r="U389">
            <v>0.96</v>
          </cell>
          <cell r="V389">
            <v>0.74</v>
          </cell>
          <cell r="X389" t="str">
            <v>Re-size</v>
          </cell>
          <cell r="Y389" t="str">
            <v>Re-size</v>
          </cell>
          <cell r="Z389" t="str">
            <v>Re-size</v>
          </cell>
          <cell r="AA389" t="str">
            <v>Re-size</v>
          </cell>
          <cell r="AB389" t="str">
            <v>Re-size</v>
          </cell>
          <cell r="AC389" t="str">
            <v>Re-size</v>
          </cell>
          <cell r="AD389" t="str">
            <v>Re-size</v>
          </cell>
          <cell r="AE389" t="str">
            <v>Re-size</v>
          </cell>
        </row>
        <row r="390">
          <cell r="B390">
            <v>3.81</v>
          </cell>
          <cell r="C390" t="str">
            <v>Re-size</v>
          </cell>
          <cell r="D390" t="str">
            <v>Re-size</v>
          </cell>
          <cell r="E390" t="str">
            <v>Re-size</v>
          </cell>
          <cell r="F390" t="str">
            <v>Re-size</v>
          </cell>
          <cell r="G390" t="str">
            <v>Re-size</v>
          </cell>
          <cell r="H390" t="str">
            <v>Re-size</v>
          </cell>
          <cell r="I390" t="str">
            <v>Re-size</v>
          </cell>
          <cell r="J390" t="str">
            <v>Re-size</v>
          </cell>
          <cell r="K390" t="str">
            <v>Re-size</v>
          </cell>
          <cell r="L390">
            <v>17.21</v>
          </cell>
          <cell r="M390">
            <v>12.97</v>
          </cell>
          <cell r="N390">
            <v>9.36</v>
          </cell>
          <cell r="O390">
            <v>5.49</v>
          </cell>
          <cell r="P390">
            <v>4.1499999999999995</v>
          </cell>
          <cell r="Q390">
            <v>3.94</v>
          </cell>
          <cell r="R390">
            <v>2.34</v>
          </cell>
          <cell r="S390">
            <v>1.8</v>
          </cell>
          <cell r="T390">
            <v>1.6300000000000001</v>
          </cell>
          <cell r="U390">
            <v>0.97</v>
          </cell>
          <cell r="V390">
            <v>0.75</v>
          </cell>
          <cell r="X390" t="str">
            <v>Re-size</v>
          </cell>
          <cell r="Y390" t="str">
            <v>Re-size</v>
          </cell>
          <cell r="Z390" t="str">
            <v>Re-size</v>
          </cell>
          <cell r="AA390" t="str">
            <v>Re-size</v>
          </cell>
          <cell r="AB390" t="str">
            <v>Re-size</v>
          </cell>
          <cell r="AC390" t="str">
            <v>Re-size</v>
          </cell>
          <cell r="AD390" t="str">
            <v>Re-size</v>
          </cell>
          <cell r="AE390" t="str">
            <v>Re-size</v>
          </cell>
        </row>
        <row r="391">
          <cell r="B391">
            <v>3.82</v>
          </cell>
          <cell r="C391" t="str">
            <v>Re-size</v>
          </cell>
          <cell r="D391" t="str">
            <v>Re-size</v>
          </cell>
          <cell r="E391" t="str">
            <v>Re-size</v>
          </cell>
          <cell r="F391" t="str">
            <v>Re-size</v>
          </cell>
          <cell r="G391" t="str">
            <v>Re-size</v>
          </cell>
          <cell r="H391" t="str">
            <v>Re-size</v>
          </cell>
          <cell r="I391" t="str">
            <v>Re-size</v>
          </cell>
          <cell r="J391" t="str">
            <v>Re-size</v>
          </cell>
          <cell r="K391" t="str">
            <v>Re-size</v>
          </cell>
          <cell r="L391">
            <v>17.3</v>
          </cell>
          <cell r="M391">
            <v>13.04</v>
          </cell>
          <cell r="N391">
            <v>9.4</v>
          </cell>
          <cell r="O391">
            <v>5.52</v>
          </cell>
          <cell r="P391">
            <v>4.17</v>
          </cell>
          <cell r="Q391">
            <v>3.96</v>
          </cell>
          <cell r="R391">
            <v>2.35</v>
          </cell>
          <cell r="S391">
            <v>1.81</v>
          </cell>
          <cell r="T391">
            <v>1.64</v>
          </cell>
          <cell r="U391">
            <v>0.97</v>
          </cell>
          <cell r="V391">
            <v>0.75</v>
          </cell>
          <cell r="X391" t="str">
            <v>Re-size</v>
          </cell>
          <cell r="Y391" t="str">
            <v>Re-size</v>
          </cell>
          <cell r="Z391" t="str">
            <v>Re-size</v>
          </cell>
          <cell r="AA391" t="str">
            <v>Re-size</v>
          </cell>
          <cell r="AB391" t="str">
            <v>Re-size</v>
          </cell>
          <cell r="AC391" t="str">
            <v>Re-size</v>
          </cell>
          <cell r="AD391" t="str">
            <v>Re-size</v>
          </cell>
          <cell r="AE391" t="str">
            <v>Re-size</v>
          </cell>
        </row>
        <row r="392">
          <cell r="B392">
            <v>3.83</v>
          </cell>
          <cell r="C392" t="str">
            <v>Re-size</v>
          </cell>
          <cell r="D392" t="str">
            <v>Re-size</v>
          </cell>
          <cell r="E392" t="str">
            <v>Re-size</v>
          </cell>
          <cell r="F392" t="str">
            <v>Re-size</v>
          </cell>
          <cell r="G392" t="str">
            <v>Re-size</v>
          </cell>
          <cell r="H392" t="str">
            <v>Re-size</v>
          </cell>
          <cell r="I392" t="str">
            <v>Re-size</v>
          </cell>
          <cell r="J392" t="str">
            <v>Re-size</v>
          </cell>
          <cell r="K392" t="str">
            <v>Re-size</v>
          </cell>
          <cell r="L392">
            <v>17.350000000000001</v>
          </cell>
          <cell r="M392">
            <v>13.11</v>
          </cell>
          <cell r="N392">
            <v>9.44</v>
          </cell>
          <cell r="O392">
            <v>5.55</v>
          </cell>
          <cell r="P392">
            <v>4.1899999999999995</v>
          </cell>
          <cell r="Q392">
            <v>3.98</v>
          </cell>
          <cell r="R392">
            <v>2.36</v>
          </cell>
          <cell r="S392">
            <v>1.82</v>
          </cell>
          <cell r="T392">
            <v>1.65</v>
          </cell>
          <cell r="U392">
            <v>0.98</v>
          </cell>
          <cell r="V392">
            <v>0.76</v>
          </cell>
          <cell r="X392" t="str">
            <v>Re-size</v>
          </cell>
          <cell r="Y392" t="str">
            <v>Re-size</v>
          </cell>
          <cell r="Z392" t="str">
            <v>Re-size</v>
          </cell>
          <cell r="AA392" t="str">
            <v>Re-size</v>
          </cell>
          <cell r="AB392" t="str">
            <v>Re-size</v>
          </cell>
          <cell r="AC392" t="str">
            <v>Re-size</v>
          </cell>
          <cell r="AD392" t="str">
            <v>Re-size</v>
          </cell>
          <cell r="AE392" t="str">
            <v>Re-size</v>
          </cell>
        </row>
        <row r="393">
          <cell r="B393">
            <v>3.84</v>
          </cell>
          <cell r="C393" t="str">
            <v>Re-size</v>
          </cell>
          <cell r="D393" t="str">
            <v>Re-size</v>
          </cell>
          <cell r="E393" t="str">
            <v>Re-size</v>
          </cell>
          <cell r="F393" t="str">
            <v>Re-size</v>
          </cell>
          <cell r="G393" t="str">
            <v>Re-size</v>
          </cell>
          <cell r="H393" t="str">
            <v>Re-size</v>
          </cell>
          <cell r="I393" t="str">
            <v>Re-size</v>
          </cell>
          <cell r="J393" t="str">
            <v>Re-size</v>
          </cell>
          <cell r="K393" t="str">
            <v>Re-size</v>
          </cell>
          <cell r="L393">
            <v>17.39</v>
          </cell>
          <cell r="M393">
            <v>13.18</v>
          </cell>
          <cell r="N393">
            <v>9.48</v>
          </cell>
          <cell r="O393">
            <v>5.58</v>
          </cell>
          <cell r="P393">
            <v>4.21</v>
          </cell>
          <cell r="Q393">
            <v>4</v>
          </cell>
          <cell r="R393">
            <v>2.37</v>
          </cell>
          <cell r="S393">
            <v>1.83</v>
          </cell>
          <cell r="T393">
            <v>1.66</v>
          </cell>
          <cell r="U393">
            <v>0.98</v>
          </cell>
          <cell r="V393">
            <v>0.76</v>
          </cell>
          <cell r="X393" t="str">
            <v>Re-size</v>
          </cell>
          <cell r="Y393" t="str">
            <v>Re-size</v>
          </cell>
          <cell r="Z393" t="str">
            <v>Re-size</v>
          </cell>
          <cell r="AA393" t="str">
            <v>Re-size</v>
          </cell>
          <cell r="AB393" t="str">
            <v>Re-size</v>
          </cell>
          <cell r="AC393" t="str">
            <v>Re-size</v>
          </cell>
          <cell r="AD393" t="str">
            <v>Re-size</v>
          </cell>
          <cell r="AE393" t="str">
            <v>Re-size</v>
          </cell>
        </row>
        <row r="394">
          <cell r="B394">
            <v>3.85</v>
          </cell>
          <cell r="C394" t="str">
            <v>Re-size</v>
          </cell>
          <cell r="D394" t="str">
            <v>Re-size</v>
          </cell>
          <cell r="E394" t="str">
            <v>Re-size</v>
          </cell>
          <cell r="F394" t="str">
            <v>Re-size</v>
          </cell>
          <cell r="G394" t="str">
            <v>Re-size</v>
          </cell>
          <cell r="H394" t="str">
            <v>Re-size</v>
          </cell>
          <cell r="I394" t="str">
            <v>Re-size</v>
          </cell>
          <cell r="J394" t="str">
            <v>Re-size</v>
          </cell>
          <cell r="K394" t="str">
            <v>Re-size</v>
          </cell>
          <cell r="L394">
            <v>17.48</v>
          </cell>
          <cell r="M394">
            <v>13.22</v>
          </cell>
          <cell r="N394">
            <v>9.52</v>
          </cell>
          <cell r="O394">
            <v>5.61</v>
          </cell>
          <cell r="P394">
            <v>4.2300000000000004</v>
          </cell>
          <cell r="Q394">
            <v>4.0199999999999996</v>
          </cell>
          <cell r="R394">
            <v>2.38</v>
          </cell>
          <cell r="S394">
            <v>1.84</v>
          </cell>
          <cell r="T394">
            <v>1.66</v>
          </cell>
          <cell r="U394">
            <v>0.98499999999999999</v>
          </cell>
          <cell r="V394">
            <v>0.76</v>
          </cell>
          <cell r="X394" t="str">
            <v>Re-size</v>
          </cell>
          <cell r="Y394" t="str">
            <v>Re-size</v>
          </cell>
          <cell r="Z394" t="str">
            <v>Re-size</v>
          </cell>
          <cell r="AA394" t="str">
            <v>Re-size</v>
          </cell>
          <cell r="AB394" t="str">
            <v>Re-size</v>
          </cell>
          <cell r="AC394" t="str">
            <v>Re-size</v>
          </cell>
          <cell r="AD394" t="str">
            <v>Re-size</v>
          </cell>
          <cell r="AE394" t="str">
            <v>Re-size</v>
          </cell>
        </row>
        <row r="395">
          <cell r="B395">
            <v>3.86</v>
          </cell>
          <cell r="C395" t="str">
            <v>Re-size</v>
          </cell>
          <cell r="D395" t="str">
            <v>Re-size</v>
          </cell>
          <cell r="E395" t="str">
            <v>Re-size</v>
          </cell>
          <cell r="F395" t="str">
            <v>Re-size</v>
          </cell>
          <cell r="G395" t="str">
            <v>Re-size</v>
          </cell>
          <cell r="H395" t="str">
            <v>Re-size</v>
          </cell>
          <cell r="I395" t="str">
            <v>Re-size</v>
          </cell>
          <cell r="J395" t="str">
            <v>Re-size</v>
          </cell>
          <cell r="K395" t="str">
            <v>Re-size</v>
          </cell>
          <cell r="L395">
            <v>17.57</v>
          </cell>
          <cell r="M395">
            <v>13.25</v>
          </cell>
          <cell r="N395">
            <v>9.57</v>
          </cell>
          <cell r="O395">
            <v>5.64</v>
          </cell>
          <cell r="P395">
            <v>4.25</v>
          </cell>
          <cell r="Q395">
            <v>4.04</v>
          </cell>
          <cell r="R395">
            <v>2.4</v>
          </cell>
          <cell r="S395">
            <v>1.85</v>
          </cell>
          <cell r="T395">
            <v>1.67</v>
          </cell>
          <cell r="U395">
            <v>0.99</v>
          </cell>
          <cell r="V395">
            <v>0.77</v>
          </cell>
          <cell r="X395" t="str">
            <v>Re-size</v>
          </cell>
          <cell r="Y395" t="str">
            <v>Re-size</v>
          </cell>
          <cell r="Z395" t="str">
            <v>Re-size</v>
          </cell>
          <cell r="AA395" t="str">
            <v>Re-size</v>
          </cell>
          <cell r="AB395" t="str">
            <v>Re-size</v>
          </cell>
          <cell r="AC395" t="str">
            <v>Re-size</v>
          </cell>
          <cell r="AD395" t="str">
            <v>Re-size</v>
          </cell>
          <cell r="AE395" t="str">
            <v>Re-size</v>
          </cell>
        </row>
        <row r="396">
          <cell r="B396">
            <v>3.87</v>
          </cell>
          <cell r="C396" t="str">
            <v>Re-size</v>
          </cell>
          <cell r="D396" t="str">
            <v>Re-size</v>
          </cell>
          <cell r="E396" t="str">
            <v>Re-size</v>
          </cell>
          <cell r="F396" t="str">
            <v>Re-size</v>
          </cell>
          <cell r="G396" t="str">
            <v>Re-size</v>
          </cell>
          <cell r="H396" t="str">
            <v>Re-size</v>
          </cell>
          <cell r="I396" t="str">
            <v>Re-size</v>
          </cell>
          <cell r="J396" t="str">
            <v>Re-size</v>
          </cell>
          <cell r="K396" t="str">
            <v>Re-size</v>
          </cell>
          <cell r="L396">
            <v>17.66</v>
          </cell>
          <cell r="M396">
            <v>13.32</v>
          </cell>
          <cell r="N396">
            <v>9.6199999999999992</v>
          </cell>
          <cell r="O396">
            <v>5.66</v>
          </cell>
          <cell r="P396">
            <v>4.2699999999999996</v>
          </cell>
          <cell r="Q396">
            <v>4.0599999999999996</v>
          </cell>
          <cell r="R396">
            <v>2.4099999999999997</v>
          </cell>
          <cell r="S396">
            <v>1.86</v>
          </cell>
          <cell r="T396">
            <v>1.68</v>
          </cell>
          <cell r="U396">
            <v>1</v>
          </cell>
          <cell r="V396">
            <v>0.77</v>
          </cell>
          <cell r="X396" t="str">
            <v>Re-size</v>
          </cell>
          <cell r="Y396" t="str">
            <v>Re-size</v>
          </cell>
          <cell r="Z396" t="str">
            <v>Re-size</v>
          </cell>
          <cell r="AA396" t="str">
            <v>Re-size</v>
          </cell>
          <cell r="AB396" t="str">
            <v>Re-size</v>
          </cell>
          <cell r="AC396" t="str">
            <v>Re-size</v>
          </cell>
          <cell r="AD396" t="str">
            <v>Re-size</v>
          </cell>
          <cell r="AE396" t="str">
            <v>Re-size</v>
          </cell>
        </row>
        <row r="397">
          <cell r="B397">
            <v>3.88</v>
          </cell>
          <cell r="C397" t="str">
            <v>Re-size</v>
          </cell>
          <cell r="D397" t="str">
            <v>Re-size</v>
          </cell>
          <cell r="E397" t="str">
            <v>Re-size</v>
          </cell>
          <cell r="F397" t="str">
            <v>Re-size</v>
          </cell>
          <cell r="G397" t="str">
            <v>Re-size</v>
          </cell>
          <cell r="H397" t="str">
            <v>Re-size</v>
          </cell>
          <cell r="I397" t="str">
            <v>Re-size</v>
          </cell>
          <cell r="J397" t="str">
            <v>Re-size</v>
          </cell>
          <cell r="K397" t="str">
            <v>Re-size</v>
          </cell>
          <cell r="L397">
            <v>17.75</v>
          </cell>
          <cell r="M397">
            <v>13.38</v>
          </cell>
          <cell r="N397">
            <v>9.67</v>
          </cell>
          <cell r="O397">
            <v>5.6899999999999995</v>
          </cell>
          <cell r="P397">
            <v>4.29</v>
          </cell>
          <cell r="Q397">
            <v>4.0699999999999994</v>
          </cell>
          <cell r="R397">
            <v>2.42</v>
          </cell>
          <cell r="S397">
            <v>1.87</v>
          </cell>
          <cell r="T397">
            <v>1.69</v>
          </cell>
          <cell r="U397">
            <v>1</v>
          </cell>
          <cell r="V397">
            <v>0.78</v>
          </cell>
          <cell r="X397" t="str">
            <v>Re-size</v>
          </cell>
          <cell r="Y397" t="str">
            <v>Re-size</v>
          </cell>
          <cell r="Z397" t="str">
            <v>Re-size</v>
          </cell>
          <cell r="AA397" t="str">
            <v>Re-size</v>
          </cell>
          <cell r="AB397" t="str">
            <v>Re-size</v>
          </cell>
          <cell r="AC397" t="str">
            <v>Re-size</v>
          </cell>
          <cell r="AD397" t="str">
            <v>Re-size</v>
          </cell>
          <cell r="AE397" t="str">
            <v>Re-size</v>
          </cell>
        </row>
        <row r="398">
          <cell r="B398">
            <v>3.89</v>
          </cell>
          <cell r="C398" t="str">
            <v>Re-size</v>
          </cell>
          <cell r="D398" t="str">
            <v>Re-size</v>
          </cell>
          <cell r="E398" t="str">
            <v>Re-size</v>
          </cell>
          <cell r="F398" t="str">
            <v>Re-size</v>
          </cell>
          <cell r="G398" t="str">
            <v>Re-size</v>
          </cell>
          <cell r="H398" t="str">
            <v>Re-size</v>
          </cell>
          <cell r="I398" t="str">
            <v>Re-size</v>
          </cell>
          <cell r="J398" t="str">
            <v>Re-size</v>
          </cell>
          <cell r="K398" t="str">
            <v>Re-size</v>
          </cell>
          <cell r="L398">
            <v>17.850000000000001</v>
          </cell>
          <cell r="M398">
            <v>13.45</v>
          </cell>
          <cell r="N398">
            <v>9.7200000000000006</v>
          </cell>
          <cell r="O398">
            <v>5.71</v>
          </cell>
          <cell r="P398">
            <v>4.3099999999999996</v>
          </cell>
          <cell r="Q398">
            <v>4.09</v>
          </cell>
          <cell r="R398">
            <v>2.4299999999999997</v>
          </cell>
          <cell r="S398">
            <v>1.8800000000000001</v>
          </cell>
          <cell r="T398">
            <v>1.7</v>
          </cell>
          <cell r="U398">
            <v>1.01</v>
          </cell>
          <cell r="V398">
            <v>0.78</v>
          </cell>
          <cell r="X398" t="str">
            <v>Re-size</v>
          </cell>
          <cell r="Y398" t="str">
            <v>Re-size</v>
          </cell>
          <cell r="Z398" t="str">
            <v>Re-size</v>
          </cell>
          <cell r="AA398" t="str">
            <v>Re-size</v>
          </cell>
          <cell r="AB398" t="str">
            <v>Re-size</v>
          </cell>
          <cell r="AC398" t="str">
            <v>Re-size</v>
          </cell>
          <cell r="AD398" t="str">
            <v>Re-size</v>
          </cell>
          <cell r="AE398" t="str">
            <v>Re-size</v>
          </cell>
        </row>
        <row r="399">
          <cell r="B399">
            <v>3.9</v>
          </cell>
          <cell r="C399" t="str">
            <v>Re-size</v>
          </cell>
          <cell r="D399" t="str">
            <v>Re-size</v>
          </cell>
          <cell r="E399" t="str">
            <v>Re-size</v>
          </cell>
          <cell r="F399" t="str">
            <v>Re-size</v>
          </cell>
          <cell r="G399" t="str">
            <v>Re-size</v>
          </cell>
          <cell r="H399" t="str">
            <v>Re-size</v>
          </cell>
          <cell r="I399" t="str">
            <v>Re-size</v>
          </cell>
          <cell r="J399" t="str">
            <v>Re-size</v>
          </cell>
          <cell r="K399" t="str">
            <v>Re-size</v>
          </cell>
          <cell r="L399">
            <v>17.940000000000001</v>
          </cell>
          <cell r="M399">
            <v>13.52</v>
          </cell>
          <cell r="N399">
            <v>9.77</v>
          </cell>
          <cell r="O399">
            <v>5.73</v>
          </cell>
          <cell r="P399">
            <v>4.32</v>
          </cell>
          <cell r="Q399">
            <v>4.0999999999999996</v>
          </cell>
          <cell r="R399">
            <v>2.44</v>
          </cell>
          <cell r="S399">
            <v>1.88</v>
          </cell>
          <cell r="T399">
            <v>1.7</v>
          </cell>
          <cell r="U399">
            <v>1.01</v>
          </cell>
          <cell r="V399">
            <v>0.78</v>
          </cell>
          <cell r="X399" t="str">
            <v>Re-size</v>
          </cell>
          <cell r="Y399" t="str">
            <v>Re-size</v>
          </cell>
          <cell r="Z399" t="str">
            <v>Re-size</v>
          </cell>
          <cell r="AA399" t="str">
            <v>Re-size</v>
          </cell>
          <cell r="AB399" t="str">
            <v>Re-size</v>
          </cell>
          <cell r="AC399" t="str">
            <v>Re-size</v>
          </cell>
          <cell r="AD399" t="str">
            <v>Re-size</v>
          </cell>
          <cell r="AE399" t="str">
            <v>Re-size</v>
          </cell>
        </row>
        <row r="400">
          <cell r="B400">
            <v>3.91</v>
          </cell>
          <cell r="C400" t="str">
            <v>Re-size</v>
          </cell>
          <cell r="D400" t="str">
            <v>Re-size</v>
          </cell>
          <cell r="E400" t="str">
            <v>Re-size</v>
          </cell>
          <cell r="F400" t="str">
            <v>Re-size</v>
          </cell>
          <cell r="G400" t="str">
            <v>Re-size</v>
          </cell>
          <cell r="H400" t="str">
            <v>Re-size</v>
          </cell>
          <cell r="I400" t="str">
            <v>Re-size</v>
          </cell>
          <cell r="J400" t="str">
            <v>Re-size</v>
          </cell>
          <cell r="K400" t="str">
            <v>Re-size</v>
          </cell>
          <cell r="L400">
            <v>18.010000000000002</v>
          </cell>
          <cell r="M400">
            <v>13.59</v>
          </cell>
          <cell r="N400">
            <v>9.81</v>
          </cell>
          <cell r="O400">
            <v>5.76</v>
          </cell>
          <cell r="P400">
            <v>4.3499999999999996</v>
          </cell>
          <cell r="Q400">
            <v>4.13</v>
          </cell>
          <cell r="R400">
            <v>2.4500000000000002</v>
          </cell>
          <cell r="S400">
            <v>1.89</v>
          </cell>
          <cell r="T400">
            <v>1.71</v>
          </cell>
          <cell r="U400">
            <v>1.02</v>
          </cell>
          <cell r="V400">
            <v>0.79</v>
          </cell>
          <cell r="X400" t="str">
            <v>Re-size</v>
          </cell>
          <cell r="Y400" t="str">
            <v>Re-size</v>
          </cell>
          <cell r="Z400" t="str">
            <v>Re-size</v>
          </cell>
          <cell r="AA400" t="str">
            <v>Re-size</v>
          </cell>
          <cell r="AB400" t="str">
            <v>Re-size</v>
          </cell>
          <cell r="AC400" t="str">
            <v>Re-size</v>
          </cell>
          <cell r="AD400" t="str">
            <v>Re-size</v>
          </cell>
          <cell r="AE400" t="str">
            <v>Re-size</v>
          </cell>
        </row>
        <row r="401">
          <cell r="B401">
            <v>3.92</v>
          </cell>
          <cell r="C401" t="str">
            <v>Re-size</v>
          </cell>
          <cell r="D401" t="str">
            <v>Re-size</v>
          </cell>
          <cell r="E401" t="str">
            <v>Re-size</v>
          </cell>
          <cell r="F401" t="str">
            <v>Re-size</v>
          </cell>
          <cell r="G401" t="str">
            <v>Re-size</v>
          </cell>
          <cell r="H401" t="str">
            <v>Re-size</v>
          </cell>
          <cell r="I401" t="str">
            <v>Re-size</v>
          </cell>
          <cell r="J401" t="str">
            <v>Re-size</v>
          </cell>
          <cell r="K401" t="str">
            <v>Re-size</v>
          </cell>
          <cell r="L401">
            <v>18.079999999999998</v>
          </cell>
          <cell r="M401">
            <v>13.66</v>
          </cell>
          <cell r="N401">
            <v>9.85</v>
          </cell>
          <cell r="O401">
            <v>5.79</v>
          </cell>
          <cell r="P401">
            <v>4.37</v>
          </cell>
          <cell r="Q401">
            <v>4.1499999999999995</v>
          </cell>
          <cell r="R401">
            <v>2.46</v>
          </cell>
          <cell r="S401">
            <v>1.9</v>
          </cell>
          <cell r="T401">
            <v>1.72</v>
          </cell>
          <cell r="U401">
            <v>1.02</v>
          </cell>
          <cell r="V401">
            <v>0.79</v>
          </cell>
          <cell r="X401" t="str">
            <v>Re-size</v>
          </cell>
          <cell r="Y401" t="str">
            <v>Re-size</v>
          </cell>
          <cell r="Z401" t="str">
            <v>Re-size</v>
          </cell>
          <cell r="AA401" t="str">
            <v>Re-size</v>
          </cell>
          <cell r="AB401" t="str">
            <v>Re-size</v>
          </cell>
          <cell r="AC401" t="str">
            <v>Re-size</v>
          </cell>
          <cell r="AD401" t="str">
            <v>Re-size</v>
          </cell>
          <cell r="AE401" t="str">
            <v>Re-size</v>
          </cell>
        </row>
        <row r="402">
          <cell r="B402">
            <v>3.93</v>
          </cell>
          <cell r="C402" t="str">
            <v>Re-size</v>
          </cell>
          <cell r="D402" t="str">
            <v>Re-size</v>
          </cell>
          <cell r="E402" t="str">
            <v>Re-size</v>
          </cell>
          <cell r="F402" t="str">
            <v>Re-size</v>
          </cell>
          <cell r="G402" t="str">
            <v>Re-size</v>
          </cell>
          <cell r="H402" t="str">
            <v>Re-size</v>
          </cell>
          <cell r="I402" t="str">
            <v>Re-size</v>
          </cell>
          <cell r="J402" t="str">
            <v>Re-size</v>
          </cell>
          <cell r="K402" t="str">
            <v>Re-size</v>
          </cell>
          <cell r="L402">
            <v>18.16</v>
          </cell>
          <cell r="M402">
            <v>13.73</v>
          </cell>
          <cell r="N402">
            <v>9.89</v>
          </cell>
          <cell r="O402">
            <v>5.8199999999999994</v>
          </cell>
          <cell r="P402">
            <v>4.3899999999999997</v>
          </cell>
          <cell r="Q402">
            <v>4.17</v>
          </cell>
          <cell r="R402">
            <v>2.4700000000000002</v>
          </cell>
          <cell r="S402">
            <v>1.91</v>
          </cell>
          <cell r="T402">
            <v>1.73</v>
          </cell>
          <cell r="U402">
            <v>1.03</v>
          </cell>
          <cell r="V402">
            <v>0.8</v>
          </cell>
          <cell r="X402" t="str">
            <v>Re-size</v>
          </cell>
          <cell r="Y402" t="str">
            <v>Re-size</v>
          </cell>
          <cell r="Z402" t="str">
            <v>Re-size</v>
          </cell>
          <cell r="AA402" t="str">
            <v>Re-size</v>
          </cell>
          <cell r="AB402" t="str">
            <v>Re-size</v>
          </cell>
          <cell r="AC402" t="str">
            <v>Re-size</v>
          </cell>
          <cell r="AD402" t="str">
            <v>Re-size</v>
          </cell>
          <cell r="AE402" t="str">
            <v>Re-size</v>
          </cell>
        </row>
        <row r="403">
          <cell r="B403">
            <v>3.94</v>
          </cell>
          <cell r="C403" t="str">
            <v>Re-size</v>
          </cell>
          <cell r="D403" t="str">
            <v>Re-size</v>
          </cell>
          <cell r="E403" t="str">
            <v>Re-size</v>
          </cell>
          <cell r="F403" t="str">
            <v>Re-size</v>
          </cell>
          <cell r="G403" t="str">
            <v>Re-size</v>
          </cell>
          <cell r="H403" t="str">
            <v>Re-size</v>
          </cell>
          <cell r="I403" t="str">
            <v>Re-size</v>
          </cell>
          <cell r="J403" t="str">
            <v>Re-size</v>
          </cell>
          <cell r="K403" t="str">
            <v>Re-size</v>
          </cell>
          <cell r="L403">
            <v>18.239999999999998</v>
          </cell>
          <cell r="M403">
            <v>13.8</v>
          </cell>
          <cell r="N403">
            <v>9.93</v>
          </cell>
          <cell r="O403">
            <v>5.85</v>
          </cell>
          <cell r="P403">
            <v>4.41</v>
          </cell>
          <cell r="Q403">
            <v>4.1899999999999995</v>
          </cell>
          <cell r="R403">
            <v>2.48</v>
          </cell>
          <cell r="S403">
            <v>1.92</v>
          </cell>
          <cell r="T403">
            <v>1.74</v>
          </cell>
          <cell r="U403">
            <v>1.03</v>
          </cell>
          <cell r="V403">
            <v>0.8</v>
          </cell>
          <cell r="X403" t="str">
            <v>Re-size</v>
          </cell>
          <cell r="Y403" t="str">
            <v>Re-size</v>
          </cell>
          <cell r="Z403" t="str">
            <v>Re-size</v>
          </cell>
          <cell r="AA403" t="str">
            <v>Re-size</v>
          </cell>
          <cell r="AB403" t="str">
            <v>Re-size</v>
          </cell>
          <cell r="AC403" t="str">
            <v>Re-size</v>
          </cell>
          <cell r="AD403" t="str">
            <v>Re-size</v>
          </cell>
          <cell r="AE403" t="str">
            <v>Re-size</v>
          </cell>
        </row>
        <row r="404">
          <cell r="B404">
            <v>3.95</v>
          </cell>
          <cell r="C404" t="str">
            <v>Re-size</v>
          </cell>
          <cell r="D404" t="str">
            <v>Re-size</v>
          </cell>
          <cell r="E404" t="str">
            <v>Re-size</v>
          </cell>
          <cell r="F404" t="str">
            <v>Re-size</v>
          </cell>
          <cell r="G404" t="str">
            <v>Re-size</v>
          </cell>
          <cell r="H404" t="str">
            <v>Re-size</v>
          </cell>
          <cell r="I404" t="str">
            <v>Re-size</v>
          </cell>
          <cell r="J404" t="str">
            <v>Re-size</v>
          </cell>
          <cell r="K404" t="str">
            <v>Re-size</v>
          </cell>
          <cell r="L404">
            <v>18.330000000000002</v>
          </cell>
          <cell r="M404">
            <v>13.87</v>
          </cell>
          <cell r="N404">
            <v>9.9700000000000006</v>
          </cell>
          <cell r="O404">
            <v>5.87</v>
          </cell>
          <cell r="P404">
            <v>4.43</v>
          </cell>
          <cell r="Q404">
            <v>4.21</v>
          </cell>
          <cell r="R404">
            <v>2.4900000000000002</v>
          </cell>
          <cell r="S404">
            <v>1.92</v>
          </cell>
          <cell r="T404">
            <v>1.74</v>
          </cell>
          <cell r="U404">
            <v>1.0349999999999999</v>
          </cell>
          <cell r="V404">
            <v>0.8</v>
          </cell>
          <cell r="X404" t="str">
            <v>Re-size</v>
          </cell>
          <cell r="Y404" t="str">
            <v>Re-size</v>
          </cell>
          <cell r="Z404" t="str">
            <v>Re-size</v>
          </cell>
          <cell r="AA404" t="str">
            <v>Re-size</v>
          </cell>
          <cell r="AB404" t="str">
            <v>Re-size</v>
          </cell>
          <cell r="AC404" t="str">
            <v>Re-size</v>
          </cell>
          <cell r="AD404" t="str">
            <v>Re-size</v>
          </cell>
          <cell r="AE404" t="str">
            <v>Re-size</v>
          </cell>
        </row>
        <row r="405">
          <cell r="B405">
            <v>3.96</v>
          </cell>
          <cell r="C405" t="str">
            <v>Re-size</v>
          </cell>
          <cell r="D405" t="str">
            <v>Re-size</v>
          </cell>
          <cell r="E405" t="str">
            <v>Re-size</v>
          </cell>
          <cell r="F405" t="str">
            <v>Re-size</v>
          </cell>
          <cell r="G405" t="str">
            <v>Re-size</v>
          </cell>
          <cell r="H405" t="str">
            <v>Re-size</v>
          </cell>
          <cell r="I405" t="str">
            <v>Re-size</v>
          </cell>
          <cell r="J405" t="str">
            <v>Re-size</v>
          </cell>
          <cell r="K405" t="str">
            <v>Re-size</v>
          </cell>
          <cell r="L405">
            <v>18.41</v>
          </cell>
          <cell r="M405">
            <v>13.94</v>
          </cell>
          <cell r="N405">
            <v>10.02</v>
          </cell>
          <cell r="O405">
            <v>5.9</v>
          </cell>
          <cell r="P405">
            <v>4.45</v>
          </cell>
          <cell r="Q405">
            <v>4.2299999999999995</v>
          </cell>
          <cell r="R405">
            <v>2.5099999999999998</v>
          </cell>
          <cell r="S405">
            <v>1.93</v>
          </cell>
          <cell r="T405">
            <v>1.75</v>
          </cell>
          <cell r="U405">
            <v>1.04</v>
          </cell>
          <cell r="V405">
            <v>0.81</v>
          </cell>
          <cell r="X405" t="str">
            <v>Re-size</v>
          </cell>
          <cell r="Y405" t="str">
            <v>Re-size</v>
          </cell>
          <cell r="Z405" t="str">
            <v>Re-size</v>
          </cell>
          <cell r="AA405" t="str">
            <v>Re-size</v>
          </cell>
          <cell r="AB405" t="str">
            <v>Re-size</v>
          </cell>
          <cell r="AC405" t="str">
            <v>Re-size</v>
          </cell>
          <cell r="AD405" t="str">
            <v>Re-size</v>
          </cell>
          <cell r="AE405" t="str">
            <v>Re-size</v>
          </cell>
        </row>
        <row r="406">
          <cell r="B406">
            <v>3.97</v>
          </cell>
          <cell r="C406" t="str">
            <v>Re-size</v>
          </cell>
          <cell r="D406" t="str">
            <v>Re-size</v>
          </cell>
          <cell r="E406" t="str">
            <v>Re-size</v>
          </cell>
          <cell r="F406" t="str">
            <v>Re-size</v>
          </cell>
          <cell r="G406" t="str">
            <v>Re-size</v>
          </cell>
          <cell r="H406" t="str">
            <v>Re-size</v>
          </cell>
          <cell r="I406" t="str">
            <v>Re-size</v>
          </cell>
          <cell r="J406" t="str">
            <v>Re-size</v>
          </cell>
          <cell r="K406" t="str">
            <v>Re-size</v>
          </cell>
          <cell r="L406">
            <v>18.489999999999998</v>
          </cell>
          <cell r="M406">
            <v>14.01</v>
          </cell>
          <cell r="N406">
            <v>10.07</v>
          </cell>
          <cell r="O406">
            <v>5.93</v>
          </cell>
          <cell r="P406">
            <v>4.47</v>
          </cell>
          <cell r="Q406">
            <v>4.25</v>
          </cell>
          <cell r="R406">
            <v>2.5199999999999996</v>
          </cell>
          <cell r="S406">
            <v>1.94</v>
          </cell>
          <cell r="T406">
            <v>1.76</v>
          </cell>
          <cell r="U406">
            <v>1.05</v>
          </cell>
          <cell r="V406">
            <v>0.81</v>
          </cell>
          <cell r="X406" t="str">
            <v>Re-size</v>
          </cell>
          <cell r="Y406" t="str">
            <v>Re-size</v>
          </cell>
          <cell r="Z406" t="str">
            <v>Re-size</v>
          </cell>
          <cell r="AA406" t="str">
            <v>Re-size</v>
          </cell>
          <cell r="AB406" t="str">
            <v>Re-size</v>
          </cell>
          <cell r="AC406" t="str">
            <v>Re-size</v>
          </cell>
          <cell r="AD406" t="str">
            <v>Re-size</v>
          </cell>
          <cell r="AE406" t="str">
            <v>Re-size</v>
          </cell>
        </row>
        <row r="407">
          <cell r="B407">
            <v>3.98</v>
          </cell>
          <cell r="C407" t="str">
            <v>Re-size</v>
          </cell>
          <cell r="D407" t="str">
            <v>Re-size</v>
          </cell>
          <cell r="E407" t="str">
            <v>Re-size</v>
          </cell>
          <cell r="F407" t="str">
            <v>Re-size</v>
          </cell>
          <cell r="G407" t="str">
            <v>Re-size</v>
          </cell>
          <cell r="H407" t="str">
            <v>Re-size</v>
          </cell>
          <cell r="I407" t="str">
            <v>Re-size</v>
          </cell>
          <cell r="J407" t="str">
            <v>Re-size</v>
          </cell>
          <cell r="K407" t="str">
            <v>Re-size</v>
          </cell>
          <cell r="L407">
            <v>18.57</v>
          </cell>
          <cell r="M407">
            <v>14.08</v>
          </cell>
          <cell r="N407">
            <v>10.119999999999999</v>
          </cell>
          <cell r="O407">
            <v>5.96</v>
          </cell>
          <cell r="P407">
            <v>4.49</v>
          </cell>
          <cell r="Q407">
            <v>4.26</v>
          </cell>
          <cell r="R407">
            <v>2.5299999999999998</v>
          </cell>
          <cell r="S407">
            <v>1.95</v>
          </cell>
          <cell r="T407">
            <v>1.77</v>
          </cell>
          <cell r="U407">
            <v>1.05</v>
          </cell>
          <cell r="V407">
            <v>0.82000000000000006</v>
          </cell>
          <cell r="X407" t="str">
            <v>Re-size</v>
          </cell>
          <cell r="Y407" t="str">
            <v>Re-size</v>
          </cell>
          <cell r="Z407" t="str">
            <v>Re-size</v>
          </cell>
          <cell r="AA407" t="str">
            <v>Re-size</v>
          </cell>
          <cell r="AB407" t="str">
            <v>Re-size</v>
          </cell>
          <cell r="AC407" t="str">
            <v>Re-size</v>
          </cell>
          <cell r="AD407" t="str">
            <v>Re-size</v>
          </cell>
          <cell r="AE407" t="str">
            <v>Re-size</v>
          </cell>
        </row>
        <row r="408">
          <cell r="B408">
            <v>3.99</v>
          </cell>
          <cell r="C408" t="str">
            <v>Re-size</v>
          </cell>
          <cell r="D408" t="str">
            <v>Re-size</v>
          </cell>
          <cell r="E408" t="str">
            <v>Re-size</v>
          </cell>
          <cell r="F408" t="str">
            <v>Re-size</v>
          </cell>
          <cell r="G408" t="str">
            <v>Re-size</v>
          </cell>
          <cell r="H408" t="str">
            <v>Re-size</v>
          </cell>
          <cell r="I408" t="str">
            <v>Re-size</v>
          </cell>
          <cell r="J408" t="str">
            <v>Re-size</v>
          </cell>
          <cell r="K408" t="str">
            <v>Re-size</v>
          </cell>
          <cell r="L408">
            <v>18.649999999999999</v>
          </cell>
          <cell r="M408">
            <v>14.12</v>
          </cell>
          <cell r="N408">
            <v>10.17</v>
          </cell>
          <cell r="O408">
            <v>5.99</v>
          </cell>
          <cell r="P408">
            <v>4.51</v>
          </cell>
          <cell r="Q408">
            <v>4.2799999999999994</v>
          </cell>
          <cell r="R408">
            <v>2.5399999999999996</v>
          </cell>
          <cell r="S408">
            <v>1.96</v>
          </cell>
          <cell r="T408">
            <v>1.78</v>
          </cell>
          <cell r="U408">
            <v>1.06</v>
          </cell>
          <cell r="V408">
            <v>0.82000000000000006</v>
          </cell>
          <cell r="X408" t="str">
            <v>Re-size</v>
          </cell>
          <cell r="Y408" t="str">
            <v>Re-size</v>
          </cell>
          <cell r="Z408" t="str">
            <v>Re-size</v>
          </cell>
          <cell r="AA408" t="str">
            <v>Re-size</v>
          </cell>
          <cell r="AB408" t="str">
            <v>Re-size</v>
          </cell>
          <cell r="AC408" t="str">
            <v>Re-size</v>
          </cell>
          <cell r="AD408" t="str">
            <v>Re-size</v>
          </cell>
          <cell r="AE408" t="str">
            <v>Re-size</v>
          </cell>
        </row>
        <row r="409">
          <cell r="B409">
            <v>4</v>
          </cell>
          <cell r="C409" t="str">
            <v>Re-size</v>
          </cell>
          <cell r="D409" t="str">
            <v>Re-size</v>
          </cell>
          <cell r="E409" t="str">
            <v>Re-size</v>
          </cell>
          <cell r="F409" t="str">
            <v>Re-size</v>
          </cell>
          <cell r="G409" t="str">
            <v>Re-size</v>
          </cell>
          <cell r="H409" t="str">
            <v>Re-size</v>
          </cell>
          <cell r="I409" t="str">
            <v>Re-size</v>
          </cell>
          <cell r="J409" t="str">
            <v>Re-size</v>
          </cell>
          <cell r="K409" t="str">
            <v>Re-size</v>
          </cell>
          <cell r="L409">
            <v>18.73</v>
          </cell>
          <cell r="M409">
            <v>14.15</v>
          </cell>
          <cell r="N409">
            <v>10.220000000000001</v>
          </cell>
          <cell r="O409">
            <v>6.02</v>
          </cell>
          <cell r="P409">
            <v>4.5199999999999996</v>
          </cell>
          <cell r="Q409">
            <v>4.29</v>
          </cell>
          <cell r="R409">
            <v>2.5499999999999998</v>
          </cell>
          <cell r="S409">
            <v>1.96</v>
          </cell>
          <cell r="T409">
            <v>1.78</v>
          </cell>
          <cell r="U409">
            <v>1.06</v>
          </cell>
          <cell r="V409">
            <v>0.82</v>
          </cell>
          <cell r="X409" t="str">
            <v>Re-size</v>
          </cell>
          <cell r="Y409" t="str">
            <v>Re-size</v>
          </cell>
          <cell r="Z409" t="str">
            <v>Re-size</v>
          </cell>
          <cell r="AA409" t="str">
            <v>Re-size</v>
          </cell>
          <cell r="AB409" t="str">
            <v>Re-size</v>
          </cell>
          <cell r="AC409" t="str">
            <v>Re-size</v>
          </cell>
          <cell r="AD409" t="str">
            <v>Re-size</v>
          </cell>
          <cell r="AE409" t="str">
            <v>Re-size</v>
          </cell>
        </row>
        <row r="410">
          <cell r="B410">
            <v>4.01</v>
          </cell>
          <cell r="C410" t="str">
            <v>Re-size</v>
          </cell>
          <cell r="D410" t="str">
            <v>Re-size</v>
          </cell>
          <cell r="E410" t="str">
            <v>Re-size</v>
          </cell>
          <cell r="F410" t="str">
            <v>Re-size</v>
          </cell>
          <cell r="G410" t="str">
            <v>Re-size</v>
          </cell>
          <cell r="H410" t="str">
            <v>Re-size</v>
          </cell>
          <cell r="I410" t="str">
            <v>Re-size</v>
          </cell>
          <cell r="J410" t="str">
            <v>Re-size</v>
          </cell>
          <cell r="K410" t="str">
            <v>Re-size</v>
          </cell>
          <cell r="L410" t="str">
            <v>Re-size</v>
          </cell>
          <cell r="M410">
            <v>14.22</v>
          </cell>
          <cell r="N410">
            <v>10.27</v>
          </cell>
          <cell r="O410">
            <v>6.05</v>
          </cell>
          <cell r="P410">
            <v>4.55</v>
          </cell>
          <cell r="Q410">
            <v>4.3199999999999994</v>
          </cell>
          <cell r="R410">
            <v>2.56</v>
          </cell>
          <cell r="S410">
            <v>1.97</v>
          </cell>
          <cell r="T410">
            <v>1.79</v>
          </cell>
          <cell r="U410">
            <v>1.07</v>
          </cell>
          <cell r="V410">
            <v>0.83</v>
          </cell>
          <cell r="X410" t="str">
            <v>Re-size</v>
          </cell>
          <cell r="Y410" t="str">
            <v>Re-size</v>
          </cell>
          <cell r="Z410" t="str">
            <v>Re-size</v>
          </cell>
          <cell r="AA410" t="str">
            <v>Re-size</v>
          </cell>
          <cell r="AB410" t="str">
            <v>Re-size</v>
          </cell>
          <cell r="AC410" t="str">
            <v>Re-size</v>
          </cell>
          <cell r="AD410" t="str">
            <v>Re-size</v>
          </cell>
          <cell r="AE410" t="str">
            <v>Re-size</v>
          </cell>
        </row>
        <row r="411">
          <cell r="B411">
            <v>4.0199999999999996</v>
          </cell>
          <cell r="C411" t="str">
            <v>Re-size</v>
          </cell>
          <cell r="D411" t="str">
            <v>Re-size</v>
          </cell>
          <cell r="E411" t="str">
            <v>Re-size</v>
          </cell>
          <cell r="F411" t="str">
            <v>Re-size</v>
          </cell>
          <cell r="G411" t="str">
            <v>Re-size</v>
          </cell>
          <cell r="H411" t="str">
            <v>Re-size</v>
          </cell>
          <cell r="I411" t="str">
            <v>Re-size</v>
          </cell>
          <cell r="J411" t="str">
            <v>Re-size</v>
          </cell>
          <cell r="K411" t="str">
            <v>Re-size</v>
          </cell>
          <cell r="L411" t="str">
            <v>Re-size</v>
          </cell>
          <cell r="M411">
            <v>14.29</v>
          </cell>
          <cell r="N411">
            <v>10.31</v>
          </cell>
          <cell r="O411">
            <v>6.0699999999999994</v>
          </cell>
          <cell r="P411">
            <v>4.5699999999999994</v>
          </cell>
          <cell r="Q411">
            <v>4.34</v>
          </cell>
          <cell r="R411">
            <v>2.57</v>
          </cell>
          <cell r="S411">
            <v>1.98</v>
          </cell>
          <cell r="T411">
            <v>1.8</v>
          </cell>
          <cell r="U411">
            <v>1.07</v>
          </cell>
          <cell r="V411">
            <v>0.83</v>
          </cell>
          <cell r="X411" t="str">
            <v>Re-size</v>
          </cell>
          <cell r="Y411" t="str">
            <v>Re-size</v>
          </cell>
          <cell r="Z411" t="str">
            <v>Re-size</v>
          </cell>
          <cell r="AA411" t="str">
            <v>Re-size</v>
          </cell>
          <cell r="AB411" t="str">
            <v>Re-size</v>
          </cell>
          <cell r="AC411" t="str">
            <v>Re-size</v>
          </cell>
          <cell r="AD411" t="str">
            <v>Re-size</v>
          </cell>
          <cell r="AE411" t="str">
            <v>Re-size</v>
          </cell>
        </row>
        <row r="412">
          <cell r="B412">
            <v>4.03</v>
          </cell>
          <cell r="C412" t="str">
            <v>Re-size</v>
          </cell>
          <cell r="D412" t="str">
            <v>Re-size</v>
          </cell>
          <cell r="E412" t="str">
            <v>Re-size</v>
          </cell>
          <cell r="F412" t="str">
            <v>Re-size</v>
          </cell>
          <cell r="G412" t="str">
            <v>Re-size</v>
          </cell>
          <cell r="H412" t="str">
            <v>Re-size</v>
          </cell>
          <cell r="I412" t="str">
            <v>Re-size</v>
          </cell>
          <cell r="J412" t="str">
            <v>Re-size</v>
          </cell>
          <cell r="K412" t="str">
            <v>Re-size</v>
          </cell>
          <cell r="L412" t="str">
            <v>Re-size</v>
          </cell>
          <cell r="M412">
            <v>14.36</v>
          </cell>
          <cell r="N412">
            <v>10.35</v>
          </cell>
          <cell r="O412">
            <v>6.1</v>
          </cell>
          <cell r="P412">
            <v>4.5999999999999996</v>
          </cell>
          <cell r="Q412">
            <v>4.3599999999999994</v>
          </cell>
          <cell r="R412">
            <v>2.58</v>
          </cell>
          <cell r="S412">
            <v>1.99</v>
          </cell>
          <cell r="T412">
            <v>1.81</v>
          </cell>
          <cell r="U412">
            <v>1.08</v>
          </cell>
          <cell r="V412">
            <v>0.83</v>
          </cell>
          <cell r="X412" t="str">
            <v>Re-size</v>
          </cell>
          <cell r="Y412" t="str">
            <v>Re-size</v>
          </cell>
          <cell r="Z412" t="str">
            <v>Re-size</v>
          </cell>
          <cell r="AA412" t="str">
            <v>Re-size</v>
          </cell>
          <cell r="AB412" t="str">
            <v>Re-size</v>
          </cell>
          <cell r="AC412" t="str">
            <v>Re-size</v>
          </cell>
          <cell r="AD412" t="str">
            <v>Re-size</v>
          </cell>
          <cell r="AE412" t="str">
            <v>Re-size</v>
          </cell>
        </row>
        <row r="413">
          <cell r="B413">
            <v>4.04</v>
          </cell>
          <cell r="C413" t="str">
            <v>Re-size</v>
          </cell>
          <cell r="D413" t="str">
            <v>Re-size</v>
          </cell>
          <cell r="E413" t="str">
            <v>Re-size</v>
          </cell>
          <cell r="F413" t="str">
            <v>Re-size</v>
          </cell>
          <cell r="G413" t="str">
            <v>Re-size</v>
          </cell>
          <cell r="H413" t="str">
            <v>Re-size</v>
          </cell>
          <cell r="I413" t="str">
            <v>Re-size</v>
          </cell>
          <cell r="J413" t="str">
            <v>Re-size</v>
          </cell>
          <cell r="K413" t="str">
            <v>Re-size</v>
          </cell>
          <cell r="L413" t="str">
            <v>Re-size</v>
          </cell>
          <cell r="M413">
            <v>14.43</v>
          </cell>
          <cell r="N413">
            <v>10.39</v>
          </cell>
          <cell r="O413">
            <v>6.12</v>
          </cell>
          <cell r="P413">
            <v>4.62</v>
          </cell>
          <cell r="Q413">
            <v>4.38</v>
          </cell>
          <cell r="R413">
            <v>2.59</v>
          </cell>
          <cell r="S413">
            <v>2</v>
          </cell>
          <cell r="T413">
            <v>1.82</v>
          </cell>
          <cell r="U413">
            <v>1.08</v>
          </cell>
          <cell r="V413">
            <v>0.84</v>
          </cell>
          <cell r="X413" t="str">
            <v>Re-size</v>
          </cell>
          <cell r="Y413" t="str">
            <v>Re-size</v>
          </cell>
          <cell r="Z413" t="str">
            <v>Re-size</v>
          </cell>
          <cell r="AA413" t="str">
            <v>Re-size</v>
          </cell>
          <cell r="AB413" t="str">
            <v>Re-size</v>
          </cell>
          <cell r="AC413" t="str">
            <v>Re-size</v>
          </cell>
          <cell r="AD413" t="str">
            <v>Re-size</v>
          </cell>
          <cell r="AE413" t="str">
            <v>Re-size</v>
          </cell>
        </row>
        <row r="414">
          <cell r="B414">
            <v>4.05</v>
          </cell>
          <cell r="C414" t="str">
            <v>Re-size</v>
          </cell>
          <cell r="D414" t="str">
            <v>Re-size</v>
          </cell>
          <cell r="E414" t="str">
            <v>Re-size</v>
          </cell>
          <cell r="F414" t="str">
            <v>Re-size</v>
          </cell>
          <cell r="G414" t="str">
            <v>Re-size</v>
          </cell>
          <cell r="H414" t="str">
            <v>Re-size</v>
          </cell>
          <cell r="I414" t="str">
            <v>Re-size</v>
          </cell>
          <cell r="J414" t="str">
            <v>Re-size</v>
          </cell>
          <cell r="K414" t="str">
            <v>Re-size</v>
          </cell>
          <cell r="L414" t="str">
            <v>Re-size</v>
          </cell>
          <cell r="M414">
            <v>14.51</v>
          </cell>
          <cell r="N414">
            <v>10.43</v>
          </cell>
          <cell r="O414">
            <v>6.14</v>
          </cell>
          <cell r="P414">
            <v>4.6399999999999997</v>
          </cell>
          <cell r="Q414">
            <v>4.4000000000000004</v>
          </cell>
          <cell r="R414">
            <v>2.6</v>
          </cell>
          <cell r="S414">
            <v>2.0099999999999998</v>
          </cell>
          <cell r="T414">
            <v>1.82</v>
          </cell>
          <cell r="U414">
            <v>1.085</v>
          </cell>
          <cell r="V414">
            <v>0.83499999999999996</v>
          </cell>
          <cell r="X414" t="str">
            <v>Re-size</v>
          </cell>
          <cell r="Y414" t="str">
            <v>Re-size</v>
          </cell>
          <cell r="Z414" t="str">
            <v>Re-size</v>
          </cell>
          <cell r="AA414" t="str">
            <v>Re-size</v>
          </cell>
          <cell r="AB414" t="str">
            <v>Re-size</v>
          </cell>
          <cell r="AC414" t="str">
            <v>Re-size</v>
          </cell>
          <cell r="AD414" t="str">
            <v>Re-size</v>
          </cell>
          <cell r="AE414" t="str">
            <v>Re-size</v>
          </cell>
        </row>
        <row r="415">
          <cell r="B415">
            <v>4.0599999999999996</v>
          </cell>
          <cell r="C415" t="str">
            <v>Re-size</v>
          </cell>
          <cell r="D415" t="str">
            <v>Re-size</v>
          </cell>
          <cell r="E415" t="str">
            <v>Re-size</v>
          </cell>
          <cell r="F415" t="str">
            <v>Re-size</v>
          </cell>
          <cell r="G415" t="str">
            <v>Re-size</v>
          </cell>
          <cell r="H415" t="str">
            <v>Re-size</v>
          </cell>
          <cell r="I415" t="str">
            <v>Re-size</v>
          </cell>
          <cell r="J415" t="str">
            <v>Re-size</v>
          </cell>
          <cell r="K415" t="str">
            <v>Re-size</v>
          </cell>
          <cell r="L415" t="str">
            <v>Re-size</v>
          </cell>
          <cell r="M415">
            <v>14.58</v>
          </cell>
          <cell r="N415">
            <v>10.49</v>
          </cell>
          <cell r="O415">
            <v>6.18</v>
          </cell>
          <cell r="P415">
            <v>4.66</v>
          </cell>
          <cell r="Q415">
            <v>4.43</v>
          </cell>
          <cell r="R415">
            <v>2.6199999999999997</v>
          </cell>
          <cell r="S415">
            <v>2.0199999999999996</v>
          </cell>
          <cell r="T415">
            <v>1.83</v>
          </cell>
          <cell r="U415">
            <v>1.0900000000000001</v>
          </cell>
          <cell r="V415">
            <v>0.84</v>
          </cell>
          <cell r="X415" t="str">
            <v>Re-size</v>
          </cell>
          <cell r="Y415" t="str">
            <v>Re-size</v>
          </cell>
          <cell r="Z415" t="str">
            <v>Re-size</v>
          </cell>
          <cell r="AA415" t="str">
            <v>Re-size</v>
          </cell>
          <cell r="AB415" t="str">
            <v>Re-size</v>
          </cell>
          <cell r="AC415" t="str">
            <v>Re-size</v>
          </cell>
          <cell r="AD415" t="str">
            <v>Re-size</v>
          </cell>
          <cell r="AE415" t="str">
            <v>Re-size</v>
          </cell>
        </row>
        <row r="416">
          <cell r="B416">
            <v>4.07</v>
          </cell>
          <cell r="C416" t="str">
            <v>Re-size</v>
          </cell>
          <cell r="D416" t="str">
            <v>Re-size</v>
          </cell>
          <cell r="E416" t="str">
            <v>Re-size</v>
          </cell>
          <cell r="F416" t="str">
            <v>Re-size</v>
          </cell>
          <cell r="G416" t="str">
            <v>Re-size</v>
          </cell>
          <cell r="H416" t="str">
            <v>Re-size</v>
          </cell>
          <cell r="I416" t="str">
            <v>Re-size</v>
          </cell>
          <cell r="J416" t="str">
            <v>Re-size</v>
          </cell>
          <cell r="K416" t="str">
            <v>Re-size</v>
          </cell>
          <cell r="L416" t="str">
            <v>Re-size</v>
          </cell>
          <cell r="M416">
            <v>14.65</v>
          </cell>
          <cell r="N416">
            <v>10.54</v>
          </cell>
          <cell r="O416">
            <v>6.21</v>
          </cell>
          <cell r="P416">
            <v>4.68</v>
          </cell>
          <cell r="Q416">
            <v>4.45</v>
          </cell>
          <cell r="R416">
            <v>2.63</v>
          </cell>
          <cell r="S416">
            <v>2.0299999999999998</v>
          </cell>
          <cell r="T416">
            <v>1.84</v>
          </cell>
          <cell r="U416">
            <v>1.1000000000000001</v>
          </cell>
          <cell r="V416">
            <v>0.85</v>
          </cell>
          <cell r="X416" t="str">
            <v>Re-size</v>
          </cell>
          <cell r="Y416" t="str">
            <v>Re-size</v>
          </cell>
          <cell r="Z416" t="str">
            <v>Re-size</v>
          </cell>
          <cell r="AA416" t="str">
            <v>Re-size</v>
          </cell>
          <cell r="AB416" t="str">
            <v>Re-size</v>
          </cell>
          <cell r="AC416" t="str">
            <v>Re-size</v>
          </cell>
          <cell r="AD416" t="str">
            <v>Re-size</v>
          </cell>
          <cell r="AE416" t="str">
            <v>Re-size</v>
          </cell>
        </row>
        <row r="417">
          <cell r="B417">
            <v>4.08</v>
          </cell>
          <cell r="C417" t="str">
            <v>Re-size</v>
          </cell>
          <cell r="D417" t="str">
            <v>Re-size</v>
          </cell>
          <cell r="E417" t="str">
            <v>Re-size</v>
          </cell>
          <cell r="F417" t="str">
            <v>Re-size</v>
          </cell>
          <cell r="G417" t="str">
            <v>Re-size</v>
          </cell>
          <cell r="H417" t="str">
            <v>Re-size</v>
          </cell>
          <cell r="I417" t="str">
            <v>Re-size</v>
          </cell>
          <cell r="J417" t="str">
            <v>Re-size</v>
          </cell>
          <cell r="K417" t="str">
            <v>Re-size</v>
          </cell>
          <cell r="L417" t="str">
            <v>Re-size</v>
          </cell>
          <cell r="M417">
            <v>14.72</v>
          </cell>
          <cell r="N417">
            <v>10.59</v>
          </cell>
          <cell r="O417">
            <v>6.24</v>
          </cell>
          <cell r="P417">
            <v>4.7</v>
          </cell>
          <cell r="Q417">
            <v>4.47</v>
          </cell>
          <cell r="R417">
            <v>2.65</v>
          </cell>
          <cell r="S417">
            <v>2.0399999999999996</v>
          </cell>
          <cell r="T417">
            <v>1.85</v>
          </cell>
          <cell r="U417">
            <v>1.1000000000000001</v>
          </cell>
          <cell r="V417">
            <v>0.85</v>
          </cell>
          <cell r="X417" t="str">
            <v>Re-size</v>
          </cell>
          <cell r="Y417" t="str">
            <v>Re-size</v>
          </cell>
          <cell r="Z417" t="str">
            <v>Re-size</v>
          </cell>
          <cell r="AA417" t="str">
            <v>Re-size</v>
          </cell>
          <cell r="AB417" t="str">
            <v>Re-size</v>
          </cell>
          <cell r="AC417" t="str">
            <v>Re-size</v>
          </cell>
          <cell r="AD417" t="str">
            <v>Re-size</v>
          </cell>
          <cell r="AE417" t="str">
            <v>Re-size</v>
          </cell>
        </row>
        <row r="418">
          <cell r="B418">
            <v>4.09</v>
          </cell>
          <cell r="C418" t="str">
            <v>Re-size</v>
          </cell>
          <cell r="D418" t="str">
            <v>Re-size</v>
          </cell>
          <cell r="E418" t="str">
            <v>Re-size</v>
          </cell>
          <cell r="F418" t="str">
            <v>Re-size</v>
          </cell>
          <cell r="G418" t="str">
            <v>Re-size</v>
          </cell>
          <cell r="H418" t="str">
            <v>Re-size</v>
          </cell>
          <cell r="I418" t="str">
            <v>Re-size</v>
          </cell>
          <cell r="J418" t="str">
            <v>Re-size</v>
          </cell>
          <cell r="K418" t="str">
            <v>Re-size</v>
          </cell>
          <cell r="L418" t="str">
            <v>Re-size</v>
          </cell>
          <cell r="M418">
            <v>14.799999999999999</v>
          </cell>
          <cell r="N418">
            <v>10.64</v>
          </cell>
          <cell r="O418">
            <v>6.27</v>
          </cell>
          <cell r="P418">
            <v>4.72</v>
          </cell>
          <cell r="Q418">
            <v>4.49</v>
          </cell>
          <cell r="R418">
            <v>2.6599999999999997</v>
          </cell>
          <cell r="S418">
            <v>2.0499999999999998</v>
          </cell>
          <cell r="T418">
            <v>1.86</v>
          </cell>
          <cell r="U418">
            <v>1.1100000000000001</v>
          </cell>
          <cell r="V418">
            <v>0.85</v>
          </cell>
          <cell r="X418" t="str">
            <v>Re-size</v>
          </cell>
          <cell r="Y418" t="str">
            <v>Re-size</v>
          </cell>
          <cell r="Z418" t="str">
            <v>Re-size</v>
          </cell>
          <cell r="AA418" t="str">
            <v>Re-size</v>
          </cell>
          <cell r="AB418" t="str">
            <v>Re-size</v>
          </cell>
          <cell r="AC418" t="str">
            <v>Re-size</v>
          </cell>
          <cell r="AD418" t="str">
            <v>Re-size</v>
          </cell>
          <cell r="AE418" t="str">
            <v>Re-size</v>
          </cell>
        </row>
        <row r="419">
          <cell r="B419">
            <v>4.0999999999999996</v>
          </cell>
          <cell r="C419" t="str">
            <v>Re-size</v>
          </cell>
          <cell r="D419" t="str">
            <v>Re-size</v>
          </cell>
          <cell r="E419" t="str">
            <v>Re-size</v>
          </cell>
          <cell r="F419" t="str">
            <v>Re-size</v>
          </cell>
          <cell r="G419" t="str">
            <v>Re-size</v>
          </cell>
          <cell r="H419" t="str">
            <v>Re-size</v>
          </cell>
          <cell r="I419" t="str">
            <v>Re-size</v>
          </cell>
          <cell r="J419" t="str">
            <v>Re-size</v>
          </cell>
          <cell r="K419" t="str">
            <v>Re-size</v>
          </cell>
          <cell r="L419" t="str">
            <v>Re-size</v>
          </cell>
          <cell r="M419">
            <v>14.87</v>
          </cell>
          <cell r="N419">
            <v>10.69</v>
          </cell>
          <cell r="O419">
            <v>6.3</v>
          </cell>
          <cell r="P419">
            <v>4.7300000000000004</v>
          </cell>
          <cell r="Q419">
            <v>4.51</v>
          </cell>
          <cell r="R419">
            <v>2.67</v>
          </cell>
          <cell r="S419">
            <v>2.0499999999999998</v>
          </cell>
          <cell r="T419">
            <v>1.86</v>
          </cell>
          <cell r="U419">
            <v>1.1100000000000001</v>
          </cell>
          <cell r="V419">
            <v>0.85</v>
          </cell>
          <cell r="X419" t="str">
            <v>Re-size</v>
          </cell>
          <cell r="Y419" t="str">
            <v>Re-size</v>
          </cell>
          <cell r="Z419" t="str">
            <v>Re-size</v>
          </cell>
          <cell r="AA419" t="str">
            <v>Re-size</v>
          </cell>
          <cell r="AB419" t="str">
            <v>Re-size</v>
          </cell>
          <cell r="AC419" t="str">
            <v>Re-size</v>
          </cell>
          <cell r="AD419" t="str">
            <v>Re-size</v>
          </cell>
          <cell r="AE419" t="str">
            <v>Re-size</v>
          </cell>
        </row>
        <row r="420">
          <cell r="B420">
            <v>4.1100000000000003</v>
          </cell>
          <cell r="C420" t="str">
            <v>Re-size</v>
          </cell>
          <cell r="D420" t="str">
            <v>Re-size</v>
          </cell>
          <cell r="E420" t="str">
            <v>Re-size</v>
          </cell>
          <cell r="F420" t="str">
            <v>Re-size</v>
          </cell>
          <cell r="G420" t="str">
            <v>Re-size</v>
          </cell>
          <cell r="H420" t="str">
            <v>Re-size</v>
          </cell>
          <cell r="I420" t="str">
            <v>Re-size</v>
          </cell>
          <cell r="J420" t="str">
            <v>Re-size</v>
          </cell>
          <cell r="K420" t="str">
            <v>Re-size</v>
          </cell>
          <cell r="L420" t="str">
            <v>Re-size</v>
          </cell>
          <cell r="M420">
            <v>14.9</v>
          </cell>
          <cell r="N420">
            <v>10.75</v>
          </cell>
          <cell r="O420">
            <v>6.33</v>
          </cell>
          <cell r="P420">
            <v>4.76</v>
          </cell>
          <cell r="Q420">
            <v>4.5299999999999994</v>
          </cell>
          <cell r="R420">
            <v>2.68</v>
          </cell>
          <cell r="S420">
            <v>2.06</v>
          </cell>
          <cell r="T420">
            <v>1.87</v>
          </cell>
          <cell r="U420">
            <v>1.1200000000000001</v>
          </cell>
          <cell r="V420">
            <v>0.86</v>
          </cell>
          <cell r="X420" t="str">
            <v>Re-size</v>
          </cell>
          <cell r="Y420" t="str">
            <v>Re-size</v>
          </cell>
          <cell r="Z420" t="str">
            <v>Re-size</v>
          </cell>
          <cell r="AA420" t="str">
            <v>Re-size</v>
          </cell>
          <cell r="AB420" t="str">
            <v>Re-size</v>
          </cell>
          <cell r="AC420" t="str">
            <v>Re-size</v>
          </cell>
          <cell r="AD420" t="str">
            <v>Re-size</v>
          </cell>
          <cell r="AE420" t="str">
            <v>Re-size</v>
          </cell>
        </row>
        <row r="421">
          <cell r="B421">
            <v>4.12</v>
          </cell>
          <cell r="C421" t="str">
            <v>Re-size</v>
          </cell>
          <cell r="D421" t="str">
            <v>Re-size</v>
          </cell>
          <cell r="E421" t="str">
            <v>Re-size</v>
          </cell>
          <cell r="F421" t="str">
            <v>Re-size</v>
          </cell>
          <cell r="G421" t="str">
            <v>Re-size</v>
          </cell>
          <cell r="H421" t="str">
            <v>Re-size</v>
          </cell>
          <cell r="I421" t="str">
            <v>Re-size</v>
          </cell>
          <cell r="J421" t="str">
            <v>Re-size</v>
          </cell>
          <cell r="K421" t="str">
            <v>Re-size</v>
          </cell>
          <cell r="L421" t="str">
            <v>Re-size</v>
          </cell>
          <cell r="M421">
            <v>14.93</v>
          </cell>
          <cell r="N421">
            <v>10.799999999999999</v>
          </cell>
          <cell r="O421">
            <v>6.35</v>
          </cell>
          <cell r="P421">
            <v>4.7799999999999994</v>
          </cell>
          <cell r="Q421">
            <v>4.55</v>
          </cell>
          <cell r="R421">
            <v>2.69</v>
          </cell>
          <cell r="S421">
            <v>2.0699999999999998</v>
          </cell>
          <cell r="T421">
            <v>1.8800000000000001</v>
          </cell>
          <cell r="U421">
            <v>1.1200000000000001</v>
          </cell>
          <cell r="V421">
            <v>0.86</v>
          </cell>
          <cell r="X421" t="str">
            <v>Re-size</v>
          </cell>
          <cell r="Y421" t="str">
            <v>Re-size</v>
          </cell>
          <cell r="Z421" t="str">
            <v>Re-size</v>
          </cell>
          <cell r="AA421" t="str">
            <v>Re-size</v>
          </cell>
          <cell r="AB421" t="str">
            <v>Re-size</v>
          </cell>
          <cell r="AC421" t="str">
            <v>Re-size</v>
          </cell>
          <cell r="AD421" t="str">
            <v>Re-size</v>
          </cell>
          <cell r="AE421" t="str">
            <v>Re-size</v>
          </cell>
        </row>
        <row r="422">
          <cell r="B422">
            <v>4.13</v>
          </cell>
          <cell r="C422" t="str">
            <v>Re-size</v>
          </cell>
          <cell r="D422" t="str">
            <v>Re-size</v>
          </cell>
          <cell r="E422" t="str">
            <v>Re-size</v>
          </cell>
          <cell r="F422" t="str">
            <v>Re-size</v>
          </cell>
          <cell r="G422" t="str">
            <v>Re-size</v>
          </cell>
          <cell r="H422" t="str">
            <v>Re-size</v>
          </cell>
          <cell r="I422" t="str">
            <v>Re-size</v>
          </cell>
          <cell r="J422" t="str">
            <v>Re-size</v>
          </cell>
          <cell r="K422" t="str">
            <v>Re-size</v>
          </cell>
          <cell r="L422" t="str">
            <v>Re-size</v>
          </cell>
          <cell r="M422">
            <v>15.01</v>
          </cell>
          <cell r="N422">
            <v>10.85</v>
          </cell>
          <cell r="O422">
            <v>6.38</v>
          </cell>
          <cell r="P422">
            <v>4.8</v>
          </cell>
          <cell r="Q422">
            <v>4.5699999999999994</v>
          </cell>
          <cell r="R422">
            <v>2.7</v>
          </cell>
          <cell r="S422">
            <v>2.08</v>
          </cell>
          <cell r="T422">
            <v>1.89</v>
          </cell>
          <cell r="U422">
            <v>1.1300000000000001</v>
          </cell>
          <cell r="V422">
            <v>0.87</v>
          </cell>
          <cell r="X422" t="str">
            <v>Re-size</v>
          </cell>
          <cell r="Y422" t="str">
            <v>Re-size</v>
          </cell>
          <cell r="Z422" t="str">
            <v>Re-size</v>
          </cell>
          <cell r="AA422" t="str">
            <v>Re-size</v>
          </cell>
          <cell r="AB422" t="str">
            <v>Re-size</v>
          </cell>
          <cell r="AC422" t="str">
            <v>Re-size</v>
          </cell>
          <cell r="AD422" t="str">
            <v>Re-size</v>
          </cell>
          <cell r="AE422" t="str">
            <v>Re-size</v>
          </cell>
        </row>
        <row r="423">
          <cell r="B423">
            <v>4.1399999999999997</v>
          </cell>
          <cell r="C423" t="str">
            <v>Re-size</v>
          </cell>
          <cell r="D423" t="str">
            <v>Re-size</v>
          </cell>
          <cell r="E423" t="str">
            <v>Re-size</v>
          </cell>
          <cell r="F423" t="str">
            <v>Re-size</v>
          </cell>
          <cell r="G423" t="str">
            <v>Re-size</v>
          </cell>
          <cell r="H423" t="str">
            <v>Re-size</v>
          </cell>
          <cell r="I423" t="str">
            <v>Re-size</v>
          </cell>
          <cell r="J423" t="str">
            <v>Re-size</v>
          </cell>
          <cell r="K423" t="str">
            <v>Re-size</v>
          </cell>
          <cell r="L423" t="str">
            <v>Re-size</v>
          </cell>
          <cell r="M423">
            <v>15.08</v>
          </cell>
          <cell r="N423">
            <v>10.9</v>
          </cell>
          <cell r="O423">
            <v>6.3999999999999995</v>
          </cell>
          <cell r="P423">
            <v>4.8199999999999994</v>
          </cell>
          <cell r="Q423">
            <v>4.59</v>
          </cell>
          <cell r="R423">
            <v>2.71</v>
          </cell>
          <cell r="S423">
            <v>2.09</v>
          </cell>
          <cell r="T423">
            <v>1.9</v>
          </cell>
          <cell r="U423">
            <v>1.1299999999999999</v>
          </cell>
          <cell r="V423">
            <v>0.87</v>
          </cell>
          <cell r="X423" t="str">
            <v>Re-size</v>
          </cell>
          <cell r="Y423" t="str">
            <v>Re-size</v>
          </cell>
          <cell r="Z423" t="str">
            <v>Re-size</v>
          </cell>
          <cell r="AA423" t="str">
            <v>Re-size</v>
          </cell>
          <cell r="AB423" t="str">
            <v>Re-size</v>
          </cell>
          <cell r="AC423" t="str">
            <v>Re-size</v>
          </cell>
          <cell r="AD423" t="str">
            <v>Re-size</v>
          </cell>
          <cell r="AE423" t="str">
            <v>Re-size</v>
          </cell>
        </row>
        <row r="424">
          <cell r="B424">
            <v>4.1500000000000004</v>
          </cell>
          <cell r="C424" t="str">
            <v>Re-size</v>
          </cell>
          <cell r="D424" t="str">
            <v>Re-size</v>
          </cell>
          <cell r="E424" t="str">
            <v>Re-size</v>
          </cell>
          <cell r="F424" t="str">
            <v>Re-size</v>
          </cell>
          <cell r="G424" t="str">
            <v>Re-size</v>
          </cell>
          <cell r="H424" t="str">
            <v>Re-size</v>
          </cell>
          <cell r="I424" t="str">
            <v>Re-size</v>
          </cell>
          <cell r="J424" t="str">
            <v>Re-size</v>
          </cell>
          <cell r="K424" t="str">
            <v>Re-size</v>
          </cell>
          <cell r="L424" t="str">
            <v>Re-size</v>
          </cell>
          <cell r="M424">
            <v>15.15</v>
          </cell>
          <cell r="N424">
            <v>10.95</v>
          </cell>
          <cell r="O424">
            <v>6.42</v>
          </cell>
          <cell r="P424">
            <v>4.84</v>
          </cell>
          <cell r="Q424">
            <v>4.5999999999999996</v>
          </cell>
          <cell r="R424">
            <v>2.72</v>
          </cell>
          <cell r="S424">
            <v>2.1</v>
          </cell>
          <cell r="T424">
            <v>1.9</v>
          </cell>
          <cell r="U424">
            <v>1.135</v>
          </cell>
          <cell r="V424">
            <v>0.87</v>
          </cell>
          <cell r="X424" t="str">
            <v>Re-size</v>
          </cell>
          <cell r="Y424" t="str">
            <v>Re-size</v>
          </cell>
          <cell r="Z424" t="str">
            <v>Re-size</v>
          </cell>
          <cell r="AA424" t="str">
            <v>Re-size</v>
          </cell>
          <cell r="AB424" t="str">
            <v>Re-size</v>
          </cell>
          <cell r="AC424" t="str">
            <v>Re-size</v>
          </cell>
          <cell r="AD424" t="str">
            <v>Re-size</v>
          </cell>
          <cell r="AE424" t="str">
            <v>Re-size</v>
          </cell>
        </row>
        <row r="425">
          <cell r="B425">
            <v>4.16</v>
          </cell>
          <cell r="C425" t="str">
            <v>Re-size</v>
          </cell>
          <cell r="D425" t="str">
            <v>Re-size</v>
          </cell>
          <cell r="E425" t="str">
            <v>Re-size</v>
          </cell>
          <cell r="F425" t="str">
            <v>Re-size</v>
          </cell>
          <cell r="G425" t="str">
            <v>Re-size</v>
          </cell>
          <cell r="H425" t="str">
            <v>Re-size</v>
          </cell>
          <cell r="I425" t="str">
            <v>Re-size</v>
          </cell>
          <cell r="J425" t="str">
            <v>Re-size</v>
          </cell>
          <cell r="K425" t="str">
            <v>Re-size</v>
          </cell>
          <cell r="L425" t="str">
            <v>Re-size</v>
          </cell>
          <cell r="M425">
            <v>15.22</v>
          </cell>
          <cell r="N425">
            <v>11</v>
          </cell>
          <cell r="O425">
            <v>6.45</v>
          </cell>
          <cell r="P425">
            <v>4.8600000000000003</v>
          </cell>
          <cell r="Q425">
            <v>4.63</v>
          </cell>
          <cell r="R425">
            <v>2.7399999999999998</v>
          </cell>
          <cell r="S425">
            <v>2.11</v>
          </cell>
          <cell r="T425">
            <v>1.91</v>
          </cell>
          <cell r="U425">
            <v>1.1399999999999999</v>
          </cell>
          <cell r="V425">
            <v>0.88</v>
          </cell>
          <cell r="X425" t="str">
            <v>Re-size</v>
          </cell>
          <cell r="Y425" t="str">
            <v>Re-size</v>
          </cell>
          <cell r="Z425" t="str">
            <v>Re-size</v>
          </cell>
          <cell r="AA425" t="str">
            <v>Re-size</v>
          </cell>
          <cell r="AB425" t="str">
            <v>Re-size</v>
          </cell>
          <cell r="AC425" t="str">
            <v>Re-size</v>
          </cell>
          <cell r="AD425" t="str">
            <v>Re-size</v>
          </cell>
          <cell r="AE425" t="str">
            <v>Re-size</v>
          </cell>
        </row>
        <row r="426">
          <cell r="B426">
            <v>4.17</v>
          </cell>
          <cell r="C426" t="str">
            <v>Re-size</v>
          </cell>
          <cell r="D426" t="str">
            <v>Re-size</v>
          </cell>
          <cell r="E426" t="str">
            <v>Re-size</v>
          </cell>
          <cell r="F426" t="str">
            <v>Re-size</v>
          </cell>
          <cell r="G426" t="str">
            <v>Re-size</v>
          </cell>
          <cell r="H426" t="str">
            <v>Re-size</v>
          </cell>
          <cell r="I426" t="str">
            <v>Re-size</v>
          </cell>
          <cell r="J426" t="str">
            <v>Re-size</v>
          </cell>
          <cell r="K426" t="str">
            <v>Re-size</v>
          </cell>
          <cell r="L426" t="str">
            <v>Re-size</v>
          </cell>
          <cell r="M426">
            <v>15.299999999999999</v>
          </cell>
          <cell r="N426">
            <v>11.04</v>
          </cell>
          <cell r="O426">
            <v>6.48</v>
          </cell>
          <cell r="P426">
            <v>4.88</v>
          </cell>
          <cell r="Q426">
            <v>4.6499999999999995</v>
          </cell>
          <cell r="R426">
            <v>2.75</v>
          </cell>
          <cell r="S426">
            <v>2.12</v>
          </cell>
          <cell r="T426">
            <v>1.92</v>
          </cell>
          <cell r="U426">
            <v>1.1499999999999999</v>
          </cell>
          <cell r="V426">
            <v>0.88</v>
          </cell>
          <cell r="X426" t="str">
            <v>Re-size</v>
          </cell>
          <cell r="Y426" t="str">
            <v>Re-size</v>
          </cell>
          <cell r="Z426" t="str">
            <v>Re-size</v>
          </cell>
          <cell r="AA426" t="str">
            <v>Re-size</v>
          </cell>
          <cell r="AB426" t="str">
            <v>Re-size</v>
          </cell>
          <cell r="AC426" t="str">
            <v>Re-size</v>
          </cell>
          <cell r="AD426" t="str">
            <v>Re-size</v>
          </cell>
          <cell r="AE426" t="str">
            <v>Re-size</v>
          </cell>
        </row>
        <row r="427">
          <cell r="B427">
            <v>4.18</v>
          </cell>
          <cell r="C427" t="str">
            <v>Re-size</v>
          </cell>
          <cell r="D427" t="str">
            <v>Re-size</v>
          </cell>
          <cell r="E427" t="str">
            <v>Re-size</v>
          </cell>
          <cell r="F427" t="str">
            <v>Re-size</v>
          </cell>
          <cell r="G427" t="str">
            <v>Re-size</v>
          </cell>
          <cell r="H427" t="str">
            <v>Re-size</v>
          </cell>
          <cell r="I427" t="str">
            <v>Re-size</v>
          </cell>
          <cell r="J427" t="str">
            <v>Re-size</v>
          </cell>
          <cell r="K427" t="str">
            <v>Re-size</v>
          </cell>
          <cell r="L427" t="str">
            <v>Re-size</v>
          </cell>
          <cell r="M427">
            <v>15.37</v>
          </cell>
          <cell r="N427">
            <v>11.08</v>
          </cell>
          <cell r="O427">
            <v>6.51</v>
          </cell>
          <cell r="P427">
            <v>4.9000000000000004</v>
          </cell>
          <cell r="Q427">
            <v>4.67</v>
          </cell>
          <cell r="R427">
            <v>2.7699999999999996</v>
          </cell>
          <cell r="S427">
            <v>2.13</v>
          </cell>
          <cell r="T427">
            <v>1.93</v>
          </cell>
          <cell r="U427">
            <v>1.1499999999999999</v>
          </cell>
          <cell r="V427">
            <v>0.89</v>
          </cell>
          <cell r="X427" t="str">
            <v>Re-size</v>
          </cell>
          <cell r="Y427" t="str">
            <v>Re-size</v>
          </cell>
          <cell r="Z427" t="str">
            <v>Re-size</v>
          </cell>
          <cell r="AA427" t="str">
            <v>Re-size</v>
          </cell>
          <cell r="AB427" t="str">
            <v>Re-size</v>
          </cell>
          <cell r="AC427" t="str">
            <v>Re-size</v>
          </cell>
          <cell r="AD427" t="str">
            <v>Re-size</v>
          </cell>
          <cell r="AE427" t="str">
            <v>Re-size</v>
          </cell>
        </row>
        <row r="428">
          <cell r="B428">
            <v>4.1900000000000004</v>
          </cell>
          <cell r="C428" t="str">
            <v>Re-size</v>
          </cell>
          <cell r="D428" t="str">
            <v>Re-size</v>
          </cell>
          <cell r="E428" t="str">
            <v>Re-size</v>
          </cell>
          <cell r="F428" t="str">
            <v>Re-size</v>
          </cell>
          <cell r="G428" t="str">
            <v>Re-size</v>
          </cell>
          <cell r="H428" t="str">
            <v>Re-size</v>
          </cell>
          <cell r="I428" t="str">
            <v>Re-size</v>
          </cell>
          <cell r="J428" t="str">
            <v>Re-size</v>
          </cell>
          <cell r="K428" t="str">
            <v>Re-size</v>
          </cell>
          <cell r="L428" t="str">
            <v>Re-size</v>
          </cell>
          <cell r="M428">
            <v>15.45</v>
          </cell>
          <cell r="N428">
            <v>11.12</v>
          </cell>
          <cell r="O428">
            <v>6.54</v>
          </cell>
          <cell r="P428">
            <v>4.92</v>
          </cell>
          <cell r="Q428">
            <v>4.6899999999999995</v>
          </cell>
          <cell r="R428">
            <v>2.78</v>
          </cell>
          <cell r="S428">
            <v>2.14</v>
          </cell>
          <cell r="T428">
            <v>1.94</v>
          </cell>
          <cell r="U428">
            <v>1.1599999999999999</v>
          </cell>
          <cell r="V428">
            <v>0.89</v>
          </cell>
          <cell r="X428" t="str">
            <v>Re-size</v>
          </cell>
          <cell r="Y428" t="str">
            <v>Re-size</v>
          </cell>
          <cell r="Z428" t="str">
            <v>Re-size</v>
          </cell>
          <cell r="AA428" t="str">
            <v>Re-size</v>
          </cell>
          <cell r="AB428" t="str">
            <v>Re-size</v>
          </cell>
          <cell r="AC428" t="str">
            <v>Re-size</v>
          </cell>
          <cell r="AD428" t="str">
            <v>Re-size</v>
          </cell>
          <cell r="AE428" t="str">
            <v>Re-size</v>
          </cell>
        </row>
        <row r="429">
          <cell r="B429">
            <v>4.2</v>
          </cell>
          <cell r="C429" t="str">
            <v>Re-size</v>
          </cell>
          <cell r="D429" t="str">
            <v>Re-size</v>
          </cell>
          <cell r="E429" t="str">
            <v>Re-size</v>
          </cell>
          <cell r="F429" t="str">
            <v>Re-size</v>
          </cell>
          <cell r="G429" t="str">
            <v>Re-size</v>
          </cell>
          <cell r="H429" t="str">
            <v>Re-size</v>
          </cell>
          <cell r="I429" t="str">
            <v>Re-size</v>
          </cell>
          <cell r="J429" t="str">
            <v>Re-size</v>
          </cell>
          <cell r="K429" t="str">
            <v>Re-size</v>
          </cell>
          <cell r="L429" t="str">
            <v>Re-size</v>
          </cell>
          <cell r="M429">
            <v>15.52</v>
          </cell>
          <cell r="N429">
            <v>11.16</v>
          </cell>
          <cell r="O429">
            <v>6.57</v>
          </cell>
          <cell r="P429">
            <v>4.9400000000000004</v>
          </cell>
          <cell r="Q429">
            <v>4.71</v>
          </cell>
          <cell r="R429">
            <v>2.79</v>
          </cell>
          <cell r="S429">
            <v>2.15</v>
          </cell>
          <cell r="T429">
            <v>1.94</v>
          </cell>
          <cell r="U429">
            <v>1.1599999999999999</v>
          </cell>
          <cell r="V429">
            <v>0.89</v>
          </cell>
          <cell r="X429" t="str">
            <v>Re-size</v>
          </cell>
          <cell r="Y429" t="str">
            <v>Re-size</v>
          </cell>
          <cell r="Z429" t="str">
            <v>Re-size</v>
          </cell>
          <cell r="AA429" t="str">
            <v>Re-size</v>
          </cell>
          <cell r="AB429" t="str">
            <v>Re-size</v>
          </cell>
          <cell r="AC429" t="str">
            <v>Re-size</v>
          </cell>
          <cell r="AD429" t="str">
            <v>Re-size</v>
          </cell>
          <cell r="AE429" t="str">
            <v>Re-size</v>
          </cell>
        </row>
        <row r="430">
          <cell r="B430">
            <v>4.21</v>
          </cell>
          <cell r="C430" t="str">
            <v>Re-size</v>
          </cell>
          <cell r="D430" t="str">
            <v>Re-size</v>
          </cell>
          <cell r="E430" t="str">
            <v>Re-size</v>
          </cell>
          <cell r="F430" t="str">
            <v>Re-size</v>
          </cell>
          <cell r="G430" t="str">
            <v>Re-size</v>
          </cell>
          <cell r="H430" t="str">
            <v>Re-size</v>
          </cell>
          <cell r="I430" t="str">
            <v>Re-size</v>
          </cell>
          <cell r="J430" t="str">
            <v>Re-size</v>
          </cell>
          <cell r="K430" t="str">
            <v>Re-size</v>
          </cell>
          <cell r="L430" t="str">
            <v>Re-size</v>
          </cell>
          <cell r="M430">
            <v>15.6</v>
          </cell>
          <cell r="N430">
            <v>11.22</v>
          </cell>
          <cell r="O430">
            <v>6.6</v>
          </cell>
          <cell r="P430">
            <v>4.97</v>
          </cell>
          <cell r="Q430">
            <v>4.7299999999999995</v>
          </cell>
          <cell r="R430">
            <v>2.8</v>
          </cell>
          <cell r="S430">
            <v>2.1599999999999997</v>
          </cell>
          <cell r="T430">
            <v>1.95</v>
          </cell>
          <cell r="U430">
            <v>1.17</v>
          </cell>
          <cell r="V430">
            <v>0.9</v>
          </cell>
          <cell r="X430" t="str">
            <v>Re-size</v>
          </cell>
          <cell r="Y430" t="str">
            <v>Re-size</v>
          </cell>
          <cell r="Z430" t="str">
            <v>Re-size</v>
          </cell>
          <cell r="AA430" t="str">
            <v>Re-size</v>
          </cell>
          <cell r="AB430" t="str">
            <v>Re-size</v>
          </cell>
          <cell r="AC430" t="str">
            <v>Re-size</v>
          </cell>
          <cell r="AD430" t="str">
            <v>Re-size</v>
          </cell>
          <cell r="AE430" t="str">
            <v>Re-size</v>
          </cell>
        </row>
        <row r="431">
          <cell r="B431">
            <v>4.22</v>
          </cell>
          <cell r="C431" t="str">
            <v>Re-size</v>
          </cell>
          <cell r="D431" t="str">
            <v>Re-size</v>
          </cell>
          <cell r="E431" t="str">
            <v>Re-size</v>
          </cell>
          <cell r="F431" t="str">
            <v>Re-size</v>
          </cell>
          <cell r="G431" t="str">
            <v>Re-size</v>
          </cell>
          <cell r="H431" t="str">
            <v>Re-size</v>
          </cell>
          <cell r="I431" t="str">
            <v>Re-size</v>
          </cell>
          <cell r="J431" t="str">
            <v>Re-size</v>
          </cell>
          <cell r="K431" t="str">
            <v>Re-size</v>
          </cell>
          <cell r="L431" t="str">
            <v>Re-size</v>
          </cell>
          <cell r="M431">
            <v>15.67</v>
          </cell>
          <cell r="N431">
            <v>11.27</v>
          </cell>
          <cell r="O431">
            <v>6.63</v>
          </cell>
          <cell r="P431">
            <v>4.99</v>
          </cell>
          <cell r="Q431">
            <v>4.75</v>
          </cell>
          <cell r="R431">
            <v>2.81</v>
          </cell>
          <cell r="S431">
            <v>2.17</v>
          </cell>
          <cell r="T431">
            <v>1.96</v>
          </cell>
          <cell r="U431">
            <v>1.17</v>
          </cell>
          <cell r="V431">
            <v>0.9</v>
          </cell>
          <cell r="X431" t="str">
            <v>Re-size</v>
          </cell>
          <cell r="Y431" t="str">
            <v>Re-size</v>
          </cell>
          <cell r="Z431" t="str">
            <v>Re-size</v>
          </cell>
          <cell r="AA431" t="str">
            <v>Re-size</v>
          </cell>
          <cell r="AB431" t="str">
            <v>Re-size</v>
          </cell>
          <cell r="AC431" t="str">
            <v>Re-size</v>
          </cell>
          <cell r="AD431" t="str">
            <v>Re-size</v>
          </cell>
          <cell r="AE431" t="str">
            <v>Re-size</v>
          </cell>
        </row>
        <row r="432">
          <cell r="B432">
            <v>4.2300000000000004</v>
          </cell>
          <cell r="C432" t="str">
            <v>Re-size</v>
          </cell>
          <cell r="D432" t="str">
            <v>Re-size</v>
          </cell>
          <cell r="E432" t="str">
            <v>Re-size</v>
          </cell>
          <cell r="F432" t="str">
            <v>Re-size</v>
          </cell>
          <cell r="G432" t="str">
            <v>Re-size</v>
          </cell>
          <cell r="H432" t="str">
            <v>Re-size</v>
          </cell>
          <cell r="I432" t="str">
            <v>Re-size</v>
          </cell>
          <cell r="J432" t="str">
            <v>Re-size</v>
          </cell>
          <cell r="K432" t="str">
            <v>Re-size</v>
          </cell>
          <cell r="L432" t="str">
            <v>Re-size</v>
          </cell>
          <cell r="M432">
            <v>15.74</v>
          </cell>
          <cell r="N432">
            <v>11.32</v>
          </cell>
          <cell r="O432">
            <v>6.6499999999999995</v>
          </cell>
          <cell r="P432">
            <v>5.01</v>
          </cell>
          <cell r="Q432">
            <v>4.76</v>
          </cell>
          <cell r="R432">
            <v>2.82</v>
          </cell>
          <cell r="S432">
            <v>2.1799999999999997</v>
          </cell>
          <cell r="T432">
            <v>1.97</v>
          </cell>
          <cell r="U432">
            <v>1.18</v>
          </cell>
          <cell r="V432">
            <v>0.91</v>
          </cell>
          <cell r="X432" t="str">
            <v>Re-size</v>
          </cell>
          <cell r="Y432" t="str">
            <v>Re-size</v>
          </cell>
          <cell r="Z432" t="str">
            <v>Re-size</v>
          </cell>
          <cell r="AA432" t="str">
            <v>Re-size</v>
          </cell>
          <cell r="AB432" t="str">
            <v>Re-size</v>
          </cell>
          <cell r="AC432" t="str">
            <v>Re-size</v>
          </cell>
          <cell r="AD432" t="str">
            <v>Re-size</v>
          </cell>
          <cell r="AE432" t="str">
            <v>Re-size</v>
          </cell>
        </row>
        <row r="433">
          <cell r="B433">
            <v>4.24</v>
          </cell>
          <cell r="C433" t="str">
            <v>Re-size</v>
          </cell>
          <cell r="D433" t="str">
            <v>Re-size</v>
          </cell>
          <cell r="E433" t="str">
            <v>Re-size</v>
          </cell>
          <cell r="F433" t="str">
            <v>Re-size</v>
          </cell>
          <cell r="G433" t="str">
            <v>Re-size</v>
          </cell>
          <cell r="H433" t="str">
            <v>Re-size</v>
          </cell>
          <cell r="I433" t="str">
            <v>Re-size</v>
          </cell>
          <cell r="J433" t="str">
            <v>Re-size</v>
          </cell>
          <cell r="K433" t="str">
            <v>Re-size</v>
          </cell>
          <cell r="L433" t="str">
            <v>Re-size</v>
          </cell>
          <cell r="M433">
            <v>15.81</v>
          </cell>
          <cell r="N433">
            <v>11.37</v>
          </cell>
          <cell r="O433">
            <v>6.68</v>
          </cell>
          <cell r="P433">
            <v>5.0299999999999994</v>
          </cell>
          <cell r="Q433">
            <v>4.7799999999999994</v>
          </cell>
          <cell r="R433">
            <v>2.83</v>
          </cell>
          <cell r="S433">
            <v>2.19</v>
          </cell>
          <cell r="T433">
            <v>1.98</v>
          </cell>
          <cell r="U433">
            <v>1.18</v>
          </cell>
          <cell r="V433">
            <v>0.91</v>
          </cell>
          <cell r="X433" t="str">
            <v>Re-size</v>
          </cell>
          <cell r="Y433" t="str">
            <v>Re-size</v>
          </cell>
          <cell r="Z433" t="str">
            <v>Re-size</v>
          </cell>
          <cell r="AA433" t="str">
            <v>Re-size</v>
          </cell>
          <cell r="AB433" t="str">
            <v>Re-size</v>
          </cell>
          <cell r="AC433" t="str">
            <v>Re-size</v>
          </cell>
          <cell r="AD433" t="str">
            <v>Re-size</v>
          </cell>
          <cell r="AE433" t="str">
            <v>Re-size</v>
          </cell>
        </row>
        <row r="434">
          <cell r="B434">
            <v>4.25</v>
          </cell>
          <cell r="C434" t="str">
            <v>Re-size</v>
          </cell>
          <cell r="D434" t="str">
            <v>Re-size</v>
          </cell>
          <cell r="E434" t="str">
            <v>Re-size</v>
          </cell>
          <cell r="F434" t="str">
            <v>Re-size</v>
          </cell>
          <cell r="G434" t="str">
            <v>Re-size</v>
          </cell>
          <cell r="H434" t="str">
            <v>Re-size</v>
          </cell>
          <cell r="I434" t="str">
            <v>Re-size</v>
          </cell>
          <cell r="J434" t="str">
            <v>Re-size</v>
          </cell>
          <cell r="K434" t="str">
            <v>Re-size</v>
          </cell>
          <cell r="L434" t="str">
            <v>Re-size</v>
          </cell>
          <cell r="M434">
            <v>15.85</v>
          </cell>
          <cell r="N434">
            <v>11.42</v>
          </cell>
          <cell r="O434">
            <v>6.7</v>
          </cell>
          <cell r="P434">
            <v>5.05</v>
          </cell>
          <cell r="Q434">
            <v>4.79</v>
          </cell>
          <cell r="R434">
            <v>2.84</v>
          </cell>
          <cell r="S434">
            <v>2.19</v>
          </cell>
          <cell r="T434">
            <v>1.9850000000000001</v>
          </cell>
          <cell r="U434">
            <v>1.1850000000000001</v>
          </cell>
          <cell r="V434">
            <v>0.91</v>
          </cell>
          <cell r="X434" t="str">
            <v>Re-size</v>
          </cell>
          <cell r="Y434" t="str">
            <v>Re-size</v>
          </cell>
          <cell r="Z434" t="str">
            <v>Re-size</v>
          </cell>
          <cell r="AA434" t="str">
            <v>Re-size</v>
          </cell>
          <cell r="AB434" t="str">
            <v>Re-size</v>
          </cell>
          <cell r="AC434" t="str">
            <v>Re-size</v>
          </cell>
          <cell r="AD434" t="str">
            <v>Re-size</v>
          </cell>
          <cell r="AE434" t="str">
            <v>Re-size</v>
          </cell>
        </row>
        <row r="435">
          <cell r="B435">
            <v>4.26</v>
          </cell>
          <cell r="C435" t="str">
            <v>Re-size</v>
          </cell>
          <cell r="D435" t="str">
            <v>Re-size</v>
          </cell>
          <cell r="E435" t="str">
            <v>Re-size</v>
          </cell>
          <cell r="F435" t="str">
            <v>Re-size</v>
          </cell>
          <cell r="G435" t="str">
            <v>Re-size</v>
          </cell>
          <cell r="H435" t="str">
            <v>Re-size</v>
          </cell>
          <cell r="I435" t="str">
            <v>Re-size</v>
          </cell>
          <cell r="J435" t="str">
            <v>Re-size</v>
          </cell>
          <cell r="K435" t="str">
            <v>Re-size</v>
          </cell>
          <cell r="L435" t="str">
            <v>Re-size</v>
          </cell>
          <cell r="M435">
            <v>15.88</v>
          </cell>
          <cell r="N435">
            <v>11.47</v>
          </cell>
          <cell r="O435">
            <v>6.73</v>
          </cell>
          <cell r="P435">
            <v>5.08</v>
          </cell>
          <cell r="Q435">
            <v>4.8199999999999994</v>
          </cell>
          <cell r="R435">
            <v>2.86</v>
          </cell>
          <cell r="S435">
            <v>2.21</v>
          </cell>
          <cell r="T435">
            <v>2</v>
          </cell>
          <cell r="U435">
            <v>1.19</v>
          </cell>
          <cell r="V435">
            <v>0.92</v>
          </cell>
          <cell r="X435" t="str">
            <v>Re-size</v>
          </cell>
          <cell r="Y435" t="str">
            <v>Re-size</v>
          </cell>
          <cell r="Z435" t="str">
            <v>Re-size</v>
          </cell>
          <cell r="AA435" t="str">
            <v>Re-size</v>
          </cell>
          <cell r="AB435" t="str">
            <v>Re-size</v>
          </cell>
          <cell r="AC435" t="str">
            <v>Re-size</v>
          </cell>
          <cell r="AD435" t="str">
            <v>Re-size</v>
          </cell>
          <cell r="AE435" t="str">
            <v>Re-size</v>
          </cell>
        </row>
        <row r="436">
          <cell r="B436">
            <v>4.2699999999999996</v>
          </cell>
          <cell r="C436" t="str">
            <v>Re-size</v>
          </cell>
          <cell r="D436" t="str">
            <v>Re-size</v>
          </cell>
          <cell r="E436" t="str">
            <v>Re-size</v>
          </cell>
          <cell r="F436" t="str">
            <v>Re-size</v>
          </cell>
          <cell r="G436" t="str">
            <v>Re-size</v>
          </cell>
          <cell r="H436" t="str">
            <v>Re-size</v>
          </cell>
          <cell r="I436" t="str">
            <v>Re-size</v>
          </cell>
          <cell r="J436" t="str">
            <v>Re-size</v>
          </cell>
          <cell r="K436" t="str">
            <v>Re-size</v>
          </cell>
          <cell r="L436" t="str">
            <v>Re-size</v>
          </cell>
          <cell r="M436">
            <v>15.959999999999999</v>
          </cell>
          <cell r="N436">
            <v>11.51</v>
          </cell>
          <cell r="O436">
            <v>6.76</v>
          </cell>
          <cell r="P436">
            <v>5.0999999999999996</v>
          </cell>
          <cell r="Q436">
            <v>4.84</v>
          </cell>
          <cell r="R436">
            <v>2.8699999999999997</v>
          </cell>
          <cell r="S436">
            <v>2.2199999999999998</v>
          </cell>
          <cell r="T436">
            <v>2.0099999999999998</v>
          </cell>
          <cell r="U436">
            <v>1.2</v>
          </cell>
          <cell r="V436">
            <v>0.92</v>
          </cell>
          <cell r="X436" t="str">
            <v>Re-size</v>
          </cell>
          <cell r="Y436" t="str">
            <v>Re-size</v>
          </cell>
          <cell r="Z436" t="str">
            <v>Re-size</v>
          </cell>
          <cell r="AA436" t="str">
            <v>Re-size</v>
          </cell>
          <cell r="AB436" t="str">
            <v>Re-size</v>
          </cell>
          <cell r="AC436" t="str">
            <v>Re-size</v>
          </cell>
          <cell r="AD436" t="str">
            <v>Re-size</v>
          </cell>
          <cell r="AE436" t="str">
            <v>Re-size</v>
          </cell>
        </row>
        <row r="437">
          <cell r="B437">
            <v>4.28</v>
          </cell>
          <cell r="C437" t="str">
            <v>Re-size</v>
          </cell>
          <cell r="D437" t="str">
            <v>Re-size</v>
          </cell>
          <cell r="E437" t="str">
            <v>Re-size</v>
          </cell>
          <cell r="F437" t="str">
            <v>Re-size</v>
          </cell>
          <cell r="G437" t="str">
            <v>Re-size</v>
          </cell>
          <cell r="H437" t="str">
            <v>Re-size</v>
          </cell>
          <cell r="I437" t="str">
            <v>Re-size</v>
          </cell>
          <cell r="J437" t="str">
            <v>Re-size</v>
          </cell>
          <cell r="K437" t="str">
            <v>Re-size</v>
          </cell>
          <cell r="L437" t="str">
            <v>Re-size</v>
          </cell>
          <cell r="M437">
            <v>16.03</v>
          </cell>
          <cell r="N437">
            <v>11.549999999999999</v>
          </cell>
          <cell r="O437">
            <v>6.79</v>
          </cell>
          <cell r="P437">
            <v>5.13</v>
          </cell>
          <cell r="Q437">
            <v>4.87</v>
          </cell>
          <cell r="R437">
            <v>2.8899999999999997</v>
          </cell>
          <cell r="S437">
            <v>2.23</v>
          </cell>
          <cell r="T437">
            <v>2.0199999999999996</v>
          </cell>
          <cell r="U437">
            <v>1.2</v>
          </cell>
          <cell r="V437">
            <v>0.93</v>
          </cell>
          <cell r="X437" t="str">
            <v>Re-size</v>
          </cell>
          <cell r="Y437" t="str">
            <v>Re-size</v>
          </cell>
          <cell r="Z437" t="str">
            <v>Re-size</v>
          </cell>
          <cell r="AA437" t="str">
            <v>Re-size</v>
          </cell>
          <cell r="AB437" t="str">
            <v>Re-size</v>
          </cell>
          <cell r="AC437" t="str">
            <v>Re-size</v>
          </cell>
          <cell r="AD437" t="str">
            <v>Re-size</v>
          </cell>
          <cell r="AE437" t="str">
            <v>Re-size</v>
          </cell>
        </row>
        <row r="438">
          <cell r="B438">
            <v>4.29</v>
          </cell>
          <cell r="C438" t="str">
            <v>Re-size</v>
          </cell>
          <cell r="D438" t="str">
            <v>Re-size</v>
          </cell>
          <cell r="E438" t="str">
            <v>Re-size</v>
          </cell>
          <cell r="F438" t="str">
            <v>Re-size</v>
          </cell>
          <cell r="G438" t="str">
            <v>Re-size</v>
          </cell>
          <cell r="H438" t="str">
            <v>Re-size</v>
          </cell>
          <cell r="I438" t="str">
            <v>Re-size</v>
          </cell>
          <cell r="J438" t="str">
            <v>Re-size</v>
          </cell>
          <cell r="K438" t="str">
            <v>Re-size</v>
          </cell>
          <cell r="L438" t="str">
            <v>Re-size</v>
          </cell>
          <cell r="M438">
            <v>16.110000000000003</v>
          </cell>
          <cell r="N438">
            <v>11.59</v>
          </cell>
          <cell r="O438">
            <v>6.82</v>
          </cell>
          <cell r="P438">
            <v>5.1499999999999995</v>
          </cell>
          <cell r="Q438">
            <v>4.8899999999999997</v>
          </cell>
          <cell r="R438">
            <v>2.9</v>
          </cell>
          <cell r="S438">
            <v>2.2399999999999998</v>
          </cell>
          <cell r="T438">
            <v>2.0299999999999998</v>
          </cell>
          <cell r="U438">
            <v>1.21</v>
          </cell>
          <cell r="V438">
            <v>0.93</v>
          </cell>
          <cell r="X438" t="str">
            <v>Re-size</v>
          </cell>
          <cell r="Y438" t="str">
            <v>Re-size</v>
          </cell>
          <cell r="Z438" t="str">
            <v>Re-size</v>
          </cell>
          <cell r="AA438" t="str">
            <v>Re-size</v>
          </cell>
          <cell r="AB438" t="str">
            <v>Re-size</v>
          </cell>
          <cell r="AC438" t="str">
            <v>Re-size</v>
          </cell>
          <cell r="AD438" t="str">
            <v>Re-size</v>
          </cell>
          <cell r="AE438" t="str">
            <v>Re-size</v>
          </cell>
        </row>
        <row r="439">
          <cell r="B439">
            <v>4.3</v>
          </cell>
          <cell r="C439" t="str">
            <v>Re-size</v>
          </cell>
          <cell r="D439" t="str">
            <v>Re-size</v>
          </cell>
          <cell r="E439" t="str">
            <v>Re-size</v>
          </cell>
          <cell r="F439" t="str">
            <v>Re-size</v>
          </cell>
          <cell r="G439" t="str">
            <v>Re-size</v>
          </cell>
          <cell r="H439" t="str">
            <v>Re-size</v>
          </cell>
          <cell r="I439" t="str">
            <v>Re-size</v>
          </cell>
          <cell r="J439" t="str">
            <v>Re-size</v>
          </cell>
          <cell r="K439" t="str">
            <v>Re-size</v>
          </cell>
          <cell r="L439" t="str">
            <v>Re-size</v>
          </cell>
          <cell r="M439">
            <v>16.18</v>
          </cell>
          <cell r="N439">
            <v>11.63</v>
          </cell>
          <cell r="O439">
            <v>6.85</v>
          </cell>
          <cell r="P439">
            <v>5.17</v>
          </cell>
          <cell r="Q439">
            <v>4.91</v>
          </cell>
          <cell r="R439">
            <v>2.91</v>
          </cell>
          <cell r="S439">
            <v>2.25</v>
          </cell>
          <cell r="T439">
            <v>2.0299999999999998</v>
          </cell>
          <cell r="U439">
            <v>1.21</v>
          </cell>
          <cell r="V439">
            <v>0.93</v>
          </cell>
          <cell r="X439" t="str">
            <v>Re-size</v>
          </cell>
          <cell r="Y439" t="str">
            <v>Re-size</v>
          </cell>
          <cell r="Z439" t="str">
            <v>Re-size</v>
          </cell>
          <cell r="AA439" t="str">
            <v>Re-size</v>
          </cell>
          <cell r="AB439" t="str">
            <v>Re-size</v>
          </cell>
          <cell r="AC439" t="str">
            <v>Re-size</v>
          </cell>
          <cell r="AD439" t="str">
            <v>Re-size</v>
          </cell>
          <cell r="AE439" t="str">
            <v>Re-size</v>
          </cell>
        </row>
        <row r="440">
          <cell r="B440">
            <v>4.3099999999999996</v>
          </cell>
          <cell r="C440" t="str">
            <v>Re-size</v>
          </cell>
          <cell r="D440" t="str">
            <v>Re-size</v>
          </cell>
          <cell r="E440" t="str">
            <v>Re-size</v>
          </cell>
          <cell r="F440" t="str">
            <v>Re-size</v>
          </cell>
          <cell r="G440" t="str">
            <v>Re-size</v>
          </cell>
          <cell r="H440" t="str">
            <v>Re-size</v>
          </cell>
          <cell r="I440" t="str">
            <v>Re-size</v>
          </cell>
          <cell r="J440" t="str">
            <v>Re-size</v>
          </cell>
          <cell r="K440" t="str">
            <v>Re-size</v>
          </cell>
          <cell r="L440" t="str">
            <v>Re-size</v>
          </cell>
          <cell r="M440">
            <v>16.260000000000002</v>
          </cell>
          <cell r="N440">
            <v>11.69</v>
          </cell>
          <cell r="O440">
            <v>6.89</v>
          </cell>
          <cell r="P440">
            <v>5.19</v>
          </cell>
          <cell r="Q440">
            <v>4.93</v>
          </cell>
          <cell r="R440">
            <v>2.9299999999999997</v>
          </cell>
          <cell r="S440">
            <v>2.2599999999999998</v>
          </cell>
          <cell r="T440">
            <v>2.0399999999999996</v>
          </cell>
          <cell r="U440">
            <v>1.22</v>
          </cell>
          <cell r="V440">
            <v>0.94000000000000006</v>
          </cell>
          <cell r="X440" t="str">
            <v>Re-size</v>
          </cell>
          <cell r="Y440" t="str">
            <v>Re-size</v>
          </cell>
          <cell r="Z440" t="str">
            <v>Re-size</v>
          </cell>
          <cell r="AA440" t="str">
            <v>Re-size</v>
          </cell>
          <cell r="AB440" t="str">
            <v>Re-size</v>
          </cell>
          <cell r="AC440" t="str">
            <v>Re-size</v>
          </cell>
          <cell r="AD440" t="str">
            <v>Re-size</v>
          </cell>
          <cell r="AE440" t="str">
            <v>Re-size</v>
          </cell>
        </row>
        <row r="441">
          <cell r="B441">
            <v>4.32</v>
          </cell>
          <cell r="C441" t="str">
            <v>Re-size</v>
          </cell>
          <cell r="D441" t="str">
            <v>Re-size</v>
          </cell>
          <cell r="E441" t="str">
            <v>Re-size</v>
          </cell>
          <cell r="F441" t="str">
            <v>Re-size</v>
          </cell>
          <cell r="G441" t="str">
            <v>Re-size</v>
          </cell>
          <cell r="H441" t="str">
            <v>Re-size</v>
          </cell>
          <cell r="I441" t="str">
            <v>Re-size</v>
          </cell>
          <cell r="J441" t="str">
            <v>Re-size</v>
          </cell>
          <cell r="K441" t="str">
            <v>Re-size</v>
          </cell>
          <cell r="L441" t="str">
            <v>Re-size</v>
          </cell>
          <cell r="M441">
            <v>16.329999999999998</v>
          </cell>
          <cell r="N441">
            <v>11.74</v>
          </cell>
          <cell r="O441">
            <v>6.92</v>
          </cell>
          <cell r="P441">
            <v>5.21</v>
          </cell>
          <cell r="Q441">
            <v>4.95</v>
          </cell>
          <cell r="R441">
            <v>2.94</v>
          </cell>
          <cell r="S441">
            <v>2.2699999999999996</v>
          </cell>
          <cell r="T441">
            <v>2.0499999999999998</v>
          </cell>
          <cell r="U441">
            <v>1.22</v>
          </cell>
          <cell r="V441">
            <v>0.94000000000000006</v>
          </cell>
          <cell r="X441" t="str">
            <v>Re-size</v>
          </cell>
          <cell r="Y441" t="str">
            <v>Re-size</v>
          </cell>
          <cell r="Z441" t="str">
            <v>Re-size</v>
          </cell>
          <cell r="AA441" t="str">
            <v>Re-size</v>
          </cell>
          <cell r="AB441" t="str">
            <v>Re-size</v>
          </cell>
          <cell r="AC441" t="str">
            <v>Re-size</v>
          </cell>
          <cell r="AD441" t="str">
            <v>Re-size</v>
          </cell>
          <cell r="AE441" t="str">
            <v>Re-size</v>
          </cell>
        </row>
        <row r="442">
          <cell r="B442">
            <v>4.33</v>
          </cell>
          <cell r="C442" t="str">
            <v>Re-size</v>
          </cell>
          <cell r="D442" t="str">
            <v>Re-size</v>
          </cell>
          <cell r="E442" t="str">
            <v>Re-size</v>
          </cell>
          <cell r="F442" t="str">
            <v>Re-size</v>
          </cell>
          <cell r="G442" t="str">
            <v>Re-size</v>
          </cell>
          <cell r="H442" t="str">
            <v>Re-size</v>
          </cell>
          <cell r="I442" t="str">
            <v>Re-size</v>
          </cell>
          <cell r="J442" t="str">
            <v>Re-size</v>
          </cell>
          <cell r="K442" t="str">
            <v>Re-size</v>
          </cell>
          <cell r="L442" t="str">
            <v>Re-size</v>
          </cell>
          <cell r="M442">
            <v>16.41</v>
          </cell>
          <cell r="N442">
            <v>11.799999999999999</v>
          </cell>
          <cell r="O442">
            <v>6.95</v>
          </cell>
          <cell r="P442">
            <v>5.23</v>
          </cell>
          <cell r="Q442">
            <v>4.97</v>
          </cell>
          <cell r="R442">
            <v>2.9499999999999997</v>
          </cell>
          <cell r="S442">
            <v>2.2799999999999998</v>
          </cell>
          <cell r="T442">
            <v>2.0599999999999996</v>
          </cell>
          <cell r="U442">
            <v>1.23</v>
          </cell>
          <cell r="V442">
            <v>0.95</v>
          </cell>
          <cell r="X442" t="str">
            <v>Re-size</v>
          </cell>
          <cell r="Y442" t="str">
            <v>Re-size</v>
          </cell>
          <cell r="Z442" t="str">
            <v>Re-size</v>
          </cell>
          <cell r="AA442" t="str">
            <v>Re-size</v>
          </cell>
          <cell r="AB442" t="str">
            <v>Re-size</v>
          </cell>
          <cell r="AC442" t="str">
            <v>Re-size</v>
          </cell>
          <cell r="AD442" t="str">
            <v>Re-size</v>
          </cell>
          <cell r="AE442" t="str">
            <v>Re-size</v>
          </cell>
        </row>
        <row r="443">
          <cell r="B443">
            <v>4.34</v>
          </cell>
          <cell r="C443" t="str">
            <v>Re-size</v>
          </cell>
          <cell r="D443" t="str">
            <v>Re-size</v>
          </cell>
          <cell r="E443" t="str">
            <v>Re-size</v>
          </cell>
          <cell r="F443" t="str">
            <v>Re-size</v>
          </cell>
          <cell r="G443" t="str">
            <v>Re-size</v>
          </cell>
          <cell r="H443" t="str">
            <v>Re-size</v>
          </cell>
          <cell r="I443" t="str">
            <v>Re-size</v>
          </cell>
          <cell r="J443" t="str">
            <v>Re-size</v>
          </cell>
          <cell r="K443" t="str">
            <v>Re-size</v>
          </cell>
          <cell r="L443" t="str">
            <v>Re-size</v>
          </cell>
          <cell r="M443">
            <v>16.48</v>
          </cell>
          <cell r="N443">
            <v>11.85</v>
          </cell>
          <cell r="O443">
            <v>6.9799999999999995</v>
          </cell>
          <cell r="P443">
            <v>5.25</v>
          </cell>
          <cell r="Q443">
            <v>4.99</v>
          </cell>
          <cell r="R443">
            <v>2.96</v>
          </cell>
          <cell r="S443">
            <v>2.2899999999999996</v>
          </cell>
          <cell r="T443">
            <v>2.0699999999999998</v>
          </cell>
          <cell r="U443">
            <v>1.23</v>
          </cell>
          <cell r="V443">
            <v>0.95</v>
          </cell>
          <cell r="X443" t="str">
            <v>Re-size</v>
          </cell>
          <cell r="Y443" t="str">
            <v>Re-size</v>
          </cell>
          <cell r="Z443" t="str">
            <v>Re-size</v>
          </cell>
          <cell r="AA443" t="str">
            <v>Re-size</v>
          </cell>
          <cell r="AB443" t="str">
            <v>Re-size</v>
          </cell>
          <cell r="AC443" t="str">
            <v>Re-size</v>
          </cell>
          <cell r="AD443" t="str">
            <v>Re-size</v>
          </cell>
          <cell r="AE443" t="str">
            <v>Re-size</v>
          </cell>
        </row>
        <row r="444">
          <cell r="B444">
            <v>4.3499999999999996</v>
          </cell>
          <cell r="C444" t="str">
            <v>Re-size</v>
          </cell>
          <cell r="D444" t="str">
            <v>Re-size</v>
          </cell>
          <cell r="E444" t="str">
            <v>Re-size</v>
          </cell>
          <cell r="F444" t="str">
            <v>Re-size</v>
          </cell>
          <cell r="G444" t="str">
            <v>Re-size</v>
          </cell>
          <cell r="H444" t="str">
            <v>Re-size</v>
          </cell>
          <cell r="I444" t="str">
            <v>Re-size</v>
          </cell>
          <cell r="J444" t="str">
            <v>Re-size</v>
          </cell>
          <cell r="K444" t="str">
            <v>Re-size</v>
          </cell>
          <cell r="L444" t="str">
            <v>Re-size</v>
          </cell>
          <cell r="M444">
            <v>16.560000000000002</v>
          </cell>
          <cell r="N444">
            <v>11.9</v>
          </cell>
          <cell r="O444">
            <v>7.01</v>
          </cell>
          <cell r="P444">
            <v>5.27</v>
          </cell>
          <cell r="Q444">
            <v>5</v>
          </cell>
          <cell r="R444">
            <v>2.97</v>
          </cell>
          <cell r="S444">
            <v>2.29</v>
          </cell>
          <cell r="T444">
            <v>2.0699999999999998</v>
          </cell>
          <cell r="U444">
            <v>1.2350000000000001</v>
          </cell>
          <cell r="V444">
            <v>0.95</v>
          </cell>
          <cell r="X444" t="str">
            <v>Re-size</v>
          </cell>
          <cell r="Y444" t="str">
            <v>Re-size</v>
          </cell>
          <cell r="Z444" t="str">
            <v>Re-size</v>
          </cell>
          <cell r="AA444" t="str">
            <v>Re-size</v>
          </cell>
          <cell r="AB444" t="str">
            <v>Re-size</v>
          </cell>
          <cell r="AC444" t="str">
            <v>Re-size</v>
          </cell>
          <cell r="AD444" t="str">
            <v>Re-size</v>
          </cell>
          <cell r="AE444" t="str">
            <v>Re-size</v>
          </cell>
        </row>
        <row r="445">
          <cell r="B445">
            <v>4.3600000000000003</v>
          </cell>
          <cell r="C445" t="str">
            <v>Re-size</v>
          </cell>
          <cell r="D445" t="str">
            <v>Re-size</v>
          </cell>
          <cell r="E445" t="str">
            <v>Re-size</v>
          </cell>
          <cell r="F445" t="str">
            <v>Re-size</v>
          </cell>
          <cell r="G445" t="str">
            <v>Re-size</v>
          </cell>
          <cell r="H445" t="str">
            <v>Re-size</v>
          </cell>
          <cell r="I445" t="str">
            <v>Re-size</v>
          </cell>
          <cell r="J445" t="str">
            <v>Re-size</v>
          </cell>
          <cell r="K445" t="str">
            <v>Re-size</v>
          </cell>
          <cell r="L445" t="str">
            <v>Re-size</v>
          </cell>
          <cell r="M445">
            <v>16.63</v>
          </cell>
          <cell r="N445">
            <v>11.959999999999999</v>
          </cell>
          <cell r="O445">
            <v>7.04</v>
          </cell>
          <cell r="P445">
            <v>5.3</v>
          </cell>
          <cell r="Q445">
            <v>5.0299999999999994</v>
          </cell>
          <cell r="R445">
            <v>2.9899999999999998</v>
          </cell>
          <cell r="S445">
            <v>2.2999999999999998</v>
          </cell>
          <cell r="T445">
            <v>2.0799999999999996</v>
          </cell>
          <cell r="U445">
            <v>1.24</v>
          </cell>
          <cell r="V445">
            <v>0.96</v>
          </cell>
          <cell r="X445" t="str">
            <v>Re-size</v>
          </cell>
          <cell r="Y445" t="str">
            <v>Re-size</v>
          </cell>
          <cell r="Z445" t="str">
            <v>Re-size</v>
          </cell>
          <cell r="AA445" t="str">
            <v>Re-size</v>
          </cell>
          <cell r="AB445" t="str">
            <v>Re-size</v>
          </cell>
          <cell r="AC445" t="str">
            <v>Re-size</v>
          </cell>
          <cell r="AD445" t="str">
            <v>Re-size</v>
          </cell>
          <cell r="AE445" t="str">
            <v>Re-size</v>
          </cell>
        </row>
        <row r="446">
          <cell r="B446">
            <v>4.37</v>
          </cell>
          <cell r="C446" t="str">
            <v>Re-size</v>
          </cell>
          <cell r="D446" t="str">
            <v>Re-size</v>
          </cell>
          <cell r="E446" t="str">
            <v>Re-size</v>
          </cell>
          <cell r="F446" t="str">
            <v>Re-size</v>
          </cell>
          <cell r="G446" t="str">
            <v>Re-size</v>
          </cell>
          <cell r="H446" t="str">
            <v>Re-size</v>
          </cell>
          <cell r="I446" t="str">
            <v>Re-size</v>
          </cell>
          <cell r="J446" t="str">
            <v>Re-size</v>
          </cell>
          <cell r="K446" t="str">
            <v>Re-size</v>
          </cell>
          <cell r="L446" t="str">
            <v>Re-size</v>
          </cell>
          <cell r="M446">
            <v>16.71</v>
          </cell>
          <cell r="N446">
            <v>12.02</v>
          </cell>
          <cell r="O446">
            <v>7.0699999999999994</v>
          </cell>
          <cell r="P446">
            <v>5.3199999999999994</v>
          </cell>
          <cell r="Q446">
            <v>5.05</v>
          </cell>
          <cell r="R446">
            <v>3</v>
          </cell>
          <cell r="S446">
            <v>2.31</v>
          </cell>
          <cell r="T446">
            <v>2.09</v>
          </cell>
          <cell r="U446">
            <v>1.25</v>
          </cell>
          <cell r="V446">
            <v>0.96</v>
          </cell>
          <cell r="X446" t="str">
            <v>Re-size</v>
          </cell>
          <cell r="Y446" t="str">
            <v>Re-size</v>
          </cell>
          <cell r="Z446" t="str">
            <v>Re-size</v>
          </cell>
          <cell r="AA446" t="str">
            <v>Re-size</v>
          </cell>
          <cell r="AB446" t="str">
            <v>Re-size</v>
          </cell>
          <cell r="AC446" t="str">
            <v>Re-size</v>
          </cell>
          <cell r="AD446" t="str">
            <v>Re-size</v>
          </cell>
          <cell r="AE446" t="str">
            <v>Re-size</v>
          </cell>
        </row>
        <row r="447">
          <cell r="B447">
            <v>4.38</v>
          </cell>
          <cell r="C447" t="str">
            <v>Re-size</v>
          </cell>
          <cell r="D447" t="str">
            <v>Re-size</v>
          </cell>
          <cell r="E447" t="str">
            <v>Re-size</v>
          </cell>
          <cell r="F447" t="str">
            <v>Re-size</v>
          </cell>
          <cell r="G447" t="str">
            <v>Re-size</v>
          </cell>
          <cell r="H447" t="str">
            <v>Re-size</v>
          </cell>
          <cell r="I447" t="str">
            <v>Re-size</v>
          </cell>
          <cell r="J447" t="str">
            <v>Re-size</v>
          </cell>
          <cell r="K447" t="str">
            <v>Re-size</v>
          </cell>
          <cell r="L447" t="str">
            <v>Re-size</v>
          </cell>
          <cell r="M447">
            <v>16.79</v>
          </cell>
          <cell r="N447">
            <v>12.07</v>
          </cell>
          <cell r="O447">
            <v>7.09</v>
          </cell>
          <cell r="P447">
            <v>5.35</v>
          </cell>
          <cell r="Q447">
            <v>5.0699999999999994</v>
          </cell>
          <cell r="R447">
            <v>3.01</v>
          </cell>
          <cell r="S447">
            <v>2.3199999999999998</v>
          </cell>
          <cell r="T447">
            <v>2.0999999999999996</v>
          </cell>
          <cell r="U447">
            <v>1.25</v>
          </cell>
          <cell r="V447">
            <v>0.97</v>
          </cell>
          <cell r="X447" t="str">
            <v>Re-size</v>
          </cell>
          <cell r="Y447" t="str">
            <v>Re-size</v>
          </cell>
          <cell r="Z447" t="str">
            <v>Re-size</v>
          </cell>
          <cell r="AA447" t="str">
            <v>Re-size</v>
          </cell>
          <cell r="AB447" t="str">
            <v>Re-size</v>
          </cell>
          <cell r="AC447" t="str">
            <v>Re-size</v>
          </cell>
          <cell r="AD447" t="str">
            <v>Re-size</v>
          </cell>
          <cell r="AE447" t="str">
            <v>Re-size</v>
          </cell>
        </row>
        <row r="448">
          <cell r="B448">
            <v>4.3899999999999997</v>
          </cell>
          <cell r="C448" t="str">
            <v>Re-size</v>
          </cell>
          <cell r="D448" t="str">
            <v>Re-size</v>
          </cell>
          <cell r="E448" t="str">
            <v>Re-size</v>
          </cell>
          <cell r="F448" t="str">
            <v>Re-size</v>
          </cell>
          <cell r="G448" t="str">
            <v>Re-size</v>
          </cell>
          <cell r="H448" t="str">
            <v>Re-size</v>
          </cell>
          <cell r="I448" t="str">
            <v>Re-size</v>
          </cell>
          <cell r="J448" t="str">
            <v>Re-size</v>
          </cell>
          <cell r="K448" t="str">
            <v>Re-size</v>
          </cell>
          <cell r="L448" t="str">
            <v>Re-size</v>
          </cell>
          <cell r="M448">
            <v>16.860000000000003</v>
          </cell>
          <cell r="N448">
            <v>12.129999999999999</v>
          </cell>
          <cell r="O448">
            <v>7.12</v>
          </cell>
          <cell r="P448">
            <v>5.37</v>
          </cell>
          <cell r="Q448">
            <v>5.09</v>
          </cell>
          <cell r="R448">
            <v>3.0199999999999996</v>
          </cell>
          <cell r="S448">
            <v>2.33</v>
          </cell>
          <cell r="T448">
            <v>2.11</v>
          </cell>
          <cell r="U448">
            <v>1.26</v>
          </cell>
          <cell r="V448">
            <v>0.97</v>
          </cell>
          <cell r="X448" t="str">
            <v>Re-size</v>
          </cell>
          <cell r="Y448" t="str">
            <v>Re-size</v>
          </cell>
          <cell r="Z448" t="str">
            <v>Re-size</v>
          </cell>
          <cell r="AA448" t="str">
            <v>Re-size</v>
          </cell>
          <cell r="AB448" t="str">
            <v>Re-size</v>
          </cell>
          <cell r="AC448" t="str">
            <v>Re-size</v>
          </cell>
          <cell r="AD448" t="str">
            <v>Re-size</v>
          </cell>
          <cell r="AE448" t="str">
            <v>Re-size</v>
          </cell>
        </row>
        <row r="449">
          <cell r="B449">
            <v>4.4000000000000004</v>
          </cell>
          <cell r="C449" t="str">
            <v>Re-size</v>
          </cell>
          <cell r="D449" t="str">
            <v>Re-size</v>
          </cell>
          <cell r="E449" t="str">
            <v>Re-size</v>
          </cell>
          <cell r="F449" t="str">
            <v>Re-size</v>
          </cell>
          <cell r="G449" t="str">
            <v>Re-size</v>
          </cell>
          <cell r="H449" t="str">
            <v>Re-size</v>
          </cell>
          <cell r="I449" t="str">
            <v>Re-size</v>
          </cell>
          <cell r="J449" t="str">
            <v>Re-size</v>
          </cell>
          <cell r="K449" t="str">
            <v>Re-size</v>
          </cell>
          <cell r="L449" t="str">
            <v>Re-size</v>
          </cell>
          <cell r="M449">
            <v>16.920000000000002</v>
          </cell>
          <cell r="N449">
            <v>12.18</v>
          </cell>
          <cell r="O449">
            <v>7.14</v>
          </cell>
          <cell r="P449">
            <v>5.39</v>
          </cell>
          <cell r="Q449">
            <v>5.1100000000000003</v>
          </cell>
          <cell r="R449">
            <v>3.03</v>
          </cell>
          <cell r="S449">
            <v>2.34</v>
          </cell>
          <cell r="T449">
            <v>2.11</v>
          </cell>
          <cell r="U449">
            <v>1.26</v>
          </cell>
          <cell r="V449">
            <v>0.97</v>
          </cell>
          <cell r="X449" t="str">
            <v>Re-size</v>
          </cell>
          <cell r="Y449" t="str">
            <v>Re-size</v>
          </cell>
          <cell r="Z449" t="str">
            <v>Re-size</v>
          </cell>
          <cell r="AA449" t="str">
            <v>Re-size</v>
          </cell>
          <cell r="AB449" t="str">
            <v>Re-size</v>
          </cell>
          <cell r="AC449" t="str">
            <v>Re-size</v>
          </cell>
          <cell r="AD449" t="str">
            <v>Re-size</v>
          </cell>
          <cell r="AE449" t="str">
            <v>Re-size</v>
          </cell>
        </row>
        <row r="450">
          <cell r="B450">
            <v>4.41</v>
          </cell>
          <cell r="C450" t="str">
            <v>Re-size</v>
          </cell>
          <cell r="D450" t="str">
            <v>Re-size</v>
          </cell>
          <cell r="E450" t="str">
            <v>Re-size</v>
          </cell>
          <cell r="F450" t="str">
            <v>Re-size</v>
          </cell>
          <cell r="G450" t="str">
            <v>Re-size</v>
          </cell>
          <cell r="H450" t="str">
            <v>Re-size</v>
          </cell>
          <cell r="I450" t="str">
            <v>Re-size</v>
          </cell>
          <cell r="J450" t="str">
            <v>Re-size</v>
          </cell>
          <cell r="K450" t="str">
            <v>Re-size</v>
          </cell>
          <cell r="L450" t="str">
            <v>Re-size</v>
          </cell>
          <cell r="M450">
            <v>16.989999999999998</v>
          </cell>
          <cell r="N450">
            <v>12.23</v>
          </cell>
          <cell r="O450">
            <v>7.18</v>
          </cell>
          <cell r="P450">
            <v>5.41</v>
          </cell>
          <cell r="Q450">
            <v>5.14</v>
          </cell>
          <cell r="R450">
            <v>3.05</v>
          </cell>
          <cell r="S450">
            <v>2.3499999999999996</v>
          </cell>
          <cell r="T450">
            <v>2.12</v>
          </cell>
          <cell r="U450">
            <v>1.27</v>
          </cell>
          <cell r="V450">
            <v>0.98</v>
          </cell>
          <cell r="X450" t="str">
            <v>Re-size</v>
          </cell>
          <cell r="Y450" t="str">
            <v>Re-size</v>
          </cell>
          <cell r="Z450" t="str">
            <v>Re-size</v>
          </cell>
          <cell r="AA450" t="str">
            <v>Re-size</v>
          </cell>
          <cell r="AB450" t="str">
            <v>Re-size</v>
          </cell>
          <cell r="AC450" t="str">
            <v>Re-size</v>
          </cell>
          <cell r="AD450" t="str">
            <v>Re-size</v>
          </cell>
          <cell r="AE450" t="str">
            <v>Re-size</v>
          </cell>
        </row>
        <row r="451">
          <cell r="B451">
            <v>4.42</v>
          </cell>
          <cell r="C451" t="str">
            <v>Re-size</v>
          </cell>
          <cell r="D451" t="str">
            <v>Re-size</v>
          </cell>
          <cell r="E451" t="str">
            <v>Re-size</v>
          </cell>
          <cell r="F451" t="str">
            <v>Re-size</v>
          </cell>
          <cell r="G451" t="str">
            <v>Re-size</v>
          </cell>
          <cell r="H451" t="str">
            <v>Re-size</v>
          </cell>
          <cell r="I451" t="str">
            <v>Re-size</v>
          </cell>
          <cell r="J451" t="str">
            <v>Re-size</v>
          </cell>
          <cell r="K451" t="str">
            <v>Re-size</v>
          </cell>
          <cell r="L451" t="str">
            <v>Re-size</v>
          </cell>
          <cell r="M451">
            <v>17.059999999999999</v>
          </cell>
          <cell r="N451">
            <v>12.27</v>
          </cell>
          <cell r="O451">
            <v>7.21</v>
          </cell>
          <cell r="P451">
            <v>5.43</v>
          </cell>
          <cell r="Q451">
            <v>5.16</v>
          </cell>
          <cell r="R451">
            <v>3.0599999999999996</v>
          </cell>
          <cell r="S451">
            <v>2.36</v>
          </cell>
          <cell r="T451">
            <v>2.13</v>
          </cell>
          <cell r="U451">
            <v>1.27</v>
          </cell>
          <cell r="V451">
            <v>0.98</v>
          </cell>
          <cell r="X451" t="str">
            <v>Re-size</v>
          </cell>
          <cell r="Y451" t="str">
            <v>Re-size</v>
          </cell>
          <cell r="Z451" t="str">
            <v>Re-size</v>
          </cell>
          <cell r="AA451" t="str">
            <v>Re-size</v>
          </cell>
          <cell r="AB451" t="str">
            <v>Re-size</v>
          </cell>
          <cell r="AC451" t="str">
            <v>Re-size</v>
          </cell>
          <cell r="AD451" t="str">
            <v>Re-size</v>
          </cell>
          <cell r="AE451" t="str">
            <v>Re-size</v>
          </cell>
        </row>
        <row r="452">
          <cell r="B452">
            <v>4.43</v>
          </cell>
          <cell r="C452" t="str">
            <v>Re-size</v>
          </cell>
          <cell r="D452" t="str">
            <v>Re-size</v>
          </cell>
          <cell r="E452" t="str">
            <v>Re-size</v>
          </cell>
          <cell r="F452" t="str">
            <v>Re-size</v>
          </cell>
          <cell r="G452" t="str">
            <v>Re-size</v>
          </cell>
          <cell r="H452" t="str">
            <v>Re-size</v>
          </cell>
          <cell r="I452" t="str">
            <v>Re-size</v>
          </cell>
          <cell r="J452" t="str">
            <v>Re-size</v>
          </cell>
          <cell r="K452" t="str">
            <v>Re-size</v>
          </cell>
          <cell r="L452" t="str">
            <v>Re-size</v>
          </cell>
          <cell r="M452">
            <v>17.13</v>
          </cell>
          <cell r="N452">
            <v>12.31</v>
          </cell>
          <cell r="O452">
            <v>7.24</v>
          </cell>
          <cell r="P452">
            <v>5.45</v>
          </cell>
          <cell r="Q452">
            <v>5.1899999999999995</v>
          </cell>
          <cell r="R452">
            <v>3.0799999999999996</v>
          </cell>
          <cell r="S452">
            <v>2.3699999999999997</v>
          </cell>
          <cell r="T452">
            <v>2.14</v>
          </cell>
          <cell r="U452">
            <v>1.28</v>
          </cell>
          <cell r="V452">
            <v>0.99</v>
          </cell>
          <cell r="X452" t="str">
            <v>Re-size</v>
          </cell>
          <cell r="Y452" t="str">
            <v>Re-size</v>
          </cell>
          <cell r="Z452" t="str">
            <v>Re-size</v>
          </cell>
          <cell r="AA452" t="str">
            <v>Re-size</v>
          </cell>
          <cell r="AB452" t="str">
            <v>Re-size</v>
          </cell>
          <cell r="AC452" t="str">
            <v>Re-size</v>
          </cell>
          <cell r="AD452" t="str">
            <v>Re-size</v>
          </cell>
          <cell r="AE452" t="str">
            <v>Re-size</v>
          </cell>
        </row>
        <row r="453">
          <cell r="B453">
            <v>4.4400000000000004</v>
          </cell>
          <cell r="C453" t="str">
            <v>Re-size</v>
          </cell>
          <cell r="D453" t="str">
            <v>Re-size</v>
          </cell>
          <cell r="E453" t="str">
            <v>Re-size</v>
          </cell>
          <cell r="F453" t="str">
            <v>Re-size</v>
          </cell>
          <cell r="G453" t="str">
            <v>Re-size</v>
          </cell>
          <cell r="H453" t="str">
            <v>Re-size</v>
          </cell>
          <cell r="I453" t="str">
            <v>Re-size</v>
          </cell>
          <cell r="J453" t="str">
            <v>Re-size</v>
          </cell>
          <cell r="K453" t="str">
            <v>Re-size</v>
          </cell>
          <cell r="L453" t="str">
            <v>Re-size</v>
          </cell>
          <cell r="M453">
            <v>17.2</v>
          </cell>
          <cell r="N453">
            <v>12.35</v>
          </cell>
          <cell r="O453">
            <v>7.27</v>
          </cell>
          <cell r="P453">
            <v>5.47</v>
          </cell>
          <cell r="Q453">
            <v>5.21</v>
          </cell>
          <cell r="R453">
            <v>3.09</v>
          </cell>
          <cell r="S453">
            <v>2.38</v>
          </cell>
          <cell r="T453">
            <v>2.15</v>
          </cell>
          <cell r="U453">
            <v>1.28</v>
          </cell>
          <cell r="V453">
            <v>0.99</v>
          </cell>
          <cell r="X453" t="str">
            <v>Re-size</v>
          </cell>
          <cell r="Y453" t="str">
            <v>Re-size</v>
          </cell>
          <cell r="Z453" t="str">
            <v>Re-size</v>
          </cell>
          <cell r="AA453" t="str">
            <v>Re-size</v>
          </cell>
          <cell r="AB453" t="str">
            <v>Re-size</v>
          </cell>
          <cell r="AC453" t="str">
            <v>Re-size</v>
          </cell>
          <cell r="AD453" t="str">
            <v>Re-size</v>
          </cell>
          <cell r="AE453" t="str">
            <v>Re-size</v>
          </cell>
        </row>
        <row r="454">
          <cell r="B454">
            <v>4.45</v>
          </cell>
          <cell r="C454" t="str">
            <v>Re-size</v>
          </cell>
          <cell r="D454" t="str">
            <v>Re-size</v>
          </cell>
          <cell r="E454" t="str">
            <v>Re-size</v>
          </cell>
          <cell r="F454" t="str">
            <v>Re-size</v>
          </cell>
          <cell r="G454" t="str">
            <v>Re-size</v>
          </cell>
          <cell r="H454" t="str">
            <v>Re-size</v>
          </cell>
          <cell r="I454" t="str">
            <v>Re-size</v>
          </cell>
          <cell r="J454" t="str">
            <v>Re-size</v>
          </cell>
          <cell r="K454" t="str">
            <v>Re-size</v>
          </cell>
          <cell r="L454" t="str">
            <v>Re-size</v>
          </cell>
          <cell r="M454">
            <v>17.28</v>
          </cell>
          <cell r="N454">
            <v>12.39</v>
          </cell>
          <cell r="O454">
            <v>7.3</v>
          </cell>
          <cell r="P454">
            <v>5.48</v>
          </cell>
          <cell r="Q454">
            <v>5.23</v>
          </cell>
          <cell r="R454">
            <v>3.1</v>
          </cell>
          <cell r="S454">
            <v>2.38</v>
          </cell>
          <cell r="T454">
            <v>2.16</v>
          </cell>
          <cell r="U454">
            <v>1.2849999999999999</v>
          </cell>
          <cell r="V454">
            <v>0.99</v>
          </cell>
          <cell r="X454" t="str">
            <v>Re-size</v>
          </cell>
          <cell r="Y454" t="str">
            <v>Re-size</v>
          </cell>
          <cell r="Z454" t="str">
            <v>Re-size</v>
          </cell>
          <cell r="AA454" t="str">
            <v>Re-size</v>
          </cell>
          <cell r="AB454" t="str">
            <v>Re-size</v>
          </cell>
          <cell r="AC454" t="str">
            <v>Re-size</v>
          </cell>
          <cell r="AD454" t="str">
            <v>Re-size</v>
          </cell>
          <cell r="AE454" t="str">
            <v>Re-size</v>
          </cell>
        </row>
        <row r="455">
          <cell r="B455">
            <v>4.46</v>
          </cell>
          <cell r="C455" t="str">
            <v>Re-size</v>
          </cell>
          <cell r="D455" t="str">
            <v>Re-size</v>
          </cell>
          <cell r="E455" t="str">
            <v>Re-size</v>
          </cell>
          <cell r="F455" t="str">
            <v>Re-size</v>
          </cell>
          <cell r="G455" t="str">
            <v>Re-size</v>
          </cell>
          <cell r="H455" t="str">
            <v>Re-size</v>
          </cell>
          <cell r="I455" t="str">
            <v>Re-size</v>
          </cell>
          <cell r="J455" t="str">
            <v>Re-size</v>
          </cell>
          <cell r="K455" t="str">
            <v>Re-size</v>
          </cell>
          <cell r="L455" t="str">
            <v>Re-size</v>
          </cell>
          <cell r="M455">
            <v>17.350000000000001</v>
          </cell>
          <cell r="N455">
            <v>12.45</v>
          </cell>
          <cell r="O455">
            <v>7.34</v>
          </cell>
          <cell r="P455">
            <v>5.51</v>
          </cell>
          <cell r="Q455">
            <v>5.25</v>
          </cell>
          <cell r="R455">
            <v>3.11</v>
          </cell>
          <cell r="S455">
            <v>2.4</v>
          </cell>
          <cell r="T455">
            <v>2.17</v>
          </cell>
          <cell r="U455">
            <v>1.29</v>
          </cell>
          <cell r="V455">
            <v>1</v>
          </cell>
          <cell r="X455" t="str">
            <v>Re-size</v>
          </cell>
          <cell r="Y455" t="str">
            <v>Re-size</v>
          </cell>
          <cell r="Z455" t="str">
            <v>Re-size</v>
          </cell>
          <cell r="AA455" t="str">
            <v>Re-size</v>
          </cell>
          <cell r="AB455" t="str">
            <v>Re-size</v>
          </cell>
          <cell r="AC455" t="str">
            <v>Re-size</v>
          </cell>
          <cell r="AD455" t="str">
            <v>Re-size</v>
          </cell>
          <cell r="AE455" t="str">
            <v>Re-size</v>
          </cell>
        </row>
        <row r="456">
          <cell r="B456">
            <v>4.47</v>
          </cell>
          <cell r="C456" t="str">
            <v>Re-size</v>
          </cell>
          <cell r="D456" t="str">
            <v>Re-size</v>
          </cell>
          <cell r="E456" t="str">
            <v>Re-size</v>
          </cell>
          <cell r="F456" t="str">
            <v>Re-size</v>
          </cell>
          <cell r="G456" t="str">
            <v>Re-size</v>
          </cell>
          <cell r="H456" t="str">
            <v>Re-size</v>
          </cell>
          <cell r="I456" t="str">
            <v>Re-size</v>
          </cell>
          <cell r="J456" t="str">
            <v>Re-size</v>
          </cell>
          <cell r="K456" t="str">
            <v>Re-size</v>
          </cell>
          <cell r="L456" t="str">
            <v>Re-size</v>
          </cell>
          <cell r="M456">
            <v>17.420000000000002</v>
          </cell>
          <cell r="N456">
            <v>12.51</v>
          </cell>
          <cell r="O456">
            <v>7.37</v>
          </cell>
          <cell r="P456">
            <v>5.54</v>
          </cell>
          <cell r="Q456">
            <v>5.27</v>
          </cell>
          <cell r="R456">
            <v>3.12</v>
          </cell>
          <cell r="S456">
            <v>2.4099999999999997</v>
          </cell>
          <cell r="T456">
            <v>2.1800000000000002</v>
          </cell>
          <cell r="U456">
            <v>1.3</v>
          </cell>
          <cell r="V456">
            <v>1</v>
          </cell>
          <cell r="X456" t="str">
            <v>Re-size</v>
          </cell>
          <cell r="Y456" t="str">
            <v>Re-size</v>
          </cell>
          <cell r="Z456" t="str">
            <v>Re-size</v>
          </cell>
          <cell r="AA456" t="str">
            <v>Re-size</v>
          </cell>
          <cell r="AB456" t="str">
            <v>Re-size</v>
          </cell>
          <cell r="AC456" t="str">
            <v>Re-size</v>
          </cell>
          <cell r="AD456" t="str">
            <v>Re-size</v>
          </cell>
          <cell r="AE456" t="str">
            <v>Re-size</v>
          </cell>
        </row>
        <row r="457">
          <cell r="B457">
            <v>4.4800000000000004</v>
          </cell>
          <cell r="C457" t="str">
            <v>Re-size</v>
          </cell>
          <cell r="D457" t="str">
            <v>Re-size</v>
          </cell>
          <cell r="E457" t="str">
            <v>Re-size</v>
          </cell>
          <cell r="F457" t="str">
            <v>Re-size</v>
          </cell>
          <cell r="G457" t="str">
            <v>Re-size</v>
          </cell>
          <cell r="H457" t="str">
            <v>Re-size</v>
          </cell>
          <cell r="I457" t="str">
            <v>Re-size</v>
          </cell>
          <cell r="J457" t="str">
            <v>Re-size</v>
          </cell>
          <cell r="K457" t="str">
            <v>Re-size</v>
          </cell>
          <cell r="L457" t="str">
            <v>Re-size</v>
          </cell>
          <cell r="M457">
            <v>17.489999999999998</v>
          </cell>
          <cell r="N457">
            <v>12.56</v>
          </cell>
          <cell r="O457">
            <v>7.41</v>
          </cell>
          <cell r="P457">
            <v>5.56</v>
          </cell>
          <cell r="Q457">
            <v>5.29</v>
          </cell>
          <cell r="R457">
            <v>3.13</v>
          </cell>
          <cell r="S457">
            <v>2.42</v>
          </cell>
          <cell r="T457">
            <v>2.19</v>
          </cell>
          <cell r="U457">
            <v>1.3</v>
          </cell>
          <cell r="V457">
            <v>1.01</v>
          </cell>
          <cell r="X457" t="str">
            <v>Re-size</v>
          </cell>
          <cell r="Y457" t="str">
            <v>Re-size</v>
          </cell>
          <cell r="Z457" t="str">
            <v>Re-size</v>
          </cell>
          <cell r="AA457" t="str">
            <v>Re-size</v>
          </cell>
          <cell r="AB457" t="str">
            <v>Re-size</v>
          </cell>
          <cell r="AC457" t="str">
            <v>Re-size</v>
          </cell>
          <cell r="AD457" t="str">
            <v>Re-size</v>
          </cell>
          <cell r="AE457" t="str">
            <v>Re-size</v>
          </cell>
        </row>
        <row r="458">
          <cell r="B458">
            <v>4.49</v>
          </cell>
          <cell r="C458" t="str">
            <v>Re-size</v>
          </cell>
          <cell r="D458" t="str">
            <v>Re-size</v>
          </cell>
          <cell r="E458" t="str">
            <v>Re-size</v>
          </cell>
          <cell r="F458" t="str">
            <v>Re-size</v>
          </cell>
          <cell r="G458" t="str">
            <v>Re-size</v>
          </cell>
          <cell r="H458" t="str">
            <v>Re-size</v>
          </cell>
          <cell r="I458" t="str">
            <v>Re-size</v>
          </cell>
          <cell r="J458" t="str">
            <v>Re-size</v>
          </cell>
          <cell r="K458" t="str">
            <v>Re-size</v>
          </cell>
          <cell r="L458" t="str">
            <v>Re-size</v>
          </cell>
          <cell r="M458" t="str">
            <v>Re-size</v>
          </cell>
          <cell r="N458">
            <v>12.62</v>
          </cell>
          <cell r="O458">
            <v>7.4399999999999995</v>
          </cell>
          <cell r="P458">
            <v>5.59</v>
          </cell>
          <cell r="Q458">
            <v>5.31</v>
          </cell>
          <cell r="R458">
            <v>3.14</v>
          </cell>
          <cell r="S458">
            <v>2.4299999999999997</v>
          </cell>
          <cell r="T458">
            <v>2.2000000000000002</v>
          </cell>
          <cell r="U458">
            <v>1.31</v>
          </cell>
          <cell r="V458">
            <v>1.01</v>
          </cell>
          <cell r="X458" t="str">
            <v>Re-size</v>
          </cell>
          <cell r="Y458" t="str">
            <v>Re-size</v>
          </cell>
          <cell r="Z458" t="str">
            <v>Re-size</v>
          </cell>
          <cell r="AA458" t="str">
            <v>Re-size</v>
          </cell>
          <cell r="AB458" t="str">
            <v>Re-size</v>
          </cell>
          <cell r="AC458" t="str">
            <v>Re-size</v>
          </cell>
          <cell r="AD458" t="str">
            <v>Re-size</v>
          </cell>
          <cell r="AE458" t="str">
            <v>Re-size</v>
          </cell>
        </row>
        <row r="459">
          <cell r="B459">
            <v>4.5</v>
          </cell>
          <cell r="C459" t="str">
            <v>Re-size</v>
          </cell>
          <cell r="D459" t="str">
            <v>Re-size</v>
          </cell>
          <cell r="E459" t="str">
            <v>Re-size</v>
          </cell>
          <cell r="F459" t="str">
            <v>Re-size</v>
          </cell>
          <cell r="G459" t="str">
            <v>Re-size</v>
          </cell>
          <cell r="H459" t="str">
            <v>Re-size</v>
          </cell>
          <cell r="I459" t="str">
            <v>Re-size</v>
          </cell>
          <cell r="J459" t="str">
            <v>Re-size</v>
          </cell>
          <cell r="K459" t="str">
            <v>Re-size</v>
          </cell>
          <cell r="L459" t="str">
            <v>Re-size</v>
          </cell>
          <cell r="M459" t="str">
            <v>Re-size</v>
          </cell>
          <cell r="N459">
            <v>12.67</v>
          </cell>
          <cell r="O459">
            <v>7.47</v>
          </cell>
          <cell r="P459">
            <v>5.61</v>
          </cell>
          <cell r="Q459">
            <v>5.32</v>
          </cell>
          <cell r="R459">
            <v>3.15</v>
          </cell>
          <cell r="S459">
            <v>2.44</v>
          </cell>
          <cell r="T459">
            <v>2.21</v>
          </cell>
          <cell r="U459">
            <v>1.31</v>
          </cell>
          <cell r="V459">
            <v>1.01</v>
          </cell>
          <cell r="X459" t="str">
            <v>Re-size</v>
          </cell>
          <cell r="Y459" t="str">
            <v>Re-size</v>
          </cell>
          <cell r="Z459" t="str">
            <v>Re-size</v>
          </cell>
          <cell r="AA459" t="str">
            <v>Re-size</v>
          </cell>
          <cell r="AB459" t="str">
            <v>Re-size</v>
          </cell>
          <cell r="AC459" t="str">
            <v>Re-size</v>
          </cell>
          <cell r="AD459" t="str">
            <v>Re-size</v>
          </cell>
          <cell r="AE459" t="str">
            <v>Re-size</v>
          </cell>
        </row>
        <row r="460">
          <cell r="B460">
            <v>4.51</v>
          </cell>
          <cell r="C460" t="str">
            <v>Re-size</v>
          </cell>
          <cell r="D460" t="str">
            <v>Re-size</v>
          </cell>
          <cell r="E460" t="str">
            <v>Re-size</v>
          </cell>
          <cell r="F460" t="str">
            <v>Re-size</v>
          </cell>
          <cell r="G460" t="str">
            <v>Re-size</v>
          </cell>
          <cell r="H460" t="str">
            <v>Re-size</v>
          </cell>
          <cell r="I460" t="str">
            <v>Re-size</v>
          </cell>
          <cell r="J460" t="str">
            <v>Re-size</v>
          </cell>
          <cell r="K460" t="str">
            <v>Re-size</v>
          </cell>
          <cell r="L460" t="str">
            <v>Re-size</v>
          </cell>
          <cell r="M460" t="str">
            <v>Re-size</v>
          </cell>
          <cell r="N460">
            <v>12.73</v>
          </cell>
          <cell r="O460">
            <v>7.5</v>
          </cell>
          <cell r="P460">
            <v>5.64</v>
          </cell>
          <cell r="Q460">
            <v>5.35</v>
          </cell>
          <cell r="R460">
            <v>3.17</v>
          </cell>
          <cell r="S460">
            <v>2.4500000000000002</v>
          </cell>
          <cell r="T460">
            <v>2.2199999999999998</v>
          </cell>
          <cell r="U460">
            <v>1.32</v>
          </cell>
          <cell r="V460">
            <v>1.02</v>
          </cell>
          <cell r="X460" t="str">
            <v>Re-size</v>
          </cell>
          <cell r="Y460" t="str">
            <v>Re-size</v>
          </cell>
          <cell r="Z460" t="str">
            <v>Re-size</v>
          </cell>
          <cell r="AA460" t="str">
            <v>Re-size</v>
          </cell>
          <cell r="AB460" t="str">
            <v>Re-size</v>
          </cell>
          <cell r="AC460" t="str">
            <v>Re-size</v>
          </cell>
          <cell r="AD460" t="str">
            <v>Re-size</v>
          </cell>
          <cell r="AE460" t="str">
            <v>Re-size</v>
          </cell>
        </row>
        <row r="461">
          <cell r="B461">
            <v>4.5199999999999996</v>
          </cell>
          <cell r="C461" t="str">
            <v>Re-size</v>
          </cell>
          <cell r="D461" t="str">
            <v>Re-size</v>
          </cell>
          <cell r="E461" t="str">
            <v>Re-size</v>
          </cell>
          <cell r="F461" t="str">
            <v>Re-size</v>
          </cell>
          <cell r="G461" t="str">
            <v>Re-size</v>
          </cell>
          <cell r="H461" t="str">
            <v>Re-size</v>
          </cell>
          <cell r="I461" t="str">
            <v>Re-size</v>
          </cell>
          <cell r="J461" t="str">
            <v>Re-size</v>
          </cell>
          <cell r="K461" t="str">
            <v>Re-size</v>
          </cell>
          <cell r="L461" t="str">
            <v>Re-size</v>
          </cell>
          <cell r="M461" t="str">
            <v>Re-size</v>
          </cell>
          <cell r="N461">
            <v>12.79</v>
          </cell>
          <cell r="O461">
            <v>7.5299999999999994</v>
          </cell>
          <cell r="P461">
            <v>5.66</v>
          </cell>
          <cell r="Q461">
            <v>5.37</v>
          </cell>
          <cell r="R461">
            <v>3.1799999999999997</v>
          </cell>
          <cell r="S461">
            <v>2.46</v>
          </cell>
          <cell r="T461">
            <v>2.23</v>
          </cell>
          <cell r="U461">
            <v>1.32</v>
          </cell>
          <cell r="V461">
            <v>1.02</v>
          </cell>
          <cell r="X461" t="str">
            <v>Re-size</v>
          </cell>
          <cell r="Y461" t="str">
            <v>Re-size</v>
          </cell>
          <cell r="Z461" t="str">
            <v>Re-size</v>
          </cell>
          <cell r="AA461" t="str">
            <v>Re-size</v>
          </cell>
          <cell r="AB461" t="str">
            <v>Re-size</v>
          </cell>
          <cell r="AC461" t="str">
            <v>Re-size</v>
          </cell>
          <cell r="AD461" t="str">
            <v>Re-size</v>
          </cell>
          <cell r="AE461" t="str">
            <v>Re-size</v>
          </cell>
        </row>
        <row r="462">
          <cell r="B462">
            <v>4.53</v>
          </cell>
          <cell r="C462" t="str">
            <v>Re-size</v>
          </cell>
          <cell r="D462" t="str">
            <v>Re-size</v>
          </cell>
          <cell r="E462" t="str">
            <v>Re-size</v>
          </cell>
          <cell r="F462" t="str">
            <v>Re-size</v>
          </cell>
          <cell r="G462" t="str">
            <v>Re-size</v>
          </cell>
          <cell r="H462" t="str">
            <v>Re-size</v>
          </cell>
          <cell r="I462" t="str">
            <v>Re-size</v>
          </cell>
          <cell r="J462" t="str">
            <v>Re-size</v>
          </cell>
          <cell r="K462" t="str">
            <v>Re-size</v>
          </cell>
          <cell r="L462" t="str">
            <v>Re-size</v>
          </cell>
          <cell r="M462" t="str">
            <v>Re-size</v>
          </cell>
          <cell r="N462">
            <v>12.85</v>
          </cell>
          <cell r="O462">
            <v>7.55</v>
          </cell>
          <cell r="P462">
            <v>5.6899999999999995</v>
          </cell>
          <cell r="Q462">
            <v>5.3999999999999995</v>
          </cell>
          <cell r="R462">
            <v>3.1999999999999997</v>
          </cell>
          <cell r="S462">
            <v>2.4700000000000002</v>
          </cell>
          <cell r="T462">
            <v>2.2399999999999998</v>
          </cell>
          <cell r="U462">
            <v>1.33</v>
          </cell>
          <cell r="V462">
            <v>1.03</v>
          </cell>
          <cell r="X462" t="str">
            <v>Re-size</v>
          </cell>
          <cell r="Y462" t="str">
            <v>Re-size</v>
          </cell>
          <cell r="Z462" t="str">
            <v>Re-size</v>
          </cell>
          <cell r="AA462" t="str">
            <v>Re-size</v>
          </cell>
          <cell r="AB462" t="str">
            <v>Re-size</v>
          </cell>
          <cell r="AC462" t="str">
            <v>Re-size</v>
          </cell>
          <cell r="AD462" t="str">
            <v>Re-size</v>
          </cell>
          <cell r="AE462" t="str">
            <v>Re-size</v>
          </cell>
        </row>
        <row r="463">
          <cell r="B463">
            <v>4.54</v>
          </cell>
          <cell r="C463" t="str">
            <v>Re-size</v>
          </cell>
          <cell r="D463" t="str">
            <v>Re-size</v>
          </cell>
          <cell r="E463" t="str">
            <v>Re-size</v>
          </cell>
          <cell r="F463" t="str">
            <v>Re-size</v>
          </cell>
          <cell r="G463" t="str">
            <v>Re-size</v>
          </cell>
          <cell r="H463" t="str">
            <v>Re-size</v>
          </cell>
          <cell r="I463" t="str">
            <v>Re-size</v>
          </cell>
          <cell r="J463" t="str">
            <v>Re-size</v>
          </cell>
          <cell r="K463" t="str">
            <v>Re-size</v>
          </cell>
          <cell r="L463" t="str">
            <v>Re-size</v>
          </cell>
          <cell r="M463" t="str">
            <v>Re-size</v>
          </cell>
          <cell r="N463">
            <v>12.91</v>
          </cell>
          <cell r="O463">
            <v>7.58</v>
          </cell>
          <cell r="P463">
            <v>5.71</v>
          </cell>
          <cell r="Q463">
            <v>5.42</v>
          </cell>
          <cell r="R463">
            <v>3.21</v>
          </cell>
          <cell r="S463">
            <v>2.48</v>
          </cell>
          <cell r="T463">
            <v>2.25</v>
          </cell>
          <cell r="U463">
            <v>1.33</v>
          </cell>
          <cell r="V463">
            <v>1.03</v>
          </cell>
          <cell r="X463" t="str">
            <v>Re-size</v>
          </cell>
          <cell r="Y463" t="str">
            <v>Re-size</v>
          </cell>
          <cell r="Z463" t="str">
            <v>Re-size</v>
          </cell>
          <cell r="AA463" t="str">
            <v>Re-size</v>
          </cell>
          <cell r="AB463" t="str">
            <v>Re-size</v>
          </cell>
          <cell r="AC463" t="str">
            <v>Re-size</v>
          </cell>
          <cell r="AD463" t="str">
            <v>Re-size</v>
          </cell>
          <cell r="AE463" t="str">
            <v>Re-size</v>
          </cell>
        </row>
        <row r="464">
          <cell r="B464">
            <v>4.5500000000000096</v>
          </cell>
          <cell r="C464" t="str">
            <v>Re-size</v>
          </cell>
          <cell r="D464" t="str">
            <v>Re-size</v>
          </cell>
          <cell r="E464" t="str">
            <v>Re-size</v>
          </cell>
          <cell r="F464" t="str">
            <v>Re-size</v>
          </cell>
          <cell r="G464" t="str">
            <v>Re-size</v>
          </cell>
          <cell r="H464" t="str">
            <v>Re-size</v>
          </cell>
          <cell r="I464" t="str">
            <v>Re-size</v>
          </cell>
          <cell r="J464" t="str">
            <v>Re-size</v>
          </cell>
          <cell r="K464" t="str">
            <v>Re-size</v>
          </cell>
          <cell r="L464" t="str">
            <v>Re-size</v>
          </cell>
          <cell r="M464" t="str">
            <v>Re-size</v>
          </cell>
          <cell r="N464">
            <v>12.96</v>
          </cell>
          <cell r="O464">
            <v>7.6</v>
          </cell>
          <cell r="P464">
            <v>5.73</v>
          </cell>
          <cell r="Q464">
            <v>5.44</v>
          </cell>
          <cell r="R464">
            <v>3.22</v>
          </cell>
          <cell r="S464">
            <v>2.4900000000000002</v>
          </cell>
          <cell r="T464">
            <v>2.2549999999999999</v>
          </cell>
          <cell r="U464">
            <v>1.335</v>
          </cell>
          <cell r="V464">
            <v>1.03</v>
          </cell>
          <cell r="X464" t="str">
            <v>Re-size</v>
          </cell>
          <cell r="Y464" t="str">
            <v>Re-size</v>
          </cell>
          <cell r="Z464" t="str">
            <v>Re-size</v>
          </cell>
          <cell r="AA464" t="str">
            <v>Re-size</v>
          </cell>
          <cell r="AB464" t="str">
            <v>Re-size</v>
          </cell>
          <cell r="AC464" t="str">
            <v>Re-size</v>
          </cell>
          <cell r="AD464" t="str">
            <v>Re-size</v>
          </cell>
          <cell r="AE464" t="str">
            <v>Re-size</v>
          </cell>
        </row>
        <row r="465">
          <cell r="B465">
            <v>4.5600000000000103</v>
          </cell>
          <cell r="C465" t="str">
            <v>Re-size</v>
          </cell>
          <cell r="D465" t="str">
            <v>Re-size</v>
          </cell>
          <cell r="E465" t="str">
            <v>Re-size</v>
          </cell>
          <cell r="F465" t="str">
            <v>Re-size</v>
          </cell>
          <cell r="G465" t="str">
            <v>Re-size</v>
          </cell>
          <cell r="H465" t="str">
            <v>Re-size</v>
          </cell>
          <cell r="I465" t="str">
            <v>Re-size</v>
          </cell>
          <cell r="J465" t="str">
            <v>Re-size</v>
          </cell>
          <cell r="K465" t="str">
            <v>Re-size</v>
          </cell>
          <cell r="L465" t="str">
            <v>Re-size</v>
          </cell>
          <cell r="M465" t="str">
            <v>Re-size</v>
          </cell>
          <cell r="N465">
            <v>13.01</v>
          </cell>
          <cell r="O465">
            <v>7.64</v>
          </cell>
          <cell r="P465">
            <v>5.75</v>
          </cell>
          <cell r="Q465">
            <v>5.47</v>
          </cell>
          <cell r="R465">
            <v>3.2399999999999998</v>
          </cell>
          <cell r="S465">
            <v>2.5</v>
          </cell>
          <cell r="T465">
            <v>2.2699999999999996</v>
          </cell>
          <cell r="U465">
            <v>1.34</v>
          </cell>
          <cell r="V465">
            <v>1.04</v>
          </cell>
          <cell r="X465" t="str">
            <v>Re-size</v>
          </cell>
          <cell r="Y465" t="str">
            <v>Re-size</v>
          </cell>
          <cell r="Z465" t="str">
            <v>Re-size</v>
          </cell>
          <cell r="AA465" t="str">
            <v>Re-size</v>
          </cell>
          <cell r="AB465" t="str">
            <v>Re-size</v>
          </cell>
          <cell r="AC465" t="str">
            <v>Re-size</v>
          </cell>
          <cell r="AD465" t="str">
            <v>Re-size</v>
          </cell>
          <cell r="AE465" t="str">
            <v>Re-size</v>
          </cell>
        </row>
        <row r="466">
          <cell r="B466">
            <v>4.5700000000000101</v>
          </cell>
          <cell r="C466" t="str">
            <v>Re-size</v>
          </cell>
          <cell r="D466" t="str">
            <v>Re-size</v>
          </cell>
          <cell r="E466" t="str">
            <v>Re-size</v>
          </cell>
          <cell r="F466" t="str">
            <v>Re-size</v>
          </cell>
          <cell r="G466" t="str">
            <v>Re-size</v>
          </cell>
          <cell r="H466" t="str">
            <v>Re-size</v>
          </cell>
          <cell r="I466" t="str">
            <v>Re-size</v>
          </cell>
          <cell r="J466" t="str">
            <v>Re-size</v>
          </cell>
          <cell r="K466" t="str">
            <v>Re-size</v>
          </cell>
          <cell r="L466" t="str">
            <v>Re-size</v>
          </cell>
          <cell r="M466" t="str">
            <v>Re-size</v>
          </cell>
          <cell r="N466">
            <v>13.049999999999999</v>
          </cell>
          <cell r="O466">
            <v>7.67</v>
          </cell>
          <cell r="P466">
            <v>5.77</v>
          </cell>
          <cell r="Q466">
            <v>5.49</v>
          </cell>
          <cell r="R466">
            <v>3.25</v>
          </cell>
          <cell r="S466">
            <v>2.5099999999999998</v>
          </cell>
          <cell r="T466">
            <v>2.2799999999999998</v>
          </cell>
          <cell r="U466">
            <v>1.35</v>
          </cell>
          <cell r="V466">
            <v>1.04</v>
          </cell>
          <cell r="X466" t="str">
            <v>Re-size</v>
          </cell>
          <cell r="Y466" t="str">
            <v>Re-size</v>
          </cell>
          <cell r="Z466" t="str">
            <v>Re-size</v>
          </cell>
          <cell r="AA466" t="str">
            <v>Re-size</v>
          </cell>
          <cell r="AB466" t="str">
            <v>Re-size</v>
          </cell>
          <cell r="AC466" t="str">
            <v>Re-size</v>
          </cell>
          <cell r="AD466" t="str">
            <v>Re-size</v>
          </cell>
          <cell r="AE466" t="str">
            <v>Re-size</v>
          </cell>
        </row>
        <row r="467">
          <cell r="B467">
            <v>4.5800000000000098</v>
          </cell>
          <cell r="C467" t="str">
            <v>Re-size</v>
          </cell>
          <cell r="D467" t="str">
            <v>Re-size</v>
          </cell>
          <cell r="E467" t="str">
            <v>Re-size</v>
          </cell>
          <cell r="F467" t="str">
            <v>Re-size</v>
          </cell>
          <cell r="G467" t="str">
            <v>Re-size</v>
          </cell>
          <cell r="H467" t="str">
            <v>Re-size</v>
          </cell>
          <cell r="I467" t="str">
            <v>Re-size</v>
          </cell>
          <cell r="J467" t="str">
            <v>Re-size</v>
          </cell>
          <cell r="K467" t="str">
            <v>Re-size</v>
          </cell>
          <cell r="L467" t="str">
            <v>Re-size</v>
          </cell>
          <cell r="M467" t="str">
            <v>Re-size</v>
          </cell>
          <cell r="N467">
            <v>13.09</v>
          </cell>
          <cell r="O467">
            <v>7.7</v>
          </cell>
          <cell r="P467">
            <v>5.79</v>
          </cell>
          <cell r="Q467">
            <v>5.52</v>
          </cell>
          <cell r="R467">
            <v>3.2699999999999996</v>
          </cell>
          <cell r="S467">
            <v>2.5199999999999996</v>
          </cell>
          <cell r="T467">
            <v>2.2899999999999996</v>
          </cell>
          <cell r="U467">
            <v>1.35</v>
          </cell>
          <cell r="V467">
            <v>1.05</v>
          </cell>
          <cell r="X467" t="str">
            <v>Re-size</v>
          </cell>
          <cell r="Y467" t="str">
            <v>Re-size</v>
          </cell>
          <cell r="Z467" t="str">
            <v>Re-size</v>
          </cell>
          <cell r="AA467" t="str">
            <v>Re-size</v>
          </cell>
          <cell r="AB467" t="str">
            <v>Re-size</v>
          </cell>
          <cell r="AC467" t="str">
            <v>Re-size</v>
          </cell>
          <cell r="AD467" t="str">
            <v>Re-size</v>
          </cell>
          <cell r="AE467" t="str">
            <v>Re-size</v>
          </cell>
        </row>
        <row r="468">
          <cell r="B468">
            <v>4.5900000000000096</v>
          </cell>
          <cell r="C468" t="str">
            <v>Re-size</v>
          </cell>
          <cell r="D468" t="str">
            <v>Re-size</v>
          </cell>
          <cell r="E468" t="str">
            <v>Re-size</v>
          </cell>
          <cell r="F468" t="str">
            <v>Re-size</v>
          </cell>
          <cell r="G468" t="str">
            <v>Re-size</v>
          </cell>
          <cell r="H468" t="str">
            <v>Re-size</v>
          </cell>
          <cell r="I468" t="str">
            <v>Re-size</v>
          </cell>
          <cell r="J468" t="str">
            <v>Re-size</v>
          </cell>
          <cell r="K468" t="str">
            <v>Re-size</v>
          </cell>
          <cell r="L468" t="str">
            <v>Re-size</v>
          </cell>
          <cell r="M468" t="str">
            <v>Re-size</v>
          </cell>
          <cell r="N468">
            <v>13.129999999999999</v>
          </cell>
          <cell r="O468">
            <v>7.7299999999999995</v>
          </cell>
          <cell r="P468">
            <v>5.81</v>
          </cell>
          <cell r="Q468">
            <v>5.54</v>
          </cell>
          <cell r="R468">
            <v>3.28</v>
          </cell>
          <cell r="S468">
            <v>2.5299999999999998</v>
          </cell>
          <cell r="T468">
            <v>2.2999999999999998</v>
          </cell>
          <cell r="U468">
            <v>1.36</v>
          </cell>
          <cell r="V468">
            <v>1.05</v>
          </cell>
          <cell r="X468" t="str">
            <v>Re-size</v>
          </cell>
          <cell r="Y468" t="str">
            <v>Re-size</v>
          </cell>
          <cell r="Z468" t="str">
            <v>Re-size</v>
          </cell>
          <cell r="AA468" t="str">
            <v>Re-size</v>
          </cell>
          <cell r="AB468" t="str">
            <v>Re-size</v>
          </cell>
          <cell r="AC468" t="str">
            <v>Re-size</v>
          </cell>
          <cell r="AD468" t="str">
            <v>Re-size</v>
          </cell>
          <cell r="AE468" t="str">
            <v>Re-size</v>
          </cell>
        </row>
        <row r="469">
          <cell r="B469">
            <v>4.6000000000000103</v>
          </cell>
          <cell r="C469" t="str">
            <v>Re-size</v>
          </cell>
          <cell r="D469" t="str">
            <v>Re-size</v>
          </cell>
          <cell r="E469" t="str">
            <v>Re-size</v>
          </cell>
          <cell r="F469" t="str">
            <v>Re-size</v>
          </cell>
          <cell r="G469" t="str">
            <v>Re-size</v>
          </cell>
          <cell r="H469" t="str">
            <v>Re-size</v>
          </cell>
          <cell r="I469" t="str">
            <v>Re-size</v>
          </cell>
          <cell r="J469" t="str">
            <v>Re-size</v>
          </cell>
          <cell r="K469" t="str">
            <v>Re-size</v>
          </cell>
          <cell r="L469" t="str">
            <v>Re-size</v>
          </cell>
          <cell r="M469" t="str">
            <v>Re-size</v>
          </cell>
          <cell r="N469">
            <v>13.17</v>
          </cell>
          <cell r="O469">
            <v>7.76</v>
          </cell>
          <cell r="P469">
            <v>5.83</v>
          </cell>
          <cell r="Q469">
            <v>5.56</v>
          </cell>
          <cell r="R469">
            <v>3.29</v>
          </cell>
          <cell r="S469">
            <v>2.5299999999999998</v>
          </cell>
          <cell r="T469">
            <v>2.2999999999999998</v>
          </cell>
          <cell r="U469">
            <v>1.36</v>
          </cell>
          <cell r="V469">
            <v>1.05</v>
          </cell>
          <cell r="X469" t="str">
            <v>Re-size</v>
          </cell>
          <cell r="Y469" t="str">
            <v>Re-size</v>
          </cell>
          <cell r="Z469" t="str">
            <v>Re-size</v>
          </cell>
          <cell r="AA469" t="str">
            <v>Re-size</v>
          </cell>
          <cell r="AB469" t="str">
            <v>Re-size</v>
          </cell>
          <cell r="AC469" t="str">
            <v>Re-size</v>
          </cell>
          <cell r="AD469" t="str">
            <v>Re-size</v>
          </cell>
          <cell r="AE469" t="str">
            <v>Re-size</v>
          </cell>
        </row>
        <row r="470">
          <cell r="B470">
            <v>4.6100000000000101</v>
          </cell>
          <cell r="C470" t="str">
            <v>Re-size</v>
          </cell>
          <cell r="D470" t="str">
            <v>Re-size</v>
          </cell>
          <cell r="E470" t="str">
            <v>Re-size</v>
          </cell>
          <cell r="F470" t="str">
            <v>Re-size</v>
          </cell>
          <cell r="G470" t="str">
            <v>Re-size</v>
          </cell>
          <cell r="H470" t="str">
            <v>Re-size</v>
          </cell>
          <cell r="I470" t="str">
            <v>Re-size</v>
          </cell>
          <cell r="J470" t="str">
            <v>Re-size</v>
          </cell>
          <cell r="K470" t="str">
            <v>Re-size</v>
          </cell>
          <cell r="L470" t="str">
            <v>Re-size</v>
          </cell>
          <cell r="M470" t="str">
            <v>Re-size</v>
          </cell>
          <cell r="N470">
            <v>13.23</v>
          </cell>
          <cell r="O470">
            <v>7.79</v>
          </cell>
          <cell r="P470">
            <v>5.8599999999999994</v>
          </cell>
          <cell r="Q470">
            <v>5.58</v>
          </cell>
          <cell r="R470">
            <v>3.3099999999999996</v>
          </cell>
          <cell r="S470">
            <v>2.5499999999999998</v>
          </cell>
          <cell r="T470">
            <v>2.3099999999999996</v>
          </cell>
          <cell r="U470">
            <v>1.37</v>
          </cell>
          <cell r="V470">
            <v>1.06</v>
          </cell>
          <cell r="X470" t="str">
            <v>Re-size</v>
          </cell>
          <cell r="Y470" t="str">
            <v>Re-size</v>
          </cell>
          <cell r="Z470" t="str">
            <v>Re-size</v>
          </cell>
          <cell r="AA470" t="str">
            <v>Re-size</v>
          </cell>
          <cell r="AB470" t="str">
            <v>Re-size</v>
          </cell>
          <cell r="AC470" t="str">
            <v>Re-size</v>
          </cell>
          <cell r="AD470" t="str">
            <v>Re-size</v>
          </cell>
          <cell r="AE470" t="str">
            <v>Re-size</v>
          </cell>
        </row>
        <row r="471">
          <cell r="B471">
            <v>4.6200000000000099</v>
          </cell>
          <cell r="C471" t="str">
            <v>Re-size</v>
          </cell>
          <cell r="D471" t="str">
            <v>Re-size</v>
          </cell>
          <cell r="E471" t="str">
            <v>Re-size</v>
          </cell>
          <cell r="F471" t="str">
            <v>Re-size</v>
          </cell>
          <cell r="G471" t="str">
            <v>Re-size</v>
          </cell>
          <cell r="H471" t="str">
            <v>Re-size</v>
          </cell>
          <cell r="I471" t="str">
            <v>Re-size</v>
          </cell>
          <cell r="J471" t="str">
            <v>Re-size</v>
          </cell>
          <cell r="K471" t="str">
            <v>Re-size</v>
          </cell>
          <cell r="L471" t="str">
            <v>Re-size</v>
          </cell>
          <cell r="M471" t="str">
            <v>Re-size</v>
          </cell>
          <cell r="N471">
            <v>13.29</v>
          </cell>
          <cell r="O471">
            <v>7.8199999999999994</v>
          </cell>
          <cell r="P471">
            <v>5.89</v>
          </cell>
          <cell r="Q471">
            <v>5.6</v>
          </cell>
          <cell r="R471">
            <v>3.32</v>
          </cell>
          <cell r="S471">
            <v>2.5599999999999996</v>
          </cell>
          <cell r="T471">
            <v>2.3199999999999998</v>
          </cell>
          <cell r="U471">
            <v>1.37</v>
          </cell>
          <cell r="V471">
            <v>1.06</v>
          </cell>
          <cell r="X471" t="str">
            <v>Re-size</v>
          </cell>
          <cell r="Y471" t="str">
            <v>Re-size</v>
          </cell>
          <cell r="Z471" t="str">
            <v>Re-size</v>
          </cell>
          <cell r="AA471" t="str">
            <v>Re-size</v>
          </cell>
          <cell r="AB471" t="str">
            <v>Re-size</v>
          </cell>
          <cell r="AC471" t="str">
            <v>Re-size</v>
          </cell>
          <cell r="AD471" t="str">
            <v>Re-size</v>
          </cell>
          <cell r="AE471" t="str">
            <v>Re-size</v>
          </cell>
        </row>
        <row r="472">
          <cell r="B472">
            <v>4.6300000000000097</v>
          </cell>
          <cell r="C472" t="str">
            <v>Re-size</v>
          </cell>
          <cell r="D472" t="str">
            <v>Re-size</v>
          </cell>
          <cell r="E472" t="str">
            <v>Re-size</v>
          </cell>
          <cell r="F472" t="str">
            <v>Re-size</v>
          </cell>
          <cell r="G472" t="str">
            <v>Re-size</v>
          </cell>
          <cell r="H472" t="str">
            <v>Re-size</v>
          </cell>
          <cell r="I472" t="str">
            <v>Re-size</v>
          </cell>
          <cell r="J472" t="str">
            <v>Re-size</v>
          </cell>
          <cell r="K472" t="str">
            <v>Re-size</v>
          </cell>
          <cell r="L472" t="str">
            <v>Re-size</v>
          </cell>
          <cell r="M472" t="str">
            <v>Re-size</v>
          </cell>
          <cell r="N472">
            <v>13.35</v>
          </cell>
          <cell r="O472">
            <v>7.84</v>
          </cell>
          <cell r="P472">
            <v>5.91</v>
          </cell>
          <cell r="Q472">
            <v>5.62</v>
          </cell>
          <cell r="R472">
            <v>3.3299999999999996</v>
          </cell>
          <cell r="S472">
            <v>2.57</v>
          </cell>
          <cell r="T472">
            <v>2.3299999999999996</v>
          </cell>
          <cell r="U472">
            <v>1.3800000000000001</v>
          </cell>
          <cell r="V472">
            <v>1.07</v>
          </cell>
          <cell r="X472" t="str">
            <v>Re-size</v>
          </cell>
          <cell r="Y472" t="str">
            <v>Re-size</v>
          </cell>
          <cell r="Z472" t="str">
            <v>Re-size</v>
          </cell>
          <cell r="AA472" t="str">
            <v>Re-size</v>
          </cell>
          <cell r="AB472" t="str">
            <v>Re-size</v>
          </cell>
          <cell r="AC472" t="str">
            <v>Re-size</v>
          </cell>
          <cell r="AD472" t="str">
            <v>Re-size</v>
          </cell>
          <cell r="AE472" t="str">
            <v>Re-size</v>
          </cell>
        </row>
        <row r="473">
          <cell r="B473">
            <v>4.6400000000000103</v>
          </cell>
          <cell r="C473" t="str">
            <v>Re-size</v>
          </cell>
          <cell r="D473" t="str">
            <v>Re-size</v>
          </cell>
          <cell r="E473" t="str">
            <v>Re-size</v>
          </cell>
          <cell r="F473" t="str">
            <v>Re-size</v>
          </cell>
          <cell r="G473" t="str">
            <v>Re-size</v>
          </cell>
          <cell r="H473" t="str">
            <v>Re-size</v>
          </cell>
          <cell r="I473" t="str">
            <v>Re-size</v>
          </cell>
          <cell r="J473" t="str">
            <v>Re-size</v>
          </cell>
          <cell r="K473" t="str">
            <v>Re-size</v>
          </cell>
          <cell r="L473" t="str">
            <v>Re-size</v>
          </cell>
          <cell r="M473" t="str">
            <v>Re-size</v>
          </cell>
          <cell r="N473">
            <v>13.41</v>
          </cell>
          <cell r="O473">
            <v>7.87</v>
          </cell>
          <cell r="P473">
            <v>5.9399999999999995</v>
          </cell>
          <cell r="Q473">
            <v>5.64</v>
          </cell>
          <cell r="R473">
            <v>3.34</v>
          </cell>
          <cell r="S473">
            <v>2.5799999999999996</v>
          </cell>
          <cell r="T473">
            <v>2.34</v>
          </cell>
          <cell r="U473">
            <v>1.38</v>
          </cell>
          <cell r="V473">
            <v>1.07</v>
          </cell>
          <cell r="X473" t="str">
            <v>Re-size</v>
          </cell>
          <cell r="Y473" t="str">
            <v>Re-size</v>
          </cell>
          <cell r="Z473" t="str">
            <v>Re-size</v>
          </cell>
          <cell r="AA473" t="str">
            <v>Re-size</v>
          </cell>
          <cell r="AB473" t="str">
            <v>Re-size</v>
          </cell>
          <cell r="AC473" t="str">
            <v>Re-size</v>
          </cell>
          <cell r="AD473" t="str">
            <v>Re-size</v>
          </cell>
          <cell r="AE473" t="str">
            <v>Re-size</v>
          </cell>
        </row>
        <row r="474">
          <cell r="B474">
            <v>4.6500000000000101</v>
          </cell>
          <cell r="C474" t="str">
            <v>Re-size</v>
          </cell>
          <cell r="D474" t="str">
            <v>Re-size</v>
          </cell>
          <cell r="E474" t="str">
            <v>Re-size</v>
          </cell>
          <cell r="F474" t="str">
            <v>Re-size</v>
          </cell>
          <cell r="G474" t="str">
            <v>Re-size</v>
          </cell>
          <cell r="H474" t="str">
            <v>Re-size</v>
          </cell>
          <cell r="I474" t="str">
            <v>Re-size</v>
          </cell>
          <cell r="J474" t="str">
            <v>Re-size</v>
          </cell>
          <cell r="K474" t="str">
            <v>Re-size</v>
          </cell>
          <cell r="L474" t="str">
            <v>Re-size</v>
          </cell>
          <cell r="M474" t="str">
            <v>Re-size</v>
          </cell>
          <cell r="N474">
            <v>13.46</v>
          </cell>
          <cell r="O474">
            <v>7.89</v>
          </cell>
          <cell r="P474">
            <v>5.96</v>
          </cell>
          <cell r="Q474">
            <v>5.65</v>
          </cell>
          <cell r="R474">
            <v>3.35</v>
          </cell>
          <cell r="S474">
            <v>2.59</v>
          </cell>
          <cell r="T474">
            <v>2.34</v>
          </cell>
          <cell r="U474">
            <v>1.385</v>
          </cell>
          <cell r="V474">
            <v>1.07</v>
          </cell>
          <cell r="X474" t="str">
            <v>Re-size</v>
          </cell>
          <cell r="Y474" t="str">
            <v>Re-size</v>
          </cell>
          <cell r="Z474" t="str">
            <v>Re-size</v>
          </cell>
          <cell r="AA474" t="str">
            <v>Re-size</v>
          </cell>
          <cell r="AB474" t="str">
            <v>Re-size</v>
          </cell>
          <cell r="AC474" t="str">
            <v>Re-size</v>
          </cell>
          <cell r="AD474" t="str">
            <v>Re-size</v>
          </cell>
          <cell r="AE474" t="str">
            <v>Re-size</v>
          </cell>
        </row>
        <row r="475">
          <cell r="B475">
            <v>4.6600000000000099</v>
          </cell>
          <cell r="C475" t="str">
            <v>Re-size</v>
          </cell>
          <cell r="D475" t="str">
            <v>Re-size</v>
          </cell>
          <cell r="E475" t="str">
            <v>Re-size</v>
          </cell>
          <cell r="F475" t="str">
            <v>Re-size</v>
          </cell>
          <cell r="G475" t="str">
            <v>Re-size</v>
          </cell>
          <cell r="H475" t="str">
            <v>Re-size</v>
          </cell>
          <cell r="I475" t="str">
            <v>Re-size</v>
          </cell>
          <cell r="J475" t="str">
            <v>Re-size</v>
          </cell>
          <cell r="K475" t="str">
            <v>Re-size</v>
          </cell>
          <cell r="L475" t="str">
            <v>Re-size</v>
          </cell>
          <cell r="M475" t="str">
            <v>Re-size</v>
          </cell>
          <cell r="N475">
            <v>13.52</v>
          </cell>
          <cell r="O475">
            <v>7.93</v>
          </cell>
          <cell r="P475">
            <v>5.99</v>
          </cell>
          <cell r="Q475">
            <v>5.68</v>
          </cell>
          <cell r="R475">
            <v>3.3699999999999997</v>
          </cell>
          <cell r="S475">
            <v>2.5999999999999996</v>
          </cell>
          <cell r="T475">
            <v>2.3499999999999996</v>
          </cell>
          <cell r="U475">
            <v>1.39</v>
          </cell>
          <cell r="V475">
            <v>1.08</v>
          </cell>
          <cell r="X475" t="str">
            <v>Re-size</v>
          </cell>
          <cell r="Y475" t="str">
            <v>Re-size</v>
          </cell>
          <cell r="Z475" t="str">
            <v>Re-size</v>
          </cell>
          <cell r="AA475" t="str">
            <v>Re-size</v>
          </cell>
          <cell r="AB475" t="str">
            <v>Re-size</v>
          </cell>
          <cell r="AC475" t="str">
            <v>Re-size</v>
          </cell>
          <cell r="AD475" t="str">
            <v>Re-size</v>
          </cell>
          <cell r="AE475" t="str">
            <v>Re-size</v>
          </cell>
        </row>
        <row r="476">
          <cell r="B476">
            <v>4.6700000000000097</v>
          </cell>
          <cell r="C476" t="str">
            <v>Re-size</v>
          </cell>
          <cell r="D476" t="str">
            <v>Re-size</v>
          </cell>
          <cell r="E476" t="str">
            <v>Re-size</v>
          </cell>
          <cell r="F476" t="str">
            <v>Re-size</v>
          </cell>
          <cell r="G476" t="str">
            <v>Re-size</v>
          </cell>
          <cell r="H476" t="str">
            <v>Re-size</v>
          </cell>
          <cell r="I476" t="str">
            <v>Re-size</v>
          </cell>
          <cell r="J476" t="str">
            <v>Re-size</v>
          </cell>
          <cell r="K476" t="str">
            <v>Re-size</v>
          </cell>
          <cell r="L476" t="str">
            <v>Re-size</v>
          </cell>
          <cell r="M476" t="str">
            <v>Re-size</v>
          </cell>
          <cell r="N476">
            <v>13.58</v>
          </cell>
          <cell r="O476">
            <v>7.96</v>
          </cell>
          <cell r="P476">
            <v>6.02</v>
          </cell>
          <cell r="Q476">
            <v>5.7</v>
          </cell>
          <cell r="R476">
            <v>3.38</v>
          </cell>
          <cell r="S476">
            <v>2.61</v>
          </cell>
          <cell r="T476">
            <v>2.36</v>
          </cell>
          <cell r="U476">
            <v>1.4</v>
          </cell>
          <cell r="V476">
            <v>1.08</v>
          </cell>
          <cell r="X476" t="str">
            <v>Re-size</v>
          </cell>
          <cell r="Y476" t="str">
            <v>Re-size</v>
          </cell>
          <cell r="Z476" t="str">
            <v>Re-size</v>
          </cell>
          <cell r="AA476" t="str">
            <v>Re-size</v>
          </cell>
          <cell r="AB476" t="str">
            <v>Re-size</v>
          </cell>
          <cell r="AC476" t="str">
            <v>Re-size</v>
          </cell>
          <cell r="AD476" t="str">
            <v>Re-size</v>
          </cell>
          <cell r="AE476" t="str">
            <v>Re-size</v>
          </cell>
        </row>
        <row r="477">
          <cell r="B477">
            <v>4.6800000000000104</v>
          </cell>
          <cell r="C477" t="str">
            <v>Re-size</v>
          </cell>
          <cell r="D477" t="str">
            <v>Re-size</v>
          </cell>
          <cell r="E477" t="str">
            <v>Re-size</v>
          </cell>
          <cell r="F477" t="str">
            <v>Re-size</v>
          </cell>
          <cell r="G477" t="str">
            <v>Re-size</v>
          </cell>
          <cell r="H477" t="str">
            <v>Re-size</v>
          </cell>
          <cell r="I477" t="str">
            <v>Re-size</v>
          </cell>
          <cell r="J477" t="str">
            <v>Re-size</v>
          </cell>
          <cell r="K477" t="str">
            <v>Re-size</v>
          </cell>
          <cell r="L477" t="str">
            <v>Re-size</v>
          </cell>
          <cell r="M477" t="str">
            <v>Re-size</v>
          </cell>
          <cell r="N477">
            <v>13.64</v>
          </cell>
          <cell r="O477">
            <v>8</v>
          </cell>
          <cell r="P477">
            <v>6.04</v>
          </cell>
          <cell r="Q477">
            <v>5.7299999999999995</v>
          </cell>
          <cell r="R477">
            <v>3.4</v>
          </cell>
          <cell r="S477">
            <v>2.6199999999999997</v>
          </cell>
          <cell r="T477">
            <v>2.3699999999999997</v>
          </cell>
          <cell r="U477">
            <v>1.4</v>
          </cell>
          <cell r="V477">
            <v>1.0900000000000001</v>
          </cell>
          <cell r="X477" t="str">
            <v>Re-size</v>
          </cell>
          <cell r="Y477" t="str">
            <v>Re-size</v>
          </cell>
          <cell r="Z477" t="str">
            <v>Re-size</v>
          </cell>
          <cell r="AA477" t="str">
            <v>Re-size</v>
          </cell>
          <cell r="AB477" t="str">
            <v>Re-size</v>
          </cell>
          <cell r="AC477" t="str">
            <v>Re-size</v>
          </cell>
          <cell r="AD477" t="str">
            <v>Re-size</v>
          </cell>
          <cell r="AE477" t="str">
            <v>Re-size</v>
          </cell>
        </row>
        <row r="478">
          <cell r="B478">
            <v>4.6900000000000102</v>
          </cell>
          <cell r="C478" t="str">
            <v>Re-size</v>
          </cell>
          <cell r="D478" t="str">
            <v>Re-size</v>
          </cell>
          <cell r="E478" t="str">
            <v>Re-size</v>
          </cell>
          <cell r="F478" t="str">
            <v>Re-size</v>
          </cell>
          <cell r="G478" t="str">
            <v>Re-size</v>
          </cell>
          <cell r="H478" t="str">
            <v>Re-size</v>
          </cell>
          <cell r="I478" t="str">
            <v>Re-size</v>
          </cell>
          <cell r="J478" t="str">
            <v>Re-size</v>
          </cell>
          <cell r="K478" t="str">
            <v>Re-size</v>
          </cell>
          <cell r="L478" t="str">
            <v>Re-size</v>
          </cell>
          <cell r="M478" t="str">
            <v>Re-size</v>
          </cell>
          <cell r="N478">
            <v>13.7</v>
          </cell>
          <cell r="O478">
            <v>8.0299999999999994</v>
          </cell>
          <cell r="P478">
            <v>6.0699999999999994</v>
          </cell>
          <cell r="Q478">
            <v>5.75</v>
          </cell>
          <cell r="R478">
            <v>3.4099999999999997</v>
          </cell>
          <cell r="S478">
            <v>2.63</v>
          </cell>
          <cell r="T478">
            <v>2.38</v>
          </cell>
          <cell r="U478">
            <v>1.41</v>
          </cell>
          <cell r="V478">
            <v>1.0900000000000001</v>
          </cell>
          <cell r="X478" t="str">
            <v>Re-size</v>
          </cell>
          <cell r="Y478" t="str">
            <v>Re-size</v>
          </cell>
          <cell r="Z478" t="str">
            <v>Re-size</v>
          </cell>
          <cell r="AA478" t="str">
            <v>Re-size</v>
          </cell>
          <cell r="AB478" t="str">
            <v>Re-size</v>
          </cell>
          <cell r="AC478" t="str">
            <v>Re-size</v>
          </cell>
          <cell r="AD478" t="str">
            <v>Re-size</v>
          </cell>
          <cell r="AE478" t="str">
            <v>Re-size</v>
          </cell>
        </row>
        <row r="479">
          <cell r="B479">
            <v>4.7000000000000197</v>
          </cell>
          <cell r="C479" t="str">
            <v>Re-size</v>
          </cell>
          <cell r="D479" t="str">
            <v>Re-size</v>
          </cell>
          <cell r="E479" t="str">
            <v>Re-size</v>
          </cell>
          <cell r="F479" t="str">
            <v>Re-size</v>
          </cell>
          <cell r="G479" t="str">
            <v>Re-size</v>
          </cell>
          <cell r="H479" t="str">
            <v>Re-size</v>
          </cell>
          <cell r="I479" t="str">
            <v>Re-size</v>
          </cell>
          <cell r="J479" t="str">
            <v>Re-size</v>
          </cell>
          <cell r="K479" t="str">
            <v>Re-size</v>
          </cell>
          <cell r="L479" t="str">
            <v>Re-size</v>
          </cell>
          <cell r="M479" t="str">
            <v>Re-size</v>
          </cell>
          <cell r="N479">
            <v>13.75</v>
          </cell>
          <cell r="O479">
            <v>8.06</v>
          </cell>
          <cell r="P479">
            <v>6.09</v>
          </cell>
          <cell r="Q479">
            <v>5.77</v>
          </cell>
          <cell r="R479">
            <v>3.42</v>
          </cell>
          <cell r="S479">
            <v>2.63</v>
          </cell>
          <cell r="T479">
            <v>2.38</v>
          </cell>
          <cell r="U479">
            <v>1.41</v>
          </cell>
          <cell r="V479">
            <v>1.0900000000000001</v>
          </cell>
          <cell r="X479" t="str">
            <v>Re-size</v>
          </cell>
          <cell r="Y479" t="str">
            <v>Re-size</v>
          </cell>
          <cell r="Z479" t="str">
            <v>Re-size</v>
          </cell>
          <cell r="AA479" t="str">
            <v>Re-size</v>
          </cell>
          <cell r="AB479" t="str">
            <v>Re-size</v>
          </cell>
          <cell r="AC479" t="str">
            <v>Re-size</v>
          </cell>
          <cell r="AD479" t="str">
            <v>Re-size</v>
          </cell>
          <cell r="AE479" t="str">
            <v>Re-size</v>
          </cell>
        </row>
        <row r="480">
          <cell r="B480">
            <v>4.7100000000000204</v>
          </cell>
          <cell r="C480" t="str">
            <v>Re-size</v>
          </cell>
          <cell r="D480" t="str">
            <v>Re-size</v>
          </cell>
          <cell r="E480" t="str">
            <v>Re-size</v>
          </cell>
          <cell r="F480" t="str">
            <v>Re-size</v>
          </cell>
          <cell r="G480" t="str">
            <v>Re-size</v>
          </cell>
          <cell r="H480" t="str">
            <v>Re-size</v>
          </cell>
          <cell r="I480" t="str">
            <v>Re-size</v>
          </cell>
          <cell r="J480" t="str">
            <v>Re-size</v>
          </cell>
          <cell r="K480" t="str">
            <v>Re-size</v>
          </cell>
          <cell r="L480" t="str">
            <v>Re-size</v>
          </cell>
          <cell r="M480" t="str">
            <v>Re-size</v>
          </cell>
          <cell r="N480">
            <v>13.799999999999999</v>
          </cell>
          <cell r="O480">
            <v>8.1</v>
          </cell>
          <cell r="P480">
            <v>6.1099999999999994</v>
          </cell>
          <cell r="Q480">
            <v>5.79</v>
          </cell>
          <cell r="R480">
            <v>3.44</v>
          </cell>
          <cell r="S480">
            <v>2.65</v>
          </cell>
          <cell r="T480">
            <v>2.3899999999999997</v>
          </cell>
          <cell r="U480">
            <v>1.42</v>
          </cell>
          <cell r="V480">
            <v>1.1000000000000001</v>
          </cell>
          <cell r="X480" t="str">
            <v>Re-size</v>
          </cell>
          <cell r="Y480" t="str">
            <v>Re-size</v>
          </cell>
          <cell r="Z480" t="str">
            <v>Re-size</v>
          </cell>
          <cell r="AA480" t="str">
            <v>Re-size</v>
          </cell>
          <cell r="AB480" t="str">
            <v>Re-size</v>
          </cell>
          <cell r="AC480" t="str">
            <v>Re-size</v>
          </cell>
          <cell r="AD480" t="str">
            <v>Re-size</v>
          </cell>
          <cell r="AE480" t="str">
            <v>Re-size</v>
          </cell>
        </row>
        <row r="481">
          <cell r="B481">
            <v>4.7200000000000202</v>
          </cell>
          <cell r="C481" t="str">
            <v>Re-size</v>
          </cell>
          <cell r="D481" t="str">
            <v>Re-size</v>
          </cell>
          <cell r="E481" t="str">
            <v>Re-size</v>
          </cell>
          <cell r="F481" t="str">
            <v>Re-size</v>
          </cell>
          <cell r="G481" t="str">
            <v>Re-size</v>
          </cell>
          <cell r="H481" t="str">
            <v>Re-size</v>
          </cell>
          <cell r="I481" t="str">
            <v>Re-size</v>
          </cell>
          <cell r="J481" t="str">
            <v>Re-size</v>
          </cell>
          <cell r="K481" t="str">
            <v>Re-size</v>
          </cell>
          <cell r="L481" t="str">
            <v>Re-size</v>
          </cell>
          <cell r="M481" t="str">
            <v>Re-size</v>
          </cell>
          <cell r="N481">
            <v>13.84</v>
          </cell>
          <cell r="O481">
            <v>8.129999999999999</v>
          </cell>
          <cell r="P481">
            <v>6.13</v>
          </cell>
          <cell r="Q481">
            <v>5.81</v>
          </cell>
          <cell r="R481">
            <v>3.4499999999999997</v>
          </cell>
          <cell r="S481">
            <v>2.6599999999999997</v>
          </cell>
          <cell r="T481">
            <v>2.4</v>
          </cell>
          <cell r="U481">
            <v>1.43</v>
          </cell>
          <cell r="V481">
            <v>1.1000000000000001</v>
          </cell>
          <cell r="X481" t="str">
            <v>Re-size</v>
          </cell>
          <cell r="Y481" t="str">
            <v>Re-size</v>
          </cell>
          <cell r="Z481" t="str">
            <v>Re-size</v>
          </cell>
          <cell r="AA481" t="str">
            <v>Re-size</v>
          </cell>
          <cell r="AB481" t="str">
            <v>Re-size</v>
          </cell>
          <cell r="AC481" t="str">
            <v>Re-size</v>
          </cell>
          <cell r="AD481" t="str">
            <v>Re-size</v>
          </cell>
          <cell r="AE481" t="str">
            <v>Re-size</v>
          </cell>
        </row>
        <row r="482">
          <cell r="B482">
            <v>4.73000000000002</v>
          </cell>
          <cell r="C482" t="str">
            <v>Re-size</v>
          </cell>
          <cell r="D482" t="str">
            <v>Re-size</v>
          </cell>
          <cell r="E482" t="str">
            <v>Re-size</v>
          </cell>
          <cell r="F482" t="str">
            <v>Re-size</v>
          </cell>
          <cell r="G482" t="str">
            <v>Re-size</v>
          </cell>
          <cell r="H482" t="str">
            <v>Re-size</v>
          </cell>
          <cell r="I482" t="str">
            <v>Re-size</v>
          </cell>
          <cell r="J482" t="str">
            <v>Re-size</v>
          </cell>
          <cell r="K482" t="str">
            <v>Re-size</v>
          </cell>
          <cell r="L482" t="str">
            <v>Re-size</v>
          </cell>
          <cell r="M482" t="str">
            <v>Re-size</v>
          </cell>
          <cell r="N482">
            <v>13.89</v>
          </cell>
          <cell r="O482">
            <v>8.17</v>
          </cell>
          <cell r="P482">
            <v>6.1499999999999995</v>
          </cell>
          <cell r="Q482">
            <v>5.83</v>
          </cell>
          <cell r="R482">
            <v>3.46</v>
          </cell>
          <cell r="S482">
            <v>2.67</v>
          </cell>
          <cell r="T482">
            <v>2.4099999999999997</v>
          </cell>
          <cell r="U482">
            <v>1.43</v>
          </cell>
          <cell r="V482">
            <v>1.1100000000000001</v>
          </cell>
          <cell r="X482" t="str">
            <v>Re-size</v>
          </cell>
          <cell r="Y482" t="str">
            <v>Re-size</v>
          </cell>
          <cell r="Z482" t="str">
            <v>Re-size</v>
          </cell>
          <cell r="AA482" t="str">
            <v>Re-size</v>
          </cell>
          <cell r="AB482" t="str">
            <v>Re-size</v>
          </cell>
          <cell r="AC482" t="str">
            <v>Re-size</v>
          </cell>
          <cell r="AD482" t="str">
            <v>Re-size</v>
          </cell>
          <cell r="AE482" t="str">
            <v>Re-size</v>
          </cell>
        </row>
        <row r="483">
          <cell r="B483">
            <v>4.7400000000000198</v>
          </cell>
          <cell r="C483" t="str">
            <v>Re-size</v>
          </cell>
          <cell r="D483" t="str">
            <v>Re-size</v>
          </cell>
          <cell r="E483" t="str">
            <v>Re-size</v>
          </cell>
          <cell r="F483" t="str">
            <v>Re-size</v>
          </cell>
          <cell r="G483" t="str">
            <v>Re-size</v>
          </cell>
          <cell r="H483" t="str">
            <v>Re-size</v>
          </cell>
          <cell r="I483" t="str">
            <v>Re-size</v>
          </cell>
          <cell r="J483" t="str">
            <v>Re-size</v>
          </cell>
          <cell r="K483" t="str">
            <v>Re-size</v>
          </cell>
          <cell r="L483" t="str">
            <v>Re-size</v>
          </cell>
          <cell r="M483" t="str">
            <v>Re-size</v>
          </cell>
          <cell r="N483">
            <v>13.93</v>
          </cell>
          <cell r="O483">
            <v>8.1999999999999993</v>
          </cell>
          <cell r="P483">
            <v>6.17</v>
          </cell>
          <cell r="Q483">
            <v>5.85</v>
          </cell>
          <cell r="R483">
            <v>3.4699999999999998</v>
          </cell>
          <cell r="S483">
            <v>2.6799999999999997</v>
          </cell>
          <cell r="T483">
            <v>2.42</v>
          </cell>
          <cell r="U483">
            <v>1.44</v>
          </cell>
          <cell r="V483">
            <v>1.1100000000000001</v>
          </cell>
          <cell r="X483" t="str">
            <v>Re-size</v>
          </cell>
          <cell r="Y483" t="str">
            <v>Re-size</v>
          </cell>
          <cell r="Z483" t="str">
            <v>Re-size</v>
          </cell>
          <cell r="AA483" t="str">
            <v>Re-size</v>
          </cell>
          <cell r="AB483" t="str">
            <v>Re-size</v>
          </cell>
          <cell r="AC483" t="str">
            <v>Re-size</v>
          </cell>
          <cell r="AD483" t="str">
            <v>Re-size</v>
          </cell>
          <cell r="AE483" t="str">
            <v>Re-size</v>
          </cell>
        </row>
        <row r="484">
          <cell r="B484">
            <v>4.7500000000000204</v>
          </cell>
          <cell r="C484" t="str">
            <v>Re-size</v>
          </cell>
          <cell r="D484" t="str">
            <v>Re-size</v>
          </cell>
          <cell r="E484" t="str">
            <v>Re-size</v>
          </cell>
          <cell r="F484" t="str">
            <v>Re-size</v>
          </cell>
          <cell r="G484" t="str">
            <v>Re-size</v>
          </cell>
          <cell r="H484" t="str">
            <v>Re-size</v>
          </cell>
          <cell r="I484" t="str">
            <v>Re-size</v>
          </cell>
          <cell r="J484" t="str">
            <v>Re-size</v>
          </cell>
          <cell r="K484" t="str">
            <v>Re-size</v>
          </cell>
          <cell r="L484" t="str">
            <v>Re-size</v>
          </cell>
          <cell r="M484" t="str">
            <v>Re-size</v>
          </cell>
          <cell r="N484">
            <v>13.97</v>
          </cell>
          <cell r="O484">
            <v>8.23</v>
          </cell>
          <cell r="P484">
            <v>6.18</v>
          </cell>
          <cell r="Q484">
            <v>5.87</v>
          </cell>
          <cell r="R484">
            <v>3.48</v>
          </cell>
          <cell r="S484">
            <v>2.69</v>
          </cell>
          <cell r="T484">
            <v>2.4249999999999998</v>
          </cell>
          <cell r="U484">
            <v>1.44</v>
          </cell>
          <cell r="V484">
            <v>1.1100000000000001</v>
          </cell>
          <cell r="X484" t="str">
            <v>Re-size</v>
          </cell>
          <cell r="Y484" t="str">
            <v>Re-size</v>
          </cell>
          <cell r="Z484" t="str">
            <v>Re-size</v>
          </cell>
          <cell r="AA484" t="str">
            <v>Re-size</v>
          </cell>
          <cell r="AB484" t="str">
            <v>Re-size</v>
          </cell>
          <cell r="AC484" t="str">
            <v>Re-size</v>
          </cell>
          <cell r="AD484" t="str">
            <v>Re-size</v>
          </cell>
          <cell r="AE484" t="str">
            <v>Re-size</v>
          </cell>
        </row>
        <row r="485">
          <cell r="B485">
            <v>4.7600000000000202</v>
          </cell>
          <cell r="C485" t="str">
            <v>Re-size</v>
          </cell>
          <cell r="D485" t="str">
            <v>Re-size</v>
          </cell>
          <cell r="E485" t="str">
            <v>Re-size</v>
          </cell>
          <cell r="F485" t="str">
            <v>Re-size</v>
          </cell>
          <cell r="G485" t="str">
            <v>Re-size</v>
          </cell>
          <cell r="H485" t="str">
            <v>Re-size</v>
          </cell>
          <cell r="I485" t="str">
            <v>Re-size</v>
          </cell>
          <cell r="J485" t="str">
            <v>Re-size</v>
          </cell>
          <cell r="K485" t="str">
            <v>Re-size</v>
          </cell>
          <cell r="L485" t="str">
            <v>Re-size</v>
          </cell>
          <cell r="M485" t="str">
            <v>Re-size</v>
          </cell>
          <cell r="N485">
            <v>14.03</v>
          </cell>
          <cell r="O485">
            <v>8.26</v>
          </cell>
          <cell r="P485">
            <v>6.21</v>
          </cell>
          <cell r="Q485">
            <v>5.8999999999999995</v>
          </cell>
          <cell r="R485">
            <v>3.5</v>
          </cell>
          <cell r="S485">
            <v>2.7</v>
          </cell>
          <cell r="T485">
            <v>2.44</v>
          </cell>
          <cell r="U485">
            <v>1.45</v>
          </cell>
          <cell r="V485">
            <v>1.1200000000000001</v>
          </cell>
          <cell r="X485" t="str">
            <v>Re-size</v>
          </cell>
          <cell r="Y485" t="str">
            <v>Re-size</v>
          </cell>
          <cell r="Z485" t="str">
            <v>Re-size</v>
          </cell>
          <cell r="AA485" t="str">
            <v>Re-size</v>
          </cell>
          <cell r="AB485" t="str">
            <v>Re-size</v>
          </cell>
          <cell r="AC485" t="str">
            <v>Re-size</v>
          </cell>
          <cell r="AD485" t="str">
            <v>Re-size</v>
          </cell>
          <cell r="AE485" t="str">
            <v>Re-size</v>
          </cell>
        </row>
        <row r="486">
          <cell r="B486">
            <v>4.77000000000002</v>
          </cell>
          <cell r="C486" t="str">
            <v>Re-size</v>
          </cell>
          <cell r="D486" t="str">
            <v>Re-size</v>
          </cell>
          <cell r="E486" t="str">
            <v>Re-size</v>
          </cell>
          <cell r="F486" t="str">
            <v>Re-size</v>
          </cell>
          <cell r="G486" t="str">
            <v>Re-size</v>
          </cell>
          <cell r="H486" t="str">
            <v>Re-size</v>
          </cell>
          <cell r="I486" t="str">
            <v>Re-size</v>
          </cell>
          <cell r="J486" t="str">
            <v>Re-size</v>
          </cell>
          <cell r="K486" t="str">
            <v>Re-size</v>
          </cell>
          <cell r="L486" t="str">
            <v>Re-size</v>
          </cell>
          <cell r="M486" t="str">
            <v>Re-size</v>
          </cell>
          <cell r="N486">
            <v>14.09</v>
          </cell>
          <cell r="O486">
            <v>8.2899999999999991</v>
          </cell>
          <cell r="P486">
            <v>6.24</v>
          </cell>
          <cell r="Q486">
            <v>5.92</v>
          </cell>
          <cell r="R486">
            <v>3.51</v>
          </cell>
          <cell r="S486">
            <v>2.71</v>
          </cell>
          <cell r="T486">
            <v>2.4499999999999997</v>
          </cell>
          <cell r="U486">
            <v>1.46</v>
          </cell>
          <cell r="V486">
            <v>1.1200000000000001</v>
          </cell>
          <cell r="X486" t="str">
            <v>Re-size</v>
          </cell>
          <cell r="Y486" t="str">
            <v>Re-size</v>
          </cell>
          <cell r="Z486" t="str">
            <v>Re-size</v>
          </cell>
          <cell r="AA486" t="str">
            <v>Re-size</v>
          </cell>
          <cell r="AB486" t="str">
            <v>Re-size</v>
          </cell>
          <cell r="AC486" t="str">
            <v>Re-size</v>
          </cell>
          <cell r="AD486" t="str">
            <v>Re-size</v>
          </cell>
          <cell r="AE486" t="str">
            <v>Re-size</v>
          </cell>
        </row>
        <row r="487">
          <cell r="B487">
            <v>4.7800000000000198</v>
          </cell>
          <cell r="C487" t="str">
            <v>Re-size</v>
          </cell>
          <cell r="D487" t="str">
            <v>Re-size</v>
          </cell>
          <cell r="E487" t="str">
            <v>Re-size</v>
          </cell>
          <cell r="F487" t="str">
            <v>Re-size</v>
          </cell>
          <cell r="G487" t="str">
            <v>Re-size</v>
          </cell>
          <cell r="H487" t="str">
            <v>Re-size</v>
          </cell>
          <cell r="I487" t="str">
            <v>Re-size</v>
          </cell>
          <cell r="J487" t="str">
            <v>Re-size</v>
          </cell>
          <cell r="K487" t="str">
            <v>Re-size</v>
          </cell>
          <cell r="L487" t="str">
            <v>Re-size</v>
          </cell>
          <cell r="M487" t="str">
            <v>Re-size</v>
          </cell>
          <cell r="N487">
            <v>14.15</v>
          </cell>
          <cell r="O487">
            <v>8.31</v>
          </cell>
          <cell r="P487">
            <v>6.27</v>
          </cell>
          <cell r="Q487">
            <v>5.95</v>
          </cell>
          <cell r="R487">
            <v>3.53</v>
          </cell>
          <cell r="S487">
            <v>2.72</v>
          </cell>
          <cell r="T487">
            <v>2.46</v>
          </cell>
          <cell r="U487">
            <v>1.46</v>
          </cell>
          <cell r="V487">
            <v>1.1300000000000001</v>
          </cell>
          <cell r="X487" t="str">
            <v>Re-size</v>
          </cell>
          <cell r="Y487" t="str">
            <v>Re-size</v>
          </cell>
          <cell r="Z487" t="str">
            <v>Re-size</v>
          </cell>
          <cell r="AA487" t="str">
            <v>Re-size</v>
          </cell>
          <cell r="AB487" t="str">
            <v>Re-size</v>
          </cell>
          <cell r="AC487" t="str">
            <v>Re-size</v>
          </cell>
          <cell r="AD487" t="str">
            <v>Re-size</v>
          </cell>
          <cell r="AE487" t="str">
            <v>Re-size</v>
          </cell>
        </row>
        <row r="488">
          <cell r="B488">
            <v>4.7900000000000196</v>
          </cell>
          <cell r="C488" t="str">
            <v>Re-size</v>
          </cell>
          <cell r="D488" t="str">
            <v>Re-size</v>
          </cell>
          <cell r="E488" t="str">
            <v>Re-size</v>
          </cell>
          <cell r="F488" t="str">
            <v>Re-size</v>
          </cell>
          <cell r="G488" t="str">
            <v>Re-size</v>
          </cell>
          <cell r="H488" t="str">
            <v>Re-size</v>
          </cell>
          <cell r="I488" t="str">
            <v>Re-size</v>
          </cell>
          <cell r="J488" t="str">
            <v>Re-size</v>
          </cell>
          <cell r="K488" t="str">
            <v>Re-size</v>
          </cell>
          <cell r="L488" t="str">
            <v>Re-size</v>
          </cell>
          <cell r="M488" t="str">
            <v>Re-size</v>
          </cell>
          <cell r="N488">
            <v>14.21</v>
          </cell>
          <cell r="O488">
            <v>8.34</v>
          </cell>
          <cell r="P488">
            <v>6.3</v>
          </cell>
          <cell r="Q488">
            <v>5.97</v>
          </cell>
          <cell r="R488">
            <v>3.5399999999999996</v>
          </cell>
          <cell r="S488">
            <v>2.73</v>
          </cell>
          <cell r="T488">
            <v>2.4699999999999998</v>
          </cell>
          <cell r="U488">
            <v>1.47</v>
          </cell>
          <cell r="V488">
            <v>1.1300000000000001</v>
          </cell>
          <cell r="X488" t="str">
            <v>Re-size</v>
          </cell>
          <cell r="Y488" t="str">
            <v>Re-size</v>
          </cell>
          <cell r="Z488" t="str">
            <v>Re-size</v>
          </cell>
          <cell r="AA488" t="str">
            <v>Re-size</v>
          </cell>
          <cell r="AB488" t="str">
            <v>Re-size</v>
          </cell>
          <cell r="AC488" t="str">
            <v>Re-size</v>
          </cell>
          <cell r="AD488" t="str">
            <v>Re-size</v>
          </cell>
          <cell r="AE488" t="str">
            <v>Re-size</v>
          </cell>
        </row>
        <row r="489">
          <cell r="B489">
            <v>4.8000000000000203</v>
          </cell>
          <cell r="C489" t="str">
            <v>Re-size</v>
          </cell>
          <cell r="D489" t="str">
            <v>Re-size</v>
          </cell>
          <cell r="E489" t="str">
            <v>Re-size</v>
          </cell>
          <cell r="F489" t="str">
            <v>Re-size</v>
          </cell>
          <cell r="G489" t="str">
            <v>Re-size</v>
          </cell>
          <cell r="H489" t="str">
            <v>Re-size</v>
          </cell>
          <cell r="I489" t="str">
            <v>Re-size</v>
          </cell>
          <cell r="J489" t="str">
            <v>Re-size</v>
          </cell>
          <cell r="K489" t="str">
            <v>Re-size</v>
          </cell>
          <cell r="L489" t="str">
            <v>Re-size</v>
          </cell>
          <cell r="M489" t="str">
            <v>Re-size</v>
          </cell>
          <cell r="N489">
            <v>14.27</v>
          </cell>
          <cell r="O489">
            <v>8.36</v>
          </cell>
          <cell r="P489">
            <v>6.32</v>
          </cell>
          <cell r="Q489">
            <v>5.99</v>
          </cell>
          <cell r="R489">
            <v>3.55</v>
          </cell>
          <cell r="S489">
            <v>2.74</v>
          </cell>
          <cell r="T489">
            <v>2.4700000000000002</v>
          </cell>
          <cell r="U489">
            <v>1.47</v>
          </cell>
          <cell r="V489">
            <v>1.1299999999999999</v>
          </cell>
          <cell r="X489" t="str">
            <v>Re-size</v>
          </cell>
          <cell r="Y489" t="str">
            <v>Re-size</v>
          </cell>
          <cell r="Z489" t="str">
            <v>Re-size</v>
          </cell>
          <cell r="AA489" t="str">
            <v>Re-size</v>
          </cell>
          <cell r="AB489" t="str">
            <v>Re-size</v>
          </cell>
          <cell r="AC489" t="str">
            <v>Re-size</v>
          </cell>
          <cell r="AD489" t="str">
            <v>Re-size</v>
          </cell>
          <cell r="AE489" t="str">
            <v>Re-size</v>
          </cell>
        </row>
        <row r="490">
          <cell r="B490">
            <v>4.81000000000002</v>
          </cell>
          <cell r="C490" t="str">
            <v>Re-size</v>
          </cell>
          <cell r="D490" t="str">
            <v>Re-size</v>
          </cell>
          <cell r="E490" t="str">
            <v>Re-size</v>
          </cell>
          <cell r="F490" t="str">
            <v>Re-size</v>
          </cell>
          <cell r="G490" t="str">
            <v>Re-size</v>
          </cell>
          <cell r="H490" t="str">
            <v>Re-size</v>
          </cell>
          <cell r="I490" t="str">
            <v>Re-size</v>
          </cell>
          <cell r="J490" t="str">
            <v>Re-size</v>
          </cell>
          <cell r="K490" t="str">
            <v>Re-size</v>
          </cell>
          <cell r="L490" t="str">
            <v>Re-size</v>
          </cell>
          <cell r="M490" t="str">
            <v>Re-size</v>
          </cell>
          <cell r="N490">
            <v>14.33</v>
          </cell>
          <cell r="O490">
            <v>8.4</v>
          </cell>
          <cell r="P490">
            <v>6.34</v>
          </cell>
          <cell r="Q490">
            <v>6.02</v>
          </cell>
          <cell r="R490">
            <v>3.57</v>
          </cell>
          <cell r="S490">
            <v>2.75</v>
          </cell>
          <cell r="T490">
            <v>2.48</v>
          </cell>
          <cell r="U490">
            <v>1.48</v>
          </cell>
          <cell r="V490">
            <v>1.1399999999999999</v>
          </cell>
          <cell r="X490" t="str">
            <v>Re-size</v>
          </cell>
          <cell r="Y490" t="str">
            <v>Re-size</v>
          </cell>
          <cell r="Z490" t="str">
            <v>Re-size</v>
          </cell>
          <cell r="AA490" t="str">
            <v>Re-size</v>
          </cell>
          <cell r="AB490" t="str">
            <v>Re-size</v>
          </cell>
          <cell r="AC490" t="str">
            <v>Re-size</v>
          </cell>
          <cell r="AD490" t="str">
            <v>Re-size</v>
          </cell>
          <cell r="AE490" t="str">
            <v>Re-size</v>
          </cell>
        </row>
        <row r="491">
          <cell r="B491">
            <v>4.8200000000000198</v>
          </cell>
          <cell r="C491" t="str">
            <v>Re-size</v>
          </cell>
          <cell r="D491" t="str">
            <v>Re-size</v>
          </cell>
          <cell r="E491" t="str">
            <v>Re-size</v>
          </cell>
          <cell r="F491" t="str">
            <v>Re-size</v>
          </cell>
          <cell r="G491" t="str">
            <v>Re-size</v>
          </cell>
          <cell r="H491" t="str">
            <v>Re-size</v>
          </cell>
          <cell r="I491" t="str">
            <v>Re-size</v>
          </cell>
          <cell r="J491" t="str">
            <v>Re-size</v>
          </cell>
          <cell r="K491" t="str">
            <v>Re-size</v>
          </cell>
          <cell r="L491" t="str">
            <v>Re-size</v>
          </cell>
          <cell r="M491" t="str">
            <v>Re-size</v>
          </cell>
          <cell r="N491">
            <v>14.39</v>
          </cell>
          <cell r="O491">
            <v>8.44</v>
          </cell>
          <cell r="P491">
            <v>6.3599999999999994</v>
          </cell>
          <cell r="Q491">
            <v>6.05</v>
          </cell>
          <cell r="R491">
            <v>3.5799999999999996</v>
          </cell>
          <cell r="S491">
            <v>2.76</v>
          </cell>
          <cell r="T491">
            <v>2.4900000000000002</v>
          </cell>
          <cell r="U491">
            <v>1.49</v>
          </cell>
          <cell r="V491">
            <v>1.1399999999999999</v>
          </cell>
          <cell r="X491" t="str">
            <v>Re-size</v>
          </cell>
          <cell r="Y491" t="str">
            <v>Re-size</v>
          </cell>
          <cell r="Z491" t="str">
            <v>Re-size</v>
          </cell>
          <cell r="AA491" t="str">
            <v>Re-size</v>
          </cell>
          <cell r="AB491" t="str">
            <v>Re-size</v>
          </cell>
          <cell r="AC491" t="str">
            <v>Re-size</v>
          </cell>
          <cell r="AD491" t="str">
            <v>Re-size</v>
          </cell>
          <cell r="AE491" t="str">
            <v>Re-size</v>
          </cell>
        </row>
        <row r="492">
          <cell r="B492">
            <v>4.8300000000000196</v>
          </cell>
          <cell r="C492" t="str">
            <v>Re-size</v>
          </cell>
          <cell r="D492" t="str">
            <v>Re-size</v>
          </cell>
          <cell r="E492" t="str">
            <v>Re-size</v>
          </cell>
          <cell r="F492" t="str">
            <v>Re-size</v>
          </cell>
          <cell r="G492" t="str">
            <v>Re-size</v>
          </cell>
          <cell r="H492" t="str">
            <v>Re-size</v>
          </cell>
          <cell r="I492" t="str">
            <v>Re-size</v>
          </cell>
          <cell r="J492" t="str">
            <v>Re-size</v>
          </cell>
          <cell r="K492" t="str">
            <v>Re-size</v>
          </cell>
          <cell r="L492" t="str">
            <v>Re-size</v>
          </cell>
          <cell r="M492" t="str">
            <v>Re-size</v>
          </cell>
          <cell r="N492">
            <v>14.45</v>
          </cell>
          <cell r="O492">
            <v>8.4700000000000006</v>
          </cell>
          <cell r="P492">
            <v>6.38</v>
          </cell>
          <cell r="Q492">
            <v>6.0699999999999994</v>
          </cell>
          <cell r="R492">
            <v>3.5999999999999996</v>
          </cell>
          <cell r="S492">
            <v>2.77</v>
          </cell>
          <cell r="T492">
            <v>2.5</v>
          </cell>
          <cell r="U492">
            <v>1.49</v>
          </cell>
          <cell r="V492">
            <v>1.1499999999999999</v>
          </cell>
          <cell r="X492" t="str">
            <v>Re-size</v>
          </cell>
          <cell r="Y492" t="str">
            <v>Re-size</v>
          </cell>
          <cell r="Z492" t="str">
            <v>Re-size</v>
          </cell>
          <cell r="AA492" t="str">
            <v>Re-size</v>
          </cell>
          <cell r="AB492" t="str">
            <v>Re-size</v>
          </cell>
          <cell r="AC492" t="str">
            <v>Re-size</v>
          </cell>
          <cell r="AD492" t="str">
            <v>Re-size</v>
          </cell>
          <cell r="AE492" t="str">
            <v>Re-size</v>
          </cell>
        </row>
        <row r="493">
          <cell r="B493">
            <v>4.8400000000000203</v>
          </cell>
          <cell r="C493" t="str">
            <v>Re-size</v>
          </cell>
          <cell r="D493" t="str">
            <v>Re-size</v>
          </cell>
          <cell r="E493" t="str">
            <v>Re-size</v>
          </cell>
          <cell r="F493" t="str">
            <v>Re-size</v>
          </cell>
          <cell r="G493" t="str">
            <v>Re-size</v>
          </cell>
          <cell r="H493" t="str">
            <v>Re-size</v>
          </cell>
          <cell r="I493" t="str">
            <v>Re-size</v>
          </cell>
          <cell r="J493" t="str">
            <v>Re-size</v>
          </cell>
          <cell r="K493" t="str">
            <v>Re-size</v>
          </cell>
          <cell r="L493" t="str">
            <v>Re-size</v>
          </cell>
          <cell r="M493" t="str">
            <v>Re-size</v>
          </cell>
          <cell r="N493">
            <v>14.51</v>
          </cell>
          <cell r="O493">
            <v>8.51</v>
          </cell>
          <cell r="P493">
            <v>6.3999999999999995</v>
          </cell>
          <cell r="Q493">
            <v>6.1</v>
          </cell>
          <cell r="R493">
            <v>3.61</v>
          </cell>
          <cell r="S493">
            <v>2.78</v>
          </cell>
          <cell r="T493">
            <v>2.5099999999999998</v>
          </cell>
          <cell r="U493">
            <v>1.5</v>
          </cell>
          <cell r="V493">
            <v>1.1499999999999999</v>
          </cell>
          <cell r="X493" t="str">
            <v>Re-size</v>
          </cell>
          <cell r="Y493" t="str">
            <v>Re-size</v>
          </cell>
          <cell r="Z493" t="str">
            <v>Re-size</v>
          </cell>
          <cell r="AA493" t="str">
            <v>Re-size</v>
          </cell>
          <cell r="AB493" t="str">
            <v>Re-size</v>
          </cell>
          <cell r="AC493" t="str">
            <v>Re-size</v>
          </cell>
          <cell r="AD493" t="str">
            <v>Re-size</v>
          </cell>
          <cell r="AE493" t="str">
            <v>Re-size</v>
          </cell>
        </row>
        <row r="494">
          <cell r="B494">
            <v>4.8500000000000298</v>
          </cell>
          <cell r="C494" t="str">
            <v>Re-size</v>
          </cell>
          <cell r="D494" t="str">
            <v>Re-size</v>
          </cell>
          <cell r="E494" t="str">
            <v>Re-size</v>
          </cell>
          <cell r="F494" t="str">
            <v>Re-size</v>
          </cell>
          <cell r="G494" t="str">
            <v>Re-size</v>
          </cell>
          <cell r="H494" t="str">
            <v>Re-size</v>
          </cell>
          <cell r="I494" t="str">
            <v>Re-size</v>
          </cell>
          <cell r="J494" t="str">
            <v>Re-size</v>
          </cell>
          <cell r="K494" t="str">
            <v>Re-size</v>
          </cell>
          <cell r="L494" t="str">
            <v>Re-size</v>
          </cell>
          <cell r="M494" t="str">
            <v>Re-size</v>
          </cell>
          <cell r="N494">
            <v>14.56</v>
          </cell>
          <cell r="O494">
            <v>8.5399999999999991</v>
          </cell>
          <cell r="P494">
            <v>6.41</v>
          </cell>
          <cell r="Q494">
            <v>6.12</v>
          </cell>
          <cell r="R494">
            <v>3.62</v>
          </cell>
          <cell r="S494">
            <v>2.79</v>
          </cell>
          <cell r="T494">
            <v>2.52</v>
          </cell>
          <cell r="U494">
            <v>1.5</v>
          </cell>
          <cell r="V494">
            <v>1.155</v>
          </cell>
          <cell r="X494" t="str">
            <v>Re-size</v>
          </cell>
          <cell r="Y494" t="str">
            <v>Re-size</v>
          </cell>
          <cell r="Z494" t="str">
            <v>Re-size</v>
          </cell>
          <cell r="AA494" t="str">
            <v>Re-size</v>
          </cell>
          <cell r="AB494" t="str">
            <v>Re-size</v>
          </cell>
          <cell r="AC494" t="str">
            <v>Re-size</v>
          </cell>
          <cell r="AD494" t="str">
            <v>Re-size</v>
          </cell>
          <cell r="AE494" t="str">
            <v>Re-size</v>
          </cell>
        </row>
        <row r="495">
          <cell r="B495">
            <v>4.8600000000000296</v>
          </cell>
          <cell r="C495" t="str">
            <v>Re-size</v>
          </cell>
          <cell r="D495" t="str">
            <v>Re-size</v>
          </cell>
          <cell r="E495" t="str">
            <v>Re-size</v>
          </cell>
          <cell r="F495" t="str">
            <v>Re-size</v>
          </cell>
          <cell r="G495" t="str">
            <v>Re-size</v>
          </cell>
          <cell r="H495" t="str">
            <v>Re-size</v>
          </cell>
          <cell r="I495" t="str">
            <v>Re-size</v>
          </cell>
          <cell r="J495" t="str">
            <v>Re-size</v>
          </cell>
          <cell r="K495" t="str">
            <v>Re-size</v>
          </cell>
          <cell r="L495" t="str">
            <v>Re-size</v>
          </cell>
          <cell r="M495" t="str">
            <v>Re-size</v>
          </cell>
          <cell r="N495">
            <v>14.61</v>
          </cell>
          <cell r="O495">
            <v>8.58</v>
          </cell>
          <cell r="P495">
            <v>6.4399999999999995</v>
          </cell>
          <cell r="Q495">
            <v>6.14</v>
          </cell>
          <cell r="R495">
            <v>3.6399999999999997</v>
          </cell>
          <cell r="S495">
            <v>2.8</v>
          </cell>
          <cell r="T495">
            <v>2.5299999999999998</v>
          </cell>
          <cell r="U495">
            <v>1.51</v>
          </cell>
          <cell r="V495">
            <v>1.1599999999999999</v>
          </cell>
          <cell r="X495" t="str">
            <v>Re-size</v>
          </cell>
          <cell r="Y495" t="str">
            <v>Re-size</v>
          </cell>
          <cell r="Z495" t="str">
            <v>Re-size</v>
          </cell>
          <cell r="AA495" t="str">
            <v>Re-size</v>
          </cell>
          <cell r="AB495" t="str">
            <v>Re-size</v>
          </cell>
          <cell r="AC495" t="str">
            <v>Re-size</v>
          </cell>
          <cell r="AD495" t="str">
            <v>Re-size</v>
          </cell>
          <cell r="AE495" t="str">
            <v>Re-size</v>
          </cell>
        </row>
        <row r="496">
          <cell r="B496">
            <v>4.8700000000000303</v>
          </cell>
          <cell r="C496" t="str">
            <v>Re-size</v>
          </cell>
          <cell r="D496" t="str">
            <v>Re-size</v>
          </cell>
          <cell r="E496" t="str">
            <v>Re-size</v>
          </cell>
          <cell r="F496" t="str">
            <v>Re-size</v>
          </cell>
          <cell r="G496" t="str">
            <v>Re-size</v>
          </cell>
          <cell r="H496" t="str">
            <v>Re-size</v>
          </cell>
          <cell r="I496" t="str">
            <v>Re-size</v>
          </cell>
          <cell r="J496" t="str">
            <v>Re-size</v>
          </cell>
          <cell r="K496" t="str">
            <v>Re-size</v>
          </cell>
          <cell r="L496" t="str">
            <v>Re-size</v>
          </cell>
          <cell r="M496" t="str">
            <v>Re-size</v>
          </cell>
          <cell r="N496">
            <v>14.66</v>
          </cell>
          <cell r="O496">
            <v>8.6199999999999992</v>
          </cell>
          <cell r="P496">
            <v>6.47</v>
          </cell>
          <cell r="Q496">
            <v>6.16</v>
          </cell>
          <cell r="R496">
            <v>3.65</v>
          </cell>
          <cell r="S496">
            <v>2.81</v>
          </cell>
          <cell r="T496">
            <v>2.54</v>
          </cell>
          <cell r="U496">
            <v>1.52</v>
          </cell>
          <cell r="V496">
            <v>1.17</v>
          </cell>
          <cell r="X496" t="str">
            <v>Re-size</v>
          </cell>
          <cell r="Y496" t="str">
            <v>Re-size</v>
          </cell>
          <cell r="Z496" t="str">
            <v>Re-size</v>
          </cell>
          <cell r="AA496" t="str">
            <v>Re-size</v>
          </cell>
          <cell r="AB496" t="str">
            <v>Re-size</v>
          </cell>
          <cell r="AC496" t="str">
            <v>Re-size</v>
          </cell>
          <cell r="AD496" t="str">
            <v>Re-size</v>
          </cell>
          <cell r="AE496" t="str">
            <v>Re-size</v>
          </cell>
        </row>
        <row r="497">
          <cell r="B497">
            <v>4.8800000000000301</v>
          </cell>
          <cell r="C497" t="str">
            <v>Re-size</v>
          </cell>
          <cell r="D497" t="str">
            <v>Re-size</v>
          </cell>
          <cell r="E497" t="str">
            <v>Re-size</v>
          </cell>
          <cell r="F497" t="str">
            <v>Re-size</v>
          </cell>
          <cell r="G497" t="str">
            <v>Re-size</v>
          </cell>
          <cell r="H497" t="str">
            <v>Re-size</v>
          </cell>
          <cell r="I497" t="str">
            <v>Re-size</v>
          </cell>
          <cell r="J497" t="str">
            <v>Re-size</v>
          </cell>
          <cell r="K497" t="str">
            <v>Re-size</v>
          </cell>
          <cell r="L497" t="str">
            <v>Re-size</v>
          </cell>
          <cell r="M497" t="str">
            <v>Re-size</v>
          </cell>
          <cell r="N497">
            <v>14.7</v>
          </cell>
          <cell r="O497">
            <v>8.65</v>
          </cell>
          <cell r="P497">
            <v>6.5</v>
          </cell>
          <cell r="Q497">
            <v>6.18</v>
          </cell>
          <cell r="R497">
            <v>3.6599999999999997</v>
          </cell>
          <cell r="S497">
            <v>2.82</v>
          </cell>
          <cell r="T497">
            <v>2.5499999999999998</v>
          </cell>
          <cell r="U497">
            <v>1.52</v>
          </cell>
          <cell r="V497">
            <v>1.17</v>
          </cell>
          <cell r="X497" t="str">
            <v>Re-size</v>
          </cell>
          <cell r="Y497" t="str">
            <v>Re-size</v>
          </cell>
          <cell r="Z497" t="str">
            <v>Re-size</v>
          </cell>
          <cell r="AA497" t="str">
            <v>Re-size</v>
          </cell>
          <cell r="AB497" t="str">
            <v>Re-size</v>
          </cell>
          <cell r="AC497" t="str">
            <v>Re-size</v>
          </cell>
          <cell r="AD497" t="str">
            <v>Re-size</v>
          </cell>
          <cell r="AE497" t="str">
            <v>Re-size</v>
          </cell>
        </row>
        <row r="498">
          <cell r="B498">
            <v>4.8900000000000299</v>
          </cell>
          <cell r="C498" t="str">
            <v>Re-size</v>
          </cell>
          <cell r="D498" t="str">
            <v>Re-size</v>
          </cell>
          <cell r="E498" t="str">
            <v>Re-size</v>
          </cell>
          <cell r="F498" t="str">
            <v>Re-size</v>
          </cell>
          <cell r="G498" t="str">
            <v>Re-size</v>
          </cell>
          <cell r="H498" t="str">
            <v>Re-size</v>
          </cell>
          <cell r="I498" t="str">
            <v>Re-size</v>
          </cell>
          <cell r="J498" t="str">
            <v>Re-size</v>
          </cell>
          <cell r="K498" t="str">
            <v>Re-size</v>
          </cell>
          <cell r="L498" t="str">
            <v>Re-size</v>
          </cell>
          <cell r="M498" t="str">
            <v>Re-size</v>
          </cell>
          <cell r="N498">
            <v>14.75</v>
          </cell>
          <cell r="O498">
            <v>8.69</v>
          </cell>
          <cell r="P498">
            <v>6.5299999999999994</v>
          </cell>
          <cell r="Q498">
            <v>6.2</v>
          </cell>
          <cell r="R498">
            <v>3.67</v>
          </cell>
          <cell r="S498">
            <v>2.83</v>
          </cell>
          <cell r="T498">
            <v>2.56</v>
          </cell>
          <cell r="U498">
            <v>1.53</v>
          </cell>
          <cell r="V498">
            <v>1.18</v>
          </cell>
          <cell r="X498" t="str">
            <v>Re-size</v>
          </cell>
          <cell r="Y498" t="str">
            <v>Re-size</v>
          </cell>
          <cell r="Z498" t="str">
            <v>Re-size</v>
          </cell>
          <cell r="AA498" t="str">
            <v>Re-size</v>
          </cell>
          <cell r="AB498" t="str">
            <v>Re-size</v>
          </cell>
          <cell r="AC498" t="str">
            <v>Re-size</v>
          </cell>
          <cell r="AD498" t="str">
            <v>Re-size</v>
          </cell>
          <cell r="AE498" t="str">
            <v>Re-size</v>
          </cell>
        </row>
        <row r="499">
          <cell r="B499">
            <v>4.9000000000000297</v>
          </cell>
          <cell r="C499" t="str">
            <v>Re-size</v>
          </cell>
          <cell r="D499" t="str">
            <v>Re-size</v>
          </cell>
          <cell r="E499" t="str">
            <v>Re-size</v>
          </cell>
          <cell r="F499" t="str">
            <v>Re-size</v>
          </cell>
          <cell r="G499" t="str">
            <v>Re-size</v>
          </cell>
          <cell r="H499" t="str">
            <v>Re-size</v>
          </cell>
          <cell r="I499" t="str">
            <v>Re-size</v>
          </cell>
          <cell r="J499" t="str">
            <v>Re-size</v>
          </cell>
          <cell r="K499" t="str">
            <v>Re-size</v>
          </cell>
          <cell r="L499" t="str">
            <v>Re-size</v>
          </cell>
          <cell r="M499" t="str">
            <v>Re-size</v>
          </cell>
          <cell r="N499">
            <v>14.79</v>
          </cell>
          <cell r="O499">
            <v>8.7200000000000006</v>
          </cell>
          <cell r="P499">
            <v>6.55</v>
          </cell>
          <cell r="Q499">
            <v>6.21</v>
          </cell>
          <cell r="R499">
            <v>3.68</v>
          </cell>
          <cell r="S499">
            <v>2.84</v>
          </cell>
          <cell r="T499">
            <v>2.57</v>
          </cell>
          <cell r="U499">
            <v>1.53</v>
          </cell>
          <cell r="V499">
            <v>1.18</v>
          </cell>
          <cell r="X499" t="str">
            <v>Re-size</v>
          </cell>
          <cell r="Y499" t="str">
            <v>Re-size</v>
          </cell>
          <cell r="Z499" t="str">
            <v>Re-size</v>
          </cell>
          <cell r="AA499" t="str">
            <v>Re-size</v>
          </cell>
          <cell r="AB499" t="str">
            <v>Re-size</v>
          </cell>
          <cell r="AC499" t="str">
            <v>Re-size</v>
          </cell>
          <cell r="AD499" t="str">
            <v>Re-size</v>
          </cell>
          <cell r="AE499" t="str">
            <v>Re-size</v>
          </cell>
        </row>
        <row r="500">
          <cell r="B500">
            <v>4.9100000000000303</v>
          </cell>
          <cell r="C500" t="str">
            <v>Re-size</v>
          </cell>
          <cell r="D500" t="str">
            <v>Re-size</v>
          </cell>
          <cell r="E500" t="str">
            <v>Re-size</v>
          </cell>
          <cell r="F500" t="str">
            <v>Re-size</v>
          </cell>
          <cell r="G500" t="str">
            <v>Re-size</v>
          </cell>
          <cell r="H500" t="str">
            <v>Re-size</v>
          </cell>
          <cell r="I500" t="str">
            <v>Re-size</v>
          </cell>
          <cell r="J500" t="str">
            <v>Re-size</v>
          </cell>
          <cell r="K500" t="str">
            <v>Re-size</v>
          </cell>
          <cell r="L500" t="str">
            <v>Re-size</v>
          </cell>
          <cell r="M500" t="str">
            <v>Re-size</v>
          </cell>
          <cell r="N500">
            <v>14.85</v>
          </cell>
          <cell r="O500">
            <v>8.75</v>
          </cell>
          <cell r="P500">
            <v>6.58</v>
          </cell>
          <cell r="Q500">
            <v>6.24</v>
          </cell>
          <cell r="R500">
            <v>3.6999999999999997</v>
          </cell>
          <cell r="S500">
            <v>2.85</v>
          </cell>
          <cell r="T500">
            <v>2.58</v>
          </cell>
          <cell r="U500">
            <v>1.54</v>
          </cell>
          <cell r="V500">
            <v>1.19</v>
          </cell>
          <cell r="X500" t="str">
            <v>Re-size</v>
          </cell>
          <cell r="Y500" t="str">
            <v>Re-size</v>
          </cell>
          <cell r="Z500" t="str">
            <v>Re-size</v>
          </cell>
          <cell r="AA500" t="str">
            <v>Re-size</v>
          </cell>
          <cell r="AB500" t="str">
            <v>Re-size</v>
          </cell>
          <cell r="AC500" t="str">
            <v>Re-size</v>
          </cell>
          <cell r="AD500" t="str">
            <v>Re-size</v>
          </cell>
          <cell r="AE500" t="str">
            <v>Re-size</v>
          </cell>
        </row>
        <row r="501">
          <cell r="B501">
            <v>4.9200000000000301</v>
          </cell>
          <cell r="C501" t="str">
            <v>Re-size</v>
          </cell>
          <cell r="D501" t="str">
            <v>Re-size</v>
          </cell>
          <cell r="E501" t="str">
            <v>Re-size</v>
          </cell>
          <cell r="F501" t="str">
            <v>Re-size</v>
          </cell>
          <cell r="G501" t="str">
            <v>Re-size</v>
          </cell>
          <cell r="H501" t="str">
            <v>Re-size</v>
          </cell>
          <cell r="I501" t="str">
            <v>Re-size</v>
          </cell>
          <cell r="J501" t="str">
            <v>Re-size</v>
          </cell>
          <cell r="K501" t="str">
            <v>Re-size</v>
          </cell>
          <cell r="L501" t="str">
            <v>Re-size</v>
          </cell>
          <cell r="M501" t="str">
            <v>Re-size</v>
          </cell>
          <cell r="N501">
            <v>14.91</v>
          </cell>
          <cell r="O501">
            <v>8.7799999999999994</v>
          </cell>
          <cell r="P501">
            <v>6.6099999999999994</v>
          </cell>
          <cell r="Q501">
            <v>6.27</v>
          </cell>
          <cell r="R501">
            <v>3.71</v>
          </cell>
          <cell r="S501">
            <v>2.86</v>
          </cell>
          <cell r="T501">
            <v>2.59</v>
          </cell>
          <cell r="U501">
            <v>1.54</v>
          </cell>
          <cell r="V501">
            <v>1.19</v>
          </cell>
          <cell r="X501" t="str">
            <v>Re-size</v>
          </cell>
          <cell r="Y501" t="str">
            <v>Re-size</v>
          </cell>
          <cell r="Z501" t="str">
            <v>Re-size</v>
          </cell>
          <cell r="AA501" t="str">
            <v>Re-size</v>
          </cell>
          <cell r="AB501" t="str">
            <v>Re-size</v>
          </cell>
          <cell r="AC501" t="str">
            <v>Re-size</v>
          </cell>
          <cell r="AD501" t="str">
            <v>Re-size</v>
          </cell>
          <cell r="AE501" t="str">
            <v>Re-size</v>
          </cell>
        </row>
        <row r="502">
          <cell r="B502">
            <v>4.9300000000000299</v>
          </cell>
          <cell r="C502" t="str">
            <v>Re-size</v>
          </cell>
          <cell r="D502" t="str">
            <v>Re-size</v>
          </cell>
          <cell r="E502" t="str">
            <v>Re-size</v>
          </cell>
          <cell r="F502" t="str">
            <v>Re-size</v>
          </cell>
          <cell r="G502" t="str">
            <v>Re-size</v>
          </cell>
          <cell r="H502" t="str">
            <v>Re-size</v>
          </cell>
          <cell r="I502" t="str">
            <v>Re-size</v>
          </cell>
          <cell r="J502" t="str">
            <v>Re-size</v>
          </cell>
          <cell r="K502" t="str">
            <v>Re-size</v>
          </cell>
          <cell r="L502" t="str">
            <v>Re-size</v>
          </cell>
          <cell r="M502" t="str">
            <v>Re-size</v>
          </cell>
          <cell r="N502">
            <v>14.97</v>
          </cell>
          <cell r="O502">
            <v>8.7999999999999989</v>
          </cell>
          <cell r="P502">
            <v>6.63</v>
          </cell>
          <cell r="Q502">
            <v>6.29</v>
          </cell>
          <cell r="R502">
            <v>3.73</v>
          </cell>
          <cell r="S502">
            <v>2.87</v>
          </cell>
          <cell r="T502">
            <v>2.6</v>
          </cell>
          <cell r="U502">
            <v>1.55</v>
          </cell>
          <cell r="V502">
            <v>1.2</v>
          </cell>
          <cell r="X502" t="str">
            <v>Re-size</v>
          </cell>
          <cell r="Y502" t="str">
            <v>Re-size</v>
          </cell>
          <cell r="Z502" t="str">
            <v>Re-size</v>
          </cell>
          <cell r="AA502" t="str">
            <v>Re-size</v>
          </cell>
          <cell r="AB502" t="str">
            <v>Re-size</v>
          </cell>
          <cell r="AC502" t="str">
            <v>Re-size</v>
          </cell>
          <cell r="AD502" t="str">
            <v>Re-size</v>
          </cell>
          <cell r="AE502" t="str">
            <v>Re-size</v>
          </cell>
        </row>
        <row r="503">
          <cell r="B503">
            <v>4.9400000000000297</v>
          </cell>
          <cell r="C503" t="str">
            <v>Re-size</v>
          </cell>
          <cell r="D503" t="str">
            <v>Re-size</v>
          </cell>
          <cell r="E503" t="str">
            <v>Re-size</v>
          </cell>
          <cell r="F503" t="str">
            <v>Re-size</v>
          </cell>
          <cell r="G503" t="str">
            <v>Re-size</v>
          </cell>
          <cell r="H503" t="str">
            <v>Re-size</v>
          </cell>
          <cell r="I503" t="str">
            <v>Re-size</v>
          </cell>
          <cell r="J503" t="str">
            <v>Re-size</v>
          </cell>
          <cell r="K503" t="str">
            <v>Re-size</v>
          </cell>
          <cell r="L503" t="str">
            <v>Re-size</v>
          </cell>
          <cell r="M503" t="str">
            <v>Re-size</v>
          </cell>
          <cell r="N503">
            <v>15.03</v>
          </cell>
          <cell r="O503">
            <v>8.83</v>
          </cell>
          <cell r="P503">
            <v>6.66</v>
          </cell>
          <cell r="Q503">
            <v>6.3199999999999994</v>
          </cell>
          <cell r="R503">
            <v>3.7399999999999998</v>
          </cell>
          <cell r="S503">
            <v>2.88</v>
          </cell>
          <cell r="T503">
            <v>2.61</v>
          </cell>
          <cell r="U503">
            <v>1.55</v>
          </cell>
          <cell r="V503">
            <v>1.2</v>
          </cell>
          <cell r="X503" t="str">
            <v>Re-size</v>
          </cell>
          <cell r="Y503" t="str">
            <v>Re-size</v>
          </cell>
          <cell r="Z503" t="str">
            <v>Re-size</v>
          </cell>
          <cell r="AA503" t="str">
            <v>Re-size</v>
          </cell>
          <cell r="AB503" t="str">
            <v>Re-size</v>
          </cell>
          <cell r="AC503" t="str">
            <v>Re-size</v>
          </cell>
          <cell r="AD503" t="str">
            <v>Re-size</v>
          </cell>
          <cell r="AE503" t="str">
            <v>Re-size</v>
          </cell>
        </row>
        <row r="504">
          <cell r="B504">
            <v>4.9500000000000304</v>
          </cell>
          <cell r="C504" t="str">
            <v>Re-size</v>
          </cell>
          <cell r="D504" t="str">
            <v>Re-size</v>
          </cell>
          <cell r="E504" t="str">
            <v>Re-size</v>
          </cell>
          <cell r="F504" t="str">
            <v>Re-size</v>
          </cell>
          <cell r="G504" t="str">
            <v>Re-size</v>
          </cell>
          <cell r="H504" t="str">
            <v>Re-size</v>
          </cell>
          <cell r="I504" t="str">
            <v>Re-size</v>
          </cell>
          <cell r="J504" t="str">
            <v>Re-size</v>
          </cell>
          <cell r="K504" t="str">
            <v>Re-size</v>
          </cell>
          <cell r="L504" t="str">
            <v>Re-size</v>
          </cell>
          <cell r="M504" t="str">
            <v>Re-size</v>
          </cell>
          <cell r="N504">
            <v>15.09</v>
          </cell>
          <cell r="O504">
            <v>8.85</v>
          </cell>
          <cell r="P504">
            <v>6.68</v>
          </cell>
          <cell r="Q504">
            <v>6.34</v>
          </cell>
          <cell r="R504">
            <v>3.75</v>
          </cell>
          <cell r="S504">
            <v>2.89</v>
          </cell>
          <cell r="T504">
            <v>2.62</v>
          </cell>
          <cell r="U504">
            <v>1.5549999999999999</v>
          </cell>
          <cell r="V504">
            <v>1.2</v>
          </cell>
          <cell r="X504" t="str">
            <v>Re-size</v>
          </cell>
          <cell r="Y504" t="str">
            <v>Re-size</v>
          </cell>
          <cell r="Z504" t="str">
            <v>Re-size</v>
          </cell>
          <cell r="AA504" t="str">
            <v>Re-size</v>
          </cell>
          <cell r="AB504" t="str">
            <v>Re-size</v>
          </cell>
          <cell r="AC504" t="str">
            <v>Re-size</v>
          </cell>
          <cell r="AD504" t="str">
            <v>Re-size</v>
          </cell>
          <cell r="AE504" t="str">
            <v>Re-size</v>
          </cell>
        </row>
        <row r="505">
          <cell r="B505">
            <v>4.9600000000000302</v>
          </cell>
          <cell r="C505" t="str">
            <v>Re-size</v>
          </cell>
          <cell r="D505" t="str">
            <v>Re-size</v>
          </cell>
          <cell r="E505" t="str">
            <v>Re-size</v>
          </cell>
          <cell r="F505" t="str">
            <v>Re-size</v>
          </cell>
          <cell r="G505" t="str">
            <v>Re-size</v>
          </cell>
          <cell r="H505" t="str">
            <v>Re-size</v>
          </cell>
          <cell r="I505" t="str">
            <v>Re-size</v>
          </cell>
          <cell r="J505" t="str">
            <v>Re-size</v>
          </cell>
          <cell r="K505" t="str">
            <v>Re-size</v>
          </cell>
          <cell r="L505" t="str">
            <v>Re-size</v>
          </cell>
          <cell r="M505" t="str">
            <v>Re-size</v>
          </cell>
          <cell r="N505">
            <v>15.16</v>
          </cell>
          <cell r="O505">
            <v>8.89</v>
          </cell>
          <cell r="P505">
            <v>6.7</v>
          </cell>
          <cell r="Q505">
            <v>6.37</v>
          </cell>
          <cell r="R505">
            <v>3.7699999999999996</v>
          </cell>
          <cell r="S505">
            <v>2.9099999999999997</v>
          </cell>
          <cell r="T505">
            <v>2.63</v>
          </cell>
          <cell r="U505">
            <v>1.56</v>
          </cell>
          <cell r="V505">
            <v>1.21</v>
          </cell>
          <cell r="X505" t="str">
            <v>Re-size</v>
          </cell>
          <cell r="Y505" t="str">
            <v>Re-size</v>
          </cell>
          <cell r="Z505" t="str">
            <v>Re-size</v>
          </cell>
          <cell r="AA505" t="str">
            <v>Re-size</v>
          </cell>
          <cell r="AB505" t="str">
            <v>Re-size</v>
          </cell>
          <cell r="AC505" t="str">
            <v>Re-size</v>
          </cell>
          <cell r="AD505" t="str">
            <v>Re-size</v>
          </cell>
          <cell r="AE505" t="str">
            <v>Re-size</v>
          </cell>
        </row>
        <row r="506">
          <cell r="B506">
            <v>4.9700000000000299</v>
          </cell>
          <cell r="C506" t="str">
            <v>Re-size</v>
          </cell>
          <cell r="D506" t="str">
            <v>Re-size</v>
          </cell>
          <cell r="E506" t="str">
            <v>Re-size</v>
          </cell>
          <cell r="F506" t="str">
            <v>Re-size</v>
          </cell>
          <cell r="G506" t="str">
            <v>Re-size</v>
          </cell>
          <cell r="H506" t="str">
            <v>Re-size</v>
          </cell>
          <cell r="I506" t="str">
            <v>Re-size</v>
          </cell>
          <cell r="J506" t="str">
            <v>Re-size</v>
          </cell>
          <cell r="K506" t="str">
            <v>Re-size</v>
          </cell>
          <cell r="L506" t="str">
            <v>Re-size</v>
          </cell>
          <cell r="M506" t="str">
            <v>Re-size</v>
          </cell>
          <cell r="N506">
            <v>15.22</v>
          </cell>
          <cell r="O506">
            <v>8.93</v>
          </cell>
          <cell r="P506">
            <v>6.72</v>
          </cell>
          <cell r="Q506">
            <v>6.3999999999999995</v>
          </cell>
          <cell r="R506">
            <v>3.7899999999999996</v>
          </cell>
          <cell r="S506">
            <v>2.92</v>
          </cell>
          <cell r="T506">
            <v>2.64</v>
          </cell>
          <cell r="U506">
            <v>1.57</v>
          </cell>
          <cell r="V506">
            <v>1.21</v>
          </cell>
          <cell r="X506" t="str">
            <v>Re-size</v>
          </cell>
          <cell r="Y506" t="str">
            <v>Re-size</v>
          </cell>
          <cell r="Z506" t="str">
            <v>Re-size</v>
          </cell>
          <cell r="AA506" t="str">
            <v>Re-size</v>
          </cell>
          <cell r="AB506" t="str">
            <v>Re-size</v>
          </cell>
          <cell r="AC506" t="str">
            <v>Re-size</v>
          </cell>
          <cell r="AD506" t="str">
            <v>Re-size</v>
          </cell>
          <cell r="AE506" t="str">
            <v>Re-size</v>
          </cell>
        </row>
        <row r="507">
          <cell r="B507">
            <v>4.9800000000000297</v>
          </cell>
          <cell r="C507" t="str">
            <v>Re-size</v>
          </cell>
          <cell r="D507" t="str">
            <v>Re-size</v>
          </cell>
          <cell r="E507" t="str">
            <v>Re-size</v>
          </cell>
          <cell r="F507" t="str">
            <v>Re-size</v>
          </cell>
          <cell r="G507" t="str">
            <v>Re-size</v>
          </cell>
          <cell r="H507" t="str">
            <v>Re-size</v>
          </cell>
          <cell r="I507" t="str">
            <v>Re-size</v>
          </cell>
          <cell r="J507" t="str">
            <v>Re-size</v>
          </cell>
          <cell r="K507" t="str">
            <v>Re-size</v>
          </cell>
          <cell r="L507" t="str">
            <v>Re-size</v>
          </cell>
          <cell r="M507" t="str">
            <v>Re-size</v>
          </cell>
          <cell r="N507">
            <v>15.28</v>
          </cell>
          <cell r="O507">
            <v>8.9599999999999991</v>
          </cell>
          <cell r="P507">
            <v>6.74</v>
          </cell>
          <cell r="Q507">
            <v>6.42</v>
          </cell>
          <cell r="R507">
            <v>3.8</v>
          </cell>
          <cell r="S507">
            <v>2.9299999999999997</v>
          </cell>
          <cell r="T507">
            <v>2.65</v>
          </cell>
          <cell r="U507">
            <v>1.57</v>
          </cell>
          <cell r="V507">
            <v>1.22</v>
          </cell>
          <cell r="X507" t="str">
            <v>Re-size</v>
          </cell>
          <cell r="Y507" t="str">
            <v>Re-size</v>
          </cell>
          <cell r="Z507" t="str">
            <v>Re-size</v>
          </cell>
          <cell r="AA507" t="str">
            <v>Re-size</v>
          </cell>
          <cell r="AB507" t="str">
            <v>Re-size</v>
          </cell>
          <cell r="AC507" t="str">
            <v>Re-size</v>
          </cell>
          <cell r="AD507" t="str">
            <v>Re-size</v>
          </cell>
          <cell r="AE507" t="str">
            <v>Re-size</v>
          </cell>
        </row>
        <row r="508">
          <cell r="B508">
            <v>4.9900000000000304</v>
          </cell>
          <cell r="C508" t="str">
            <v>Re-size</v>
          </cell>
          <cell r="D508" t="str">
            <v>Re-size</v>
          </cell>
          <cell r="E508" t="str">
            <v>Re-size</v>
          </cell>
          <cell r="F508" t="str">
            <v>Re-size</v>
          </cell>
          <cell r="G508" t="str">
            <v>Re-size</v>
          </cell>
          <cell r="H508" t="str">
            <v>Re-size</v>
          </cell>
          <cell r="I508" t="str">
            <v>Re-size</v>
          </cell>
          <cell r="J508" t="str">
            <v>Re-size</v>
          </cell>
          <cell r="K508" t="str">
            <v>Re-size</v>
          </cell>
          <cell r="L508" t="str">
            <v>Re-size</v>
          </cell>
          <cell r="M508" t="str">
            <v>Re-size</v>
          </cell>
          <cell r="N508">
            <v>15.34</v>
          </cell>
          <cell r="O508">
            <v>9</v>
          </cell>
          <cell r="P508">
            <v>6.76</v>
          </cell>
          <cell r="Q508">
            <v>6.45</v>
          </cell>
          <cell r="R508">
            <v>3.82</v>
          </cell>
          <cell r="S508">
            <v>2.94</v>
          </cell>
          <cell r="T508">
            <v>2.66</v>
          </cell>
          <cell r="U508">
            <v>1.58</v>
          </cell>
          <cell r="V508">
            <v>1.22</v>
          </cell>
          <cell r="X508" t="str">
            <v>Re-size</v>
          </cell>
          <cell r="Y508" t="str">
            <v>Re-size</v>
          </cell>
          <cell r="Z508" t="str">
            <v>Re-size</v>
          </cell>
          <cell r="AA508" t="str">
            <v>Re-size</v>
          </cell>
          <cell r="AB508" t="str">
            <v>Re-size</v>
          </cell>
          <cell r="AC508" t="str">
            <v>Re-size</v>
          </cell>
          <cell r="AD508" t="str">
            <v>Re-size</v>
          </cell>
          <cell r="AE508" t="str">
            <v>Re-size</v>
          </cell>
        </row>
        <row r="509">
          <cell r="B509">
            <v>5.00000000000004</v>
          </cell>
          <cell r="C509" t="str">
            <v>Re-size</v>
          </cell>
          <cell r="D509" t="str">
            <v>Re-size</v>
          </cell>
          <cell r="E509" t="str">
            <v>Re-size</v>
          </cell>
          <cell r="F509" t="str">
            <v>Re-size</v>
          </cell>
          <cell r="G509" t="str">
            <v>Re-size</v>
          </cell>
          <cell r="H509" t="str">
            <v>Re-size</v>
          </cell>
          <cell r="I509" t="str">
            <v>Re-size</v>
          </cell>
          <cell r="J509" t="str">
            <v>Re-size</v>
          </cell>
          <cell r="K509" t="str">
            <v>Re-size</v>
          </cell>
          <cell r="L509" t="str">
            <v>Re-size</v>
          </cell>
          <cell r="M509" t="str">
            <v>Re-size</v>
          </cell>
          <cell r="N509">
            <v>15.4</v>
          </cell>
          <cell r="O509">
            <v>9.0299999999999994</v>
          </cell>
          <cell r="P509">
            <v>6.78</v>
          </cell>
          <cell r="Q509">
            <v>6.47</v>
          </cell>
          <cell r="R509">
            <v>3.83</v>
          </cell>
          <cell r="S509">
            <v>2.95</v>
          </cell>
          <cell r="T509">
            <v>2.67</v>
          </cell>
          <cell r="U509">
            <v>1.58</v>
          </cell>
          <cell r="V509">
            <v>1.22</v>
          </cell>
          <cell r="X509" t="str">
            <v>Re-size</v>
          </cell>
          <cell r="Y509" t="str">
            <v>Re-size</v>
          </cell>
          <cell r="Z509" t="str">
            <v>Re-size</v>
          </cell>
          <cell r="AA509" t="str">
            <v>Re-size</v>
          </cell>
          <cell r="AB509" t="str">
            <v>Re-size</v>
          </cell>
          <cell r="AC509" t="str">
            <v>Re-size</v>
          </cell>
          <cell r="AD509" t="str">
            <v>Re-size</v>
          </cell>
          <cell r="AE509" t="str">
            <v>Re-size</v>
          </cell>
        </row>
        <row r="510">
          <cell r="B510">
            <v>5.05</v>
          </cell>
          <cell r="C510" t="str">
            <v>Re-size</v>
          </cell>
          <cell r="D510" t="str">
            <v>Re-size</v>
          </cell>
          <cell r="E510" t="str">
            <v>Re-size</v>
          </cell>
          <cell r="F510" t="str">
            <v>Re-size</v>
          </cell>
          <cell r="G510" t="str">
            <v>Re-size</v>
          </cell>
          <cell r="H510" t="str">
            <v>Re-size</v>
          </cell>
          <cell r="I510" t="str">
            <v>Re-size</v>
          </cell>
          <cell r="J510" t="str">
            <v>Re-size</v>
          </cell>
          <cell r="K510" t="str">
            <v>Re-size</v>
          </cell>
          <cell r="L510" t="str">
            <v>Re-size</v>
          </cell>
          <cell r="M510" t="str">
            <v>Re-size</v>
          </cell>
          <cell r="N510">
            <v>15.62</v>
          </cell>
          <cell r="O510">
            <v>9.2100000000000009</v>
          </cell>
          <cell r="P510">
            <v>6.92</v>
          </cell>
          <cell r="Q510">
            <v>6.56</v>
          </cell>
          <cell r="R510">
            <v>3.89</v>
          </cell>
          <cell r="S510">
            <v>3.01</v>
          </cell>
          <cell r="T510">
            <v>2.7149999999999999</v>
          </cell>
          <cell r="U510">
            <v>1.61</v>
          </cell>
          <cell r="V510">
            <v>1.2450000000000001</v>
          </cell>
          <cell r="X510" t="str">
            <v>Re-size</v>
          </cell>
          <cell r="Y510" t="str">
            <v>Re-size</v>
          </cell>
          <cell r="Z510" t="str">
            <v>Re-size</v>
          </cell>
          <cell r="AA510" t="str">
            <v>Re-size</v>
          </cell>
          <cell r="AB510" t="str">
            <v>Re-size</v>
          </cell>
          <cell r="AC510" t="str">
            <v>Re-size</v>
          </cell>
          <cell r="AD510" t="str">
            <v>Re-size</v>
          </cell>
          <cell r="AE510" t="str">
            <v>Re-size</v>
          </cell>
        </row>
        <row r="511">
          <cell r="B511">
            <v>5.0999999999999996</v>
          </cell>
          <cell r="C511" t="str">
            <v>Re-size</v>
          </cell>
          <cell r="D511" t="str">
            <v>Re-size</v>
          </cell>
          <cell r="E511" t="str">
            <v>Re-size</v>
          </cell>
          <cell r="F511" t="str">
            <v>Re-size</v>
          </cell>
          <cell r="G511" t="str">
            <v>Re-size</v>
          </cell>
          <cell r="H511" t="str">
            <v>Re-size</v>
          </cell>
          <cell r="I511" t="str">
            <v>Re-size</v>
          </cell>
          <cell r="J511" t="str">
            <v>Re-size</v>
          </cell>
          <cell r="K511" t="str">
            <v>Re-size</v>
          </cell>
          <cell r="L511" t="str">
            <v>Re-size</v>
          </cell>
          <cell r="M511" t="str">
            <v>Re-size</v>
          </cell>
          <cell r="N511">
            <v>15.88</v>
          </cell>
          <cell r="O511">
            <v>9.34</v>
          </cell>
          <cell r="P511">
            <v>7.05</v>
          </cell>
          <cell r="Q511">
            <v>6.69</v>
          </cell>
          <cell r="R511">
            <v>3.97</v>
          </cell>
          <cell r="S511">
            <v>3.05</v>
          </cell>
          <cell r="T511">
            <v>2.76</v>
          </cell>
          <cell r="U511">
            <v>1.64</v>
          </cell>
          <cell r="V511">
            <v>1.27</v>
          </cell>
          <cell r="X511" t="str">
            <v>Re-size</v>
          </cell>
          <cell r="Y511" t="str">
            <v>Re-size</v>
          </cell>
          <cell r="Z511" t="str">
            <v>Re-size</v>
          </cell>
          <cell r="AA511" t="str">
            <v>Re-size</v>
          </cell>
          <cell r="AB511" t="str">
            <v>Re-size</v>
          </cell>
          <cell r="AC511" t="str">
            <v>Re-size</v>
          </cell>
          <cell r="AD511" t="str">
            <v>Re-size</v>
          </cell>
          <cell r="AE511" t="str">
            <v>Re-size</v>
          </cell>
        </row>
        <row r="512">
          <cell r="B512">
            <v>5.15</v>
          </cell>
          <cell r="C512" t="str">
            <v>Re-size</v>
          </cell>
          <cell r="D512" t="str">
            <v>Re-size</v>
          </cell>
          <cell r="E512" t="str">
            <v>Re-size</v>
          </cell>
          <cell r="F512" t="str">
            <v>Re-size</v>
          </cell>
          <cell r="G512" t="str">
            <v>Re-size</v>
          </cell>
          <cell r="H512" t="str">
            <v>Re-size</v>
          </cell>
          <cell r="I512" t="str">
            <v>Re-size</v>
          </cell>
          <cell r="J512" t="str">
            <v>Re-size</v>
          </cell>
          <cell r="K512" t="str">
            <v>Re-size</v>
          </cell>
          <cell r="L512" t="str">
            <v>Re-size</v>
          </cell>
          <cell r="M512" t="str">
            <v>Re-size</v>
          </cell>
          <cell r="N512">
            <v>16.149999999999999</v>
          </cell>
          <cell r="O512">
            <v>9.5299999999999994</v>
          </cell>
          <cell r="P512">
            <v>7.19</v>
          </cell>
          <cell r="Q512">
            <v>6.82</v>
          </cell>
          <cell r="R512">
            <v>4.04</v>
          </cell>
          <cell r="S512">
            <v>3.11</v>
          </cell>
          <cell r="T512">
            <v>2.81</v>
          </cell>
          <cell r="U512">
            <v>1.67</v>
          </cell>
          <cell r="V512">
            <v>1.29</v>
          </cell>
          <cell r="X512" t="str">
            <v>Re-size</v>
          </cell>
          <cell r="Y512" t="str">
            <v>Re-size</v>
          </cell>
          <cell r="Z512" t="str">
            <v>Re-size</v>
          </cell>
          <cell r="AA512" t="str">
            <v>Re-size</v>
          </cell>
          <cell r="AB512" t="str">
            <v>Re-size</v>
          </cell>
          <cell r="AC512" t="str">
            <v>Re-size</v>
          </cell>
          <cell r="AD512" t="str">
            <v>Re-size</v>
          </cell>
          <cell r="AE512" t="str">
            <v>Re-size</v>
          </cell>
        </row>
        <row r="513">
          <cell r="B513">
            <v>5.2</v>
          </cell>
          <cell r="C513" t="str">
            <v>Re-size</v>
          </cell>
          <cell r="D513" t="str">
            <v>Re-size</v>
          </cell>
          <cell r="E513" t="str">
            <v>Re-size</v>
          </cell>
          <cell r="F513" t="str">
            <v>Re-size</v>
          </cell>
          <cell r="G513" t="str">
            <v>Re-size</v>
          </cell>
          <cell r="H513" t="str">
            <v>Re-size</v>
          </cell>
          <cell r="I513" t="str">
            <v>Re-size</v>
          </cell>
          <cell r="J513" t="str">
            <v>Re-size</v>
          </cell>
          <cell r="K513" t="str">
            <v>Re-size</v>
          </cell>
          <cell r="L513" t="str">
            <v>Re-size</v>
          </cell>
          <cell r="M513" t="str">
            <v>Re-size</v>
          </cell>
          <cell r="N513">
            <v>16.420000000000002</v>
          </cell>
          <cell r="O513">
            <v>9.7100000000000009</v>
          </cell>
          <cell r="P513">
            <v>7.3</v>
          </cell>
          <cell r="Q513">
            <v>6.92</v>
          </cell>
          <cell r="R513">
            <v>4.0999999999999996</v>
          </cell>
          <cell r="S513">
            <v>3.17</v>
          </cell>
          <cell r="T513">
            <v>2.86</v>
          </cell>
          <cell r="U513">
            <v>1.7</v>
          </cell>
          <cell r="V513">
            <v>1.31</v>
          </cell>
          <cell r="X513" t="str">
            <v>Re-size</v>
          </cell>
          <cell r="Y513" t="str">
            <v>Re-size</v>
          </cell>
          <cell r="Z513" t="str">
            <v>Re-size</v>
          </cell>
          <cell r="AA513" t="str">
            <v>Re-size</v>
          </cell>
          <cell r="AB513" t="str">
            <v>Re-size</v>
          </cell>
          <cell r="AC513" t="str">
            <v>Re-size</v>
          </cell>
          <cell r="AD513" t="str">
            <v>Re-size</v>
          </cell>
          <cell r="AE513" t="str">
            <v>Re-size</v>
          </cell>
        </row>
        <row r="514">
          <cell r="B514">
            <v>5.25</v>
          </cell>
          <cell r="C514" t="str">
            <v>Re-size</v>
          </cell>
          <cell r="D514" t="str">
            <v>Re-size</v>
          </cell>
          <cell r="E514" t="str">
            <v>Re-size</v>
          </cell>
          <cell r="F514" t="str">
            <v>Re-size</v>
          </cell>
          <cell r="G514" t="str">
            <v>Re-size</v>
          </cell>
          <cell r="H514" t="str">
            <v>Re-size</v>
          </cell>
          <cell r="I514" t="str">
            <v>Re-size</v>
          </cell>
          <cell r="J514" t="str">
            <v>Re-size</v>
          </cell>
          <cell r="K514" t="str">
            <v>Re-size</v>
          </cell>
          <cell r="L514" t="str">
            <v>Re-size</v>
          </cell>
          <cell r="M514" t="str">
            <v>Re-size</v>
          </cell>
          <cell r="N514">
            <v>16.68</v>
          </cell>
          <cell r="O514">
            <v>9.9</v>
          </cell>
          <cell r="P514">
            <v>7.44</v>
          </cell>
          <cell r="Q514">
            <v>7.05</v>
          </cell>
          <cell r="R514">
            <v>4.18</v>
          </cell>
          <cell r="S514">
            <v>3.21</v>
          </cell>
          <cell r="T514">
            <v>2.915</v>
          </cell>
          <cell r="U514">
            <v>1.73</v>
          </cell>
          <cell r="V514">
            <v>1.335</v>
          </cell>
          <cell r="X514" t="str">
            <v>Re-size</v>
          </cell>
          <cell r="Y514" t="str">
            <v>Re-size</v>
          </cell>
          <cell r="Z514" t="str">
            <v>Re-size</v>
          </cell>
          <cell r="AA514" t="str">
            <v>Re-size</v>
          </cell>
          <cell r="AB514" t="str">
            <v>Re-size</v>
          </cell>
          <cell r="AC514" t="str">
            <v>Re-size</v>
          </cell>
          <cell r="AD514" t="str">
            <v>Re-size</v>
          </cell>
          <cell r="AE514" t="str">
            <v>Re-size</v>
          </cell>
        </row>
        <row r="515">
          <cell r="B515">
            <v>5.3</v>
          </cell>
          <cell r="C515" t="str">
            <v>Re-size</v>
          </cell>
          <cell r="D515" t="str">
            <v>Re-size</v>
          </cell>
          <cell r="E515" t="str">
            <v>Re-size</v>
          </cell>
          <cell r="F515" t="str">
            <v>Re-size</v>
          </cell>
          <cell r="G515" t="str">
            <v>Re-size</v>
          </cell>
          <cell r="H515" t="str">
            <v>Re-size</v>
          </cell>
          <cell r="I515" t="str">
            <v>Re-size</v>
          </cell>
          <cell r="J515" t="str">
            <v>Re-size</v>
          </cell>
          <cell r="K515" t="str">
            <v>Re-size</v>
          </cell>
          <cell r="L515" t="str">
            <v>Re-size</v>
          </cell>
          <cell r="M515" t="str">
            <v>Re-size</v>
          </cell>
          <cell r="N515">
            <v>16.95</v>
          </cell>
          <cell r="O515">
            <v>10.039999999999999</v>
          </cell>
          <cell r="P515">
            <v>7.58</v>
          </cell>
          <cell r="Q515">
            <v>7.19</v>
          </cell>
          <cell r="R515">
            <v>4.26</v>
          </cell>
          <cell r="S515">
            <v>3.28</v>
          </cell>
          <cell r="T515">
            <v>2.97</v>
          </cell>
          <cell r="U515">
            <v>1.76</v>
          </cell>
          <cell r="V515">
            <v>1.36</v>
          </cell>
          <cell r="X515" t="str">
            <v>Re-size</v>
          </cell>
          <cell r="Y515" t="str">
            <v>Re-size</v>
          </cell>
          <cell r="Z515" t="str">
            <v>Re-size</v>
          </cell>
          <cell r="AA515" t="str">
            <v>Re-size</v>
          </cell>
          <cell r="AB515" t="str">
            <v>Re-size</v>
          </cell>
          <cell r="AC515" t="str">
            <v>Re-size</v>
          </cell>
          <cell r="AD515" t="str">
            <v>Re-size</v>
          </cell>
          <cell r="AE515" t="str">
            <v>Re-size</v>
          </cell>
        </row>
        <row r="516">
          <cell r="B516">
            <v>5.35</v>
          </cell>
          <cell r="C516" t="str">
            <v>Re-size</v>
          </cell>
          <cell r="D516" t="str">
            <v>Re-size</v>
          </cell>
          <cell r="E516" t="str">
            <v>Re-size</v>
          </cell>
          <cell r="F516" t="str">
            <v>Re-size</v>
          </cell>
          <cell r="G516" t="str">
            <v>Re-size</v>
          </cell>
          <cell r="H516" t="str">
            <v>Re-size</v>
          </cell>
          <cell r="I516" t="str">
            <v>Re-size</v>
          </cell>
          <cell r="J516" t="str">
            <v>Re-size</v>
          </cell>
          <cell r="K516" t="str">
            <v>Re-size</v>
          </cell>
          <cell r="L516" t="str">
            <v>Re-size</v>
          </cell>
          <cell r="M516" t="str">
            <v>Re-size</v>
          </cell>
          <cell r="N516">
            <v>17.22</v>
          </cell>
          <cell r="O516">
            <v>10.23</v>
          </cell>
          <cell r="P516">
            <v>7.68</v>
          </cell>
          <cell r="Q516">
            <v>7.32</v>
          </cell>
          <cell r="R516">
            <v>4.32</v>
          </cell>
          <cell r="S516">
            <v>3.34</v>
          </cell>
          <cell r="T516">
            <v>3.02</v>
          </cell>
          <cell r="U516">
            <v>1.79</v>
          </cell>
          <cell r="V516">
            <v>1.38</v>
          </cell>
          <cell r="X516" t="str">
            <v>Re-size</v>
          </cell>
          <cell r="Y516" t="str">
            <v>Re-size</v>
          </cell>
          <cell r="Z516" t="str">
            <v>Re-size</v>
          </cell>
          <cell r="AA516" t="str">
            <v>Re-size</v>
          </cell>
          <cell r="AB516" t="str">
            <v>Re-size</v>
          </cell>
          <cell r="AC516" t="str">
            <v>Re-size</v>
          </cell>
          <cell r="AD516" t="str">
            <v>Re-size</v>
          </cell>
          <cell r="AE516" t="str">
            <v>Re-size</v>
          </cell>
        </row>
        <row r="517">
          <cell r="B517">
            <v>5.4</v>
          </cell>
          <cell r="C517" t="str">
            <v>Re-size</v>
          </cell>
          <cell r="D517" t="str">
            <v>Re-size</v>
          </cell>
          <cell r="E517" t="str">
            <v>Re-size</v>
          </cell>
          <cell r="F517" t="str">
            <v>Re-size</v>
          </cell>
          <cell r="G517" t="str">
            <v>Re-size</v>
          </cell>
          <cell r="H517" t="str">
            <v>Re-size</v>
          </cell>
          <cell r="I517" t="str">
            <v>Re-size</v>
          </cell>
          <cell r="J517" t="str">
            <v>Re-size</v>
          </cell>
          <cell r="K517" t="str">
            <v>Re-size</v>
          </cell>
          <cell r="L517" t="str">
            <v>Re-size</v>
          </cell>
          <cell r="M517" t="str">
            <v>Re-size</v>
          </cell>
          <cell r="N517" t="str">
            <v>Re-size</v>
          </cell>
          <cell r="O517">
            <v>10.42</v>
          </cell>
          <cell r="P517">
            <v>7.83</v>
          </cell>
          <cell r="Q517">
            <v>7.42</v>
          </cell>
          <cell r="R517">
            <v>4.4000000000000004</v>
          </cell>
          <cell r="S517">
            <v>3.38</v>
          </cell>
          <cell r="T517">
            <v>3.07</v>
          </cell>
          <cell r="U517">
            <v>1.82</v>
          </cell>
          <cell r="V517">
            <v>1.4</v>
          </cell>
          <cell r="X517" t="str">
            <v>Re-size</v>
          </cell>
          <cell r="Y517" t="str">
            <v>Re-size</v>
          </cell>
          <cell r="Z517" t="str">
            <v>Re-size</v>
          </cell>
          <cell r="AA517" t="str">
            <v>Re-size</v>
          </cell>
          <cell r="AB517" t="str">
            <v>Re-size</v>
          </cell>
          <cell r="AC517" t="str">
            <v>Re-size</v>
          </cell>
          <cell r="AD517" t="str">
            <v>Re-size</v>
          </cell>
          <cell r="AE517" t="str">
            <v>Re-size</v>
          </cell>
        </row>
        <row r="518">
          <cell r="B518">
            <v>5.45</v>
          </cell>
          <cell r="C518" t="str">
            <v>Re-size</v>
          </cell>
          <cell r="D518" t="str">
            <v>Re-size</v>
          </cell>
          <cell r="E518" t="str">
            <v>Re-size</v>
          </cell>
          <cell r="F518" t="str">
            <v>Re-size</v>
          </cell>
          <cell r="G518" t="str">
            <v>Re-size</v>
          </cell>
          <cell r="H518" t="str">
            <v>Re-size</v>
          </cell>
          <cell r="I518" t="str">
            <v>Re-size</v>
          </cell>
          <cell r="J518" t="str">
            <v>Re-size</v>
          </cell>
          <cell r="K518" t="str">
            <v>Re-size</v>
          </cell>
          <cell r="L518" t="str">
            <v>Re-size</v>
          </cell>
          <cell r="M518" t="str">
            <v>Re-size</v>
          </cell>
          <cell r="N518" t="str">
            <v>Re-size</v>
          </cell>
          <cell r="O518">
            <v>10.55</v>
          </cell>
          <cell r="P518">
            <v>7.97</v>
          </cell>
          <cell r="Q518">
            <v>7.56</v>
          </cell>
          <cell r="R518">
            <v>4.4800000000000004</v>
          </cell>
          <cell r="S518">
            <v>3.45</v>
          </cell>
          <cell r="T518">
            <v>3.12</v>
          </cell>
          <cell r="U518">
            <v>1.85</v>
          </cell>
          <cell r="V518">
            <v>1.425</v>
          </cell>
          <cell r="X518" t="str">
            <v>Re-size</v>
          </cell>
          <cell r="Y518" t="str">
            <v>Re-size</v>
          </cell>
          <cell r="Z518" t="str">
            <v>Re-size</v>
          </cell>
          <cell r="AA518" t="str">
            <v>Re-size</v>
          </cell>
          <cell r="AB518" t="str">
            <v>Re-size</v>
          </cell>
          <cell r="AC518" t="str">
            <v>Re-size</v>
          </cell>
          <cell r="AD518" t="str">
            <v>Re-size</v>
          </cell>
          <cell r="AE518" t="str">
            <v>Re-size</v>
          </cell>
        </row>
        <row r="519">
          <cell r="B519">
            <v>5.5</v>
          </cell>
          <cell r="C519" t="str">
            <v>Re-size</v>
          </cell>
          <cell r="D519" t="str">
            <v>Re-size</v>
          </cell>
          <cell r="E519" t="str">
            <v>Re-size</v>
          </cell>
          <cell r="F519" t="str">
            <v>Re-size</v>
          </cell>
          <cell r="G519" t="str">
            <v>Re-size</v>
          </cell>
          <cell r="H519" t="str">
            <v>Re-size</v>
          </cell>
          <cell r="I519" t="str">
            <v>Re-size</v>
          </cell>
          <cell r="J519" t="str">
            <v>Re-size</v>
          </cell>
          <cell r="K519" t="str">
            <v>Re-size</v>
          </cell>
          <cell r="L519" t="str">
            <v>Re-size</v>
          </cell>
          <cell r="M519" t="str">
            <v>Re-size</v>
          </cell>
          <cell r="N519" t="str">
            <v>Re-size</v>
          </cell>
          <cell r="O519">
            <v>10.75</v>
          </cell>
          <cell r="P519">
            <v>8.07</v>
          </cell>
          <cell r="Q519">
            <v>7.7</v>
          </cell>
          <cell r="R519">
            <v>4.54</v>
          </cell>
          <cell r="S519">
            <v>3.51</v>
          </cell>
          <cell r="T519">
            <v>3.17</v>
          </cell>
          <cell r="U519">
            <v>1.88</v>
          </cell>
          <cell r="V519">
            <v>1.45</v>
          </cell>
          <cell r="X519" t="str">
            <v>Re-size</v>
          </cell>
          <cell r="Y519" t="str">
            <v>Re-size</v>
          </cell>
          <cell r="Z519" t="str">
            <v>Re-size</v>
          </cell>
          <cell r="AA519" t="str">
            <v>Re-size</v>
          </cell>
          <cell r="AB519" t="str">
            <v>Re-size</v>
          </cell>
          <cell r="AC519" t="str">
            <v>Re-size</v>
          </cell>
          <cell r="AD519" t="str">
            <v>Re-size</v>
          </cell>
          <cell r="AE519" t="str">
            <v>Re-size</v>
          </cell>
        </row>
        <row r="520">
          <cell r="B520">
            <v>5.55</v>
          </cell>
          <cell r="C520" t="str">
            <v>Re-size</v>
          </cell>
          <cell r="D520" t="str">
            <v>Re-size</v>
          </cell>
          <cell r="E520" t="str">
            <v>Re-size</v>
          </cell>
          <cell r="F520" t="str">
            <v>Re-size</v>
          </cell>
          <cell r="G520" t="str">
            <v>Re-size</v>
          </cell>
          <cell r="H520" t="str">
            <v>Re-size</v>
          </cell>
          <cell r="I520" t="str">
            <v>Re-size</v>
          </cell>
          <cell r="J520" t="str">
            <v>Re-size</v>
          </cell>
          <cell r="K520" t="str">
            <v>Re-size</v>
          </cell>
          <cell r="L520" t="str">
            <v>Re-size</v>
          </cell>
          <cell r="M520" t="str">
            <v>Re-size</v>
          </cell>
          <cell r="N520" t="str">
            <v>Re-size</v>
          </cell>
          <cell r="O520">
            <v>10.95</v>
          </cell>
          <cell r="P520">
            <v>8.2200000000000006</v>
          </cell>
          <cell r="Q520">
            <v>7.8</v>
          </cell>
          <cell r="R520">
            <v>4.62</v>
          </cell>
          <cell r="S520">
            <v>3.56</v>
          </cell>
          <cell r="T520">
            <v>3.2250000000000001</v>
          </cell>
          <cell r="U520">
            <v>1.91</v>
          </cell>
          <cell r="V520">
            <v>1.4750000000000001</v>
          </cell>
          <cell r="X520" t="str">
            <v>Re-size</v>
          </cell>
          <cell r="Y520" t="str">
            <v>Re-size</v>
          </cell>
          <cell r="Z520" t="str">
            <v>Re-size</v>
          </cell>
          <cell r="AA520" t="str">
            <v>Re-size</v>
          </cell>
          <cell r="AB520" t="str">
            <v>Re-size</v>
          </cell>
          <cell r="AC520" t="str">
            <v>Re-size</v>
          </cell>
          <cell r="AD520" t="str">
            <v>Re-size</v>
          </cell>
          <cell r="AE520" t="str">
            <v>Re-size</v>
          </cell>
        </row>
        <row r="521">
          <cell r="B521">
            <v>5.6</v>
          </cell>
          <cell r="C521" t="str">
            <v>Re-size</v>
          </cell>
          <cell r="D521" t="str">
            <v>Re-size</v>
          </cell>
          <cell r="E521" t="str">
            <v>Re-size</v>
          </cell>
          <cell r="F521" t="str">
            <v>Re-size</v>
          </cell>
          <cell r="G521" t="str">
            <v>Re-size</v>
          </cell>
          <cell r="H521" t="str">
            <v>Re-size</v>
          </cell>
          <cell r="I521" t="str">
            <v>Re-size</v>
          </cell>
          <cell r="J521" t="str">
            <v>Re-size</v>
          </cell>
          <cell r="K521" t="str">
            <v>Re-size</v>
          </cell>
          <cell r="L521" t="str">
            <v>Re-size</v>
          </cell>
          <cell r="M521" t="str">
            <v>Re-size</v>
          </cell>
          <cell r="N521" t="str">
            <v>Re-size</v>
          </cell>
          <cell r="O521">
            <v>11.14</v>
          </cell>
          <cell r="P521">
            <v>8.3699999999999992</v>
          </cell>
          <cell r="Q521">
            <v>7.94</v>
          </cell>
          <cell r="R521">
            <v>4.71</v>
          </cell>
          <cell r="S521">
            <v>3.62</v>
          </cell>
          <cell r="T521">
            <v>3.28</v>
          </cell>
          <cell r="U521">
            <v>1.94</v>
          </cell>
          <cell r="V521">
            <v>1.5</v>
          </cell>
          <cell r="X521" t="str">
            <v>Re-size</v>
          </cell>
          <cell r="Y521" t="str">
            <v>Re-size</v>
          </cell>
          <cell r="Z521" t="str">
            <v>Re-size</v>
          </cell>
          <cell r="AA521" t="str">
            <v>Re-size</v>
          </cell>
          <cell r="AB521" t="str">
            <v>Re-size</v>
          </cell>
          <cell r="AC521" t="str">
            <v>Re-size</v>
          </cell>
          <cell r="AD521" t="str">
            <v>Re-size</v>
          </cell>
          <cell r="AE521" t="str">
            <v>Re-size</v>
          </cell>
        </row>
        <row r="522">
          <cell r="B522">
            <v>5.65</v>
          </cell>
          <cell r="C522" t="str">
            <v>Re-size</v>
          </cell>
          <cell r="D522" t="str">
            <v>Re-size</v>
          </cell>
          <cell r="E522" t="str">
            <v>Re-size</v>
          </cell>
          <cell r="F522" t="str">
            <v>Re-size</v>
          </cell>
          <cell r="G522" t="str">
            <v>Re-size</v>
          </cell>
          <cell r="H522" t="str">
            <v>Re-size</v>
          </cell>
          <cell r="I522" t="str">
            <v>Re-size</v>
          </cell>
          <cell r="J522" t="str">
            <v>Re-size</v>
          </cell>
          <cell r="K522" t="str">
            <v>Re-size</v>
          </cell>
          <cell r="L522" t="str">
            <v>Re-size</v>
          </cell>
          <cell r="M522" t="str">
            <v>Re-size</v>
          </cell>
          <cell r="N522" t="str">
            <v>Re-size</v>
          </cell>
          <cell r="O522">
            <v>11.28</v>
          </cell>
          <cell r="P522">
            <v>8.52</v>
          </cell>
          <cell r="Q522">
            <v>8.08</v>
          </cell>
          <cell r="R522">
            <v>4.7699999999999996</v>
          </cell>
          <cell r="S522">
            <v>3.68</v>
          </cell>
          <cell r="T522">
            <v>3.33</v>
          </cell>
          <cell r="U522">
            <v>1.97</v>
          </cell>
          <cell r="V522">
            <v>1.5249999999999999</v>
          </cell>
          <cell r="X522" t="str">
            <v>Re-size</v>
          </cell>
          <cell r="Y522" t="str">
            <v>Re-size</v>
          </cell>
          <cell r="Z522" t="str">
            <v>Re-size</v>
          </cell>
          <cell r="AA522" t="str">
            <v>Re-size</v>
          </cell>
          <cell r="AB522" t="str">
            <v>Re-size</v>
          </cell>
          <cell r="AC522" t="str">
            <v>Re-size</v>
          </cell>
          <cell r="AD522" t="str">
            <v>Re-size</v>
          </cell>
          <cell r="AE522" t="str">
            <v>Re-size</v>
          </cell>
        </row>
        <row r="523">
          <cell r="B523">
            <v>5.7</v>
          </cell>
          <cell r="C523" t="str">
            <v>Re-size</v>
          </cell>
          <cell r="D523" t="str">
            <v>Re-size</v>
          </cell>
          <cell r="E523" t="str">
            <v>Re-size</v>
          </cell>
          <cell r="F523" t="str">
            <v>Re-size</v>
          </cell>
          <cell r="G523" t="str">
            <v>Re-size</v>
          </cell>
          <cell r="H523" t="str">
            <v>Re-size</v>
          </cell>
          <cell r="I523" t="str">
            <v>Re-size</v>
          </cell>
          <cell r="J523" t="str">
            <v>Re-size</v>
          </cell>
          <cell r="K523" t="str">
            <v>Re-size</v>
          </cell>
          <cell r="L523" t="str">
            <v>Re-size</v>
          </cell>
          <cell r="M523" t="str">
            <v>Re-size</v>
          </cell>
          <cell r="N523" t="str">
            <v>Re-size</v>
          </cell>
          <cell r="O523">
            <v>11.48</v>
          </cell>
          <cell r="P523">
            <v>8.6300000000000008</v>
          </cell>
          <cell r="Q523">
            <v>8.23</v>
          </cell>
          <cell r="R523">
            <v>4.8499999999999996</v>
          </cell>
          <cell r="S523">
            <v>3.75</v>
          </cell>
          <cell r="T523">
            <v>3.38</v>
          </cell>
          <cell r="U523">
            <v>2</v>
          </cell>
          <cell r="V523">
            <v>1.55</v>
          </cell>
          <cell r="X523" t="str">
            <v>Re-size</v>
          </cell>
          <cell r="Y523" t="str">
            <v>Re-size</v>
          </cell>
          <cell r="Z523" t="str">
            <v>Re-size</v>
          </cell>
          <cell r="AA523" t="str">
            <v>Re-size</v>
          </cell>
          <cell r="AB523" t="str">
            <v>Re-size</v>
          </cell>
          <cell r="AC523" t="str">
            <v>Re-size</v>
          </cell>
          <cell r="AD523" t="str">
            <v>Re-size</v>
          </cell>
          <cell r="AE523" t="str">
            <v>Re-size</v>
          </cell>
        </row>
        <row r="524">
          <cell r="B524">
            <v>5.75</v>
          </cell>
          <cell r="C524" t="str">
            <v>Re-size</v>
          </cell>
          <cell r="D524" t="str">
            <v>Re-size</v>
          </cell>
          <cell r="E524" t="str">
            <v>Re-size</v>
          </cell>
          <cell r="F524" t="str">
            <v>Re-size</v>
          </cell>
          <cell r="G524" t="str">
            <v>Re-size</v>
          </cell>
          <cell r="H524" t="str">
            <v>Re-size</v>
          </cell>
          <cell r="I524" t="str">
            <v>Re-size</v>
          </cell>
          <cell r="J524" t="str">
            <v>Re-size</v>
          </cell>
          <cell r="K524" t="str">
            <v>Re-size</v>
          </cell>
          <cell r="L524" t="str">
            <v>Re-size</v>
          </cell>
          <cell r="M524" t="str">
            <v>Re-size</v>
          </cell>
          <cell r="N524" t="str">
            <v>Re-size</v>
          </cell>
          <cell r="O524">
            <v>11.69</v>
          </cell>
          <cell r="P524">
            <v>8.7799999999999994</v>
          </cell>
          <cell r="Q524">
            <v>8.33</v>
          </cell>
          <cell r="R524">
            <v>4.9400000000000004</v>
          </cell>
          <cell r="S524">
            <v>3.8</v>
          </cell>
          <cell r="T524">
            <v>3.43</v>
          </cell>
          <cell r="U524">
            <v>2.0350000000000001</v>
          </cell>
          <cell r="V524">
            <v>1.575</v>
          </cell>
          <cell r="X524" t="str">
            <v>Re-size</v>
          </cell>
          <cell r="Y524" t="str">
            <v>Re-size</v>
          </cell>
          <cell r="Z524" t="str">
            <v>Re-size</v>
          </cell>
          <cell r="AA524" t="str">
            <v>Re-size</v>
          </cell>
          <cell r="AB524" t="str">
            <v>Re-size</v>
          </cell>
          <cell r="AC524" t="str">
            <v>Re-size</v>
          </cell>
          <cell r="AD524" t="str">
            <v>Re-size</v>
          </cell>
          <cell r="AE524" t="str">
            <v>Re-size</v>
          </cell>
        </row>
        <row r="525">
          <cell r="B525">
            <v>5.8</v>
          </cell>
          <cell r="C525" t="str">
            <v>Re-size</v>
          </cell>
          <cell r="D525" t="str">
            <v>Re-size</v>
          </cell>
          <cell r="E525" t="str">
            <v>Re-size</v>
          </cell>
          <cell r="F525" t="str">
            <v>Re-size</v>
          </cell>
          <cell r="G525" t="str">
            <v>Re-size</v>
          </cell>
          <cell r="H525" t="str">
            <v>Re-size</v>
          </cell>
          <cell r="I525" t="str">
            <v>Re-size</v>
          </cell>
          <cell r="J525" t="str">
            <v>Re-size</v>
          </cell>
          <cell r="K525" t="str">
            <v>Re-size</v>
          </cell>
          <cell r="L525" t="str">
            <v>Re-size</v>
          </cell>
          <cell r="M525" t="str">
            <v>Re-size</v>
          </cell>
          <cell r="N525" t="str">
            <v>Re-size</v>
          </cell>
          <cell r="O525">
            <v>11.89</v>
          </cell>
          <cell r="P525">
            <v>8.93</v>
          </cell>
          <cell r="Q525">
            <v>8.42</v>
          </cell>
          <cell r="R525">
            <v>5.0199999999999996</v>
          </cell>
          <cell r="S525">
            <v>3.86</v>
          </cell>
          <cell r="T525">
            <v>3.48</v>
          </cell>
          <cell r="U525">
            <v>2.0699999999999998</v>
          </cell>
          <cell r="V525">
            <v>1.6</v>
          </cell>
          <cell r="X525" t="str">
            <v>Re-size</v>
          </cell>
          <cell r="Y525" t="str">
            <v>Re-size</v>
          </cell>
          <cell r="Z525" t="str">
            <v>Re-size</v>
          </cell>
          <cell r="AA525" t="str">
            <v>Re-size</v>
          </cell>
          <cell r="AB525" t="str">
            <v>Re-size</v>
          </cell>
          <cell r="AC525" t="str">
            <v>Re-size</v>
          </cell>
          <cell r="AD525" t="str">
            <v>Re-size</v>
          </cell>
          <cell r="AE525" t="str">
            <v>Re-size</v>
          </cell>
        </row>
        <row r="526">
          <cell r="B526">
            <v>5.85</v>
          </cell>
          <cell r="C526" t="str">
            <v>Re-size</v>
          </cell>
          <cell r="D526" t="str">
            <v>Re-size</v>
          </cell>
          <cell r="E526" t="str">
            <v>Re-size</v>
          </cell>
          <cell r="F526" t="str">
            <v>Re-size</v>
          </cell>
          <cell r="G526" t="str">
            <v>Re-size</v>
          </cell>
          <cell r="H526" t="str">
            <v>Re-size</v>
          </cell>
          <cell r="I526" t="str">
            <v>Re-size</v>
          </cell>
          <cell r="J526" t="str">
            <v>Re-size</v>
          </cell>
          <cell r="K526" t="str">
            <v>Re-size</v>
          </cell>
          <cell r="L526" t="str">
            <v>Re-size</v>
          </cell>
          <cell r="M526" t="str">
            <v>Re-size</v>
          </cell>
          <cell r="N526" t="str">
            <v>Re-size</v>
          </cell>
          <cell r="O526">
            <v>12.03</v>
          </cell>
          <cell r="P526">
            <v>9.09</v>
          </cell>
          <cell r="Q526">
            <v>8.6199999999999992</v>
          </cell>
          <cell r="R526">
            <v>5.08</v>
          </cell>
          <cell r="S526">
            <v>3.93</v>
          </cell>
          <cell r="T526">
            <v>3.54</v>
          </cell>
          <cell r="U526">
            <v>2.105</v>
          </cell>
          <cell r="V526">
            <v>1.625</v>
          </cell>
          <cell r="X526" t="str">
            <v>Re-size</v>
          </cell>
          <cell r="Y526" t="str">
            <v>Re-size</v>
          </cell>
          <cell r="Z526" t="str">
            <v>Re-size</v>
          </cell>
          <cell r="AA526" t="str">
            <v>Re-size</v>
          </cell>
          <cell r="AB526" t="str">
            <v>Re-size</v>
          </cell>
          <cell r="AC526" t="str">
            <v>Re-size</v>
          </cell>
          <cell r="AD526" t="str">
            <v>Re-size</v>
          </cell>
          <cell r="AE526" t="str">
            <v>Re-size</v>
          </cell>
        </row>
        <row r="527">
          <cell r="B527">
            <v>5.9</v>
          </cell>
          <cell r="C527" t="str">
            <v>Re-size</v>
          </cell>
          <cell r="D527" t="str">
            <v>Re-size</v>
          </cell>
          <cell r="E527" t="str">
            <v>Re-size</v>
          </cell>
          <cell r="F527" t="str">
            <v>Re-size</v>
          </cell>
          <cell r="G527" t="str">
            <v>Re-size</v>
          </cell>
          <cell r="H527" t="str">
            <v>Re-size</v>
          </cell>
          <cell r="I527" t="str">
            <v>Re-size</v>
          </cell>
          <cell r="J527" t="str">
            <v>Re-size</v>
          </cell>
          <cell r="K527" t="str">
            <v>Re-size</v>
          </cell>
          <cell r="L527" t="str">
            <v>Re-size</v>
          </cell>
          <cell r="M527" t="str">
            <v>Re-size</v>
          </cell>
          <cell r="N527" t="str">
            <v>Re-size</v>
          </cell>
          <cell r="O527">
            <v>12.24</v>
          </cell>
          <cell r="P527">
            <v>9.19</v>
          </cell>
          <cell r="Q527">
            <v>8.7200000000000006</v>
          </cell>
          <cell r="R527">
            <v>5.17</v>
          </cell>
          <cell r="S527">
            <v>3.98</v>
          </cell>
          <cell r="T527">
            <v>3.6</v>
          </cell>
          <cell r="U527">
            <v>2.14</v>
          </cell>
          <cell r="V527">
            <v>1.65</v>
          </cell>
          <cell r="X527" t="str">
            <v>Re-size</v>
          </cell>
          <cell r="Y527" t="str">
            <v>Re-size</v>
          </cell>
          <cell r="Z527" t="str">
            <v>Re-size</v>
          </cell>
          <cell r="AA527" t="str">
            <v>Re-size</v>
          </cell>
          <cell r="AB527" t="str">
            <v>Re-size</v>
          </cell>
          <cell r="AC527" t="str">
            <v>Re-size</v>
          </cell>
          <cell r="AD527" t="str">
            <v>Re-size</v>
          </cell>
          <cell r="AE527" t="str">
            <v>Re-size</v>
          </cell>
        </row>
        <row r="528">
          <cell r="B528">
            <v>5.95</v>
          </cell>
          <cell r="C528" t="str">
            <v>Re-size</v>
          </cell>
          <cell r="D528" t="str">
            <v>Re-size</v>
          </cell>
          <cell r="E528" t="str">
            <v>Re-size</v>
          </cell>
          <cell r="F528" t="str">
            <v>Re-size</v>
          </cell>
          <cell r="G528" t="str">
            <v>Re-size</v>
          </cell>
          <cell r="H528" t="str">
            <v>Re-size</v>
          </cell>
          <cell r="I528" t="str">
            <v>Re-size</v>
          </cell>
          <cell r="J528" t="str">
            <v>Re-size</v>
          </cell>
          <cell r="K528" t="str">
            <v>Re-size</v>
          </cell>
          <cell r="L528" t="str">
            <v>Re-size</v>
          </cell>
          <cell r="M528" t="str">
            <v>Re-size</v>
          </cell>
          <cell r="N528" t="str">
            <v>Re-size</v>
          </cell>
          <cell r="O528">
            <v>12.44</v>
          </cell>
          <cell r="P528">
            <v>9.35</v>
          </cell>
          <cell r="Q528">
            <v>8.8699999999999992</v>
          </cell>
          <cell r="R528">
            <v>5.26</v>
          </cell>
          <cell r="S528">
            <v>4.04</v>
          </cell>
          <cell r="T528">
            <v>3.6549999999999998</v>
          </cell>
          <cell r="U528">
            <v>2.17</v>
          </cell>
          <cell r="V528">
            <v>1.675</v>
          </cell>
          <cell r="X528" t="str">
            <v>Re-size</v>
          </cell>
          <cell r="Y528" t="str">
            <v>Re-size</v>
          </cell>
          <cell r="Z528" t="str">
            <v>Re-size</v>
          </cell>
          <cell r="AA528" t="str">
            <v>Re-size</v>
          </cell>
          <cell r="AB528" t="str">
            <v>Re-size</v>
          </cell>
          <cell r="AC528" t="str">
            <v>Re-size</v>
          </cell>
          <cell r="AD528" t="str">
            <v>Re-size</v>
          </cell>
          <cell r="AE528" t="str">
            <v>Re-size</v>
          </cell>
        </row>
        <row r="529">
          <cell r="B529">
            <v>6</v>
          </cell>
          <cell r="C529" t="str">
            <v>Re-size</v>
          </cell>
          <cell r="D529" t="str">
            <v>Re-size</v>
          </cell>
          <cell r="E529" t="str">
            <v>Re-size</v>
          </cell>
          <cell r="F529" t="str">
            <v>Re-size</v>
          </cell>
          <cell r="G529" t="str">
            <v>Re-size</v>
          </cell>
          <cell r="H529" t="str">
            <v>Re-size</v>
          </cell>
          <cell r="I529" t="str">
            <v>Re-size</v>
          </cell>
          <cell r="J529" t="str">
            <v>Re-size</v>
          </cell>
          <cell r="K529" t="str">
            <v>Re-size</v>
          </cell>
          <cell r="L529" t="str">
            <v>Re-size</v>
          </cell>
          <cell r="M529" t="str">
            <v>Re-size</v>
          </cell>
          <cell r="N529" t="str">
            <v>Re-size</v>
          </cell>
          <cell r="O529">
            <v>12.65</v>
          </cell>
          <cell r="P529">
            <v>9.51</v>
          </cell>
          <cell r="Q529">
            <v>9.02</v>
          </cell>
          <cell r="R529">
            <v>5.32</v>
          </cell>
          <cell r="S529">
            <v>4.1100000000000003</v>
          </cell>
          <cell r="T529">
            <v>3.71</v>
          </cell>
          <cell r="U529">
            <v>2.2000000000000002</v>
          </cell>
          <cell r="V529">
            <v>1.7</v>
          </cell>
          <cell r="X529" t="str">
            <v>Re-size</v>
          </cell>
          <cell r="Y529" t="str">
            <v>Re-size</v>
          </cell>
          <cell r="Z529" t="str">
            <v>Re-size</v>
          </cell>
          <cell r="AA529" t="str">
            <v>Re-size</v>
          </cell>
          <cell r="AB529" t="str">
            <v>Re-size</v>
          </cell>
          <cell r="AC529" t="str">
            <v>Re-size</v>
          </cell>
          <cell r="AD529" t="str">
            <v>Re-size</v>
          </cell>
          <cell r="AE529" t="str">
            <v>Re-size</v>
          </cell>
        </row>
        <row r="530">
          <cell r="B530">
            <v>6.05</v>
          </cell>
          <cell r="C530" t="str">
            <v>Re-size</v>
          </cell>
          <cell r="D530" t="str">
            <v>Re-size</v>
          </cell>
          <cell r="E530" t="str">
            <v>Re-size</v>
          </cell>
          <cell r="F530" t="str">
            <v>Re-size</v>
          </cell>
          <cell r="G530" t="str">
            <v>Re-size</v>
          </cell>
          <cell r="H530" t="str">
            <v>Re-size</v>
          </cell>
          <cell r="I530" t="str">
            <v>Re-size</v>
          </cell>
          <cell r="J530" t="str">
            <v>Re-size</v>
          </cell>
          <cell r="K530" t="str">
            <v>Re-size</v>
          </cell>
          <cell r="L530" t="str">
            <v>Re-size</v>
          </cell>
          <cell r="M530" t="str">
            <v>Re-size</v>
          </cell>
          <cell r="N530" t="str">
            <v>Re-size</v>
          </cell>
          <cell r="O530">
            <v>12.8</v>
          </cell>
          <cell r="P530">
            <v>9.61</v>
          </cell>
          <cell r="Q530">
            <v>9.17</v>
          </cell>
          <cell r="R530">
            <v>5.41</v>
          </cell>
          <cell r="S530">
            <v>4.18</v>
          </cell>
          <cell r="T530">
            <v>3.77</v>
          </cell>
          <cell r="U530">
            <v>2.2349999999999999</v>
          </cell>
          <cell r="V530">
            <v>1.7250000000000001</v>
          </cell>
          <cell r="X530" t="str">
            <v>Re-size</v>
          </cell>
          <cell r="Y530" t="str">
            <v>Re-size</v>
          </cell>
          <cell r="Z530" t="str">
            <v>Re-size</v>
          </cell>
          <cell r="AA530" t="str">
            <v>Re-size</v>
          </cell>
          <cell r="AB530" t="str">
            <v>Re-size</v>
          </cell>
          <cell r="AC530" t="str">
            <v>Re-size</v>
          </cell>
          <cell r="AD530" t="str">
            <v>Re-size</v>
          </cell>
          <cell r="AE530" t="str">
            <v>Re-size</v>
          </cell>
        </row>
        <row r="531">
          <cell r="B531">
            <v>6.1</v>
          </cell>
          <cell r="C531" t="str">
            <v>Re-size</v>
          </cell>
          <cell r="D531" t="str">
            <v>Re-size</v>
          </cell>
          <cell r="E531" t="str">
            <v>Re-size</v>
          </cell>
          <cell r="F531" t="str">
            <v>Re-size</v>
          </cell>
          <cell r="G531" t="str">
            <v>Re-size</v>
          </cell>
          <cell r="H531" t="str">
            <v>Re-size</v>
          </cell>
          <cell r="I531" t="str">
            <v>Re-size</v>
          </cell>
          <cell r="J531" t="str">
            <v>Re-size</v>
          </cell>
          <cell r="K531" t="str">
            <v>Re-size</v>
          </cell>
          <cell r="L531" t="str">
            <v>Re-size</v>
          </cell>
          <cell r="M531" t="str">
            <v>Re-size</v>
          </cell>
          <cell r="N531" t="str">
            <v>Re-size</v>
          </cell>
          <cell r="O531">
            <v>13.01</v>
          </cell>
          <cell r="P531">
            <v>9.77</v>
          </cell>
          <cell r="Q531">
            <v>9.27</v>
          </cell>
          <cell r="R531">
            <v>5.5</v>
          </cell>
          <cell r="S531">
            <v>4.2300000000000004</v>
          </cell>
          <cell r="T531">
            <v>3.83</v>
          </cell>
          <cell r="U531">
            <v>2.27</v>
          </cell>
          <cell r="V531">
            <v>1.75</v>
          </cell>
          <cell r="X531" t="str">
            <v>Re-size</v>
          </cell>
          <cell r="Y531" t="str">
            <v>Re-size</v>
          </cell>
          <cell r="Z531" t="str">
            <v>Re-size</v>
          </cell>
          <cell r="AA531" t="str">
            <v>Re-size</v>
          </cell>
          <cell r="AB531" t="str">
            <v>Re-size</v>
          </cell>
          <cell r="AC531" t="str">
            <v>Re-size</v>
          </cell>
          <cell r="AD531" t="str">
            <v>Re-size</v>
          </cell>
          <cell r="AE531" t="str">
            <v>Re-size</v>
          </cell>
        </row>
        <row r="532">
          <cell r="B532">
            <v>6.15</v>
          </cell>
          <cell r="C532" t="str">
            <v>Re-size</v>
          </cell>
          <cell r="D532" t="str">
            <v>Re-size</v>
          </cell>
          <cell r="E532" t="str">
            <v>Re-size</v>
          </cell>
          <cell r="F532" t="str">
            <v>Re-size</v>
          </cell>
          <cell r="G532" t="str">
            <v>Re-size</v>
          </cell>
          <cell r="H532" t="str">
            <v>Re-size</v>
          </cell>
          <cell r="I532" t="str">
            <v>Re-size</v>
          </cell>
          <cell r="J532" t="str">
            <v>Re-size</v>
          </cell>
          <cell r="K532" t="str">
            <v>Re-size</v>
          </cell>
          <cell r="L532" t="str">
            <v>Re-size</v>
          </cell>
          <cell r="M532" t="str">
            <v>Re-size</v>
          </cell>
          <cell r="N532" t="str">
            <v>Re-size</v>
          </cell>
          <cell r="O532">
            <v>13.22</v>
          </cell>
          <cell r="P532">
            <v>9.93</v>
          </cell>
          <cell r="Q532">
            <v>9.42</v>
          </cell>
          <cell r="R532">
            <v>5.59</v>
          </cell>
          <cell r="S532">
            <v>4.3</v>
          </cell>
          <cell r="T532">
            <v>3.8849999999999998</v>
          </cell>
          <cell r="U532">
            <v>2.2999999999999998</v>
          </cell>
          <cell r="V532">
            <v>1.7749999999999999</v>
          </cell>
          <cell r="X532" t="str">
            <v>Re-size</v>
          </cell>
          <cell r="Y532" t="str">
            <v>Re-size</v>
          </cell>
          <cell r="Z532" t="str">
            <v>Re-size</v>
          </cell>
          <cell r="AA532" t="str">
            <v>Re-size</v>
          </cell>
          <cell r="AB532" t="str">
            <v>Re-size</v>
          </cell>
          <cell r="AC532" t="str">
            <v>Re-size</v>
          </cell>
          <cell r="AD532" t="str">
            <v>Re-size</v>
          </cell>
          <cell r="AE532" t="str">
            <v>Re-size</v>
          </cell>
        </row>
        <row r="533">
          <cell r="B533">
            <v>6.2</v>
          </cell>
          <cell r="C533" t="str">
            <v>Re-size</v>
          </cell>
          <cell r="D533" t="str">
            <v>Re-size</v>
          </cell>
          <cell r="E533" t="str">
            <v>Re-size</v>
          </cell>
          <cell r="F533" t="str">
            <v>Re-size</v>
          </cell>
          <cell r="G533" t="str">
            <v>Re-size</v>
          </cell>
          <cell r="H533" t="str">
            <v>Re-size</v>
          </cell>
          <cell r="I533" t="str">
            <v>Re-size</v>
          </cell>
          <cell r="J533" t="str">
            <v>Re-size</v>
          </cell>
          <cell r="K533" t="str">
            <v>Re-size</v>
          </cell>
          <cell r="L533" t="str">
            <v>Re-size</v>
          </cell>
          <cell r="M533" t="str">
            <v>Re-size</v>
          </cell>
          <cell r="N533" t="str">
            <v>Re-size</v>
          </cell>
          <cell r="O533">
            <v>13.44</v>
          </cell>
          <cell r="P533">
            <v>10.1</v>
          </cell>
          <cell r="Q533">
            <v>9.58</v>
          </cell>
          <cell r="R533">
            <v>5.65</v>
          </cell>
          <cell r="S533">
            <v>4.37</v>
          </cell>
          <cell r="T533">
            <v>3.94</v>
          </cell>
          <cell r="U533">
            <v>2.33</v>
          </cell>
          <cell r="V533">
            <v>1.8</v>
          </cell>
          <cell r="X533" t="str">
            <v>Re-size</v>
          </cell>
          <cell r="Y533" t="str">
            <v>Re-size</v>
          </cell>
          <cell r="Z533" t="str">
            <v>Re-size</v>
          </cell>
          <cell r="AA533" t="str">
            <v>Re-size</v>
          </cell>
          <cell r="AB533" t="str">
            <v>Re-size</v>
          </cell>
          <cell r="AC533" t="str">
            <v>Re-size</v>
          </cell>
          <cell r="AD533" t="str">
            <v>Re-size</v>
          </cell>
          <cell r="AE533" t="str">
            <v>Re-size</v>
          </cell>
        </row>
        <row r="534">
          <cell r="B534">
            <v>6.25</v>
          </cell>
          <cell r="C534" t="str">
            <v>Re-size</v>
          </cell>
          <cell r="D534" t="str">
            <v>Re-size</v>
          </cell>
          <cell r="E534" t="str">
            <v>Re-size</v>
          </cell>
          <cell r="F534" t="str">
            <v>Re-size</v>
          </cell>
          <cell r="G534" t="str">
            <v>Re-size</v>
          </cell>
          <cell r="H534" t="str">
            <v>Re-size</v>
          </cell>
          <cell r="I534" t="str">
            <v>Re-size</v>
          </cell>
          <cell r="J534" t="str">
            <v>Re-size</v>
          </cell>
          <cell r="K534" t="str">
            <v>Re-size</v>
          </cell>
          <cell r="L534" t="str">
            <v>Re-size</v>
          </cell>
          <cell r="M534" t="str">
            <v>Re-size</v>
          </cell>
          <cell r="N534" t="str">
            <v>Re-size</v>
          </cell>
          <cell r="O534">
            <v>13.59</v>
          </cell>
          <cell r="P534">
            <v>10.26</v>
          </cell>
          <cell r="Q534">
            <v>9.73</v>
          </cell>
          <cell r="R534">
            <v>5.74</v>
          </cell>
          <cell r="S534">
            <v>4.41</v>
          </cell>
          <cell r="T534">
            <v>4.0049999999999999</v>
          </cell>
          <cell r="U534">
            <v>2.37</v>
          </cell>
          <cell r="V534">
            <v>1.825</v>
          </cell>
          <cell r="X534" t="str">
            <v>Re-size</v>
          </cell>
          <cell r="Y534" t="str">
            <v>Re-size</v>
          </cell>
          <cell r="Z534" t="str">
            <v>Re-size</v>
          </cell>
          <cell r="AA534" t="str">
            <v>Re-size</v>
          </cell>
          <cell r="AB534" t="str">
            <v>Re-size</v>
          </cell>
          <cell r="AC534" t="str">
            <v>Re-size</v>
          </cell>
          <cell r="AD534" t="str">
            <v>Re-size</v>
          </cell>
          <cell r="AE534" t="str">
            <v>Re-size</v>
          </cell>
        </row>
        <row r="535">
          <cell r="B535">
            <v>6.3</v>
          </cell>
          <cell r="C535" t="str">
            <v>Re-size</v>
          </cell>
          <cell r="D535" t="str">
            <v>Re-size</v>
          </cell>
          <cell r="E535" t="str">
            <v>Re-size</v>
          </cell>
          <cell r="F535" t="str">
            <v>Re-size</v>
          </cell>
          <cell r="G535" t="str">
            <v>Re-size</v>
          </cell>
          <cell r="H535" t="str">
            <v>Re-size</v>
          </cell>
          <cell r="I535" t="str">
            <v>Re-size</v>
          </cell>
          <cell r="J535" t="str">
            <v>Re-size</v>
          </cell>
          <cell r="K535" t="str">
            <v>Re-size</v>
          </cell>
          <cell r="L535" t="str">
            <v>Re-size</v>
          </cell>
          <cell r="M535" t="str">
            <v>Re-size</v>
          </cell>
          <cell r="N535" t="str">
            <v>Re-size</v>
          </cell>
          <cell r="O535">
            <v>13.78</v>
          </cell>
          <cell r="P535">
            <v>10.37</v>
          </cell>
          <cell r="Q535">
            <v>9.83</v>
          </cell>
          <cell r="R535">
            <v>5.83</v>
          </cell>
          <cell r="S535">
            <v>4.4800000000000004</v>
          </cell>
          <cell r="T535">
            <v>4.07</v>
          </cell>
          <cell r="U535">
            <v>2.41</v>
          </cell>
          <cell r="V535">
            <v>1.85</v>
          </cell>
          <cell r="X535" t="str">
            <v>Re-size</v>
          </cell>
          <cell r="Y535" t="str">
            <v>Re-size</v>
          </cell>
          <cell r="Z535" t="str">
            <v>Re-size</v>
          </cell>
          <cell r="AA535" t="str">
            <v>Re-size</v>
          </cell>
          <cell r="AB535" t="str">
            <v>Re-size</v>
          </cell>
          <cell r="AC535" t="str">
            <v>Re-size</v>
          </cell>
          <cell r="AD535" t="str">
            <v>Re-size</v>
          </cell>
          <cell r="AE535" t="str">
            <v>Re-size</v>
          </cell>
        </row>
        <row r="536">
          <cell r="B536">
            <v>6.35</v>
          </cell>
          <cell r="C536" t="str">
            <v>Re-size</v>
          </cell>
          <cell r="D536" t="str">
            <v>Re-size</v>
          </cell>
          <cell r="E536" t="str">
            <v>Re-size</v>
          </cell>
          <cell r="F536" t="str">
            <v>Re-size</v>
          </cell>
          <cell r="G536" t="str">
            <v>Re-size</v>
          </cell>
          <cell r="H536" t="str">
            <v>Re-size</v>
          </cell>
          <cell r="I536" t="str">
            <v>Re-size</v>
          </cell>
          <cell r="J536" t="str">
            <v>Re-size</v>
          </cell>
          <cell r="K536" t="str">
            <v>Re-size</v>
          </cell>
          <cell r="L536" t="str">
            <v>Re-size</v>
          </cell>
          <cell r="M536" t="str">
            <v>Re-size</v>
          </cell>
          <cell r="N536" t="str">
            <v>Re-size</v>
          </cell>
          <cell r="O536">
            <v>13.97</v>
          </cell>
          <cell r="P536">
            <v>10.53</v>
          </cell>
          <cell r="Q536">
            <v>9.99</v>
          </cell>
          <cell r="R536">
            <v>5.92</v>
          </cell>
          <cell r="S536">
            <v>4.5599999999999996</v>
          </cell>
          <cell r="T536">
            <v>4.12</v>
          </cell>
          <cell r="U536">
            <v>2.44</v>
          </cell>
          <cell r="V536">
            <v>1.88</v>
          </cell>
          <cell r="X536" t="str">
            <v>Re-size</v>
          </cell>
          <cell r="Y536" t="str">
            <v>Re-size</v>
          </cell>
          <cell r="Z536" t="str">
            <v>Re-size</v>
          </cell>
          <cell r="AA536" t="str">
            <v>Re-size</v>
          </cell>
          <cell r="AB536" t="str">
            <v>Re-size</v>
          </cell>
          <cell r="AC536" t="str">
            <v>Re-size</v>
          </cell>
          <cell r="AD536" t="str">
            <v>Re-size</v>
          </cell>
          <cell r="AE536" t="str">
            <v>Re-size</v>
          </cell>
        </row>
        <row r="537">
          <cell r="B537">
            <v>6.4</v>
          </cell>
          <cell r="C537" t="str">
            <v>Re-size</v>
          </cell>
          <cell r="D537" t="str">
            <v>Re-size</v>
          </cell>
          <cell r="E537" t="str">
            <v>Re-size</v>
          </cell>
          <cell r="F537" t="str">
            <v>Re-size</v>
          </cell>
          <cell r="G537" t="str">
            <v>Re-size</v>
          </cell>
          <cell r="H537" t="str">
            <v>Re-size</v>
          </cell>
          <cell r="I537" t="str">
            <v>Re-size</v>
          </cell>
          <cell r="J537" t="str">
            <v>Re-size</v>
          </cell>
          <cell r="K537" t="str">
            <v>Re-size</v>
          </cell>
          <cell r="L537" t="str">
            <v>Re-size</v>
          </cell>
          <cell r="M537" t="str">
            <v>Re-size</v>
          </cell>
          <cell r="N537" t="str">
            <v>Re-size</v>
          </cell>
          <cell r="O537">
            <v>14.16</v>
          </cell>
          <cell r="P537">
            <v>10.7</v>
          </cell>
          <cell r="Q537">
            <v>10.15</v>
          </cell>
          <cell r="R537">
            <v>5.98</v>
          </cell>
          <cell r="S537">
            <v>4.63</v>
          </cell>
          <cell r="T537">
            <v>4.17</v>
          </cell>
          <cell r="U537">
            <v>2.4700000000000002</v>
          </cell>
          <cell r="V537">
            <v>1.91</v>
          </cell>
          <cell r="X537" t="str">
            <v>Re-size</v>
          </cell>
          <cell r="Y537" t="str">
            <v>Re-size</v>
          </cell>
          <cell r="Z537" t="str">
            <v>Re-size</v>
          </cell>
          <cell r="AA537" t="str">
            <v>Re-size</v>
          </cell>
          <cell r="AB537" t="str">
            <v>Re-size</v>
          </cell>
          <cell r="AC537" t="str">
            <v>Re-size</v>
          </cell>
          <cell r="AD537" t="str">
            <v>Re-size</v>
          </cell>
          <cell r="AE537" t="str">
            <v>Re-size</v>
          </cell>
        </row>
        <row r="538">
          <cell r="B538">
            <v>6.45</v>
          </cell>
          <cell r="C538" t="str">
            <v>Re-size</v>
          </cell>
          <cell r="D538" t="str">
            <v>Re-size</v>
          </cell>
          <cell r="E538" t="str">
            <v>Re-size</v>
          </cell>
          <cell r="F538" t="str">
            <v>Re-size</v>
          </cell>
          <cell r="G538" t="str">
            <v>Re-size</v>
          </cell>
          <cell r="H538" t="str">
            <v>Re-size</v>
          </cell>
          <cell r="I538" t="str">
            <v>Re-size</v>
          </cell>
          <cell r="J538" t="str">
            <v>Re-size</v>
          </cell>
          <cell r="K538" t="str">
            <v>Re-size</v>
          </cell>
          <cell r="L538" t="str">
            <v>Re-size</v>
          </cell>
          <cell r="M538" t="str">
            <v>Re-size</v>
          </cell>
          <cell r="N538" t="str">
            <v>Re-size</v>
          </cell>
          <cell r="O538">
            <v>14.35</v>
          </cell>
          <cell r="P538">
            <v>10.87</v>
          </cell>
          <cell r="Q538">
            <v>10.31</v>
          </cell>
          <cell r="R538">
            <v>6.08</v>
          </cell>
          <cell r="S538">
            <v>4.68</v>
          </cell>
          <cell r="T538">
            <v>4.24</v>
          </cell>
          <cell r="U538">
            <v>2.5099999999999998</v>
          </cell>
          <cell r="V538">
            <v>1.9350000000000001</v>
          </cell>
          <cell r="X538" t="str">
            <v>Re-size</v>
          </cell>
          <cell r="Y538" t="str">
            <v>Re-size</v>
          </cell>
          <cell r="Z538" t="str">
            <v>Re-size</v>
          </cell>
          <cell r="AA538" t="str">
            <v>Re-size</v>
          </cell>
          <cell r="AB538" t="str">
            <v>Re-size</v>
          </cell>
          <cell r="AC538" t="str">
            <v>Re-size</v>
          </cell>
          <cell r="AD538" t="str">
            <v>Re-size</v>
          </cell>
          <cell r="AE538" t="str">
            <v>Re-size</v>
          </cell>
        </row>
        <row r="539">
          <cell r="B539">
            <v>6.5</v>
          </cell>
          <cell r="C539" t="str">
            <v>Re-size</v>
          </cell>
          <cell r="D539" t="str">
            <v>Re-size</v>
          </cell>
          <cell r="E539" t="str">
            <v>Re-size</v>
          </cell>
          <cell r="F539" t="str">
            <v>Re-size</v>
          </cell>
          <cell r="G539" t="str">
            <v>Re-size</v>
          </cell>
          <cell r="H539" t="str">
            <v>Re-size</v>
          </cell>
          <cell r="I539" t="str">
            <v>Re-size</v>
          </cell>
          <cell r="J539" t="str">
            <v>Re-size</v>
          </cell>
          <cell r="K539" t="str">
            <v>Re-size</v>
          </cell>
          <cell r="L539" t="str">
            <v>Re-size</v>
          </cell>
          <cell r="M539" t="str">
            <v>Re-size</v>
          </cell>
          <cell r="N539" t="str">
            <v>Re-size</v>
          </cell>
          <cell r="O539">
            <v>14.54</v>
          </cell>
          <cell r="P539">
            <v>10.97</v>
          </cell>
          <cell r="Q539">
            <v>10.47</v>
          </cell>
          <cell r="R539">
            <v>6.17</v>
          </cell>
          <cell r="S539">
            <v>4.75</v>
          </cell>
          <cell r="T539">
            <v>4.3099999999999996</v>
          </cell>
          <cell r="U539">
            <v>2.5499999999999998</v>
          </cell>
          <cell r="V539">
            <v>1.96</v>
          </cell>
          <cell r="X539" t="str">
            <v>Re-size</v>
          </cell>
          <cell r="Y539" t="str">
            <v>Re-size</v>
          </cell>
          <cell r="Z539" t="str">
            <v>Re-size</v>
          </cell>
          <cell r="AA539" t="str">
            <v>Re-size</v>
          </cell>
          <cell r="AB539" t="str">
            <v>Re-size</v>
          </cell>
          <cell r="AC539" t="str">
            <v>Re-size</v>
          </cell>
          <cell r="AD539" t="str">
            <v>Re-size</v>
          </cell>
          <cell r="AE539" t="str">
            <v>Re-size</v>
          </cell>
        </row>
        <row r="540">
          <cell r="B540">
            <v>6.55</v>
          </cell>
          <cell r="C540" t="str">
            <v>Re-size</v>
          </cell>
          <cell r="D540" t="str">
            <v>Re-size</v>
          </cell>
          <cell r="E540" t="str">
            <v>Re-size</v>
          </cell>
          <cell r="F540" t="str">
            <v>Re-size</v>
          </cell>
          <cell r="G540" t="str">
            <v>Re-size</v>
          </cell>
          <cell r="H540" t="str">
            <v>Re-size</v>
          </cell>
          <cell r="I540" t="str">
            <v>Re-size</v>
          </cell>
          <cell r="J540" t="str">
            <v>Re-size</v>
          </cell>
          <cell r="K540" t="str">
            <v>Re-size</v>
          </cell>
          <cell r="L540" t="str">
            <v>Re-size</v>
          </cell>
          <cell r="M540" t="str">
            <v>Re-size</v>
          </cell>
          <cell r="N540" t="str">
            <v>Re-size</v>
          </cell>
          <cell r="O540">
            <v>14.73</v>
          </cell>
          <cell r="P540">
            <v>11.14</v>
          </cell>
          <cell r="Q540">
            <v>10.57</v>
          </cell>
          <cell r="R540">
            <v>6.27</v>
          </cell>
          <cell r="S540">
            <v>4.82</v>
          </cell>
          <cell r="T540">
            <v>4.3600000000000003</v>
          </cell>
          <cell r="U540">
            <v>2.585</v>
          </cell>
          <cell r="V540">
            <v>1.99</v>
          </cell>
          <cell r="X540" t="str">
            <v>Re-size</v>
          </cell>
          <cell r="Y540" t="str">
            <v>Re-size</v>
          </cell>
          <cell r="Z540" t="str">
            <v>Re-size</v>
          </cell>
          <cell r="AA540" t="str">
            <v>Re-size</v>
          </cell>
          <cell r="AB540" t="str">
            <v>Re-size</v>
          </cell>
          <cell r="AC540" t="str">
            <v>Re-size</v>
          </cell>
          <cell r="AD540" t="str">
            <v>Re-size</v>
          </cell>
          <cell r="AE540" t="str">
            <v>Re-size</v>
          </cell>
        </row>
        <row r="541">
          <cell r="B541">
            <v>6.6</v>
          </cell>
          <cell r="C541" t="str">
            <v>Re-size</v>
          </cell>
          <cell r="D541" t="str">
            <v>Re-size</v>
          </cell>
          <cell r="E541" t="str">
            <v>Re-size</v>
          </cell>
          <cell r="F541" t="str">
            <v>Re-size</v>
          </cell>
          <cell r="G541" t="str">
            <v>Re-size</v>
          </cell>
          <cell r="H541" t="str">
            <v>Re-size</v>
          </cell>
          <cell r="I541" t="str">
            <v>Re-size</v>
          </cell>
          <cell r="J541" t="str">
            <v>Re-size</v>
          </cell>
          <cell r="K541" t="str">
            <v>Re-size</v>
          </cell>
          <cell r="L541" t="str">
            <v>Re-size</v>
          </cell>
          <cell r="M541" t="str">
            <v>Re-size</v>
          </cell>
          <cell r="N541" t="str">
            <v>Re-size</v>
          </cell>
          <cell r="O541" t="str">
            <v>Re-size</v>
          </cell>
          <cell r="P541">
            <v>11.31</v>
          </cell>
          <cell r="Q541">
            <v>10.73</v>
          </cell>
          <cell r="R541">
            <v>6.33</v>
          </cell>
          <cell r="S541">
            <v>4.9000000000000004</v>
          </cell>
          <cell r="T541">
            <v>4.41</v>
          </cell>
          <cell r="U541">
            <v>2.62</v>
          </cell>
          <cell r="V541">
            <v>2.02</v>
          </cell>
          <cell r="X541" t="str">
            <v>Re-size</v>
          </cell>
          <cell r="Y541" t="str">
            <v>Re-size</v>
          </cell>
          <cell r="Z541" t="str">
            <v>Re-size</v>
          </cell>
          <cell r="AA541" t="str">
            <v>Re-size</v>
          </cell>
          <cell r="AB541" t="str">
            <v>Re-size</v>
          </cell>
          <cell r="AC541" t="str">
            <v>Re-size</v>
          </cell>
          <cell r="AD541" t="str">
            <v>Re-size</v>
          </cell>
          <cell r="AE541" t="str">
            <v>Re-size</v>
          </cell>
        </row>
        <row r="542">
          <cell r="B542">
            <v>6.65</v>
          </cell>
          <cell r="C542" t="str">
            <v>Re-size</v>
          </cell>
          <cell r="D542" t="str">
            <v>Re-size</v>
          </cell>
          <cell r="E542" t="str">
            <v>Re-size</v>
          </cell>
          <cell r="F542" t="str">
            <v>Re-size</v>
          </cell>
          <cell r="G542" t="str">
            <v>Re-size</v>
          </cell>
          <cell r="H542" t="str">
            <v>Re-size</v>
          </cell>
          <cell r="I542" t="str">
            <v>Re-size</v>
          </cell>
          <cell r="J542" t="str">
            <v>Re-size</v>
          </cell>
          <cell r="K542" t="str">
            <v>Re-size</v>
          </cell>
          <cell r="L542" t="str">
            <v>Re-size</v>
          </cell>
          <cell r="M542" t="str">
            <v>Re-size</v>
          </cell>
          <cell r="N542" t="str">
            <v>Re-size</v>
          </cell>
          <cell r="O542" t="str">
            <v>Re-size</v>
          </cell>
          <cell r="P542">
            <v>11.49</v>
          </cell>
          <cell r="Q542">
            <v>10.9</v>
          </cell>
          <cell r="R542">
            <v>6.43</v>
          </cell>
          <cell r="S542">
            <v>4.9400000000000004</v>
          </cell>
          <cell r="T542">
            <v>4.4800000000000004</v>
          </cell>
          <cell r="U542">
            <v>2.66</v>
          </cell>
          <cell r="V542">
            <v>2.0449999999999999</v>
          </cell>
          <cell r="X542" t="str">
            <v>Re-size</v>
          </cell>
          <cell r="Y542" t="str">
            <v>Re-size</v>
          </cell>
          <cell r="Z542" t="str">
            <v>Re-size</v>
          </cell>
          <cell r="AA542" t="str">
            <v>Re-size</v>
          </cell>
          <cell r="AB542" t="str">
            <v>Re-size</v>
          </cell>
          <cell r="AC542" t="str">
            <v>Re-size</v>
          </cell>
          <cell r="AD542" t="str">
            <v>Re-size</v>
          </cell>
          <cell r="AE542" t="str">
            <v>Re-size</v>
          </cell>
        </row>
        <row r="543">
          <cell r="B543">
            <v>6.7</v>
          </cell>
          <cell r="C543" t="str">
            <v>Re-size</v>
          </cell>
          <cell r="D543" t="str">
            <v>Re-size</v>
          </cell>
          <cell r="E543" t="str">
            <v>Re-size</v>
          </cell>
          <cell r="F543" t="str">
            <v>Re-size</v>
          </cell>
          <cell r="G543" t="str">
            <v>Re-size</v>
          </cell>
          <cell r="H543" t="str">
            <v>Re-size</v>
          </cell>
          <cell r="I543" t="str">
            <v>Re-size</v>
          </cell>
          <cell r="J543" t="str">
            <v>Re-size</v>
          </cell>
          <cell r="K543" t="str">
            <v>Re-size</v>
          </cell>
          <cell r="L543" t="str">
            <v>Re-size</v>
          </cell>
          <cell r="M543" t="str">
            <v>Re-size</v>
          </cell>
          <cell r="N543" t="str">
            <v>Re-size</v>
          </cell>
          <cell r="O543" t="str">
            <v>Re-size</v>
          </cell>
          <cell r="P543">
            <v>11.6</v>
          </cell>
          <cell r="Q543">
            <v>11.06</v>
          </cell>
          <cell r="R543">
            <v>6.52</v>
          </cell>
          <cell r="S543">
            <v>5.0199999999999996</v>
          </cell>
          <cell r="T543">
            <v>4.55</v>
          </cell>
          <cell r="U543">
            <v>2.7</v>
          </cell>
          <cell r="V543">
            <v>2.0699999999999998</v>
          </cell>
          <cell r="X543" t="str">
            <v>Re-size</v>
          </cell>
          <cell r="Y543" t="str">
            <v>Re-size</v>
          </cell>
          <cell r="Z543" t="str">
            <v>Re-size</v>
          </cell>
          <cell r="AA543" t="str">
            <v>Re-size</v>
          </cell>
          <cell r="AB543" t="str">
            <v>Re-size</v>
          </cell>
          <cell r="AC543" t="str">
            <v>Re-size</v>
          </cell>
          <cell r="AD543" t="str">
            <v>Re-size</v>
          </cell>
          <cell r="AE543" t="str">
            <v>Re-size</v>
          </cell>
        </row>
        <row r="544">
          <cell r="B544">
            <v>6.75</v>
          </cell>
          <cell r="C544" t="str">
            <v>Re-size</v>
          </cell>
          <cell r="D544" t="str">
            <v>Re-size</v>
          </cell>
          <cell r="E544" t="str">
            <v>Re-size</v>
          </cell>
          <cell r="F544" t="str">
            <v>Re-size</v>
          </cell>
          <cell r="G544" t="str">
            <v>Re-size</v>
          </cell>
          <cell r="H544" t="str">
            <v>Re-size</v>
          </cell>
          <cell r="I544" t="str">
            <v>Re-size</v>
          </cell>
          <cell r="J544" t="str">
            <v>Re-size</v>
          </cell>
          <cell r="K544" t="str">
            <v>Re-size</v>
          </cell>
          <cell r="L544" t="str">
            <v>Re-size</v>
          </cell>
          <cell r="M544" t="str">
            <v>Re-size</v>
          </cell>
          <cell r="N544" t="str">
            <v>Re-size</v>
          </cell>
          <cell r="O544" t="str">
            <v>Re-size</v>
          </cell>
          <cell r="P544">
            <v>11.77</v>
          </cell>
          <cell r="Q544">
            <v>11.16</v>
          </cell>
          <cell r="R544">
            <v>6.62</v>
          </cell>
          <cell r="S544">
            <v>5.09</v>
          </cell>
          <cell r="T544">
            <v>4.6050000000000004</v>
          </cell>
          <cell r="U544">
            <v>2.73</v>
          </cell>
          <cell r="V544">
            <v>2.105</v>
          </cell>
          <cell r="X544" t="str">
            <v>Re-size</v>
          </cell>
          <cell r="Y544" t="str">
            <v>Re-size</v>
          </cell>
          <cell r="Z544" t="str">
            <v>Re-size</v>
          </cell>
          <cell r="AA544" t="str">
            <v>Re-size</v>
          </cell>
          <cell r="AB544" t="str">
            <v>Re-size</v>
          </cell>
          <cell r="AC544" t="str">
            <v>Re-size</v>
          </cell>
          <cell r="AD544" t="str">
            <v>Re-size</v>
          </cell>
          <cell r="AE544" t="str">
            <v>Re-size</v>
          </cell>
        </row>
        <row r="545">
          <cell r="B545">
            <v>6.8</v>
          </cell>
          <cell r="C545" t="str">
            <v>Re-size</v>
          </cell>
          <cell r="D545" t="str">
            <v>Re-size</v>
          </cell>
          <cell r="E545" t="str">
            <v>Re-size</v>
          </cell>
          <cell r="F545" t="str">
            <v>Re-size</v>
          </cell>
          <cell r="G545" t="str">
            <v>Re-size</v>
          </cell>
          <cell r="H545" t="str">
            <v>Re-size</v>
          </cell>
          <cell r="I545" t="str">
            <v>Re-size</v>
          </cell>
          <cell r="J545" t="str">
            <v>Re-size</v>
          </cell>
          <cell r="K545" t="str">
            <v>Re-size</v>
          </cell>
          <cell r="L545" t="str">
            <v>Re-size</v>
          </cell>
          <cell r="M545" t="str">
            <v>Re-size</v>
          </cell>
          <cell r="N545" t="str">
            <v>Re-size</v>
          </cell>
          <cell r="O545" t="str">
            <v>Re-size</v>
          </cell>
          <cell r="P545">
            <v>11.94</v>
          </cell>
          <cell r="Q545">
            <v>11.33</v>
          </cell>
          <cell r="R545">
            <v>6.68</v>
          </cell>
          <cell r="S545">
            <v>5.17</v>
          </cell>
          <cell r="T545">
            <v>4.66</v>
          </cell>
          <cell r="U545">
            <v>2.76</v>
          </cell>
          <cell r="V545">
            <v>2.14</v>
          </cell>
          <cell r="X545" t="str">
            <v>Re-size</v>
          </cell>
          <cell r="Y545" t="str">
            <v>Re-size</v>
          </cell>
          <cell r="Z545" t="str">
            <v>Re-size</v>
          </cell>
          <cell r="AA545" t="str">
            <v>Re-size</v>
          </cell>
          <cell r="AB545" t="str">
            <v>Re-size</v>
          </cell>
          <cell r="AC545" t="str">
            <v>Re-size</v>
          </cell>
          <cell r="AD545" t="str">
            <v>Re-size</v>
          </cell>
          <cell r="AE545" t="str">
            <v>Re-size</v>
          </cell>
        </row>
        <row r="546">
          <cell r="B546">
            <v>6.85</v>
          </cell>
          <cell r="C546" t="str">
            <v>Re-size</v>
          </cell>
          <cell r="D546" t="str">
            <v>Re-size</v>
          </cell>
          <cell r="E546" t="str">
            <v>Re-size</v>
          </cell>
          <cell r="F546" t="str">
            <v>Re-size</v>
          </cell>
          <cell r="G546" t="str">
            <v>Re-size</v>
          </cell>
          <cell r="H546" t="str">
            <v>Re-size</v>
          </cell>
          <cell r="I546" t="str">
            <v>Re-size</v>
          </cell>
          <cell r="J546" t="str">
            <v>Re-size</v>
          </cell>
          <cell r="K546" t="str">
            <v>Re-size</v>
          </cell>
          <cell r="L546" t="str">
            <v>Re-size</v>
          </cell>
          <cell r="M546" t="str">
            <v>Re-size</v>
          </cell>
          <cell r="N546" t="str">
            <v>Re-size</v>
          </cell>
          <cell r="O546" t="str">
            <v>Re-size</v>
          </cell>
          <cell r="P546">
            <v>12.12</v>
          </cell>
          <cell r="Q546">
            <v>11.5</v>
          </cell>
          <cell r="R546">
            <v>6.78</v>
          </cell>
          <cell r="S546">
            <v>5.22</v>
          </cell>
          <cell r="T546">
            <v>4.7300000000000004</v>
          </cell>
          <cell r="U546">
            <v>2.8</v>
          </cell>
          <cell r="V546">
            <v>2.165</v>
          </cell>
          <cell r="X546" t="str">
            <v>Re-size</v>
          </cell>
          <cell r="Y546" t="str">
            <v>Re-size</v>
          </cell>
          <cell r="Z546" t="str">
            <v>Re-size</v>
          </cell>
          <cell r="AA546" t="str">
            <v>Re-size</v>
          </cell>
          <cell r="AB546" t="str">
            <v>Re-size</v>
          </cell>
          <cell r="AC546" t="str">
            <v>Re-size</v>
          </cell>
          <cell r="AD546" t="str">
            <v>Re-size</v>
          </cell>
          <cell r="AE546" t="str">
            <v>Re-size</v>
          </cell>
        </row>
        <row r="547">
          <cell r="B547">
            <v>6.9</v>
          </cell>
          <cell r="C547" t="str">
            <v>Re-size</v>
          </cell>
          <cell r="D547" t="str">
            <v>Re-size</v>
          </cell>
          <cell r="E547" t="str">
            <v>Re-size</v>
          </cell>
          <cell r="F547" t="str">
            <v>Re-size</v>
          </cell>
          <cell r="G547" t="str">
            <v>Re-size</v>
          </cell>
          <cell r="H547" t="str">
            <v>Re-size</v>
          </cell>
          <cell r="I547" t="str">
            <v>Re-size</v>
          </cell>
          <cell r="J547" t="str">
            <v>Re-size</v>
          </cell>
          <cell r="K547" t="str">
            <v>Re-size</v>
          </cell>
          <cell r="L547" t="str">
            <v>Re-size</v>
          </cell>
          <cell r="M547" t="str">
            <v>Re-size</v>
          </cell>
          <cell r="N547" t="str">
            <v>Re-size</v>
          </cell>
          <cell r="O547" t="str">
            <v>Re-size</v>
          </cell>
          <cell r="P547">
            <v>12.3</v>
          </cell>
          <cell r="Q547">
            <v>11.67</v>
          </cell>
          <cell r="R547">
            <v>6.88</v>
          </cell>
          <cell r="S547">
            <v>5.29</v>
          </cell>
          <cell r="T547">
            <v>4.8</v>
          </cell>
          <cell r="U547">
            <v>2.84</v>
          </cell>
          <cell r="V547">
            <v>2.19</v>
          </cell>
          <cell r="X547" t="str">
            <v>Re-size</v>
          </cell>
          <cell r="Y547" t="str">
            <v>Re-size</v>
          </cell>
          <cell r="Z547" t="str">
            <v>Re-size</v>
          </cell>
          <cell r="AA547" t="str">
            <v>Re-size</v>
          </cell>
          <cell r="AB547" t="str">
            <v>Re-size</v>
          </cell>
          <cell r="AC547" t="str">
            <v>Re-size</v>
          </cell>
          <cell r="AD547" t="str">
            <v>Re-size</v>
          </cell>
          <cell r="AE547" t="str">
            <v>Re-size</v>
          </cell>
        </row>
        <row r="548">
          <cell r="B548">
            <v>6.95</v>
          </cell>
          <cell r="C548" t="str">
            <v>Re-size</v>
          </cell>
          <cell r="D548" t="str">
            <v>Re-size</v>
          </cell>
          <cell r="E548" t="str">
            <v>Re-size</v>
          </cell>
          <cell r="F548" t="str">
            <v>Re-size</v>
          </cell>
          <cell r="G548" t="str">
            <v>Re-size</v>
          </cell>
          <cell r="H548" t="str">
            <v>Re-size</v>
          </cell>
          <cell r="I548" t="str">
            <v>Re-size</v>
          </cell>
          <cell r="J548" t="str">
            <v>Re-size</v>
          </cell>
          <cell r="K548" t="str">
            <v>Re-size</v>
          </cell>
          <cell r="L548" t="str">
            <v>Re-size</v>
          </cell>
          <cell r="M548" t="str">
            <v>Re-size</v>
          </cell>
          <cell r="N548" t="str">
            <v>Re-size</v>
          </cell>
          <cell r="O548" t="str">
            <v>Re-size</v>
          </cell>
          <cell r="P548">
            <v>12.41</v>
          </cell>
          <cell r="Q548">
            <v>11.84</v>
          </cell>
          <cell r="R548">
            <v>6.98</v>
          </cell>
          <cell r="S548">
            <v>5.37</v>
          </cell>
          <cell r="T548">
            <v>4.8550000000000004</v>
          </cell>
          <cell r="U548">
            <v>2.875</v>
          </cell>
          <cell r="V548">
            <v>2.2200000000000002</v>
          </cell>
          <cell r="X548" t="str">
            <v>Re-size</v>
          </cell>
          <cell r="Y548" t="str">
            <v>Re-size</v>
          </cell>
          <cell r="Z548" t="str">
            <v>Re-size</v>
          </cell>
          <cell r="AA548" t="str">
            <v>Re-size</v>
          </cell>
          <cell r="AB548" t="str">
            <v>Re-size</v>
          </cell>
          <cell r="AC548" t="str">
            <v>Re-size</v>
          </cell>
          <cell r="AD548" t="str">
            <v>Re-size</v>
          </cell>
          <cell r="AE548" t="str">
            <v>Re-size</v>
          </cell>
        </row>
        <row r="549">
          <cell r="B549">
            <v>7</v>
          </cell>
          <cell r="C549" t="str">
            <v>Re-size</v>
          </cell>
          <cell r="D549" t="str">
            <v>Re-size</v>
          </cell>
          <cell r="E549" t="str">
            <v>Re-size</v>
          </cell>
          <cell r="F549" t="str">
            <v>Re-size</v>
          </cell>
          <cell r="G549" t="str">
            <v>Re-size</v>
          </cell>
          <cell r="H549" t="str">
            <v>Re-size</v>
          </cell>
          <cell r="I549" t="str">
            <v>Re-size</v>
          </cell>
          <cell r="J549" t="str">
            <v>Re-size</v>
          </cell>
          <cell r="K549" t="str">
            <v>Re-size</v>
          </cell>
          <cell r="L549" t="str">
            <v>Re-size</v>
          </cell>
          <cell r="M549" t="str">
            <v>Re-size</v>
          </cell>
          <cell r="N549" t="str">
            <v>Re-size</v>
          </cell>
          <cell r="O549" t="str">
            <v>Re-size</v>
          </cell>
          <cell r="P549">
            <v>12.59</v>
          </cell>
          <cell r="Q549">
            <v>11.94</v>
          </cell>
          <cell r="R549">
            <v>7.08</v>
          </cell>
          <cell r="S549">
            <v>5.45</v>
          </cell>
          <cell r="T549">
            <v>4.91</v>
          </cell>
          <cell r="U549">
            <v>2.91</v>
          </cell>
          <cell r="V549">
            <v>2.25</v>
          </cell>
          <cell r="X549" t="str">
            <v>Re-size</v>
          </cell>
          <cell r="Y549" t="str">
            <v>Re-size</v>
          </cell>
          <cell r="Z549" t="str">
            <v>Re-size</v>
          </cell>
          <cell r="AA549" t="str">
            <v>Re-size</v>
          </cell>
          <cell r="AB549" t="str">
            <v>Re-size</v>
          </cell>
          <cell r="AC549" t="str">
            <v>Re-size</v>
          </cell>
          <cell r="AD549" t="str">
            <v>Re-size</v>
          </cell>
          <cell r="AE549" t="str">
            <v>Re-size</v>
          </cell>
        </row>
        <row r="550">
          <cell r="B550">
            <v>7.05</v>
          </cell>
          <cell r="C550" t="str">
            <v>Re-size</v>
          </cell>
          <cell r="D550" t="str">
            <v>Re-size</v>
          </cell>
          <cell r="E550" t="str">
            <v>Re-size</v>
          </cell>
          <cell r="F550" t="str">
            <v>Re-size</v>
          </cell>
          <cell r="G550" t="str">
            <v>Re-size</v>
          </cell>
          <cell r="H550" t="str">
            <v>Re-size</v>
          </cell>
          <cell r="I550" t="str">
            <v>Re-size</v>
          </cell>
          <cell r="J550" t="str">
            <v>Re-size</v>
          </cell>
          <cell r="K550" t="str">
            <v>Re-size</v>
          </cell>
          <cell r="L550" t="str">
            <v>Re-size</v>
          </cell>
          <cell r="M550" t="str">
            <v>Re-size</v>
          </cell>
          <cell r="N550" t="str">
            <v>Re-size</v>
          </cell>
          <cell r="O550" t="str">
            <v>Re-size</v>
          </cell>
          <cell r="P550">
            <v>12.73</v>
          </cell>
          <cell r="Q550">
            <v>12.11</v>
          </cell>
          <cell r="R550">
            <v>7.14</v>
          </cell>
          <cell r="S550">
            <v>5.53</v>
          </cell>
          <cell r="T550">
            <v>4.9800000000000004</v>
          </cell>
          <cell r="U550">
            <v>2.9550000000000001</v>
          </cell>
          <cell r="V550">
            <v>2.2749999999999999</v>
          </cell>
          <cell r="X550" t="str">
            <v>Re-size</v>
          </cell>
          <cell r="Y550" t="str">
            <v>Re-size</v>
          </cell>
          <cell r="Z550" t="str">
            <v>Re-size</v>
          </cell>
          <cell r="AA550" t="str">
            <v>Re-size</v>
          </cell>
          <cell r="AB550" t="str">
            <v>Re-size</v>
          </cell>
          <cell r="AC550" t="str">
            <v>Re-size</v>
          </cell>
          <cell r="AD550" t="str">
            <v>Re-size</v>
          </cell>
          <cell r="AE550" t="str">
            <v>Re-size</v>
          </cell>
        </row>
        <row r="551">
          <cell r="B551">
            <v>7.1</v>
          </cell>
          <cell r="C551" t="str">
            <v>Re-size</v>
          </cell>
          <cell r="D551" t="str">
            <v>Re-size</v>
          </cell>
          <cell r="E551" t="str">
            <v>Re-size</v>
          </cell>
          <cell r="F551" t="str">
            <v>Re-size</v>
          </cell>
          <cell r="G551" t="str">
            <v>Re-size</v>
          </cell>
          <cell r="H551" t="str">
            <v>Re-size</v>
          </cell>
          <cell r="I551" t="str">
            <v>Re-size</v>
          </cell>
          <cell r="J551" t="str">
            <v>Re-size</v>
          </cell>
          <cell r="K551" t="str">
            <v>Re-size</v>
          </cell>
          <cell r="L551" t="str">
            <v>Re-size</v>
          </cell>
          <cell r="M551" t="str">
            <v>Re-size</v>
          </cell>
          <cell r="N551" t="str">
            <v>Re-size</v>
          </cell>
          <cell r="O551" t="str">
            <v>Re-size</v>
          </cell>
          <cell r="P551">
            <v>12.88</v>
          </cell>
          <cell r="Q551">
            <v>12.28</v>
          </cell>
          <cell r="R551">
            <v>7.24</v>
          </cell>
          <cell r="S551">
            <v>5.57</v>
          </cell>
          <cell r="T551">
            <v>5.05</v>
          </cell>
          <cell r="U551">
            <v>3</v>
          </cell>
          <cell r="V551">
            <v>2.2999999999999998</v>
          </cell>
          <cell r="X551" t="str">
            <v>Re-size</v>
          </cell>
          <cell r="Y551" t="str">
            <v>Re-size</v>
          </cell>
          <cell r="Z551" t="str">
            <v>Re-size</v>
          </cell>
          <cell r="AA551" t="str">
            <v>Re-size</v>
          </cell>
          <cell r="AB551" t="str">
            <v>Re-size</v>
          </cell>
          <cell r="AC551" t="str">
            <v>Re-size</v>
          </cell>
          <cell r="AD551" t="str">
            <v>Re-size</v>
          </cell>
          <cell r="AE551" t="str">
            <v>Re-size</v>
          </cell>
        </row>
        <row r="552">
          <cell r="B552">
            <v>7.15</v>
          </cell>
          <cell r="C552" t="str">
            <v>Re-size</v>
          </cell>
          <cell r="D552" t="str">
            <v>Re-size</v>
          </cell>
          <cell r="E552" t="str">
            <v>Re-size</v>
          </cell>
          <cell r="F552" t="str">
            <v>Re-size</v>
          </cell>
          <cell r="G552" t="str">
            <v>Re-size</v>
          </cell>
          <cell r="H552" t="str">
            <v>Re-size</v>
          </cell>
          <cell r="I552" t="str">
            <v>Re-size</v>
          </cell>
          <cell r="J552" t="str">
            <v>Re-size</v>
          </cell>
          <cell r="K552" t="str">
            <v>Re-size</v>
          </cell>
          <cell r="L552" t="str">
            <v>Re-size</v>
          </cell>
          <cell r="M552" t="str">
            <v>Re-size</v>
          </cell>
          <cell r="N552" t="str">
            <v>Re-size</v>
          </cell>
          <cell r="O552" t="str">
            <v>Re-size</v>
          </cell>
          <cell r="P552">
            <v>13.04</v>
          </cell>
          <cell r="Q552">
            <v>12.46</v>
          </cell>
          <cell r="R552">
            <v>7.35</v>
          </cell>
          <cell r="S552">
            <v>5.65</v>
          </cell>
          <cell r="T552">
            <v>5.1100000000000003</v>
          </cell>
          <cell r="U552">
            <v>3.03</v>
          </cell>
          <cell r="V552">
            <v>2.335</v>
          </cell>
          <cell r="X552" t="str">
            <v>Re-size</v>
          </cell>
          <cell r="Y552" t="str">
            <v>Re-size</v>
          </cell>
          <cell r="Z552" t="str">
            <v>Re-size</v>
          </cell>
          <cell r="AA552" t="str">
            <v>Re-size</v>
          </cell>
          <cell r="AB552" t="str">
            <v>Re-size</v>
          </cell>
          <cell r="AC552" t="str">
            <v>Re-size</v>
          </cell>
          <cell r="AD552" t="str">
            <v>Re-size</v>
          </cell>
          <cell r="AE552" t="str">
            <v>Re-size</v>
          </cell>
        </row>
        <row r="553">
          <cell r="B553">
            <v>7.2</v>
          </cell>
          <cell r="C553" t="str">
            <v>Re-size</v>
          </cell>
          <cell r="D553" t="str">
            <v>Re-size</v>
          </cell>
          <cell r="E553" t="str">
            <v>Re-size</v>
          </cell>
          <cell r="F553" t="str">
            <v>Re-size</v>
          </cell>
          <cell r="G553" t="str">
            <v>Re-size</v>
          </cell>
          <cell r="H553" t="str">
            <v>Re-size</v>
          </cell>
          <cell r="I553" t="str">
            <v>Re-size</v>
          </cell>
          <cell r="J553" t="str">
            <v>Re-size</v>
          </cell>
          <cell r="K553" t="str">
            <v>Re-size</v>
          </cell>
          <cell r="L553" t="str">
            <v>Re-size</v>
          </cell>
          <cell r="M553" t="str">
            <v>Re-size</v>
          </cell>
          <cell r="N553" t="str">
            <v>Re-size</v>
          </cell>
          <cell r="O553" t="str">
            <v>Re-size</v>
          </cell>
          <cell r="P553">
            <v>13.19</v>
          </cell>
          <cell r="Q553">
            <v>12.58</v>
          </cell>
          <cell r="R553">
            <v>7.45</v>
          </cell>
          <cell r="S553">
            <v>5.73</v>
          </cell>
          <cell r="T553">
            <v>5.17</v>
          </cell>
          <cell r="U553">
            <v>3.06</v>
          </cell>
          <cell r="V553">
            <v>2.37</v>
          </cell>
          <cell r="X553" t="str">
            <v>Re-size</v>
          </cell>
          <cell r="Y553" t="str">
            <v>Re-size</v>
          </cell>
          <cell r="Z553" t="str">
            <v>Re-size</v>
          </cell>
          <cell r="AA553" t="str">
            <v>Re-size</v>
          </cell>
          <cell r="AB553" t="str">
            <v>Re-size</v>
          </cell>
          <cell r="AC553" t="str">
            <v>Re-size</v>
          </cell>
          <cell r="AD553" t="str">
            <v>Re-size</v>
          </cell>
          <cell r="AE553" t="str">
            <v>Re-size</v>
          </cell>
        </row>
        <row r="554">
          <cell r="B554">
            <v>7.25</v>
          </cell>
          <cell r="C554" t="str">
            <v>Re-size</v>
          </cell>
          <cell r="D554" t="str">
            <v>Re-size</v>
          </cell>
          <cell r="E554" t="str">
            <v>Re-size</v>
          </cell>
          <cell r="F554" t="str">
            <v>Re-size</v>
          </cell>
          <cell r="G554" t="str">
            <v>Re-size</v>
          </cell>
          <cell r="H554" t="str">
            <v>Re-size</v>
          </cell>
          <cell r="I554" t="str">
            <v>Re-size</v>
          </cell>
          <cell r="J554" t="str">
            <v>Re-size</v>
          </cell>
          <cell r="K554" t="str">
            <v>Re-size</v>
          </cell>
          <cell r="L554" t="str">
            <v>Re-size</v>
          </cell>
          <cell r="M554" t="str">
            <v>Re-size</v>
          </cell>
          <cell r="N554" t="str">
            <v>Re-size</v>
          </cell>
          <cell r="O554" t="str">
            <v>Re-size</v>
          </cell>
          <cell r="P554">
            <v>13.35</v>
          </cell>
          <cell r="Q554">
            <v>12.73</v>
          </cell>
          <cell r="R554">
            <v>7.55</v>
          </cell>
          <cell r="S554">
            <v>5.81</v>
          </cell>
          <cell r="T554">
            <v>5.24</v>
          </cell>
          <cell r="U554">
            <v>3.105</v>
          </cell>
          <cell r="V554">
            <v>2.395</v>
          </cell>
          <cell r="X554" t="str">
            <v>Re-size</v>
          </cell>
          <cell r="Y554" t="str">
            <v>Re-size</v>
          </cell>
          <cell r="Z554" t="str">
            <v>Re-size</v>
          </cell>
          <cell r="AA554" t="str">
            <v>Re-size</v>
          </cell>
          <cell r="AB554" t="str">
            <v>Re-size</v>
          </cell>
          <cell r="AC554" t="str">
            <v>Re-size</v>
          </cell>
          <cell r="AD554" t="str">
            <v>Re-size</v>
          </cell>
          <cell r="AE554" t="str">
            <v>Re-size</v>
          </cell>
        </row>
        <row r="555">
          <cell r="B555">
            <v>7.3</v>
          </cell>
          <cell r="C555" t="str">
            <v>Re-size</v>
          </cell>
          <cell r="D555" t="str">
            <v>Re-size</v>
          </cell>
          <cell r="E555" t="str">
            <v>Re-size</v>
          </cell>
          <cell r="F555" t="str">
            <v>Re-size</v>
          </cell>
          <cell r="G555" t="str">
            <v>Re-size</v>
          </cell>
          <cell r="H555" t="str">
            <v>Re-size</v>
          </cell>
          <cell r="I555" t="str">
            <v>Re-size</v>
          </cell>
          <cell r="J555" t="str">
            <v>Re-size</v>
          </cell>
          <cell r="K555" t="str">
            <v>Re-size</v>
          </cell>
          <cell r="L555" t="str">
            <v>Re-size</v>
          </cell>
          <cell r="M555" t="str">
            <v>Re-size</v>
          </cell>
          <cell r="N555" t="str">
            <v>Re-size</v>
          </cell>
          <cell r="O555" t="str">
            <v>Re-size</v>
          </cell>
          <cell r="P555">
            <v>13.51</v>
          </cell>
          <cell r="Q555">
            <v>12.88</v>
          </cell>
          <cell r="R555">
            <v>7.62</v>
          </cell>
          <cell r="S555">
            <v>5.89</v>
          </cell>
          <cell r="T555">
            <v>5.31</v>
          </cell>
          <cell r="U555">
            <v>3.15</v>
          </cell>
          <cell r="V555">
            <v>2.42</v>
          </cell>
          <cell r="X555" t="str">
            <v>Re-size</v>
          </cell>
          <cell r="Y555" t="str">
            <v>Re-size</v>
          </cell>
          <cell r="Z555" t="str">
            <v>Re-size</v>
          </cell>
          <cell r="AA555" t="str">
            <v>Re-size</v>
          </cell>
          <cell r="AB555" t="str">
            <v>Re-size</v>
          </cell>
          <cell r="AC555" t="str">
            <v>Re-size</v>
          </cell>
          <cell r="AD555" t="str">
            <v>Re-size</v>
          </cell>
          <cell r="AE555" t="str">
            <v>Re-size</v>
          </cell>
        </row>
        <row r="556">
          <cell r="B556">
            <v>7.35</v>
          </cell>
          <cell r="C556" t="str">
            <v>Re-size</v>
          </cell>
          <cell r="D556" t="str">
            <v>Re-size</v>
          </cell>
          <cell r="E556" t="str">
            <v>Re-size</v>
          </cell>
          <cell r="F556" t="str">
            <v>Re-size</v>
          </cell>
          <cell r="G556" t="str">
            <v>Re-size</v>
          </cell>
          <cell r="H556" t="str">
            <v>Re-size</v>
          </cell>
          <cell r="I556" t="str">
            <v>Re-size</v>
          </cell>
          <cell r="J556" t="str">
            <v>Re-size</v>
          </cell>
          <cell r="K556" t="str">
            <v>Re-size</v>
          </cell>
          <cell r="L556" t="str">
            <v>Re-size</v>
          </cell>
          <cell r="M556" t="str">
            <v>Re-size</v>
          </cell>
          <cell r="N556" t="str">
            <v>Re-size</v>
          </cell>
          <cell r="O556" t="str">
            <v>Re-size</v>
          </cell>
          <cell r="P556" t="str">
            <v>Re-size</v>
          </cell>
          <cell r="Q556">
            <v>13.04</v>
          </cell>
          <cell r="R556">
            <v>7.72</v>
          </cell>
          <cell r="S556">
            <v>5.94</v>
          </cell>
          <cell r="T556">
            <v>5.3849999999999998</v>
          </cell>
          <cell r="U556">
            <v>3.1850000000000001</v>
          </cell>
          <cell r="V556">
            <v>2.4550000000000001</v>
          </cell>
          <cell r="X556" t="str">
            <v>Re-size</v>
          </cell>
          <cell r="Y556" t="str">
            <v>Re-size</v>
          </cell>
          <cell r="Z556" t="str">
            <v>Re-size</v>
          </cell>
          <cell r="AA556" t="str">
            <v>Re-size</v>
          </cell>
          <cell r="AB556" t="str">
            <v>Re-size</v>
          </cell>
          <cell r="AC556" t="str">
            <v>Re-size</v>
          </cell>
          <cell r="AD556" t="str">
            <v>Re-size</v>
          </cell>
          <cell r="AE556" t="str">
            <v>Re-size</v>
          </cell>
        </row>
        <row r="557">
          <cell r="B557">
            <v>7.4</v>
          </cell>
          <cell r="C557" t="str">
            <v>Re-size</v>
          </cell>
          <cell r="D557" t="str">
            <v>Re-size</v>
          </cell>
          <cell r="E557" t="str">
            <v>Re-size</v>
          </cell>
          <cell r="F557" t="str">
            <v>Re-size</v>
          </cell>
          <cell r="G557" t="str">
            <v>Re-size</v>
          </cell>
          <cell r="H557" t="str">
            <v>Re-size</v>
          </cell>
          <cell r="I557" t="str">
            <v>Re-size</v>
          </cell>
          <cell r="J557" t="str">
            <v>Re-size</v>
          </cell>
          <cell r="K557" t="str">
            <v>Re-size</v>
          </cell>
          <cell r="L557" t="str">
            <v>Re-size</v>
          </cell>
          <cell r="M557" t="str">
            <v>Re-size</v>
          </cell>
          <cell r="N557" t="str">
            <v>Re-size</v>
          </cell>
          <cell r="O557" t="str">
            <v>Re-size</v>
          </cell>
          <cell r="P557" t="str">
            <v>Re-size</v>
          </cell>
          <cell r="Q557">
            <v>13.19</v>
          </cell>
          <cell r="R557">
            <v>7.83</v>
          </cell>
          <cell r="S557">
            <v>6.02</v>
          </cell>
          <cell r="T557">
            <v>5.46</v>
          </cell>
          <cell r="U557">
            <v>3.22</v>
          </cell>
          <cell r="V557">
            <v>2.4900000000000002</v>
          </cell>
          <cell r="X557" t="str">
            <v>Re-size</v>
          </cell>
          <cell r="Y557" t="str">
            <v>Re-size</v>
          </cell>
          <cell r="Z557" t="str">
            <v>Re-size</v>
          </cell>
          <cell r="AA557" t="str">
            <v>Re-size</v>
          </cell>
          <cell r="AB557" t="str">
            <v>Re-size</v>
          </cell>
          <cell r="AC557" t="str">
            <v>Re-size</v>
          </cell>
          <cell r="AD557" t="str">
            <v>Re-size</v>
          </cell>
          <cell r="AE557" t="str">
            <v>Re-size</v>
          </cell>
        </row>
        <row r="558">
          <cell r="B558">
            <v>7.45</v>
          </cell>
          <cell r="C558" t="str">
            <v>Re-size</v>
          </cell>
          <cell r="D558" t="str">
            <v>Re-size</v>
          </cell>
          <cell r="E558" t="str">
            <v>Re-size</v>
          </cell>
          <cell r="F558" t="str">
            <v>Re-size</v>
          </cell>
          <cell r="G558" t="str">
            <v>Re-size</v>
          </cell>
          <cell r="H558" t="str">
            <v>Re-size</v>
          </cell>
          <cell r="I558" t="str">
            <v>Re-size</v>
          </cell>
          <cell r="J558" t="str">
            <v>Re-size</v>
          </cell>
          <cell r="K558" t="str">
            <v>Re-size</v>
          </cell>
          <cell r="L558" t="str">
            <v>Re-size</v>
          </cell>
          <cell r="M558" t="str">
            <v>Re-size</v>
          </cell>
          <cell r="N558" t="str">
            <v>Re-size</v>
          </cell>
          <cell r="O558" t="str">
            <v>Re-size</v>
          </cell>
          <cell r="P558" t="str">
            <v>Re-size</v>
          </cell>
          <cell r="Q558">
            <v>13.34</v>
          </cell>
          <cell r="R558">
            <v>7.93</v>
          </cell>
          <cell r="S558">
            <v>6.1</v>
          </cell>
          <cell r="T558">
            <v>5.52</v>
          </cell>
          <cell r="U558">
            <v>3.2650000000000001</v>
          </cell>
          <cell r="V558">
            <v>2.5150000000000001</v>
          </cell>
          <cell r="X558" t="str">
            <v>Re-size</v>
          </cell>
          <cell r="Y558" t="str">
            <v>Re-size</v>
          </cell>
          <cell r="Z558" t="str">
            <v>Re-size</v>
          </cell>
          <cell r="AA558" t="str">
            <v>Re-size</v>
          </cell>
          <cell r="AB558" t="str">
            <v>Re-size</v>
          </cell>
          <cell r="AC558" t="str">
            <v>Re-size</v>
          </cell>
          <cell r="AD558" t="str">
            <v>Re-size</v>
          </cell>
          <cell r="AE558" t="str">
            <v>Re-size</v>
          </cell>
        </row>
        <row r="559">
          <cell r="B559">
            <v>7.5</v>
          </cell>
          <cell r="C559" t="str">
            <v>Re-size</v>
          </cell>
          <cell r="D559" t="str">
            <v>Re-size</v>
          </cell>
          <cell r="E559" t="str">
            <v>Re-size</v>
          </cell>
          <cell r="F559" t="str">
            <v>Re-size</v>
          </cell>
          <cell r="G559" t="str">
            <v>Re-size</v>
          </cell>
          <cell r="H559" t="str">
            <v>Re-size</v>
          </cell>
          <cell r="I559" t="str">
            <v>Re-size</v>
          </cell>
          <cell r="J559" t="str">
            <v>Re-size</v>
          </cell>
          <cell r="K559" t="str">
            <v>Re-size</v>
          </cell>
          <cell r="L559" t="str">
            <v>Re-size</v>
          </cell>
          <cell r="M559" t="str">
            <v>Re-size</v>
          </cell>
          <cell r="N559" t="str">
            <v>Re-size</v>
          </cell>
          <cell r="O559" t="str">
            <v>Re-size</v>
          </cell>
          <cell r="P559" t="str">
            <v>Re-size</v>
          </cell>
          <cell r="Q559" t="str">
            <v>Re-size</v>
          </cell>
          <cell r="R559">
            <v>8.0399999999999991</v>
          </cell>
          <cell r="S559">
            <v>6.18</v>
          </cell>
          <cell r="T559">
            <v>5.58</v>
          </cell>
          <cell r="U559">
            <v>3.31</v>
          </cell>
          <cell r="V559">
            <v>2.54</v>
          </cell>
          <cell r="X559" t="str">
            <v>Re-size</v>
          </cell>
          <cell r="Y559" t="str">
            <v>Re-size</v>
          </cell>
          <cell r="Z559" t="str">
            <v>Re-size</v>
          </cell>
          <cell r="AA559" t="str">
            <v>Re-size</v>
          </cell>
          <cell r="AB559" t="str">
            <v>Re-size</v>
          </cell>
          <cell r="AC559" t="str">
            <v>Re-size</v>
          </cell>
          <cell r="AD559" t="str">
            <v>Re-size</v>
          </cell>
          <cell r="AE559" t="str">
            <v>Re-size</v>
          </cell>
        </row>
        <row r="560">
          <cell r="B560">
            <v>7.55</v>
          </cell>
          <cell r="C560" t="str">
            <v>Re-size</v>
          </cell>
          <cell r="D560" t="str">
            <v>Re-size</v>
          </cell>
          <cell r="E560" t="str">
            <v>Re-size</v>
          </cell>
          <cell r="F560" t="str">
            <v>Re-size</v>
          </cell>
          <cell r="G560" t="str">
            <v>Re-size</v>
          </cell>
          <cell r="H560" t="str">
            <v>Re-size</v>
          </cell>
          <cell r="I560" t="str">
            <v>Re-size</v>
          </cell>
          <cell r="J560" t="str">
            <v>Re-size</v>
          </cell>
          <cell r="K560" t="str">
            <v>Re-size</v>
          </cell>
          <cell r="L560" t="str">
            <v>Re-size</v>
          </cell>
          <cell r="M560" t="str">
            <v>Re-size</v>
          </cell>
          <cell r="N560" t="str">
            <v>Re-size</v>
          </cell>
          <cell r="O560" t="str">
            <v>Re-size</v>
          </cell>
          <cell r="P560" t="str">
            <v>Re-size</v>
          </cell>
          <cell r="Q560" t="str">
            <v>Re-size</v>
          </cell>
          <cell r="R560">
            <v>8.1</v>
          </cell>
          <cell r="S560">
            <v>6.23</v>
          </cell>
          <cell r="T560">
            <v>5.6550000000000002</v>
          </cell>
          <cell r="U560">
            <v>3.3450000000000002</v>
          </cell>
          <cell r="V560">
            <v>2.5750000000000002</v>
          </cell>
          <cell r="X560" t="str">
            <v>Re-size</v>
          </cell>
          <cell r="Y560" t="str">
            <v>Re-size</v>
          </cell>
          <cell r="Z560" t="str">
            <v>Re-size</v>
          </cell>
          <cell r="AA560" t="str">
            <v>Re-size</v>
          </cell>
          <cell r="AB560" t="str">
            <v>Re-size</v>
          </cell>
          <cell r="AC560" t="str">
            <v>Re-size</v>
          </cell>
          <cell r="AD560" t="str">
            <v>Re-size</v>
          </cell>
          <cell r="AE560" t="str">
            <v>Re-size</v>
          </cell>
        </row>
        <row r="561">
          <cell r="B561">
            <v>7.6</v>
          </cell>
          <cell r="C561" t="str">
            <v>Re-size</v>
          </cell>
          <cell r="D561" t="str">
            <v>Re-size</v>
          </cell>
          <cell r="E561" t="str">
            <v>Re-size</v>
          </cell>
          <cell r="F561" t="str">
            <v>Re-size</v>
          </cell>
          <cell r="G561" t="str">
            <v>Re-size</v>
          </cell>
          <cell r="H561" t="str">
            <v>Re-size</v>
          </cell>
          <cell r="I561" t="str">
            <v>Re-size</v>
          </cell>
          <cell r="J561" t="str">
            <v>Re-size</v>
          </cell>
          <cell r="K561" t="str">
            <v>Re-size</v>
          </cell>
          <cell r="L561" t="str">
            <v>Re-size</v>
          </cell>
          <cell r="M561" t="str">
            <v>Re-size</v>
          </cell>
          <cell r="N561" t="str">
            <v>Re-size</v>
          </cell>
          <cell r="O561" t="str">
            <v>Re-size</v>
          </cell>
          <cell r="P561" t="str">
            <v>Re-size</v>
          </cell>
          <cell r="Q561" t="str">
            <v>Re-size</v>
          </cell>
          <cell r="R561">
            <v>8.2100000000000009</v>
          </cell>
          <cell r="S561">
            <v>6.32</v>
          </cell>
          <cell r="T561">
            <v>5.73</v>
          </cell>
          <cell r="U561">
            <v>3.38</v>
          </cell>
          <cell r="V561">
            <v>2.61</v>
          </cell>
          <cell r="X561" t="str">
            <v>Re-size</v>
          </cell>
          <cell r="Y561" t="str">
            <v>Re-size</v>
          </cell>
          <cell r="Z561" t="str">
            <v>Re-size</v>
          </cell>
          <cell r="AA561" t="str">
            <v>Re-size</v>
          </cell>
          <cell r="AB561" t="str">
            <v>Re-size</v>
          </cell>
          <cell r="AC561" t="str">
            <v>Re-size</v>
          </cell>
          <cell r="AD561" t="str">
            <v>Re-size</v>
          </cell>
          <cell r="AE561" t="str">
            <v>Re-size</v>
          </cell>
        </row>
        <row r="562">
          <cell r="B562">
            <v>7.65</v>
          </cell>
          <cell r="C562" t="str">
            <v>Re-size</v>
          </cell>
          <cell r="D562" t="str">
            <v>Re-size</v>
          </cell>
          <cell r="E562" t="str">
            <v>Re-size</v>
          </cell>
          <cell r="F562" t="str">
            <v>Re-size</v>
          </cell>
          <cell r="G562" t="str">
            <v>Re-size</v>
          </cell>
          <cell r="H562" t="str">
            <v>Re-size</v>
          </cell>
          <cell r="I562" t="str">
            <v>Re-size</v>
          </cell>
          <cell r="J562" t="str">
            <v>Re-size</v>
          </cell>
          <cell r="K562" t="str">
            <v>Re-size</v>
          </cell>
          <cell r="L562" t="str">
            <v>Re-size</v>
          </cell>
          <cell r="M562" t="str">
            <v>Re-size</v>
          </cell>
          <cell r="N562" t="str">
            <v>Re-size</v>
          </cell>
          <cell r="O562" t="str">
            <v>Re-size</v>
          </cell>
          <cell r="P562" t="str">
            <v>Re-size</v>
          </cell>
          <cell r="Q562" t="str">
            <v>Re-size</v>
          </cell>
          <cell r="R562">
            <v>8.32</v>
          </cell>
          <cell r="S562">
            <v>6.4</v>
          </cell>
          <cell r="T562">
            <v>5.79</v>
          </cell>
          <cell r="U562">
            <v>3.4249999999999998</v>
          </cell>
          <cell r="V562">
            <v>2.64</v>
          </cell>
          <cell r="X562" t="str">
            <v>Re-size</v>
          </cell>
          <cell r="Y562" t="str">
            <v>Re-size</v>
          </cell>
          <cell r="Z562" t="str">
            <v>Re-size</v>
          </cell>
          <cell r="AA562" t="str">
            <v>Re-size</v>
          </cell>
          <cell r="AB562" t="str">
            <v>Re-size</v>
          </cell>
          <cell r="AC562" t="str">
            <v>Re-size</v>
          </cell>
          <cell r="AD562" t="str">
            <v>Re-size</v>
          </cell>
          <cell r="AE562" t="str">
            <v>Re-size</v>
          </cell>
        </row>
        <row r="563">
          <cell r="B563">
            <v>7.7</v>
          </cell>
          <cell r="C563" t="str">
            <v>Re-size</v>
          </cell>
          <cell r="D563" t="str">
            <v>Re-size</v>
          </cell>
          <cell r="E563" t="str">
            <v>Re-size</v>
          </cell>
          <cell r="F563" t="str">
            <v>Re-size</v>
          </cell>
          <cell r="G563" t="str">
            <v>Re-size</v>
          </cell>
          <cell r="H563" t="str">
            <v>Re-size</v>
          </cell>
          <cell r="I563" t="str">
            <v>Re-size</v>
          </cell>
          <cell r="J563" t="str">
            <v>Re-size</v>
          </cell>
          <cell r="K563" t="str">
            <v>Re-size</v>
          </cell>
          <cell r="L563" t="str">
            <v>Re-size</v>
          </cell>
          <cell r="M563" t="str">
            <v>Re-size</v>
          </cell>
          <cell r="N563" t="str">
            <v>Re-size</v>
          </cell>
          <cell r="O563" t="str">
            <v>Re-size</v>
          </cell>
          <cell r="P563" t="str">
            <v>Re-size</v>
          </cell>
          <cell r="Q563" t="str">
            <v>Re-size</v>
          </cell>
          <cell r="R563">
            <v>8.43</v>
          </cell>
          <cell r="S563">
            <v>6.48</v>
          </cell>
          <cell r="T563">
            <v>5.85</v>
          </cell>
          <cell r="U563">
            <v>3.47</v>
          </cell>
          <cell r="V563">
            <v>2.67</v>
          </cell>
          <cell r="X563" t="str">
            <v>Re-size</v>
          </cell>
          <cell r="Y563" t="str">
            <v>Re-size</v>
          </cell>
          <cell r="Z563" t="str">
            <v>Re-size</v>
          </cell>
          <cell r="AA563" t="str">
            <v>Re-size</v>
          </cell>
          <cell r="AB563" t="str">
            <v>Re-size</v>
          </cell>
          <cell r="AC563" t="str">
            <v>Re-size</v>
          </cell>
          <cell r="AD563" t="str">
            <v>Re-size</v>
          </cell>
          <cell r="AE563" t="str">
            <v>Re-size</v>
          </cell>
        </row>
        <row r="564">
          <cell r="B564">
            <v>7.75</v>
          </cell>
          <cell r="C564" t="str">
            <v>Re-size</v>
          </cell>
          <cell r="D564" t="str">
            <v>Re-size</v>
          </cell>
          <cell r="E564" t="str">
            <v>Re-size</v>
          </cell>
          <cell r="F564" t="str">
            <v>Re-size</v>
          </cell>
          <cell r="G564" t="str">
            <v>Re-size</v>
          </cell>
          <cell r="H564" t="str">
            <v>Re-size</v>
          </cell>
          <cell r="I564" t="str">
            <v>Re-size</v>
          </cell>
          <cell r="J564" t="str">
            <v>Re-size</v>
          </cell>
          <cell r="K564" t="str">
            <v>Re-size</v>
          </cell>
          <cell r="L564" t="str">
            <v>Re-size</v>
          </cell>
          <cell r="M564" t="str">
            <v>Re-size</v>
          </cell>
          <cell r="N564" t="str">
            <v>Re-size</v>
          </cell>
          <cell r="O564" t="str">
            <v>Re-size</v>
          </cell>
          <cell r="P564" t="str">
            <v>Re-size</v>
          </cell>
          <cell r="Q564" t="str">
            <v>Re-size</v>
          </cell>
          <cell r="R564">
            <v>8.5399999999999991</v>
          </cell>
          <cell r="S564">
            <v>6.57</v>
          </cell>
          <cell r="T564">
            <v>5.9249999999999998</v>
          </cell>
          <cell r="U564">
            <v>3.5150000000000001</v>
          </cell>
          <cell r="V564">
            <v>2.7050000000000001</v>
          </cell>
          <cell r="X564" t="str">
            <v>Re-size</v>
          </cell>
          <cell r="Y564" t="str">
            <v>Re-size</v>
          </cell>
          <cell r="Z564" t="str">
            <v>Re-size</v>
          </cell>
          <cell r="AA564" t="str">
            <v>Re-size</v>
          </cell>
          <cell r="AB564" t="str">
            <v>Re-size</v>
          </cell>
          <cell r="AC564" t="str">
            <v>Re-size</v>
          </cell>
          <cell r="AD564" t="str">
            <v>Re-size</v>
          </cell>
          <cell r="AE564" t="str">
            <v>Re-size</v>
          </cell>
        </row>
        <row r="565">
          <cell r="B565">
            <v>7.8</v>
          </cell>
          <cell r="C565" t="str">
            <v>Re-size</v>
          </cell>
          <cell r="D565" t="str">
            <v>Re-size</v>
          </cell>
          <cell r="E565" t="str">
            <v>Re-size</v>
          </cell>
          <cell r="F565" t="str">
            <v>Re-size</v>
          </cell>
          <cell r="G565" t="str">
            <v>Re-size</v>
          </cell>
          <cell r="H565" t="str">
            <v>Re-size</v>
          </cell>
          <cell r="I565" t="str">
            <v>Re-size</v>
          </cell>
          <cell r="J565" t="str">
            <v>Re-size</v>
          </cell>
          <cell r="K565" t="str">
            <v>Re-size</v>
          </cell>
          <cell r="L565" t="str">
            <v>Re-size</v>
          </cell>
          <cell r="M565" t="str">
            <v>Re-size</v>
          </cell>
          <cell r="N565" t="str">
            <v>Re-size</v>
          </cell>
          <cell r="O565" t="str">
            <v>Re-size</v>
          </cell>
          <cell r="P565" t="str">
            <v>Re-size</v>
          </cell>
          <cell r="Q565" t="str">
            <v>Re-size</v>
          </cell>
          <cell r="R565">
            <v>8.6</v>
          </cell>
          <cell r="S565">
            <v>6.65</v>
          </cell>
          <cell r="T565">
            <v>6</v>
          </cell>
          <cell r="U565">
            <v>3.56</v>
          </cell>
          <cell r="V565">
            <v>2.74</v>
          </cell>
          <cell r="X565" t="str">
            <v>Re-size</v>
          </cell>
          <cell r="Y565" t="str">
            <v>Re-size</v>
          </cell>
          <cell r="Z565" t="str">
            <v>Re-size</v>
          </cell>
          <cell r="AA565" t="str">
            <v>Re-size</v>
          </cell>
          <cell r="AB565" t="str">
            <v>Re-size</v>
          </cell>
          <cell r="AC565" t="str">
            <v>Re-size</v>
          </cell>
          <cell r="AD565" t="str">
            <v>Re-size</v>
          </cell>
          <cell r="AE565" t="str">
            <v>Re-size</v>
          </cell>
        </row>
        <row r="566">
          <cell r="B566">
            <v>7.85</v>
          </cell>
          <cell r="C566" t="str">
            <v>Re-size</v>
          </cell>
          <cell r="D566" t="str">
            <v>Re-size</v>
          </cell>
          <cell r="E566" t="str">
            <v>Re-size</v>
          </cell>
          <cell r="F566" t="str">
            <v>Re-size</v>
          </cell>
          <cell r="G566" t="str">
            <v>Re-size</v>
          </cell>
          <cell r="H566" t="str">
            <v>Re-size</v>
          </cell>
          <cell r="I566" t="str">
            <v>Re-size</v>
          </cell>
          <cell r="J566" t="str">
            <v>Re-size</v>
          </cell>
          <cell r="K566" t="str">
            <v>Re-size</v>
          </cell>
          <cell r="L566" t="str">
            <v>Re-size</v>
          </cell>
          <cell r="M566" t="str">
            <v>Re-size</v>
          </cell>
          <cell r="N566" t="str">
            <v>Re-size</v>
          </cell>
          <cell r="O566" t="str">
            <v>Re-size</v>
          </cell>
          <cell r="P566" t="str">
            <v>Re-size</v>
          </cell>
          <cell r="Q566" t="str">
            <v>Re-size</v>
          </cell>
          <cell r="R566">
            <v>8.7100000000000009</v>
          </cell>
          <cell r="S566">
            <v>6.7</v>
          </cell>
          <cell r="T566">
            <v>6.0750000000000002</v>
          </cell>
          <cell r="U566">
            <v>3.5950000000000002</v>
          </cell>
          <cell r="V566">
            <v>2.7650000000000001</v>
          </cell>
          <cell r="X566" t="str">
            <v>Re-size</v>
          </cell>
          <cell r="Y566" t="str">
            <v>Re-size</v>
          </cell>
          <cell r="Z566" t="str">
            <v>Re-size</v>
          </cell>
          <cell r="AA566" t="str">
            <v>Re-size</v>
          </cell>
          <cell r="AB566" t="str">
            <v>Re-size</v>
          </cell>
          <cell r="AC566" t="str">
            <v>Re-size</v>
          </cell>
          <cell r="AD566" t="str">
            <v>Re-size</v>
          </cell>
          <cell r="AE566" t="str">
            <v>Re-size</v>
          </cell>
        </row>
        <row r="567">
          <cell r="B567">
            <v>7.9</v>
          </cell>
          <cell r="C567" t="str">
            <v>Re-size</v>
          </cell>
          <cell r="D567" t="str">
            <v>Re-size</v>
          </cell>
          <cell r="E567" t="str">
            <v>Re-size</v>
          </cell>
          <cell r="F567" t="str">
            <v>Re-size</v>
          </cell>
          <cell r="G567" t="str">
            <v>Re-size</v>
          </cell>
          <cell r="H567" t="str">
            <v>Re-size</v>
          </cell>
          <cell r="I567" t="str">
            <v>Re-size</v>
          </cell>
          <cell r="J567" t="str">
            <v>Re-size</v>
          </cell>
          <cell r="K567" t="str">
            <v>Re-size</v>
          </cell>
          <cell r="L567" t="str">
            <v>Re-size</v>
          </cell>
          <cell r="M567" t="str">
            <v>Re-size</v>
          </cell>
          <cell r="N567" t="str">
            <v>Re-size</v>
          </cell>
          <cell r="O567" t="str">
            <v>Re-size</v>
          </cell>
          <cell r="P567" t="str">
            <v>Re-size</v>
          </cell>
          <cell r="Q567" t="str">
            <v>Re-size</v>
          </cell>
          <cell r="R567">
            <v>8.82</v>
          </cell>
          <cell r="S567">
            <v>6.79</v>
          </cell>
          <cell r="T567">
            <v>6.15</v>
          </cell>
          <cell r="U567">
            <v>3.63</v>
          </cell>
          <cell r="V567">
            <v>2.79</v>
          </cell>
          <cell r="X567" t="str">
            <v>Re-size</v>
          </cell>
          <cell r="Y567" t="str">
            <v>Re-size</v>
          </cell>
          <cell r="Z567" t="str">
            <v>Re-size</v>
          </cell>
          <cell r="AA567" t="str">
            <v>Re-size</v>
          </cell>
          <cell r="AB567" t="str">
            <v>Re-size</v>
          </cell>
          <cell r="AC567" t="str">
            <v>Re-size</v>
          </cell>
          <cell r="AD567" t="str">
            <v>Re-size</v>
          </cell>
          <cell r="AE567" t="str">
            <v>Re-size</v>
          </cell>
        </row>
        <row r="568">
          <cell r="B568">
            <v>7.95</v>
          </cell>
          <cell r="C568" t="str">
            <v>Re-size</v>
          </cell>
          <cell r="D568" t="str">
            <v>Re-size</v>
          </cell>
          <cell r="E568" t="str">
            <v>Re-size</v>
          </cell>
          <cell r="F568" t="str">
            <v>Re-size</v>
          </cell>
          <cell r="G568" t="str">
            <v>Re-size</v>
          </cell>
          <cell r="H568" t="str">
            <v>Re-size</v>
          </cell>
          <cell r="I568" t="str">
            <v>Re-size</v>
          </cell>
          <cell r="J568" t="str">
            <v>Re-size</v>
          </cell>
          <cell r="K568" t="str">
            <v>Re-size</v>
          </cell>
          <cell r="L568" t="str">
            <v>Re-size</v>
          </cell>
          <cell r="M568" t="str">
            <v>Re-size</v>
          </cell>
          <cell r="N568" t="str">
            <v>Re-size</v>
          </cell>
          <cell r="O568" t="str">
            <v>Re-size</v>
          </cell>
          <cell r="P568" t="str">
            <v>Re-size</v>
          </cell>
          <cell r="Q568" t="str">
            <v>Re-size</v>
          </cell>
          <cell r="R568">
            <v>8.93</v>
          </cell>
          <cell r="S568">
            <v>6.87</v>
          </cell>
          <cell r="T568">
            <v>6.2149999999999999</v>
          </cell>
          <cell r="U568">
            <v>3.6749999999999998</v>
          </cell>
          <cell r="V568">
            <v>2.8250000000000002</v>
          </cell>
          <cell r="X568" t="str">
            <v>Re-size</v>
          </cell>
          <cell r="Y568" t="str">
            <v>Re-size</v>
          </cell>
          <cell r="Z568" t="str">
            <v>Re-size</v>
          </cell>
          <cell r="AA568" t="str">
            <v>Re-size</v>
          </cell>
          <cell r="AB568" t="str">
            <v>Re-size</v>
          </cell>
          <cell r="AC568" t="str">
            <v>Re-size</v>
          </cell>
          <cell r="AD568" t="str">
            <v>Re-size</v>
          </cell>
          <cell r="AE568" t="str">
            <v>Re-size</v>
          </cell>
        </row>
        <row r="569">
          <cell r="B569">
            <v>8</v>
          </cell>
          <cell r="C569" t="str">
            <v>Re-size</v>
          </cell>
          <cell r="D569" t="str">
            <v>Re-size</v>
          </cell>
          <cell r="E569" t="str">
            <v>Re-size</v>
          </cell>
          <cell r="F569" t="str">
            <v>Re-size</v>
          </cell>
          <cell r="G569" t="str">
            <v>Re-size</v>
          </cell>
          <cell r="H569" t="str">
            <v>Re-size</v>
          </cell>
          <cell r="I569" t="str">
            <v>Re-size</v>
          </cell>
          <cell r="J569" t="str">
            <v>Re-size</v>
          </cell>
          <cell r="K569" t="str">
            <v>Re-size</v>
          </cell>
          <cell r="L569" t="str">
            <v>Re-size</v>
          </cell>
          <cell r="M569" t="str">
            <v>Re-size</v>
          </cell>
          <cell r="N569" t="str">
            <v>Re-size</v>
          </cell>
          <cell r="O569" t="str">
            <v>Re-size</v>
          </cell>
          <cell r="P569" t="str">
            <v>Re-size</v>
          </cell>
          <cell r="Q569" t="str">
            <v>Re-size</v>
          </cell>
          <cell r="R569">
            <v>9.0500000000000007</v>
          </cell>
          <cell r="S569">
            <v>6.96</v>
          </cell>
          <cell r="T569">
            <v>6.28</v>
          </cell>
          <cell r="U569">
            <v>3.72</v>
          </cell>
          <cell r="V569">
            <v>2.86</v>
          </cell>
          <cell r="X569" t="str">
            <v>Re-size</v>
          </cell>
          <cell r="Y569" t="str">
            <v>Re-size</v>
          </cell>
          <cell r="Z569" t="str">
            <v>Re-size</v>
          </cell>
          <cell r="AA569" t="str">
            <v>Re-size</v>
          </cell>
          <cell r="AB569" t="str">
            <v>Re-size</v>
          </cell>
          <cell r="AC569" t="str">
            <v>Re-size</v>
          </cell>
          <cell r="AD569" t="str">
            <v>Re-size</v>
          </cell>
          <cell r="AE569" t="str">
            <v>Re-size</v>
          </cell>
        </row>
        <row r="570">
          <cell r="B570">
            <v>8.0500000000000007</v>
          </cell>
          <cell r="C570" t="str">
            <v>Re-size</v>
          </cell>
          <cell r="D570" t="str">
            <v>Re-size</v>
          </cell>
          <cell r="E570" t="str">
            <v>Re-size</v>
          </cell>
          <cell r="F570" t="str">
            <v>Re-size</v>
          </cell>
          <cell r="G570" t="str">
            <v>Re-size</v>
          </cell>
          <cell r="H570" t="str">
            <v>Re-size</v>
          </cell>
          <cell r="I570" t="str">
            <v>Re-size</v>
          </cell>
          <cell r="J570" t="str">
            <v>Re-size</v>
          </cell>
          <cell r="K570" t="str">
            <v>Re-size</v>
          </cell>
          <cell r="L570" t="str">
            <v>Re-size</v>
          </cell>
          <cell r="M570" t="str">
            <v>Re-size</v>
          </cell>
          <cell r="N570" t="str">
            <v>Re-size</v>
          </cell>
          <cell r="O570" t="str">
            <v>Re-size</v>
          </cell>
          <cell r="P570" t="str">
            <v>Re-size</v>
          </cell>
          <cell r="Q570" t="str">
            <v>Re-size</v>
          </cell>
          <cell r="R570">
            <v>9.11</v>
          </cell>
          <cell r="S570">
            <v>7.05</v>
          </cell>
          <cell r="T570">
            <v>6.3550000000000004</v>
          </cell>
          <cell r="U570">
            <v>3.7549999999999999</v>
          </cell>
          <cell r="V570">
            <v>2.895</v>
          </cell>
          <cell r="X570" t="str">
            <v>Re-size</v>
          </cell>
          <cell r="Y570" t="str">
            <v>Re-size</v>
          </cell>
          <cell r="Z570" t="str">
            <v>Re-size</v>
          </cell>
          <cell r="AA570" t="str">
            <v>Re-size</v>
          </cell>
          <cell r="AB570" t="str">
            <v>Re-size</v>
          </cell>
          <cell r="AC570" t="str">
            <v>Re-size</v>
          </cell>
          <cell r="AD570" t="str">
            <v>Re-size</v>
          </cell>
          <cell r="AE570" t="str">
            <v>Re-size</v>
          </cell>
        </row>
        <row r="571">
          <cell r="B571">
            <v>8.1</v>
          </cell>
          <cell r="C571" t="str">
            <v>Re-size</v>
          </cell>
          <cell r="D571" t="str">
            <v>Re-size</v>
          </cell>
          <cell r="E571" t="str">
            <v>Re-size</v>
          </cell>
          <cell r="F571" t="str">
            <v>Re-size</v>
          </cell>
          <cell r="G571" t="str">
            <v>Re-size</v>
          </cell>
          <cell r="H571" t="str">
            <v>Re-size</v>
          </cell>
          <cell r="I571" t="str">
            <v>Re-size</v>
          </cell>
          <cell r="J571" t="str">
            <v>Re-size</v>
          </cell>
          <cell r="K571" t="str">
            <v>Re-size</v>
          </cell>
          <cell r="L571" t="str">
            <v>Re-size</v>
          </cell>
          <cell r="M571" t="str">
            <v>Re-size</v>
          </cell>
          <cell r="N571" t="str">
            <v>Re-size</v>
          </cell>
          <cell r="O571" t="str">
            <v>Re-size</v>
          </cell>
          <cell r="P571" t="str">
            <v>Re-size</v>
          </cell>
          <cell r="Q571" t="str">
            <v>Re-size</v>
          </cell>
          <cell r="R571">
            <v>9.2200000000000006</v>
          </cell>
          <cell r="S571">
            <v>7.09</v>
          </cell>
          <cell r="T571">
            <v>6.43</v>
          </cell>
          <cell r="U571">
            <v>3.79</v>
          </cell>
          <cell r="V571">
            <v>2.93</v>
          </cell>
          <cell r="X571" t="str">
            <v>Re-size</v>
          </cell>
          <cell r="Y571" t="str">
            <v>Re-size</v>
          </cell>
          <cell r="Z571" t="str">
            <v>Re-size</v>
          </cell>
          <cell r="AA571" t="str">
            <v>Re-size</v>
          </cell>
          <cell r="AB571" t="str">
            <v>Re-size</v>
          </cell>
          <cell r="AC571" t="str">
            <v>Re-size</v>
          </cell>
          <cell r="AD571" t="str">
            <v>Re-size</v>
          </cell>
          <cell r="AE571" t="str">
            <v>Re-size</v>
          </cell>
        </row>
        <row r="572">
          <cell r="B572">
            <v>8.15</v>
          </cell>
          <cell r="C572" t="str">
            <v>Re-size</v>
          </cell>
          <cell r="D572" t="str">
            <v>Re-size</v>
          </cell>
          <cell r="E572" t="str">
            <v>Re-size</v>
          </cell>
          <cell r="F572" t="str">
            <v>Re-size</v>
          </cell>
          <cell r="G572" t="str">
            <v>Re-size</v>
          </cell>
          <cell r="H572" t="str">
            <v>Re-size</v>
          </cell>
          <cell r="I572" t="str">
            <v>Re-size</v>
          </cell>
          <cell r="J572" t="str">
            <v>Re-size</v>
          </cell>
          <cell r="K572" t="str">
            <v>Re-size</v>
          </cell>
          <cell r="L572" t="str">
            <v>Re-size</v>
          </cell>
          <cell r="M572" t="str">
            <v>Re-size</v>
          </cell>
          <cell r="N572" t="str">
            <v>Re-size</v>
          </cell>
          <cell r="O572" t="str">
            <v>Re-size</v>
          </cell>
          <cell r="P572" t="str">
            <v>Re-size</v>
          </cell>
          <cell r="Q572" t="str">
            <v>Re-size</v>
          </cell>
          <cell r="R572">
            <v>9.34</v>
          </cell>
          <cell r="S572">
            <v>7.18</v>
          </cell>
          <cell r="T572">
            <v>6.4950000000000001</v>
          </cell>
          <cell r="U572">
            <v>3.84</v>
          </cell>
          <cell r="V572">
            <v>2.96</v>
          </cell>
          <cell r="X572" t="str">
            <v>Re-size</v>
          </cell>
          <cell r="Y572" t="str">
            <v>Re-size</v>
          </cell>
          <cell r="Z572" t="str">
            <v>Re-size</v>
          </cell>
          <cell r="AA572" t="str">
            <v>Re-size</v>
          </cell>
          <cell r="AB572" t="str">
            <v>Re-size</v>
          </cell>
          <cell r="AC572" t="str">
            <v>Re-size</v>
          </cell>
          <cell r="AD572" t="str">
            <v>Re-size</v>
          </cell>
          <cell r="AE572" t="str">
            <v>Re-size</v>
          </cell>
        </row>
        <row r="573">
          <cell r="B573">
            <v>8.1999999999999993</v>
          </cell>
          <cell r="C573" t="str">
            <v>Re-size</v>
          </cell>
          <cell r="D573" t="str">
            <v>Re-size</v>
          </cell>
          <cell r="E573" t="str">
            <v>Re-size</v>
          </cell>
          <cell r="F573" t="str">
            <v>Re-size</v>
          </cell>
          <cell r="G573" t="str">
            <v>Re-size</v>
          </cell>
          <cell r="H573" t="str">
            <v>Re-size</v>
          </cell>
          <cell r="I573" t="str">
            <v>Re-size</v>
          </cell>
          <cell r="J573" t="str">
            <v>Re-size</v>
          </cell>
          <cell r="K573" t="str">
            <v>Re-size</v>
          </cell>
          <cell r="L573" t="str">
            <v>Re-size</v>
          </cell>
          <cell r="M573" t="str">
            <v>Re-size</v>
          </cell>
          <cell r="N573" t="str">
            <v>Re-size</v>
          </cell>
          <cell r="O573" t="str">
            <v>Re-size</v>
          </cell>
          <cell r="P573" t="str">
            <v>Re-size</v>
          </cell>
          <cell r="Q573" t="str">
            <v>Re-size</v>
          </cell>
          <cell r="R573">
            <v>9.4499999999999993</v>
          </cell>
          <cell r="S573">
            <v>7.27</v>
          </cell>
          <cell r="T573">
            <v>6.56</v>
          </cell>
          <cell r="U573">
            <v>3.89</v>
          </cell>
          <cell r="V573">
            <v>2.99</v>
          </cell>
          <cell r="X573" t="str">
            <v>Re-size</v>
          </cell>
          <cell r="Y573" t="str">
            <v>Re-size</v>
          </cell>
          <cell r="Z573" t="str">
            <v>Re-size</v>
          </cell>
          <cell r="AA573" t="str">
            <v>Re-size</v>
          </cell>
          <cell r="AB573" t="str">
            <v>Re-size</v>
          </cell>
          <cell r="AC573" t="str">
            <v>Re-size</v>
          </cell>
          <cell r="AD573" t="str">
            <v>Re-size</v>
          </cell>
          <cell r="AE573" t="str">
            <v>Re-size</v>
          </cell>
        </row>
        <row r="574">
          <cell r="B574">
            <v>8.25</v>
          </cell>
          <cell r="C574" t="str">
            <v>Re-size</v>
          </cell>
          <cell r="D574" t="str">
            <v>Re-size</v>
          </cell>
          <cell r="E574" t="str">
            <v>Re-size</v>
          </cell>
          <cell r="F574" t="str">
            <v>Re-size</v>
          </cell>
          <cell r="G574" t="str">
            <v>Re-size</v>
          </cell>
          <cell r="H574" t="str">
            <v>Re-size</v>
          </cell>
          <cell r="I574" t="str">
            <v>Re-size</v>
          </cell>
          <cell r="J574" t="str">
            <v>Re-size</v>
          </cell>
          <cell r="K574" t="str">
            <v>Re-size</v>
          </cell>
          <cell r="L574" t="str">
            <v>Re-size</v>
          </cell>
          <cell r="M574" t="str">
            <v>Re-size</v>
          </cell>
          <cell r="N574" t="str">
            <v>Re-size</v>
          </cell>
          <cell r="O574" t="str">
            <v>Re-size</v>
          </cell>
          <cell r="P574" t="str">
            <v>Re-size</v>
          </cell>
          <cell r="Q574" t="str">
            <v>Re-size</v>
          </cell>
          <cell r="R574">
            <v>9.57</v>
          </cell>
          <cell r="S574">
            <v>7.36</v>
          </cell>
          <cell r="T574">
            <v>6.64</v>
          </cell>
          <cell r="U574">
            <v>3.9350000000000001</v>
          </cell>
          <cell r="V574">
            <v>3.0249999999999999</v>
          </cell>
          <cell r="X574" t="str">
            <v>Re-size</v>
          </cell>
          <cell r="Y574" t="str">
            <v>Re-size</v>
          </cell>
          <cell r="Z574" t="str">
            <v>Re-size</v>
          </cell>
          <cell r="AA574" t="str">
            <v>Re-size</v>
          </cell>
          <cell r="AB574" t="str">
            <v>Re-size</v>
          </cell>
          <cell r="AC574" t="str">
            <v>Re-size</v>
          </cell>
          <cell r="AD574" t="str">
            <v>Re-size</v>
          </cell>
          <cell r="AE574" t="str">
            <v>Re-size</v>
          </cell>
        </row>
        <row r="575">
          <cell r="B575">
            <v>8.3000000000000007</v>
          </cell>
          <cell r="C575" t="str">
            <v>Re-size</v>
          </cell>
          <cell r="D575" t="str">
            <v>Re-size</v>
          </cell>
          <cell r="E575" t="str">
            <v>Re-size</v>
          </cell>
          <cell r="F575" t="str">
            <v>Re-size</v>
          </cell>
          <cell r="G575" t="str">
            <v>Re-size</v>
          </cell>
          <cell r="H575" t="str">
            <v>Re-size</v>
          </cell>
          <cell r="I575" t="str">
            <v>Re-size</v>
          </cell>
          <cell r="J575" t="str">
            <v>Re-size</v>
          </cell>
          <cell r="K575" t="str">
            <v>Re-size</v>
          </cell>
          <cell r="L575" t="str">
            <v>Re-size</v>
          </cell>
          <cell r="M575" t="str">
            <v>Re-size</v>
          </cell>
          <cell r="N575" t="str">
            <v>Re-size</v>
          </cell>
          <cell r="O575" t="str">
            <v>Re-size</v>
          </cell>
          <cell r="P575" t="str">
            <v>Re-size</v>
          </cell>
          <cell r="Q575" t="str">
            <v>Re-size</v>
          </cell>
          <cell r="R575">
            <v>9.68</v>
          </cell>
          <cell r="S575">
            <v>7.45</v>
          </cell>
          <cell r="T575">
            <v>6.72</v>
          </cell>
          <cell r="U575">
            <v>3.98</v>
          </cell>
          <cell r="V575">
            <v>3.06</v>
          </cell>
          <cell r="X575" t="str">
            <v>Re-size</v>
          </cell>
          <cell r="Y575" t="str">
            <v>Re-size</v>
          </cell>
          <cell r="Z575" t="str">
            <v>Re-size</v>
          </cell>
          <cell r="AA575" t="str">
            <v>Re-size</v>
          </cell>
          <cell r="AB575" t="str">
            <v>Re-size</v>
          </cell>
          <cell r="AC575" t="str">
            <v>Re-size</v>
          </cell>
          <cell r="AD575" t="str">
            <v>Re-size</v>
          </cell>
          <cell r="AE575" t="str">
            <v>Re-size</v>
          </cell>
        </row>
        <row r="576">
          <cell r="B576">
            <v>8.35</v>
          </cell>
          <cell r="C576" t="str">
            <v>Re-size</v>
          </cell>
          <cell r="D576" t="str">
            <v>Re-size</v>
          </cell>
          <cell r="E576" t="str">
            <v>Re-size</v>
          </cell>
          <cell r="F576" t="str">
            <v>Re-size</v>
          </cell>
          <cell r="G576" t="str">
            <v>Re-size</v>
          </cell>
          <cell r="H576" t="str">
            <v>Re-size</v>
          </cell>
          <cell r="I576" t="str">
            <v>Re-size</v>
          </cell>
          <cell r="J576" t="str">
            <v>Re-size</v>
          </cell>
          <cell r="K576" t="str">
            <v>Re-size</v>
          </cell>
          <cell r="L576" t="str">
            <v>Re-size</v>
          </cell>
          <cell r="M576" t="str">
            <v>Re-size</v>
          </cell>
          <cell r="N576" t="str">
            <v>Re-size</v>
          </cell>
          <cell r="O576" t="str">
            <v>Re-size</v>
          </cell>
          <cell r="P576" t="str">
            <v>Re-size</v>
          </cell>
          <cell r="Q576" t="str">
            <v>Re-size</v>
          </cell>
          <cell r="R576">
            <v>9.74</v>
          </cell>
          <cell r="S576">
            <v>7.54</v>
          </cell>
          <cell r="T576">
            <v>6.8</v>
          </cell>
          <cell r="U576">
            <v>4.0199999999999996</v>
          </cell>
          <cell r="V576">
            <v>3.09</v>
          </cell>
          <cell r="X576" t="str">
            <v>Re-size</v>
          </cell>
          <cell r="Y576" t="str">
            <v>Re-size</v>
          </cell>
          <cell r="Z576" t="str">
            <v>Re-size</v>
          </cell>
          <cell r="AA576" t="str">
            <v>Re-size</v>
          </cell>
          <cell r="AB576" t="str">
            <v>Re-size</v>
          </cell>
          <cell r="AC576" t="str">
            <v>Re-size</v>
          </cell>
          <cell r="AD576" t="str">
            <v>Re-size</v>
          </cell>
          <cell r="AE576" t="str">
            <v>Re-size</v>
          </cell>
        </row>
        <row r="577">
          <cell r="B577">
            <v>8.4</v>
          </cell>
          <cell r="C577" t="str">
            <v>Re-size</v>
          </cell>
          <cell r="D577" t="str">
            <v>Re-size</v>
          </cell>
          <cell r="E577" t="str">
            <v>Re-size</v>
          </cell>
          <cell r="F577" t="str">
            <v>Re-size</v>
          </cell>
          <cell r="G577" t="str">
            <v>Re-size</v>
          </cell>
          <cell r="H577" t="str">
            <v>Re-size</v>
          </cell>
          <cell r="I577" t="str">
            <v>Re-size</v>
          </cell>
          <cell r="J577" t="str">
            <v>Re-size</v>
          </cell>
          <cell r="K577" t="str">
            <v>Re-size</v>
          </cell>
          <cell r="L577" t="str">
            <v>Re-size</v>
          </cell>
          <cell r="M577" t="str">
            <v>Re-size</v>
          </cell>
          <cell r="N577" t="str">
            <v>Re-size</v>
          </cell>
          <cell r="O577" t="str">
            <v>Re-size</v>
          </cell>
          <cell r="P577" t="str">
            <v>Re-size</v>
          </cell>
          <cell r="Q577" t="str">
            <v>Re-size</v>
          </cell>
          <cell r="R577">
            <v>9.86</v>
          </cell>
          <cell r="S577">
            <v>7.59</v>
          </cell>
          <cell r="T577">
            <v>6.88</v>
          </cell>
          <cell r="U577">
            <v>4.0599999999999996</v>
          </cell>
          <cell r="V577">
            <v>3.12</v>
          </cell>
          <cell r="X577" t="str">
            <v>Re-size</v>
          </cell>
          <cell r="Y577" t="str">
            <v>Re-size</v>
          </cell>
          <cell r="Z577" t="str">
            <v>Re-size</v>
          </cell>
          <cell r="AA577" t="str">
            <v>Re-size</v>
          </cell>
          <cell r="AB577" t="str">
            <v>Re-size</v>
          </cell>
          <cell r="AC577" t="str">
            <v>Re-size</v>
          </cell>
          <cell r="AD577" t="str">
            <v>Re-size</v>
          </cell>
          <cell r="AE577" t="str">
            <v>Re-size</v>
          </cell>
        </row>
        <row r="578">
          <cell r="B578">
            <v>8.4499999999999993</v>
          </cell>
          <cell r="C578" t="str">
            <v>Re-size</v>
          </cell>
          <cell r="D578" t="str">
            <v>Re-size</v>
          </cell>
          <cell r="E578" t="str">
            <v>Re-size</v>
          </cell>
          <cell r="F578" t="str">
            <v>Re-size</v>
          </cell>
          <cell r="G578" t="str">
            <v>Re-size</v>
          </cell>
          <cell r="H578" t="str">
            <v>Re-size</v>
          </cell>
          <cell r="I578" t="str">
            <v>Re-size</v>
          </cell>
          <cell r="J578" t="str">
            <v>Re-size</v>
          </cell>
          <cell r="K578" t="str">
            <v>Re-size</v>
          </cell>
          <cell r="L578" t="str">
            <v>Re-size</v>
          </cell>
          <cell r="M578" t="str">
            <v>Re-size</v>
          </cell>
          <cell r="N578" t="str">
            <v>Re-size</v>
          </cell>
          <cell r="O578" t="str">
            <v>Re-size</v>
          </cell>
          <cell r="P578" t="str">
            <v>Re-size</v>
          </cell>
          <cell r="Q578" t="str">
            <v>Re-size</v>
          </cell>
          <cell r="R578">
            <v>9.98</v>
          </cell>
          <cell r="S578">
            <v>7.68</v>
          </cell>
          <cell r="T578">
            <v>6.9450000000000003</v>
          </cell>
          <cell r="U578">
            <v>4.1100000000000003</v>
          </cell>
          <cell r="V578">
            <v>3.16</v>
          </cell>
          <cell r="X578" t="str">
            <v>Re-size</v>
          </cell>
          <cell r="Y578" t="str">
            <v>Re-size</v>
          </cell>
          <cell r="Z578" t="str">
            <v>Re-size</v>
          </cell>
          <cell r="AA578" t="str">
            <v>Re-size</v>
          </cell>
          <cell r="AB578" t="str">
            <v>Re-size</v>
          </cell>
          <cell r="AC578" t="str">
            <v>Re-size</v>
          </cell>
          <cell r="AD578" t="str">
            <v>Re-size</v>
          </cell>
          <cell r="AE578" t="str">
            <v>Re-size</v>
          </cell>
        </row>
        <row r="579">
          <cell r="B579">
            <v>8.5</v>
          </cell>
          <cell r="C579" t="str">
            <v>Re-size</v>
          </cell>
          <cell r="D579" t="str">
            <v>Re-size</v>
          </cell>
          <cell r="E579" t="str">
            <v>Re-size</v>
          </cell>
          <cell r="F579" t="str">
            <v>Re-size</v>
          </cell>
          <cell r="G579" t="str">
            <v>Re-size</v>
          </cell>
          <cell r="H579" t="str">
            <v>Re-size</v>
          </cell>
          <cell r="I579" t="str">
            <v>Re-size</v>
          </cell>
          <cell r="J579" t="str">
            <v>Re-size</v>
          </cell>
          <cell r="K579" t="str">
            <v>Re-size</v>
          </cell>
          <cell r="L579" t="str">
            <v>Re-size</v>
          </cell>
          <cell r="M579" t="str">
            <v>Re-size</v>
          </cell>
          <cell r="N579" t="str">
            <v>Re-size</v>
          </cell>
          <cell r="O579" t="str">
            <v>Re-size</v>
          </cell>
          <cell r="P579" t="str">
            <v>Re-size</v>
          </cell>
          <cell r="Q579" t="str">
            <v>Re-size</v>
          </cell>
          <cell r="R579">
            <v>10.1</v>
          </cell>
          <cell r="S579">
            <v>7.77</v>
          </cell>
          <cell r="T579">
            <v>7.01</v>
          </cell>
          <cell r="U579">
            <v>4.16</v>
          </cell>
          <cell r="V579">
            <v>3.2</v>
          </cell>
          <cell r="X579" t="str">
            <v>Re-size</v>
          </cell>
          <cell r="Y579" t="str">
            <v>Re-size</v>
          </cell>
          <cell r="Z579" t="str">
            <v>Re-size</v>
          </cell>
          <cell r="AA579" t="str">
            <v>Re-size</v>
          </cell>
          <cell r="AB579" t="str">
            <v>Re-size</v>
          </cell>
          <cell r="AC579" t="str">
            <v>Re-size</v>
          </cell>
          <cell r="AD579" t="str">
            <v>Re-size</v>
          </cell>
          <cell r="AE579" t="str">
            <v>Re-size</v>
          </cell>
        </row>
        <row r="580">
          <cell r="B580">
            <v>8.5500000000000007</v>
          </cell>
          <cell r="C580" t="str">
            <v>Re-size</v>
          </cell>
          <cell r="D580" t="str">
            <v>Re-size</v>
          </cell>
          <cell r="E580" t="str">
            <v>Re-size</v>
          </cell>
          <cell r="F580" t="str">
            <v>Re-size</v>
          </cell>
          <cell r="G580" t="str">
            <v>Re-size</v>
          </cell>
          <cell r="H580" t="str">
            <v>Re-size</v>
          </cell>
          <cell r="I580" t="str">
            <v>Re-size</v>
          </cell>
          <cell r="J580" t="str">
            <v>Re-size</v>
          </cell>
          <cell r="K580" t="str">
            <v>Re-size</v>
          </cell>
          <cell r="L580" t="str">
            <v>Re-size</v>
          </cell>
          <cell r="M580" t="str">
            <v>Re-size</v>
          </cell>
          <cell r="N580" t="str">
            <v>Re-size</v>
          </cell>
          <cell r="O580" t="str">
            <v>Re-size</v>
          </cell>
          <cell r="P580" t="str">
            <v>Re-size</v>
          </cell>
          <cell r="Q580" t="str">
            <v>Re-size</v>
          </cell>
          <cell r="R580">
            <v>10.220000000000001</v>
          </cell>
          <cell r="S580">
            <v>7.86</v>
          </cell>
          <cell r="T580">
            <v>7.09</v>
          </cell>
          <cell r="U580">
            <v>4.1950000000000003</v>
          </cell>
          <cell r="V580">
            <v>3.2349999999999999</v>
          </cell>
          <cell r="X580" t="str">
            <v>Re-size</v>
          </cell>
          <cell r="Y580" t="str">
            <v>Re-size</v>
          </cell>
          <cell r="Z580" t="str">
            <v>Re-size</v>
          </cell>
          <cell r="AA580" t="str">
            <v>Re-size</v>
          </cell>
          <cell r="AB580" t="str">
            <v>Re-size</v>
          </cell>
          <cell r="AC580" t="str">
            <v>Re-size</v>
          </cell>
          <cell r="AD580" t="str">
            <v>Re-size</v>
          </cell>
          <cell r="AE580" t="str">
            <v>Re-size</v>
          </cell>
        </row>
        <row r="581">
          <cell r="B581">
            <v>8.6</v>
          </cell>
          <cell r="C581" t="str">
            <v>Re-size</v>
          </cell>
          <cell r="D581" t="str">
            <v>Re-size</v>
          </cell>
          <cell r="E581" t="str">
            <v>Re-size</v>
          </cell>
          <cell r="F581" t="str">
            <v>Re-size</v>
          </cell>
          <cell r="G581" t="str">
            <v>Re-size</v>
          </cell>
          <cell r="H581" t="str">
            <v>Re-size</v>
          </cell>
          <cell r="I581" t="str">
            <v>Re-size</v>
          </cell>
          <cell r="J581" t="str">
            <v>Re-size</v>
          </cell>
          <cell r="K581" t="str">
            <v>Re-size</v>
          </cell>
          <cell r="L581" t="str">
            <v>Re-size</v>
          </cell>
          <cell r="M581" t="str">
            <v>Re-size</v>
          </cell>
          <cell r="N581" t="str">
            <v>Re-size</v>
          </cell>
          <cell r="O581" t="str">
            <v>Re-size</v>
          </cell>
          <cell r="P581" t="str">
            <v>Re-size</v>
          </cell>
          <cell r="Q581" t="str">
            <v>Re-size</v>
          </cell>
          <cell r="R581">
            <v>10.34</v>
          </cell>
          <cell r="S581">
            <v>7.95</v>
          </cell>
          <cell r="T581">
            <v>7.17</v>
          </cell>
          <cell r="U581">
            <v>4.2300000000000004</v>
          </cell>
          <cell r="V581">
            <v>3.27</v>
          </cell>
          <cell r="X581" t="str">
            <v>Re-size</v>
          </cell>
          <cell r="Y581" t="str">
            <v>Re-size</v>
          </cell>
          <cell r="Z581" t="str">
            <v>Re-size</v>
          </cell>
          <cell r="AA581" t="str">
            <v>Re-size</v>
          </cell>
          <cell r="AB581" t="str">
            <v>Re-size</v>
          </cell>
          <cell r="AC581" t="str">
            <v>Re-size</v>
          </cell>
          <cell r="AD581" t="str">
            <v>Re-size</v>
          </cell>
          <cell r="AE581" t="str">
            <v>Re-size</v>
          </cell>
        </row>
        <row r="582">
          <cell r="B582">
            <v>8.65</v>
          </cell>
          <cell r="C582" t="str">
            <v>Re-size</v>
          </cell>
          <cell r="D582" t="str">
            <v>Re-size</v>
          </cell>
          <cell r="E582" t="str">
            <v>Re-size</v>
          </cell>
          <cell r="F582" t="str">
            <v>Re-size</v>
          </cell>
          <cell r="G582" t="str">
            <v>Re-size</v>
          </cell>
          <cell r="H582" t="str">
            <v>Re-size</v>
          </cell>
          <cell r="I582" t="str">
            <v>Re-size</v>
          </cell>
          <cell r="J582" t="str">
            <v>Re-size</v>
          </cell>
          <cell r="K582" t="str">
            <v>Re-size</v>
          </cell>
          <cell r="L582" t="str">
            <v>Re-size</v>
          </cell>
          <cell r="M582" t="str">
            <v>Re-size</v>
          </cell>
          <cell r="N582" t="str">
            <v>Re-size</v>
          </cell>
          <cell r="O582" t="str">
            <v>Re-size</v>
          </cell>
          <cell r="P582" t="str">
            <v>Re-size</v>
          </cell>
          <cell r="Q582" t="str">
            <v>Re-size</v>
          </cell>
          <cell r="R582">
            <v>10.4</v>
          </cell>
          <cell r="S582">
            <v>8</v>
          </cell>
          <cell r="T582">
            <v>7.2549999999999999</v>
          </cell>
          <cell r="U582">
            <v>4.28</v>
          </cell>
          <cell r="V582">
            <v>3.3</v>
          </cell>
          <cell r="X582" t="str">
            <v>Re-size</v>
          </cell>
          <cell r="Y582" t="str">
            <v>Re-size</v>
          </cell>
          <cell r="Z582" t="str">
            <v>Re-size</v>
          </cell>
          <cell r="AA582" t="str">
            <v>Re-size</v>
          </cell>
          <cell r="AB582" t="str">
            <v>Re-size</v>
          </cell>
          <cell r="AC582" t="str">
            <v>Re-size</v>
          </cell>
          <cell r="AD582" t="str">
            <v>Re-size</v>
          </cell>
          <cell r="AE582" t="str">
            <v>Re-size</v>
          </cell>
        </row>
        <row r="583">
          <cell r="B583">
            <v>8.6999999999999993</v>
          </cell>
          <cell r="C583" t="str">
            <v>Re-size</v>
          </cell>
          <cell r="D583" t="str">
            <v>Re-size</v>
          </cell>
          <cell r="E583" t="str">
            <v>Re-size</v>
          </cell>
          <cell r="F583" t="str">
            <v>Re-size</v>
          </cell>
          <cell r="G583" t="str">
            <v>Re-size</v>
          </cell>
          <cell r="H583" t="str">
            <v>Re-size</v>
          </cell>
          <cell r="I583" t="str">
            <v>Re-size</v>
          </cell>
          <cell r="J583" t="str">
            <v>Re-size</v>
          </cell>
          <cell r="K583" t="str">
            <v>Re-size</v>
          </cell>
          <cell r="L583" t="str">
            <v>Re-size</v>
          </cell>
          <cell r="M583" t="str">
            <v>Re-size</v>
          </cell>
          <cell r="N583" t="str">
            <v>Re-size</v>
          </cell>
          <cell r="O583" t="str">
            <v>Re-size</v>
          </cell>
          <cell r="P583" t="str">
            <v>Re-size</v>
          </cell>
          <cell r="Q583" t="str">
            <v>Re-size</v>
          </cell>
          <cell r="R583">
            <v>10.52</v>
          </cell>
          <cell r="S583">
            <v>8.09</v>
          </cell>
          <cell r="T583">
            <v>7.34</v>
          </cell>
          <cell r="U583">
            <v>4.33</v>
          </cell>
          <cell r="V583">
            <v>3.33</v>
          </cell>
          <cell r="X583" t="str">
            <v>Re-size</v>
          </cell>
          <cell r="Y583" t="str">
            <v>Re-size</v>
          </cell>
          <cell r="Z583" t="str">
            <v>Re-size</v>
          </cell>
          <cell r="AA583" t="str">
            <v>Re-size</v>
          </cell>
          <cell r="AB583" t="str">
            <v>Re-size</v>
          </cell>
          <cell r="AC583" t="str">
            <v>Re-size</v>
          </cell>
          <cell r="AD583" t="str">
            <v>Re-size</v>
          </cell>
          <cell r="AE583" t="str">
            <v>Re-size</v>
          </cell>
        </row>
        <row r="584">
          <cell r="B584">
            <v>8.75</v>
          </cell>
          <cell r="C584" t="str">
            <v>Re-size</v>
          </cell>
          <cell r="D584" t="str">
            <v>Re-size</v>
          </cell>
          <cell r="E584" t="str">
            <v>Re-size</v>
          </cell>
          <cell r="F584" t="str">
            <v>Re-size</v>
          </cell>
          <cell r="G584" t="str">
            <v>Re-size</v>
          </cell>
          <cell r="H584" t="str">
            <v>Re-size</v>
          </cell>
          <cell r="I584" t="str">
            <v>Re-size</v>
          </cell>
          <cell r="J584" t="str">
            <v>Re-size</v>
          </cell>
          <cell r="K584" t="str">
            <v>Re-size</v>
          </cell>
          <cell r="L584" t="str">
            <v>Re-size</v>
          </cell>
          <cell r="M584" t="str">
            <v>Re-size</v>
          </cell>
          <cell r="N584" t="str">
            <v>Re-size</v>
          </cell>
          <cell r="O584" t="str">
            <v>Re-size</v>
          </cell>
          <cell r="P584" t="str">
            <v>Re-size</v>
          </cell>
          <cell r="Q584" t="str">
            <v>Re-size</v>
          </cell>
          <cell r="R584">
            <v>10.64</v>
          </cell>
          <cell r="S584">
            <v>8.19</v>
          </cell>
          <cell r="T584">
            <v>7.4050000000000002</v>
          </cell>
          <cell r="U584">
            <v>4.38</v>
          </cell>
          <cell r="V584">
            <v>3.37</v>
          </cell>
          <cell r="X584" t="str">
            <v>Re-size</v>
          </cell>
          <cell r="Y584" t="str">
            <v>Re-size</v>
          </cell>
          <cell r="Z584" t="str">
            <v>Re-size</v>
          </cell>
          <cell r="AA584" t="str">
            <v>Re-size</v>
          </cell>
          <cell r="AB584" t="str">
            <v>Re-size</v>
          </cell>
          <cell r="AC584" t="str">
            <v>Re-size</v>
          </cell>
          <cell r="AD584" t="str">
            <v>Re-size</v>
          </cell>
          <cell r="AE584" t="str">
            <v>Re-size</v>
          </cell>
        </row>
        <row r="585">
          <cell r="B585">
            <v>8.8000000000000007</v>
          </cell>
          <cell r="C585" t="str">
            <v>Re-size</v>
          </cell>
          <cell r="D585" t="str">
            <v>Re-size</v>
          </cell>
          <cell r="E585" t="str">
            <v>Re-size</v>
          </cell>
          <cell r="F585" t="str">
            <v>Re-size</v>
          </cell>
          <cell r="G585" t="str">
            <v>Re-size</v>
          </cell>
          <cell r="H585" t="str">
            <v>Re-size</v>
          </cell>
          <cell r="I585" t="str">
            <v>Re-size</v>
          </cell>
          <cell r="J585" t="str">
            <v>Re-size</v>
          </cell>
          <cell r="K585" t="str">
            <v>Re-size</v>
          </cell>
          <cell r="L585" t="str">
            <v>Re-size</v>
          </cell>
          <cell r="M585" t="str">
            <v>Re-size</v>
          </cell>
          <cell r="N585" t="str">
            <v>Re-size</v>
          </cell>
          <cell r="O585" t="str">
            <v>Re-size</v>
          </cell>
          <cell r="P585" t="str">
            <v>Re-size</v>
          </cell>
          <cell r="Q585" t="str">
            <v>Re-size</v>
          </cell>
          <cell r="R585">
            <v>10.76</v>
          </cell>
          <cell r="S585">
            <v>8.2799999999999994</v>
          </cell>
          <cell r="T585">
            <v>7.47</v>
          </cell>
          <cell r="U585">
            <v>4.43</v>
          </cell>
          <cell r="V585">
            <v>3.41</v>
          </cell>
          <cell r="X585" t="str">
            <v>Re-size</v>
          </cell>
          <cell r="Y585" t="str">
            <v>Re-size</v>
          </cell>
          <cell r="Z585" t="str">
            <v>Re-size</v>
          </cell>
          <cell r="AA585" t="str">
            <v>Re-size</v>
          </cell>
          <cell r="AB585" t="str">
            <v>Re-size</v>
          </cell>
          <cell r="AC585" t="str">
            <v>Re-size</v>
          </cell>
          <cell r="AD585" t="str">
            <v>Re-size</v>
          </cell>
          <cell r="AE585" t="str">
            <v>Re-size</v>
          </cell>
        </row>
        <row r="586">
          <cell r="B586">
            <v>8.85</v>
          </cell>
          <cell r="C586" t="str">
            <v>Re-size</v>
          </cell>
          <cell r="D586" t="str">
            <v>Re-size</v>
          </cell>
          <cell r="E586" t="str">
            <v>Re-size</v>
          </cell>
          <cell r="F586" t="str">
            <v>Re-size</v>
          </cell>
          <cell r="G586" t="str">
            <v>Re-size</v>
          </cell>
          <cell r="H586" t="str">
            <v>Re-size</v>
          </cell>
          <cell r="I586" t="str">
            <v>Re-size</v>
          </cell>
          <cell r="J586" t="str">
            <v>Re-size</v>
          </cell>
          <cell r="K586" t="str">
            <v>Re-size</v>
          </cell>
          <cell r="L586" t="str">
            <v>Re-size</v>
          </cell>
          <cell r="M586" t="str">
            <v>Re-size</v>
          </cell>
          <cell r="N586" t="str">
            <v>Re-size</v>
          </cell>
          <cell r="O586" t="str">
            <v>Re-size</v>
          </cell>
          <cell r="P586" t="str">
            <v>Re-size</v>
          </cell>
          <cell r="Q586" t="str">
            <v>Re-size</v>
          </cell>
          <cell r="R586">
            <v>10.88</v>
          </cell>
          <cell r="S586">
            <v>8.3699999999999992</v>
          </cell>
          <cell r="T586">
            <v>7.5549999999999997</v>
          </cell>
          <cell r="U586">
            <v>4.47</v>
          </cell>
          <cell r="V586">
            <v>3.4449999999999998</v>
          </cell>
          <cell r="X586" t="str">
            <v>Re-size</v>
          </cell>
          <cell r="Y586" t="str">
            <v>Re-size</v>
          </cell>
          <cell r="Z586" t="str">
            <v>Re-size</v>
          </cell>
          <cell r="AA586" t="str">
            <v>Re-size</v>
          </cell>
          <cell r="AB586" t="str">
            <v>Re-size</v>
          </cell>
          <cell r="AC586" t="str">
            <v>Re-size</v>
          </cell>
          <cell r="AD586" t="str">
            <v>Re-size</v>
          </cell>
          <cell r="AE586" t="str">
            <v>Re-size</v>
          </cell>
        </row>
        <row r="587">
          <cell r="B587">
            <v>8.9</v>
          </cell>
          <cell r="C587" t="str">
            <v>Re-size</v>
          </cell>
          <cell r="D587" t="str">
            <v>Re-size</v>
          </cell>
          <cell r="E587" t="str">
            <v>Re-size</v>
          </cell>
          <cell r="F587" t="str">
            <v>Re-size</v>
          </cell>
          <cell r="G587" t="str">
            <v>Re-size</v>
          </cell>
          <cell r="H587" t="str">
            <v>Re-size</v>
          </cell>
          <cell r="I587" t="str">
            <v>Re-size</v>
          </cell>
          <cell r="J587" t="str">
            <v>Re-size</v>
          </cell>
          <cell r="K587" t="str">
            <v>Re-size</v>
          </cell>
          <cell r="L587" t="str">
            <v>Re-size</v>
          </cell>
          <cell r="M587" t="str">
            <v>Re-size</v>
          </cell>
          <cell r="N587" t="str">
            <v>Re-size</v>
          </cell>
          <cell r="O587" t="str">
            <v>Re-size</v>
          </cell>
          <cell r="P587" t="str">
            <v>Re-size</v>
          </cell>
          <cell r="Q587" t="str">
            <v>Re-size</v>
          </cell>
          <cell r="R587">
            <v>10.96</v>
          </cell>
          <cell r="S587">
            <v>8.4700000000000006</v>
          </cell>
          <cell r="T587">
            <v>7.64</v>
          </cell>
          <cell r="U587">
            <v>4.51</v>
          </cell>
          <cell r="V587">
            <v>3.48</v>
          </cell>
          <cell r="X587" t="str">
            <v>Re-size</v>
          </cell>
          <cell r="Y587" t="str">
            <v>Re-size</v>
          </cell>
          <cell r="Z587" t="str">
            <v>Re-size</v>
          </cell>
          <cell r="AA587" t="str">
            <v>Re-size</v>
          </cell>
          <cell r="AB587" t="str">
            <v>Re-size</v>
          </cell>
          <cell r="AC587" t="str">
            <v>Re-size</v>
          </cell>
          <cell r="AD587" t="str">
            <v>Re-size</v>
          </cell>
          <cell r="AE587" t="str">
            <v>Re-size</v>
          </cell>
        </row>
        <row r="588">
          <cell r="B588">
            <v>8.9499999999999993</v>
          </cell>
          <cell r="C588" t="str">
            <v>Re-size</v>
          </cell>
          <cell r="D588" t="str">
            <v>Re-size</v>
          </cell>
          <cell r="E588" t="str">
            <v>Re-size</v>
          </cell>
          <cell r="F588" t="str">
            <v>Re-size</v>
          </cell>
          <cell r="G588" t="str">
            <v>Re-size</v>
          </cell>
          <cell r="H588" t="str">
            <v>Re-size</v>
          </cell>
          <cell r="I588" t="str">
            <v>Re-size</v>
          </cell>
          <cell r="J588" t="str">
            <v>Re-size</v>
          </cell>
          <cell r="K588" t="str">
            <v>Re-size</v>
          </cell>
          <cell r="L588" t="str">
            <v>Re-size</v>
          </cell>
          <cell r="M588" t="str">
            <v>Re-size</v>
          </cell>
          <cell r="N588" t="str">
            <v>Re-size</v>
          </cell>
          <cell r="O588" t="str">
            <v>Re-size</v>
          </cell>
          <cell r="P588" t="str">
            <v>Re-size</v>
          </cell>
          <cell r="Q588" t="str">
            <v>Re-size</v>
          </cell>
          <cell r="R588">
            <v>11.07</v>
          </cell>
          <cell r="S588">
            <v>8.56</v>
          </cell>
          <cell r="T588">
            <v>7.7249999999999996</v>
          </cell>
          <cell r="U588">
            <v>4.5599999999999996</v>
          </cell>
          <cell r="V588">
            <v>3.51</v>
          </cell>
          <cell r="X588" t="str">
            <v>Re-size</v>
          </cell>
          <cell r="Y588" t="str">
            <v>Re-size</v>
          </cell>
          <cell r="Z588" t="str">
            <v>Re-size</v>
          </cell>
          <cell r="AA588" t="str">
            <v>Re-size</v>
          </cell>
          <cell r="AB588" t="str">
            <v>Re-size</v>
          </cell>
          <cell r="AC588" t="str">
            <v>Re-size</v>
          </cell>
          <cell r="AD588" t="str">
            <v>Re-size</v>
          </cell>
          <cell r="AE588" t="str">
            <v>Re-size</v>
          </cell>
        </row>
        <row r="589">
          <cell r="B589">
            <v>9</v>
          </cell>
          <cell r="C589" t="str">
            <v>Re-size</v>
          </cell>
          <cell r="D589" t="str">
            <v>Re-size</v>
          </cell>
          <cell r="E589" t="str">
            <v>Re-size</v>
          </cell>
          <cell r="F589" t="str">
            <v>Re-size</v>
          </cell>
          <cell r="G589" t="str">
            <v>Re-size</v>
          </cell>
          <cell r="H589" t="str">
            <v>Re-size</v>
          </cell>
          <cell r="I589" t="str">
            <v>Re-size</v>
          </cell>
          <cell r="J589" t="str">
            <v>Re-size</v>
          </cell>
          <cell r="K589" t="str">
            <v>Re-size</v>
          </cell>
          <cell r="L589" t="str">
            <v>Re-size</v>
          </cell>
          <cell r="M589" t="str">
            <v>Re-size</v>
          </cell>
          <cell r="N589" t="str">
            <v>Re-size</v>
          </cell>
          <cell r="O589" t="str">
            <v>Re-size</v>
          </cell>
          <cell r="P589" t="str">
            <v>Re-size</v>
          </cell>
          <cell r="Q589" t="str">
            <v>Re-size</v>
          </cell>
          <cell r="R589">
            <v>11.18</v>
          </cell>
          <cell r="S589">
            <v>8.61</v>
          </cell>
          <cell r="T589">
            <v>7.81</v>
          </cell>
          <cell r="U589">
            <v>4.6100000000000003</v>
          </cell>
          <cell r="V589">
            <v>3.54</v>
          </cell>
          <cell r="X589" t="str">
            <v>Re-size</v>
          </cell>
          <cell r="Y589" t="str">
            <v>Re-size</v>
          </cell>
          <cell r="Z589" t="str">
            <v>Re-size</v>
          </cell>
          <cell r="AA589" t="str">
            <v>Re-size</v>
          </cell>
          <cell r="AB589" t="str">
            <v>Re-size</v>
          </cell>
          <cell r="AC589" t="str">
            <v>Re-size</v>
          </cell>
          <cell r="AD589" t="str">
            <v>Re-size</v>
          </cell>
          <cell r="AE589" t="str">
            <v>Re-size</v>
          </cell>
        </row>
        <row r="590">
          <cell r="B590">
            <v>9.0500000000000007</v>
          </cell>
          <cell r="C590" t="str">
            <v>Re-size</v>
          </cell>
          <cell r="D590" t="str">
            <v>Re-size</v>
          </cell>
          <cell r="E590" t="str">
            <v>Re-size</v>
          </cell>
          <cell r="F590" t="str">
            <v>Re-size</v>
          </cell>
          <cell r="G590" t="str">
            <v>Re-size</v>
          </cell>
          <cell r="H590" t="str">
            <v>Re-size</v>
          </cell>
          <cell r="I590" t="str">
            <v>Re-size</v>
          </cell>
          <cell r="J590" t="str">
            <v>Re-size</v>
          </cell>
          <cell r="K590" t="str">
            <v>Re-size</v>
          </cell>
          <cell r="L590" t="str">
            <v>Re-size</v>
          </cell>
          <cell r="M590" t="str">
            <v>Re-size</v>
          </cell>
          <cell r="N590" t="str">
            <v>Re-size</v>
          </cell>
          <cell r="O590" t="str">
            <v>Re-size</v>
          </cell>
          <cell r="P590" t="str">
            <v>Re-size</v>
          </cell>
          <cell r="Q590" t="str">
            <v>Re-size</v>
          </cell>
          <cell r="R590">
            <v>11.29</v>
          </cell>
          <cell r="S590">
            <v>8.7100000000000009</v>
          </cell>
          <cell r="T590">
            <v>7.875</v>
          </cell>
          <cell r="U590">
            <v>4.66</v>
          </cell>
          <cell r="V590">
            <v>3.58</v>
          </cell>
          <cell r="X590" t="str">
            <v>Re-size</v>
          </cell>
          <cell r="Y590" t="str">
            <v>Re-size</v>
          </cell>
          <cell r="Z590" t="str">
            <v>Re-size</v>
          </cell>
          <cell r="AA590" t="str">
            <v>Re-size</v>
          </cell>
          <cell r="AB590" t="str">
            <v>Re-size</v>
          </cell>
          <cell r="AC590" t="str">
            <v>Re-size</v>
          </cell>
          <cell r="AD590" t="str">
            <v>Re-size</v>
          </cell>
          <cell r="AE590" t="str">
            <v>Re-size</v>
          </cell>
        </row>
        <row r="591">
          <cell r="B591">
            <v>9.1</v>
          </cell>
          <cell r="C591" t="str">
            <v>Re-size</v>
          </cell>
          <cell r="D591" t="str">
            <v>Re-size</v>
          </cell>
          <cell r="E591" t="str">
            <v>Re-size</v>
          </cell>
          <cell r="F591" t="str">
            <v>Re-size</v>
          </cell>
          <cell r="G591" t="str">
            <v>Re-size</v>
          </cell>
          <cell r="H591" t="str">
            <v>Re-size</v>
          </cell>
          <cell r="I591" t="str">
            <v>Re-size</v>
          </cell>
          <cell r="J591" t="str">
            <v>Re-size</v>
          </cell>
          <cell r="K591" t="str">
            <v>Re-size</v>
          </cell>
          <cell r="L591" t="str">
            <v>Re-size</v>
          </cell>
          <cell r="M591" t="str">
            <v>Re-size</v>
          </cell>
          <cell r="N591" t="str">
            <v>Re-size</v>
          </cell>
          <cell r="O591" t="str">
            <v>Re-size</v>
          </cell>
          <cell r="P591" t="str">
            <v>Re-size</v>
          </cell>
          <cell r="Q591" t="str">
            <v>Re-size</v>
          </cell>
          <cell r="R591">
            <v>11.39</v>
          </cell>
          <cell r="S591">
            <v>8.8000000000000007</v>
          </cell>
          <cell r="T591">
            <v>7.94</v>
          </cell>
          <cell r="U591">
            <v>4.71</v>
          </cell>
          <cell r="V591">
            <v>3.62</v>
          </cell>
          <cell r="X591" t="str">
            <v>Re-size</v>
          </cell>
          <cell r="Y591" t="str">
            <v>Re-size</v>
          </cell>
          <cell r="Z591" t="str">
            <v>Re-size</v>
          </cell>
          <cell r="AA591" t="str">
            <v>Re-size</v>
          </cell>
          <cell r="AB591" t="str">
            <v>Re-size</v>
          </cell>
          <cell r="AC591" t="str">
            <v>Re-size</v>
          </cell>
          <cell r="AD591" t="str">
            <v>Re-size</v>
          </cell>
          <cell r="AE591" t="str">
            <v>Re-size</v>
          </cell>
        </row>
        <row r="592">
          <cell r="B592">
            <v>9.15</v>
          </cell>
          <cell r="C592" t="str">
            <v>Re-size</v>
          </cell>
          <cell r="D592" t="str">
            <v>Re-size</v>
          </cell>
          <cell r="E592" t="str">
            <v>Re-size</v>
          </cell>
          <cell r="F592" t="str">
            <v>Re-size</v>
          </cell>
          <cell r="G592" t="str">
            <v>Re-size</v>
          </cell>
          <cell r="H592" t="str">
            <v>Re-size</v>
          </cell>
          <cell r="I592" t="str">
            <v>Re-size</v>
          </cell>
          <cell r="J592" t="str">
            <v>Re-size</v>
          </cell>
          <cell r="K592" t="str">
            <v>Re-size</v>
          </cell>
          <cell r="L592" t="str">
            <v>Re-size</v>
          </cell>
          <cell r="M592" t="str">
            <v>Re-size</v>
          </cell>
          <cell r="N592" t="str">
            <v>Re-size</v>
          </cell>
          <cell r="O592" t="str">
            <v>Re-size</v>
          </cell>
          <cell r="P592" t="str">
            <v>Re-size</v>
          </cell>
          <cell r="Q592" t="str">
            <v>Re-size</v>
          </cell>
          <cell r="R592">
            <v>11.5</v>
          </cell>
          <cell r="S592">
            <v>8.9</v>
          </cell>
          <cell r="T592">
            <v>8.0250000000000004</v>
          </cell>
          <cell r="U592">
            <v>4.75</v>
          </cell>
          <cell r="V592">
            <v>3.66</v>
          </cell>
          <cell r="X592" t="str">
            <v>Re-size</v>
          </cell>
          <cell r="Y592" t="str">
            <v>Re-size</v>
          </cell>
          <cell r="Z592" t="str">
            <v>Re-size</v>
          </cell>
          <cell r="AA592" t="str">
            <v>Re-size</v>
          </cell>
          <cell r="AB592" t="str">
            <v>Re-size</v>
          </cell>
          <cell r="AC592" t="str">
            <v>Re-size</v>
          </cell>
          <cell r="AD592" t="str">
            <v>Re-size</v>
          </cell>
          <cell r="AE592" t="str">
            <v>Re-size</v>
          </cell>
        </row>
        <row r="593">
          <cell r="B593">
            <v>9.1999999999999993</v>
          </cell>
          <cell r="C593" t="str">
            <v>Re-size</v>
          </cell>
          <cell r="D593" t="str">
            <v>Re-size</v>
          </cell>
          <cell r="E593" t="str">
            <v>Re-size</v>
          </cell>
          <cell r="F593" t="str">
            <v>Re-size</v>
          </cell>
          <cell r="G593" t="str">
            <v>Re-size</v>
          </cell>
          <cell r="H593" t="str">
            <v>Re-size</v>
          </cell>
          <cell r="I593" t="str">
            <v>Re-size</v>
          </cell>
          <cell r="J593" t="str">
            <v>Re-size</v>
          </cell>
          <cell r="K593" t="str">
            <v>Re-size</v>
          </cell>
          <cell r="L593" t="str">
            <v>Re-size</v>
          </cell>
          <cell r="M593" t="str">
            <v>Re-size</v>
          </cell>
          <cell r="N593" t="str">
            <v>Re-size</v>
          </cell>
          <cell r="O593" t="str">
            <v>Re-size</v>
          </cell>
          <cell r="P593" t="str">
            <v>Re-size</v>
          </cell>
          <cell r="Q593" t="str">
            <v>Re-size</v>
          </cell>
          <cell r="R593">
            <v>11.61</v>
          </cell>
          <cell r="S593">
            <v>9</v>
          </cell>
          <cell r="T593">
            <v>8.11</v>
          </cell>
          <cell r="U593">
            <v>4.79</v>
          </cell>
          <cell r="V593">
            <v>3.7</v>
          </cell>
          <cell r="X593" t="str">
            <v>Re-size</v>
          </cell>
          <cell r="Y593" t="str">
            <v>Re-size</v>
          </cell>
          <cell r="Z593" t="str">
            <v>Re-size</v>
          </cell>
          <cell r="AA593" t="str">
            <v>Re-size</v>
          </cell>
          <cell r="AB593" t="str">
            <v>Re-size</v>
          </cell>
          <cell r="AC593" t="str">
            <v>Re-size</v>
          </cell>
          <cell r="AD593" t="str">
            <v>Re-size</v>
          </cell>
          <cell r="AE593" t="str">
            <v>Re-size</v>
          </cell>
        </row>
        <row r="594">
          <cell r="B594">
            <v>9.25</v>
          </cell>
          <cell r="C594" t="str">
            <v>Re-size</v>
          </cell>
          <cell r="D594" t="str">
            <v>Re-size</v>
          </cell>
          <cell r="E594" t="str">
            <v>Re-size</v>
          </cell>
          <cell r="F594" t="str">
            <v>Re-size</v>
          </cell>
          <cell r="G594" t="str">
            <v>Re-size</v>
          </cell>
          <cell r="H594" t="str">
            <v>Re-size</v>
          </cell>
          <cell r="I594" t="str">
            <v>Re-size</v>
          </cell>
          <cell r="J594" t="str">
            <v>Re-size</v>
          </cell>
          <cell r="K594" t="str">
            <v>Re-size</v>
          </cell>
          <cell r="L594" t="str">
            <v>Re-size</v>
          </cell>
          <cell r="M594" t="str">
            <v>Re-size</v>
          </cell>
          <cell r="N594" t="str">
            <v>Re-size</v>
          </cell>
          <cell r="O594" t="str">
            <v>Re-size</v>
          </cell>
          <cell r="P594" t="str">
            <v>Re-size</v>
          </cell>
          <cell r="Q594" t="str">
            <v>Re-size</v>
          </cell>
          <cell r="R594" t="str">
            <v>Re-size</v>
          </cell>
          <cell r="S594">
            <v>9.1</v>
          </cell>
          <cell r="T594">
            <v>8.1999999999999993</v>
          </cell>
          <cell r="U594">
            <v>4.84</v>
          </cell>
          <cell r="V594">
            <v>3.73</v>
          </cell>
          <cell r="X594" t="str">
            <v>Re-size</v>
          </cell>
          <cell r="Y594" t="str">
            <v>Re-size</v>
          </cell>
          <cell r="Z594" t="str">
            <v>Re-size</v>
          </cell>
          <cell r="AA594" t="str">
            <v>Re-size</v>
          </cell>
          <cell r="AB594" t="str">
            <v>Re-size</v>
          </cell>
          <cell r="AC594" t="str">
            <v>Re-size</v>
          </cell>
          <cell r="AD594" t="str">
            <v>Re-size</v>
          </cell>
          <cell r="AE594" t="str">
            <v>Re-size</v>
          </cell>
        </row>
        <row r="595">
          <cell r="B595">
            <v>9.3000000000000007</v>
          </cell>
          <cell r="C595" t="str">
            <v>Re-size</v>
          </cell>
          <cell r="D595" t="str">
            <v>Re-size</v>
          </cell>
          <cell r="E595" t="str">
            <v>Re-size</v>
          </cell>
          <cell r="F595" t="str">
            <v>Re-size</v>
          </cell>
          <cell r="G595" t="str">
            <v>Re-size</v>
          </cell>
          <cell r="H595" t="str">
            <v>Re-size</v>
          </cell>
          <cell r="I595" t="str">
            <v>Re-size</v>
          </cell>
          <cell r="J595" t="str">
            <v>Re-size</v>
          </cell>
          <cell r="K595" t="str">
            <v>Re-size</v>
          </cell>
          <cell r="L595" t="str">
            <v>Re-size</v>
          </cell>
          <cell r="M595" t="str">
            <v>Re-size</v>
          </cell>
          <cell r="N595" t="str">
            <v>Re-size</v>
          </cell>
          <cell r="O595" t="str">
            <v>Re-size</v>
          </cell>
          <cell r="P595" t="str">
            <v>Re-size</v>
          </cell>
          <cell r="Q595" t="str">
            <v>Re-size</v>
          </cell>
          <cell r="R595" t="str">
            <v>Re-size</v>
          </cell>
          <cell r="S595">
            <v>9.14</v>
          </cell>
          <cell r="T595">
            <v>8.2899999999999991</v>
          </cell>
          <cell r="U595">
            <v>4.8899999999999997</v>
          </cell>
          <cell r="V595">
            <v>3.76</v>
          </cell>
          <cell r="X595" t="str">
            <v>Re-size</v>
          </cell>
          <cell r="Y595" t="str">
            <v>Re-size</v>
          </cell>
          <cell r="Z595" t="str">
            <v>Re-size</v>
          </cell>
          <cell r="AA595" t="str">
            <v>Re-size</v>
          </cell>
          <cell r="AB595" t="str">
            <v>Re-size</v>
          </cell>
          <cell r="AC595" t="str">
            <v>Re-size</v>
          </cell>
          <cell r="AD595" t="str">
            <v>Re-size</v>
          </cell>
          <cell r="AE595" t="str">
            <v>Re-size</v>
          </cell>
        </row>
        <row r="596">
          <cell r="B596">
            <v>9.35</v>
          </cell>
          <cell r="C596" t="str">
            <v>Re-size</v>
          </cell>
          <cell r="D596" t="str">
            <v>Re-size</v>
          </cell>
          <cell r="E596" t="str">
            <v>Re-size</v>
          </cell>
          <cell r="F596" t="str">
            <v>Re-size</v>
          </cell>
          <cell r="G596" t="str">
            <v>Re-size</v>
          </cell>
          <cell r="H596" t="str">
            <v>Re-size</v>
          </cell>
          <cell r="I596" t="str">
            <v>Re-size</v>
          </cell>
          <cell r="J596" t="str">
            <v>Re-size</v>
          </cell>
          <cell r="K596" t="str">
            <v>Re-size</v>
          </cell>
          <cell r="L596" t="str">
            <v>Re-size</v>
          </cell>
          <cell r="M596" t="str">
            <v>Re-size</v>
          </cell>
          <cell r="N596" t="str">
            <v>Re-size</v>
          </cell>
          <cell r="O596" t="str">
            <v>Re-size</v>
          </cell>
          <cell r="P596" t="str">
            <v>Re-size</v>
          </cell>
          <cell r="Q596" t="str">
            <v>Re-size</v>
          </cell>
          <cell r="R596" t="str">
            <v>Re-size</v>
          </cell>
          <cell r="S596">
            <v>9.24</v>
          </cell>
          <cell r="T596">
            <v>8.3800000000000008</v>
          </cell>
          <cell r="U596">
            <v>4.9450000000000003</v>
          </cell>
          <cell r="V596">
            <v>3.8</v>
          </cell>
          <cell r="X596" t="str">
            <v>Re-size</v>
          </cell>
          <cell r="Y596" t="str">
            <v>Re-size</v>
          </cell>
          <cell r="Z596" t="str">
            <v>Re-size</v>
          </cell>
          <cell r="AA596" t="str">
            <v>Re-size</v>
          </cell>
          <cell r="AB596" t="str">
            <v>Re-size</v>
          </cell>
          <cell r="AC596" t="str">
            <v>Re-size</v>
          </cell>
          <cell r="AD596" t="str">
            <v>Re-size</v>
          </cell>
          <cell r="AE596" t="str">
            <v>Re-size</v>
          </cell>
        </row>
        <row r="597">
          <cell r="B597">
            <v>9.4</v>
          </cell>
          <cell r="C597" t="str">
            <v>Re-size</v>
          </cell>
          <cell r="D597" t="str">
            <v>Re-size</v>
          </cell>
          <cell r="E597" t="str">
            <v>Re-size</v>
          </cell>
          <cell r="F597" t="str">
            <v>Re-size</v>
          </cell>
          <cell r="G597" t="str">
            <v>Re-size</v>
          </cell>
          <cell r="H597" t="str">
            <v>Re-size</v>
          </cell>
          <cell r="I597" t="str">
            <v>Re-size</v>
          </cell>
          <cell r="J597" t="str">
            <v>Re-size</v>
          </cell>
          <cell r="K597" t="str">
            <v>Re-size</v>
          </cell>
          <cell r="L597" t="str">
            <v>Re-size</v>
          </cell>
          <cell r="M597" t="str">
            <v>Re-size</v>
          </cell>
          <cell r="N597" t="str">
            <v>Re-size</v>
          </cell>
          <cell r="O597" t="str">
            <v>Re-size</v>
          </cell>
          <cell r="P597" t="str">
            <v>Re-size</v>
          </cell>
          <cell r="Q597" t="str">
            <v>Re-size</v>
          </cell>
          <cell r="R597" t="str">
            <v>Re-size</v>
          </cell>
          <cell r="S597">
            <v>9.34</v>
          </cell>
          <cell r="T597">
            <v>8.4700000000000006</v>
          </cell>
          <cell r="U597">
            <v>5</v>
          </cell>
          <cell r="V597">
            <v>3.84</v>
          </cell>
          <cell r="X597" t="str">
            <v>Re-size</v>
          </cell>
          <cell r="Y597" t="str">
            <v>Re-size</v>
          </cell>
          <cell r="Z597" t="str">
            <v>Re-size</v>
          </cell>
          <cell r="AA597" t="str">
            <v>Re-size</v>
          </cell>
          <cell r="AB597" t="str">
            <v>Re-size</v>
          </cell>
          <cell r="AC597" t="str">
            <v>Re-size</v>
          </cell>
          <cell r="AD597" t="str">
            <v>Re-size</v>
          </cell>
          <cell r="AE597" t="str">
            <v>Re-size</v>
          </cell>
        </row>
        <row r="598">
          <cell r="B598">
            <v>9.4499999999999993</v>
          </cell>
          <cell r="C598" t="str">
            <v>Re-size</v>
          </cell>
          <cell r="D598" t="str">
            <v>Re-size</v>
          </cell>
          <cell r="E598" t="str">
            <v>Re-size</v>
          </cell>
          <cell r="F598" t="str">
            <v>Re-size</v>
          </cell>
          <cell r="G598" t="str">
            <v>Re-size</v>
          </cell>
          <cell r="H598" t="str">
            <v>Re-size</v>
          </cell>
          <cell r="I598" t="str">
            <v>Re-size</v>
          </cell>
          <cell r="J598" t="str">
            <v>Re-size</v>
          </cell>
          <cell r="K598" t="str">
            <v>Re-size</v>
          </cell>
          <cell r="L598" t="str">
            <v>Re-size</v>
          </cell>
          <cell r="M598" t="str">
            <v>Re-size</v>
          </cell>
          <cell r="N598" t="str">
            <v>Re-size</v>
          </cell>
          <cell r="O598" t="str">
            <v>Re-size</v>
          </cell>
          <cell r="P598" t="str">
            <v>Re-size</v>
          </cell>
          <cell r="Q598" t="str">
            <v>Re-size</v>
          </cell>
          <cell r="R598" t="str">
            <v>Re-size</v>
          </cell>
          <cell r="S598">
            <v>9.44</v>
          </cell>
          <cell r="T598">
            <v>8.5350000000000001</v>
          </cell>
          <cell r="U598">
            <v>5.04</v>
          </cell>
          <cell r="V598">
            <v>3.8849999999999998</v>
          </cell>
          <cell r="X598" t="str">
            <v>Re-size</v>
          </cell>
          <cell r="Y598" t="str">
            <v>Re-size</v>
          </cell>
          <cell r="Z598" t="str">
            <v>Re-size</v>
          </cell>
          <cell r="AA598" t="str">
            <v>Re-size</v>
          </cell>
          <cell r="AB598" t="str">
            <v>Re-size</v>
          </cell>
          <cell r="AC598" t="str">
            <v>Re-size</v>
          </cell>
          <cell r="AD598" t="str">
            <v>Re-size</v>
          </cell>
          <cell r="AE598" t="str">
            <v>Re-size</v>
          </cell>
        </row>
        <row r="599">
          <cell r="B599">
            <v>9.5</v>
          </cell>
          <cell r="C599" t="str">
            <v>Re-size</v>
          </cell>
          <cell r="D599" t="str">
            <v>Re-size</v>
          </cell>
          <cell r="E599" t="str">
            <v>Re-size</v>
          </cell>
          <cell r="F599" t="str">
            <v>Re-size</v>
          </cell>
          <cell r="G599" t="str">
            <v>Re-size</v>
          </cell>
          <cell r="H599" t="str">
            <v>Re-size</v>
          </cell>
          <cell r="I599" t="str">
            <v>Re-size</v>
          </cell>
          <cell r="J599" t="str">
            <v>Re-size</v>
          </cell>
          <cell r="K599" t="str">
            <v>Re-size</v>
          </cell>
          <cell r="L599" t="str">
            <v>Re-size</v>
          </cell>
          <cell r="M599" t="str">
            <v>Re-size</v>
          </cell>
          <cell r="N599" t="str">
            <v>Re-size</v>
          </cell>
          <cell r="O599" t="str">
            <v>Re-size</v>
          </cell>
          <cell r="P599" t="str">
            <v>Re-size</v>
          </cell>
          <cell r="Q599" t="str">
            <v>Re-size</v>
          </cell>
          <cell r="R599" t="str">
            <v>Re-size</v>
          </cell>
          <cell r="S599">
            <v>9.5399999999999991</v>
          </cell>
          <cell r="T599">
            <v>8.6</v>
          </cell>
          <cell r="U599">
            <v>5.08</v>
          </cell>
          <cell r="V599">
            <v>3.93</v>
          </cell>
          <cell r="X599" t="str">
            <v>Re-size</v>
          </cell>
          <cell r="Y599" t="str">
            <v>Re-size</v>
          </cell>
          <cell r="Z599" t="str">
            <v>Re-size</v>
          </cell>
          <cell r="AA599" t="str">
            <v>Re-size</v>
          </cell>
          <cell r="AB599" t="str">
            <v>Re-size</v>
          </cell>
          <cell r="AC599" t="str">
            <v>Re-size</v>
          </cell>
          <cell r="AD599" t="str">
            <v>Re-size</v>
          </cell>
          <cell r="AE599" t="str">
            <v>Re-size</v>
          </cell>
        </row>
        <row r="600">
          <cell r="B600">
            <v>9.5500000000000007</v>
          </cell>
          <cell r="C600" t="str">
            <v>Re-size</v>
          </cell>
          <cell r="D600" t="str">
            <v>Re-size</v>
          </cell>
          <cell r="E600" t="str">
            <v>Re-size</v>
          </cell>
          <cell r="F600" t="str">
            <v>Re-size</v>
          </cell>
          <cell r="G600" t="str">
            <v>Re-size</v>
          </cell>
          <cell r="H600" t="str">
            <v>Re-size</v>
          </cell>
          <cell r="I600" t="str">
            <v>Re-size</v>
          </cell>
          <cell r="J600" t="str">
            <v>Re-size</v>
          </cell>
          <cell r="K600" t="str">
            <v>Re-size</v>
          </cell>
          <cell r="L600" t="str">
            <v>Re-size</v>
          </cell>
          <cell r="M600" t="str">
            <v>Re-size</v>
          </cell>
          <cell r="N600" t="str">
            <v>Re-size</v>
          </cell>
          <cell r="O600" t="str">
            <v>Re-size</v>
          </cell>
          <cell r="P600" t="str">
            <v>Re-size</v>
          </cell>
          <cell r="Q600" t="str">
            <v>Re-size</v>
          </cell>
          <cell r="R600" t="str">
            <v>Re-size</v>
          </cell>
          <cell r="S600">
            <v>9.64</v>
          </cell>
          <cell r="T600">
            <v>8.6950000000000003</v>
          </cell>
          <cell r="U600">
            <v>5.13</v>
          </cell>
          <cell r="V600">
            <v>3.96</v>
          </cell>
          <cell r="X600" t="str">
            <v>Re-size</v>
          </cell>
          <cell r="Y600" t="str">
            <v>Re-size</v>
          </cell>
          <cell r="Z600" t="str">
            <v>Re-size</v>
          </cell>
          <cell r="AA600" t="str">
            <v>Re-size</v>
          </cell>
          <cell r="AB600" t="str">
            <v>Re-size</v>
          </cell>
          <cell r="AC600" t="str">
            <v>Re-size</v>
          </cell>
          <cell r="AD600" t="str">
            <v>Re-size</v>
          </cell>
          <cell r="AE600" t="str">
            <v>Re-size</v>
          </cell>
        </row>
        <row r="601">
          <cell r="B601">
            <v>9.6</v>
          </cell>
          <cell r="C601" t="str">
            <v>Re-size</v>
          </cell>
          <cell r="D601" t="str">
            <v>Re-size</v>
          </cell>
          <cell r="E601" t="str">
            <v>Re-size</v>
          </cell>
          <cell r="F601" t="str">
            <v>Re-size</v>
          </cell>
          <cell r="G601" t="str">
            <v>Re-size</v>
          </cell>
          <cell r="H601" t="str">
            <v>Re-size</v>
          </cell>
          <cell r="I601" t="str">
            <v>Re-size</v>
          </cell>
          <cell r="J601" t="str">
            <v>Re-size</v>
          </cell>
          <cell r="K601" t="str">
            <v>Re-size</v>
          </cell>
          <cell r="L601" t="str">
            <v>Re-size</v>
          </cell>
          <cell r="M601" t="str">
            <v>Re-size</v>
          </cell>
          <cell r="N601" t="str">
            <v>Re-size</v>
          </cell>
          <cell r="O601" t="str">
            <v>Re-size</v>
          </cell>
          <cell r="P601" t="str">
            <v>Re-size</v>
          </cell>
          <cell r="Q601" t="str">
            <v>Re-size</v>
          </cell>
          <cell r="R601" t="str">
            <v>Re-size</v>
          </cell>
          <cell r="S601">
            <v>9.74</v>
          </cell>
          <cell r="T601">
            <v>8.7899999999999991</v>
          </cell>
          <cell r="U601">
            <v>5.18</v>
          </cell>
          <cell r="V601">
            <v>3.99</v>
          </cell>
          <cell r="X601" t="str">
            <v>Re-size</v>
          </cell>
          <cell r="Y601" t="str">
            <v>Re-size</v>
          </cell>
          <cell r="Z601" t="str">
            <v>Re-size</v>
          </cell>
          <cell r="AA601" t="str">
            <v>Re-size</v>
          </cell>
          <cell r="AB601" t="str">
            <v>Re-size</v>
          </cell>
          <cell r="AC601" t="str">
            <v>Re-size</v>
          </cell>
          <cell r="AD601" t="str">
            <v>Re-size</v>
          </cell>
          <cell r="AE601" t="str">
            <v>Re-size</v>
          </cell>
        </row>
        <row r="602">
          <cell r="B602">
            <v>9.65</v>
          </cell>
          <cell r="C602" t="str">
            <v>Re-size</v>
          </cell>
          <cell r="D602" t="str">
            <v>Re-size</v>
          </cell>
          <cell r="E602" t="str">
            <v>Re-size</v>
          </cell>
          <cell r="F602" t="str">
            <v>Re-size</v>
          </cell>
          <cell r="G602" t="str">
            <v>Re-size</v>
          </cell>
          <cell r="H602" t="str">
            <v>Re-size</v>
          </cell>
          <cell r="I602" t="str">
            <v>Re-size</v>
          </cell>
          <cell r="J602" t="str">
            <v>Re-size</v>
          </cell>
          <cell r="K602" t="str">
            <v>Re-size</v>
          </cell>
          <cell r="L602" t="str">
            <v>Re-size</v>
          </cell>
          <cell r="M602" t="str">
            <v>Re-size</v>
          </cell>
          <cell r="N602" t="str">
            <v>Re-size</v>
          </cell>
          <cell r="O602" t="str">
            <v>Re-size</v>
          </cell>
          <cell r="P602" t="str">
            <v>Re-size</v>
          </cell>
          <cell r="Q602" t="str">
            <v>Re-size</v>
          </cell>
          <cell r="R602" t="str">
            <v>Re-size</v>
          </cell>
          <cell r="S602">
            <v>9.7899999999999991</v>
          </cell>
          <cell r="T602">
            <v>8.8800000000000008</v>
          </cell>
          <cell r="U602">
            <v>5.2350000000000003</v>
          </cell>
          <cell r="V602">
            <v>4.03</v>
          </cell>
          <cell r="X602" t="str">
            <v>Re-size</v>
          </cell>
          <cell r="Y602" t="str">
            <v>Re-size</v>
          </cell>
          <cell r="Z602" t="str">
            <v>Re-size</v>
          </cell>
          <cell r="AA602" t="str">
            <v>Re-size</v>
          </cell>
          <cell r="AB602" t="str">
            <v>Re-size</v>
          </cell>
          <cell r="AC602" t="str">
            <v>Re-size</v>
          </cell>
          <cell r="AD602" t="str">
            <v>Re-size</v>
          </cell>
          <cell r="AE602" t="str">
            <v>Re-size</v>
          </cell>
        </row>
        <row r="603">
          <cell r="B603">
            <v>9.6999999999999993</v>
          </cell>
          <cell r="C603" t="str">
            <v>Re-size</v>
          </cell>
          <cell r="D603" t="str">
            <v>Re-size</v>
          </cell>
          <cell r="E603" t="str">
            <v>Re-size</v>
          </cell>
          <cell r="F603" t="str">
            <v>Re-size</v>
          </cell>
          <cell r="G603" t="str">
            <v>Re-size</v>
          </cell>
          <cell r="H603" t="str">
            <v>Re-size</v>
          </cell>
          <cell r="I603" t="str">
            <v>Re-size</v>
          </cell>
          <cell r="J603" t="str">
            <v>Re-size</v>
          </cell>
          <cell r="K603" t="str">
            <v>Re-size</v>
          </cell>
          <cell r="L603" t="str">
            <v>Re-size</v>
          </cell>
          <cell r="M603" t="str">
            <v>Re-size</v>
          </cell>
          <cell r="N603" t="str">
            <v>Re-size</v>
          </cell>
          <cell r="O603" t="str">
            <v>Re-size</v>
          </cell>
          <cell r="P603" t="str">
            <v>Re-size</v>
          </cell>
          <cell r="Q603" t="str">
            <v>Re-size</v>
          </cell>
          <cell r="R603" t="str">
            <v>Re-size</v>
          </cell>
          <cell r="S603">
            <v>9.89</v>
          </cell>
          <cell r="T603">
            <v>8.9700000000000006</v>
          </cell>
          <cell r="U603">
            <v>5.29</v>
          </cell>
          <cell r="V603">
            <v>4.07</v>
          </cell>
          <cell r="X603" t="str">
            <v>Re-size</v>
          </cell>
          <cell r="Y603" t="str">
            <v>Re-size</v>
          </cell>
          <cell r="Z603" t="str">
            <v>Re-size</v>
          </cell>
          <cell r="AA603" t="str">
            <v>Re-size</v>
          </cell>
          <cell r="AB603" t="str">
            <v>Re-size</v>
          </cell>
          <cell r="AC603" t="str">
            <v>Re-size</v>
          </cell>
          <cell r="AD603" t="str">
            <v>Re-size</v>
          </cell>
          <cell r="AE603" t="str">
            <v>Re-size</v>
          </cell>
        </row>
        <row r="604">
          <cell r="B604">
            <v>9.75</v>
          </cell>
          <cell r="C604" t="str">
            <v>Re-size</v>
          </cell>
          <cell r="D604" t="str">
            <v>Re-size</v>
          </cell>
          <cell r="E604" t="str">
            <v>Re-size</v>
          </cell>
          <cell r="F604" t="str">
            <v>Re-size</v>
          </cell>
          <cell r="G604" t="str">
            <v>Re-size</v>
          </cell>
          <cell r="H604" t="str">
            <v>Re-size</v>
          </cell>
          <cell r="I604" t="str">
            <v>Re-size</v>
          </cell>
          <cell r="J604" t="str">
            <v>Re-size</v>
          </cell>
          <cell r="K604" t="str">
            <v>Re-size</v>
          </cell>
          <cell r="L604" t="str">
            <v>Re-size</v>
          </cell>
          <cell r="M604" t="str">
            <v>Re-size</v>
          </cell>
          <cell r="N604" t="str">
            <v>Re-size</v>
          </cell>
          <cell r="O604" t="str">
            <v>Re-size</v>
          </cell>
          <cell r="P604" t="str">
            <v>Re-size</v>
          </cell>
          <cell r="Q604" t="str">
            <v>Re-size</v>
          </cell>
          <cell r="R604" t="str">
            <v>Re-size</v>
          </cell>
          <cell r="S604">
            <v>9.99</v>
          </cell>
          <cell r="T604">
            <v>9.0350000000000001</v>
          </cell>
          <cell r="U604">
            <v>5.3449999999999998</v>
          </cell>
          <cell r="V604">
            <v>4.1100000000000003</v>
          </cell>
          <cell r="X604" t="str">
            <v>Re-size</v>
          </cell>
          <cell r="Y604" t="str">
            <v>Re-size</v>
          </cell>
          <cell r="Z604" t="str">
            <v>Re-size</v>
          </cell>
          <cell r="AA604" t="str">
            <v>Re-size</v>
          </cell>
          <cell r="AB604" t="str">
            <v>Re-size</v>
          </cell>
          <cell r="AC604" t="str">
            <v>Re-size</v>
          </cell>
          <cell r="AD604" t="str">
            <v>Re-size</v>
          </cell>
          <cell r="AE604" t="str">
            <v>Re-size</v>
          </cell>
        </row>
        <row r="605">
          <cell r="B605">
            <v>9.8000000000000007</v>
          </cell>
          <cell r="C605" t="str">
            <v>Re-size</v>
          </cell>
          <cell r="D605" t="str">
            <v>Re-size</v>
          </cell>
          <cell r="E605" t="str">
            <v>Re-size</v>
          </cell>
          <cell r="F605" t="str">
            <v>Re-size</v>
          </cell>
          <cell r="G605" t="str">
            <v>Re-size</v>
          </cell>
          <cell r="H605" t="str">
            <v>Re-size</v>
          </cell>
          <cell r="I605" t="str">
            <v>Re-size</v>
          </cell>
          <cell r="J605" t="str">
            <v>Re-size</v>
          </cell>
          <cell r="K605" t="str">
            <v>Re-size</v>
          </cell>
          <cell r="L605" t="str">
            <v>Re-size</v>
          </cell>
          <cell r="M605" t="str">
            <v>Re-size</v>
          </cell>
          <cell r="N605" t="str">
            <v>Re-size</v>
          </cell>
          <cell r="O605" t="str">
            <v>Re-size</v>
          </cell>
          <cell r="P605" t="str">
            <v>Re-size</v>
          </cell>
          <cell r="Q605" t="str">
            <v>Re-size</v>
          </cell>
          <cell r="R605" t="str">
            <v>Re-size</v>
          </cell>
          <cell r="S605">
            <v>10.09</v>
          </cell>
          <cell r="T605">
            <v>9.1</v>
          </cell>
          <cell r="U605">
            <v>5.4</v>
          </cell>
          <cell r="V605">
            <v>4.1500000000000004</v>
          </cell>
          <cell r="X605" t="str">
            <v>Re-size</v>
          </cell>
          <cell r="Y605" t="str">
            <v>Re-size</v>
          </cell>
          <cell r="Z605" t="str">
            <v>Re-size</v>
          </cell>
          <cell r="AA605" t="str">
            <v>Re-size</v>
          </cell>
          <cell r="AB605" t="str">
            <v>Re-size</v>
          </cell>
          <cell r="AC605" t="str">
            <v>Re-size</v>
          </cell>
          <cell r="AD605" t="str">
            <v>Re-size</v>
          </cell>
          <cell r="AE605" t="str">
            <v>Re-size</v>
          </cell>
        </row>
        <row r="606">
          <cell r="B606">
            <v>9.85</v>
          </cell>
          <cell r="C606" t="str">
            <v>Re-size</v>
          </cell>
          <cell r="D606" t="str">
            <v>Re-size</v>
          </cell>
          <cell r="E606" t="str">
            <v>Re-size</v>
          </cell>
          <cell r="F606" t="str">
            <v>Re-size</v>
          </cell>
          <cell r="G606" t="str">
            <v>Re-size</v>
          </cell>
          <cell r="H606" t="str">
            <v>Re-size</v>
          </cell>
          <cell r="I606" t="str">
            <v>Re-size</v>
          </cell>
          <cell r="J606" t="str">
            <v>Re-size</v>
          </cell>
          <cell r="K606" t="str">
            <v>Re-size</v>
          </cell>
          <cell r="L606" t="str">
            <v>Re-size</v>
          </cell>
          <cell r="M606" t="str">
            <v>Re-size</v>
          </cell>
          <cell r="N606" t="str">
            <v>Re-size</v>
          </cell>
          <cell r="O606" t="str">
            <v>Re-size</v>
          </cell>
          <cell r="P606" t="str">
            <v>Re-size</v>
          </cell>
          <cell r="Q606" t="str">
            <v>Re-size</v>
          </cell>
          <cell r="R606" t="str">
            <v>Re-size</v>
          </cell>
          <cell r="S606">
            <v>10.199999999999999</v>
          </cell>
          <cell r="T606">
            <v>9.1950000000000003</v>
          </cell>
          <cell r="U606">
            <v>5.44</v>
          </cell>
          <cell r="V606">
            <v>4.1849999999999996</v>
          </cell>
          <cell r="X606" t="str">
            <v>Re-size</v>
          </cell>
          <cell r="Y606" t="str">
            <v>Re-size</v>
          </cell>
          <cell r="Z606" t="str">
            <v>Re-size</v>
          </cell>
          <cell r="AA606" t="str">
            <v>Re-size</v>
          </cell>
          <cell r="AB606" t="str">
            <v>Re-size</v>
          </cell>
          <cell r="AC606" t="str">
            <v>Re-size</v>
          </cell>
          <cell r="AD606" t="str">
            <v>Re-size</v>
          </cell>
          <cell r="AE606" t="str">
            <v>Re-size</v>
          </cell>
        </row>
        <row r="607">
          <cell r="B607">
            <v>9.9</v>
          </cell>
          <cell r="C607" t="str">
            <v>Re-size</v>
          </cell>
          <cell r="D607" t="str">
            <v>Re-size</v>
          </cell>
          <cell r="E607" t="str">
            <v>Re-size</v>
          </cell>
          <cell r="F607" t="str">
            <v>Re-size</v>
          </cell>
          <cell r="G607" t="str">
            <v>Re-size</v>
          </cell>
          <cell r="H607" t="str">
            <v>Re-size</v>
          </cell>
          <cell r="I607" t="str">
            <v>Re-size</v>
          </cell>
          <cell r="J607" t="str">
            <v>Re-size</v>
          </cell>
          <cell r="K607" t="str">
            <v>Re-size</v>
          </cell>
          <cell r="L607" t="str">
            <v>Re-size</v>
          </cell>
          <cell r="M607" t="str">
            <v>Re-size</v>
          </cell>
          <cell r="N607" t="str">
            <v>Re-size</v>
          </cell>
          <cell r="O607" t="str">
            <v>Re-size</v>
          </cell>
          <cell r="P607" t="str">
            <v>Re-size</v>
          </cell>
          <cell r="Q607" t="str">
            <v>Re-size</v>
          </cell>
          <cell r="R607" t="str">
            <v>Re-size</v>
          </cell>
          <cell r="S607">
            <v>10.3</v>
          </cell>
          <cell r="T607">
            <v>9.2899999999999991</v>
          </cell>
          <cell r="U607">
            <v>5.48</v>
          </cell>
          <cell r="V607">
            <v>4.22</v>
          </cell>
          <cell r="X607" t="str">
            <v>Re-size</v>
          </cell>
          <cell r="Y607" t="str">
            <v>Re-size</v>
          </cell>
          <cell r="Z607" t="str">
            <v>Re-size</v>
          </cell>
          <cell r="AA607" t="str">
            <v>Re-size</v>
          </cell>
          <cell r="AB607" t="str">
            <v>Re-size</v>
          </cell>
          <cell r="AC607" t="str">
            <v>Re-size</v>
          </cell>
          <cell r="AD607" t="str">
            <v>Re-size</v>
          </cell>
          <cell r="AE607" t="str">
            <v>Re-size</v>
          </cell>
        </row>
        <row r="608">
          <cell r="B608">
            <v>9.9499999999999993</v>
          </cell>
          <cell r="C608" t="str">
            <v>Re-size</v>
          </cell>
          <cell r="D608" t="str">
            <v>Re-size</v>
          </cell>
          <cell r="E608" t="str">
            <v>Re-size</v>
          </cell>
          <cell r="F608" t="str">
            <v>Re-size</v>
          </cell>
          <cell r="G608" t="str">
            <v>Re-size</v>
          </cell>
          <cell r="H608" t="str">
            <v>Re-size</v>
          </cell>
          <cell r="I608" t="str">
            <v>Re-size</v>
          </cell>
          <cell r="J608" t="str">
            <v>Re-size</v>
          </cell>
          <cell r="K608" t="str">
            <v>Re-size</v>
          </cell>
          <cell r="L608" t="str">
            <v>Re-size</v>
          </cell>
          <cell r="M608" t="str">
            <v>Re-size</v>
          </cell>
          <cell r="N608" t="str">
            <v>Re-size</v>
          </cell>
          <cell r="O608" t="str">
            <v>Re-size</v>
          </cell>
          <cell r="P608" t="str">
            <v>Re-size</v>
          </cell>
          <cell r="Q608" t="str">
            <v>Re-size</v>
          </cell>
          <cell r="R608" t="str">
            <v>Re-size</v>
          </cell>
          <cell r="S608">
            <v>10.37</v>
          </cell>
          <cell r="T608">
            <v>9.3849999999999998</v>
          </cell>
          <cell r="U608">
            <v>5.5350000000000001</v>
          </cell>
          <cell r="V608">
            <v>4.26</v>
          </cell>
          <cell r="X608" t="str">
            <v>Re-size</v>
          </cell>
          <cell r="Y608" t="str">
            <v>Re-size</v>
          </cell>
          <cell r="Z608" t="str">
            <v>Re-size</v>
          </cell>
          <cell r="AA608" t="str">
            <v>Re-size</v>
          </cell>
          <cell r="AB608" t="str">
            <v>Re-size</v>
          </cell>
          <cell r="AC608" t="str">
            <v>Re-size</v>
          </cell>
          <cell r="AD608" t="str">
            <v>Re-size</v>
          </cell>
          <cell r="AE608" t="str">
            <v>Re-size</v>
          </cell>
        </row>
        <row r="609">
          <cell r="B609">
            <v>10</v>
          </cell>
          <cell r="C609" t="str">
            <v>Re-size</v>
          </cell>
          <cell r="D609" t="str">
            <v>Re-size</v>
          </cell>
          <cell r="E609" t="str">
            <v>Re-size</v>
          </cell>
          <cell r="F609" t="str">
            <v>Re-size</v>
          </cell>
          <cell r="G609" t="str">
            <v>Re-size</v>
          </cell>
          <cell r="H609" t="str">
            <v>Re-size</v>
          </cell>
          <cell r="I609" t="str">
            <v>Re-size</v>
          </cell>
          <cell r="J609" t="str">
            <v>Re-size</v>
          </cell>
          <cell r="K609" t="str">
            <v>Re-size</v>
          </cell>
          <cell r="L609" t="str">
            <v>Re-size</v>
          </cell>
          <cell r="M609" t="str">
            <v>Re-size</v>
          </cell>
          <cell r="N609" t="str">
            <v>Re-size</v>
          </cell>
          <cell r="O609" t="str">
            <v>Re-size</v>
          </cell>
          <cell r="P609" t="str">
            <v>Re-size</v>
          </cell>
          <cell r="Q609" t="str">
            <v>Re-size</v>
          </cell>
          <cell r="R609" t="str">
            <v>Re-size</v>
          </cell>
          <cell r="S609">
            <v>10.46</v>
          </cell>
          <cell r="T609">
            <v>9.48</v>
          </cell>
          <cell r="U609">
            <v>5.59</v>
          </cell>
          <cell r="V609">
            <v>4.3</v>
          </cell>
          <cell r="X609" t="str">
            <v>Re-size</v>
          </cell>
          <cell r="Y609" t="str">
            <v>Re-size</v>
          </cell>
          <cell r="Z609" t="str">
            <v>Re-size</v>
          </cell>
          <cell r="AA609" t="str">
            <v>Re-size</v>
          </cell>
          <cell r="AB609" t="str">
            <v>Re-size</v>
          </cell>
          <cell r="AC609" t="str">
            <v>Re-size</v>
          </cell>
          <cell r="AD609" t="str">
            <v>Re-size</v>
          </cell>
          <cell r="AE609" t="str">
            <v>Re-size</v>
          </cell>
        </row>
        <row r="610">
          <cell r="B610">
            <v>10.050000000000001</v>
          </cell>
          <cell r="C610" t="str">
            <v>Re-size</v>
          </cell>
          <cell r="D610" t="str">
            <v>Re-size</v>
          </cell>
          <cell r="E610" t="str">
            <v>Re-size</v>
          </cell>
          <cell r="F610" t="str">
            <v>Re-size</v>
          </cell>
          <cell r="G610" t="str">
            <v>Re-size</v>
          </cell>
          <cell r="H610" t="str">
            <v>Re-size</v>
          </cell>
          <cell r="I610" t="str">
            <v>Re-size</v>
          </cell>
          <cell r="J610" t="str">
            <v>Re-size</v>
          </cell>
          <cell r="K610" t="str">
            <v>Re-size</v>
          </cell>
          <cell r="L610" t="str">
            <v>Re-size</v>
          </cell>
          <cell r="M610" t="str">
            <v>Re-size</v>
          </cell>
          <cell r="N610" t="str">
            <v>Re-size</v>
          </cell>
          <cell r="O610" t="str">
            <v>Re-size</v>
          </cell>
          <cell r="P610" t="str">
            <v>Re-size</v>
          </cell>
          <cell r="Q610" t="str">
            <v>Re-size</v>
          </cell>
          <cell r="R610" t="str">
            <v>Re-size</v>
          </cell>
          <cell r="S610">
            <v>10.56</v>
          </cell>
          <cell r="T610">
            <v>9.5749999999999993</v>
          </cell>
          <cell r="U610">
            <v>5.6449999999999996</v>
          </cell>
          <cell r="V610">
            <v>4.3449999999999998</v>
          </cell>
          <cell r="X610" t="str">
            <v>Re-size</v>
          </cell>
          <cell r="Y610" t="str">
            <v>Re-size</v>
          </cell>
          <cell r="Z610" t="str">
            <v>Re-size</v>
          </cell>
          <cell r="AA610" t="str">
            <v>Re-size</v>
          </cell>
          <cell r="AB610" t="str">
            <v>Re-size</v>
          </cell>
          <cell r="AC610" t="str">
            <v>Re-size</v>
          </cell>
          <cell r="AD610" t="str">
            <v>Re-size</v>
          </cell>
          <cell r="AE610" t="str">
            <v>Re-size</v>
          </cell>
        </row>
        <row r="611">
          <cell r="B611">
            <v>10.1</v>
          </cell>
          <cell r="C611" t="str">
            <v>Re-size</v>
          </cell>
          <cell r="D611" t="str">
            <v>Re-size</v>
          </cell>
          <cell r="E611" t="str">
            <v>Re-size</v>
          </cell>
          <cell r="F611" t="str">
            <v>Re-size</v>
          </cell>
          <cell r="G611" t="str">
            <v>Re-size</v>
          </cell>
          <cell r="H611" t="str">
            <v>Re-size</v>
          </cell>
          <cell r="I611" t="str">
            <v>Re-size</v>
          </cell>
          <cell r="J611" t="str">
            <v>Re-size</v>
          </cell>
          <cell r="K611" t="str">
            <v>Re-size</v>
          </cell>
          <cell r="L611" t="str">
            <v>Re-size</v>
          </cell>
          <cell r="M611" t="str">
            <v>Re-size</v>
          </cell>
          <cell r="N611" t="str">
            <v>Re-size</v>
          </cell>
          <cell r="O611" t="str">
            <v>Re-size</v>
          </cell>
          <cell r="P611" t="str">
            <v>Re-size</v>
          </cell>
          <cell r="Q611" t="str">
            <v>Re-size</v>
          </cell>
          <cell r="R611" t="str">
            <v>Re-size</v>
          </cell>
          <cell r="S611">
            <v>10.65</v>
          </cell>
          <cell r="T611">
            <v>9.67</v>
          </cell>
          <cell r="U611">
            <v>5.7</v>
          </cell>
          <cell r="V611">
            <v>4.3899999999999997</v>
          </cell>
          <cell r="X611" t="str">
            <v>Re-size</v>
          </cell>
          <cell r="Y611" t="str">
            <v>Re-size</v>
          </cell>
          <cell r="Z611" t="str">
            <v>Re-size</v>
          </cell>
          <cell r="AA611" t="str">
            <v>Re-size</v>
          </cell>
          <cell r="AB611" t="str">
            <v>Re-size</v>
          </cell>
          <cell r="AC611" t="str">
            <v>Re-size</v>
          </cell>
          <cell r="AD611" t="str">
            <v>Re-size</v>
          </cell>
          <cell r="AE611" t="str">
            <v>Re-size</v>
          </cell>
        </row>
        <row r="612">
          <cell r="B612">
            <v>10.15</v>
          </cell>
          <cell r="C612" t="str">
            <v>Re-size</v>
          </cell>
          <cell r="D612" t="str">
            <v>Re-size</v>
          </cell>
          <cell r="E612" t="str">
            <v>Re-size</v>
          </cell>
          <cell r="F612" t="str">
            <v>Re-size</v>
          </cell>
          <cell r="G612" t="str">
            <v>Re-size</v>
          </cell>
          <cell r="H612" t="str">
            <v>Re-size</v>
          </cell>
          <cell r="I612" t="str">
            <v>Re-size</v>
          </cell>
          <cell r="J612" t="str">
            <v>Re-size</v>
          </cell>
          <cell r="K612" t="str">
            <v>Re-size</v>
          </cell>
          <cell r="L612" t="str">
            <v>Re-size</v>
          </cell>
          <cell r="M612" t="str">
            <v>Re-size</v>
          </cell>
          <cell r="N612" t="str">
            <v>Re-size</v>
          </cell>
          <cell r="O612" t="str">
            <v>Re-size</v>
          </cell>
          <cell r="P612" t="str">
            <v>Re-size</v>
          </cell>
          <cell r="Q612" t="str">
            <v>Re-size</v>
          </cell>
          <cell r="R612" t="str">
            <v>Re-size</v>
          </cell>
          <cell r="S612" t="str">
            <v>Re-size</v>
          </cell>
          <cell r="T612">
            <v>9.7349999999999994</v>
          </cell>
          <cell r="U612">
            <v>5.74</v>
          </cell>
          <cell r="V612">
            <v>4.4349999999999996</v>
          </cell>
          <cell r="X612" t="str">
            <v>Re-size</v>
          </cell>
          <cell r="Y612" t="str">
            <v>Re-size</v>
          </cell>
          <cell r="Z612" t="str">
            <v>Re-size</v>
          </cell>
          <cell r="AA612" t="str">
            <v>Re-size</v>
          </cell>
          <cell r="AB612" t="str">
            <v>Re-size</v>
          </cell>
          <cell r="AC612" t="str">
            <v>Re-size</v>
          </cell>
          <cell r="AD612" t="str">
            <v>Re-size</v>
          </cell>
          <cell r="AE612" t="str">
            <v>Re-size</v>
          </cell>
        </row>
        <row r="613">
          <cell r="B613">
            <v>10.199999999999999</v>
          </cell>
          <cell r="C613" t="str">
            <v>Re-size</v>
          </cell>
          <cell r="D613" t="str">
            <v>Re-size</v>
          </cell>
          <cell r="E613" t="str">
            <v>Re-size</v>
          </cell>
          <cell r="F613" t="str">
            <v>Re-size</v>
          </cell>
          <cell r="G613" t="str">
            <v>Re-size</v>
          </cell>
          <cell r="H613" t="str">
            <v>Re-size</v>
          </cell>
          <cell r="I613" t="str">
            <v>Re-size</v>
          </cell>
          <cell r="J613" t="str">
            <v>Re-size</v>
          </cell>
          <cell r="K613" t="str">
            <v>Re-size</v>
          </cell>
          <cell r="L613" t="str">
            <v>Re-size</v>
          </cell>
          <cell r="M613" t="str">
            <v>Re-size</v>
          </cell>
          <cell r="N613" t="str">
            <v>Re-size</v>
          </cell>
          <cell r="O613" t="str">
            <v>Re-size</v>
          </cell>
          <cell r="P613" t="str">
            <v>Re-size</v>
          </cell>
          <cell r="Q613" t="str">
            <v>Re-size</v>
          </cell>
          <cell r="R613" t="str">
            <v>Re-size</v>
          </cell>
          <cell r="S613" t="str">
            <v>Re-size</v>
          </cell>
          <cell r="T613">
            <v>9.8000000000000007</v>
          </cell>
          <cell r="U613">
            <v>5.78</v>
          </cell>
          <cell r="V613">
            <v>4.4800000000000004</v>
          </cell>
          <cell r="X613" t="str">
            <v>Re-size</v>
          </cell>
          <cell r="Y613" t="str">
            <v>Re-size</v>
          </cell>
          <cell r="Z613" t="str">
            <v>Re-size</v>
          </cell>
          <cell r="AA613" t="str">
            <v>Re-size</v>
          </cell>
          <cell r="AB613" t="str">
            <v>Re-size</v>
          </cell>
          <cell r="AC613" t="str">
            <v>Re-size</v>
          </cell>
          <cell r="AD613" t="str">
            <v>Re-size</v>
          </cell>
          <cell r="AE613" t="str">
            <v>Re-size</v>
          </cell>
        </row>
        <row r="614">
          <cell r="B614">
            <v>10.25</v>
          </cell>
          <cell r="C614" t="str">
            <v>Re-size</v>
          </cell>
          <cell r="D614" t="str">
            <v>Re-size</v>
          </cell>
          <cell r="E614" t="str">
            <v>Re-size</v>
          </cell>
          <cell r="F614" t="str">
            <v>Re-size</v>
          </cell>
          <cell r="G614" t="str">
            <v>Re-size</v>
          </cell>
          <cell r="H614" t="str">
            <v>Re-size</v>
          </cell>
          <cell r="I614" t="str">
            <v>Re-size</v>
          </cell>
          <cell r="J614" t="str">
            <v>Re-size</v>
          </cell>
          <cell r="K614" t="str">
            <v>Re-size</v>
          </cell>
          <cell r="L614" t="str">
            <v>Re-size</v>
          </cell>
          <cell r="M614" t="str">
            <v>Re-size</v>
          </cell>
          <cell r="N614" t="str">
            <v>Re-size</v>
          </cell>
          <cell r="O614" t="str">
            <v>Re-size</v>
          </cell>
          <cell r="P614" t="str">
            <v>Re-size</v>
          </cell>
          <cell r="Q614" t="str">
            <v>Re-size</v>
          </cell>
          <cell r="R614" t="str">
            <v>Re-size</v>
          </cell>
          <cell r="S614" t="str">
            <v>Re-size</v>
          </cell>
          <cell r="T614">
            <v>9.9</v>
          </cell>
          <cell r="U614">
            <v>5.84</v>
          </cell>
          <cell r="V614">
            <v>4.51</v>
          </cell>
          <cell r="X614" t="str">
            <v>Re-size</v>
          </cell>
          <cell r="Y614" t="str">
            <v>Re-size</v>
          </cell>
          <cell r="Z614" t="str">
            <v>Re-size</v>
          </cell>
          <cell r="AA614" t="str">
            <v>Re-size</v>
          </cell>
          <cell r="AB614" t="str">
            <v>Re-size</v>
          </cell>
          <cell r="AC614" t="str">
            <v>Re-size</v>
          </cell>
          <cell r="AD614" t="str">
            <v>Re-size</v>
          </cell>
          <cell r="AE614" t="str">
            <v>Re-size</v>
          </cell>
        </row>
        <row r="615">
          <cell r="B615">
            <v>10.3</v>
          </cell>
          <cell r="C615" t="str">
            <v>Re-size</v>
          </cell>
          <cell r="D615" t="str">
            <v>Re-size</v>
          </cell>
          <cell r="E615" t="str">
            <v>Re-size</v>
          </cell>
          <cell r="F615" t="str">
            <v>Re-size</v>
          </cell>
          <cell r="G615" t="str">
            <v>Re-size</v>
          </cell>
          <cell r="H615" t="str">
            <v>Re-size</v>
          </cell>
          <cell r="I615" t="str">
            <v>Re-size</v>
          </cell>
          <cell r="J615" t="str">
            <v>Re-size</v>
          </cell>
          <cell r="K615" t="str">
            <v>Re-size</v>
          </cell>
          <cell r="L615" t="str">
            <v>Re-size</v>
          </cell>
          <cell r="M615" t="str">
            <v>Re-size</v>
          </cell>
          <cell r="N615" t="str">
            <v>Re-size</v>
          </cell>
          <cell r="O615" t="str">
            <v>Re-size</v>
          </cell>
          <cell r="P615" t="str">
            <v>Re-size</v>
          </cell>
          <cell r="Q615" t="str">
            <v>Re-size</v>
          </cell>
          <cell r="R615" t="str">
            <v>Re-size</v>
          </cell>
          <cell r="S615" t="str">
            <v>Re-size</v>
          </cell>
          <cell r="T615">
            <v>10</v>
          </cell>
          <cell r="U615">
            <v>5.9</v>
          </cell>
          <cell r="V615">
            <v>4.54</v>
          </cell>
          <cell r="X615" t="str">
            <v>Re-size</v>
          </cell>
          <cell r="Y615" t="str">
            <v>Re-size</v>
          </cell>
          <cell r="Z615" t="str">
            <v>Re-size</v>
          </cell>
          <cell r="AA615" t="str">
            <v>Re-size</v>
          </cell>
          <cell r="AB615" t="str">
            <v>Re-size</v>
          </cell>
          <cell r="AC615" t="str">
            <v>Re-size</v>
          </cell>
          <cell r="AD615" t="str">
            <v>Re-size</v>
          </cell>
          <cell r="AE615" t="str">
            <v>Re-size</v>
          </cell>
        </row>
        <row r="616">
          <cell r="B616">
            <v>10.35</v>
          </cell>
          <cell r="C616" t="str">
            <v>Re-size</v>
          </cell>
          <cell r="D616" t="str">
            <v>Re-size</v>
          </cell>
          <cell r="E616" t="str">
            <v>Re-size</v>
          </cell>
          <cell r="F616" t="str">
            <v>Re-size</v>
          </cell>
          <cell r="G616" t="str">
            <v>Re-size</v>
          </cell>
          <cell r="H616" t="str">
            <v>Re-size</v>
          </cell>
          <cell r="I616" t="str">
            <v>Re-size</v>
          </cell>
          <cell r="J616" t="str">
            <v>Re-size</v>
          </cell>
          <cell r="K616" t="str">
            <v>Re-size</v>
          </cell>
          <cell r="L616" t="str">
            <v>Re-size</v>
          </cell>
          <cell r="M616" t="str">
            <v>Re-size</v>
          </cell>
          <cell r="N616" t="str">
            <v>Re-size</v>
          </cell>
          <cell r="O616" t="str">
            <v>Re-size</v>
          </cell>
          <cell r="P616" t="str">
            <v>Re-size</v>
          </cell>
          <cell r="Q616" t="str">
            <v>Re-size</v>
          </cell>
          <cell r="R616" t="str">
            <v>Re-size</v>
          </cell>
          <cell r="S616" t="str">
            <v>Re-size</v>
          </cell>
          <cell r="T616">
            <v>10.085000000000001</v>
          </cell>
          <cell r="U616">
            <v>5.9550000000000001</v>
          </cell>
          <cell r="V616">
            <v>4.585</v>
          </cell>
          <cell r="X616" t="str">
            <v>Re-size</v>
          </cell>
          <cell r="Y616" t="str">
            <v>Re-size</v>
          </cell>
          <cell r="Z616" t="str">
            <v>Re-size</v>
          </cell>
          <cell r="AA616" t="str">
            <v>Re-size</v>
          </cell>
          <cell r="AB616" t="str">
            <v>Re-size</v>
          </cell>
          <cell r="AC616" t="str">
            <v>Re-size</v>
          </cell>
          <cell r="AD616" t="str">
            <v>Re-size</v>
          </cell>
          <cell r="AE616" t="str">
            <v>Re-size</v>
          </cell>
        </row>
        <row r="617">
          <cell r="B617">
            <v>10.4</v>
          </cell>
          <cell r="C617" t="str">
            <v>Re-size</v>
          </cell>
          <cell r="D617" t="str">
            <v>Re-size</v>
          </cell>
          <cell r="E617" t="str">
            <v>Re-size</v>
          </cell>
          <cell r="F617" t="str">
            <v>Re-size</v>
          </cell>
          <cell r="G617" t="str">
            <v>Re-size</v>
          </cell>
          <cell r="H617" t="str">
            <v>Re-size</v>
          </cell>
          <cell r="I617" t="str">
            <v>Re-size</v>
          </cell>
          <cell r="J617" t="str">
            <v>Re-size</v>
          </cell>
          <cell r="K617" t="str">
            <v>Re-size</v>
          </cell>
          <cell r="L617" t="str">
            <v>Re-size</v>
          </cell>
          <cell r="M617" t="str">
            <v>Re-size</v>
          </cell>
          <cell r="N617" t="str">
            <v>Re-size</v>
          </cell>
          <cell r="O617" t="str">
            <v>Re-size</v>
          </cell>
          <cell r="P617" t="str">
            <v>Re-size</v>
          </cell>
          <cell r="Q617" t="str">
            <v>Re-size</v>
          </cell>
          <cell r="R617" t="str">
            <v>Re-size</v>
          </cell>
          <cell r="S617" t="str">
            <v>Re-size</v>
          </cell>
          <cell r="T617">
            <v>10.17</v>
          </cell>
          <cell r="U617">
            <v>6.01</v>
          </cell>
          <cell r="V617">
            <v>4.63</v>
          </cell>
          <cell r="X617" t="str">
            <v>Re-size</v>
          </cell>
          <cell r="Y617" t="str">
            <v>Re-size</v>
          </cell>
          <cell r="Z617" t="str">
            <v>Re-size</v>
          </cell>
          <cell r="AA617" t="str">
            <v>Re-size</v>
          </cell>
          <cell r="AB617" t="str">
            <v>Re-size</v>
          </cell>
          <cell r="AC617" t="str">
            <v>Re-size</v>
          </cell>
          <cell r="AD617" t="str">
            <v>Re-size</v>
          </cell>
          <cell r="AE617" t="str">
            <v>Re-size</v>
          </cell>
        </row>
        <row r="618">
          <cell r="B618">
            <v>10.45</v>
          </cell>
          <cell r="C618" t="str">
            <v>Re-size</v>
          </cell>
          <cell r="D618" t="str">
            <v>Re-size</v>
          </cell>
          <cell r="E618" t="str">
            <v>Re-size</v>
          </cell>
          <cell r="F618" t="str">
            <v>Re-size</v>
          </cell>
          <cell r="G618" t="str">
            <v>Re-size</v>
          </cell>
          <cell r="H618" t="str">
            <v>Re-size</v>
          </cell>
          <cell r="I618" t="str">
            <v>Re-size</v>
          </cell>
          <cell r="J618" t="str">
            <v>Re-size</v>
          </cell>
          <cell r="K618" t="str">
            <v>Re-size</v>
          </cell>
          <cell r="L618" t="str">
            <v>Re-size</v>
          </cell>
          <cell r="M618" t="str">
            <v>Re-size</v>
          </cell>
          <cell r="N618" t="str">
            <v>Re-size</v>
          </cell>
          <cell r="O618" t="str">
            <v>Re-size</v>
          </cell>
          <cell r="P618" t="str">
            <v>Re-size</v>
          </cell>
          <cell r="Q618" t="str">
            <v>Re-size</v>
          </cell>
          <cell r="R618" t="str">
            <v>Re-size</v>
          </cell>
          <cell r="S618" t="str">
            <v>Re-size</v>
          </cell>
          <cell r="T618">
            <v>10.255000000000001</v>
          </cell>
          <cell r="U618">
            <v>6.07</v>
          </cell>
          <cell r="V618">
            <v>4.6749999999999998</v>
          </cell>
          <cell r="X618" t="str">
            <v>Re-size</v>
          </cell>
          <cell r="Y618" t="str">
            <v>Re-size</v>
          </cell>
          <cell r="Z618" t="str">
            <v>Re-size</v>
          </cell>
          <cell r="AA618" t="str">
            <v>Re-size</v>
          </cell>
          <cell r="AB618" t="str">
            <v>Re-size</v>
          </cell>
          <cell r="AC618" t="str">
            <v>Re-size</v>
          </cell>
          <cell r="AD618" t="str">
            <v>Re-size</v>
          </cell>
          <cell r="AE618" t="str">
            <v>Re-size</v>
          </cell>
        </row>
        <row r="619">
          <cell r="B619">
            <v>10.5</v>
          </cell>
          <cell r="C619" t="str">
            <v>Re-size</v>
          </cell>
          <cell r="D619" t="str">
            <v>Re-size</v>
          </cell>
          <cell r="E619" t="str">
            <v>Re-size</v>
          </cell>
          <cell r="F619" t="str">
            <v>Re-size</v>
          </cell>
          <cell r="G619" t="str">
            <v>Re-size</v>
          </cell>
          <cell r="H619" t="str">
            <v>Re-size</v>
          </cell>
          <cell r="I619" t="str">
            <v>Re-size</v>
          </cell>
          <cell r="J619" t="str">
            <v>Re-size</v>
          </cell>
          <cell r="K619" t="str">
            <v>Re-size</v>
          </cell>
          <cell r="L619" t="str">
            <v>Re-size</v>
          </cell>
          <cell r="M619" t="str">
            <v>Re-size</v>
          </cell>
          <cell r="N619" t="str">
            <v>Re-size</v>
          </cell>
          <cell r="O619" t="str">
            <v>Re-size</v>
          </cell>
          <cell r="P619" t="str">
            <v>Re-size</v>
          </cell>
          <cell r="Q619" t="str">
            <v>Re-size</v>
          </cell>
          <cell r="R619" t="str">
            <v>Re-size</v>
          </cell>
          <cell r="S619" t="str">
            <v>Re-size</v>
          </cell>
          <cell r="T619">
            <v>10.34</v>
          </cell>
          <cell r="U619">
            <v>6.13</v>
          </cell>
          <cell r="V619">
            <v>4.72</v>
          </cell>
          <cell r="X619" t="str">
            <v>Re-size</v>
          </cell>
          <cell r="Y619" t="str">
            <v>Re-size</v>
          </cell>
          <cell r="Z619" t="str">
            <v>Re-size</v>
          </cell>
          <cell r="AA619" t="str">
            <v>Re-size</v>
          </cell>
          <cell r="AB619" t="str">
            <v>Re-size</v>
          </cell>
          <cell r="AC619" t="str">
            <v>Re-size</v>
          </cell>
          <cell r="AD619" t="str">
            <v>Re-size</v>
          </cell>
          <cell r="AE619" t="str">
            <v>Re-size</v>
          </cell>
        </row>
        <row r="620">
          <cell r="B620">
            <v>10.55</v>
          </cell>
          <cell r="C620" t="str">
            <v>Re-size</v>
          </cell>
          <cell r="D620" t="str">
            <v>Re-size</v>
          </cell>
          <cell r="E620" t="str">
            <v>Re-size</v>
          </cell>
          <cell r="F620" t="str">
            <v>Re-size</v>
          </cell>
          <cell r="G620" t="str">
            <v>Re-size</v>
          </cell>
          <cell r="H620" t="str">
            <v>Re-size</v>
          </cell>
          <cell r="I620" t="str">
            <v>Re-size</v>
          </cell>
          <cell r="J620" t="str">
            <v>Re-size</v>
          </cell>
          <cell r="K620" t="str">
            <v>Re-size</v>
          </cell>
          <cell r="L620" t="str">
            <v>Re-size</v>
          </cell>
          <cell r="M620" t="str">
            <v>Re-size</v>
          </cell>
          <cell r="N620" t="str">
            <v>Re-size</v>
          </cell>
          <cell r="O620" t="str">
            <v>Re-size</v>
          </cell>
          <cell r="P620" t="str">
            <v>Re-size</v>
          </cell>
          <cell r="Q620" t="str">
            <v>Re-size</v>
          </cell>
          <cell r="R620" t="str">
            <v>Re-size</v>
          </cell>
          <cell r="S620" t="str">
            <v>Re-size</v>
          </cell>
          <cell r="T620">
            <v>10.425000000000001</v>
          </cell>
          <cell r="U620">
            <v>6.17</v>
          </cell>
          <cell r="V620">
            <v>4.75</v>
          </cell>
          <cell r="X620" t="str">
            <v>Re-size</v>
          </cell>
          <cell r="Y620" t="str">
            <v>Re-size</v>
          </cell>
          <cell r="Z620" t="str">
            <v>Re-size</v>
          </cell>
          <cell r="AA620" t="str">
            <v>Re-size</v>
          </cell>
          <cell r="AB620" t="str">
            <v>Re-size</v>
          </cell>
          <cell r="AC620" t="str">
            <v>Re-size</v>
          </cell>
          <cell r="AD620" t="str">
            <v>Re-size</v>
          </cell>
          <cell r="AE620" t="str">
            <v>Re-size</v>
          </cell>
        </row>
        <row r="621">
          <cell r="B621">
            <v>10.6</v>
          </cell>
          <cell r="C621" t="str">
            <v>Re-size</v>
          </cell>
          <cell r="D621" t="str">
            <v>Re-size</v>
          </cell>
          <cell r="E621" t="str">
            <v>Re-size</v>
          </cell>
          <cell r="F621" t="str">
            <v>Re-size</v>
          </cell>
          <cell r="G621" t="str">
            <v>Re-size</v>
          </cell>
          <cell r="H621" t="str">
            <v>Re-size</v>
          </cell>
          <cell r="I621" t="str">
            <v>Re-size</v>
          </cell>
          <cell r="J621" t="str">
            <v>Re-size</v>
          </cell>
          <cell r="K621" t="str">
            <v>Re-size</v>
          </cell>
          <cell r="L621" t="str">
            <v>Re-size</v>
          </cell>
          <cell r="M621" t="str">
            <v>Re-size</v>
          </cell>
          <cell r="N621" t="str">
            <v>Re-size</v>
          </cell>
          <cell r="O621" t="str">
            <v>Re-size</v>
          </cell>
          <cell r="P621" t="str">
            <v>Re-size</v>
          </cell>
          <cell r="Q621" t="str">
            <v>Re-size</v>
          </cell>
          <cell r="R621" t="str">
            <v>Re-size</v>
          </cell>
          <cell r="S621" t="str">
            <v>Re-size</v>
          </cell>
          <cell r="T621">
            <v>10.51</v>
          </cell>
          <cell r="U621">
            <v>6.21</v>
          </cell>
          <cell r="V621">
            <v>4.78</v>
          </cell>
          <cell r="X621" t="str">
            <v>Re-size</v>
          </cell>
          <cell r="Y621" t="str">
            <v>Re-size</v>
          </cell>
          <cell r="Z621" t="str">
            <v>Re-size</v>
          </cell>
          <cell r="AA621" t="str">
            <v>Re-size</v>
          </cell>
          <cell r="AB621" t="str">
            <v>Re-size</v>
          </cell>
          <cell r="AC621" t="str">
            <v>Re-size</v>
          </cell>
          <cell r="AD621" t="str">
            <v>Re-size</v>
          </cell>
          <cell r="AE621" t="str">
            <v>Re-size</v>
          </cell>
        </row>
        <row r="622">
          <cell r="B622">
            <v>10.65</v>
          </cell>
          <cell r="C622" t="str">
            <v>Re-size</v>
          </cell>
          <cell r="D622" t="str">
            <v>Re-size</v>
          </cell>
          <cell r="E622" t="str">
            <v>Re-size</v>
          </cell>
          <cell r="F622" t="str">
            <v>Re-size</v>
          </cell>
          <cell r="G622" t="str">
            <v>Re-size</v>
          </cell>
          <cell r="H622" t="str">
            <v>Re-size</v>
          </cell>
          <cell r="I622" t="str">
            <v>Re-size</v>
          </cell>
          <cell r="J622" t="str">
            <v>Re-size</v>
          </cell>
          <cell r="K622" t="str">
            <v>Re-size</v>
          </cell>
          <cell r="L622" t="str">
            <v>Re-size</v>
          </cell>
          <cell r="M622" t="str">
            <v>Re-size</v>
          </cell>
          <cell r="N622" t="str">
            <v>Re-size</v>
          </cell>
          <cell r="O622" t="str">
            <v>Re-size</v>
          </cell>
          <cell r="P622" t="str">
            <v>Re-size</v>
          </cell>
          <cell r="Q622" t="str">
            <v>Re-size</v>
          </cell>
          <cell r="R622" t="str">
            <v>Re-size</v>
          </cell>
          <cell r="S622" t="str">
            <v>Re-size</v>
          </cell>
          <cell r="T622">
            <v>10.6</v>
          </cell>
          <cell r="U622">
            <v>6.27</v>
          </cell>
          <cell r="V622">
            <v>4.8250000000000002</v>
          </cell>
          <cell r="X622" t="str">
            <v>Re-size</v>
          </cell>
          <cell r="Y622" t="str">
            <v>Re-size</v>
          </cell>
          <cell r="Z622" t="str">
            <v>Re-size</v>
          </cell>
          <cell r="AA622" t="str">
            <v>Re-size</v>
          </cell>
          <cell r="AB622" t="str">
            <v>Re-size</v>
          </cell>
          <cell r="AC622" t="str">
            <v>Re-size</v>
          </cell>
          <cell r="AD622" t="str">
            <v>Re-size</v>
          </cell>
          <cell r="AE622" t="str">
            <v>Re-size</v>
          </cell>
        </row>
        <row r="623">
          <cell r="B623">
            <v>10.7</v>
          </cell>
          <cell r="C623" t="str">
            <v>Re-size</v>
          </cell>
          <cell r="D623" t="str">
            <v>Re-size</v>
          </cell>
          <cell r="E623" t="str">
            <v>Re-size</v>
          </cell>
          <cell r="F623" t="str">
            <v>Re-size</v>
          </cell>
          <cell r="G623" t="str">
            <v>Re-size</v>
          </cell>
          <cell r="H623" t="str">
            <v>Re-size</v>
          </cell>
          <cell r="I623" t="str">
            <v>Re-size</v>
          </cell>
          <cell r="J623" t="str">
            <v>Re-size</v>
          </cell>
          <cell r="K623" t="str">
            <v>Re-size</v>
          </cell>
          <cell r="L623" t="str">
            <v>Re-size</v>
          </cell>
          <cell r="M623" t="str">
            <v>Re-size</v>
          </cell>
          <cell r="N623" t="str">
            <v>Re-size</v>
          </cell>
          <cell r="O623" t="str">
            <v>Re-size</v>
          </cell>
          <cell r="P623" t="str">
            <v>Re-size</v>
          </cell>
          <cell r="Q623" t="str">
            <v>Re-size</v>
          </cell>
          <cell r="R623" t="str">
            <v>Re-size</v>
          </cell>
          <cell r="S623" t="str">
            <v>Re-size</v>
          </cell>
          <cell r="T623">
            <v>10.69</v>
          </cell>
          <cell r="U623">
            <v>6.33</v>
          </cell>
          <cell r="V623">
            <v>4.87</v>
          </cell>
          <cell r="X623" t="str">
            <v>Re-size</v>
          </cell>
          <cell r="Y623" t="str">
            <v>Re-size</v>
          </cell>
          <cell r="Z623" t="str">
            <v>Re-size</v>
          </cell>
          <cell r="AA623" t="str">
            <v>Re-size</v>
          </cell>
          <cell r="AB623" t="str">
            <v>Re-size</v>
          </cell>
          <cell r="AC623" t="str">
            <v>Re-size</v>
          </cell>
          <cell r="AD623" t="str">
            <v>Re-size</v>
          </cell>
          <cell r="AE623" t="str">
            <v>Re-size</v>
          </cell>
        </row>
        <row r="624">
          <cell r="B624">
            <v>10.75</v>
          </cell>
          <cell r="C624" t="str">
            <v>Re-size</v>
          </cell>
          <cell r="D624" t="str">
            <v>Re-size</v>
          </cell>
          <cell r="E624" t="str">
            <v>Re-size</v>
          </cell>
          <cell r="F624" t="str">
            <v>Re-size</v>
          </cell>
          <cell r="G624" t="str">
            <v>Re-size</v>
          </cell>
          <cell r="H624" t="str">
            <v>Re-size</v>
          </cell>
          <cell r="I624" t="str">
            <v>Re-size</v>
          </cell>
          <cell r="J624" t="str">
            <v>Re-size</v>
          </cell>
          <cell r="K624" t="str">
            <v>Re-size</v>
          </cell>
          <cell r="L624" t="str">
            <v>Re-size</v>
          </cell>
          <cell r="M624" t="str">
            <v>Re-size</v>
          </cell>
          <cell r="N624" t="str">
            <v>Re-size</v>
          </cell>
          <cell r="O624" t="str">
            <v>Re-size</v>
          </cell>
          <cell r="P624" t="str">
            <v>Re-size</v>
          </cell>
          <cell r="Q624" t="str">
            <v>Re-size</v>
          </cell>
          <cell r="R624" t="str">
            <v>Re-size</v>
          </cell>
          <cell r="S624" t="str">
            <v>Re-size</v>
          </cell>
          <cell r="T624">
            <v>10.775</v>
          </cell>
          <cell r="U624">
            <v>6.39</v>
          </cell>
          <cell r="V624">
            <v>4.915</v>
          </cell>
          <cell r="X624" t="str">
            <v>Re-size</v>
          </cell>
          <cell r="Y624" t="str">
            <v>Re-size</v>
          </cell>
          <cell r="Z624" t="str">
            <v>Re-size</v>
          </cell>
          <cell r="AA624" t="str">
            <v>Re-size</v>
          </cell>
          <cell r="AB624" t="str">
            <v>Re-size</v>
          </cell>
          <cell r="AC624" t="str">
            <v>Re-size</v>
          </cell>
          <cell r="AD624" t="str">
            <v>Re-size</v>
          </cell>
          <cell r="AE624" t="str">
            <v>Re-size</v>
          </cell>
        </row>
        <row r="625">
          <cell r="B625">
            <v>10.8</v>
          </cell>
          <cell r="C625" t="str">
            <v>Re-size</v>
          </cell>
          <cell r="D625" t="str">
            <v>Re-size</v>
          </cell>
          <cell r="E625" t="str">
            <v>Re-size</v>
          </cell>
          <cell r="F625" t="str">
            <v>Re-size</v>
          </cell>
          <cell r="G625" t="str">
            <v>Re-size</v>
          </cell>
          <cell r="H625" t="str">
            <v>Re-size</v>
          </cell>
          <cell r="I625" t="str">
            <v>Re-size</v>
          </cell>
          <cell r="J625" t="str">
            <v>Re-size</v>
          </cell>
          <cell r="K625" t="str">
            <v>Re-size</v>
          </cell>
          <cell r="L625" t="str">
            <v>Re-size</v>
          </cell>
          <cell r="M625" t="str">
            <v>Re-size</v>
          </cell>
          <cell r="N625" t="str">
            <v>Re-size</v>
          </cell>
          <cell r="O625" t="str">
            <v>Re-size</v>
          </cell>
          <cell r="P625" t="str">
            <v>Re-size</v>
          </cell>
          <cell r="Q625" t="str">
            <v>Re-size</v>
          </cell>
          <cell r="R625" t="str">
            <v>Re-size</v>
          </cell>
          <cell r="S625" t="str">
            <v>Re-size</v>
          </cell>
          <cell r="T625">
            <v>10.86</v>
          </cell>
          <cell r="U625">
            <v>6.45</v>
          </cell>
          <cell r="V625">
            <v>4.96</v>
          </cell>
          <cell r="X625" t="str">
            <v>Re-size</v>
          </cell>
          <cell r="Y625" t="str">
            <v>Re-size</v>
          </cell>
          <cell r="Z625" t="str">
            <v>Re-size</v>
          </cell>
          <cell r="AA625" t="str">
            <v>Re-size</v>
          </cell>
          <cell r="AB625" t="str">
            <v>Re-size</v>
          </cell>
          <cell r="AC625" t="str">
            <v>Re-size</v>
          </cell>
          <cell r="AD625" t="str">
            <v>Re-size</v>
          </cell>
          <cell r="AE625" t="str">
            <v>Re-size</v>
          </cell>
        </row>
        <row r="626">
          <cell r="B626">
            <v>10.85</v>
          </cell>
          <cell r="C626" t="str">
            <v>Re-size</v>
          </cell>
          <cell r="D626" t="str">
            <v>Re-size</v>
          </cell>
          <cell r="E626" t="str">
            <v>Re-size</v>
          </cell>
          <cell r="F626" t="str">
            <v>Re-size</v>
          </cell>
          <cell r="G626" t="str">
            <v>Re-size</v>
          </cell>
          <cell r="H626" t="str">
            <v>Re-size</v>
          </cell>
          <cell r="I626" t="str">
            <v>Re-size</v>
          </cell>
          <cell r="J626" t="str">
            <v>Re-size</v>
          </cell>
          <cell r="K626" t="str">
            <v>Re-size</v>
          </cell>
          <cell r="L626" t="str">
            <v>Re-size</v>
          </cell>
          <cell r="M626" t="str">
            <v>Re-size</v>
          </cell>
          <cell r="N626" t="str">
            <v>Re-size</v>
          </cell>
          <cell r="O626" t="str">
            <v>Re-size</v>
          </cell>
          <cell r="P626" t="str">
            <v>Re-size</v>
          </cell>
          <cell r="Q626" t="str">
            <v>Re-size</v>
          </cell>
          <cell r="R626" t="str">
            <v>Re-size</v>
          </cell>
          <cell r="S626" t="str">
            <v>Re-size</v>
          </cell>
          <cell r="T626">
            <v>10.95</v>
          </cell>
          <cell r="U626">
            <v>6.51</v>
          </cell>
          <cell r="V626">
            <v>5.0049999999999999</v>
          </cell>
          <cell r="X626" t="str">
            <v>Re-size</v>
          </cell>
          <cell r="Y626" t="str">
            <v>Re-size</v>
          </cell>
          <cell r="Z626" t="str">
            <v>Re-size</v>
          </cell>
          <cell r="AA626" t="str">
            <v>Re-size</v>
          </cell>
          <cell r="AB626" t="str">
            <v>Re-size</v>
          </cell>
          <cell r="AC626" t="str">
            <v>Re-size</v>
          </cell>
          <cell r="AD626" t="str">
            <v>Re-size</v>
          </cell>
          <cell r="AE626" t="str">
            <v>Re-size</v>
          </cell>
        </row>
        <row r="627">
          <cell r="B627">
            <v>10.9</v>
          </cell>
          <cell r="C627" t="str">
            <v>Re-size</v>
          </cell>
          <cell r="D627" t="str">
            <v>Re-size</v>
          </cell>
          <cell r="E627" t="str">
            <v>Re-size</v>
          </cell>
          <cell r="F627" t="str">
            <v>Re-size</v>
          </cell>
          <cell r="G627" t="str">
            <v>Re-size</v>
          </cell>
          <cell r="H627" t="str">
            <v>Re-size</v>
          </cell>
          <cell r="I627" t="str">
            <v>Re-size</v>
          </cell>
          <cell r="J627" t="str">
            <v>Re-size</v>
          </cell>
          <cell r="K627" t="str">
            <v>Re-size</v>
          </cell>
          <cell r="L627" t="str">
            <v>Re-size</v>
          </cell>
          <cell r="M627" t="str">
            <v>Re-size</v>
          </cell>
          <cell r="N627" t="str">
            <v>Re-size</v>
          </cell>
          <cell r="O627" t="str">
            <v>Re-size</v>
          </cell>
          <cell r="P627" t="str">
            <v>Re-size</v>
          </cell>
          <cell r="Q627" t="str">
            <v>Re-size</v>
          </cell>
          <cell r="R627" t="str">
            <v>Re-size</v>
          </cell>
          <cell r="S627" t="str">
            <v>Re-size</v>
          </cell>
          <cell r="T627">
            <v>11.04</v>
          </cell>
          <cell r="U627">
            <v>6.57</v>
          </cell>
          <cell r="V627">
            <v>5.05</v>
          </cell>
          <cell r="X627" t="str">
            <v>Re-size</v>
          </cell>
          <cell r="Y627" t="str">
            <v>Re-size</v>
          </cell>
          <cell r="Z627" t="str">
            <v>Re-size</v>
          </cell>
          <cell r="AA627" t="str">
            <v>Re-size</v>
          </cell>
          <cell r="AB627" t="str">
            <v>Re-size</v>
          </cell>
          <cell r="AC627" t="str">
            <v>Re-size</v>
          </cell>
          <cell r="AD627" t="str">
            <v>Re-size</v>
          </cell>
          <cell r="AE627" t="str">
            <v>Re-size</v>
          </cell>
        </row>
        <row r="628">
          <cell r="B628">
            <v>10.95</v>
          </cell>
          <cell r="C628" t="str">
            <v>Re-size</v>
          </cell>
          <cell r="D628" t="str">
            <v>Re-size</v>
          </cell>
          <cell r="E628" t="str">
            <v>Re-size</v>
          </cell>
          <cell r="F628" t="str">
            <v>Re-size</v>
          </cell>
          <cell r="G628" t="str">
            <v>Re-size</v>
          </cell>
          <cell r="H628" t="str">
            <v>Re-size</v>
          </cell>
          <cell r="I628" t="str">
            <v>Re-size</v>
          </cell>
          <cell r="J628" t="str">
            <v>Re-size</v>
          </cell>
          <cell r="K628" t="str">
            <v>Re-size</v>
          </cell>
          <cell r="L628" t="str">
            <v>Re-size</v>
          </cell>
          <cell r="M628" t="str">
            <v>Re-size</v>
          </cell>
          <cell r="N628" t="str">
            <v>Re-size</v>
          </cell>
          <cell r="O628" t="str">
            <v>Re-size</v>
          </cell>
          <cell r="P628" t="str">
            <v>Re-size</v>
          </cell>
          <cell r="Q628" t="str">
            <v>Re-size</v>
          </cell>
          <cell r="R628" t="str">
            <v>Re-size</v>
          </cell>
          <cell r="S628" t="str">
            <v>Re-size</v>
          </cell>
          <cell r="T628">
            <v>11.125</v>
          </cell>
          <cell r="U628">
            <v>6.61</v>
          </cell>
          <cell r="V628">
            <v>5.085</v>
          </cell>
          <cell r="X628" t="str">
            <v>Re-size</v>
          </cell>
          <cell r="Y628" t="str">
            <v>Re-size</v>
          </cell>
          <cell r="Z628" t="str">
            <v>Re-size</v>
          </cell>
          <cell r="AA628" t="str">
            <v>Re-size</v>
          </cell>
          <cell r="AB628" t="str">
            <v>Re-size</v>
          </cell>
          <cell r="AC628" t="str">
            <v>Re-size</v>
          </cell>
          <cell r="AD628" t="str">
            <v>Re-size</v>
          </cell>
          <cell r="AE628" t="str">
            <v>Re-size</v>
          </cell>
        </row>
        <row r="629">
          <cell r="B629">
            <v>11</v>
          </cell>
          <cell r="C629" t="str">
            <v>Re-size</v>
          </cell>
          <cell r="D629" t="str">
            <v>Re-size</v>
          </cell>
          <cell r="E629" t="str">
            <v>Re-size</v>
          </cell>
          <cell r="F629" t="str">
            <v>Re-size</v>
          </cell>
          <cell r="G629" t="str">
            <v>Re-size</v>
          </cell>
          <cell r="H629" t="str">
            <v>Re-size</v>
          </cell>
          <cell r="I629" t="str">
            <v>Re-size</v>
          </cell>
          <cell r="J629" t="str">
            <v>Re-size</v>
          </cell>
          <cell r="K629" t="str">
            <v>Re-size</v>
          </cell>
          <cell r="L629" t="str">
            <v>Re-size</v>
          </cell>
          <cell r="M629" t="str">
            <v>Re-size</v>
          </cell>
          <cell r="N629" t="str">
            <v>Re-size</v>
          </cell>
          <cell r="O629" t="str">
            <v>Re-size</v>
          </cell>
          <cell r="P629" t="str">
            <v>Re-size</v>
          </cell>
          <cell r="Q629" t="str">
            <v>Re-size</v>
          </cell>
          <cell r="R629" t="str">
            <v>Re-size</v>
          </cell>
          <cell r="S629" t="str">
            <v>Re-size</v>
          </cell>
          <cell r="T629">
            <v>11.21</v>
          </cell>
          <cell r="U629">
            <v>6.65</v>
          </cell>
          <cell r="V629">
            <v>5.12</v>
          </cell>
          <cell r="X629" t="str">
            <v>Re-size</v>
          </cell>
          <cell r="Y629" t="str">
            <v>Re-size</v>
          </cell>
          <cell r="Z629" t="str">
            <v>Re-size</v>
          </cell>
          <cell r="AA629" t="str">
            <v>Re-size</v>
          </cell>
          <cell r="AB629" t="str">
            <v>Re-size</v>
          </cell>
          <cell r="AC629" t="str">
            <v>Re-size</v>
          </cell>
          <cell r="AD629" t="str">
            <v>Re-size</v>
          </cell>
          <cell r="AE629" t="str">
            <v>Re-size</v>
          </cell>
        </row>
        <row r="630">
          <cell r="B630">
            <v>11.05</v>
          </cell>
          <cell r="C630" t="str">
            <v>Re-size</v>
          </cell>
          <cell r="D630" t="str">
            <v>Re-size</v>
          </cell>
          <cell r="E630" t="str">
            <v>Re-size</v>
          </cell>
          <cell r="F630" t="str">
            <v>Re-size</v>
          </cell>
          <cell r="G630" t="str">
            <v>Re-size</v>
          </cell>
          <cell r="H630" t="str">
            <v>Re-size</v>
          </cell>
          <cell r="I630" t="str">
            <v>Re-size</v>
          </cell>
          <cell r="J630" t="str">
            <v>Re-size</v>
          </cell>
          <cell r="K630" t="str">
            <v>Re-size</v>
          </cell>
          <cell r="L630" t="str">
            <v>Re-size</v>
          </cell>
          <cell r="M630" t="str">
            <v>Re-size</v>
          </cell>
          <cell r="N630" t="str">
            <v>Re-size</v>
          </cell>
          <cell r="O630" t="str">
            <v>Re-size</v>
          </cell>
          <cell r="P630" t="str">
            <v>Re-size</v>
          </cell>
          <cell r="Q630" t="str">
            <v>Re-size</v>
          </cell>
          <cell r="R630" t="str">
            <v>Re-size</v>
          </cell>
          <cell r="S630" t="str">
            <v>Re-size</v>
          </cell>
          <cell r="T630" t="str">
            <v>Re-size</v>
          </cell>
          <cell r="U630">
            <v>6.71</v>
          </cell>
          <cell r="V630">
            <v>5.165</v>
          </cell>
          <cell r="X630" t="str">
            <v>Re-size</v>
          </cell>
          <cell r="Y630" t="str">
            <v>Re-size</v>
          </cell>
          <cell r="Z630" t="str">
            <v>Re-size</v>
          </cell>
          <cell r="AA630" t="str">
            <v>Re-size</v>
          </cell>
          <cell r="AB630" t="str">
            <v>Re-size</v>
          </cell>
          <cell r="AC630" t="str">
            <v>Re-size</v>
          </cell>
          <cell r="AD630" t="str">
            <v>Re-size</v>
          </cell>
          <cell r="AE630" t="str">
            <v>Re-size</v>
          </cell>
        </row>
        <row r="631">
          <cell r="B631">
            <v>11.1</v>
          </cell>
          <cell r="C631" t="str">
            <v>Re-size</v>
          </cell>
          <cell r="D631" t="str">
            <v>Re-size</v>
          </cell>
          <cell r="E631" t="str">
            <v>Re-size</v>
          </cell>
          <cell r="F631" t="str">
            <v>Re-size</v>
          </cell>
          <cell r="G631" t="str">
            <v>Re-size</v>
          </cell>
          <cell r="H631" t="str">
            <v>Re-size</v>
          </cell>
          <cell r="I631" t="str">
            <v>Re-size</v>
          </cell>
          <cell r="J631" t="str">
            <v>Re-size</v>
          </cell>
          <cell r="K631" t="str">
            <v>Re-size</v>
          </cell>
          <cell r="L631" t="str">
            <v>Re-size</v>
          </cell>
          <cell r="M631" t="str">
            <v>Re-size</v>
          </cell>
          <cell r="N631" t="str">
            <v>Re-size</v>
          </cell>
          <cell r="O631" t="str">
            <v>Re-size</v>
          </cell>
          <cell r="P631" t="str">
            <v>Re-size</v>
          </cell>
          <cell r="Q631" t="str">
            <v>Re-size</v>
          </cell>
          <cell r="R631" t="str">
            <v>Re-size</v>
          </cell>
          <cell r="S631" t="str">
            <v>Re-size</v>
          </cell>
          <cell r="T631" t="str">
            <v>Re-size</v>
          </cell>
          <cell r="U631">
            <v>6.77</v>
          </cell>
          <cell r="V631">
            <v>5.21</v>
          </cell>
          <cell r="X631" t="str">
            <v>Re-size</v>
          </cell>
          <cell r="Y631" t="str">
            <v>Re-size</v>
          </cell>
          <cell r="Z631" t="str">
            <v>Re-size</v>
          </cell>
          <cell r="AA631" t="str">
            <v>Re-size</v>
          </cell>
          <cell r="AB631" t="str">
            <v>Re-size</v>
          </cell>
          <cell r="AC631" t="str">
            <v>Re-size</v>
          </cell>
          <cell r="AD631" t="str">
            <v>Re-size</v>
          </cell>
          <cell r="AE631" t="str">
            <v>Re-size</v>
          </cell>
        </row>
        <row r="632">
          <cell r="B632">
            <v>11.15</v>
          </cell>
          <cell r="C632" t="str">
            <v>Re-size</v>
          </cell>
          <cell r="D632" t="str">
            <v>Re-size</v>
          </cell>
          <cell r="E632" t="str">
            <v>Re-size</v>
          </cell>
          <cell r="F632" t="str">
            <v>Re-size</v>
          </cell>
          <cell r="G632" t="str">
            <v>Re-size</v>
          </cell>
          <cell r="H632" t="str">
            <v>Re-size</v>
          </cell>
          <cell r="I632" t="str">
            <v>Re-size</v>
          </cell>
          <cell r="J632" t="str">
            <v>Re-size</v>
          </cell>
          <cell r="K632" t="str">
            <v>Re-size</v>
          </cell>
          <cell r="L632" t="str">
            <v>Re-size</v>
          </cell>
          <cell r="M632" t="str">
            <v>Re-size</v>
          </cell>
          <cell r="N632" t="str">
            <v>Re-size</v>
          </cell>
          <cell r="O632" t="str">
            <v>Re-size</v>
          </cell>
          <cell r="P632" t="str">
            <v>Re-size</v>
          </cell>
          <cell r="Q632" t="str">
            <v>Re-size</v>
          </cell>
          <cell r="R632" t="str">
            <v>Re-size</v>
          </cell>
          <cell r="S632" t="str">
            <v>Re-size</v>
          </cell>
          <cell r="T632" t="str">
            <v>Re-size</v>
          </cell>
          <cell r="U632">
            <v>6.83</v>
          </cell>
          <cell r="V632">
            <v>5.2549999999999999</v>
          </cell>
          <cell r="X632" t="str">
            <v>Re-size</v>
          </cell>
          <cell r="Y632" t="str">
            <v>Re-size</v>
          </cell>
          <cell r="Z632" t="str">
            <v>Re-size</v>
          </cell>
          <cell r="AA632" t="str">
            <v>Re-size</v>
          </cell>
          <cell r="AB632" t="str">
            <v>Re-size</v>
          </cell>
          <cell r="AC632" t="str">
            <v>Re-size</v>
          </cell>
          <cell r="AD632" t="str">
            <v>Re-size</v>
          </cell>
          <cell r="AE632" t="str">
            <v>Re-size</v>
          </cell>
        </row>
        <row r="633">
          <cell r="B633">
            <v>11.2</v>
          </cell>
          <cell r="C633" t="str">
            <v>Re-size</v>
          </cell>
          <cell r="D633" t="str">
            <v>Re-size</v>
          </cell>
          <cell r="E633" t="str">
            <v>Re-size</v>
          </cell>
          <cell r="F633" t="str">
            <v>Re-size</v>
          </cell>
          <cell r="G633" t="str">
            <v>Re-size</v>
          </cell>
          <cell r="H633" t="str">
            <v>Re-size</v>
          </cell>
          <cell r="I633" t="str">
            <v>Re-size</v>
          </cell>
          <cell r="J633" t="str">
            <v>Re-size</v>
          </cell>
          <cell r="K633" t="str">
            <v>Re-size</v>
          </cell>
          <cell r="L633" t="str">
            <v>Re-size</v>
          </cell>
          <cell r="M633" t="str">
            <v>Re-size</v>
          </cell>
          <cell r="N633" t="str">
            <v>Re-size</v>
          </cell>
          <cell r="O633" t="str">
            <v>Re-size</v>
          </cell>
          <cell r="P633" t="str">
            <v>Re-size</v>
          </cell>
          <cell r="Q633" t="str">
            <v>Re-size</v>
          </cell>
          <cell r="R633" t="str">
            <v>Re-size</v>
          </cell>
          <cell r="S633" t="str">
            <v>Re-size</v>
          </cell>
          <cell r="T633" t="str">
            <v>Re-size</v>
          </cell>
          <cell r="U633">
            <v>6.89</v>
          </cell>
          <cell r="V633">
            <v>5.3</v>
          </cell>
          <cell r="X633" t="str">
            <v>Re-size</v>
          </cell>
          <cell r="Y633" t="str">
            <v>Re-size</v>
          </cell>
          <cell r="Z633" t="str">
            <v>Re-size</v>
          </cell>
          <cell r="AA633" t="str">
            <v>Re-size</v>
          </cell>
          <cell r="AB633" t="str">
            <v>Re-size</v>
          </cell>
          <cell r="AC633" t="str">
            <v>Re-size</v>
          </cell>
          <cell r="AD633" t="str">
            <v>Re-size</v>
          </cell>
          <cell r="AE633" t="str">
            <v>Re-size</v>
          </cell>
        </row>
        <row r="634">
          <cell r="B634">
            <v>11.25</v>
          </cell>
          <cell r="C634" t="str">
            <v>Re-size</v>
          </cell>
          <cell r="D634" t="str">
            <v>Re-size</v>
          </cell>
          <cell r="E634" t="str">
            <v>Re-size</v>
          </cell>
          <cell r="F634" t="str">
            <v>Re-size</v>
          </cell>
          <cell r="G634" t="str">
            <v>Re-size</v>
          </cell>
          <cell r="H634" t="str">
            <v>Re-size</v>
          </cell>
          <cell r="I634" t="str">
            <v>Re-size</v>
          </cell>
          <cell r="J634" t="str">
            <v>Re-size</v>
          </cell>
          <cell r="K634" t="str">
            <v>Re-size</v>
          </cell>
          <cell r="L634" t="str">
            <v>Re-size</v>
          </cell>
          <cell r="M634" t="str">
            <v>Re-size</v>
          </cell>
          <cell r="N634" t="str">
            <v>Re-size</v>
          </cell>
          <cell r="O634" t="str">
            <v>Re-size</v>
          </cell>
          <cell r="P634" t="str">
            <v>Re-size</v>
          </cell>
          <cell r="Q634" t="str">
            <v>Re-size</v>
          </cell>
          <cell r="R634" t="str">
            <v>Re-size</v>
          </cell>
          <cell r="S634" t="str">
            <v>Re-size</v>
          </cell>
          <cell r="T634" t="str">
            <v>Re-size</v>
          </cell>
          <cell r="U634">
            <v>6.9550000000000001</v>
          </cell>
          <cell r="V634">
            <v>5.35</v>
          </cell>
          <cell r="X634" t="str">
            <v>Re-size</v>
          </cell>
          <cell r="Y634" t="str">
            <v>Re-size</v>
          </cell>
          <cell r="Z634" t="str">
            <v>Re-size</v>
          </cell>
          <cell r="AA634" t="str">
            <v>Re-size</v>
          </cell>
          <cell r="AB634" t="str">
            <v>Re-size</v>
          </cell>
          <cell r="AC634" t="str">
            <v>Re-size</v>
          </cell>
          <cell r="AD634" t="str">
            <v>Re-size</v>
          </cell>
          <cell r="AE634" t="str">
            <v>Re-size</v>
          </cell>
        </row>
        <row r="635">
          <cell r="B635">
            <v>11.3</v>
          </cell>
          <cell r="C635" t="str">
            <v>Re-size</v>
          </cell>
          <cell r="D635" t="str">
            <v>Re-size</v>
          </cell>
          <cell r="E635" t="str">
            <v>Re-size</v>
          </cell>
          <cell r="F635" t="str">
            <v>Re-size</v>
          </cell>
          <cell r="G635" t="str">
            <v>Re-size</v>
          </cell>
          <cell r="H635" t="str">
            <v>Re-size</v>
          </cell>
          <cell r="I635" t="str">
            <v>Re-size</v>
          </cell>
          <cell r="J635" t="str">
            <v>Re-size</v>
          </cell>
          <cell r="K635" t="str">
            <v>Re-size</v>
          </cell>
          <cell r="L635" t="str">
            <v>Re-size</v>
          </cell>
          <cell r="M635" t="str">
            <v>Re-size</v>
          </cell>
          <cell r="N635" t="str">
            <v>Re-size</v>
          </cell>
          <cell r="O635" t="str">
            <v>Re-size</v>
          </cell>
          <cell r="P635" t="str">
            <v>Re-size</v>
          </cell>
          <cell r="Q635" t="str">
            <v>Re-size</v>
          </cell>
          <cell r="R635" t="str">
            <v>Re-size</v>
          </cell>
          <cell r="S635" t="str">
            <v>Re-size</v>
          </cell>
          <cell r="T635" t="str">
            <v>Re-size</v>
          </cell>
          <cell r="U635">
            <v>7.02</v>
          </cell>
          <cell r="V635">
            <v>5.4</v>
          </cell>
          <cell r="X635" t="str">
            <v>Re-size</v>
          </cell>
          <cell r="Y635" t="str">
            <v>Re-size</v>
          </cell>
          <cell r="Z635" t="str">
            <v>Re-size</v>
          </cell>
          <cell r="AA635" t="str">
            <v>Re-size</v>
          </cell>
          <cell r="AB635" t="str">
            <v>Re-size</v>
          </cell>
          <cell r="AC635" t="str">
            <v>Re-size</v>
          </cell>
          <cell r="AD635" t="str">
            <v>Re-size</v>
          </cell>
          <cell r="AE635" t="str">
            <v>Re-size</v>
          </cell>
        </row>
        <row r="636">
          <cell r="B636">
            <v>11.35</v>
          </cell>
          <cell r="C636" t="str">
            <v>Re-size</v>
          </cell>
          <cell r="D636" t="str">
            <v>Re-size</v>
          </cell>
          <cell r="E636" t="str">
            <v>Re-size</v>
          </cell>
          <cell r="F636" t="str">
            <v>Re-size</v>
          </cell>
          <cell r="G636" t="str">
            <v>Re-size</v>
          </cell>
          <cell r="H636" t="str">
            <v>Re-size</v>
          </cell>
          <cell r="I636" t="str">
            <v>Re-size</v>
          </cell>
          <cell r="J636" t="str">
            <v>Re-size</v>
          </cell>
          <cell r="K636" t="str">
            <v>Re-size</v>
          </cell>
          <cell r="L636" t="str">
            <v>Re-size</v>
          </cell>
          <cell r="M636" t="str">
            <v>Re-size</v>
          </cell>
          <cell r="N636" t="str">
            <v>Re-size</v>
          </cell>
          <cell r="O636" t="str">
            <v>Re-size</v>
          </cell>
          <cell r="P636" t="str">
            <v>Re-size</v>
          </cell>
          <cell r="Q636" t="str">
            <v>Re-size</v>
          </cell>
          <cell r="R636" t="str">
            <v>Re-size</v>
          </cell>
          <cell r="S636" t="str">
            <v>Re-size</v>
          </cell>
          <cell r="T636" t="str">
            <v>Re-size</v>
          </cell>
          <cell r="U636">
            <v>7.06</v>
          </cell>
          <cell r="V636">
            <v>5.43</v>
          </cell>
          <cell r="X636" t="str">
            <v>Re-size</v>
          </cell>
          <cell r="Y636" t="str">
            <v>Re-size</v>
          </cell>
          <cell r="Z636" t="str">
            <v>Re-size</v>
          </cell>
          <cell r="AA636" t="str">
            <v>Re-size</v>
          </cell>
          <cell r="AB636" t="str">
            <v>Re-size</v>
          </cell>
          <cell r="AC636" t="str">
            <v>Re-size</v>
          </cell>
          <cell r="AD636" t="str">
            <v>Re-size</v>
          </cell>
          <cell r="AE636" t="str">
            <v>Re-size</v>
          </cell>
        </row>
        <row r="637">
          <cell r="B637">
            <v>11.4</v>
          </cell>
          <cell r="C637" t="str">
            <v>Re-size</v>
          </cell>
          <cell r="D637" t="str">
            <v>Re-size</v>
          </cell>
          <cell r="E637" t="str">
            <v>Re-size</v>
          </cell>
          <cell r="F637" t="str">
            <v>Re-size</v>
          </cell>
          <cell r="G637" t="str">
            <v>Re-size</v>
          </cell>
          <cell r="H637" t="str">
            <v>Re-size</v>
          </cell>
          <cell r="I637" t="str">
            <v>Re-size</v>
          </cell>
          <cell r="J637" t="str">
            <v>Re-size</v>
          </cell>
          <cell r="K637" t="str">
            <v>Re-size</v>
          </cell>
          <cell r="L637" t="str">
            <v>Re-size</v>
          </cell>
          <cell r="M637" t="str">
            <v>Re-size</v>
          </cell>
          <cell r="N637" t="str">
            <v>Re-size</v>
          </cell>
          <cell r="O637" t="str">
            <v>Re-size</v>
          </cell>
          <cell r="P637" t="str">
            <v>Re-size</v>
          </cell>
          <cell r="Q637" t="str">
            <v>Re-size</v>
          </cell>
          <cell r="R637" t="str">
            <v>Re-size</v>
          </cell>
          <cell r="S637" t="str">
            <v>Re-size</v>
          </cell>
          <cell r="T637" t="str">
            <v>Re-size</v>
          </cell>
          <cell r="U637">
            <v>7.1</v>
          </cell>
          <cell r="V637">
            <v>5.46</v>
          </cell>
          <cell r="X637" t="str">
            <v>Re-size</v>
          </cell>
          <cell r="Y637" t="str">
            <v>Re-size</v>
          </cell>
          <cell r="Z637" t="str">
            <v>Re-size</v>
          </cell>
          <cell r="AA637" t="str">
            <v>Re-size</v>
          </cell>
          <cell r="AB637" t="str">
            <v>Re-size</v>
          </cell>
          <cell r="AC637" t="str">
            <v>Re-size</v>
          </cell>
          <cell r="AD637" t="str">
            <v>Re-size</v>
          </cell>
          <cell r="AE637" t="str">
            <v>Re-size</v>
          </cell>
        </row>
        <row r="638">
          <cell r="B638">
            <v>11.45</v>
          </cell>
          <cell r="C638" t="str">
            <v>Re-size</v>
          </cell>
          <cell r="D638" t="str">
            <v>Re-size</v>
          </cell>
          <cell r="E638" t="str">
            <v>Re-size</v>
          </cell>
          <cell r="F638" t="str">
            <v>Re-size</v>
          </cell>
          <cell r="G638" t="str">
            <v>Re-size</v>
          </cell>
          <cell r="H638" t="str">
            <v>Re-size</v>
          </cell>
          <cell r="I638" t="str">
            <v>Re-size</v>
          </cell>
          <cell r="J638" t="str">
            <v>Re-size</v>
          </cell>
          <cell r="K638" t="str">
            <v>Re-size</v>
          </cell>
          <cell r="L638" t="str">
            <v>Re-size</v>
          </cell>
          <cell r="M638" t="str">
            <v>Re-size</v>
          </cell>
          <cell r="N638" t="str">
            <v>Re-size</v>
          </cell>
          <cell r="O638" t="str">
            <v>Re-size</v>
          </cell>
          <cell r="P638" t="str">
            <v>Re-size</v>
          </cell>
          <cell r="Q638" t="str">
            <v>Re-size</v>
          </cell>
          <cell r="R638" t="str">
            <v>Re-size</v>
          </cell>
          <cell r="S638" t="str">
            <v>Re-size</v>
          </cell>
          <cell r="T638" t="str">
            <v>Re-size</v>
          </cell>
          <cell r="U638">
            <v>7.165</v>
          </cell>
          <cell r="V638">
            <v>5.51</v>
          </cell>
          <cell r="X638" t="str">
            <v>Re-size</v>
          </cell>
          <cell r="Y638" t="str">
            <v>Re-size</v>
          </cell>
          <cell r="Z638" t="str">
            <v>Re-size</v>
          </cell>
          <cell r="AA638" t="str">
            <v>Re-size</v>
          </cell>
          <cell r="AB638" t="str">
            <v>Re-size</v>
          </cell>
          <cell r="AC638" t="str">
            <v>Re-size</v>
          </cell>
          <cell r="AD638" t="str">
            <v>Re-size</v>
          </cell>
          <cell r="AE638" t="str">
            <v>Re-size</v>
          </cell>
        </row>
        <row r="639">
          <cell r="B639">
            <v>11.5</v>
          </cell>
          <cell r="C639" t="str">
            <v>Re-size</v>
          </cell>
          <cell r="D639" t="str">
            <v>Re-size</v>
          </cell>
          <cell r="E639" t="str">
            <v>Re-size</v>
          </cell>
          <cell r="F639" t="str">
            <v>Re-size</v>
          </cell>
          <cell r="G639" t="str">
            <v>Re-size</v>
          </cell>
          <cell r="H639" t="str">
            <v>Re-size</v>
          </cell>
          <cell r="I639" t="str">
            <v>Re-size</v>
          </cell>
          <cell r="J639" t="str">
            <v>Re-size</v>
          </cell>
          <cell r="K639" t="str">
            <v>Re-size</v>
          </cell>
          <cell r="L639" t="str">
            <v>Re-size</v>
          </cell>
          <cell r="M639" t="str">
            <v>Re-size</v>
          </cell>
          <cell r="N639" t="str">
            <v>Re-size</v>
          </cell>
          <cell r="O639" t="str">
            <v>Re-size</v>
          </cell>
          <cell r="P639" t="str">
            <v>Re-size</v>
          </cell>
          <cell r="Q639" t="str">
            <v>Re-size</v>
          </cell>
          <cell r="R639" t="str">
            <v>Re-size</v>
          </cell>
          <cell r="S639" t="str">
            <v>Re-size</v>
          </cell>
          <cell r="T639" t="str">
            <v>Re-size</v>
          </cell>
          <cell r="U639">
            <v>7.23</v>
          </cell>
          <cell r="V639">
            <v>5.56</v>
          </cell>
          <cell r="X639" t="str">
            <v>Re-size</v>
          </cell>
          <cell r="Y639" t="str">
            <v>Re-size</v>
          </cell>
          <cell r="Z639" t="str">
            <v>Re-size</v>
          </cell>
          <cell r="AA639" t="str">
            <v>Re-size</v>
          </cell>
          <cell r="AB639" t="str">
            <v>Re-size</v>
          </cell>
          <cell r="AC639" t="str">
            <v>Re-size</v>
          </cell>
          <cell r="AD639" t="str">
            <v>Re-size</v>
          </cell>
          <cell r="AE639" t="str">
            <v>Re-size</v>
          </cell>
        </row>
        <row r="640">
          <cell r="B640">
            <v>11.55</v>
          </cell>
          <cell r="C640" t="str">
            <v>Re-size</v>
          </cell>
          <cell r="D640" t="str">
            <v>Re-size</v>
          </cell>
          <cell r="E640" t="str">
            <v>Re-size</v>
          </cell>
          <cell r="F640" t="str">
            <v>Re-size</v>
          </cell>
          <cell r="G640" t="str">
            <v>Re-size</v>
          </cell>
          <cell r="H640" t="str">
            <v>Re-size</v>
          </cell>
          <cell r="I640" t="str">
            <v>Re-size</v>
          </cell>
          <cell r="J640" t="str">
            <v>Re-size</v>
          </cell>
          <cell r="K640" t="str">
            <v>Re-size</v>
          </cell>
          <cell r="L640" t="str">
            <v>Re-size</v>
          </cell>
          <cell r="M640" t="str">
            <v>Re-size</v>
          </cell>
          <cell r="N640" t="str">
            <v>Re-size</v>
          </cell>
          <cell r="O640" t="str">
            <v>Re-size</v>
          </cell>
          <cell r="P640" t="str">
            <v>Re-size</v>
          </cell>
          <cell r="Q640" t="str">
            <v>Re-size</v>
          </cell>
          <cell r="R640" t="str">
            <v>Re-size</v>
          </cell>
          <cell r="S640" t="str">
            <v>Re-size</v>
          </cell>
          <cell r="T640" t="str">
            <v>Re-size</v>
          </cell>
          <cell r="U640">
            <v>7.29</v>
          </cell>
          <cell r="V640">
            <v>5.61</v>
          </cell>
          <cell r="X640" t="str">
            <v>Re-size</v>
          </cell>
          <cell r="Y640" t="str">
            <v>Re-size</v>
          </cell>
          <cell r="Z640" t="str">
            <v>Re-size</v>
          </cell>
          <cell r="AA640" t="str">
            <v>Re-size</v>
          </cell>
          <cell r="AB640" t="str">
            <v>Re-size</v>
          </cell>
          <cell r="AC640" t="str">
            <v>Re-size</v>
          </cell>
          <cell r="AD640" t="str">
            <v>Re-size</v>
          </cell>
          <cell r="AE640" t="str">
            <v>Re-size</v>
          </cell>
        </row>
        <row r="641">
          <cell r="B641">
            <v>11.6</v>
          </cell>
          <cell r="C641" t="str">
            <v>Re-size</v>
          </cell>
          <cell r="D641" t="str">
            <v>Re-size</v>
          </cell>
          <cell r="E641" t="str">
            <v>Re-size</v>
          </cell>
          <cell r="F641" t="str">
            <v>Re-size</v>
          </cell>
          <cell r="G641" t="str">
            <v>Re-size</v>
          </cell>
          <cell r="H641" t="str">
            <v>Re-size</v>
          </cell>
          <cell r="I641" t="str">
            <v>Re-size</v>
          </cell>
          <cell r="J641" t="str">
            <v>Re-size</v>
          </cell>
          <cell r="K641" t="str">
            <v>Re-size</v>
          </cell>
          <cell r="L641" t="str">
            <v>Re-size</v>
          </cell>
          <cell r="M641" t="str">
            <v>Re-size</v>
          </cell>
          <cell r="N641" t="str">
            <v>Re-size</v>
          </cell>
          <cell r="O641" t="str">
            <v>Re-size</v>
          </cell>
          <cell r="P641" t="str">
            <v>Re-size</v>
          </cell>
          <cell r="Q641" t="str">
            <v>Re-size</v>
          </cell>
          <cell r="R641" t="str">
            <v>Re-size</v>
          </cell>
          <cell r="S641" t="str">
            <v>Re-size</v>
          </cell>
          <cell r="T641" t="str">
            <v>Re-size</v>
          </cell>
          <cell r="U641">
            <v>7.35</v>
          </cell>
          <cell r="V641">
            <v>5.66</v>
          </cell>
          <cell r="X641" t="str">
            <v>Re-size</v>
          </cell>
          <cell r="Y641" t="str">
            <v>Re-size</v>
          </cell>
          <cell r="Z641" t="str">
            <v>Re-size</v>
          </cell>
          <cell r="AA641" t="str">
            <v>Re-size</v>
          </cell>
          <cell r="AB641" t="str">
            <v>Re-size</v>
          </cell>
          <cell r="AC641" t="str">
            <v>Re-size</v>
          </cell>
          <cell r="AD641" t="str">
            <v>Re-size</v>
          </cell>
          <cell r="AE641" t="str">
            <v>Re-size</v>
          </cell>
        </row>
        <row r="642">
          <cell r="B642">
            <v>11.65</v>
          </cell>
          <cell r="C642" t="str">
            <v>Re-size</v>
          </cell>
          <cell r="D642" t="str">
            <v>Re-size</v>
          </cell>
          <cell r="E642" t="str">
            <v>Re-size</v>
          </cell>
          <cell r="F642" t="str">
            <v>Re-size</v>
          </cell>
          <cell r="G642" t="str">
            <v>Re-size</v>
          </cell>
          <cell r="H642" t="str">
            <v>Re-size</v>
          </cell>
          <cell r="I642" t="str">
            <v>Re-size</v>
          </cell>
          <cell r="J642" t="str">
            <v>Re-size</v>
          </cell>
          <cell r="K642" t="str">
            <v>Re-size</v>
          </cell>
          <cell r="L642" t="str">
            <v>Re-size</v>
          </cell>
          <cell r="M642" t="str">
            <v>Re-size</v>
          </cell>
          <cell r="N642" t="str">
            <v>Re-size</v>
          </cell>
          <cell r="O642" t="str">
            <v>Re-size</v>
          </cell>
          <cell r="P642" t="str">
            <v>Re-size</v>
          </cell>
          <cell r="Q642" t="str">
            <v>Re-size</v>
          </cell>
          <cell r="R642" t="str">
            <v>Re-size</v>
          </cell>
          <cell r="S642" t="str">
            <v>Re-size</v>
          </cell>
          <cell r="T642" t="str">
            <v>Re-size</v>
          </cell>
          <cell r="U642">
            <v>7.415</v>
          </cell>
          <cell r="V642">
            <v>5.7050000000000001</v>
          </cell>
          <cell r="X642" t="str">
            <v>Re-size</v>
          </cell>
          <cell r="Y642" t="str">
            <v>Re-size</v>
          </cell>
          <cell r="Z642" t="str">
            <v>Re-size</v>
          </cell>
          <cell r="AA642" t="str">
            <v>Re-size</v>
          </cell>
          <cell r="AB642" t="str">
            <v>Re-size</v>
          </cell>
          <cell r="AC642" t="str">
            <v>Re-size</v>
          </cell>
          <cell r="AD642" t="str">
            <v>Re-size</v>
          </cell>
          <cell r="AE642" t="str">
            <v>Re-size</v>
          </cell>
        </row>
        <row r="643">
          <cell r="B643">
            <v>11.7</v>
          </cell>
          <cell r="C643" t="str">
            <v>Re-size</v>
          </cell>
          <cell r="D643" t="str">
            <v>Re-size</v>
          </cell>
          <cell r="E643" t="str">
            <v>Re-size</v>
          </cell>
          <cell r="F643" t="str">
            <v>Re-size</v>
          </cell>
          <cell r="G643" t="str">
            <v>Re-size</v>
          </cell>
          <cell r="H643" t="str">
            <v>Re-size</v>
          </cell>
          <cell r="I643" t="str">
            <v>Re-size</v>
          </cell>
          <cell r="J643" t="str">
            <v>Re-size</v>
          </cell>
          <cell r="K643" t="str">
            <v>Re-size</v>
          </cell>
          <cell r="L643" t="str">
            <v>Re-size</v>
          </cell>
          <cell r="M643" t="str">
            <v>Re-size</v>
          </cell>
          <cell r="N643" t="str">
            <v>Re-size</v>
          </cell>
          <cell r="O643" t="str">
            <v>Re-size</v>
          </cell>
          <cell r="P643" t="str">
            <v>Re-size</v>
          </cell>
          <cell r="Q643" t="str">
            <v>Re-size</v>
          </cell>
          <cell r="R643" t="str">
            <v>Re-size</v>
          </cell>
          <cell r="S643" t="str">
            <v>Re-size</v>
          </cell>
          <cell r="T643" t="str">
            <v>Re-size</v>
          </cell>
          <cell r="U643">
            <v>7.48</v>
          </cell>
          <cell r="V643">
            <v>5.75</v>
          </cell>
          <cell r="X643" t="str">
            <v>Re-size</v>
          </cell>
          <cell r="Y643" t="str">
            <v>Re-size</v>
          </cell>
          <cell r="Z643" t="str">
            <v>Re-size</v>
          </cell>
          <cell r="AA643" t="str">
            <v>Re-size</v>
          </cell>
          <cell r="AB643" t="str">
            <v>Re-size</v>
          </cell>
          <cell r="AC643" t="str">
            <v>Re-size</v>
          </cell>
          <cell r="AD643" t="str">
            <v>Re-size</v>
          </cell>
          <cell r="AE643" t="str">
            <v>Re-size</v>
          </cell>
        </row>
        <row r="644">
          <cell r="B644">
            <v>11.75</v>
          </cell>
          <cell r="C644" t="str">
            <v>Re-size</v>
          </cell>
          <cell r="D644" t="str">
            <v>Re-size</v>
          </cell>
          <cell r="E644" t="str">
            <v>Re-size</v>
          </cell>
          <cell r="F644" t="str">
            <v>Re-size</v>
          </cell>
          <cell r="G644" t="str">
            <v>Re-size</v>
          </cell>
          <cell r="H644" t="str">
            <v>Re-size</v>
          </cell>
          <cell r="I644" t="str">
            <v>Re-size</v>
          </cell>
          <cell r="J644" t="str">
            <v>Re-size</v>
          </cell>
          <cell r="K644" t="str">
            <v>Re-size</v>
          </cell>
          <cell r="L644" t="str">
            <v>Re-size</v>
          </cell>
          <cell r="M644" t="str">
            <v>Re-size</v>
          </cell>
          <cell r="N644" t="str">
            <v>Re-size</v>
          </cell>
          <cell r="O644" t="str">
            <v>Re-size</v>
          </cell>
          <cell r="P644" t="str">
            <v>Re-size</v>
          </cell>
          <cell r="Q644" t="str">
            <v>Re-size</v>
          </cell>
          <cell r="R644" t="str">
            <v>Re-size</v>
          </cell>
          <cell r="S644" t="str">
            <v>Re-size</v>
          </cell>
          <cell r="T644" t="str">
            <v>Re-size</v>
          </cell>
          <cell r="U644">
            <v>7.52</v>
          </cell>
          <cell r="V644">
            <v>5.7850000000000001</v>
          </cell>
          <cell r="X644" t="str">
            <v>Re-size</v>
          </cell>
          <cell r="Y644" t="str">
            <v>Re-size</v>
          </cell>
          <cell r="Z644" t="str">
            <v>Re-size</v>
          </cell>
          <cell r="AA644" t="str">
            <v>Re-size</v>
          </cell>
          <cell r="AB644" t="str">
            <v>Re-size</v>
          </cell>
          <cell r="AC644" t="str">
            <v>Re-size</v>
          </cell>
          <cell r="AD644" t="str">
            <v>Re-size</v>
          </cell>
          <cell r="AE644" t="str">
            <v>Re-size</v>
          </cell>
        </row>
        <row r="645">
          <cell r="B645">
            <v>11.8</v>
          </cell>
          <cell r="C645" t="str">
            <v>Re-size</v>
          </cell>
          <cell r="D645" t="str">
            <v>Re-size</v>
          </cell>
          <cell r="E645" t="str">
            <v>Re-size</v>
          </cell>
          <cell r="F645" t="str">
            <v>Re-size</v>
          </cell>
          <cell r="G645" t="str">
            <v>Re-size</v>
          </cell>
          <cell r="H645" t="str">
            <v>Re-size</v>
          </cell>
          <cell r="I645" t="str">
            <v>Re-size</v>
          </cell>
          <cell r="J645" t="str">
            <v>Re-size</v>
          </cell>
          <cell r="K645" t="str">
            <v>Re-size</v>
          </cell>
          <cell r="L645" t="str">
            <v>Re-size</v>
          </cell>
          <cell r="M645" t="str">
            <v>Re-size</v>
          </cell>
          <cell r="N645" t="str">
            <v>Re-size</v>
          </cell>
          <cell r="O645" t="str">
            <v>Re-size</v>
          </cell>
          <cell r="P645" t="str">
            <v>Re-size</v>
          </cell>
          <cell r="Q645" t="str">
            <v>Re-size</v>
          </cell>
          <cell r="R645" t="str">
            <v>Re-size</v>
          </cell>
          <cell r="S645" t="str">
            <v>Re-size</v>
          </cell>
          <cell r="T645" t="str">
            <v>Re-size</v>
          </cell>
          <cell r="U645">
            <v>7.56</v>
          </cell>
          <cell r="V645">
            <v>5.82</v>
          </cell>
          <cell r="X645" t="str">
            <v>Re-size</v>
          </cell>
          <cell r="Y645" t="str">
            <v>Re-size</v>
          </cell>
          <cell r="Z645" t="str">
            <v>Re-size</v>
          </cell>
          <cell r="AA645" t="str">
            <v>Re-size</v>
          </cell>
          <cell r="AB645" t="str">
            <v>Re-size</v>
          </cell>
          <cell r="AC645" t="str">
            <v>Re-size</v>
          </cell>
          <cell r="AD645" t="str">
            <v>Re-size</v>
          </cell>
          <cell r="AE645" t="str">
            <v>Re-size</v>
          </cell>
        </row>
        <row r="646">
          <cell r="B646">
            <v>11.85</v>
          </cell>
          <cell r="C646" t="str">
            <v>Re-size</v>
          </cell>
          <cell r="D646" t="str">
            <v>Re-size</v>
          </cell>
          <cell r="E646" t="str">
            <v>Re-size</v>
          </cell>
          <cell r="F646" t="str">
            <v>Re-size</v>
          </cell>
          <cell r="G646" t="str">
            <v>Re-size</v>
          </cell>
          <cell r="H646" t="str">
            <v>Re-size</v>
          </cell>
          <cell r="I646" t="str">
            <v>Re-size</v>
          </cell>
          <cell r="J646" t="str">
            <v>Re-size</v>
          </cell>
          <cell r="K646" t="str">
            <v>Re-size</v>
          </cell>
          <cell r="L646" t="str">
            <v>Re-size</v>
          </cell>
          <cell r="M646" t="str">
            <v>Re-size</v>
          </cell>
          <cell r="N646" t="str">
            <v>Re-size</v>
          </cell>
          <cell r="O646" t="str">
            <v>Re-size</v>
          </cell>
          <cell r="P646" t="str">
            <v>Re-size</v>
          </cell>
          <cell r="Q646" t="str">
            <v>Re-size</v>
          </cell>
          <cell r="R646" t="str">
            <v>Re-size</v>
          </cell>
          <cell r="S646" t="str">
            <v>Re-size</v>
          </cell>
          <cell r="T646" t="str">
            <v>Re-size</v>
          </cell>
          <cell r="U646">
            <v>7.625</v>
          </cell>
          <cell r="V646">
            <v>5.87</v>
          </cell>
          <cell r="X646" t="str">
            <v>Re-size</v>
          </cell>
          <cell r="Y646" t="str">
            <v>Re-size</v>
          </cell>
          <cell r="Z646" t="str">
            <v>Re-size</v>
          </cell>
          <cell r="AA646" t="str">
            <v>Re-size</v>
          </cell>
          <cell r="AB646" t="str">
            <v>Re-size</v>
          </cell>
          <cell r="AC646" t="str">
            <v>Re-size</v>
          </cell>
          <cell r="AD646" t="str">
            <v>Re-size</v>
          </cell>
          <cell r="AE646" t="str">
            <v>Re-size</v>
          </cell>
        </row>
        <row r="647">
          <cell r="B647">
            <v>11.9</v>
          </cell>
          <cell r="C647" t="str">
            <v>Re-size</v>
          </cell>
          <cell r="D647" t="str">
            <v>Re-size</v>
          </cell>
          <cell r="E647" t="str">
            <v>Re-size</v>
          </cell>
          <cell r="F647" t="str">
            <v>Re-size</v>
          </cell>
          <cell r="G647" t="str">
            <v>Re-size</v>
          </cell>
          <cell r="H647" t="str">
            <v>Re-size</v>
          </cell>
          <cell r="I647" t="str">
            <v>Re-size</v>
          </cell>
          <cell r="J647" t="str">
            <v>Re-size</v>
          </cell>
          <cell r="K647" t="str">
            <v>Re-size</v>
          </cell>
          <cell r="L647" t="str">
            <v>Re-size</v>
          </cell>
          <cell r="M647" t="str">
            <v>Re-size</v>
          </cell>
          <cell r="N647" t="str">
            <v>Re-size</v>
          </cell>
          <cell r="O647" t="str">
            <v>Re-size</v>
          </cell>
          <cell r="P647" t="str">
            <v>Re-size</v>
          </cell>
          <cell r="Q647" t="str">
            <v>Re-size</v>
          </cell>
          <cell r="R647" t="str">
            <v>Re-size</v>
          </cell>
          <cell r="S647" t="str">
            <v>Re-size</v>
          </cell>
          <cell r="T647" t="str">
            <v>Re-size</v>
          </cell>
          <cell r="U647">
            <v>7.69</v>
          </cell>
          <cell r="V647">
            <v>5.92</v>
          </cell>
          <cell r="X647" t="str">
            <v>Re-size</v>
          </cell>
          <cell r="Y647" t="str">
            <v>Re-size</v>
          </cell>
          <cell r="Z647" t="str">
            <v>Re-size</v>
          </cell>
          <cell r="AA647" t="str">
            <v>Re-size</v>
          </cell>
          <cell r="AB647" t="str">
            <v>Re-size</v>
          </cell>
          <cell r="AC647" t="str">
            <v>Re-size</v>
          </cell>
          <cell r="AD647" t="str">
            <v>Re-size</v>
          </cell>
          <cell r="AE647" t="str">
            <v>Re-size</v>
          </cell>
        </row>
        <row r="648">
          <cell r="B648">
            <v>11.95</v>
          </cell>
          <cell r="C648" t="str">
            <v>Re-size</v>
          </cell>
          <cell r="D648" t="str">
            <v>Re-size</v>
          </cell>
          <cell r="E648" t="str">
            <v>Re-size</v>
          </cell>
          <cell r="F648" t="str">
            <v>Re-size</v>
          </cell>
          <cell r="G648" t="str">
            <v>Re-size</v>
          </cell>
          <cell r="H648" t="str">
            <v>Re-size</v>
          </cell>
          <cell r="I648" t="str">
            <v>Re-size</v>
          </cell>
          <cell r="J648" t="str">
            <v>Re-size</v>
          </cell>
          <cell r="K648" t="str">
            <v>Re-size</v>
          </cell>
          <cell r="L648" t="str">
            <v>Re-size</v>
          </cell>
          <cell r="M648" t="str">
            <v>Re-size</v>
          </cell>
          <cell r="N648" t="str">
            <v>Re-size</v>
          </cell>
          <cell r="O648" t="str">
            <v>Re-size</v>
          </cell>
          <cell r="P648" t="str">
            <v>Re-size</v>
          </cell>
          <cell r="Q648" t="str">
            <v>Re-size</v>
          </cell>
          <cell r="R648" t="str">
            <v>Re-size</v>
          </cell>
          <cell r="S648" t="str">
            <v>Re-size</v>
          </cell>
          <cell r="T648" t="str">
            <v>Re-size</v>
          </cell>
          <cell r="U648">
            <v>7.7549999999999999</v>
          </cell>
          <cell r="V648">
            <v>5.97</v>
          </cell>
          <cell r="X648" t="str">
            <v>Re-size</v>
          </cell>
          <cell r="Y648" t="str">
            <v>Re-size</v>
          </cell>
          <cell r="Z648" t="str">
            <v>Re-size</v>
          </cell>
          <cell r="AA648" t="str">
            <v>Re-size</v>
          </cell>
          <cell r="AB648" t="str">
            <v>Re-size</v>
          </cell>
          <cell r="AC648" t="str">
            <v>Re-size</v>
          </cell>
          <cell r="AD648" t="str">
            <v>Re-size</v>
          </cell>
          <cell r="AE648" t="str">
            <v>Re-size</v>
          </cell>
        </row>
        <row r="649">
          <cell r="B649">
            <v>12</v>
          </cell>
          <cell r="C649" t="str">
            <v>Re-size</v>
          </cell>
          <cell r="D649" t="str">
            <v>Re-size</v>
          </cell>
          <cell r="E649" t="str">
            <v>Re-size</v>
          </cell>
          <cell r="F649" t="str">
            <v>Re-size</v>
          </cell>
          <cell r="G649" t="str">
            <v>Re-size</v>
          </cell>
          <cell r="H649" t="str">
            <v>Re-size</v>
          </cell>
          <cell r="I649" t="str">
            <v>Re-size</v>
          </cell>
          <cell r="J649" t="str">
            <v>Re-size</v>
          </cell>
          <cell r="K649" t="str">
            <v>Re-size</v>
          </cell>
          <cell r="L649" t="str">
            <v>Re-size</v>
          </cell>
          <cell r="M649" t="str">
            <v>Re-size</v>
          </cell>
          <cell r="N649" t="str">
            <v>Re-size</v>
          </cell>
          <cell r="O649" t="str">
            <v>Re-size</v>
          </cell>
          <cell r="P649" t="str">
            <v>Re-size</v>
          </cell>
          <cell r="Q649" t="str">
            <v>Re-size</v>
          </cell>
          <cell r="R649" t="str">
            <v>Re-size</v>
          </cell>
          <cell r="S649" t="str">
            <v>Re-size</v>
          </cell>
          <cell r="T649" t="str">
            <v>Re-size</v>
          </cell>
          <cell r="U649">
            <v>7.82</v>
          </cell>
          <cell r="V649">
            <v>6.02</v>
          </cell>
          <cell r="X649" t="str">
            <v>Re-size</v>
          </cell>
          <cell r="Y649" t="str">
            <v>Re-size</v>
          </cell>
          <cell r="Z649" t="str">
            <v>Re-size</v>
          </cell>
          <cell r="AA649" t="str">
            <v>Re-size</v>
          </cell>
          <cell r="AB649" t="str">
            <v>Re-size</v>
          </cell>
          <cell r="AC649" t="str">
            <v>Re-size</v>
          </cell>
          <cell r="AD649" t="str">
            <v>Re-size</v>
          </cell>
          <cell r="AE649" t="str">
            <v>Re-size</v>
          </cell>
        </row>
        <row r="650">
          <cell r="B650">
            <v>12.05</v>
          </cell>
          <cell r="C650" t="str">
            <v>Re-size</v>
          </cell>
          <cell r="D650" t="str">
            <v>Re-size</v>
          </cell>
          <cell r="E650" t="str">
            <v>Re-size</v>
          </cell>
          <cell r="F650" t="str">
            <v>Re-size</v>
          </cell>
          <cell r="G650" t="str">
            <v>Re-size</v>
          </cell>
          <cell r="H650" t="str">
            <v>Re-size</v>
          </cell>
          <cell r="I650" t="str">
            <v>Re-size</v>
          </cell>
          <cell r="J650" t="str">
            <v>Re-size</v>
          </cell>
          <cell r="K650" t="str">
            <v>Re-size</v>
          </cell>
          <cell r="L650" t="str">
            <v>Re-size</v>
          </cell>
          <cell r="M650" t="str">
            <v>Re-size</v>
          </cell>
          <cell r="N650" t="str">
            <v>Re-size</v>
          </cell>
          <cell r="O650" t="str">
            <v>Re-size</v>
          </cell>
          <cell r="P650" t="str">
            <v>Re-size</v>
          </cell>
          <cell r="Q650" t="str">
            <v>Re-size</v>
          </cell>
          <cell r="R650" t="str">
            <v>Re-size</v>
          </cell>
          <cell r="S650" t="str">
            <v>Re-size</v>
          </cell>
          <cell r="T650" t="str">
            <v>Re-size</v>
          </cell>
          <cell r="U650">
            <v>7.8849999999999998</v>
          </cell>
          <cell r="V650">
            <v>6.07</v>
          </cell>
          <cell r="X650" t="str">
            <v>Re-size</v>
          </cell>
          <cell r="Y650" t="str">
            <v>Re-size</v>
          </cell>
          <cell r="Z650" t="str">
            <v>Re-size</v>
          </cell>
          <cell r="AA650" t="str">
            <v>Re-size</v>
          </cell>
          <cell r="AB650" t="str">
            <v>Re-size</v>
          </cell>
          <cell r="AC650" t="str">
            <v>Re-size</v>
          </cell>
          <cell r="AD650" t="str">
            <v>Re-size</v>
          </cell>
          <cell r="AE650" t="str">
            <v>Re-size</v>
          </cell>
        </row>
        <row r="651">
          <cell r="B651">
            <v>12.1</v>
          </cell>
          <cell r="C651" t="str">
            <v>Re-size</v>
          </cell>
          <cell r="D651" t="str">
            <v>Re-size</v>
          </cell>
          <cell r="E651" t="str">
            <v>Re-size</v>
          </cell>
          <cell r="F651" t="str">
            <v>Re-size</v>
          </cell>
          <cell r="G651" t="str">
            <v>Re-size</v>
          </cell>
          <cell r="H651" t="str">
            <v>Re-size</v>
          </cell>
          <cell r="I651" t="str">
            <v>Re-size</v>
          </cell>
          <cell r="J651" t="str">
            <v>Re-size</v>
          </cell>
          <cell r="K651" t="str">
            <v>Re-size</v>
          </cell>
          <cell r="L651" t="str">
            <v>Re-size</v>
          </cell>
          <cell r="M651" t="str">
            <v>Re-size</v>
          </cell>
          <cell r="N651" t="str">
            <v>Re-size</v>
          </cell>
          <cell r="O651" t="str">
            <v>Re-size</v>
          </cell>
          <cell r="P651" t="str">
            <v>Re-size</v>
          </cell>
          <cell r="Q651" t="str">
            <v>Re-size</v>
          </cell>
          <cell r="R651" t="str">
            <v>Re-size</v>
          </cell>
          <cell r="S651" t="str">
            <v>Re-size</v>
          </cell>
          <cell r="T651" t="str">
            <v>Re-size</v>
          </cell>
          <cell r="U651">
            <v>7.95</v>
          </cell>
          <cell r="V651">
            <v>6.12</v>
          </cell>
          <cell r="X651" t="str">
            <v>Re-size</v>
          </cell>
          <cell r="Y651" t="str">
            <v>Re-size</v>
          </cell>
          <cell r="Z651" t="str">
            <v>Re-size</v>
          </cell>
          <cell r="AA651" t="str">
            <v>Re-size</v>
          </cell>
          <cell r="AB651" t="str">
            <v>Re-size</v>
          </cell>
          <cell r="AC651" t="str">
            <v>Re-size</v>
          </cell>
          <cell r="AD651" t="str">
            <v>Re-size</v>
          </cell>
          <cell r="AE651" t="str">
            <v>Re-size</v>
          </cell>
        </row>
        <row r="652">
          <cell r="B652">
            <v>12.15</v>
          </cell>
          <cell r="C652" t="str">
            <v>Re-size</v>
          </cell>
          <cell r="D652" t="str">
            <v>Re-size</v>
          </cell>
          <cell r="E652" t="str">
            <v>Re-size</v>
          </cell>
          <cell r="F652" t="str">
            <v>Re-size</v>
          </cell>
          <cell r="G652" t="str">
            <v>Re-size</v>
          </cell>
          <cell r="H652" t="str">
            <v>Re-size</v>
          </cell>
          <cell r="I652" t="str">
            <v>Re-size</v>
          </cell>
          <cell r="J652" t="str">
            <v>Re-size</v>
          </cell>
          <cell r="K652" t="str">
            <v>Re-size</v>
          </cell>
          <cell r="L652" t="str">
            <v>Re-size</v>
          </cell>
          <cell r="M652" t="str">
            <v>Re-size</v>
          </cell>
          <cell r="N652" t="str">
            <v>Re-size</v>
          </cell>
          <cell r="O652" t="str">
            <v>Re-size</v>
          </cell>
          <cell r="P652" t="str">
            <v>Re-size</v>
          </cell>
          <cell r="Q652" t="str">
            <v>Re-size</v>
          </cell>
          <cell r="R652" t="str">
            <v>Re-size</v>
          </cell>
          <cell r="S652" t="str">
            <v>Re-size</v>
          </cell>
          <cell r="T652" t="str">
            <v>Re-size</v>
          </cell>
          <cell r="U652">
            <v>7.9950000000000001</v>
          </cell>
          <cell r="V652">
            <v>6.15</v>
          </cell>
          <cell r="X652" t="str">
            <v>Re-size</v>
          </cell>
          <cell r="Y652" t="str">
            <v>Re-size</v>
          </cell>
          <cell r="Z652" t="str">
            <v>Re-size</v>
          </cell>
          <cell r="AA652" t="str">
            <v>Re-size</v>
          </cell>
          <cell r="AB652" t="str">
            <v>Re-size</v>
          </cell>
          <cell r="AC652" t="str">
            <v>Re-size</v>
          </cell>
          <cell r="AD652" t="str">
            <v>Re-size</v>
          </cell>
          <cell r="AE652" t="str">
            <v>Re-size</v>
          </cell>
        </row>
        <row r="653">
          <cell r="B653">
            <v>12.2</v>
          </cell>
          <cell r="C653" t="str">
            <v>Re-size</v>
          </cell>
          <cell r="D653" t="str">
            <v>Re-size</v>
          </cell>
          <cell r="E653" t="str">
            <v>Re-size</v>
          </cell>
          <cell r="F653" t="str">
            <v>Re-size</v>
          </cell>
          <cell r="G653" t="str">
            <v>Re-size</v>
          </cell>
          <cell r="H653" t="str">
            <v>Re-size</v>
          </cell>
          <cell r="I653" t="str">
            <v>Re-size</v>
          </cell>
          <cell r="J653" t="str">
            <v>Re-size</v>
          </cell>
          <cell r="K653" t="str">
            <v>Re-size</v>
          </cell>
          <cell r="L653" t="str">
            <v>Re-size</v>
          </cell>
          <cell r="M653" t="str">
            <v>Re-size</v>
          </cell>
          <cell r="N653" t="str">
            <v>Re-size</v>
          </cell>
          <cell r="O653" t="str">
            <v>Re-size</v>
          </cell>
          <cell r="P653" t="str">
            <v>Re-size</v>
          </cell>
          <cell r="Q653" t="str">
            <v>Re-size</v>
          </cell>
          <cell r="R653" t="str">
            <v>Re-size</v>
          </cell>
          <cell r="S653" t="str">
            <v>Re-size</v>
          </cell>
          <cell r="T653" t="str">
            <v>Re-size</v>
          </cell>
          <cell r="U653">
            <v>8.0399999999999991</v>
          </cell>
          <cell r="V653">
            <v>6.18</v>
          </cell>
          <cell r="X653" t="str">
            <v>Re-size</v>
          </cell>
          <cell r="Y653" t="str">
            <v>Re-size</v>
          </cell>
          <cell r="Z653" t="str">
            <v>Re-size</v>
          </cell>
          <cell r="AA653" t="str">
            <v>Re-size</v>
          </cell>
          <cell r="AB653" t="str">
            <v>Re-size</v>
          </cell>
          <cell r="AC653" t="str">
            <v>Re-size</v>
          </cell>
          <cell r="AD653" t="str">
            <v>Re-size</v>
          </cell>
          <cell r="AE653" t="str">
            <v>Re-size</v>
          </cell>
        </row>
        <row r="654">
          <cell r="B654">
            <v>12.25</v>
          </cell>
          <cell r="C654" t="str">
            <v>Re-size</v>
          </cell>
          <cell r="D654" t="str">
            <v>Re-size</v>
          </cell>
          <cell r="E654" t="str">
            <v>Re-size</v>
          </cell>
          <cell r="F654" t="str">
            <v>Re-size</v>
          </cell>
          <cell r="G654" t="str">
            <v>Re-size</v>
          </cell>
          <cell r="H654" t="str">
            <v>Re-size</v>
          </cell>
          <cell r="I654" t="str">
            <v>Re-size</v>
          </cell>
          <cell r="J654" t="str">
            <v>Re-size</v>
          </cell>
          <cell r="K654" t="str">
            <v>Re-size</v>
          </cell>
          <cell r="L654" t="str">
            <v>Re-size</v>
          </cell>
          <cell r="M654" t="str">
            <v>Re-size</v>
          </cell>
          <cell r="N654" t="str">
            <v>Re-size</v>
          </cell>
          <cell r="O654" t="str">
            <v>Re-size</v>
          </cell>
          <cell r="P654" t="str">
            <v>Re-size</v>
          </cell>
          <cell r="Q654" t="str">
            <v>Re-size</v>
          </cell>
          <cell r="R654" t="str">
            <v>Re-size</v>
          </cell>
          <cell r="S654" t="str">
            <v>Re-size</v>
          </cell>
          <cell r="T654" t="str">
            <v>Re-size</v>
          </cell>
          <cell r="U654">
            <v>8.1050000000000004</v>
          </cell>
          <cell r="V654">
            <v>6.2350000000000003</v>
          </cell>
          <cell r="X654" t="str">
            <v>Re-size</v>
          </cell>
          <cell r="Y654" t="str">
            <v>Re-size</v>
          </cell>
          <cell r="Z654" t="str">
            <v>Re-size</v>
          </cell>
          <cell r="AA654" t="str">
            <v>Re-size</v>
          </cell>
          <cell r="AB654" t="str">
            <v>Re-size</v>
          </cell>
          <cell r="AC654" t="str">
            <v>Re-size</v>
          </cell>
          <cell r="AD654" t="str">
            <v>Re-size</v>
          </cell>
          <cell r="AE654" t="str">
            <v>Re-size</v>
          </cell>
        </row>
        <row r="655">
          <cell r="B655">
            <v>12.3</v>
          </cell>
          <cell r="C655" t="str">
            <v>Re-size</v>
          </cell>
          <cell r="D655" t="str">
            <v>Re-size</v>
          </cell>
          <cell r="E655" t="str">
            <v>Re-size</v>
          </cell>
          <cell r="F655" t="str">
            <v>Re-size</v>
          </cell>
          <cell r="G655" t="str">
            <v>Re-size</v>
          </cell>
          <cell r="H655" t="str">
            <v>Re-size</v>
          </cell>
          <cell r="I655" t="str">
            <v>Re-size</v>
          </cell>
          <cell r="J655" t="str">
            <v>Re-size</v>
          </cell>
          <cell r="K655" t="str">
            <v>Re-size</v>
          </cell>
          <cell r="L655" t="str">
            <v>Re-size</v>
          </cell>
          <cell r="M655" t="str">
            <v>Re-size</v>
          </cell>
          <cell r="N655" t="str">
            <v>Re-size</v>
          </cell>
          <cell r="O655" t="str">
            <v>Re-size</v>
          </cell>
          <cell r="P655" t="str">
            <v>Re-size</v>
          </cell>
          <cell r="Q655" t="str">
            <v>Re-size</v>
          </cell>
          <cell r="R655" t="str">
            <v>Re-size</v>
          </cell>
          <cell r="S655" t="str">
            <v>Re-size</v>
          </cell>
          <cell r="T655" t="str">
            <v>Re-size</v>
          </cell>
          <cell r="U655">
            <v>8.17</v>
          </cell>
          <cell r="V655">
            <v>6.29</v>
          </cell>
          <cell r="X655" t="str">
            <v>Re-size</v>
          </cell>
          <cell r="Y655" t="str">
            <v>Re-size</v>
          </cell>
          <cell r="Z655" t="str">
            <v>Re-size</v>
          </cell>
          <cell r="AA655" t="str">
            <v>Re-size</v>
          </cell>
          <cell r="AB655" t="str">
            <v>Re-size</v>
          </cell>
          <cell r="AC655" t="str">
            <v>Re-size</v>
          </cell>
          <cell r="AD655" t="str">
            <v>Re-size</v>
          </cell>
          <cell r="AE655" t="str">
            <v>Re-size</v>
          </cell>
        </row>
        <row r="656">
          <cell r="B656">
            <v>12.35</v>
          </cell>
          <cell r="C656" t="str">
            <v>Re-size</v>
          </cell>
          <cell r="D656" t="str">
            <v>Re-size</v>
          </cell>
          <cell r="E656" t="str">
            <v>Re-size</v>
          </cell>
          <cell r="F656" t="str">
            <v>Re-size</v>
          </cell>
          <cell r="G656" t="str">
            <v>Re-size</v>
          </cell>
          <cell r="H656" t="str">
            <v>Re-size</v>
          </cell>
          <cell r="I656" t="str">
            <v>Re-size</v>
          </cell>
          <cell r="J656" t="str">
            <v>Re-size</v>
          </cell>
          <cell r="K656" t="str">
            <v>Re-size</v>
          </cell>
          <cell r="L656" t="str">
            <v>Re-size</v>
          </cell>
          <cell r="M656" t="str">
            <v>Re-size</v>
          </cell>
          <cell r="N656" t="str">
            <v>Re-size</v>
          </cell>
          <cell r="O656" t="str">
            <v>Re-size</v>
          </cell>
          <cell r="P656" t="str">
            <v>Re-size</v>
          </cell>
          <cell r="Q656" t="str">
            <v>Re-size</v>
          </cell>
          <cell r="R656" t="str">
            <v>Re-size</v>
          </cell>
          <cell r="S656" t="str">
            <v>Re-size</v>
          </cell>
          <cell r="T656" t="str">
            <v>Re-size</v>
          </cell>
          <cell r="U656">
            <v>8.2349999999999994</v>
          </cell>
          <cell r="V656">
            <v>6.34</v>
          </cell>
          <cell r="X656" t="str">
            <v>Re-size</v>
          </cell>
          <cell r="Y656" t="str">
            <v>Re-size</v>
          </cell>
          <cell r="Z656" t="str">
            <v>Re-size</v>
          </cell>
          <cell r="AA656" t="str">
            <v>Re-size</v>
          </cell>
          <cell r="AB656" t="str">
            <v>Re-size</v>
          </cell>
          <cell r="AC656" t="str">
            <v>Re-size</v>
          </cell>
          <cell r="AD656" t="str">
            <v>Re-size</v>
          </cell>
          <cell r="AE656" t="str">
            <v>Re-size</v>
          </cell>
        </row>
        <row r="657">
          <cell r="B657">
            <v>12.4</v>
          </cell>
          <cell r="C657" t="str">
            <v>Re-size</v>
          </cell>
          <cell r="D657" t="str">
            <v>Re-size</v>
          </cell>
          <cell r="E657" t="str">
            <v>Re-size</v>
          </cell>
          <cell r="F657" t="str">
            <v>Re-size</v>
          </cell>
          <cell r="G657" t="str">
            <v>Re-size</v>
          </cell>
          <cell r="H657" t="str">
            <v>Re-size</v>
          </cell>
          <cell r="I657" t="str">
            <v>Re-size</v>
          </cell>
          <cell r="J657" t="str">
            <v>Re-size</v>
          </cell>
          <cell r="K657" t="str">
            <v>Re-size</v>
          </cell>
          <cell r="L657" t="str">
            <v>Re-size</v>
          </cell>
          <cell r="M657" t="str">
            <v>Re-size</v>
          </cell>
          <cell r="N657" t="str">
            <v>Re-size</v>
          </cell>
          <cell r="O657" t="str">
            <v>Re-size</v>
          </cell>
          <cell r="P657" t="str">
            <v>Re-size</v>
          </cell>
          <cell r="Q657" t="str">
            <v>Re-size</v>
          </cell>
          <cell r="R657" t="str">
            <v>Re-size</v>
          </cell>
          <cell r="S657" t="str">
            <v>Re-size</v>
          </cell>
          <cell r="T657" t="str">
            <v>Re-size</v>
          </cell>
          <cell r="U657">
            <v>8.3000000000000007</v>
          </cell>
          <cell r="V657">
            <v>6.39</v>
          </cell>
          <cell r="X657" t="str">
            <v>Re-size</v>
          </cell>
          <cell r="Y657" t="str">
            <v>Re-size</v>
          </cell>
          <cell r="Z657" t="str">
            <v>Re-size</v>
          </cell>
          <cell r="AA657" t="str">
            <v>Re-size</v>
          </cell>
          <cell r="AB657" t="str">
            <v>Re-size</v>
          </cell>
          <cell r="AC657" t="str">
            <v>Re-size</v>
          </cell>
          <cell r="AD657" t="str">
            <v>Re-size</v>
          </cell>
          <cell r="AE657" t="str">
            <v>Re-size</v>
          </cell>
        </row>
        <row r="658">
          <cell r="B658">
            <v>12.45</v>
          </cell>
          <cell r="C658" t="str">
            <v>Re-size</v>
          </cell>
          <cell r="D658" t="str">
            <v>Re-size</v>
          </cell>
          <cell r="E658" t="str">
            <v>Re-size</v>
          </cell>
          <cell r="F658" t="str">
            <v>Re-size</v>
          </cell>
          <cell r="G658" t="str">
            <v>Re-size</v>
          </cell>
          <cell r="H658" t="str">
            <v>Re-size</v>
          </cell>
          <cell r="I658" t="str">
            <v>Re-size</v>
          </cell>
          <cell r="J658" t="str">
            <v>Re-size</v>
          </cell>
          <cell r="K658" t="str">
            <v>Re-size</v>
          </cell>
          <cell r="L658" t="str">
            <v>Re-size</v>
          </cell>
          <cell r="M658" t="str">
            <v>Re-size</v>
          </cell>
          <cell r="N658" t="str">
            <v>Re-size</v>
          </cell>
          <cell r="O658" t="str">
            <v>Re-size</v>
          </cell>
          <cell r="P658" t="str">
            <v>Re-size</v>
          </cell>
          <cell r="Q658" t="str">
            <v>Re-size</v>
          </cell>
          <cell r="R658" t="str">
            <v>Re-size</v>
          </cell>
          <cell r="S658" t="str">
            <v>Re-size</v>
          </cell>
          <cell r="T658" t="str">
            <v>Re-size</v>
          </cell>
          <cell r="U658">
            <v>8.3699999999999992</v>
          </cell>
          <cell r="V658">
            <v>6.44</v>
          </cell>
          <cell r="X658" t="str">
            <v>Re-size</v>
          </cell>
          <cell r="Y658" t="str">
            <v>Re-size</v>
          </cell>
          <cell r="Z658" t="str">
            <v>Re-size</v>
          </cell>
          <cell r="AA658" t="str">
            <v>Re-size</v>
          </cell>
          <cell r="AB658" t="str">
            <v>Re-size</v>
          </cell>
          <cell r="AC658" t="str">
            <v>Re-size</v>
          </cell>
          <cell r="AD658" t="str">
            <v>Re-size</v>
          </cell>
          <cell r="AE658" t="str">
            <v>Re-size</v>
          </cell>
        </row>
        <row r="659">
          <cell r="B659">
            <v>12.5</v>
          </cell>
          <cell r="C659" t="str">
            <v>Re-size</v>
          </cell>
          <cell r="D659" t="str">
            <v>Re-size</v>
          </cell>
          <cell r="E659" t="str">
            <v>Re-size</v>
          </cell>
          <cell r="F659" t="str">
            <v>Re-size</v>
          </cell>
          <cell r="G659" t="str">
            <v>Re-size</v>
          </cell>
          <cell r="H659" t="str">
            <v>Re-size</v>
          </cell>
          <cell r="I659" t="str">
            <v>Re-size</v>
          </cell>
          <cell r="J659" t="str">
            <v>Re-size</v>
          </cell>
          <cell r="K659" t="str">
            <v>Re-size</v>
          </cell>
          <cell r="L659" t="str">
            <v>Re-size</v>
          </cell>
          <cell r="M659" t="str">
            <v>Re-size</v>
          </cell>
          <cell r="N659" t="str">
            <v>Re-size</v>
          </cell>
          <cell r="O659" t="str">
            <v>Re-size</v>
          </cell>
          <cell r="P659" t="str">
            <v>Re-size</v>
          </cell>
          <cell r="Q659" t="str">
            <v>Re-size</v>
          </cell>
          <cell r="R659" t="str">
            <v>Re-size</v>
          </cell>
          <cell r="S659" t="str">
            <v>Re-size</v>
          </cell>
          <cell r="T659" t="str">
            <v>Re-size</v>
          </cell>
          <cell r="U659">
            <v>8.44</v>
          </cell>
          <cell r="V659">
            <v>6.49</v>
          </cell>
          <cell r="X659" t="str">
            <v>Re-size</v>
          </cell>
          <cell r="Y659" t="str">
            <v>Re-size</v>
          </cell>
          <cell r="Z659" t="str">
            <v>Re-size</v>
          </cell>
          <cell r="AA659" t="str">
            <v>Re-size</v>
          </cell>
          <cell r="AB659" t="str">
            <v>Re-size</v>
          </cell>
          <cell r="AC659" t="str">
            <v>Re-size</v>
          </cell>
          <cell r="AD659" t="str">
            <v>Re-size</v>
          </cell>
          <cell r="AE659" t="str">
            <v>Re-size</v>
          </cell>
        </row>
        <row r="660">
          <cell r="B660">
            <v>12.55</v>
          </cell>
          <cell r="C660" t="str">
            <v>Re-size</v>
          </cell>
          <cell r="D660" t="str">
            <v>Re-size</v>
          </cell>
          <cell r="E660" t="str">
            <v>Re-size</v>
          </cell>
          <cell r="F660" t="str">
            <v>Re-size</v>
          </cell>
          <cell r="G660" t="str">
            <v>Re-size</v>
          </cell>
          <cell r="H660" t="str">
            <v>Re-size</v>
          </cell>
          <cell r="I660" t="str">
            <v>Re-size</v>
          </cell>
          <cell r="J660" t="str">
            <v>Re-size</v>
          </cell>
          <cell r="K660" t="str">
            <v>Re-size</v>
          </cell>
          <cell r="L660" t="str">
            <v>Re-size</v>
          </cell>
          <cell r="M660" t="str">
            <v>Re-size</v>
          </cell>
          <cell r="N660" t="str">
            <v>Re-size</v>
          </cell>
          <cell r="O660" t="str">
            <v>Re-size</v>
          </cell>
          <cell r="P660" t="str">
            <v>Re-size</v>
          </cell>
          <cell r="Q660" t="str">
            <v>Re-size</v>
          </cell>
          <cell r="R660" t="str">
            <v>Re-size</v>
          </cell>
          <cell r="S660" t="str">
            <v>Re-size</v>
          </cell>
          <cell r="T660" t="str">
            <v>Re-size</v>
          </cell>
          <cell r="U660">
            <v>8.5050000000000008</v>
          </cell>
          <cell r="V660">
            <v>6.5449999999999999</v>
          </cell>
          <cell r="X660" t="str">
            <v>Re-size</v>
          </cell>
          <cell r="Y660" t="str">
            <v>Re-size</v>
          </cell>
          <cell r="Z660" t="str">
            <v>Re-size</v>
          </cell>
          <cell r="AA660" t="str">
            <v>Re-size</v>
          </cell>
          <cell r="AB660" t="str">
            <v>Re-size</v>
          </cell>
          <cell r="AC660" t="str">
            <v>Re-size</v>
          </cell>
          <cell r="AD660" t="str">
            <v>Re-size</v>
          </cell>
          <cell r="AE660" t="str">
            <v>Re-size</v>
          </cell>
        </row>
        <row r="661">
          <cell r="B661">
            <v>12.6</v>
          </cell>
          <cell r="C661" t="str">
            <v>Re-size</v>
          </cell>
          <cell r="D661" t="str">
            <v>Re-size</v>
          </cell>
          <cell r="E661" t="str">
            <v>Re-size</v>
          </cell>
          <cell r="F661" t="str">
            <v>Re-size</v>
          </cell>
          <cell r="G661" t="str">
            <v>Re-size</v>
          </cell>
          <cell r="H661" t="str">
            <v>Re-size</v>
          </cell>
          <cell r="I661" t="str">
            <v>Re-size</v>
          </cell>
          <cell r="J661" t="str">
            <v>Re-size</v>
          </cell>
          <cell r="K661" t="str">
            <v>Re-size</v>
          </cell>
          <cell r="L661" t="str">
            <v>Re-size</v>
          </cell>
          <cell r="M661" t="str">
            <v>Re-size</v>
          </cell>
          <cell r="N661" t="str">
            <v>Re-size</v>
          </cell>
          <cell r="O661" t="str">
            <v>Re-size</v>
          </cell>
          <cell r="P661" t="str">
            <v>Re-size</v>
          </cell>
          <cell r="Q661" t="str">
            <v>Re-size</v>
          </cell>
          <cell r="R661" t="str">
            <v>Re-size</v>
          </cell>
          <cell r="S661" t="str">
            <v>Re-size</v>
          </cell>
          <cell r="T661" t="str">
            <v>Re-size</v>
          </cell>
          <cell r="U661">
            <v>8.57</v>
          </cell>
          <cell r="V661">
            <v>6.6</v>
          </cell>
          <cell r="X661" t="str">
            <v>Re-size</v>
          </cell>
          <cell r="Y661" t="str">
            <v>Re-size</v>
          </cell>
          <cell r="Z661" t="str">
            <v>Re-size</v>
          </cell>
          <cell r="AA661" t="str">
            <v>Re-size</v>
          </cell>
          <cell r="AB661" t="str">
            <v>Re-size</v>
          </cell>
          <cell r="AC661" t="str">
            <v>Re-size</v>
          </cell>
          <cell r="AD661" t="str">
            <v>Re-size</v>
          </cell>
          <cell r="AE661" t="str">
            <v>Re-size</v>
          </cell>
        </row>
        <row r="662">
          <cell r="B662">
            <v>12.65</v>
          </cell>
          <cell r="C662" t="str">
            <v>Re-size</v>
          </cell>
          <cell r="D662" t="str">
            <v>Re-size</v>
          </cell>
          <cell r="E662" t="str">
            <v>Re-size</v>
          </cell>
          <cell r="F662" t="str">
            <v>Re-size</v>
          </cell>
          <cell r="G662" t="str">
            <v>Re-size</v>
          </cell>
          <cell r="H662" t="str">
            <v>Re-size</v>
          </cell>
          <cell r="I662" t="str">
            <v>Re-size</v>
          </cell>
          <cell r="J662" t="str">
            <v>Re-size</v>
          </cell>
          <cell r="K662" t="str">
            <v>Re-size</v>
          </cell>
          <cell r="L662" t="str">
            <v>Re-size</v>
          </cell>
          <cell r="M662" t="str">
            <v>Re-size</v>
          </cell>
          <cell r="N662" t="str">
            <v>Re-size</v>
          </cell>
          <cell r="O662" t="str">
            <v>Re-size</v>
          </cell>
          <cell r="P662" t="str">
            <v>Re-size</v>
          </cell>
          <cell r="Q662" t="str">
            <v>Re-size</v>
          </cell>
          <cell r="R662" t="str">
            <v>Re-size</v>
          </cell>
          <cell r="S662" t="str">
            <v>Re-size</v>
          </cell>
          <cell r="T662" t="str">
            <v>Re-size</v>
          </cell>
          <cell r="U662">
            <v>8.6150000000000002</v>
          </cell>
          <cell r="V662">
            <v>6.63</v>
          </cell>
          <cell r="X662" t="str">
            <v>Re-size</v>
          </cell>
          <cell r="Y662" t="str">
            <v>Re-size</v>
          </cell>
          <cell r="Z662" t="str">
            <v>Re-size</v>
          </cell>
          <cell r="AA662" t="str">
            <v>Re-size</v>
          </cell>
          <cell r="AB662" t="str">
            <v>Re-size</v>
          </cell>
          <cell r="AC662" t="str">
            <v>Re-size</v>
          </cell>
          <cell r="AD662" t="str">
            <v>Re-size</v>
          </cell>
          <cell r="AE662" t="str">
            <v>Re-size</v>
          </cell>
        </row>
        <row r="663">
          <cell r="B663">
            <v>12.7</v>
          </cell>
          <cell r="C663" t="str">
            <v>Re-size</v>
          </cell>
          <cell r="D663" t="str">
            <v>Re-size</v>
          </cell>
          <cell r="E663" t="str">
            <v>Re-size</v>
          </cell>
          <cell r="F663" t="str">
            <v>Re-size</v>
          </cell>
          <cell r="G663" t="str">
            <v>Re-size</v>
          </cell>
          <cell r="H663" t="str">
            <v>Re-size</v>
          </cell>
          <cell r="I663" t="str">
            <v>Re-size</v>
          </cell>
          <cell r="J663" t="str">
            <v>Re-size</v>
          </cell>
          <cell r="K663" t="str">
            <v>Re-size</v>
          </cell>
          <cell r="L663" t="str">
            <v>Re-size</v>
          </cell>
          <cell r="M663" t="str">
            <v>Re-size</v>
          </cell>
          <cell r="N663" t="str">
            <v>Re-size</v>
          </cell>
          <cell r="O663" t="str">
            <v>Re-size</v>
          </cell>
          <cell r="P663" t="str">
            <v>Re-size</v>
          </cell>
          <cell r="Q663" t="str">
            <v>Re-size</v>
          </cell>
          <cell r="R663" t="str">
            <v>Re-size</v>
          </cell>
          <cell r="S663" t="str">
            <v>Re-size</v>
          </cell>
          <cell r="T663" t="str">
            <v>Re-size</v>
          </cell>
          <cell r="U663">
            <v>8.66</v>
          </cell>
          <cell r="V663">
            <v>6.66</v>
          </cell>
          <cell r="X663" t="str">
            <v>Re-size</v>
          </cell>
          <cell r="Y663" t="str">
            <v>Re-size</v>
          </cell>
          <cell r="Z663" t="str">
            <v>Re-size</v>
          </cell>
          <cell r="AA663" t="str">
            <v>Re-size</v>
          </cell>
          <cell r="AB663" t="str">
            <v>Re-size</v>
          </cell>
          <cell r="AC663" t="str">
            <v>Re-size</v>
          </cell>
          <cell r="AD663" t="str">
            <v>Re-size</v>
          </cell>
          <cell r="AE663" t="str">
            <v>Re-size</v>
          </cell>
        </row>
        <row r="664">
          <cell r="B664">
            <v>12.75</v>
          </cell>
          <cell r="C664" t="str">
            <v>Re-size</v>
          </cell>
          <cell r="D664" t="str">
            <v>Re-size</v>
          </cell>
          <cell r="E664" t="str">
            <v>Re-size</v>
          </cell>
          <cell r="F664" t="str">
            <v>Re-size</v>
          </cell>
          <cell r="G664" t="str">
            <v>Re-size</v>
          </cell>
          <cell r="H664" t="str">
            <v>Re-size</v>
          </cell>
          <cell r="I664" t="str">
            <v>Re-size</v>
          </cell>
          <cell r="J664" t="str">
            <v>Re-size</v>
          </cell>
          <cell r="K664" t="str">
            <v>Re-size</v>
          </cell>
          <cell r="L664" t="str">
            <v>Re-size</v>
          </cell>
          <cell r="M664" t="str">
            <v>Re-size</v>
          </cell>
          <cell r="N664" t="str">
            <v>Re-size</v>
          </cell>
          <cell r="O664" t="str">
            <v>Re-size</v>
          </cell>
          <cell r="P664" t="str">
            <v>Re-size</v>
          </cell>
          <cell r="Q664" t="str">
            <v>Re-size</v>
          </cell>
          <cell r="R664" t="str">
            <v>Re-size</v>
          </cell>
          <cell r="S664" t="str">
            <v>Re-size</v>
          </cell>
          <cell r="T664" t="str">
            <v>Re-size</v>
          </cell>
          <cell r="U664">
            <v>8.7249999999999996</v>
          </cell>
          <cell r="V664">
            <v>6.7149999999999999</v>
          </cell>
          <cell r="X664" t="str">
            <v>Re-size</v>
          </cell>
          <cell r="Y664" t="str">
            <v>Re-size</v>
          </cell>
          <cell r="Z664" t="str">
            <v>Re-size</v>
          </cell>
          <cell r="AA664" t="str">
            <v>Re-size</v>
          </cell>
          <cell r="AB664" t="str">
            <v>Re-size</v>
          </cell>
          <cell r="AC664" t="str">
            <v>Re-size</v>
          </cell>
          <cell r="AD664" t="str">
            <v>Re-size</v>
          </cell>
          <cell r="AE664" t="str">
            <v>Re-size</v>
          </cell>
        </row>
        <row r="665">
          <cell r="B665">
            <v>12.8</v>
          </cell>
          <cell r="C665" t="str">
            <v>Re-size</v>
          </cell>
          <cell r="D665" t="str">
            <v>Re-size</v>
          </cell>
          <cell r="E665" t="str">
            <v>Re-size</v>
          </cell>
          <cell r="F665" t="str">
            <v>Re-size</v>
          </cell>
          <cell r="G665" t="str">
            <v>Re-size</v>
          </cell>
          <cell r="H665" t="str">
            <v>Re-size</v>
          </cell>
          <cell r="I665" t="str">
            <v>Re-size</v>
          </cell>
          <cell r="J665" t="str">
            <v>Re-size</v>
          </cell>
          <cell r="K665" t="str">
            <v>Re-size</v>
          </cell>
          <cell r="L665" t="str">
            <v>Re-size</v>
          </cell>
          <cell r="M665" t="str">
            <v>Re-size</v>
          </cell>
          <cell r="N665" t="str">
            <v>Re-size</v>
          </cell>
          <cell r="O665" t="str">
            <v>Re-size</v>
          </cell>
          <cell r="P665" t="str">
            <v>Re-size</v>
          </cell>
          <cell r="Q665" t="str">
            <v>Re-size</v>
          </cell>
          <cell r="R665" t="str">
            <v>Re-size</v>
          </cell>
          <cell r="S665" t="str">
            <v>Re-size</v>
          </cell>
          <cell r="T665" t="str">
            <v>Re-size</v>
          </cell>
          <cell r="U665">
            <v>8.7899999999999991</v>
          </cell>
          <cell r="V665">
            <v>6.77</v>
          </cell>
          <cell r="X665" t="str">
            <v>Re-size</v>
          </cell>
          <cell r="Y665" t="str">
            <v>Re-size</v>
          </cell>
          <cell r="Z665" t="str">
            <v>Re-size</v>
          </cell>
          <cell r="AA665" t="str">
            <v>Re-size</v>
          </cell>
          <cell r="AB665" t="str">
            <v>Re-size</v>
          </cell>
          <cell r="AC665" t="str">
            <v>Re-size</v>
          </cell>
          <cell r="AD665" t="str">
            <v>Re-size</v>
          </cell>
          <cell r="AE665" t="str">
            <v>Re-size</v>
          </cell>
        </row>
        <row r="666">
          <cell r="B666">
            <v>12.85</v>
          </cell>
          <cell r="C666" t="str">
            <v>Re-size</v>
          </cell>
          <cell r="D666" t="str">
            <v>Re-size</v>
          </cell>
          <cell r="E666" t="str">
            <v>Re-size</v>
          </cell>
          <cell r="F666" t="str">
            <v>Re-size</v>
          </cell>
          <cell r="G666" t="str">
            <v>Re-size</v>
          </cell>
          <cell r="H666" t="str">
            <v>Re-size</v>
          </cell>
          <cell r="I666" t="str">
            <v>Re-size</v>
          </cell>
          <cell r="J666" t="str">
            <v>Re-size</v>
          </cell>
          <cell r="K666" t="str">
            <v>Re-size</v>
          </cell>
          <cell r="L666" t="str">
            <v>Re-size</v>
          </cell>
          <cell r="M666" t="str">
            <v>Re-size</v>
          </cell>
          <cell r="N666" t="str">
            <v>Re-size</v>
          </cell>
          <cell r="O666" t="str">
            <v>Re-size</v>
          </cell>
          <cell r="P666" t="str">
            <v>Re-size</v>
          </cell>
          <cell r="Q666" t="str">
            <v>Re-size</v>
          </cell>
          <cell r="R666" t="str">
            <v>Re-size</v>
          </cell>
          <cell r="S666" t="str">
            <v>Re-size</v>
          </cell>
          <cell r="T666" t="str">
            <v>Re-size</v>
          </cell>
          <cell r="U666">
            <v>8.8450000000000006</v>
          </cell>
          <cell r="V666">
            <v>6.82</v>
          </cell>
          <cell r="X666" t="str">
            <v>Re-size</v>
          </cell>
          <cell r="Y666" t="str">
            <v>Re-size</v>
          </cell>
          <cell r="Z666" t="str">
            <v>Re-size</v>
          </cell>
          <cell r="AA666" t="str">
            <v>Re-size</v>
          </cell>
          <cell r="AB666" t="str">
            <v>Re-size</v>
          </cell>
          <cell r="AC666" t="str">
            <v>Re-size</v>
          </cell>
          <cell r="AD666" t="str">
            <v>Re-size</v>
          </cell>
          <cell r="AE666" t="str">
            <v>Re-size</v>
          </cell>
        </row>
        <row r="667">
          <cell r="B667">
            <v>12.9</v>
          </cell>
          <cell r="C667" t="str">
            <v>Re-size</v>
          </cell>
          <cell r="D667" t="str">
            <v>Re-size</v>
          </cell>
          <cell r="E667" t="str">
            <v>Re-size</v>
          </cell>
          <cell r="F667" t="str">
            <v>Re-size</v>
          </cell>
          <cell r="G667" t="str">
            <v>Re-size</v>
          </cell>
          <cell r="H667" t="str">
            <v>Re-size</v>
          </cell>
          <cell r="I667" t="str">
            <v>Re-size</v>
          </cell>
          <cell r="J667" t="str">
            <v>Re-size</v>
          </cell>
          <cell r="K667" t="str">
            <v>Re-size</v>
          </cell>
          <cell r="L667" t="str">
            <v>Re-size</v>
          </cell>
          <cell r="M667" t="str">
            <v>Re-size</v>
          </cell>
          <cell r="N667" t="str">
            <v>Re-size</v>
          </cell>
          <cell r="O667" t="str">
            <v>Re-size</v>
          </cell>
          <cell r="P667" t="str">
            <v>Re-size</v>
          </cell>
          <cell r="Q667" t="str">
            <v>Re-size</v>
          </cell>
          <cell r="R667" t="str">
            <v>Re-size</v>
          </cell>
          <cell r="S667" t="str">
            <v>Re-size</v>
          </cell>
          <cell r="T667" t="str">
            <v>Re-size</v>
          </cell>
          <cell r="U667">
            <v>8.9</v>
          </cell>
          <cell r="V667">
            <v>6.87</v>
          </cell>
          <cell r="X667" t="str">
            <v>Re-size</v>
          </cell>
          <cell r="Y667" t="str">
            <v>Re-size</v>
          </cell>
          <cell r="Z667" t="str">
            <v>Re-size</v>
          </cell>
          <cell r="AA667" t="str">
            <v>Re-size</v>
          </cell>
          <cell r="AB667" t="str">
            <v>Re-size</v>
          </cell>
          <cell r="AC667" t="str">
            <v>Re-size</v>
          </cell>
          <cell r="AD667" t="str">
            <v>Re-size</v>
          </cell>
          <cell r="AE667" t="str">
            <v>Re-size</v>
          </cell>
        </row>
        <row r="668">
          <cell r="B668">
            <v>12.95</v>
          </cell>
          <cell r="C668" t="str">
            <v>Re-size</v>
          </cell>
          <cell r="D668" t="str">
            <v>Re-size</v>
          </cell>
          <cell r="E668" t="str">
            <v>Re-size</v>
          </cell>
          <cell r="F668" t="str">
            <v>Re-size</v>
          </cell>
          <cell r="G668" t="str">
            <v>Re-size</v>
          </cell>
          <cell r="H668" t="str">
            <v>Re-size</v>
          </cell>
          <cell r="I668" t="str">
            <v>Re-size</v>
          </cell>
          <cell r="J668" t="str">
            <v>Re-size</v>
          </cell>
          <cell r="K668" t="str">
            <v>Re-size</v>
          </cell>
          <cell r="L668" t="str">
            <v>Re-size</v>
          </cell>
          <cell r="M668" t="str">
            <v>Re-size</v>
          </cell>
          <cell r="N668" t="str">
            <v>Re-size</v>
          </cell>
          <cell r="O668" t="str">
            <v>Re-size</v>
          </cell>
          <cell r="P668" t="str">
            <v>Re-size</v>
          </cell>
          <cell r="Q668" t="str">
            <v>Re-size</v>
          </cell>
          <cell r="R668" t="str">
            <v>Re-size</v>
          </cell>
          <cell r="S668" t="str">
            <v>Re-size</v>
          </cell>
          <cell r="T668" t="str">
            <v>Re-size</v>
          </cell>
          <cell r="U668">
            <v>8.9600000000000009</v>
          </cell>
          <cell r="V668">
            <v>6.9249999999999998</v>
          </cell>
          <cell r="X668" t="str">
            <v>Re-size</v>
          </cell>
          <cell r="Y668" t="str">
            <v>Re-size</v>
          </cell>
          <cell r="Z668" t="str">
            <v>Re-size</v>
          </cell>
          <cell r="AA668" t="str">
            <v>Re-size</v>
          </cell>
          <cell r="AB668" t="str">
            <v>Re-size</v>
          </cell>
          <cell r="AC668" t="str">
            <v>Re-size</v>
          </cell>
          <cell r="AD668" t="str">
            <v>Re-size</v>
          </cell>
          <cell r="AE668" t="str">
            <v>Re-size</v>
          </cell>
        </row>
        <row r="669">
          <cell r="B669">
            <v>13</v>
          </cell>
          <cell r="C669" t="str">
            <v>Re-size</v>
          </cell>
          <cell r="D669" t="str">
            <v>Re-size</v>
          </cell>
          <cell r="E669" t="str">
            <v>Re-size</v>
          </cell>
          <cell r="F669" t="str">
            <v>Re-size</v>
          </cell>
          <cell r="G669" t="str">
            <v>Re-size</v>
          </cell>
          <cell r="H669" t="str">
            <v>Re-size</v>
          </cell>
          <cell r="I669" t="str">
            <v>Re-size</v>
          </cell>
          <cell r="J669" t="str">
            <v>Re-size</v>
          </cell>
          <cell r="K669" t="str">
            <v>Re-size</v>
          </cell>
          <cell r="L669" t="str">
            <v>Re-size</v>
          </cell>
          <cell r="M669" t="str">
            <v>Re-size</v>
          </cell>
          <cell r="N669" t="str">
            <v>Re-size</v>
          </cell>
          <cell r="O669" t="str">
            <v>Re-size</v>
          </cell>
          <cell r="P669" t="str">
            <v>Re-size</v>
          </cell>
          <cell r="Q669" t="str">
            <v>Re-size</v>
          </cell>
          <cell r="R669" t="str">
            <v>Re-size</v>
          </cell>
          <cell r="S669" t="str">
            <v>Re-size</v>
          </cell>
          <cell r="T669" t="str">
            <v>Re-size</v>
          </cell>
          <cell r="U669">
            <v>9.02</v>
          </cell>
          <cell r="V669">
            <v>6.98</v>
          </cell>
          <cell r="X669" t="str">
            <v>Re-size</v>
          </cell>
          <cell r="Y669" t="str">
            <v>Re-size</v>
          </cell>
          <cell r="Z669" t="str">
            <v>Re-size</v>
          </cell>
          <cell r="AA669" t="str">
            <v>Re-size</v>
          </cell>
          <cell r="AB669" t="str">
            <v>Re-size</v>
          </cell>
          <cell r="AC669" t="str">
            <v>Re-size</v>
          </cell>
          <cell r="AD669" t="str">
            <v>Re-size</v>
          </cell>
          <cell r="AE669" t="str">
            <v>Re-size</v>
          </cell>
        </row>
        <row r="670">
          <cell r="B670">
            <v>13.05</v>
          </cell>
          <cell r="C670" t="str">
            <v>Re-size</v>
          </cell>
          <cell r="D670" t="str">
            <v>Re-size</v>
          </cell>
          <cell r="E670" t="str">
            <v>Re-size</v>
          </cell>
          <cell r="F670" t="str">
            <v>Re-size</v>
          </cell>
          <cell r="G670" t="str">
            <v>Re-size</v>
          </cell>
          <cell r="H670" t="str">
            <v>Re-size</v>
          </cell>
          <cell r="I670" t="str">
            <v>Re-size</v>
          </cell>
          <cell r="J670" t="str">
            <v>Re-size</v>
          </cell>
          <cell r="K670" t="str">
            <v>Re-size</v>
          </cell>
          <cell r="L670" t="str">
            <v>Re-size</v>
          </cell>
          <cell r="M670" t="str">
            <v>Re-size</v>
          </cell>
          <cell r="N670" t="str">
            <v>Re-size</v>
          </cell>
          <cell r="O670" t="str">
            <v>Re-size</v>
          </cell>
          <cell r="P670" t="str">
            <v>Re-size</v>
          </cell>
          <cell r="Q670" t="str">
            <v>Re-size</v>
          </cell>
          <cell r="R670" t="str">
            <v>Re-size</v>
          </cell>
          <cell r="S670" t="str">
            <v>Re-size</v>
          </cell>
          <cell r="T670" t="str">
            <v>Re-size</v>
          </cell>
          <cell r="U670">
            <v>9.08</v>
          </cell>
          <cell r="V670">
            <v>7.0350000000000001</v>
          </cell>
          <cell r="X670" t="str">
            <v>Re-size</v>
          </cell>
          <cell r="Y670" t="str">
            <v>Re-size</v>
          </cell>
          <cell r="Z670" t="str">
            <v>Re-size</v>
          </cell>
          <cell r="AA670" t="str">
            <v>Re-size</v>
          </cell>
          <cell r="AB670" t="str">
            <v>Re-size</v>
          </cell>
          <cell r="AC670" t="str">
            <v>Re-size</v>
          </cell>
          <cell r="AD670" t="str">
            <v>Re-size</v>
          </cell>
          <cell r="AE670" t="str">
            <v>Re-size</v>
          </cell>
        </row>
        <row r="671">
          <cell r="B671">
            <v>13.1</v>
          </cell>
          <cell r="C671" t="str">
            <v>Re-size</v>
          </cell>
          <cell r="D671" t="str">
            <v>Re-size</v>
          </cell>
          <cell r="E671" t="str">
            <v>Re-size</v>
          </cell>
          <cell r="F671" t="str">
            <v>Re-size</v>
          </cell>
          <cell r="G671" t="str">
            <v>Re-size</v>
          </cell>
          <cell r="H671" t="str">
            <v>Re-size</v>
          </cell>
          <cell r="I671" t="str">
            <v>Re-size</v>
          </cell>
          <cell r="J671" t="str">
            <v>Re-size</v>
          </cell>
          <cell r="K671" t="str">
            <v>Re-size</v>
          </cell>
          <cell r="L671" t="str">
            <v>Re-size</v>
          </cell>
          <cell r="M671" t="str">
            <v>Re-size</v>
          </cell>
          <cell r="N671" t="str">
            <v>Re-size</v>
          </cell>
          <cell r="O671" t="str">
            <v>Re-size</v>
          </cell>
          <cell r="P671" t="str">
            <v>Re-size</v>
          </cell>
          <cell r="Q671" t="str">
            <v>Re-size</v>
          </cell>
          <cell r="R671" t="str">
            <v>Re-size</v>
          </cell>
          <cell r="S671" t="str">
            <v>Re-size</v>
          </cell>
          <cell r="T671" t="str">
            <v>Re-size</v>
          </cell>
          <cell r="U671">
            <v>9.14</v>
          </cell>
          <cell r="V671">
            <v>7.09</v>
          </cell>
          <cell r="X671" t="str">
            <v>Re-size</v>
          </cell>
          <cell r="Y671" t="str">
            <v>Re-size</v>
          </cell>
          <cell r="Z671" t="str">
            <v>Re-size</v>
          </cell>
          <cell r="AA671" t="str">
            <v>Re-size</v>
          </cell>
          <cell r="AB671" t="str">
            <v>Re-size</v>
          </cell>
          <cell r="AC671" t="str">
            <v>Re-size</v>
          </cell>
          <cell r="AD671" t="str">
            <v>Re-size</v>
          </cell>
          <cell r="AE671" t="str">
            <v>Re-size</v>
          </cell>
        </row>
        <row r="672">
          <cell r="B672">
            <v>13.15</v>
          </cell>
          <cell r="C672" t="str">
            <v>Re-size</v>
          </cell>
          <cell r="D672" t="str">
            <v>Re-size</v>
          </cell>
          <cell r="E672" t="str">
            <v>Re-size</v>
          </cell>
          <cell r="F672" t="str">
            <v>Re-size</v>
          </cell>
          <cell r="G672" t="str">
            <v>Re-size</v>
          </cell>
          <cell r="H672" t="str">
            <v>Re-size</v>
          </cell>
          <cell r="I672" t="str">
            <v>Re-size</v>
          </cell>
          <cell r="J672" t="str">
            <v>Re-size</v>
          </cell>
          <cell r="K672" t="str">
            <v>Re-size</v>
          </cell>
          <cell r="L672" t="str">
            <v>Re-size</v>
          </cell>
          <cell r="M672" t="str">
            <v>Re-size</v>
          </cell>
          <cell r="N672" t="str">
            <v>Re-size</v>
          </cell>
          <cell r="O672" t="str">
            <v>Re-size</v>
          </cell>
          <cell r="P672" t="str">
            <v>Re-size</v>
          </cell>
          <cell r="Q672" t="str">
            <v>Re-size</v>
          </cell>
          <cell r="R672" t="str">
            <v>Re-size</v>
          </cell>
          <cell r="S672" t="str">
            <v>Re-size</v>
          </cell>
          <cell r="T672" t="str">
            <v>Re-size</v>
          </cell>
          <cell r="U672">
            <v>9.1999999999999993</v>
          </cell>
          <cell r="V672">
            <v>7.12</v>
          </cell>
          <cell r="X672" t="str">
            <v>Re-size</v>
          </cell>
          <cell r="Y672" t="str">
            <v>Re-size</v>
          </cell>
          <cell r="Z672" t="str">
            <v>Re-size</v>
          </cell>
          <cell r="AA672" t="str">
            <v>Re-size</v>
          </cell>
          <cell r="AB672" t="str">
            <v>Re-size</v>
          </cell>
          <cell r="AC672" t="str">
            <v>Re-size</v>
          </cell>
          <cell r="AD672" t="str">
            <v>Re-size</v>
          </cell>
          <cell r="AE672" t="str">
            <v>Re-size</v>
          </cell>
        </row>
        <row r="673">
          <cell r="B673">
            <v>13.2</v>
          </cell>
          <cell r="C673" t="str">
            <v>Re-size</v>
          </cell>
          <cell r="D673" t="str">
            <v>Re-size</v>
          </cell>
          <cell r="E673" t="str">
            <v>Re-size</v>
          </cell>
          <cell r="F673" t="str">
            <v>Re-size</v>
          </cell>
          <cell r="G673" t="str">
            <v>Re-size</v>
          </cell>
          <cell r="H673" t="str">
            <v>Re-size</v>
          </cell>
          <cell r="I673" t="str">
            <v>Re-size</v>
          </cell>
          <cell r="J673" t="str">
            <v>Re-size</v>
          </cell>
          <cell r="K673" t="str">
            <v>Re-size</v>
          </cell>
          <cell r="L673" t="str">
            <v>Re-size</v>
          </cell>
          <cell r="M673" t="str">
            <v>Re-size</v>
          </cell>
          <cell r="N673" t="str">
            <v>Re-size</v>
          </cell>
          <cell r="O673" t="str">
            <v>Re-size</v>
          </cell>
          <cell r="P673" t="str">
            <v>Re-size</v>
          </cell>
          <cell r="Q673" t="str">
            <v>Re-size</v>
          </cell>
          <cell r="R673" t="str">
            <v>Re-size</v>
          </cell>
          <cell r="S673" t="str">
            <v>Re-size</v>
          </cell>
          <cell r="T673" t="str">
            <v>Re-size</v>
          </cell>
          <cell r="U673">
            <v>9.26</v>
          </cell>
          <cell r="V673">
            <v>7.15</v>
          </cell>
          <cell r="X673" t="str">
            <v>Re-size</v>
          </cell>
          <cell r="Y673" t="str">
            <v>Re-size</v>
          </cell>
          <cell r="Z673" t="str">
            <v>Re-size</v>
          </cell>
          <cell r="AA673" t="str">
            <v>Re-size</v>
          </cell>
          <cell r="AB673" t="str">
            <v>Re-size</v>
          </cell>
          <cell r="AC673" t="str">
            <v>Re-size</v>
          </cell>
          <cell r="AD673" t="str">
            <v>Re-size</v>
          </cell>
          <cell r="AE673" t="str">
            <v>Re-size</v>
          </cell>
        </row>
        <row r="674">
          <cell r="B674">
            <v>13.25</v>
          </cell>
          <cell r="C674" t="str">
            <v>Re-size</v>
          </cell>
          <cell r="D674" t="str">
            <v>Re-size</v>
          </cell>
          <cell r="E674" t="str">
            <v>Re-size</v>
          </cell>
          <cell r="F674" t="str">
            <v>Re-size</v>
          </cell>
          <cell r="G674" t="str">
            <v>Re-size</v>
          </cell>
          <cell r="H674" t="str">
            <v>Re-size</v>
          </cell>
          <cell r="I674" t="str">
            <v>Re-size</v>
          </cell>
          <cell r="J674" t="str">
            <v>Re-size</v>
          </cell>
          <cell r="K674" t="str">
            <v>Re-size</v>
          </cell>
          <cell r="L674" t="str">
            <v>Re-size</v>
          </cell>
          <cell r="M674" t="str">
            <v>Re-size</v>
          </cell>
          <cell r="N674" t="str">
            <v>Re-size</v>
          </cell>
          <cell r="O674" t="str">
            <v>Re-size</v>
          </cell>
          <cell r="P674" t="str">
            <v>Re-size</v>
          </cell>
          <cell r="Q674" t="str">
            <v>Re-size</v>
          </cell>
          <cell r="R674" t="str">
            <v>Re-size</v>
          </cell>
          <cell r="S674" t="str">
            <v>Re-size</v>
          </cell>
          <cell r="T674" t="str">
            <v>Re-size</v>
          </cell>
          <cell r="U674">
            <v>9.32</v>
          </cell>
          <cell r="V674">
            <v>7.2050000000000001</v>
          </cell>
          <cell r="X674" t="str">
            <v>Re-size</v>
          </cell>
          <cell r="Y674" t="str">
            <v>Re-size</v>
          </cell>
          <cell r="Z674" t="str">
            <v>Re-size</v>
          </cell>
          <cell r="AA674" t="str">
            <v>Re-size</v>
          </cell>
          <cell r="AB674" t="str">
            <v>Re-size</v>
          </cell>
          <cell r="AC674" t="str">
            <v>Re-size</v>
          </cell>
          <cell r="AD674" t="str">
            <v>Re-size</v>
          </cell>
          <cell r="AE674" t="str">
            <v>Re-size</v>
          </cell>
        </row>
        <row r="675">
          <cell r="B675">
            <v>13.3</v>
          </cell>
          <cell r="C675" t="str">
            <v>Re-size</v>
          </cell>
          <cell r="D675" t="str">
            <v>Re-size</v>
          </cell>
          <cell r="E675" t="str">
            <v>Re-size</v>
          </cell>
          <cell r="F675" t="str">
            <v>Re-size</v>
          </cell>
          <cell r="G675" t="str">
            <v>Re-size</v>
          </cell>
          <cell r="H675" t="str">
            <v>Re-size</v>
          </cell>
          <cell r="I675" t="str">
            <v>Re-size</v>
          </cell>
          <cell r="J675" t="str">
            <v>Re-size</v>
          </cell>
          <cell r="K675" t="str">
            <v>Re-size</v>
          </cell>
          <cell r="L675" t="str">
            <v>Re-size</v>
          </cell>
          <cell r="M675" t="str">
            <v>Re-size</v>
          </cell>
          <cell r="N675" t="str">
            <v>Re-size</v>
          </cell>
          <cell r="O675" t="str">
            <v>Re-size</v>
          </cell>
          <cell r="P675" t="str">
            <v>Re-size</v>
          </cell>
          <cell r="Q675" t="str">
            <v>Re-size</v>
          </cell>
          <cell r="R675" t="str">
            <v>Re-size</v>
          </cell>
          <cell r="S675" t="str">
            <v>Re-size</v>
          </cell>
          <cell r="T675" t="str">
            <v>Re-size</v>
          </cell>
          <cell r="U675">
            <v>9.3800000000000008</v>
          </cell>
          <cell r="V675">
            <v>7.26</v>
          </cell>
          <cell r="X675" t="str">
            <v>Re-size</v>
          </cell>
          <cell r="Y675" t="str">
            <v>Re-size</v>
          </cell>
          <cell r="Z675" t="str">
            <v>Re-size</v>
          </cell>
          <cell r="AA675" t="str">
            <v>Re-size</v>
          </cell>
          <cell r="AB675" t="str">
            <v>Re-size</v>
          </cell>
          <cell r="AC675" t="str">
            <v>Re-size</v>
          </cell>
          <cell r="AD675" t="str">
            <v>Re-size</v>
          </cell>
          <cell r="AE675" t="str">
            <v>Re-size</v>
          </cell>
        </row>
        <row r="676">
          <cell r="B676">
            <v>13.35</v>
          </cell>
          <cell r="C676" t="str">
            <v>Re-size</v>
          </cell>
          <cell r="D676" t="str">
            <v>Re-size</v>
          </cell>
          <cell r="E676" t="str">
            <v>Re-size</v>
          </cell>
          <cell r="F676" t="str">
            <v>Re-size</v>
          </cell>
          <cell r="G676" t="str">
            <v>Re-size</v>
          </cell>
          <cell r="H676" t="str">
            <v>Re-size</v>
          </cell>
          <cell r="I676" t="str">
            <v>Re-size</v>
          </cell>
          <cell r="J676" t="str">
            <v>Re-size</v>
          </cell>
          <cell r="K676" t="str">
            <v>Re-size</v>
          </cell>
          <cell r="L676" t="str">
            <v>Re-size</v>
          </cell>
          <cell r="M676" t="str">
            <v>Re-size</v>
          </cell>
          <cell r="N676" t="str">
            <v>Re-size</v>
          </cell>
          <cell r="O676" t="str">
            <v>Re-size</v>
          </cell>
          <cell r="P676" t="str">
            <v>Re-size</v>
          </cell>
          <cell r="Q676" t="str">
            <v>Re-size</v>
          </cell>
          <cell r="R676" t="str">
            <v>Re-size</v>
          </cell>
          <cell r="S676" t="str">
            <v>Re-size</v>
          </cell>
          <cell r="T676" t="str">
            <v>Re-size</v>
          </cell>
          <cell r="U676">
            <v>9.44</v>
          </cell>
          <cell r="V676">
            <v>7.3150000000000004</v>
          </cell>
          <cell r="X676" t="str">
            <v>Re-size</v>
          </cell>
          <cell r="Y676" t="str">
            <v>Re-size</v>
          </cell>
          <cell r="Z676" t="str">
            <v>Re-size</v>
          </cell>
          <cell r="AA676" t="str">
            <v>Re-size</v>
          </cell>
          <cell r="AB676" t="str">
            <v>Re-size</v>
          </cell>
          <cell r="AC676" t="str">
            <v>Re-size</v>
          </cell>
          <cell r="AD676" t="str">
            <v>Re-size</v>
          </cell>
          <cell r="AE676" t="str">
            <v>Re-size</v>
          </cell>
        </row>
        <row r="677">
          <cell r="B677">
            <v>13.4</v>
          </cell>
          <cell r="C677" t="str">
            <v>Re-size</v>
          </cell>
          <cell r="D677" t="str">
            <v>Re-size</v>
          </cell>
          <cell r="E677" t="str">
            <v>Re-size</v>
          </cell>
          <cell r="F677" t="str">
            <v>Re-size</v>
          </cell>
          <cell r="G677" t="str">
            <v>Re-size</v>
          </cell>
          <cell r="H677" t="str">
            <v>Re-size</v>
          </cell>
          <cell r="I677" t="str">
            <v>Re-size</v>
          </cell>
          <cell r="J677" t="str">
            <v>Re-size</v>
          </cell>
          <cell r="K677" t="str">
            <v>Re-size</v>
          </cell>
          <cell r="L677" t="str">
            <v>Re-size</v>
          </cell>
          <cell r="M677" t="str">
            <v>Re-size</v>
          </cell>
          <cell r="N677" t="str">
            <v>Re-size</v>
          </cell>
          <cell r="O677" t="str">
            <v>Re-size</v>
          </cell>
          <cell r="P677" t="str">
            <v>Re-size</v>
          </cell>
          <cell r="Q677" t="str">
            <v>Re-size</v>
          </cell>
          <cell r="R677" t="str">
            <v>Re-size</v>
          </cell>
          <cell r="S677" t="str">
            <v>Re-size</v>
          </cell>
          <cell r="T677" t="str">
            <v>Re-size</v>
          </cell>
          <cell r="U677">
            <v>9.5</v>
          </cell>
          <cell r="V677">
            <v>7.37</v>
          </cell>
          <cell r="X677" t="str">
            <v>Re-size</v>
          </cell>
          <cell r="Y677" t="str">
            <v>Re-size</v>
          </cell>
          <cell r="Z677" t="str">
            <v>Re-size</v>
          </cell>
          <cell r="AA677" t="str">
            <v>Re-size</v>
          </cell>
          <cell r="AB677" t="str">
            <v>Re-size</v>
          </cell>
          <cell r="AC677" t="str">
            <v>Re-size</v>
          </cell>
          <cell r="AD677" t="str">
            <v>Re-size</v>
          </cell>
          <cell r="AE677" t="str">
            <v>Re-size</v>
          </cell>
        </row>
        <row r="678">
          <cell r="B678">
            <v>13.45</v>
          </cell>
          <cell r="C678" t="str">
            <v>Re-size</v>
          </cell>
          <cell r="D678" t="str">
            <v>Re-size</v>
          </cell>
          <cell r="E678" t="str">
            <v>Re-size</v>
          </cell>
          <cell r="F678" t="str">
            <v>Re-size</v>
          </cell>
          <cell r="G678" t="str">
            <v>Re-size</v>
          </cell>
          <cell r="H678" t="str">
            <v>Re-size</v>
          </cell>
          <cell r="I678" t="str">
            <v>Re-size</v>
          </cell>
          <cell r="J678" t="str">
            <v>Re-size</v>
          </cell>
          <cell r="K678" t="str">
            <v>Re-size</v>
          </cell>
          <cell r="L678" t="str">
            <v>Re-size</v>
          </cell>
          <cell r="M678" t="str">
            <v>Re-size</v>
          </cell>
          <cell r="N678" t="str">
            <v>Re-size</v>
          </cell>
          <cell r="O678" t="str">
            <v>Re-size</v>
          </cell>
          <cell r="P678" t="str">
            <v>Re-size</v>
          </cell>
          <cell r="Q678" t="str">
            <v>Re-size</v>
          </cell>
          <cell r="R678" t="str">
            <v>Re-size</v>
          </cell>
          <cell r="S678" t="str">
            <v>Re-size</v>
          </cell>
          <cell r="T678" t="str">
            <v>Re-size</v>
          </cell>
          <cell r="U678" t="str">
            <v>Re-size</v>
          </cell>
          <cell r="V678">
            <v>7.4249999999999998</v>
          </cell>
          <cell r="X678" t="str">
            <v>Re-size</v>
          </cell>
          <cell r="Y678" t="str">
            <v>Re-size</v>
          </cell>
          <cell r="Z678" t="str">
            <v>Re-size</v>
          </cell>
          <cell r="AA678" t="str">
            <v>Re-size</v>
          </cell>
          <cell r="AB678" t="str">
            <v>Re-size</v>
          </cell>
          <cell r="AC678" t="str">
            <v>Re-size</v>
          </cell>
          <cell r="AD678" t="str">
            <v>Re-size</v>
          </cell>
          <cell r="AE678" t="str">
            <v>Re-size</v>
          </cell>
        </row>
        <row r="679">
          <cell r="B679">
            <v>13.5</v>
          </cell>
          <cell r="C679" t="str">
            <v>Re-size</v>
          </cell>
          <cell r="D679" t="str">
            <v>Re-size</v>
          </cell>
          <cell r="E679" t="str">
            <v>Re-size</v>
          </cell>
          <cell r="F679" t="str">
            <v>Re-size</v>
          </cell>
          <cell r="G679" t="str">
            <v>Re-size</v>
          </cell>
          <cell r="H679" t="str">
            <v>Re-size</v>
          </cell>
          <cell r="I679" t="str">
            <v>Re-size</v>
          </cell>
          <cell r="J679" t="str">
            <v>Re-size</v>
          </cell>
          <cell r="K679" t="str">
            <v>Re-size</v>
          </cell>
          <cell r="L679" t="str">
            <v>Re-size</v>
          </cell>
          <cell r="M679" t="str">
            <v>Re-size</v>
          </cell>
          <cell r="N679" t="str">
            <v>Re-size</v>
          </cell>
          <cell r="O679" t="str">
            <v>Re-size</v>
          </cell>
          <cell r="P679" t="str">
            <v>Re-size</v>
          </cell>
          <cell r="Q679" t="str">
            <v>Re-size</v>
          </cell>
          <cell r="R679" t="str">
            <v>Re-size</v>
          </cell>
          <cell r="S679" t="str">
            <v>Re-size</v>
          </cell>
          <cell r="T679" t="str">
            <v>Re-size</v>
          </cell>
          <cell r="U679" t="str">
            <v>Re-size</v>
          </cell>
          <cell r="V679">
            <v>7.48</v>
          </cell>
          <cell r="X679" t="str">
            <v>Re-size</v>
          </cell>
          <cell r="Y679" t="str">
            <v>Re-size</v>
          </cell>
          <cell r="Z679" t="str">
            <v>Re-size</v>
          </cell>
          <cell r="AA679" t="str">
            <v>Re-size</v>
          </cell>
          <cell r="AB679" t="str">
            <v>Re-size</v>
          </cell>
          <cell r="AC679" t="str">
            <v>Re-size</v>
          </cell>
          <cell r="AD679" t="str">
            <v>Re-size</v>
          </cell>
          <cell r="AE679" t="str">
            <v>Re-size</v>
          </cell>
        </row>
        <row r="680">
          <cell r="B680">
            <v>13.55</v>
          </cell>
          <cell r="C680" t="str">
            <v>Re-size</v>
          </cell>
          <cell r="D680" t="str">
            <v>Re-size</v>
          </cell>
          <cell r="E680" t="str">
            <v>Re-size</v>
          </cell>
          <cell r="F680" t="str">
            <v>Re-size</v>
          </cell>
          <cell r="G680" t="str">
            <v>Re-size</v>
          </cell>
          <cell r="H680" t="str">
            <v>Re-size</v>
          </cell>
          <cell r="I680" t="str">
            <v>Re-size</v>
          </cell>
          <cell r="J680" t="str">
            <v>Re-size</v>
          </cell>
          <cell r="K680" t="str">
            <v>Re-size</v>
          </cell>
          <cell r="L680" t="str">
            <v>Re-size</v>
          </cell>
          <cell r="M680" t="str">
            <v>Re-size</v>
          </cell>
          <cell r="N680" t="str">
            <v>Re-size</v>
          </cell>
          <cell r="O680" t="str">
            <v>Re-size</v>
          </cell>
          <cell r="P680" t="str">
            <v>Re-size</v>
          </cell>
          <cell r="Q680" t="str">
            <v>Re-size</v>
          </cell>
          <cell r="R680" t="str">
            <v>Re-size</v>
          </cell>
          <cell r="S680" t="str">
            <v>Re-size</v>
          </cell>
          <cell r="T680" t="str">
            <v>Re-size</v>
          </cell>
          <cell r="U680" t="str">
            <v>Re-size</v>
          </cell>
          <cell r="V680">
            <v>7.54</v>
          </cell>
          <cell r="X680" t="str">
            <v>Re-size</v>
          </cell>
          <cell r="Y680" t="str">
            <v>Re-size</v>
          </cell>
          <cell r="Z680" t="str">
            <v>Re-size</v>
          </cell>
          <cell r="AA680" t="str">
            <v>Re-size</v>
          </cell>
          <cell r="AB680" t="str">
            <v>Re-size</v>
          </cell>
          <cell r="AC680" t="str">
            <v>Re-size</v>
          </cell>
          <cell r="AD680" t="str">
            <v>Re-size</v>
          </cell>
          <cell r="AE680" t="str">
            <v>Re-size</v>
          </cell>
        </row>
        <row r="681">
          <cell r="B681">
            <v>13.6</v>
          </cell>
          <cell r="C681" t="str">
            <v>Re-size</v>
          </cell>
          <cell r="D681" t="str">
            <v>Re-size</v>
          </cell>
          <cell r="E681" t="str">
            <v>Re-size</v>
          </cell>
          <cell r="F681" t="str">
            <v>Re-size</v>
          </cell>
          <cell r="G681" t="str">
            <v>Re-size</v>
          </cell>
          <cell r="H681" t="str">
            <v>Re-size</v>
          </cell>
          <cell r="I681" t="str">
            <v>Re-size</v>
          </cell>
          <cell r="J681" t="str">
            <v>Re-size</v>
          </cell>
          <cell r="K681" t="str">
            <v>Re-size</v>
          </cell>
          <cell r="L681" t="str">
            <v>Re-size</v>
          </cell>
          <cell r="M681" t="str">
            <v>Re-size</v>
          </cell>
          <cell r="N681" t="str">
            <v>Re-size</v>
          </cell>
          <cell r="O681" t="str">
            <v>Re-size</v>
          </cell>
          <cell r="P681" t="str">
            <v>Re-size</v>
          </cell>
          <cell r="Q681" t="str">
            <v>Re-size</v>
          </cell>
          <cell r="R681" t="str">
            <v>Re-size</v>
          </cell>
          <cell r="S681" t="str">
            <v>Re-size</v>
          </cell>
          <cell r="T681" t="str">
            <v>Re-size</v>
          </cell>
          <cell r="U681" t="str">
            <v>Re-size</v>
          </cell>
          <cell r="V681">
            <v>7.6</v>
          </cell>
          <cell r="X681" t="str">
            <v>Re-size</v>
          </cell>
          <cell r="Y681" t="str">
            <v>Re-size</v>
          </cell>
          <cell r="Z681" t="str">
            <v>Re-size</v>
          </cell>
          <cell r="AA681" t="str">
            <v>Re-size</v>
          </cell>
          <cell r="AB681" t="str">
            <v>Re-size</v>
          </cell>
          <cell r="AC681" t="str">
            <v>Re-size</v>
          </cell>
          <cell r="AD681" t="str">
            <v>Re-size</v>
          </cell>
          <cell r="AE681" t="str">
            <v>Re-size</v>
          </cell>
        </row>
        <row r="682">
          <cell r="B682">
            <v>13.65</v>
          </cell>
          <cell r="C682" t="str">
            <v>Re-size</v>
          </cell>
          <cell r="D682" t="str">
            <v>Re-size</v>
          </cell>
          <cell r="E682" t="str">
            <v>Re-size</v>
          </cell>
          <cell r="F682" t="str">
            <v>Re-size</v>
          </cell>
          <cell r="G682" t="str">
            <v>Re-size</v>
          </cell>
          <cell r="H682" t="str">
            <v>Re-size</v>
          </cell>
          <cell r="I682" t="str">
            <v>Re-size</v>
          </cell>
          <cell r="J682" t="str">
            <v>Re-size</v>
          </cell>
          <cell r="K682" t="str">
            <v>Re-size</v>
          </cell>
          <cell r="L682" t="str">
            <v>Re-size</v>
          </cell>
          <cell r="M682" t="str">
            <v>Re-size</v>
          </cell>
          <cell r="N682" t="str">
            <v>Re-size</v>
          </cell>
          <cell r="O682" t="str">
            <v>Re-size</v>
          </cell>
          <cell r="P682" t="str">
            <v>Re-size</v>
          </cell>
          <cell r="Q682" t="str">
            <v>Re-size</v>
          </cell>
          <cell r="R682" t="str">
            <v>Re-size</v>
          </cell>
          <cell r="S682" t="str">
            <v>Re-size</v>
          </cell>
          <cell r="T682" t="str">
            <v>Re-size</v>
          </cell>
          <cell r="U682" t="str">
            <v>Re-size</v>
          </cell>
          <cell r="V682">
            <v>7.63</v>
          </cell>
          <cell r="X682" t="str">
            <v>Re-size</v>
          </cell>
          <cell r="Y682" t="str">
            <v>Re-size</v>
          </cell>
          <cell r="Z682" t="str">
            <v>Re-size</v>
          </cell>
          <cell r="AA682" t="str">
            <v>Re-size</v>
          </cell>
          <cell r="AB682" t="str">
            <v>Re-size</v>
          </cell>
          <cell r="AC682" t="str">
            <v>Re-size</v>
          </cell>
          <cell r="AD682" t="str">
            <v>Re-size</v>
          </cell>
          <cell r="AE682" t="str">
            <v>Re-size</v>
          </cell>
        </row>
        <row r="683">
          <cell r="B683">
            <v>13.7</v>
          </cell>
          <cell r="C683" t="str">
            <v>Re-size</v>
          </cell>
          <cell r="D683" t="str">
            <v>Re-size</v>
          </cell>
          <cell r="E683" t="str">
            <v>Re-size</v>
          </cell>
          <cell r="F683" t="str">
            <v>Re-size</v>
          </cell>
          <cell r="G683" t="str">
            <v>Re-size</v>
          </cell>
          <cell r="H683" t="str">
            <v>Re-size</v>
          </cell>
          <cell r="I683" t="str">
            <v>Re-size</v>
          </cell>
          <cell r="J683" t="str">
            <v>Re-size</v>
          </cell>
          <cell r="K683" t="str">
            <v>Re-size</v>
          </cell>
          <cell r="L683" t="str">
            <v>Re-size</v>
          </cell>
          <cell r="M683" t="str">
            <v>Re-size</v>
          </cell>
          <cell r="N683" t="str">
            <v>Re-size</v>
          </cell>
          <cell r="O683" t="str">
            <v>Re-size</v>
          </cell>
          <cell r="P683" t="str">
            <v>Re-size</v>
          </cell>
          <cell r="Q683" t="str">
            <v>Re-size</v>
          </cell>
          <cell r="R683" t="str">
            <v>Re-size</v>
          </cell>
          <cell r="S683" t="str">
            <v>Re-size</v>
          </cell>
          <cell r="T683" t="str">
            <v>Re-size</v>
          </cell>
          <cell r="U683" t="str">
            <v>Re-size</v>
          </cell>
          <cell r="V683">
            <v>7.66</v>
          </cell>
          <cell r="X683" t="str">
            <v>Re-size</v>
          </cell>
          <cell r="Y683" t="str">
            <v>Re-size</v>
          </cell>
          <cell r="Z683" t="str">
            <v>Re-size</v>
          </cell>
          <cell r="AA683" t="str">
            <v>Re-size</v>
          </cell>
          <cell r="AB683" t="str">
            <v>Re-size</v>
          </cell>
          <cell r="AC683" t="str">
            <v>Re-size</v>
          </cell>
          <cell r="AD683" t="str">
            <v>Re-size</v>
          </cell>
          <cell r="AE683" t="str">
            <v>Re-size</v>
          </cell>
        </row>
        <row r="684">
          <cell r="B684">
            <v>13.75</v>
          </cell>
          <cell r="C684" t="str">
            <v>Re-size</v>
          </cell>
          <cell r="D684" t="str">
            <v>Re-size</v>
          </cell>
          <cell r="E684" t="str">
            <v>Re-size</v>
          </cell>
          <cell r="F684" t="str">
            <v>Re-size</v>
          </cell>
          <cell r="G684" t="str">
            <v>Re-size</v>
          </cell>
          <cell r="H684" t="str">
            <v>Re-size</v>
          </cell>
          <cell r="I684" t="str">
            <v>Re-size</v>
          </cell>
          <cell r="J684" t="str">
            <v>Re-size</v>
          </cell>
          <cell r="K684" t="str">
            <v>Re-size</v>
          </cell>
          <cell r="L684" t="str">
            <v>Re-size</v>
          </cell>
          <cell r="M684" t="str">
            <v>Re-size</v>
          </cell>
          <cell r="N684" t="str">
            <v>Re-size</v>
          </cell>
          <cell r="O684" t="str">
            <v>Re-size</v>
          </cell>
          <cell r="P684" t="str">
            <v>Re-size</v>
          </cell>
          <cell r="Q684" t="str">
            <v>Re-size</v>
          </cell>
          <cell r="R684" t="str">
            <v>Re-size</v>
          </cell>
          <cell r="S684" t="str">
            <v>Re-size</v>
          </cell>
          <cell r="T684" t="str">
            <v>Re-size</v>
          </cell>
          <cell r="U684" t="str">
            <v>Re-size</v>
          </cell>
          <cell r="V684">
            <v>7.7149999999999999</v>
          </cell>
          <cell r="X684" t="str">
            <v>Re-size</v>
          </cell>
          <cell r="Y684" t="str">
            <v>Re-size</v>
          </cell>
          <cell r="Z684" t="str">
            <v>Re-size</v>
          </cell>
          <cell r="AA684" t="str">
            <v>Re-size</v>
          </cell>
          <cell r="AB684" t="str">
            <v>Re-size</v>
          </cell>
          <cell r="AC684" t="str">
            <v>Re-size</v>
          </cell>
          <cell r="AD684" t="str">
            <v>Re-size</v>
          </cell>
          <cell r="AE684" t="str">
            <v>Re-size</v>
          </cell>
        </row>
        <row r="685">
          <cell r="B685">
            <v>13.8</v>
          </cell>
          <cell r="C685" t="str">
            <v>Re-size</v>
          </cell>
          <cell r="D685" t="str">
            <v>Re-size</v>
          </cell>
          <cell r="E685" t="str">
            <v>Re-size</v>
          </cell>
          <cell r="F685" t="str">
            <v>Re-size</v>
          </cell>
          <cell r="G685" t="str">
            <v>Re-size</v>
          </cell>
          <cell r="H685" t="str">
            <v>Re-size</v>
          </cell>
          <cell r="I685" t="str">
            <v>Re-size</v>
          </cell>
          <cell r="J685" t="str">
            <v>Re-size</v>
          </cell>
          <cell r="K685" t="str">
            <v>Re-size</v>
          </cell>
          <cell r="L685" t="str">
            <v>Re-size</v>
          </cell>
          <cell r="M685" t="str">
            <v>Re-size</v>
          </cell>
          <cell r="N685" t="str">
            <v>Re-size</v>
          </cell>
          <cell r="O685" t="str">
            <v>Re-size</v>
          </cell>
          <cell r="P685" t="str">
            <v>Re-size</v>
          </cell>
          <cell r="Q685" t="str">
            <v>Re-size</v>
          </cell>
          <cell r="R685" t="str">
            <v>Re-size</v>
          </cell>
          <cell r="S685" t="str">
            <v>Re-size</v>
          </cell>
          <cell r="T685" t="str">
            <v>Re-size</v>
          </cell>
          <cell r="U685" t="str">
            <v>Re-size</v>
          </cell>
          <cell r="V685">
            <v>7.77</v>
          </cell>
          <cell r="X685" t="str">
            <v>Re-size</v>
          </cell>
          <cell r="Y685" t="str">
            <v>Re-size</v>
          </cell>
          <cell r="Z685" t="str">
            <v>Re-size</v>
          </cell>
          <cell r="AA685" t="str">
            <v>Re-size</v>
          </cell>
          <cell r="AB685" t="str">
            <v>Re-size</v>
          </cell>
          <cell r="AC685" t="str">
            <v>Re-size</v>
          </cell>
          <cell r="AD685" t="str">
            <v>Re-size</v>
          </cell>
          <cell r="AE685" t="str">
            <v>Re-size</v>
          </cell>
        </row>
        <row r="686">
          <cell r="B686">
            <v>13.85</v>
          </cell>
          <cell r="C686" t="str">
            <v>Re-size</v>
          </cell>
          <cell r="D686" t="str">
            <v>Re-size</v>
          </cell>
          <cell r="E686" t="str">
            <v>Re-size</v>
          </cell>
          <cell r="F686" t="str">
            <v>Re-size</v>
          </cell>
          <cell r="G686" t="str">
            <v>Re-size</v>
          </cell>
          <cell r="H686" t="str">
            <v>Re-size</v>
          </cell>
          <cell r="I686" t="str">
            <v>Re-size</v>
          </cell>
          <cell r="J686" t="str">
            <v>Re-size</v>
          </cell>
          <cell r="K686" t="str">
            <v>Re-size</v>
          </cell>
          <cell r="L686" t="str">
            <v>Re-size</v>
          </cell>
          <cell r="M686" t="str">
            <v>Re-size</v>
          </cell>
          <cell r="N686" t="str">
            <v>Re-size</v>
          </cell>
          <cell r="O686" t="str">
            <v>Re-size</v>
          </cell>
          <cell r="P686" t="str">
            <v>Re-size</v>
          </cell>
          <cell r="Q686" t="str">
            <v>Re-size</v>
          </cell>
          <cell r="R686" t="str">
            <v>Re-size</v>
          </cell>
          <cell r="S686" t="str">
            <v>Re-size</v>
          </cell>
          <cell r="T686" t="str">
            <v>Re-size</v>
          </cell>
          <cell r="U686" t="str">
            <v>Re-size</v>
          </cell>
          <cell r="V686">
            <v>7.83</v>
          </cell>
          <cell r="X686" t="str">
            <v>Re-size</v>
          </cell>
          <cell r="Y686" t="str">
            <v>Re-size</v>
          </cell>
          <cell r="Z686" t="str">
            <v>Re-size</v>
          </cell>
          <cell r="AA686" t="str">
            <v>Re-size</v>
          </cell>
          <cell r="AB686" t="str">
            <v>Re-size</v>
          </cell>
          <cell r="AC686" t="str">
            <v>Re-size</v>
          </cell>
          <cell r="AD686" t="str">
            <v>Re-size</v>
          </cell>
          <cell r="AE686" t="str">
            <v>Re-size</v>
          </cell>
        </row>
        <row r="687">
          <cell r="B687">
            <v>13.9</v>
          </cell>
          <cell r="C687" t="str">
            <v>Re-size</v>
          </cell>
          <cell r="D687" t="str">
            <v>Re-size</v>
          </cell>
          <cell r="E687" t="str">
            <v>Re-size</v>
          </cell>
          <cell r="F687" t="str">
            <v>Re-size</v>
          </cell>
          <cell r="G687" t="str">
            <v>Re-size</v>
          </cell>
          <cell r="H687" t="str">
            <v>Re-size</v>
          </cell>
          <cell r="I687" t="str">
            <v>Re-size</v>
          </cell>
          <cell r="J687" t="str">
            <v>Re-size</v>
          </cell>
          <cell r="K687" t="str">
            <v>Re-size</v>
          </cell>
          <cell r="L687" t="str">
            <v>Re-size</v>
          </cell>
          <cell r="M687" t="str">
            <v>Re-size</v>
          </cell>
          <cell r="N687" t="str">
            <v>Re-size</v>
          </cell>
          <cell r="O687" t="str">
            <v>Re-size</v>
          </cell>
          <cell r="P687" t="str">
            <v>Re-size</v>
          </cell>
          <cell r="Q687" t="str">
            <v>Re-size</v>
          </cell>
          <cell r="R687" t="str">
            <v>Re-size</v>
          </cell>
          <cell r="S687" t="str">
            <v>Re-size</v>
          </cell>
          <cell r="T687" t="str">
            <v>Re-size</v>
          </cell>
          <cell r="U687" t="str">
            <v>Re-size</v>
          </cell>
          <cell r="V687">
            <v>7.89</v>
          </cell>
          <cell r="X687" t="str">
            <v>Re-size</v>
          </cell>
          <cell r="Y687" t="str">
            <v>Re-size</v>
          </cell>
          <cell r="Z687" t="str">
            <v>Re-size</v>
          </cell>
          <cell r="AA687" t="str">
            <v>Re-size</v>
          </cell>
          <cell r="AB687" t="str">
            <v>Re-size</v>
          </cell>
          <cell r="AC687" t="str">
            <v>Re-size</v>
          </cell>
          <cell r="AD687" t="str">
            <v>Re-size</v>
          </cell>
          <cell r="AE687" t="str">
            <v>Re-size</v>
          </cell>
        </row>
        <row r="688">
          <cell r="B688">
            <v>13.95</v>
          </cell>
          <cell r="C688" t="str">
            <v>Re-size</v>
          </cell>
          <cell r="D688" t="str">
            <v>Re-size</v>
          </cell>
          <cell r="E688" t="str">
            <v>Re-size</v>
          </cell>
          <cell r="F688" t="str">
            <v>Re-size</v>
          </cell>
          <cell r="G688" t="str">
            <v>Re-size</v>
          </cell>
          <cell r="H688" t="str">
            <v>Re-size</v>
          </cell>
          <cell r="I688" t="str">
            <v>Re-size</v>
          </cell>
          <cell r="J688" t="str">
            <v>Re-size</v>
          </cell>
          <cell r="K688" t="str">
            <v>Re-size</v>
          </cell>
          <cell r="L688" t="str">
            <v>Re-size</v>
          </cell>
          <cell r="M688" t="str">
            <v>Re-size</v>
          </cell>
          <cell r="N688" t="str">
            <v>Re-size</v>
          </cell>
          <cell r="O688" t="str">
            <v>Re-size</v>
          </cell>
          <cell r="P688" t="str">
            <v>Re-size</v>
          </cell>
          <cell r="Q688" t="str">
            <v>Re-size</v>
          </cell>
          <cell r="R688" t="str">
            <v>Re-size</v>
          </cell>
          <cell r="S688" t="str">
            <v>Re-size</v>
          </cell>
          <cell r="T688" t="str">
            <v>Re-size</v>
          </cell>
          <cell r="U688" t="str">
            <v>Re-size</v>
          </cell>
          <cell r="V688">
            <v>7.9450000000000003</v>
          </cell>
          <cell r="X688" t="str">
            <v>Re-size</v>
          </cell>
          <cell r="Y688" t="str">
            <v>Re-size</v>
          </cell>
          <cell r="Z688" t="str">
            <v>Re-size</v>
          </cell>
          <cell r="AA688" t="str">
            <v>Re-size</v>
          </cell>
          <cell r="AB688" t="str">
            <v>Re-size</v>
          </cell>
          <cell r="AC688" t="str">
            <v>Re-size</v>
          </cell>
          <cell r="AD688" t="str">
            <v>Re-size</v>
          </cell>
          <cell r="AE688" t="str">
            <v>Re-size</v>
          </cell>
        </row>
        <row r="689">
          <cell r="B689">
            <v>14</v>
          </cell>
          <cell r="C689" t="str">
            <v>Re-size</v>
          </cell>
          <cell r="D689" t="str">
            <v>Re-size</v>
          </cell>
          <cell r="E689" t="str">
            <v>Re-size</v>
          </cell>
          <cell r="F689" t="str">
            <v>Re-size</v>
          </cell>
          <cell r="G689" t="str">
            <v>Re-size</v>
          </cell>
          <cell r="H689" t="str">
            <v>Re-size</v>
          </cell>
          <cell r="I689" t="str">
            <v>Re-size</v>
          </cell>
          <cell r="J689" t="str">
            <v>Re-size</v>
          </cell>
          <cell r="K689" t="str">
            <v>Re-size</v>
          </cell>
          <cell r="L689" t="str">
            <v>Re-size</v>
          </cell>
          <cell r="M689" t="str">
            <v>Re-size</v>
          </cell>
          <cell r="N689" t="str">
            <v>Re-size</v>
          </cell>
          <cell r="O689" t="str">
            <v>Re-size</v>
          </cell>
          <cell r="P689" t="str">
            <v>Re-size</v>
          </cell>
          <cell r="Q689" t="str">
            <v>Re-size</v>
          </cell>
          <cell r="R689" t="str">
            <v>Re-size</v>
          </cell>
          <cell r="S689" t="str">
            <v>Re-size</v>
          </cell>
          <cell r="T689" t="str">
            <v>Re-size</v>
          </cell>
          <cell r="U689" t="str">
            <v>Re-size</v>
          </cell>
          <cell r="V689">
            <v>8</v>
          </cell>
          <cell r="X689" t="str">
            <v>Re-size</v>
          </cell>
          <cell r="Y689" t="str">
            <v>Re-size</v>
          </cell>
          <cell r="Z689" t="str">
            <v>Re-size</v>
          </cell>
          <cell r="AA689" t="str">
            <v>Re-size</v>
          </cell>
          <cell r="AB689" t="str">
            <v>Re-size</v>
          </cell>
          <cell r="AC689" t="str">
            <v>Re-size</v>
          </cell>
          <cell r="AD689" t="str">
            <v>Re-size</v>
          </cell>
          <cell r="AE689" t="str">
            <v>Re-size</v>
          </cell>
        </row>
        <row r="690">
          <cell r="B690">
            <v>14.05</v>
          </cell>
          <cell r="C690" t="str">
            <v>Re-size</v>
          </cell>
          <cell r="D690" t="str">
            <v>Re-size</v>
          </cell>
          <cell r="E690" t="str">
            <v>Re-size</v>
          </cell>
          <cell r="F690" t="str">
            <v>Re-size</v>
          </cell>
          <cell r="G690" t="str">
            <v>Re-size</v>
          </cell>
          <cell r="H690" t="str">
            <v>Re-size</v>
          </cell>
          <cell r="I690" t="str">
            <v>Re-size</v>
          </cell>
          <cell r="J690" t="str">
            <v>Re-size</v>
          </cell>
          <cell r="K690" t="str">
            <v>Re-size</v>
          </cell>
          <cell r="L690" t="str">
            <v>Re-size</v>
          </cell>
          <cell r="M690" t="str">
            <v>Re-size</v>
          </cell>
          <cell r="N690" t="str">
            <v>Re-size</v>
          </cell>
          <cell r="O690" t="str">
            <v>Re-size</v>
          </cell>
          <cell r="P690" t="str">
            <v>Re-size</v>
          </cell>
          <cell r="Q690" t="str">
            <v>Re-size</v>
          </cell>
          <cell r="R690" t="str">
            <v>Re-size</v>
          </cell>
          <cell r="S690" t="str">
            <v>Re-size</v>
          </cell>
          <cell r="T690" t="str">
            <v>Re-size</v>
          </cell>
          <cell r="U690" t="str">
            <v>Re-size</v>
          </cell>
          <cell r="V690">
            <v>8.06</v>
          </cell>
          <cell r="X690" t="str">
            <v>Re-size</v>
          </cell>
          <cell r="Y690" t="str">
            <v>Re-size</v>
          </cell>
          <cell r="Z690" t="str">
            <v>Re-size</v>
          </cell>
          <cell r="AA690" t="str">
            <v>Re-size</v>
          </cell>
          <cell r="AB690" t="str">
            <v>Re-size</v>
          </cell>
          <cell r="AC690" t="str">
            <v>Re-size</v>
          </cell>
          <cell r="AD690" t="str">
            <v>Re-size</v>
          </cell>
          <cell r="AE690" t="str">
            <v>Re-size</v>
          </cell>
        </row>
        <row r="691">
          <cell r="B691">
            <v>14.1</v>
          </cell>
          <cell r="C691" t="str">
            <v>Re-size</v>
          </cell>
          <cell r="D691" t="str">
            <v>Re-size</v>
          </cell>
          <cell r="E691" t="str">
            <v>Re-size</v>
          </cell>
          <cell r="F691" t="str">
            <v>Re-size</v>
          </cell>
          <cell r="G691" t="str">
            <v>Re-size</v>
          </cell>
          <cell r="H691" t="str">
            <v>Re-size</v>
          </cell>
          <cell r="I691" t="str">
            <v>Re-size</v>
          </cell>
          <cell r="J691" t="str">
            <v>Re-size</v>
          </cell>
          <cell r="K691" t="str">
            <v>Re-size</v>
          </cell>
          <cell r="L691" t="str">
            <v>Re-size</v>
          </cell>
          <cell r="M691" t="str">
            <v>Re-size</v>
          </cell>
          <cell r="N691" t="str">
            <v>Re-size</v>
          </cell>
          <cell r="O691" t="str">
            <v>Re-size</v>
          </cell>
          <cell r="P691" t="str">
            <v>Re-size</v>
          </cell>
          <cell r="Q691" t="str">
            <v>Re-size</v>
          </cell>
          <cell r="R691" t="str">
            <v>Re-size</v>
          </cell>
          <cell r="S691" t="str">
            <v>Re-size</v>
          </cell>
          <cell r="T691" t="str">
            <v>Re-size</v>
          </cell>
          <cell r="U691" t="str">
            <v>Re-size</v>
          </cell>
          <cell r="V691">
            <v>8.1199999999999992</v>
          </cell>
          <cell r="X691" t="str">
            <v>Re-size</v>
          </cell>
          <cell r="Y691" t="str">
            <v>Re-size</v>
          </cell>
          <cell r="Z691" t="str">
            <v>Re-size</v>
          </cell>
          <cell r="AA691" t="str">
            <v>Re-size</v>
          </cell>
          <cell r="AB691" t="str">
            <v>Re-size</v>
          </cell>
          <cell r="AC691" t="str">
            <v>Re-size</v>
          </cell>
          <cell r="AD691" t="str">
            <v>Re-size</v>
          </cell>
          <cell r="AE691" t="str">
            <v>Re-size</v>
          </cell>
        </row>
        <row r="692">
          <cell r="B692">
            <v>14.15</v>
          </cell>
          <cell r="C692" t="str">
            <v>Re-size</v>
          </cell>
          <cell r="D692" t="str">
            <v>Re-size</v>
          </cell>
          <cell r="E692" t="str">
            <v>Re-size</v>
          </cell>
          <cell r="F692" t="str">
            <v>Re-size</v>
          </cell>
          <cell r="G692" t="str">
            <v>Re-size</v>
          </cell>
          <cell r="H692" t="str">
            <v>Re-size</v>
          </cell>
          <cell r="I692" t="str">
            <v>Re-size</v>
          </cell>
          <cell r="J692" t="str">
            <v>Re-size</v>
          </cell>
          <cell r="K692" t="str">
            <v>Re-size</v>
          </cell>
          <cell r="L692" t="str">
            <v>Re-size</v>
          </cell>
          <cell r="M692" t="str">
            <v>Re-size</v>
          </cell>
          <cell r="N692" t="str">
            <v>Re-size</v>
          </cell>
          <cell r="O692" t="str">
            <v>Re-size</v>
          </cell>
          <cell r="P692" t="str">
            <v>Re-size</v>
          </cell>
          <cell r="Q692" t="str">
            <v>Re-size</v>
          </cell>
          <cell r="R692" t="str">
            <v>Re-size</v>
          </cell>
          <cell r="S692" t="str">
            <v>Re-size</v>
          </cell>
          <cell r="T692" t="str">
            <v>Re-size</v>
          </cell>
          <cell r="U692" t="str">
            <v>Re-size</v>
          </cell>
          <cell r="V692">
            <v>8.15</v>
          </cell>
          <cell r="X692" t="str">
            <v>Re-size</v>
          </cell>
          <cell r="Y692" t="str">
            <v>Re-size</v>
          </cell>
          <cell r="Z692" t="str">
            <v>Re-size</v>
          </cell>
          <cell r="AA692" t="str">
            <v>Re-size</v>
          </cell>
          <cell r="AB692" t="str">
            <v>Re-size</v>
          </cell>
          <cell r="AC692" t="str">
            <v>Re-size</v>
          </cell>
          <cell r="AD692" t="str">
            <v>Re-size</v>
          </cell>
          <cell r="AE692" t="str">
            <v>Re-size</v>
          </cell>
        </row>
        <row r="693">
          <cell r="B693">
            <v>14.2</v>
          </cell>
          <cell r="C693" t="str">
            <v>Re-size</v>
          </cell>
          <cell r="D693" t="str">
            <v>Re-size</v>
          </cell>
          <cell r="E693" t="str">
            <v>Re-size</v>
          </cell>
          <cell r="F693" t="str">
            <v>Re-size</v>
          </cell>
          <cell r="G693" t="str">
            <v>Re-size</v>
          </cell>
          <cell r="H693" t="str">
            <v>Re-size</v>
          </cell>
          <cell r="I693" t="str">
            <v>Re-size</v>
          </cell>
          <cell r="J693" t="str">
            <v>Re-size</v>
          </cell>
          <cell r="K693" t="str">
            <v>Re-size</v>
          </cell>
          <cell r="L693" t="str">
            <v>Re-size</v>
          </cell>
          <cell r="M693" t="str">
            <v>Re-size</v>
          </cell>
          <cell r="N693" t="str">
            <v>Re-size</v>
          </cell>
          <cell r="O693" t="str">
            <v>Re-size</v>
          </cell>
          <cell r="P693" t="str">
            <v>Re-size</v>
          </cell>
          <cell r="Q693" t="str">
            <v>Re-size</v>
          </cell>
          <cell r="R693" t="str">
            <v>Re-size</v>
          </cell>
          <cell r="S693" t="str">
            <v>Re-size</v>
          </cell>
          <cell r="T693" t="str">
            <v>Re-size</v>
          </cell>
          <cell r="U693" t="str">
            <v>Re-size</v>
          </cell>
          <cell r="V693">
            <v>8.18</v>
          </cell>
          <cell r="X693" t="str">
            <v>Re-size</v>
          </cell>
          <cell r="Y693" t="str">
            <v>Re-size</v>
          </cell>
          <cell r="Z693" t="str">
            <v>Re-size</v>
          </cell>
          <cell r="AA693" t="str">
            <v>Re-size</v>
          </cell>
          <cell r="AB693" t="str">
            <v>Re-size</v>
          </cell>
          <cell r="AC693" t="str">
            <v>Re-size</v>
          </cell>
          <cell r="AD693" t="str">
            <v>Re-size</v>
          </cell>
          <cell r="AE693" t="str">
            <v>Re-size</v>
          </cell>
        </row>
        <row r="694">
          <cell r="B694">
            <v>14.25</v>
          </cell>
          <cell r="C694" t="str">
            <v>Re-size</v>
          </cell>
          <cell r="D694" t="str">
            <v>Re-size</v>
          </cell>
          <cell r="E694" t="str">
            <v>Re-size</v>
          </cell>
          <cell r="F694" t="str">
            <v>Re-size</v>
          </cell>
          <cell r="G694" t="str">
            <v>Re-size</v>
          </cell>
          <cell r="H694" t="str">
            <v>Re-size</v>
          </cell>
          <cell r="I694" t="str">
            <v>Re-size</v>
          </cell>
          <cell r="J694" t="str">
            <v>Re-size</v>
          </cell>
          <cell r="K694" t="str">
            <v>Re-size</v>
          </cell>
          <cell r="L694" t="str">
            <v>Re-size</v>
          </cell>
          <cell r="M694" t="str">
            <v>Re-size</v>
          </cell>
          <cell r="N694" t="str">
            <v>Re-size</v>
          </cell>
          <cell r="O694" t="str">
            <v>Re-size</v>
          </cell>
          <cell r="P694" t="str">
            <v>Re-size</v>
          </cell>
          <cell r="Q694" t="str">
            <v>Re-size</v>
          </cell>
          <cell r="R694" t="str">
            <v>Re-size</v>
          </cell>
          <cell r="S694" t="str">
            <v>Re-size</v>
          </cell>
          <cell r="T694" t="str">
            <v>Re-size</v>
          </cell>
          <cell r="U694" t="str">
            <v>Re-size</v>
          </cell>
          <cell r="V694">
            <v>8.24</v>
          </cell>
          <cell r="X694" t="str">
            <v>Re-size</v>
          </cell>
          <cell r="Y694" t="str">
            <v>Re-size</v>
          </cell>
          <cell r="Z694" t="str">
            <v>Re-size</v>
          </cell>
          <cell r="AA694" t="str">
            <v>Re-size</v>
          </cell>
          <cell r="AB694" t="str">
            <v>Re-size</v>
          </cell>
          <cell r="AC694" t="str">
            <v>Re-size</v>
          </cell>
          <cell r="AD694" t="str">
            <v>Re-size</v>
          </cell>
          <cell r="AE694" t="str">
            <v>Re-size</v>
          </cell>
        </row>
        <row r="695">
          <cell r="B695">
            <v>14.3</v>
          </cell>
          <cell r="C695" t="str">
            <v>Re-size</v>
          </cell>
          <cell r="D695" t="str">
            <v>Re-size</v>
          </cell>
          <cell r="E695" t="str">
            <v>Re-size</v>
          </cell>
          <cell r="F695" t="str">
            <v>Re-size</v>
          </cell>
          <cell r="G695" t="str">
            <v>Re-size</v>
          </cell>
          <cell r="H695" t="str">
            <v>Re-size</v>
          </cell>
          <cell r="I695" t="str">
            <v>Re-size</v>
          </cell>
          <cell r="J695" t="str">
            <v>Re-size</v>
          </cell>
          <cell r="K695" t="str">
            <v>Re-size</v>
          </cell>
          <cell r="L695" t="str">
            <v>Re-size</v>
          </cell>
          <cell r="M695" t="str">
            <v>Re-size</v>
          </cell>
          <cell r="N695" t="str">
            <v>Re-size</v>
          </cell>
          <cell r="O695" t="str">
            <v>Re-size</v>
          </cell>
          <cell r="P695" t="str">
            <v>Re-size</v>
          </cell>
          <cell r="Q695" t="str">
            <v>Re-size</v>
          </cell>
          <cell r="R695" t="str">
            <v>Re-size</v>
          </cell>
          <cell r="S695" t="str">
            <v>Re-size</v>
          </cell>
          <cell r="T695" t="str">
            <v>Re-size</v>
          </cell>
          <cell r="U695" t="str">
            <v>Re-size</v>
          </cell>
          <cell r="V695">
            <v>8.3000000000000007</v>
          </cell>
          <cell r="X695" t="str">
            <v>Re-size</v>
          </cell>
          <cell r="Y695" t="str">
            <v>Re-size</v>
          </cell>
          <cell r="Z695" t="str">
            <v>Re-size</v>
          </cell>
          <cell r="AA695" t="str">
            <v>Re-size</v>
          </cell>
          <cell r="AB695" t="str">
            <v>Re-size</v>
          </cell>
          <cell r="AC695" t="str">
            <v>Re-size</v>
          </cell>
          <cell r="AD695" t="str">
            <v>Re-size</v>
          </cell>
          <cell r="AE695" t="str">
            <v>Re-size</v>
          </cell>
        </row>
        <row r="696">
          <cell r="B696">
            <v>14.35</v>
          </cell>
          <cell r="C696" t="str">
            <v>Re-size</v>
          </cell>
          <cell r="D696" t="str">
            <v>Re-size</v>
          </cell>
          <cell r="E696" t="str">
            <v>Re-size</v>
          </cell>
          <cell r="F696" t="str">
            <v>Re-size</v>
          </cell>
          <cell r="G696" t="str">
            <v>Re-size</v>
          </cell>
          <cell r="H696" t="str">
            <v>Re-size</v>
          </cell>
          <cell r="I696" t="str">
            <v>Re-size</v>
          </cell>
          <cell r="J696" t="str">
            <v>Re-size</v>
          </cell>
          <cell r="K696" t="str">
            <v>Re-size</v>
          </cell>
          <cell r="L696" t="str">
            <v>Re-size</v>
          </cell>
          <cell r="M696" t="str">
            <v>Re-size</v>
          </cell>
          <cell r="N696" t="str">
            <v>Re-size</v>
          </cell>
          <cell r="O696" t="str">
            <v>Re-size</v>
          </cell>
          <cell r="P696" t="str">
            <v>Re-size</v>
          </cell>
          <cell r="Q696" t="str">
            <v>Re-size</v>
          </cell>
          <cell r="R696" t="str">
            <v>Re-size</v>
          </cell>
          <cell r="S696" t="str">
            <v>Re-size</v>
          </cell>
          <cell r="T696" t="str">
            <v>Re-size</v>
          </cell>
          <cell r="U696" t="str">
            <v>Re-size</v>
          </cell>
          <cell r="V696">
            <v>8.35</v>
          </cell>
          <cell r="X696" t="str">
            <v>Re-size</v>
          </cell>
          <cell r="Y696" t="str">
            <v>Re-size</v>
          </cell>
          <cell r="Z696" t="str">
            <v>Re-size</v>
          </cell>
          <cell r="AA696" t="str">
            <v>Re-size</v>
          </cell>
          <cell r="AB696" t="str">
            <v>Re-size</v>
          </cell>
          <cell r="AC696" t="str">
            <v>Re-size</v>
          </cell>
          <cell r="AD696" t="str">
            <v>Re-size</v>
          </cell>
          <cell r="AE696" t="str">
            <v>Re-size</v>
          </cell>
        </row>
        <row r="697">
          <cell r="B697">
            <v>14.4</v>
          </cell>
          <cell r="C697" t="str">
            <v>Re-size</v>
          </cell>
          <cell r="D697" t="str">
            <v>Re-size</v>
          </cell>
          <cell r="E697" t="str">
            <v>Re-size</v>
          </cell>
          <cell r="F697" t="str">
            <v>Re-size</v>
          </cell>
          <cell r="G697" t="str">
            <v>Re-size</v>
          </cell>
          <cell r="H697" t="str">
            <v>Re-size</v>
          </cell>
          <cell r="I697" t="str">
            <v>Re-size</v>
          </cell>
          <cell r="J697" t="str">
            <v>Re-size</v>
          </cell>
          <cell r="K697" t="str">
            <v>Re-size</v>
          </cell>
          <cell r="L697" t="str">
            <v>Re-size</v>
          </cell>
          <cell r="M697" t="str">
            <v>Re-size</v>
          </cell>
          <cell r="N697" t="str">
            <v>Re-size</v>
          </cell>
          <cell r="O697" t="str">
            <v>Re-size</v>
          </cell>
          <cell r="P697" t="str">
            <v>Re-size</v>
          </cell>
          <cell r="Q697" t="str">
            <v>Re-size</v>
          </cell>
          <cell r="R697" t="str">
            <v>Re-size</v>
          </cell>
          <cell r="S697" t="str">
            <v>Re-size</v>
          </cell>
          <cell r="T697" t="str">
            <v>Re-size</v>
          </cell>
          <cell r="U697" t="str">
            <v>Re-size</v>
          </cell>
          <cell r="V697">
            <v>8.4</v>
          </cell>
          <cell r="X697" t="str">
            <v>Re-size</v>
          </cell>
          <cell r="Y697" t="str">
            <v>Re-size</v>
          </cell>
          <cell r="Z697" t="str">
            <v>Re-size</v>
          </cell>
          <cell r="AA697" t="str">
            <v>Re-size</v>
          </cell>
          <cell r="AB697" t="str">
            <v>Re-size</v>
          </cell>
          <cell r="AC697" t="str">
            <v>Re-size</v>
          </cell>
          <cell r="AD697" t="str">
            <v>Re-size</v>
          </cell>
          <cell r="AE697" t="str">
            <v>Re-size</v>
          </cell>
        </row>
      </sheetData>
      <sheetData sheetId="2"/>
      <sheetData sheetId="3"/>
      <sheetData sheetId="4"/>
      <sheetData sheetId="5"/>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
      <sheetName val="Cover"/>
      <sheetName val="Ishane"/>
      <sheetName val="Karapu"/>
      <sheetName val="Phaleni"/>
      <sheetName val="CONTROL PANEL"/>
      <sheetName val="Data"/>
      <sheetName val="Maintenance"/>
      <sheetName val="Dhamilikuwa"/>
      <sheetName val="Chandre"/>
      <sheetName val="Tarkughat"/>
      <sheetName val="Besishahar"/>
      <sheetName val="Bhagu"/>
      <sheetName val="Bhote"/>
      <sheetName val="Tarku"/>
      <sheetName val="Ramgha"/>
      <sheetName val="Bhalayakarka"/>
      <sheetName val="Maghi"/>
      <sheetName val="Gauda"/>
      <sheetName val="ADP Summary"/>
      <sheetName val="OUTPUT"/>
      <sheetName val="Survey"/>
      <sheetName val="Spcl Monitored"/>
      <sheetName val="Rev ADP Summary"/>
      <sheetName val="PPR Summary"/>
      <sheetName val="Pr"/>
      <sheetName val="Sheet1"/>
    </sheetNames>
    <sheetDataSet>
      <sheetData sheetId="0"/>
      <sheetData sheetId="1"/>
      <sheetData sheetId="2"/>
      <sheetData sheetId="3"/>
      <sheetData sheetId="4"/>
      <sheetData sheetId="5">
        <row r="19">
          <cell r="C19" t="str">
            <v>Keep this Row BLANK!</v>
          </cell>
        </row>
        <row r="20">
          <cell r="C20" t="str">
            <v>Hide this Row</v>
          </cell>
        </row>
        <row r="21">
          <cell r="C21" t="str">
            <v>Hide all Blank Rows</v>
          </cell>
        </row>
        <row r="22">
          <cell r="C22" t="str">
            <v>Unhide all Hidden Rows</v>
          </cell>
        </row>
        <row r="23">
          <cell r="C23" t="str">
            <v>Design and Estimate Preparation/Updating</v>
          </cell>
        </row>
        <row r="24">
          <cell r="C24" t="str">
            <v>Land Acquisition</v>
          </cell>
        </row>
        <row r="25">
          <cell r="C25" t="str">
            <v>Project Appraisal</v>
          </cell>
        </row>
        <row r="26">
          <cell r="C26" t="str">
            <v>Pre-construction Trainings</v>
          </cell>
        </row>
        <row r="27">
          <cell r="C27" t="str">
            <v>Procurement of Pipes</v>
          </cell>
        </row>
        <row r="28">
          <cell r="C28" t="str">
            <v>Procurement of Fittings &amp; Tools</v>
          </cell>
        </row>
        <row r="29">
          <cell r="C29" t="str">
            <v>Transportation of Pipes &amp; Fittings</v>
          </cell>
        </row>
        <row r="30">
          <cell r="C30" t="str">
            <v>Intake/Collection Chamber</v>
          </cell>
        </row>
        <row r="31">
          <cell r="C31" t="str">
            <v>Deep Tubewell/Sumpwell</v>
          </cell>
        </row>
        <row r="32">
          <cell r="C32" t="str">
            <v>Procure &amp; Instal. of Electromechanical Equipments</v>
          </cell>
        </row>
        <row r="33">
          <cell r="C33" t="str">
            <v>Electrification</v>
          </cell>
        </row>
        <row r="34">
          <cell r="C34" t="str">
            <v>Operator/Pump House</v>
          </cell>
        </row>
        <row r="35">
          <cell r="C35" t="str">
            <v>Transmission Pipeline</v>
          </cell>
        </row>
        <row r="36">
          <cell r="C36" t="str">
            <v>Ground RT</v>
          </cell>
        </row>
        <row r="37">
          <cell r="C37" t="str">
            <v>OH Tank</v>
          </cell>
        </row>
        <row r="38">
          <cell r="C38" t="str">
            <v>Distribution Pipeline</v>
          </cell>
        </row>
        <row r="39">
          <cell r="C39" t="str">
            <v>Public Tapstand</v>
          </cell>
        </row>
        <row r="40">
          <cell r="C40" t="str">
            <v>Miscellaneous Construction</v>
          </cell>
        </row>
        <row r="41">
          <cell r="C41" t="str">
            <v xml:space="preserve"> Grit Chamber</v>
          </cell>
        </row>
        <row r="42">
          <cell r="C42" t="str">
            <v xml:space="preserve"> Sediment Tank</v>
          </cell>
        </row>
        <row r="43">
          <cell r="C43" t="str">
            <v xml:space="preserve"> Roughing Filter</v>
          </cell>
        </row>
        <row r="44">
          <cell r="C44" t="str">
            <v xml:space="preserve"> Slow Sand Filter</v>
          </cell>
        </row>
        <row r="45">
          <cell r="C45" t="str">
            <v>Pressure Filter Unit</v>
          </cell>
        </row>
        <row r="46">
          <cell r="C46" t="str">
            <v>Compound wall</v>
          </cell>
        </row>
        <row r="47">
          <cell r="C47" t="str">
            <v>Sanitation Awareness Program</v>
          </cell>
        </row>
        <row r="48">
          <cell r="C48" t="str">
            <v>Private HH Latrine</v>
          </cell>
        </row>
        <row r="49">
          <cell r="C49" t="str">
            <v>Institutional Latrine</v>
          </cell>
        </row>
        <row r="50">
          <cell r="C50" t="str">
            <v>Sewer Facility</v>
          </cell>
        </row>
        <row r="51">
          <cell r="C51" t="str">
            <v>Repair of WSP Structures</v>
          </cell>
        </row>
        <row r="52">
          <cell r="C52" t="str">
            <v>Post Construction Training</v>
          </cell>
        </row>
        <row r="53">
          <cell r="C53" t="str">
            <v>Distribution of Tools</v>
          </cell>
        </row>
        <row r="54">
          <cell r="C54" t="str">
            <v>Scheme Handover</v>
          </cell>
        </row>
        <row r="55">
          <cell r="C55" t="str">
            <v>General Contingencies</v>
          </cell>
        </row>
        <row r="56">
          <cell r="C56" t="str">
            <v>Price Adjustment Contingencies</v>
          </cell>
        </row>
        <row r="57">
          <cell r="C57" t="str">
            <v>Physical Contingencies</v>
          </cell>
        </row>
        <row r="58">
          <cell r="C58" t="str">
            <v>Rainwater Harvesting System</v>
          </cell>
        </row>
        <row r="59">
          <cell r="C59" t="str">
            <v>Exchange Visit Program</v>
          </cell>
        </row>
        <row r="60">
          <cell r="C60" t="str">
            <v>Monitoring &amp; Supervision of Projects</v>
          </cell>
        </row>
        <row r="61">
          <cell r="C61" t="str">
            <v>Data Verification Workshop</v>
          </cell>
        </row>
        <row r="62">
          <cell r="C62" t="str">
            <v>Data Updating</v>
          </cell>
        </row>
        <row r="63">
          <cell r="C63" t="str">
            <v>Private tap distribution</v>
          </cell>
        </row>
        <row r="64">
          <cell r="C64" t="str">
            <v>Survey and implementation</v>
          </cell>
        </row>
        <row r="65">
          <cell r="C65" t="str">
            <v>Total Pipe line</v>
          </cell>
        </row>
        <row r="66">
          <cell r="C66" t="str">
            <v>Laying and jointing</v>
          </cell>
        </row>
        <row r="67">
          <cell r="C67" t="str">
            <v>New Pre const training</v>
          </cell>
        </row>
        <row r="68">
          <cell r="C68" t="str">
            <v>Awerness sanitation</v>
          </cell>
        </row>
        <row r="287">
          <cell r="C287" t="str">
            <v>Darchula</v>
          </cell>
        </row>
        <row r="288">
          <cell r="C288" t="str">
            <v>Baitadi</v>
          </cell>
        </row>
        <row r="289">
          <cell r="C289" t="str">
            <v>Dadeldhura</v>
          </cell>
        </row>
        <row r="290">
          <cell r="C290" t="str">
            <v>Kanchanpur</v>
          </cell>
        </row>
        <row r="291">
          <cell r="C291" t="str">
            <v>Kailali</v>
          </cell>
        </row>
        <row r="292">
          <cell r="C292" t="str">
            <v>Achham</v>
          </cell>
        </row>
        <row r="293">
          <cell r="C293" t="str">
            <v>Doti</v>
          </cell>
        </row>
        <row r="294">
          <cell r="C294" t="str">
            <v>Bajhang</v>
          </cell>
        </row>
        <row r="295">
          <cell r="C295" t="str">
            <v>Bajura</v>
          </cell>
        </row>
        <row r="296">
          <cell r="C296" t="str">
            <v>Humla</v>
          </cell>
        </row>
        <row r="297">
          <cell r="C297" t="str">
            <v>Mugu</v>
          </cell>
        </row>
        <row r="298">
          <cell r="C298" t="str">
            <v>Jumla</v>
          </cell>
        </row>
        <row r="299">
          <cell r="C299" t="str">
            <v>Kalikot</v>
          </cell>
        </row>
        <row r="300">
          <cell r="C300" t="str">
            <v>Dolpa</v>
          </cell>
        </row>
        <row r="301">
          <cell r="C301" t="str">
            <v>Jajarkot</v>
          </cell>
        </row>
        <row r="302">
          <cell r="C302" t="str">
            <v>Dailekh</v>
          </cell>
        </row>
        <row r="303">
          <cell r="C303" t="str">
            <v>Surkhet</v>
          </cell>
        </row>
        <row r="304">
          <cell r="C304" t="str">
            <v>Bardiya</v>
          </cell>
        </row>
        <row r="305">
          <cell r="C305" t="str">
            <v>Banke</v>
          </cell>
        </row>
        <row r="306">
          <cell r="C306" t="str">
            <v>Dang</v>
          </cell>
        </row>
        <row r="307">
          <cell r="C307" t="str">
            <v>Salyan</v>
          </cell>
        </row>
        <row r="308">
          <cell r="C308" t="str">
            <v>Rukum</v>
          </cell>
        </row>
        <row r="309">
          <cell r="C309" t="str">
            <v>Rolpa</v>
          </cell>
        </row>
        <row r="310">
          <cell r="C310" t="str">
            <v>Pyuthan</v>
          </cell>
        </row>
        <row r="311">
          <cell r="C311" t="str">
            <v>Kapilvastu</v>
          </cell>
        </row>
        <row r="312">
          <cell r="C312" t="str">
            <v>Rupandehi</v>
          </cell>
        </row>
        <row r="313">
          <cell r="C313" t="str">
            <v>Arghakhanchi</v>
          </cell>
        </row>
        <row r="314">
          <cell r="C314" t="str">
            <v>Palpa</v>
          </cell>
        </row>
        <row r="315">
          <cell r="C315" t="str">
            <v>Nawalparasi</v>
          </cell>
        </row>
        <row r="316">
          <cell r="C316" t="str">
            <v>Gulmi</v>
          </cell>
        </row>
        <row r="317">
          <cell r="C317" t="str">
            <v>Baglung</v>
          </cell>
        </row>
        <row r="318">
          <cell r="C318" t="str">
            <v>Myagdi</v>
          </cell>
        </row>
        <row r="319">
          <cell r="C319" t="str">
            <v>Mustang</v>
          </cell>
        </row>
        <row r="320">
          <cell r="C320" t="str">
            <v>Parvat</v>
          </cell>
        </row>
        <row r="321">
          <cell r="C321" t="str">
            <v>Manang</v>
          </cell>
        </row>
        <row r="322">
          <cell r="C322" t="str">
            <v>Kaski</v>
          </cell>
        </row>
        <row r="323">
          <cell r="C323" t="str">
            <v>Syangja</v>
          </cell>
        </row>
        <row r="324">
          <cell r="C324" t="str">
            <v>Tanahu</v>
          </cell>
        </row>
        <row r="325">
          <cell r="C325" t="str">
            <v>Lamjung</v>
          </cell>
        </row>
        <row r="326">
          <cell r="C326" t="str">
            <v>Gorkha</v>
          </cell>
        </row>
        <row r="327">
          <cell r="C327" t="str">
            <v>Chitwan</v>
          </cell>
        </row>
        <row r="328">
          <cell r="C328" t="str">
            <v>Makwanpur</v>
          </cell>
        </row>
        <row r="329">
          <cell r="C329" t="str">
            <v>Bara</v>
          </cell>
        </row>
        <row r="330">
          <cell r="C330" t="str">
            <v>Parsa</v>
          </cell>
        </row>
        <row r="331">
          <cell r="C331" t="str">
            <v>Rautahat</v>
          </cell>
        </row>
        <row r="332">
          <cell r="C332" t="str">
            <v>Dhading</v>
          </cell>
        </row>
        <row r="333">
          <cell r="C333" t="str">
            <v>Rasuwa</v>
          </cell>
        </row>
        <row r="334">
          <cell r="C334" t="str">
            <v>Nuwakot</v>
          </cell>
        </row>
        <row r="335">
          <cell r="C335" t="str">
            <v>Kathmandu</v>
          </cell>
        </row>
        <row r="336">
          <cell r="C336" t="str">
            <v>Lalitpur</v>
          </cell>
        </row>
        <row r="337">
          <cell r="C337" t="str">
            <v>Bhaktapur</v>
          </cell>
        </row>
        <row r="338">
          <cell r="C338" t="str">
            <v>Kavre</v>
          </cell>
        </row>
        <row r="339">
          <cell r="C339" t="str">
            <v>Sindhupalchok</v>
          </cell>
        </row>
        <row r="340">
          <cell r="C340" t="str">
            <v>Dolakha</v>
          </cell>
        </row>
        <row r="341">
          <cell r="C341" t="str">
            <v>Ramechhap</v>
          </cell>
        </row>
        <row r="342">
          <cell r="C342" t="str">
            <v>Sindhuli</v>
          </cell>
        </row>
        <row r="343">
          <cell r="C343" t="str">
            <v>Sarlahi</v>
          </cell>
        </row>
        <row r="344">
          <cell r="C344" t="str">
            <v>Mahottari</v>
          </cell>
        </row>
        <row r="345">
          <cell r="C345" t="str">
            <v>Dhanusha</v>
          </cell>
        </row>
        <row r="346">
          <cell r="C346" t="str">
            <v>Siraha</v>
          </cell>
        </row>
        <row r="347">
          <cell r="C347" t="str">
            <v>Saptari</v>
          </cell>
        </row>
        <row r="348">
          <cell r="C348" t="str">
            <v>Udaypur</v>
          </cell>
        </row>
        <row r="349">
          <cell r="C349" t="str">
            <v>Khotang</v>
          </cell>
        </row>
        <row r="350">
          <cell r="C350" t="str">
            <v>Okhaldhunga</v>
          </cell>
        </row>
        <row r="351">
          <cell r="C351" t="str">
            <v>Solukhumbu</v>
          </cell>
        </row>
        <row r="352">
          <cell r="C352" t="str">
            <v>Sankhuwasabha</v>
          </cell>
        </row>
        <row r="353">
          <cell r="C353" t="str">
            <v>Bhojpur</v>
          </cell>
        </row>
        <row r="354">
          <cell r="C354" t="str">
            <v>Terhathum</v>
          </cell>
        </row>
        <row r="355">
          <cell r="C355" t="str">
            <v>Dhankuta</v>
          </cell>
        </row>
        <row r="356">
          <cell r="C356" t="str">
            <v>Sunsari</v>
          </cell>
        </row>
        <row r="357">
          <cell r="C357" t="str">
            <v>Morang</v>
          </cell>
        </row>
        <row r="358">
          <cell r="C358" t="str">
            <v>Jhapa</v>
          </cell>
        </row>
        <row r="359">
          <cell r="C359" t="str">
            <v>Ilam</v>
          </cell>
        </row>
        <row r="360">
          <cell r="C360" t="str">
            <v>Panchthar</v>
          </cell>
        </row>
        <row r="361">
          <cell r="C361" t="str">
            <v>Taplejung</v>
          </cell>
        </row>
      </sheetData>
      <sheetData sheetId="6">
        <row r="3">
          <cell r="D3" t="str">
            <v>2067÷68</v>
          </cell>
        </row>
        <row r="5">
          <cell r="D5" t="str">
            <v>nDh'Ë</v>
          </cell>
        </row>
        <row r="49">
          <cell r="S49" t="str">
            <v>qmdfut</v>
          </cell>
          <cell r="T49" t="str">
            <v>;fnj;fnL</v>
          </cell>
          <cell r="U49" t="str">
            <v>;DkGg x'g]</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aoc"/>
      <sheetName val="4summary"/>
      <sheetName val="4boq"/>
      <sheetName val="aoc"/>
      <sheetName val="summary"/>
    </sheetNames>
    <sheetDataSet>
      <sheetData sheetId="0"/>
      <sheetData sheetId="1"/>
      <sheetData sheetId="2"/>
      <sheetData sheetId="3" refreshError="1"/>
      <sheetData sheetId="4"/>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s>
    <sheetDataSet>
      <sheetData sheetId="0"/>
      <sheetData sheetId="1"/>
      <sheetData sheetId="2"/>
      <sheetData sheetId="3" refreshError="1">
        <row r="11">
          <cell r="A11" t="str">
            <v>1.1.a</v>
          </cell>
          <cell r="B11" t="str">
            <v>1-1(a)</v>
          </cell>
          <cell r="C11" t="str">
            <v>Cutting of Trees including cutting of branches and hauling to 15 m distance (12-30 cm dia.)</v>
          </cell>
          <cell r="D11" t="str">
            <v>Cutting of Trees (12-30 cm dia.)</v>
          </cell>
          <cell r="E11" t="str">
            <v>no</v>
          </cell>
          <cell r="F11">
            <v>11.96</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BD11">
            <v>0</v>
          </cell>
        </row>
        <row r="12">
          <cell r="A12" t="str">
            <v>1.1.b</v>
          </cell>
          <cell r="B12" t="str">
            <v>1-1(b)</v>
          </cell>
          <cell r="C12" t="str">
            <v>Cutting of Trees including cutting of branches and hauling to 15 m distance (21-60 cm dia.)</v>
          </cell>
          <cell r="D12" t="str">
            <v>Cutting of Trees (21-60 cm dia.)</v>
          </cell>
          <cell r="E12" t="str">
            <v>no</v>
          </cell>
          <cell r="F12">
            <v>35.880000000000003</v>
          </cell>
          <cell r="G12">
            <v>42</v>
          </cell>
          <cell r="H12">
            <v>1506.96</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40</v>
          </cell>
          <cell r="X12">
            <v>1435.2</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2</v>
          </cell>
          <cell r="AT12">
            <v>71.760000000000005</v>
          </cell>
          <cell r="AU12">
            <v>0</v>
          </cell>
          <cell r="AV12">
            <v>0</v>
          </cell>
          <cell r="AW12">
            <v>0</v>
          </cell>
          <cell r="AX12">
            <v>0</v>
          </cell>
          <cell r="BD12">
            <v>40</v>
          </cell>
        </row>
        <row r="13">
          <cell r="A13" t="str">
            <v>1.1.c</v>
          </cell>
          <cell r="B13" t="str">
            <v>1-1(c)</v>
          </cell>
          <cell r="C13" t="str">
            <v>Cutting of Trees including cutting of branches and hauling to 15 m distance (61-90 cm dia.)</v>
          </cell>
          <cell r="D13" t="str">
            <v>Cutting of Trees (61-90 cm dia.)</v>
          </cell>
          <cell r="E13" t="str">
            <v>no</v>
          </cell>
          <cell r="F13">
            <v>90.160000000000011</v>
          </cell>
          <cell r="G13">
            <v>850</v>
          </cell>
          <cell r="H13">
            <v>76636.000000000015</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850</v>
          </cell>
          <cell r="AB13">
            <v>76636.000000000015</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BD13">
            <v>0</v>
          </cell>
        </row>
        <row r="14">
          <cell r="A14" t="str">
            <v>1.1.d</v>
          </cell>
          <cell r="B14" t="str">
            <v>1-1(d)</v>
          </cell>
          <cell r="C14" t="str">
            <v>Cutting of Trees including cutting of branches and hauling to 15 m distance (91-120 cm dia.)</v>
          </cell>
          <cell r="D14" t="str">
            <v>Cutting of Trees (91-120 cm dia.)</v>
          </cell>
          <cell r="E14" t="str">
            <v>no</v>
          </cell>
          <cell r="F14">
            <v>90.160000000000011</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0</v>
          </cell>
          <cell r="AS14">
            <v>0</v>
          </cell>
          <cell r="AT14">
            <v>0</v>
          </cell>
          <cell r="AU14">
            <v>0</v>
          </cell>
          <cell r="AV14">
            <v>0</v>
          </cell>
          <cell r="AW14">
            <v>0</v>
          </cell>
          <cell r="AX14">
            <v>0</v>
          </cell>
          <cell r="BD14">
            <v>0</v>
          </cell>
        </row>
        <row r="15">
          <cell r="A15" t="str">
            <v>1.1.e</v>
          </cell>
          <cell r="B15" t="str">
            <v>1-1(e)</v>
          </cell>
          <cell r="C15" t="str">
            <v>Cutting of Trees including cutting of branches and hauling to 15 m distance (121-180 cm dia.)</v>
          </cell>
          <cell r="D15" t="str">
            <v>Cutting of Trees (121-180 cm dia.)</v>
          </cell>
          <cell r="E15" t="str">
            <v>no</v>
          </cell>
          <cell r="F15">
            <v>368</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BD15">
            <v>0</v>
          </cell>
        </row>
        <row r="16">
          <cell r="A16" t="str">
            <v>1.1.f</v>
          </cell>
          <cell r="B16" t="str">
            <v>1-1(f)</v>
          </cell>
          <cell r="C16" t="str">
            <v>Cutting of Trees including cutting of branches and hauling to 15 m distance (181-240 cm dia.)</v>
          </cell>
          <cell r="D16" t="str">
            <v>Cutting of Trees (181-240 cm dia.)</v>
          </cell>
          <cell r="E16" t="str">
            <v>no</v>
          </cell>
          <cell r="F16">
            <v>368</v>
          </cell>
          <cell r="G16">
            <v>0</v>
          </cell>
          <cell r="H16">
            <v>0</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0</v>
          </cell>
          <cell r="AS16">
            <v>0</v>
          </cell>
          <cell r="AT16">
            <v>0</v>
          </cell>
          <cell r="AU16">
            <v>0</v>
          </cell>
          <cell r="AV16">
            <v>0</v>
          </cell>
          <cell r="AW16">
            <v>0</v>
          </cell>
          <cell r="AX16">
            <v>0</v>
          </cell>
          <cell r="BD16">
            <v>0</v>
          </cell>
        </row>
        <row r="17">
          <cell r="A17" t="str">
            <v>1.1.g</v>
          </cell>
          <cell r="B17" t="str">
            <v>1-1(g)</v>
          </cell>
          <cell r="C17" t="str">
            <v>Cutting of Trees including cutting of branches and hauling to 15 m distance (241-300 cm dia.)</v>
          </cell>
          <cell r="D17" t="str">
            <v>Cutting of Trees (241-300 cm dia.)</v>
          </cell>
          <cell r="E17" t="str">
            <v>no</v>
          </cell>
          <cell r="F17">
            <v>956.8</v>
          </cell>
          <cell r="G17">
            <v>0</v>
          </cell>
          <cell r="H17">
            <v>0</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J17">
            <v>0</v>
          </cell>
          <cell r="AK17">
            <v>0</v>
          </cell>
          <cell r="AL17">
            <v>0</v>
          </cell>
          <cell r="AM17">
            <v>0</v>
          </cell>
          <cell r="AN17">
            <v>0</v>
          </cell>
          <cell r="AO17">
            <v>0</v>
          </cell>
          <cell r="AP17">
            <v>0</v>
          </cell>
          <cell r="AQ17">
            <v>0</v>
          </cell>
          <cell r="AR17">
            <v>0</v>
          </cell>
          <cell r="AS17">
            <v>0</v>
          </cell>
          <cell r="AT17">
            <v>0</v>
          </cell>
          <cell r="AU17">
            <v>0</v>
          </cell>
          <cell r="AV17">
            <v>0</v>
          </cell>
          <cell r="AW17">
            <v>0</v>
          </cell>
          <cell r="AX17">
            <v>0</v>
          </cell>
          <cell r="BD17">
            <v>0</v>
          </cell>
        </row>
        <row r="18">
          <cell r="A18" t="str">
            <v>1.1.h</v>
          </cell>
          <cell r="B18" t="str">
            <v>1-1(h)</v>
          </cell>
          <cell r="C18" t="str">
            <v>Cutting of Trees including cutting of branches and hauling to 15 m distance (301- cm dia.)</v>
          </cell>
          <cell r="D18" t="str">
            <v>Cutting of Trees (301- cm dia.)</v>
          </cell>
          <cell r="E18" t="str">
            <v>no</v>
          </cell>
          <cell r="F18">
            <v>3833.6400000000003</v>
          </cell>
          <cell r="G18">
            <v>0</v>
          </cell>
          <cell r="H18">
            <v>0</v>
          </cell>
          <cell r="I18">
            <v>0</v>
          </cell>
          <cell r="J18">
            <v>0</v>
          </cell>
          <cell r="K18">
            <v>0</v>
          </cell>
          <cell r="L18">
            <v>0</v>
          </cell>
          <cell r="M18">
            <v>0</v>
          </cell>
          <cell r="N18">
            <v>0</v>
          </cell>
          <cell r="O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BD18">
            <v>0</v>
          </cell>
        </row>
        <row r="19">
          <cell r="A19" t="str">
            <v>1.2.a</v>
          </cell>
          <cell r="B19" t="str">
            <v>1-2(a)</v>
          </cell>
          <cell r="C19" t="str">
            <v>Removal of Tree roots and hauling to 15 m distance (12-30 cm dia.)</v>
          </cell>
          <cell r="D19" t="str">
            <v>Removal of Tree roots (12-30 cm dia.)</v>
          </cell>
          <cell r="E19" t="str">
            <v>no</v>
          </cell>
          <cell r="F19">
            <v>36.799999999999997</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BD19">
            <v>0</v>
          </cell>
        </row>
        <row r="20">
          <cell r="A20" t="str">
            <v>1.2.b</v>
          </cell>
          <cell r="B20" t="str">
            <v>1-2(b)</v>
          </cell>
          <cell r="C20" t="str">
            <v>Removal of Tree roots and hauling to 15 m distance (21-60 cm dia.)</v>
          </cell>
          <cell r="D20" t="str">
            <v>Removal of Tree roots (21-60 cm dia.)</v>
          </cell>
          <cell r="E20" t="str">
            <v>no</v>
          </cell>
          <cell r="F20">
            <v>48.760000000000005</v>
          </cell>
          <cell r="G20">
            <v>42</v>
          </cell>
          <cell r="H20">
            <v>2047.9200000000003</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40</v>
          </cell>
          <cell r="X20">
            <v>1950.4</v>
          </cell>
          <cell r="Y20">
            <v>0</v>
          </cell>
          <cell r="Z20">
            <v>0</v>
          </cell>
          <cell r="AA20">
            <v>0</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0</v>
          </cell>
          <cell r="AS20">
            <v>2</v>
          </cell>
          <cell r="AT20">
            <v>97.52000000000001</v>
          </cell>
          <cell r="AU20">
            <v>0</v>
          </cell>
          <cell r="AV20">
            <v>0</v>
          </cell>
          <cell r="AW20">
            <v>0</v>
          </cell>
          <cell r="AX20">
            <v>0</v>
          </cell>
          <cell r="BD20">
            <v>40</v>
          </cell>
        </row>
        <row r="21">
          <cell r="A21" t="str">
            <v>1.2.c</v>
          </cell>
          <cell r="B21" t="str">
            <v>1-2(c)</v>
          </cell>
          <cell r="C21" t="str">
            <v>Removal of Tree roots and hauling to 15 m distance (61-90 cm dia.)</v>
          </cell>
          <cell r="D21" t="str">
            <v>Removal of Tree roots (61-90 cm dia.)</v>
          </cell>
          <cell r="E21" t="str">
            <v>no</v>
          </cell>
          <cell r="F21">
            <v>231.84</v>
          </cell>
          <cell r="G21">
            <v>850</v>
          </cell>
          <cell r="H21">
            <v>197064</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0</v>
          </cell>
          <cell r="Y21">
            <v>0</v>
          </cell>
          <cell r="Z21">
            <v>0</v>
          </cell>
          <cell r="AA21">
            <v>850</v>
          </cell>
          <cell r="AB21">
            <v>197064</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BD21">
            <v>0</v>
          </cell>
        </row>
        <row r="22">
          <cell r="A22" t="str">
            <v>1.2.d</v>
          </cell>
          <cell r="B22" t="str">
            <v>1-2(d)</v>
          </cell>
          <cell r="C22" t="str">
            <v>Removal of Tree roots and hauling to 15 m distance (91-120 cm dia.)</v>
          </cell>
          <cell r="D22" t="str">
            <v>Removal of Tree roots (91-120 cm dia.)</v>
          </cell>
          <cell r="E22" t="str">
            <v>no</v>
          </cell>
          <cell r="F22">
            <v>231.84</v>
          </cell>
          <cell r="G22">
            <v>0</v>
          </cell>
          <cell r="H22">
            <v>0</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BD22">
            <v>0</v>
          </cell>
        </row>
        <row r="23">
          <cell r="A23" t="str">
            <v>1.2.e</v>
          </cell>
          <cell r="B23" t="str">
            <v>1-2(e)</v>
          </cell>
          <cell r="C23" t="str">
            <v>Removal of Tree roots and hauling to 15 m distance (121-180 cm dia.)</v>
          </cell>
          <cell r="D23" t="str">
            <v>Removal of Tree roots (121-180 cm dia.)</v>
          </cell>
          <cell r="E23" t="str">
            <v>no</v>
          </cell>
          <cell r="F23">
            <v>1104</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BD23">
            <v>0</v>
          </cell>
        </row>
        <row r="24">
          <cell r="A24" t="str">
            <v>1.2.f</v>
          </cell>
          <cell r="B24" t="str">
            <v>1-2(f)</v>
          </cell>
          <cell r="C24" t="str">
            <v>Removal of Tree roots and hauling to 15 m distance (181-240 cm dia.)</v>
          </cell>
          <cell r="D24" t="str">
            <v>Removal of Tree roots (181-240 cm dia.)</v>
          </cell>
          <cell r="E24" t="str">
            <v>no</v>
          </cell>
          <cell r="F24">
            <v>1104</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BD24">
            <v>0</v>
          </cell>
        </row>
        <row r="25">
          <cell r="A25" t="str">
            <v>1.2.g</v>
          </cell>
          <cell r="B25" t="str">
            <v>1-2(g)</v>
          </cell>
          <cell r="C25" t="str">
            <v>Removal of Tree roots and hauling to 15 m distance (241-300 cm dia.)</v>
          </cell>
          <cell r="D25" t="str">
            <v>Removal of Tree roots (241-300 cm dia.)</v>
          </cell>
          <cell r="E25" t="str">
            <v>no</v>
          </cell>
          <cell r="F25">
            <v>2723.2</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BD25">
            <v>0</v>
          </cell>
        </row>
        <row r="26">
          <cell r="A26" t="str">
            <v>1.3</v>
          </cell>
          <cell r="B26" t="str">
            <v>1-3</v>
          </cell>
          <cell r="C26" t="str">
            <v>Cutting thick vegetation, grubbing their roots and disposal 25m far from the construction site [Vegetation circumference &lt;=30 cm and density &gt;15nos/100 sqm)]</v>
          </cell>
          <cell r="D26" t="str">
            <v>Site Clearance in thick vegetation area</v>
          </cell>
          <cell r="E26" t="str">
            <v>sqm</v>
          </cell>
          <cell r="F26">
            <v>3.68</v>
          </cell>
          <cell r="G26">
            <v>33120.5</v>
          </cell>
          <cell r="H26">
            <v>121883.44</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0</v>
          </cell>
          <cell r="Y26">
            <v>0</v>
          </cell>
          <cell r="Z26">
            <v>0</v>
          </cell>
          <cell r="AA26">
            <v>32750</v>
          </cell>
          <cell r="AB26">
            <v>120520</v>
          </cell>
          <cell r="AC26">
            <v>0</v>
          </cell>
          <cell r="AD26">
            <v>0</v>
          </cell>
          <cell r="AE26">
            <v>0</v>
          </cell>
          <cell r="AF26">
            <v>0</v>
          </cell>
          <cell r="AG26">
            <v>0</v>
          </cell>
          <cell r="AH26">
            <v>0</v>
          </cell>
          <cell r="AI26">
            <v>333</v>
          </cell>
          <cell r="AJ26">
            <v>1225.44</v>
          </cell>
          <cell r="AK26">
            <v>0</v>
          </cell>
          <cell r="AL26">
            <v>0</v>
          </cell>
          <cell r="AM26">
            <v>0</v>
          </cell>
          <cell r="AN26">
            <v>0</v>
          </cell>
          <cell r="AO26">
            <v>0</v>
          </cell>
          <cell r="AP26">
            <v>0</v>
          </cell>
          <cell r="AQ26">
            <v>37.5</v>
          </cell>
          <cell r="AR26">
            <v>138</v>
          </cell>
          <cell r="AS26">
            <v>0</v>
          </cell>
          <cell r="AT26">
            <v>0</v>
          </cell>
          <cell r="AU26">
            <v>0</v>
          </cell>
          <cell r="AV26">
            <v>0</v>
          </cell>
          <cell r="AW26">
            <v>0</v>
          </cell>
          <cell r="AX26">
            <v>0</v>
          </cell>
          <cell r="BD26">
            <v>0</v>
          </cell>
        </row>
        <row r="27">
          <cell r="A27" t="str">
            <v>1.4</v>
          </cell>
          <cell r="B27" t="str">
            <v>1-4</v>
          </cell>
          <cell r="C27" t="str">
            <v>Cutting thin vegetation, grubbing their roots and disposal 25m far from the construction site [Vegetation dia &lt;=30 cm and density &gt;15nos/100 sqm)]</v>
          </cell>
          <cell r="D27" t="str">
            <v>Site Clearance in thin vegetation area</v>
          </cell>
          <cell r="E27" t="str">
            <v>sqm</v>
          </cell>
          <cell r="F27">
            <v>2.76</v>
          </cell>
          <cell r="G27">
            <v>76434.21875</v>
          </cell>
          <cell r="H27">
            <v>210958.44374999998</v>
          </cell>
          <cell r="I27">
            <v>0</v>
          </cell>
          <cell r="J27">
            <v>0</v>
          </cell>
          <cell r="K27">
            <v>450</v>
          </cell>
          <cell r="L27">
            <v>1242</v>
          </cell>
          <cell r="M27">
            <v>1250</v>
          </cell>
          <cell r="N27">
            <v>3449.9999999999995</v>
          </cell>
          <cell r="O27">
            <v>3750</v>
          </cell>
          <cell r="P27">
            <v>10350</v>
          </cell>
          <cell r="Q27">
            <v>5625</v>
          </cell>
          <cell r="R27">
            <v>15524.999999999998</v>
          </cell>
          <cell r="S27">
            <v>7500</v>
          </cell>
          <cell r="T27">
            <v>20700</v>
          </cell>
          <cell r="U27">
            <v>15000</v>
          </cell>
          <cell r="V27">
            <v>41400</v>
          </cell>
          <cell r="W27">
            <v>6750</v>
          </cell>
          <cell r="X27">
            <v>18630</v>
          </cell>
          <cell r="Y27">
            <v>93.73</v>
          </cell>
          <cell r="Z27">
            <v>258.69479999999999</v>
          </cell>
          <cell r="AA27">
            <v>0</v>
          </cell>
          <cell r="AB27">
            <v>0</v>
          </cell>
          <cell r="AC27">
            <v>454</v>
          </cell>
          <cell r="AD27">
            <v>1253.04</v>
          </cell>
          <cell r="AE27">
            <v>24.780000000000005</v>
          </cell>
          <cell r="AF27">
            <v>68.392800000000008</v>
          </cell>
          <cell r="AG27">
            <v>35.52000000000001</v>
          </cell>
          <cell r="AH27">
            <v>98.035200000000017</v>
          </cell>
          <cell r="AI27">
            <v>29725</v>
          </cell>
          <cell r="AJ27">
            <v>82041</v>
          </cell>
          <cell r="AK27">
            <v>176.34000000000003</v>
          </cell>
          <cell r="AL27">
            <v>486.69840000000005</v>
          </cell>
          <cell r="AM27">
            <v>0</v>
          </cell>
          <cell r="AN27">
            <v>0</v>
          </cell>
          <cell r="AO27">
            <v>0</v>
          </cell>
          <cell r="AP27">
            <v>0</v>
          </cell>
          <cell r="AQ27">
            <v>0</v>
          </cell>
          <cell r="AR27">
            <v>0</v>
          </cell>
          <cell r="AS27">
            <v>4327.9350000000004</v>
          </cell>
          <cell r="AT27">
            <v>11945.1006</v>
          </cell>
          <cell r="AU27">
            <v>4960.5</v>
          </cell>
          <cell r="AV27">
            <v>13690.98</v>
          </cell>
          <cell r="AW27">
            <v>61.413749999999993</v>
          </cell>
          <cell r="AX27">
            <v>169.50194999999997</v>
          </cell>
          <cell r="BD27">
            <v>34875</v>
          </cell>
        </row>
        <row r="28">
          <cell r="A28" t="str">
            <v>1.8</v>
          </cell>
          <cell r="B28" t="str">
            <v>1-8</v>
          </cell>
          <cell r="C28" t="str">
            <v>Excavation and removal of top soil (20 cm thick) and hualing outside the construction area</v>
          </cell>
          <cell r="D28" t="str">
            <v>Top soil removal (20 cm thick)</v>
          </cell>
          <cell r="E28" t="str">
            <v>cum</v>
          </cell>
          <cell r="F28">
            <v>88.320000000000007</v>
          </cell>
          <cell r="G28">
            <v>5011.8111111110338</v>
          </cell>
          <cell r="H28">
            <v>442643.15733332653</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0</v>
          </cell>
          <cell r="Y28">
            <v>0</v>
          </cell>
          <cell r="Z28">
            <v>0</v>
          </cell>
          <cell r="AA28">
            <v>0</v>
          </cell>
          <cell r="AB28">
            <v>0</v>
          </cell>
          <cell r="AC28">
            <v>1247.4000000000001</v>
          </cell>
          <cell r="AD28">
            <v>110170.36800000002</v>
          </cell>
          <cell r="AE28">
            <v>0</v>
          </cell>
          <cell r="AF28">
            <v>0</v>
          </cell>
          <cell r="AG28">
            <v>0</v>
          </cell>
          <cell r="AH28">
            <v>0</v>
          </cell>
          <cell r="AI28">
            <v>0</v>
          </cell>
          <cell r="AJ28">
            <v>0</v>
          </cell>
          <cell r="AK28">
            <v>0</v>
          </cell>
          <cell r="AL28">
            <v>0</v>
          </cell>
          <cell r="AM28">
            <v>0</v>
          </cell>
          <cell r="AN28">
            <v>0</v>
          </cell>
          <cell r="AO28">
            <v>1023.9699999999697</v>
          </cell>
          <cell r="AP28">
            <v>90437.030399997326</v>
          </cell>
          <cell r="AQ28">
            <v>2740.4411111110635</v>
          </cell>
          <cell r="AR28">
            <v>242035.75893332914</v>
          </cell>
          <cell r="AS28">
            <v>0</v>
          </cell>
          <cell r="AT28">
            <v>0</v>
          </cell>
          <cell r="AU28">
            <v>0</v>
          </cell>
          <cell r="AV28">
            <v>0</v>
          </cell>
          <cell r="AW28">
            <v>0</v>
          </cell>
          <cell r="AX28">
            <v>0</v>
          </cell>
          <cell r="BD28">
            <v>0</v>
          </cell>
        </row>
        <row r="29">
          <cell r="A29" t="str">
            <v>1.9</v>
          </cell>
          <cell r="B29" t="str">
            <v>1-9+1-10</v>
          </cell>
          <cell r="C29" t="str">
            <v>Spreading dressing and  light compaction of top soil, including hauling from outside the construction area</v>
          </cell>
          <cell r="D29" t="str">
            <v>Top soil spreading (20 cm thick)</v>
          </cell>
          <cell r="E29" t="str">
            <v>sqm</v>
          </cell>
          <cell r="F29">
            <v>64.400000000000006</v>
          </cell>
          <cell r="G29">
            <v>5011.8111111110338</v>
          </cell>
          <cell r="H29">
            <v>322760.63555555063</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0</v>
          </cell>
          <cell r="Y29">
            <v>0</v>
          </cell>
          <cell r="Z29">
            <v>0</v>
          </cell>
          <cell r="AA29">
            <v>0</v>
          </cell>
          <cell r="AB29">
            <v>0</v>
          </cell>
          <cell r="AC29">
            <v>1247.4000000000001</v>
          </cell>
          <cell r="AD29">
            <v>80332.560000000012</v>
          </cell>
          <cell r="AE29">
            <v>0</v>
          </cell>
          <cell r="AF29">
            <v>0</v>
          </cell>
          <cell r="AG29">
            <v>0</v>
          </cell>
          <cell r="AH29">
            <v>0</v>
          </cell>
          <cell r="AI29">
            <v>0</v>
          </cell>
          <cell r="AJ29">
            <v>0</v>
          </cell>
          <cell r="AK29">
            <v>0</v>
          </cell>
          <cell r="AL29">
            <v>0</v>
          </cell>
          <cell r="AM29">
            <v>0</v>
          </cell>
          <cell r="AN29">
            <v>0</v>
          </cell>
          <cell r="AO29">
            <v>1023.9699999999697</v>
          </cell>
          <cell r="AP29">
            <v>65943.667999998055</v>
          </cell>
          <cell r="AQ29">
            <v>2740.4411111110635</v>
          </cell>
          <cell r="AR29">
            <v>176484.40755555249</v>
          </cell>
          <cell r="AS29">
            <v>0</v>
          </cell>
          <cell r="AT29">
            <v>0</v>
          </cell>
          <cell r="AU29">
            <v>0</v>
          </cell>
          <cell r="AV29">
            <v>0</v>
          </cell>
          <cell r="AW29">
            <v>0</v>
          </cell>
          <cell r="AX29">
            <v>0</v>
          </cell>
          <cell r="BD29">
            <v>0</v>
          </cell>
        </row>
        <row r="30">
          <cell r="C30" t="str">
            <v>EARTH WORK IN EXCAVATION AND FILLING</v>
          </cell>
          <cell r="G30">
            <v>0</v>
          </cell>
          <cell r="H30">
            <v>0</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BD30">
            <v>0</v>
          </cell>
        </row>
        <row r="31">
          <cell r="A31">
            <v>2.1</v>
          </cell>
          <cell r="B31" t="str">
            <v>2-1</v>
          </cell>
          <cell r="C31" t="str">
            <v xml:space="preserve">Earthwork in excavation [Soft clay &amp; silty soils] including disposal up to 10 m lead and 1.5 m lift </v>
          </cell>
          <cell r="D31" t="str">
            <v>E/W excavation in soft clay and silty soil</v>
          </cell>
          <cell r="E31" t="str">
            <v>cum</v>
          </cell>
          <cell r="F31">
            <v>66.331999999999994</v>
          </cell>
          <cell r="G31">
            <v>0</v>
          </cell>
          <cell r="H31">
            <v>0</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BD31">
            <v>0</v>
          </cell>
        </row>
        <row r="32">
          <cell r="A32">
            <v>2.2000000000000002</v>
          </cell>
          <cell r="B32" t="str">
            <v>2-2</v>
          </cell>
          <cell r="C32" t="str">
            <v xml:space="preserve">Earthwork in excavation [Hard clay &amp; soil mixed with soft moorum stones (up to 30 cm size)] including disposal up to 10 m lead and 1.5 m lift </v>
          </cell>
          <cell r="D32" t="str">
            <v>E/W excavation in hard clay</v>
          </cell>
          <cell r="E32" t="str">
            <v>cum</v>
          </cell>
          <cell r="F32">
            <v>75.808000000000007</v>
          </cell>
          <cell r="G32">
            <v>27086.053333333293</v>
          </cell>
          <cell r="H32">
            <v>2053339.5310933306</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0</v>
          </cell>
          <cell r="Y32">
            <v>0</v>
          </cell>
          <cell r="Z32">
            <v>0</v>
          </cell>
          <cell r="AA32">
            <v>25201</v>
          </cell>
          <cell r="AB32">
            <v>1910437.4080000003</v>
          </cell>
          <cell r="AC32">
            <v>0</v>
          </cell>
          <cell r="AD32">
            <v>0</v>
          </cell>
          <cell r="AE32">
            <v>0</v>
          </cell>
          <cell r="AF32">
            <v>0</v>
          </cell>
          <cell r="AG32">
            <v>0</v>
          </cell>
          <cell r="AH32">
            <v>0</v>
          </cell>
          <cell r="AI32">
            <v>0</v>
          </cell>
          <cell r="AJ32">
            <v>0</v>
          </cell>
          <cell r="AK32">
            <v>0</v>
          </cell>
          <cell r="AL32">
            <v>0</v>
          </cell>
          <cell r="AM32">
            <v>0</v>
          </cell>
          <cell r="AN32">
            <v>0</v>
          </cell>
          <cell r="AO32">
            <v>603.74999999998522</v>
          </cell>
          <cell r="AP32">
            <v>45769.079999998881</v>
          </cell>
          <cell r="AQ32">
            <v>1281.3033333333065</v>
          </cell>
          <cell r="AR32">
            <v>97133.043093331304</v>
          </cell>
          <cell r="AS32">
            <v>0</v>
          </cell>
          <cell r="AT32">
            <v>0</v>
          </cell>
          <cell r="AU32">
            <v>0</v>
          </cell>
          <cell r="AV32">
            <v>0</v>
          </cell>
          <cell r="AW32">
            <v>0</v>
          </cell>
          <cell r="AX32">
            <v>0</v>
          </cell>
          <cell r="BD32">
            <v>0</v>
          </cell>
        </row>
        <row r="33">
          <cell r="A33">
            <v>2.2999999999999998</v>
          </cell>
          <cell r="B33" t="str">
            <v>2-3</v>
          </cell>
          <cell r="C33" t="str">
            <v>Removal of stones and disposal ( up to 10 m lead &amp; 1 m lift )</v>
          </cell>
          <cell r="D33" t="str">
            <v>Removal of stone</v>
          </cell>
          <cell r="E33" t="str">
            <v>cum</v>
          </cell>
          <cell r="F33">
            <v>94.76</v>
          </cell>
          <cell r="G33">
            <v>0</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BD33">
            <v>0</v>
          </cell>
        </row>
        <row r="34">
          <cell r="A34">
            <v>2.4</v>
          </cell>
          <cell r="B34" t="str">
            <v>2-4</v>
          </cell>
          <cell r="C34" t="str">
            <v xml:space="preserve">Earthwork in excavation [Medium rocks without blasting] including disposal up to 10 m lead and 1.5 m lift </v>
          </cell>
          <cell r="D34" t="str">
            <v>E/W excavation in med. Rock w/o blasting</v>
          </cell>
          <cell r="E34" t="str">
            <v>cum</v>
          </cell>
          <cell r="F34">
            <v>284.27999999999997</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0</v>
          </cell>
          <cell r="AS34">
            <v>0</v>
          </cell>
          <cell r="AT34">
            <v>0</v>
          </cell>
          <cell r="AU34">
            <v>0</v>
          </cell>
          <cell r="AV34">
            <v>0</v>
          </cell>
          <cell r="AW34">
            <v>0</v>
          </cell>
          <cell r="AX34">
            <v>0</v>
          </cell>
          <cell r="BD34">
            <v>0</v>
          </cell>
        </row>
        <row r="35">
          <cell r="A35">
            <v>2.5</v>
          </cell>
          <cell r="B35" t="str">
            <v>2-5</v>
          </cell>
          <cell r="C35" t="str">
            <v xml:space="preserve">Earthwork in excavation [Medium rocks with drilling and blasting] including disposal up to 10 m lead and 1.5 m lift </v>
          </cell>
          <cell r="D35" t="str">
            <v>E/W excavation in med. Rock with blasting</v>
          </cell>
          <cell r="E35" t="str">
            <v>cum</v>
          </cell>
          <cell r="F35">
            <v>277.26499999999999</v>
          </cell>
          <cell r="G35">
            <v>0</v>
          </cell>
          <cell r="H35">
            <v>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J35">
            <v>0</v>
          </cell>
          <cell r="AK35">
            <v>0</v>
          </cell>
          <cell r="AL35">
            <v>0</v>
          </cell>
          <cell r="AM35">
            <v>0</v>
          </cell>
          <cell r="AN35">
            <v>0</v>
          </cell>
          <cell r="AO35">
            <v>0</v>
          </cell>
          <cell r="AP35">
            <v>0</v>
          </cell>
          <cell r="AQ35">
            <v>0</v>
          </cell>
          <cell r="AR35">
            <v>0</v>
          </cell>
          <cell r="AS35">
            <v>0</v>
          </cell>
          <cell r="AT35">
            <v>0</v>
          </cell>
          <cell r="AU35">
            <v>0</v>
          </cell>
          <cell r="AV35">
            <v>0</v>
          </cell>
          <cell r="AW35">
            <v>0</v>
          </cell>
          <cell r="AX35">
            <v>0</v>
          </cell>
          <cell r="BD35">
            <v>0</v>
          </cell>
        </row>
        <row r="36">
          <cell r="A36" t="str">
            <v>2.6.a</v>
          </cell>
          <cell r="B36" t="str">
            <v>2-6(a)</v>
          </cell>
          <cell r="C36" t="str">
            <v>Earthwork in excavation [Hard rocks without blasting] including disposal up to 10 m lead and 1.5 m lift (without chiseling)</v>
          </cell>
          <cell r="D36" t="str">
            <v>E/W excavation in hard Rock w/o blasting and w/o chiseling</v>
          </cell>
          <cell r="E36" t="str">
            <v>cum</v>
          </cell>
          <cell r="F36">
            <v>473.8</v>
          </cell>
          <cell r="G36">
            <v>0</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J36">
            <v>0</v>
          </cell>
          <cell r="AK36">
            <v>0</v>
          </cell>
          <cell r="AL36">
            <v>0</v>
          </cell>
          <cell r="AM36">
            <v>0</v>
          </cell>
          <cell r="AN36">
            <v>0</v>
          </cell>
          <cell r="AO36">
            <v>0</v>
          </cell>
          <cell r="AP36">
            <v>0</v>
          </cell>
          <cell r="AQ36">
            <v>0</v>
          </cell>
          <cell r="AR36">
            <v>0</v>
          </cell>
          <cell r="AS36">
            <v>0</v>
          </cell>
          <cell r="AT36">
            <v>0</v>
          </cell>
          <cell r="AU36">
            <v>0</v>
          </cell>
          <cell r="AV36">
            <v>0</v>
          </cell>
          <cell r="AW36">
            <v>0</v>
          </cell>
          <cell r="AX36">
            <v>0</v>
          </cell>
          <cell r="BD36">
            <v>0</v>
          </cell>
        </row>
        <row r="37">
          <cell r="A37" t="str">
            <v>2.6.b</v>
          </cell>
          <cell r="B37" t="str">
            <v>2-6(b)</v>
          </cell>
          <cell r="C37" t="str">
            <v>Earthwork in excavation [Hard rocks without blasting] including disposal up to 10 m lead and 1.5 m lift (with chiseling)</v>
          </cell>
          <cell r="D37" t="str">
            <v>E/W excavation in hard Rock w/o blasting and with chiseling</v>
          </cell>
          <cell r="E37" t="str">
            <v>cum</v>
          </cell>
          <cell r="F37">
            <v>2293.192</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BD37">
            <v>0</v>
          </cell>
        </row>
        <row r="38">
          <cell r="A38">
            <v>2.7</v>
          </cell>
          <cell r="B38" t="str">
            <v>2-7</v>
          </cell>
          <cell r="C38" t="str">
            <v>Earthwork in excavation [Hard rocks with drilling and blasting] including disposal up to 10 m lead and 1.5 m lift</v>
          </cell>
          <cell r="D38" t="str">
            <v>E/W excavation in hard Rock with blasting</v>
          </cell>
          <cell r="E38" t="str">
            <v>cum</v>
          </cell>
          <cell r="F38">
            <v>163.33449999999999</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J38">
            <v>0</v>
          </cell>
          <cell r="AK38">
            <v>0</v>
          </cell>
          <cell r="AL38">
            <v>0</v>
          </cell>
          <cell r="AM38">
            <v>0</v>
          </cell>
          <cell r="AN38">
            <v>0</v>
          </cell>
          <cell r="AO38">
            <v>0</v>
          </cell>
          <cell r="AP38">
            <v>0</v>
          </cell>
          <cell r="AQ38">
            <v>0</v>
          </cell>
          <cell r="AR38">
            <v>0</v>
          </cell>
          <cell r="AS38">
            <v>0</v>
          </cell>
          <cell r="AT38">
            <v>0</v>
          </cell>
          <cell r="AU38">
            <v>0</v>
          </cell>
          <cell r="AV38">
            <v>0</v>
          </cell>
          <cell r="AW38">
            <v>0</v>
          </cell>
          <cell r="AX38">
            <v>0</v>
          </cell>
          <cell r="BD38">
            <v>0</v>
          </cell>
        </row>
        <row r="39">
          <cell r="A39">
            <v>2.8</v>
          </cell>
          <cell r="B39" t="str">
            <v>2-8</v>
          </cell>
          <cell r="C39" t="str">
            <v>Breaking of boulders by drilling &amp; blasting, disposal up to 10m lead &amp; 1.5m lift )</v>
          </cell>
          <cell r="D39" t="str">
            <v>Breaking boulder by drilling and blasting</v>
          </cell>
          <cell r="E39" t="str">
            <v>cum</v>
          </cell>
          <cell r="F39">
            <v>350.30150000000003</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0</v>
          </cell>
          <cell r="AS39">
            <v>0</v>
          </cell>
          <cell r="AT39">
            <v>0</v>
          </cell>
          <cell r="AU39">
            <v>0</v>
          </cell>
          <cell r="AV39">
            <v>0</v>
          </cell>
          <cell r="AW39">
            <v>0</v>
          </cell>
          <cell r="AX39">
            <v>0</v>
          </cell>
          <cell r="BD39">
            <v>0</v>
          </cell>
        </row>
        <row r="40">
          <cell r="A40">
            <v>2.9</v>
          </cell>
          <cell r="B40" t="str">
            <v>2-9</v>
          </cell>
          <cell r="C40" t="str">
            <v>Excavation for pit on soft soils, disposal ( up to 10m lead &amp; 1.5m lift )</v>
          </cell>
          <cell r="D40" t="str">
            <v>E/W Excavation of soft soil</v>
          </cell>
          <cell r="E40" t="str">
            <v>cum</v>
          </cell>
          <cell r="F40">
            <v>94.76</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BD40">
            <v>0</v>
          </cell>
        </row>
        <row r="41">
          <cell r="A41" t="str">
            <v>2.10</v>
          </cell>
          <cell r="B41" t="str">
            <v>2-10</v>
          </cell>
          <cell r="C41" t="str">
            <v>Excavation for pit in fractured and soft rocks, disposal ( up to 10m lead and 1.5m lift )</v>
          </cell>
          <cell r="D41" t="str">
            <v>E/W Excavation of fractured and soft rock</v>
          </cell>
          <cell r="E41" t="str">
            <v>sqm</v>
          </cell>
          <cell r="F41">
            <v>236.9</v>
          </cell>
          <cell r="G41">
            <v>9015</v>
          </cell>
          <cell r="H41">
            <v>2135653.5</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9015</v>
          </cell>
          <cell r="AB41">
            <v>2135653.5</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BD41">
            <v>0</v>
          </cell>
        </row>
        <row r="42">
          <cell r="A42" t="str">
            <v>2.11</v>
          </cell>
          <cell r="B42" t="str">
            <v>2-11</v>
          </cell>
          <cell r="C42" t="str">
            <v>Excavation for pit in medium rocks using blasting, disposal ( up to 10m lead and 1.5m lift )</v>
          </cell>
          <cell r="D42" t="str">
            <v>E/W Excavation of med. Rock with blasting</v>
          </cell>
          <cell r="E42" t="str">
            <v>cum</v>
          </cell>
          <cell r="F42">
            <v>329.38299999999992</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BD42">
            <v>0</v>
          </cell>
        </row>
        <row r="43">
          <cell r="A43">
            <v>2.12</v>
          </cell>
          <cell r="B43" t="str">
            <v>2-12</v>
          </cell>
          <cell r="C43" t="str">
            <v>Excavation for ditch in hard soil with disposal (up to 10m lead and 1.5 m lift)</v>
          </cell>
          <cell r="D43" t="str">
            <v>E/W Excavation for ditch in hard soil</v>
          </cell>
          <cell r="E43" t="str">
            <v>cum</v>
          </cell>
          <cell r="F43">
            <v>118.45</v>
          </cell>
          <cell r="G43">
            <v>0</v>
          </cell>
          <cell r="H43">
            <v>0</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BD43">
            <v>0</v>
          </cell>
        </row>
        <row r="44">
          <cell r="A44">
            <v>2.13</v>
          </cell>
          <cell r="B44" t="str">
            <v>2-13</v>
          </cell>
          <cell r="C44" t="str">
            <v xml:space="preserve">Excavation for trench in hard rocks with drilling &amp; blasting with disposal (up to 10m lead and 1.5 m lift) </v>
          </cell>
          <cell r="D44" t="str">
            <v>E/W Excavation for ditch in hard rock with blasting</v>
          </cell>
          <cell r="E44" t="str">
            <v>cum</v>
          </cell>
          <cell r="F44">
            <v>468.22249999999997</v>
          </cell>
          <cell r="G44">
            <v>0</v>
          </cell>
          <cell r="H44">
            <v>0</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BD44">
            <v>0</v>
          </cell>
        </row>
        <row r="45">
          <cell r="A45">
            <v>2.14</v>
          </cell>
          <cell r="B45" t="str">
            <v>2-14</v>
          </cell>
          <cell r="C45" t="str">
            <v>Excavation for foundation, drain, pipelines etc. in boulder mixed soils with disposal (up to 10m lead and 1.5 m lift)</v>
          </cell>
          <cell r="D45" t="str">
            <v>E/W Excavation for foundation, drain, pipelines etc. in BM Soil</v>
          </cell>
          <cell r="E45" t="str">
            <v>cum</v>
          </cell>
          <cell r="F45">
            <v>150.66839999999999</v>
          </cell>
          <cell r="G45">
            <v>28046.994671997581</v>
          </cell>
          <cell r="H45">
            <v>4225795.8120384002</v>
          </cell>
          <cell r="I45">
            <v>0</v>
          </cell>
          <cell r="J45">
            <v>0</v>
          </cell>
          <cell r="K45">
            <v>143.86500000000001</v>
          </cell>
          <cell r="L45">
            <v>21675.909366</v>
          </cell>
          <cell r="M45">
            <v>90.702224999999999</v>
          </cell>
          <cell r="N45">
            <v>13665.959117189999</v>
          </cell>
          <cell r="O45">
            <v>682.5</v>
          </cell>
          <cell r="P45">
            <v>102831.18299999999</v>
          </cell>
          <cell r="Q45">
            <v>207.0455</v>
          </cell>
          <cell r="R45">
            <v>31195.2142122</v>
          </cell>
          <cell r="S45">
            <v>47.570250000000001</v>
          </cell>
          <cell r="T45">
            <v>7167.3334550999998</v>
          </cell>
          <cell r="U45">
            <v>1134.7049999999999</v>
          </cell>
          <cell r="V45">
            <v>170964.18682199999</v>
          </cell>
          <cell r="W45">
            <v>471.36078682760183</v>
          </cell>
          <cell r="X45">
            <v>71019.175574055844</v>
          </cell>
          <cell r="Y45">
            <v>47.984999999999999</v>
          </cell>
          <cell r="Z45">
            <v>7229.8231739999992</v>
          </cell>
          <cell r="AA45">
            <v>0</v>
          </cell>
          <cell r="AB45">
            <v>0</v>
          </cell>
          <cell r="AC45">
            <v>4113.1211111111106</v>
          </cell>
          <cell r="AD45">
            <v>619717.37681733328</v>
          </cell>
          <cell r="AE45">
            <v>104.40499999999999</v>
          </cell>
          <cell r="AF45">
            <v>15730.534301999996</v>
          </cell>
          <cell r="AG45">
            <v>158.17499999999998</v>
          </cell>
          <cell r="AH45">
            <v>23831.974169999998</v>
          </cell>
          <cell r="AI45">
            <v>2975.3139999999999</v>
          </cell>
          <cell r="AJ45">
            <v>448285.79987759993</v>
          </cell>
          <cell r="AK45">
            <v>796.77349999999979</v>
          </cell>
          <cell r="AL45">
            <v>120048.58840739996</v>
          </cell>
          <cell r="AM45">
            <v>0</v>
          </cell>
          <cell r="AN45">
            <v>0</v>
          </cell>
          <cell r="AO45">
            <v>2980.8649999999188</v>
          </cell>
          <cell r="AP45">
            <v>449122.16016598773</v>
          </cell>
          <cell r="AQ45">
            <v>8332.62655555538</v>
          </cell>
          <cell r="AR45">
            <v>1255463.5109230401</v>
          </cell>
          <cell r="AS45">
            <v>1740.7142785036197</v>
          </cell>
          <cell r="AT45">
            <v>262270.63519929477</v>
          </cell>
          <cell r="AU45">
            <v>4559.5689999999477</v>
          </cell>
          <cell r="AV45">
            <v>686982.96591959207</v>
          </cell>
          <cell r="AW45">
            <v>142.19746499999999</v>
          </cell>
          <cell r="AX45">
            <v>21424.664535605996</v>
          </cell>
          <cell r="BD45">
            <v>1860.6815368276016</v>
          </cell>
        </row>
        <row r="46">
          <cell r="A46" t="str">
            <v>2.15.a</v>
          </cell>
          <cell r="B46" t="str">
            <v>2-15(a)</v>
          </cell>
          <cell r="C46" t="str">
            <v xml:space="preserve">Excavation for foundation, drain, pipelines etc. in soft moorum rocks with disposal (up to 10m lead and 1.5 m lift) </v>
          </cell>
          <cell r="D46" t="str">
            <v>E/W Excavation for foundation, drain, pipelines etc. in soft rock</v>
          </cell>
          <cell r="E46" t="str">
            <v>cum</v>
          </cell>
          <cell r="F46">
            <v>284.27999999999997</v>
          </cell>
          <cell r="G46">
            <v>1316.7</v>
          </cell>
          <cell r="H46">
            <v>374311.47599999997</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0</v>
          </cell>
          <cell r="Y46">
            <v>0</v>
          </cell>
          <cell r="Z46">
            <v>0</v>
          </cell>
          <cell r="AA46">
            <v>0</v>
          </cell>
          <cell r="AB46">
            <v>0</v>
          </cell>
          <cell r="AC46">
            <v>1316.7</v>
          </cell>
          <cell r="AD46">
            <v>374311.47599999997</v>
          </cell>
          <cell r="AE46">
            <v>0</v>
          </cell>
          <cell r="AF46">
            <v>0</v>
          </cell>
          <cell r="AG46">
            <v>0</v>
          </cell>
          <cell r="AH46">
            <v>0</v>
          </cell>
          <cell r="AI46">
            <v>0</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BD46">
            <v>0</v>
          </cell>
        </row>
        <row r="47">
          <cell r="A47" t="str">
            <v>2.15.b</v>
          </cell>
          <cell r="B47" t="str">
            <v>2-15(b)</v>
          </cell>
          <cell r="C47" t="str">
            <v xml:space="preserve">Excavation for foundation, drain, pipelines etc. in hard rock without blasting with disposal (up to 10m lead and 1.5 m lift) </v>
          </cell>
          <cell r="D47" t="str">
            <v>E/W Excavation for foundation, drain, pipelines etc. in hard rock w/o blasting</v>
          </cell>
          <cell r="E47" t="str">
            <v>cum</v>
          </cell>
          <cell r="F47">
            <v>426.42</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0</v>
          </cell>
          <cell r="AT47">
            <v>0</v>
          </cell>
          <cell r="AU47">
            <v>0</v>
          </cell>
          <cell r="AV47">
            <v>0</v>
          </cell>
          <cell r="AW47">
            <v>0</v>
          </cell>
          <cell r="AX47">
            <v>0</v>
          </cell>
          <cell r="BD47">
            <v>0</v>
          </cell>
        </row>
        <row r="48">
          <cell r="A48" t="str">
            <v>2.17.a</v>
          </cell>
          <cell r="B48" t="str">
            <v>2-17(a)</v>
          </cell>
          <cell r="C48" t="str">
            <v xml:space="preserve">Excavation for box cutting in soft soil including disposal up to 10m lead &amp; 1.5m lift. </v>
          </cell>
          <cell r="D48" t="str">
            <v>E/W Excavation for box cutting in soft soil</v>
          </cell>
          <cell r="E48" t="str">
            <v>cum</v>
          </cell>
          <cell r="F48">
            <v>426.42</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0</v>
          </cell>
          <cell r="AS48">
            <v>0</v>
          </cell>
          <cell r="AT48">
            <v>0</v>
          </cell>
          <cell r="AU48">
            <v>0</v>
          </cell>
          <cell r="AV48">
            <v>0</v>
          </cell>
          <cell r="AW48">
            <v>0</v>
          </cell>
          <cell r="AX48">
            <v>0</v>
          </cell>
          <cell r="BD48">
            <v>0</v>
          </cell>
        </row>
        <row r="49">
          <cell r="A49" t="str">
            <v>2.17.b</v>
          </cell>
          <cell r="B49" t="str">
            <v>2-17(b)</v>
          </cell>
          <cell r="C49" t="str">
            <v xml:space="preserve">Excavation for box cutting in hard soil including disposal up to 10m lead &amp; 1.5m lift. </v>
          </cell>
          <cell r="D49" t="str">
            <v>E/W Excavation for box cutting in hard soil</v>
          </cell>
          <cell r="E49" t="str">
            <v>cum</v>
          </cell>
          <cell r="F49">
            <v>426.42</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J49">
            <v>0</v>
          </cell>
          <cell r="AK49">
            <v>0</v>
          </cell>
          <cell r="AL49">
            <v>0</v>
          </cell>
          <cell r="AM49">
            <v>0</v>
          </cell>
          <cell r="AN49">
            <v>0</v>
          </cell>
          <cell r="AO49">
            <v>0</v>
          </cell>
          <cell r="AP49">
            <v>0</v>
          </cell>
          <cell r="AQ49">
            <v>0</v>
          </cell>
          <cell r="AR49">
            <v>0</v>
          </cell>
          <cell r="AS49">
            <v>0</v>
          </cell>
          <cell r="AT49">
            <v>0</v>
          </cell>
          <cell r="AU49">
            <v>0</v>
          </cell>
          <cell r="AV49">
            <v>0</v>
          </cell>
          <cell r="AW49">
            <v>0</v>
          </cell>
          <cell r="AX49">
            <v>0</v>
          </cell>
          <cell r="BD49">
            <v>0</v>
          </cell>
        </row>
        <row r="50">
          <cell r="A50" t="str">
            <v>2.18</v>
          </cell>
          <cell r="B50" t="str">
            <v>2-18</v>
          </cell>
          <cell r="C50" t="str">
            <v>Dry foundation box cutting in soft moorum rocks, disposal ( up to 10m lead and 1.5m lift)</v>
          </cell>
          <cell r="D50" t="str">
            <v>E/W Excavation for box cutting in soft rock</v>
          </cell>
          <cell r="E50" t="str">
            <v>cum</v>
          </cell>
          <cell r="F50" t="str">
            <v>=VLOOKUP($A50,RateAnalysis,14,0)</v>
          </cell>
          <cell r="G50">
            <v>0</v>
          </cell>
          <cell r="H50" t="e">
            <v>#VALUE!</v>
          </cell>
          <cell r="I50">
            <v>0</v>
          </cell>
          <cell r="J50" t="e">
            <v>#VALUE!</v>
          </cell>
          <cell r="K50">
            <v>0</v>
          </cell>
          <cell r="L50" t="e">
            <v>#VALUE!</v>
          </cell>
          <cell r="M50">
            <v>0</v>
          </cell>
          <cell r="N50" t="e">
            <v>#VALUE!</v>
          </cell>
          <cell r="O50">
            <v>0</v>
          </cell>
          <cell r="P50" t="e">
            <v>#VALUE!</v>
          </cell>
          <cell r="Q50">
            <v>0</v>
          </cell>
          <cell r="R50" t="e">
            <v>#VALUE!</v>
          </cell>
          <cell r="S50">
            <v>0</v>
          </cell>
          <cell r="T50" t="e">
            <v>#VALUE!</v>
          </cell>
          <cell r="U50">
            <v>0</v>
          </cell>
          <cell r="V50" t="e">
            <v>#VALUE!</v>
          </cell>
          <cell r="W50">
            <v>0</v>
          </cell>
          <cell r="X50" t="e">
            <v>#VALUE!</v>
          </cell>
          <cell r="Y50">
            <v>0</v>
          </cell>
          <cell r="Z50" t="e">
            <v>#VALUE!</v>
          </cell>
          <cell r="AA50">
            <v>0</v>
          </cell>
          <cell r="AB50" t="e">
            <v>#VALUE!</v>
          </cell>
          <cell r="AC50">
            <v>0</v>
          </cell>
          <cell r="AD50" t="e">
            <v>#VALUE!</v>
          </cell>
          <cell r="AE50">
            <v>0</v>
          </cell>
          <cell r="AF50" t="e">
            <v>#VALUE!</v>
          </cell>
          <cell r="AG50">
            <v>0</v>
          </cell>
          <cell r="AH50" t="e">
            <v>#VALUE!</v>
          </cell>
          <cell r="AI50">
            <v>0</v>
          </cell>
          <cell r="AJ50" t="e">
            <v>#VALUE!</v>
          </cell>
          <cell r="AK50">
            <v>0</v>
          </cell>
          <cell r="AL50" t="e">
            <v>#VALUE!</v>
          </cell>
          <cell r="AM50">
            <v>0</v>
          </cell>
          <cell r="AN50" t="e">
            <v>#VALUE!</v>
          </cell>
          <cell r="AO50">
            <v>0</v>
          </cell>
          <cell r="AP50" t="e">
            <v>#VALUE!</v>
          </cell>
          <cell r="AQ50">
            <v>0</v>
          </cell>
          <cell r="AR50" t="e">
            <v>#VALUE!</v>
          </cell>
          <cell r="AS50">
            <v>0</v>
          </cell>
          <cell r="AT50" t="e">
            <v>#VALUE!</v>
          </cell>
          <cell r="AU50">
            <v>0</v>
          </cell>
          <cell r="AV50" t="e">
            <v>#VALUE!</v>
          </cell>
          <cell r="AW50">
            <v>0</v>
          </cell>
          <cell r="AX50" t="e">
            <v>#VALUE!</v>
          </cell>
          <cell r="BD50">
            <v>0</v>
          </cell>
        </row>
        <row r="51">
          <cell r="A51" t="str">
            <v>2.19</v>
          </cell>
          <cell r="B51" t="str">
            <v>2-19</v>
          </cell>
          <cell r="C51" t="str">
            <v>Box cutting in medium rocks including disposal up to 10m lead and 1.5m lift</v>
          </cell>
          <cell r="D51" t="str">
            <v>E/W Excavation for box cutting in med. rock</v>
          </cell>
          <cell r="E51" t="str">
            <v>cum</v>
          </cell>
          <cell r="F51">
            <v>236.9</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0</v>
          </cell>
          <cell r="AU51">
            <v>0</v>
          </cell>
          <cell r="AV51">
            <v>0</v>
          </cell>
          <cell r="AW51">
            <v>0</v>
          </cell>
          <cell r="AX51">
            <v>0</v>
          </cell>
          <cell r="BD51">
            <v>0</v>
          </cell>
        </row>
        <row r="52">
          <cell r="A52" t="str">
            <v>2.20</v>
          </cell>
          <cell r="B52" t="str">
            <v>2-20</v>
          </cell>
          <cell r="C52" t="str">
            <v>Dry foundation excavation in hard gravel mixed soils ( dia of  gravel  &gt; 10cm ) with disposal up to 10m lead and 1.5m lift</v>
          </cell>
          <cell r="D52" t="str">
            <v>Foundation excavation for foundation in hard gravel (&gt;10cm) mixed soil</v>
          </cell>
          <cell r="E52" t="str">
            <v>cum</v>
          </cell>
          <cell r="F52">
            <v>160.14439999999999</v>
          </cell>
          <cell r="G52">
            <v>0</v>
          </cell>
          <cell r="H52">
            <v>0</v>
          </cell>
          <cell r="I52">
            <v>0</v>
          </cell>
          <cell r="J52">
            <v>0</v>
          </cell>
          <cell r="K52">
            <v>0</v>
          </cell>
          <cell r="L52">
            <v>0</v>
          </cell>
          <cell r="M52">
            <v>0</v>
          </cell>
          <cell r="N52">
            <v>0</v>
          </cell>
          <cell r="O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BD52">
            <v>0</v>
          </cell>
        </row>
        <row r="53">
          <cell r="A53" t="str">
            <v>2.21</v>
          </cell>
          <cell r="B53" t="str">
            <v>2-21</v>
          </cell>
          <cell r="C53" t="str">
            <v>Dry foundation excavation in hard gravel mixed soils ( dia of  gravel  &lt; 10cm ) with disposal up to 10m lead and 1.5m lift</v>
          </cell>
          <cell r="D53" t="str">
            <v>Foundation excavation for foundation in hard gravel (&lt;10cm) mixed soil</v>
          </cell>
          <cell r="E53" t="str">
            <v>cum</v>
          </cell>
          <cell r="F53">
            <v>128.87360000000001</v>
          </cell>
          <cell r="G53">
            <v>0</v>
          </cell>
          <cell r="H53">
            <v>0</v>
          </cell>
          <cell r="I53">
            <v>0</v>
          </cell>
          <cell r="J53">
            <v>0</v>
          </cell>
          <cell r="K53">
            <v>0</v>
          </cell>
          <cell r="L53">
            <v>0</v>
          </cell>
          <cell r="M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BD53">
            <v>0</v>
          </cell>
        </row>
        <row r="54">
          <cell r="A54" t="str">
            <v>2.22</v>
          </cell>
          <cell r="B54" t="str">
            <v>2-22</v>
          </cell>
          <cell r="C54" t="str">
            <v>Foundation excavation under shallow water depth in hard gravel mixed soil ( dia of gravel &gt;10cm ) with disposal up to 10m lead and 1.5m lift</v>
          </cell>
          <cell r="D54" t="str">
            <v>Foundation excavation under shallow water for foundation in hard gravel (&gt;10cm) mixed soil</v>
          </cell>
          <cell r="E54" t="str">
            <v>cum</v>
          </cell>
          <cell r="F54">
            <v>236.9</v>
          </cell>
          <cell r="G54">
            <v>0</v>
          </cell>
          <cell r="H54">
            <v>0</v>
          </cell>
          <cell r="I54">
            <v>0</v>
          </cell>
          <cell r="J54">
            <v>0</v>
          </cell>
          <cell r="K54">
            <v>0</v>
          </cell>
          <cell r="L54">
            <v>0</v>
          </cell>
          <cell r="M54">
            <v>0</v>
          </cell>
          <cell r="N54">
            <v>0</v>
          </cell>
          <cell r="O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BD54">
            <v>0</v>
          </cell>
        </row>
        <row r="55">
          <cell r="A55" t="str">
            <v>2.23</v>
          </cell>
          <cell r="B55" t="str">
            <v>2-23</v>
          </cell>
          <cell r="C55" t="str">
            <v>Foundation excavation under shallow water depth in hard gravel mixed soil ( dia of gravel &lt;10cm ) with disposal up to 10m lead and 1.5m lift</v>
          </cell>
          <cell r="D55" t="str">
            <v>Foundation excavation under shallow water for foundation in hard gravel (&lt;10cm) mixed soil</v>
          </cell>
          <cell r="E55" t="str">
            <v>cum</v>
          </cell>
          <cell r="F55">
            <v>217.94800000000001</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BD55">
            <v>0</v>
          </cell>
        </row>
        <row r="56">
          <cell r="A56" t="str">
            <v>2.24(a)</v>
          </cell>
          <cell r="B56" t="str">
            <v>2-24(a)</v>
          </cell>
          <cell r="C56" t="str">
            <v>Foundation excavation under water in boulder and gravel mixed soil including disposal up to 10m lead (1m deep excavation &amp; 4m lift)</v>
          </cell>
          <cell r="D56" t="str">
            <v>Foundation excavation under 1m deep water for foundation in GBM Soil</v>
          </cell>
          <cell r="E56" t="str">
            <v>cum</v>
          </cell>
          <cell r="F56">
            <v>332.60759999999993</v>
          </cell>
          <cell r="G56">
            <v>0</v>
          </cell>
          <cell r="H56">
            <v>0</v>
          </cell>
          <cell r="I56">
            <v>0</v>
          </cell>
          <cell r="J56">
            <v>0</v>
          </cell>
          <cell r="K56">
            <v>0</v>
          </cell>
          <cell r="L56">
            <v>0</v>
          </cell>
          <cell r="M56">
            <v>0</v>
          </cell>
          <cell r="N56">
            <v>0</v>
          </cell>
          <cell r="O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BD56">
            <v>0</v>
          </cell>
        </row>
        <row r="57">
          <cell r="A57" t="str">
            <v>2.24(a)</v>
          </cell>
          <cell r="B57" t="str">
            <v>2-24(b)</v>
          </cell>
          <cell r="C57" t="str">
            <v>Foundation excavation under water in boulder and gravel mixed soil including disposal up to 10m lead (2m deep excavation &amp; 4m lift)</v>
          </cell>
          <cell r="D57" t="str">
            <v>Foundation excavation under 2m deep water for foundation in GBM Soil</v>
          </cell>
          <cell r="E57" t="str">
            <v>cum</v>
          </cell>
          <cell r="F57">
            <v>332.60759999999993</v>
          </cell>
          <cell r="G57">
            <v>0</v>
          </cell>
          <cell r="H57">
            <v>0</v>
          </cell>
          <cell r="I57">
            <v>0</v>
          </cell>
          <cell r="J57">
            <v>0</v>
          </cell>
          <cell r="K57">
            <v>0</v>
          </cell>
          <cell r="L57">
            <v>0</v>
          </cell>
          <cell r="M57">
            <v>0</v>
          </cell>
          <cell r="N57">
            <v>0</v>
          </cell>
          <cell r="O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BD57">
            <v>0</v>
          </cell>
        </row>
        <row r="58">
          <cell r="A58" t="str">
            <v>2.24(c)</v>
          </cell>
          <cell r="B58" t="str">
            <v>2-24(c)</v>
          </cell>
          <cell r="C58" t="str">
            <v>Foundation excavation under water in boulder and gravel mixed soil including disposal up to 10m lead (3m deep excavation &amp; 4m lift)</v>
          </cell>
          <cell r="D58" t="str">
            <v>Foundation excavation under 3m deep water for foundation in GBM Soil</v>
          </cell>
          <cell r="E58" t="str">
            <v>cum</v>
          </cell>
          <cell r="F58">
            <v>350.61199999999997</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cell r="AO58">
            <v>0</v>
          </cell>
          <cell r="AP58">
            <v>0</v>
          </cell>
          <cell r="AQ58">
            <v>0</v>
          </cell>
          <cell r="AR58">
            <v>0</v>
          </cell>
          <cell r="AS58">
            <v>0</v>
          </cell>
          <cell r="AT58">
            <v>0</v>
          </cell>
          <cell r="AU58">
            <v>0</v>
          </cell>
          <cell r="AV58">
            <v>0</v>
          </cell>
          <cell r="AW58">
            <v>0</v>
          </cell>
          <cell r="AX58">
            <v>0</v>
          </cell>
          <cell r="BD58">
            <v>0</v>
          </cell>
        </row>
        <row r="59">
          <cell r="A59" t="str">
            <v>2.24(d)</v>
          </cell>
          <cell r="B59" t="str">
            <v>2-24(d)</v>
          </cell>
          <cell r="C59" t="str">
            <v>Foundation excavation under water in boulder and gravel mixed soil including disposal up to 10m lead (4m deep excavation &amp; 4m lift)</v>
          </cell>
          <cell r="D59" t="str">
            <v>Foundation excavation under 4m deep water for foundation in GBM Soil</v>
          </cell>
          <cell r="E59" t="str">
            <v>cum</v>
          </cell>
          <cell r="F59">
            <v>360.08800000000002</v>
          </cell>
          <cell r="G59">
            <v>0</v>
          </cell>
          <cell r="H59">
            <v>0</v>
          </cell>
          <cell r="I59">
            <v>0</v>
          </cell>
          <cell r="J59">
            <v>0</v>
          </cell>
          <cell r="K59">
            <v>0</v>
          </cell>
          <cell r="L59">
            <v>0</v>
          </cell>
          <cell r="M59">
            <v>0</v>
          </cell>
          <cell r="N59">
            <v>0</v>
          </cell>
          <cell r="O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BD59">
            <v>0</v>
          </cell>
        </row>
        <row r="60">
          <cell r="A60" t="str">
            <v>2.24(e)</v>
          </cell>
          <cell r="B60" t="str">
            <v>2-24(e)</v>
          </cell>
          <cell r="C60" t="str">
            <v>Foundation excavation under water in boulder and gravel mixed soil including disposal up to 10m lead (5m deep excavation &amp; 7.5m lift)</v>
          </cell>
          <cell r="D60" t="str">
            <v>Foundation excavation under 5m deep water for foundation in GBM Soil</v>
          </cell>
          <cell r="E60" t="str">
            <v>cum</v>
          </cell>
          <cell r="F60">
            <v>397.99199999999996</v>
          </cell>
          <cell r="G60">
            <v>0</v>
          </cell>
          <cell r="H60">
            <v>0</v>
          </cell>
          <cell r="I60">
            <v>0</v>
          </cell>
          <cell r="J60">
            <v>0</v>
          </cell>
          <cell r="K60">
            <v>0</v>
          </cell>
          <cell r="L60">
            <v>0</v>
          </cell>
          <cell r="M60">
            <v>0</v>
          </cell>
          <cell r="N60">
            <v>0</v>
          </cell>
          <cell r="O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BD60">
            <v>0</v>
          </cell>
        </row>
        <row r="61">
          <cell r="A61" t="str">
            <v>2.24(f)</v>
          </cell>
          <cell r="B61" t="str">
            <v>2-24(f)</v>
          </cell>
          <cell r="C61" t="str">
            <v>Foundation excavation under water in boulder and gravel mixed soil including disposal up to 10m lead (6m deep excavation &amp; 7.5m lift)</v>
          </cell>
          <cell r="D61" t="str">
            <v>Foundation excavation under 6m deep water for foundation in GBM Soil</v>
          </cell>
          <cell r="E61" t="str">
            <v>cum</v>
          </cell>
          <cell r="F61">
            <v>407.46799999999996</v>
          </cell>
          <cell r="G61">
            <v>0</v>
          </cell>
          <cell r="H61">
            <v>0</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BD61">
            <v>0</v>
          </cell>
        </row>
        <row r="62">
          <cell r="A62" t="str">
            <v>2.25.a</v>
          </cell>
          <cell r="B62" t="str">
            <v>2-25(a)</v>
          </cell>
          <cell r="C62" t="str">
            <v>Filling with ordinary soils in 15cm thick layers and hand compaction with sprinkling water (haulage distance 10m)</v>
          </cell>
          <cell r="D62" t="str">
            <v>Filling with ordinary soils with compaction and sprinkling of water</v>
          </cell>
          <cell r="E62" t="str">
            <v>cum</v>
          </cell>
          <cell r="F62">
            <v>47.38</v>
          </cell>
          <cell r="G62">
            <v>249.1514785</v>
          </cell>
          <cell r="H62">
            <v>11804.797051330001</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cell r="X62">
            <v>0</v>
          </cell>
          <cell r="Y62">
            <v>25.526192500000001</v>
          </cell>
          <cell r="Z62">
            <v>1209.43100065</v>
          </cell>
          <cell r="AA62">
            <v>0</v>
          </cell>
          <cell r="AB62">
            <v>0</v>
          </cell>
          <cell r="AC62">
            <v>0</v>
          </cell>
          <cell r="AD62">
            <v>0</v>
          </cell>
          <cell r="AE62">
            <v>0</v>
          </cell>
          <cell r="AF62">
            <v>0</v>
          </cell>
          <cell r="AG62">
            <v>0</v>
          </cell>
          <cell r="AH62">
            <v>0</v>
          </cell>
          <cell r="AI62">
            <v>167.23259999999999</v>
          </cell>
          <cell r="AJ62">
            <v>7923.4805880000004</v>
          </cell>
          <cell r="AK62">
            <v>0</v>
          </cell>
          <cell r="AL62">
            <v>0</v>
          </cell>
          <cell r="AM62">
            <v>0</v>
          </cell>
          <cell r="AN62">
            <v>0</v>
          </cell>
          <cell r="AO62">
            <v>0</v>
          </cell>
          <cell r="AP62">
            <v>0</v>
          </cell>
          <cell r="AQ62">
            <v>18.8325</v>
          </cell>
          <cell r="AR62">
            <v>892.28385000000003</v>
          </cell>
          <cell r="AS62">
            <v>0</v>
          </cell>
          <cell r="AT62">
            <v>0</v>
          </cell>
          <cell r="AU62">
            <v>0</v>
          </cell>
          <cell r="AV62">
            <v>0</v>
          </cell>
          <cell r="AW62">
            <v>37.560185999999995</v>
          </cell>
          <cell r="AX62">
            <v>1779.6016126799998</v>
          </cell>
          <cell r="BD62">
            <v>0</v>
          </cell>
        </row>
        <row r="63">
          <cell r="A63" t="str">
            <v>2.25.b</v>
          </cell>
          <cell r="B63" t="str">
            <v>2-25(b)</v>
          </cell>
          <cell r="C63" t="str">
            <v xml:space="preserve">Filling with ordinary soils in 15cm thick layers and hand compaction without sprinkling water (haulage distance 10m ) </v>
          </cell>
          <cell r="D63" t="str">
            <v xml:space="preserve">Filling with ordinary soils with compaction </v>
          </cell>
          <cell r="E63" t="str">
            <v>cum</v>
          </cell>
          <cell r="F63">
            <v>23.69</v>
          </cell>
          <cell r="G63">
            <v>19743.769999999702</v>
          </cell>
          <cell r="H63">
            <v>467729.91129999299</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0</v>
          </cell>
          <cell r="X63">
            <v>0</v>
          </cell>
          <cell r="Y63">
            <v>0</v>
          </cell>
          <cell r="Z63">
            <v>0</v>
          </cell>
          <cell r="AA63">
            <v>0</v>
          </cell>
          <cell r="AB63">
            <v>0</v>
          </cell>
          <cell r="AC63">
            <v>4319.3311111111116</v>
          </cell>
          <cell r="AD63">
            <v>102324.95402222224</v>
          </cell>
          <cell r="AE63">
            <v>0</v>
          </cell>
          <cell r="AF63">
            <v>0</v>
          </cell>
          <cell r="AG63">
            <v>0</v>
          </cell>
          <cell r="AH63">
            <v>0</v>
          </cell>
          <cell r="AI63">
            <v>115</v>
          </cell>
          <cell r="AJ63">
            <v>2724.3500000000004</v>
          </cell>
          <cell r="AK63">
            <v>0</v>
          </cell>
          <cell r="AL63">
            <v>0</v>
          </cell>
          <cell r="AM63">
            <v>0</v>
          </cell>
          <cell r="AN63">
            <v>0</v>
          </cell>
          <cell r="AO63">
            <v>3583.894999999904</v>
          </cell>
          <cell r="AP63">
            <v>84902.472549997736</v>
          </cell>
          <cell r="AQ63">
            <v>9591.5438888886874</v>
          </cell>
          <cell r="AR63">
            <v>227223.67472777303</v>
          </cell>
          <cell r="AS63">
            <v>0</v>
          </cell>
          <cell r="AT63">
            <v>0</v>
          </cell>
          <cell r="AU63">
            <v>2134</v>
          </cell>
          <cell r="AV63">
            <v>50554.46</v>
          </cell>
          <cell r="AW63">
            <v>0</v>
          </cell>
          <cell r="AX63">
            <v>0</v>
          </cell>
          <cell r="BD63">
            <v>0</v>
          </cell>
        </row>
        <row r="64">
          <cell r="A64" t="str">
            <v>2.26</v>
          </cell>
          <cell r="B64" t="str">
            <v>2-26</v>
          </cell>
          <cell r="C64" t="str">
            <v>Filling of stones in 40cm thick layers, sprinkling water and hand compaction ( haulage distance 10m )</v>
          </cell>
          <cell r="D64" t="str">
            <v>Stone filling</v>
          </cell>
          <cell r="E64" t="str">
            <v>cum</v>
          </cell>
          <cell r="F64">
            <v>94.76</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0</v>
          </cell>
          <cell r="X64">
            <v>0</v>
          </cell>
          <cell r="Y64">
            <v>0</v>
          </cell>
          <cell r="Z64">
            <v>0</v>
          </cell>
          <cell r="AA64">
            <v>0</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0</v>
          </cell>
          <cell r="AT64">
            <v>0</v>
          </cell>
          <cell r="AU64">
            <v>0</v>
          </cell>
          <cell r="AV64">
            <v>0</v>
          </cell>
          <cell r="AW64">
            <v>0</v>
          </cell>
          <cell r="AX64">
            <v>0</v>
          </cell>
          <cell r="BD64">
            <v>0</v>
          </cell>
        </row>
        <row r="65">
          <cell r="A65" t="str">
            <v>2.29</v>
          </cell>
          <cell r="B65" t="str">
            <v>2-29</v>
          </cell>
          <cell r="C65" t="str">
            <v>Foundation excavation in ordinary soils under shallow water depth ( 10m lead &amp; 1.5m lift )</v>
          </cell>
          <cell r="D65" t="str">
            <v>Foundation excavation under shallow water for foundation in ordinary soil</v>
          </cell>
          <cell r="E65" t="str">
            <v>cum</v>
          </cell>
          <cell r="F65">
            <v>213.21</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BD65">
            <v>0</v>
          </cell>
        </row>
        <row r="66">
          <cell r="A66" t="str">
            <v>2.30</v>
          </cell>
          <cell r="B66" t="str">
            <v>2-30</v>
          </cell>
          <cell r="C66" t="str">
            <v>Foundation excavation in soft rocks under shallow water depth ( 10m lead &amp; 1.5m lift )</v>
          </cell>
          <cell r="D66" t="str">
            <v>Foundation excavation under shallow water for foundation in soft rock</v>
          </cell>
          <cell r="E66" t="str">
            <v>cum</v>
          </cell>
          <cell r="F66">
            <v>315.55079999999998</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BD66">
            <v>0</v>
          </cell>
        </row>
        <row r="67">
          <cell r="A67" t="str">
            <v>2.31</v>
          </cell>
          <cell r="B67" t="str">
            <v>2-31</v>
          </cell>
          <cell r="C67" t="str">
            <v>Excavation of foundation in hard rocks under shallow water depth using drilling &amp; blasting, disposal ( up to 10m lead &amp; 1.5m lift )</v>
          </cell>
          <cell r="D67" t="str">
            <v>Foundation excavation under shallow water for foundation in hard rock with blasting</v>
          </cell>
          <cell r="E67" t="str">
            <v>cum</v>
          </cell>
          <cell r="F67">
            <v>731.09179999999992</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0</v>
          </cell>
          <cell r="Y67">
            <v>0</v>
          </cell>
          <cell r="Z67">
            <v>0</v>
          </cell>
          <cell r="AA67">
            <v>0</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BD67">
            <v>0</v>
          </cell>
        </row>
        <row r="68">
          <cell r="A68" t="str">
            <v>2.39.a</v>
          </cell>
          <cell r="B68" t="str">
            <v>2-39(a)</v>
          </cell>
          <cell r="C68" t="str">
            <v>Filling soft soils in pipeline trenches in 20cm thick layers including hand compaction &amp; water sprinkling</v>
          </cell>
          <cell r="D68" t="str">
            <v>Filling soft soil in pipeline trench with compaction and sprinkling of water</v>
          </cell>
          <cell r="E68" t="str">
            <v>cum</v>
          </cell>
          <cell r="F68">
            <v>47.38</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0</v>
          </cell>
          <cell r="X68">
            <v>0</v>
          </cell>
          <cell r="Y68">
            <v>0</v>
          </cell>
          <cell r="Z68">
            <v>0</v>
          </cell>
          <cell r="AA68">
            <v>0</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0</v>
          </cell>
          <cell r="AS68">
            <v>0</v>
          </cell>
          <cell r="AT68">
            <v>0</v>
          </cell>
          <cell r="AU68">
            <v>0</v>
          </cell>
          <cell r="AV68">
            <v>0</v>
          </cell>
          <cell r="AW68">
            <v>0</v>
          </cell>
          <cell r="AX68">
            <v>0</v>
          </cell>
          <cell r="BD68">
            <v>0</v>
          </cell>
        </row>
        <row r="69">
          <cell r="A69" t="str">
            <v>2.39.b</v>
          </cell>
          <cell r="B69" t="str">
            <v>2-39(b)</v>
          </cell>
          <cell r="C69" t="str">
            <v>Filling medium soil in pipeline trenches in 20cm thick layers including hand compaction &amp; water sprinkling</v>
          </cell>
          <cell r="D69" t="str">
            <v>Filling med. soil in pipeline trench with compaction and sprinkling of water</v>
          </cell>
          <cell r="E69" t="str">
            <v>cum</v>
          </cell>
          <cell r="F69">
            <v>52.118000000000002</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BD69">
            <v>0</v>
          </cell>
        </row>
        <row r="70">
          <cell r="A70" t="str">
            <v>2.39.c</v>
          </cell>
          <cell r="B70" t="str">
            <v>2-39(c)</v>
          </cell>
          <cell r="C70" t="str">
            <v>Filling hard soils in pipeline trenches in 20cm thick layers including hand compaction &amp; water sprinkling</v>
          </cell>
          <cell r="D70" t="str">
            <v>Filling hard soil in pipeline trench with compaction and sprinkling of water</v>
          </cell>
          <cell r="E70" t="str">
            <v>cum</v>
          </cell>
          <cell r="F70">
            <v>59.698799999999999</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BD70">
            <v>0</v>
          </cell>
        </row>
        <row r="71">
          <cell r="A71" t="str">
            <v>2.39.d</v>
          </cell>
          <cell r="B71" t="str">
            <v>2-39(d)</v>
          </cell>
          <cell r="C71" t="str">
            <v>Filling gravel boulder mixed soil in pipeline trenches in 20cm thick layers including hand compaction &amp; water sprinkling</v>
          </cell>
          <cell r="D71" t="str">
            <v>Filling GBM soil in pipeline trench with compaction and sprinkling of water</v>
          </cell>
          <cell r="E71" t="str">
            <v>cum</v>
          </cell>
          <cell r="F71">
            <v>56.855999999999995</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v>0</v>
          </cell>
          <cell r="Z71">
            <v>0</v>
          </cell>
          <cell r="AA71">
            <v>0</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0</v>
          </cell>
          <cell r="AS71">
            <v>0</v>
          </cell>
          <cell r="AT71">
            <v>0</v>
          </cell>
          <cell r="AU71">
            <v>0</v>
          </cell>
          <cell r="AV71">
            <v>0</v>
          </cell>
          <cell r="AW71">
            <v>0</v>
          </cell>
          <cell r="AX71">
            <v>0</v>
          </cell>
          <cell r="BD71">
            <v>0</v>
          </cell>
        </row>
        <row r="72">
          <cell r="A72" t="str">
            <v>2.39.e</v>
          </cell>
          <cell r="B72" t="str">
            <v>2-39(e)</v>
          </cell>
          <cell r="C72" t="str">
            <v>Filling medium rocks in pipeline trenches in 20cm thick layers including hand compaction &amp; water sprinkling</v>
          </cell>
          <cell r="D72" t="str">
            <v>Filling medi. rock in pipeline trench with compaction and sprinkling of water</v>
          </cell>
          <cell r="E72" t="str">
            <v>cum</v>
          </cell>
          <cell r="F72">
            <v>104.236</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0</v>
          </cell>
          <cell r="X72">
            <v>0</v>
          </cell>
          <cell r="Y72">
            <v>0</v>
          </cell>
          <cell r="Z72">
            <v>0</v>
          </cell>
          <cell r="AA72">
            <v>0</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BD72">
            <v>0</v>
          </cell>
        </row>
        <row r="73">
          <cell r="A73" t="str">
            <v>2.39.f</v>
          </cell>
          <cell r="B73" t="str">
            <v>2-39(f)</v>
          </cell>
          <cell r="C73" t="str">
            <v>Filling hard rocks in pipeline trenches in 20cm thick layers including hand compaction &amp; water sprinkling</v>
          </cell>
          <cell r="D73" t="str">
            <v>Filling hard rock in pipeline trench with compaction and sprinkling of water</v>
          </cell>
          <cell r="E73" t="str">
            <v>cum</v>
          </cell>
          <cell r="F73">
            <v>104.236</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BD73">
            <v>0</v>
          </cell>
        </row>
        <row r="74">
          <cell r="A74" t="str">
            <v>2.42</v>
          </cell>
          <cell r="B74" t="str">
            <v>2-42</v>
          </cell>
          <cell r="C74" t="str">
            <v>Sand filling works including water sprinkling &amp; hand compaction</v>
          </cell>
          <cell r="D74" t="str">
            <v>Sand filling with compaction and sprinkling of water</v>
          </cell>
          <cell r="E74" t="str">
            <v>cum</v>
          </cell>
          <cell r="F74">
            <v>924.01857832812482</v>
          </cell>
          <cell r="G74">
            <v>1002.2018465</v>
          </cell>
          <cell r="H74">
            <v>926053.1254007516</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0</v>
          </cell>
          <cell r="X74">
            <v>0</v>
          </cell>
          <cell r="Y74">
            <v>7.2567565000000016</v>
          </cell>
          <cell r="Z74">
            <v>6705.3778244033801</v>
          </cell>
          <cell r="AA74">
            <v>0</v>
          </cell>
          <cell r="AB74">
            <v>0</v>
          </cell>
          <cell r="AC74">
            <v>991.53</v>
          </cell>
          <cell r="AD74">
            <v>916192.14096968563</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3.4150900000000006</v>
          </cell>
          <cell r="AX74">
            <v>3155.6066066625963</v>
          </cell>
          <cell r="BD74">
            <v>0</v>
          </cell>
        </row>
        <row r="75">
          <cell r="C75" t="str">
            <v>BRICK MASONRY WORKS</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BD75">
            <v>0</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v>3879.341382590625</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BD76">
            <v>0</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v>3686.6945964515626</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cell r="Z77">
            <v>0</v>
          </cell>
          <cell r="AA77">
            <v>0</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BD77">
            <v>0</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v>3622.4790010718752</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BD78">
            <v>0</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3599.6690703765626</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BD79">
            <v>0</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3415.1907278406256</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BD80">
            <v>0</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3238.8808289078133</v>
          </cell>
          <cell r="G81">
            <v>147.1351325</v>
          </cell>
          <cell r="H81">
            <v>476553.15991306095</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76.438390625000011</v>
          </cell>
          <cell r="Z81">
            <v>247574.83798787926</v>
          </cell>
          <cell r="AA81">
            <v>0</v>
          </cell>
          <cell r="AB81">
            <v>0</v>
          </cell>
          <cell r="AC81">
            <v>0</v>
          </cell>
          <cell r="AD81">
            <v>0</v>
          </cell>
          <cell r="AE81">
            <v>0</v>
          </cell>
          <cell r="AF81">
            <v>0</v>
          </cell>
          <cell r="AG81">
            <v>0</v>
          </cell>
          <cell r="AH81">
            <v>0</v>
          </cell>
          <cell r="AI81">
            <v>0</v>
          </cell>
          <cell r="AJ81">
            <v>0</v>
          </cell>
          <cell r="AK81">
            <v>0</v>
          </cell>
          <cell r="AL81">
            <v>0</v>
          </cell>
          <cell r="AM81">
            <v>0</v>
          </cell>
          <cell r="AN81">
            <v>0</v>
          </cell>
          <cell r="AO81">
            <v>0</v>
          </cell>
          <cell r="AP81">
            <v>0</v>
          </cell>
          <cell r="AQ81">
            <v>0</v>
          </cell>
          <cell r="AR81">
            <v>0</v>
          </cell>
          <cell r="AS81">
            <v>0</v>
          </cell>
          <cell r="AT81">
            <v>0</v>
          </cell>
          <cell r="AU81">
            <v>0</v>
          </cell>
          <cell r="AV81">
            <v>0</v>
          </cell>
          <cell r="AW81">
            <v>70.696741874999987</v>
          </cell>
          <cell r="AX81">
            <v>228978.32192518166</v>
          </cell>
          <cell r="BD81">
            <v>0</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5237.4135636000001</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BD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5125.7923531562501</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cell r="X83">
            <v>0</v>
          </cell>
          <cell r="Y83">
            <v>0</v>
          </cell>
          <cell r="Z83">
            <v>0</v>
          </cell>
          <cell r="AA83">
            <v>0</v>
          </cell>
          <cell r="AB83">
            <v>0</v>
          </cell>
          <cell r="AC83">
            <v>0</v>
          </cell>
          <cell r="AD83">
            <v>0</v>
          </cell>
          <cell r="AE83">
            <v>0</v>
          </cell>
          <cell r="AF83">
            <v>0</v>
          </cell>
          <cell r="AG83">
            <v>0</v>
          </cell>
          <cell r="AH83">
            <v>0</v>
          </cell>
          <cell r="AI83">
            <v>0</v>
          </cell>
          <cell r="AJ83">
            <v>0</v>
          </cell>
          <cell r="AK83">
            <v>0</v>
          </cell>
          <cell r="AL83">
            <v>0</v>
          </cell>
          <cell r="AM83">
            <v>0</v>
          </cell>
          <cell r="AN83">
            <v>0</v>
          </cell>
          <cell r="AO83">
            <v>0</v>
          </cell>
          <cell r="AP83">
            <v>0</v>
          </cell>
          <cell r="AQ83">
            <v>0</v>
          </cell>
          <cell r="AR83">
            <v>0</v>
          </cell>
          <cell r="AS83">
            <v>0</v>
          </cell>
          <cell r="AT83">
            <v>0</v>
          </cell>
          <cell r="AU83">
            <v>0</v>
          </cell>
          <cell r="AV83">
            <v>0</v>
          </cell>
          <cell r="AW83">
            <v>0</v>
          </cell>
          <cell r="AX83">
            <v>0</v>
          </cell>
          <cell r="BD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2452.8933531562507</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cell r="X84">
            <v>0</v>
          </cell>
          <cell r="Y84">
            <v>0</v>
          </cell>
          <cell r="Z84">
            <v>0</v>
          </cell>
          <cell r="AA84">
            <v>0</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0</v>
          </cell>
          <cell r="AU84">
            <v>0</v>
          </cell>
          <cell r="AV84">
            <v>0</v>
          </cell>
          <cell r="AW84">
            <v>0</v>
          </cell>
          <cell r="AX84">
            <v>0</v>
          </cell>
          <cell r="BD84">
            <v>0</v>
          </cell>
        </row>
        <row r="85">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BD85">
            <v>0</v>
          </cell>
        </row>
        <row r="86">
          <cell r="C86" t="str">
            <v>RUBBLE MASONRY WORKS</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J86">
            <v>0</v>
          </cell>
          <cell r="AK86">
            <v>0</v>
          </cell>
          <cell r="AL86">
            <v>0</v>
          </cell>
          <cell r="AM86">
            <v>0</v>
          </cell>
          <cell r="AN86">
            <v>0</v>
          </cell>
          <cell r="AO86">
            <v>0</v>
          </cell>
          <cell r="AP86">
            <v>0</v>
          </cell>
          <cell r="AQ86">
            <v>0</v>
          </cell>
          <cell r="AR86">
            <v>0</v>
          </cell>
          <cell r="AS86">
            <v>0</v>
          </cell>
          <cell r="AT86">
            <v>0</v>
          </cell>
          <cell r="AU86">
            <v>0</v>
          </cell>
          <cell r="AV86">
            <v>0</v>
          </cell>
          <cell r="AW86">
            <v>0</v>
          </cell>
          <cell r="AX86">
            <v>0</v>
          </cell>
          <cell r="BD86">
            <v>0</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3262.4123773221877</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BD87">
            <v>0</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3062.1631243026563</v>
          </cell>
          <cell r="G88">
            <v>1799.6964374999732</v>
          </cell>
          <cell r="H88">
            <v>5510964.0658512786</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225.70949999999999</v>
          </cell>
          <cell r="X88">
            <v>691159.30770479038</v>
          </cell>
          <cell r="Y88">
            <v>0</v>
          </cell>
          <cell r="Z88">
            <v>0</v>
          </cell>
          <cell r="AA88">
            <v>350</v>
          </cell>
          <cell r="AB88">
            <v>1071757.0935059297</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0</v>
          </cell>
          <cell r="AS88">
            <v>21.112937500000001</v>
          </cell>
          <cell r="AT88">
            <v>64651.258658206716</v>
          </cell>
          <cell r="AU88">
            <v>1202.8739999999732</v>
          </cell>
          <cell r="AV88">
            <v>3683396.4059823514</v>
          </cell>
          <cell r="AW88">
            <v>0</v>
          </cell>
          <cell r="AX88">
            <v>0</v>
          </cell>
          <cell r="BD88">
            <v>225.70949999999999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2738.1573559965627</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BD89">
            <v>0</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1303.8301956250002</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BD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1365.9301956250001</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J91">
            <v>0</v>
          </cell>
          <cell r="AK91">
            <v>0</v>
          </cell>
          <cell r="AL91">
            <v>0</v>
          </cell>
          <cell r="AM91">
            <v>0</v>
          </cell>
          <cell r="AN91">
            <v>0</v>
          </cell>
          <cell r="AO91">
            <v>0</v>
          </cell>
          <cell r="AP91">
            <v>0</v>
          </cell>
          <cell r="AQ91">
            <v>0</v>
          </cell>
          <cell r="AR91">
            <v>0</v>
          </cell>
          <cell r="AS91">
            <v>0</v>
          </cell>
          <cell r="AT91">
            <v>0</v>
          </cell>
          <cell r="AU91">
            <v>0</v>
          </cell>
          <cell r="AV91">
            <v>0</v>
          </cell>
          <cell r="AW91">
            <v>0</v>
          </cell>
          <cell r="AX91">
            <v>0</v>
          </cell>
          <cell r="BD91">
            <v>0</v>
          </cell>
        </row>
        <row r="92">
          <cell r="A92">
            <v>6.5</v>
          </cell>
          <cell r="B92" t="str">
            <v>6-5</v>
          </cell>
          <cell r="C92" t="str">
            <v>Filling by stones in the foundation and leveling including haulage distance up to 30m</v>
          </cell>
          <cell r="D92" t="str">
            <v>Stone filling in foundation</v>
          </cell>
          <cell r="E92" t="str">
            <v>cum</v>
          </cell>
          <cell r="F92">
            <v>1158.8011225</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BD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2971.3793445945312</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0</v>
          </cell>
          <cell r="AS93">
            <v>0</v>
          </cell>
          <cell r="AT93">
            <v>0</v>
          </cell>
          <cell r="AU93">
            <v>0</v>
          </cell>
          <cell r="AV93">
            <v>0</v>
          </cell>
          <cell r="AW93">
            <v>0</v>
          </cell>
          <cell r="AX93">
            <v>0</v>
          </cell>
          <cell r="BD93">
            <v>0</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2458.2450352282813</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0</v>
          </cell>
          <cell r="AS94">
            <v>0</v>
          </cell>
          <cell r="AT94">
            <v>0</v>
          </cell>
          <cell r="AU94">
            <v>0</v>
          </cell>
          <cell r="AV94">
            <v>0</v>
          </cell>
          <cell r="AW94">
            <v>0</v>
          </cell>
          <cell r="AX94">
            <v>0</v>
          </cell>
          <cell r="BD94">
            <v>0</v>
          </cell>
        </row>
        <row r="95">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BD95">
            <v>0</v>
          </cell>
        </row>
        <row r="96">
          <cell r="C96" t="str">
            <v>CEMENT CONCRETE WORKS</v>
          </cell>
          <cell r="G96">
            <v>0</v>
          </cell>
          <cell r="H96">
            <v>0</v>
          </cell>
          <cell r="I96">
            <v>0</v>
          </cell>
          <cell r="J96">
            <v>0</v>
          </cell>
          <cell r="K96">
            <v>0</v>
          </cell>
          <cell r="L96">
            <v>0</v>
          </cell>
          <cell r="M96">
            <v>0</v>
          </cell>
          <cell r="N96">
            <v>0</v>
          </cell>
          <cell r="O96">
            <v>0</v>
          </cell>
          <cell r="P96">
            <v>0</v>
          </cell>
          <cell r="Q96">
            <v>0</v>
          </cell>
          <cell r="R96">
            <v>0</v>
          </cell>
          <cell r="S96">
            <v>0</v>
          </cell>
          <cell r="T96">
            <v>0</v>
          </cell>
          <cell r="U96">
            <v>0</v>
          </cell>
          <cell r="V96">
            <v>0</v>
          </cell>
          <cell r="W96">
            <v>0</v>
          </cell>
          <cell r="X96">
            <v>0</v>
          </cell>
          <cell r="Y96">
            <v>0</v>
          </cell>
          <cell r="Z96">
            <v>0</v>
          </cell>
          <cell r="AA96">
            <v>0</v>
          </cell>
          <cell r="AB96">
            <v>0</v>
          </cell>
          <cell r="AC96">
            <v>0</v>
          </cell>
          <cell r="AD96">
            <v>0</v>
          </cell>
          <cell r="AE96">
            <v>0</v>
          </cell>
          <cell r="AF96">
            <v>0</v>
          </cell>
          <cell r="AG96">
            <v>0</v>
          </cell>
          <cell r="AH96">
            <v>0</v>
          </cell>
          <cell r="AI96">
            <v>0</v>
          </cell>
          <cell r="AJ96">
            <v>0</v>
          </cell>
          <cell r="AK96">
            <v>0</v>
          </cell>
          <cell r="AL96">
            <v>0</v>
          </cell>
          <cell r="AM96">
            <v>0</v>
          </cell>
          <cell r="AN96">
            <v>0</v>
          </cell>
          <cell r="AO96">
            <v>0</v>
          </cell>
          <cell r="AP96">
            <v>0</v>
          </cell>
          <cell r="AQ96">
            <v>0</v>
          </cell>
          <cell r="AR96">
            <v>0</v>
          </cell>
          <cell r="AS96">
            <v>0</v>
          </cell>
          <cell r="AT96">
            <v>0</v>
          </cell>
          <cell r="AU96">
            <v>0</v>
          </cell>
          <cell r="AV96">
            <v>0</v>
          </cell>
          <cell r="AW96">
            <v>0</v>
          </cell>
          <cell r="AX96">
            <v>0</v>
          </cell>
          <cell r="BD96">
            <v>0</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4591.7984018249999</v>
          </cell>
          <cell r="G97">
            <v>0.55391875000000002</v>
          </cell>
          <cell r="H97">
            <v>2543.4832309909016</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0</v>
          </cell>
          <cell r="AS97">
            <v>0</v>
          </cell>
          <cell r="AT97">
            <v>0</v>
          </cell>
          <cell r="AU97">
            <v>0</v>
          </cell>
          <cell r="AV97">
            <v>0</v>
          </cell>
          <cell r="AW97">
            <v>0.55391875000000002</v>
          </cell>
          <cell r="AX97">
            <v>2543.4832309909016</v>
          </cell>
          <cell r="BD97">
            <v>0</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5106.7794461015628</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0</v>
          </cell>
          <cell r="AS98">
            <v>0</v>
          </cell>
          <cell r="AT98">
            <v>0</v>
          </cell>
          <cell r="AU98">
            <v>0</v>
          </cell>
          <cell r="AV98">
            <v>0</v>
          </cell>
          <cell r="AW98">
            <v>0</v>
          </cell>
          <cell r="AX98">
            <v>0</v>
          </cell>
          <cell r="BD98">
            <v>0</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3756.2707133890622</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BD99">
            <v>0</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4013.1330949078124</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BD100">
            <v>0</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4334.2110718062495</v>
          </cell>
          <cell r="G101">
            <v>177.30071938107557</v>
          </cell>
          <cell r="H101">
            <v>768458.74098067055</v>
          </cell>
          <cell r="I101">
            <v>0</v>
          </cell>
          <cell r="J101">
            <v>0</v>
          </cell>
          <cell r="K101">
            <v>15.727500000000001</v>
          </cell>
          <cell r="L101">
            <v>68166.304631832798</v>
          </cell>
          <cell r="M101">
            <v>3.2916479999999999</v>
          </cell>
          <cell r="N101">
            <v>14266.697206088897</v>
          </cell>
          <cell r="O101">
            <v>11.25</v>
          </cell>
          <cell r="P101">
            <v>48759.874557820309</v>
          </cell>
          <cell r="Q101">
            <v>10.6194375</v>
          </cell>
          <cell r="R101">
            <v>46026.883588854478</v>
          </cell>
          <cell r="S101">
            <v>11.8925625</v>
          </cell>
          <cell r="T101">
            <v>51544.87605964781</v>
          </cell>
          <cell r="U101">
            <v>26.185499999999998</v>
          </cell>
          <cell r="V101">
            <v>113493.48402078253</v>
          </cell>
          <cell r="W101">
            <v>16.454999999999998</v>
          </cell>
          <cell r="X101">
            <v>71319.443186571822</v>
          </cell>
          <cell r="Y101">
            <v>21.664636250000001</v>
          </cell>
          <cell r="Z101">
            <v>93899.106301405031</v>
          </cell>
          <cell r="AA101">
            <v>0</v>
          </cell>
          <cell r="AB101">
            <v>0</v>
          </cell>
          <cell r="AC101">
            <v>0</v>
          </cell>
          <cell r="AD101">
            <v>0</v>
          </cell>
          <cell r="AE101">
            <v>3.1252499999999999</v>
          </cell>
          <cell r="AF101">
            <v>13545.49315216248</v>
          </cell>
          <cell r="AG101">
            <v>4.6897500000000001</v>
          </cell>
          <cell r="AH101">
            <v>20326.366374003359</v>
          </cell>
          <cell r="AI101">
            <v>0</v>
          </cell>
          <cell r="AJ101">
            <v>0</v>
          </cell>
          <cell r="AK101">
            <v>22.13325</v>
          </cell>
          <cell r="AL101">
            <v>95930.177205055676</v>
          </cell>
          <cell r="AM101">
            <v>0</v>
          </cell>
          <cell r="AN101">
            <v>0</v>
          </cell>
          <cell r="AO101">
            <v>0</v>
          </cell>
          <cell r="AP101">
            <v>0</v>
          </cell>
          <cell r="AQ101">
            <v>0</v>
          </cell>
          <cell r="AR101">
            <v>0</v>
          </cell>
          <cell r="AS101">
            <v>38.168580131075601</v>
          </cell>
          <cell r="AT101">
            <v>165430.68259923189</v>
          </cell>
          <cell r="AU101">
            <v>0</v>
          </cell>
          <cell r="AV101">
            <v>0</v>
          </cell>
          <cell r="AW101">
            <v>3.3476050000000002</v>
          </cell>
          <cell r="AX101">
            <v>14509.226655033961</v>
          </cell>
          <cell r="BD101">
            <v>65.152500000000003</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5021.5728177781257</v>
          </cell>
          <cell r="G102">
            <v>326.27166924246001</v>
          </cell>
          <cell r="H102">
            <v>1638396.9454790326</v>
          </cell>
          <cell r="I102">
            <v>0</v>
          </cell>
          <cell r="J102">
            <v>0</v>
          </cell>
          <cell r="K102">
            <v>0</v>
          </cell>
          <cell r="L102">
            <v>0</v>
          </cell>
          <cell r="M102">
            <v>0</v>
          </cell>
          <cell r="N102">
            <v>0</v>
          </cell>
          <cell r="O102">
            <v>0</v>
          </cell>
          <cell r="P102">
            <v>0</v>
          </cell>
          <cell r="Q102">
            <v>0</v>
          </cell>
          <cell r="R102">
            <v>0</v>
          </cell>
          <cell r="S102">
            <v>0</v>
          </cell>
          <cell r="T102">
            <v>0</v>
          </cell>
          <cell r="U102">
            <v>0</v>
          </cell>
          <cell r="V102">
            <v>0</v>
          </cell>
          <cell r="W102">
            <v>0</v>
          </cell>
          <cell r="X102">
            <v>0</v>
          </cell>
          <cell r="Y102">
            <v>0</v>
          </cell>
          <cell r="Z102">
            <v>0</v>
          </cell>
          <cell r="AA102">
            <v>0</v>
          </cell>
          <cell r="AB102">
            <v>0</v>
          </cell>
          <cell r="AC102">
            <v>0</v>
          </cell>
          <cell r="AD102">
            <v>0</v>
          </cell>
          <cell r="AE102">
            <v>0</v>
          </cell>
          <cell r="AF102">
            <v>0</v>
          </cell>
          <cell r="AG102">
            <v>0</v>
          </cell>
          <cell r="AH102">
            <v>0</v>
          </cell>
          <cell r="AI102">
            <v>9.9156692424599981</v>
          </cell>
          <cell r="AJ102">
            <v>49792.255138015746</v>
          </cell>
          <cell r="AK102">
            <v>0</v>
          </cell>
          <cell r="AL102">
            <v>0</v>
          </cell>
          <cell r="AM102">
            <v>0</v>
          </cell>
          <cell r="AN102">
            <v>0</v>
          </cell>
          <cell r="AO102">
            <v>0</v>
          </cell>
          <cell r="AP102">
            <v>0</v>
          </cell>
          <cell r="AQ102">
            <v>0</v>
          </cell>
          <cell r="AR102">
            <v>0</v>
          </cell>
          <cell r="AS102">
            <v>0</v>
          </cell>
          <cell r="AT102">
            <v>0</v>
          </cell>
          <cell r="AU102">
            <v>316.35599999999999</v>
          </cell>
          <cell r="AV102">
            <v>1588604.6903410167</v>
          </cell>
          <cell r="AW102">
            <v>0</v>
          </cell>
          <cell r="AX102">
            <v>0</v>
          </cell>
          <cell r="BD102">
            <v>0</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5239.6617087703125</v>
          </cell>
          <cell r="G103">
            <v>536.09400000000005</v>
          </cell>
          <cell r="H103">
            <v>2808951.2041015122</v>
          </cell>
          <cell r="I103">
            <v>0</v>
          </cell>
          <cell r="J103">
            <v>0</v>
          </cell>
          <cell r="K103">
            <v>0</v>
          </cell>
          <cell r="L103">
            <v>0</v>
          </cell>
          <cell r="M103">
            <v>0</v>
          </cell>
          <cell r="N103">
            <v>0</v>
          </cell>
          <cell r="O103">
            <v>0</v>
          </cell>
          <cell r="P103">
            <v>0</v>
          </cell>
          <cell r="Q103">
            <v>0</v>
          </cell>
          <cell r="R103">
            <v>0</v>
          </cell>
          <cell r="S103">
            <v>0</v>
          </cell>
          <cell r="T103">
            <v>0</v>
          </cell>
          <cell r="U103">
            <v>0</v>
          </cell>
          <cell r="V103">
            <v>0</v>
          </cell>
          <cell r="W103">
            <v>0</v>
          </cell>
          <cell r="X103">
            <v>0</v>
          </cell>
          <cell r="Y103">
            <v>0</v>
          </cell>
          <cell r="Z103">
            <v>0</v>
          </cell>
          <cell r="AA103">
            <v>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0</v>
          </cell>
          <cell r="AS103">
            <v>0</v>
          </cell>
          <cell r="AT103">
            <v>0</v>
          </cell>
          <cell r="AU103">
            <v>536.09400000000005</v>
          </cell>
          <cell r="AV103">
            <v>2808951.2041015122</v>
          </cell>
          <cell r="AW103">
            <v>0</v>
          </cell>
          <cell r="AX103">
            <v>0</v>
          </cell>
          <cell r="BD103">
            <v>0</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6154.8131365578129</v>
          </cell>
          <cell r="G104">
            <v>1346.1539177561347</v>
          </cell>
          <cell r="H104">
            <v>8285325.8168342235</v>
          </cell>
          <cell r="I104">
            <v>0</v>
          </cell>
          <cell r="J104">
            <v>0</v>
          </cell>
          <cell r="K104">
            <v>125.38124999999999</v>
          </cell>
          <cell r="L104">
            <v>771698.1645780392</v>
          </cell>
          <cell r="M104">
            <v>27.538793999999996</v>
          </cell>
          <cell r="N104">
            <v>169496.13107615945</v>
          </cell>
          <cell r="O104">
            <v>77.52525</v>
          </cell>
          <cell r="P104">
            <v>477153.42711492861</v>
          </cell>
          <cell r="Q104">
            <v>68.448250000000002</v>
          </cell>
          <cell r="R104">
            <v>421286.18827439332</v>
          </cell>
          <cell r="S104">
            <v>126.42710624999999</v>
          </cell>
          <cell r="T104">
            <v>778135.21436449036</v>
          </cell>
          <cell r="U104">
            <v>298.863</v>
          </cell>
          <cell r="V104">
            <v>1839445.9184310776</v>
          </cell>
          <cell r="W104">
            <v>0</v>
          </cell>
          <cell r="X104">
            <v>0</v>
          </cell>
          <cell r="Y104">
            <v>16.890437500000001</v>
          </cell>
          <cell r="Z104">
            <v>103957.4866072087</v>
          </cell>
          <cell r="AA104">
            <v>0</v>
          </cell>
          <cell r="AB104">
            <v>0</v>
          </cell>
          <cell r="AC104">
            <v>163.44</v>
          </cell>
          <cell r="AD104">
            <v>1005942.6590390089</v>
          </cell>
          <cell r="AE104">
            <v>20.779767740530186</v>
          </cell>
          <cell r="AF104">
            <v>127895.58746403545</v>
          </cell>
          <cell r="AG104">
            <v>31.497887234765951</v>
          </cell>
          <cell r="AH104">
            <v>193863.61012635412</v>
          </cell>
          <cell r="AI104">
            <v>11.988</v>
          </cell>
          <cell r="AJ104">
            <v>73783.899881055055</v>
          </cell>
          <cell r="AK104">
            <v>172.31537418371127</v>
          </cell>
          <cell r="AL104">
            <v>1060568.9286567811</v>
          </cell>
          <cell r="AM104">
            <v>0</v>
          </cell>
          <cell r="AN104">
            <v>0</v>
          </cell>
          <cell r="AO104">
            <v>0</v>
          </cell>
          <cell r="AP104">
            <v>0</v>
          </cell>
          <cell r="AQ104">
            <v>1.3499999999999999</v>
          </cell>
          <cell r="AR104">
            <v>8308.9977343530463</v>
          </cell>
          <cell r="AS104">
            <v>264.30016334712741</v>
          </cell>
          <cell r="AT104">
            <v>1626718.1173632755</v>
          </cell>
          <cell r="AU104">
            <v>0</v>
          </cell>
          <cell r="AV104">
            <v>0</v>
          </cell>
          <cell r="AW104">
            <v>16.933887500000001</v>
          </cell>
          <cell r="AX104">
            <v>104224.91323799215</v>
          </cell>
          <cell r="BD104">
            <v>493.73835624999998</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 xml:space="preserve">P.C.C. for R.C.C. for super structures in M25 </v>
          </cell>
          <cell r="E105" t="str">
            <v>cum</v>
          </cell>
          <cell r="F105">
            <v>7432.4170875750006</v>
          </cell>
          <cell r="G105">
            <v>27.38775</v>
          </cell>
          <cell r="H105">
            <v>203557.18109023222</v>
          </cell>
          <cell r="I105">
            <v>0</v>
          </cell>
          <cell r="J105">
            <v>0</v>
          </cell>
          <cell r="K105">
            <v>21.507750000000001</v>
          </cell>
          <cell r="L105">
            <v>159854.56861529124</v>
          </cell>
          <cell r="M105">
            <v>0</v>
          </cell>
          <cell r="N105">
            <v>0</v>
          </cell>
          <cell r="O105">
            <v>0</v>
          </cell>
          <cell r="P105">
            <v>0</v>
          </cell>
          <cell r="Q105">
            <v>0</v>
          </cell>
          <cell r="R105">
            <v>0</v>
          </cell>
          <cell r="S105">
            <v>0</v>
          </cell>
          <cell r="T105">
            <v>0</v>
          </cell>
          <cell r="U105">
            <v>0</v>
          </cell>
          <cell r="V105">
            <v>0</v>
          </cell>
          <cell r="W105">
            <v>0</v>
          </cell>
          <cell r="X105">
            <v>0</v>
          </cell>
          <cell r="Y105">
            <v>0</v>
          </cell>
          <cell r="Z105">
            <v>0</v>
          </cell>
          <cell r="AA105">
            <v>0</v>
          </cell>
          <cell r="AB105">
            <v>0</v>
          </cell>
          <cell r="AC105">
            <v>3.0400000000000005</v>
          </cell>
          <cell r="AD105">
            <v>22594.547946228005</v>
          </cell>
          <cell r="AE105">
            <v>0</v>
          </cell>
          <cell r="AF105">
            <v>0</v>
          </cell>
          <cell r="AG105">
            <v>0</v>
          </cell>
          <cell r="AH105">
            <v>0</v>
          </cell>
          <cell r="AI105">
            <v>0</v>
          </cell>
          <cell r="AJ105">
            <v>0</v>
          </cell>
          <cell r="AK105">
            <v>0</v>
          </cell>
          <cell r="AL105">
            <v>0</v>
          </cell>
          <cell r="AM105">
            <v>0</v>
          </cell>
          <cell r="AN105">
            <v>0</v>
          </cell>
          <cell r="AO105">
            <v>0.80000000000000016</v>
          </cell>
          <cell r="AP105">
            <v>5945.9336700600015</v>
          </cell>
          <cell r="AQ105">
            <v>2.0400000000000005</v>
          </cell>
          <cell r="AR105">
            <v>15162.130858653005</v>
          </cell>
          <cell r="AS105">
            <v>0</v>
          </cell>
          <cell r="AT105">
            <v>0</v>
          </cell>
          <cell r="AU105">
            <v>0</v>
          </cell>
          <cell r="AV105">
            <v>0</v>
          </cell>
          <cell r="AW105">
            <v>0</v>
          </cell>
          <cell r="AX105">
            <v>0</v>
          </cell>
          <cell r="BD105">
            <v>0</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39248.537514867188</v>
          </cell>
          <cell r="G106">
            <v>171.30495056829923</v>
          </cell>
          <cell r="H106">
            <v>6723468.7788623618</v>
          </cell>
          <cell r="I106">
            <v>0</v>
          </cell>
          <cell r="J106">
            <v>0</v>
          </cell>
          <cell r="K106">
            <v>14.688900000000002</v>
          </cell>
          <cell r="L106">
            <v>576517.84270213277</v>
          </cell>
          <cell r="M106">
            <v>2.7538793999999998</v>
          </cell>
          <cell r="N106">
            <v>108085.73894231993</v>
          </cell>
          <cell r="O106">
            <v>7.7525249999999994</v>
          </cell>
          <cell r="P106">
            <v>304275.26829744573</v>
          </cell>
          <cell r="Q106">
            <v>6.8448250000000002</v>
          </cell>
          <cell r="R106">
            <v>268649.37079520081</v>
          </cell>
          <cell r="S106">
            <v>12.642710624999999</v>
          </cell>
          <cell r="T106">
            <v>496207.90225492249</v>
          </cell>
          <cell r="U106">
            <v>29.886299999999999</v>
          </cell>
          <cell r="V106">
            <v>1172993.5667305752</v>
          </cell>
          <cell r="W106">
            <v>0</v>
          </cell>
          <cell r="X106">
            <v>0</v>
          </cell>
          <cell r="Y106">
            <v>1.6890437500000002</v>
          </cell>
          <cell r="Z106">
            <v>66292.496986126964</v>
          </cell>
          <cell r="AA106">
            <v>0</v>
          </cell>
          <cell r="AB106">
            <v>0</v>
          </cell>
          <cell r="AC106">
            <v>0.22800000000000004</v>
          </cell>
          <cell r="AD106">
            <v>8948.6665533897212</v>
          </cell>
          <cell r="AE106">
            <v>2.0779767740530186</v>
          </cell>
          <cell r="AF106">
            <v>81557.549371442597</v>
          </cell>
          <cell r="AG106">
            <v>3.1497887234765956</v>
          </cell>
          <cell r="AH106">
            <v>123624.6008772768</v>
          </cell>
          <cell r="AI106">
            <v>1.7981999999999998</v>
          </cell>
          <cell r="AJ106">
            <v>70576.720159234173</v>
          </cell>
          <cell r="AK106">
            <v>17.231537418371129</v>
          </cell>
          <cell r="AL106">
            <v>676312.64280377701</v>
          </cell>
          <cell r="AM106">
            <v>0</v>
          </cell>
          <cell r="AN106">
            <v>0</v>
          </cell>
          <cell r="AO106">
            <v>6.0000000000000012E-2</v>
          </cell>
          <cell r="AP106">
            <v>2354.9122508920318</v>
          </cell>
          <cell r="AQ106">
            <v>0.35550000000000004</v>
          </cell>
          <cell r="AR106">
            <v>13952.855086535286</v>
          </cell>
          <cell r="AS106">
            <v>37.000789102398485</v>
          </cell>
          <cell r="AT106">
            <v>1452226.8591651761</v>
          </cell>
          <cell r="AU106">
            <v>40.207050000000002</v>
          </cell>
          <cell r="AV106">
            <v>1578067.9102871409</v>
          </cell>
          <cell r="AW106">
            <v>0.69044977499999993</v>
          </cell>
          <cell r="AX106">
            <v>27099.143896219106</v>
          </cell>
          <cell r="BD106">
            <v>49.373835624999998</v>
          </cell>
        </row>
        <row r="107">
          <cell r="C107" t="str">
            <v>FORM WORKS</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cell r="X107">
            <v>0</v>
          </cell>
          <cell r="Y107">
            <v>0</v>
          </cell>
          <cell r="Z107">
            <v>0</v>
          </cell>
          <cell r="AA107">
            <v>0</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BD107">
            <v>0</v>
          </cell>
        </row>
        <row r="108">
          <cell r="A108" t="str">
            <v>8.1.a</v>
          </cell>
          <cell r="B108" t="str">
            <v>8-1(a)</v>
          </cell>
          <cell r="C108" t="str">
            <v>Making wooden forms including selection of material, measuring, cutting , fixing, nailing as per specified drawings and hauling up to 30m and placing in position. [Simple standard forms, each form&lt; 1sqm]</v>
          </cell>
          <cell r="D108" t="str">
            <v>Simple standard formwork of size &lt;1 sqm excluding materials</v>
          </cell>
          <cell r="E108" t="str">
            <v>sqm</v>
          </cell>
          <cell r="F108">
            <v>72.249900000000011</v>
          </cell>
          <cell r="G108">
            <v>254.12877500000002</v>
          </cell>
          <cell r="H108">
            <v>18360.778580872506</v>
          </cell>
          <cell r="I108">
            <v>0</v>
          </cell>
          <cell r="J108">
            <v>0</v>
          </cell>
          <cell r="K108">
            <v>0</v>
          </cell>
          <cell r="L108">
            <v>0</v>
          </cell>
          <cell r="M108">
            <v>0</v>
          </cell>
          <cell r="N108">
            <v>0</v>
          </cell>
          <cell r="O108">
            <v>0</v>
          </cell>
          <cell r="P108">
            <v>0</v>
          </cell>
          <cell r="Q108">
            <v>0</v>
          </cell>
          <cell r="R108">
            <v>0</v>
          </cell>
          <cell r="S108">
            <v>0</v>
          </cell>
          <cell r="T108">
            <v>0</v>
          </cell>
          <cell r="U108">
            <v>0</v>
          </cell>
          <cell r="V108">
            <v>0</v>
          </cell>
          <cell r="W108">
            <v>0</v>
          </cell>
          <cell r="X108">
            <v>0</v>
          </cell>
          <cell r="Y108">
            <v>150.37750000000003</v>
          </cell>
          <cell r="Z108">
            <v>10864.759337250003</v>
          </cell>
          <cell r="AA108">
            <v>0</v>
          </cell>
          <cell r="AB108">
            <v>0</v>
          </cell>
          <cell r="AC108">
            <v>0</v>
          </cell>
          <cell r="AD108">
            <v>0</v>
          </cell>
          <cell r="AE108">
            <v>0</v>
          </cell>
          <cell r="AF108">
            <v>0</v>
          </cell>
          <cell r="AG108">
            <v>0</v>
          </cell>
          <cell r="AH108">
            <v>0</v>
          </cell>
          <cell r="AI108">
            <v>0</v>
          </cell>
          <cell r="AJ108">
            <v>0</v>
          </cell>
          <cell r="AK108">
            <v>0</v>
          </cell>
          <cell r="AL108">
            <v>0</v>
          </cell>
          <cell r="AM108">
            <v>0</v>
          </cell>
          <cell r="AN108">
            <v>0</v>
          </cell>
          <cell r="AO108">
            <v>0</v>
          </cell>
          <cell r="AP108">
            <v>0</v>
          </cell>
          <cell r="AQ108">
            <v>0</v>
          </cell>
          <cell r="AR108">
            <v>0</v>
          </cell>
          <cell r="AS108">
            <v>0</v>
          </cell>
          <cell r="AT108">
            <v>0</v>
          </cell>
          <cell r="AU108">
            <v>0</v>
          </cell>
          <cell r="AV108">
            <v>0</v>
          </cell>
          <cell r="AW108">
            <v>103.75127499999999</v>
          </cell>
          <cell r="AX108">
            <v>7496.0192436225007</v>
          </cell>
          <cell r="BD108">
            <v>0</v>
          </cell>
        </row>
        <row r="109">
          <cell r="A109" t="str">
            <v>8.1.b</v>
          </cell>
          <cell r="B109" t="str">
            <v>8-1(b)</v>
          </cell>
          <cell r="C109" t="str">
            <v>Making wooden forms including selection of material, measuring, cutting , fixing, nailing as per specified drawings and hauling up to 30m and placing in position. [Simple standard forms, each form&lt; 2sqm]</v>
          </cell>
          <cell r="D109" t="str">
            <v>Simple standard formwork of size &lt;2 sqm excluding materials</v>
          </cell>
          <cell r="E109" t="str">
            <v>sqm</v>
          </cell>
          <cell r="F109">
            <v>59.101720000000007</v>
          </cell>
          <cell r="G109">
            <v>0</v>
          </cell>
          <cell r="H109">
            <v>0</v>
          </cell>
          <cell r="I109">
            <v>0</v>
          </cell>
          <cell r="J109">
            <v>0</v>
          </cell>
          <cell r="K109">
            <v>0</v>
          </cell>
          <cell r="L109">
            <v>0</v>
          </cell>
          <cell r="M109">
            <v>0</v>
          </cell>
          <cell r="N109">
            <v>0</v>
          </cell>
          <cell r="O109">
            <v>0</v>
          </cell>
          <cell r="P109">
            <v>0</v>
          </cell>
          <cell r="Q109">
            <v>0</v>
          </cell>
          <cell r="R109">
            <v>0</v>
          </cell>
          <cell r="S109">
            <v>0</v>
          </cell>
          <cell r="T109">
            <v>0</v>
          </cell>
          <cell r="U109">
            <v>0</v>
          </cell>
          <cell r="V109">
            <v>0</v>
          </cell>
          <cell r="W109">
            <v>0</v>
          </cell>
          <cell r="X109">
            <v>0</v>
          </cell>
          <cell r="Y109">
            <v>0</v>
          </cell>
          <cell r="Z109">
            <v>0</v>
          </cell>
          <cell r="AA109">
            <v>0</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0</v>
          </cell>
          <cell r="AS109">
            <v>0</v>
          </cell>
          <cell r="AT109">
            <v>0</v>
          </cell>
          <cell r="AU109">
            <v>0</v>
          </cell>
          <cell r="AV109">
            <v>0</v>
          </cell>
          <cell r="AW109">
            <v>0</v>
          </cell>
          <cell r="AX109">
            <v>0</v>
          </cell>
          <cell r="BD109">
            <v>0</v>
          </cell>
        </row>
        <row r="110">
          <cell r="A110" t="str">
            <v>8.1.c</v>
          </cell>
          <cell r="B110" t="str">
            <v>8-1(c)</v>
          </cell>
          <cell r="C110" t="str">
            <v>Making wooden forms including selection of material, measuring, cutting , fixing, nailing as per specified drawings and hauling up to 30m and placing in position. [Standard forms, each form&lt; 1sqm]</v>
          </cell>
          <cell r="D110" t="str">
            <v>Standard formwork of size &lt;1 sqm excluding materials</v>
          </cell>
          <cell r="E110" t="str">
            <v>sqm</v>
          </cell>
          <cell r="F110">
            <v>51.542079999999999</v>
          </cell>
          <cell r="G110">
            <v>105.84</v>
          </cell>
          <cell r="H110">
            <v>5455.2137472000004</v>
          </cell>
          <cell r="I110">
            <v>0</v>
          </cell>
          <cell r="J110">
            <v>0</v>
          </cell>
          <cell r="K110">
            <v>0</v>
          </cell>
          <cell r="L110">
            <v>0</v>
          </cell>
          <cell r="M110">
            <v>0</v>
          </cell>
          <cell r="N110">
            <v>0</v>
          </cell>
          <cell r="O110">
            <v>0</v>
          </cell>
          <cell r="P110">
            <v>0</v>
          </cell>
          <cell r="Q110">
            <v>0</v>
          </cell>
          <cell r="R110">
            <v>0</v>
          </cell>
          <cell r="S110">
            <v>0</v>
          </cell>
          <cell r="T110">
            <v>0</v>
          </cell>
          <cell r="U110">
            <v>0</v>
          </cell>
          <cell r="V110">
            <v>0</v>
          </cell>
          <cell r="W110">
            <v>0</v>
          </cell>
          <cell r="X110">
            <v>0</v>
          </cell>
          <cell r="Y110">
            <v>0</v>
          </cell>
          <cell r="Z110">
            <v>0</v>
          </cell>
          <cell r="AA110">
            <v>0</v>
          </cell>
          <cell r="AB110">
            <v>0</v>
          </cell>
          <cell r="AC110">
            <v>54.720000000000006</v>
          </cell>
          <cell r="AD110">
            <v>2820.3826176000002</v>
          </cell>
          <cell r="AE110">
            <v>0</v>
          </cell>
          <cell r="AF110">
            <v>0</v>
          </cell>
          <cell r="AG110">
            <v>0</v>
          </cell>
          <cell r="AH110">
            <v>0</v>
          </cell>
          <cell r="AI110">
            <v>0</v>
          </cell>
          <cell r="AJ110">
            <v>0</v>
          </cell>
          <cell r="AK110">
            <v>0</v>
          </cell>
          <cell r="AL110">
            <v>0</v>
          </cell>
          <cell r="AM110">
            <v>0</v>
          </cell>
          <cell r="AN110">
            <v>0</v>
          </cell>
          <cell r="AO110">
            <v>14.400000000000002</v>
          </cell>
          <cell r="AP110">
            <v>742.20595200000014</v>
          </cell>
          <cell r="AQ110">
            <v>36.720000000000006</v>
          </cell>
          <cell r="AR110">
            <v>1892.6251776000001</v>
          </cell>
          <cell r="AS110">
            <v>0</v>
          </cell>
          <cell r="AT110">
            <v>0</v>
          </cell>
          <cell r="AU110">
            <v>0</v>
          </cell>
          <cell r="AV110">
            <v>0</v>
          </cell>
          <cell r="AW110">
            <v>0</v>
          </cell>
          <cell r="AX110">
            <v>0</v>
          </cell>
          <cell r="BD110">
            <v>0</v>
          </cell>
        </row>
        <row r="111">
          <cell r="A111" t="str">
            <v>8.1.d</v>
          </cell>
          <cell r="B111" t="str">
            <v>8-1(d)</v>
          </cell>
          <cell r="C111" t="str">
            <v>Making wooden forms including selection of material, measuring, cutting , fixing, nailing as per specified drawings and hauling up to 30m and placing in position. [Standard forms, each form&gt; 1sqm]</v>
          </cell>
          <cell r="D111" t="str">
            <v>Standard formwork of size &gt;1 sqm excluding materials</v>
          </cell>
          <cell r="E111" t="str">
            <v>sqm</v>
          </cell>
          <cell r="F111">
            <v>41.267060000000001</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BD111">
            <v>0</v>
          </cell>
        </row>
        <row r="112">
          <cell r="A112" t="str">
            <v>8.2.a</v>
          </cell>
          <cell r="B112" t="str">
            <v>8-2(a)</v>
          </cell>
          <cell r="C112" t="str">
            <v>Making wooden forms for beam, column and slab including supply &amp; selection of material, fixing, nailing, placing separators, dismantling forms and hauling up to 30m distance</v>
          </cell>
          <cell r="D112" t="str">
            <v>Formwork for flooring and slab including materials</v>
          </cell>
          <cell r="E112" t="str">
            <v>sqm</v>
          </cell>
          <cell r="F112">
            <v>241.29415</v>
          </cell>
          <cell r="G112">
            <v>8687.7417478169082</v>
          </cell>
          <cell r="H112">
            <v>2096301.2604589951</v>
          </cell>
          <cell r="I112">
            <v>0</v>
          </cell>
          <cell r="J112">
            <v>0</v>
          </cell>
          <cell r="K112">
            <v>204.73399999999998</v>
          </cell>
          <cell r="L112">
            <v>49401.116506099999</v>
          </cell>
          <cell r="M112">
            <v>124.94999999999999</v>
          </cell>
          <cell r="N112">
            <v>30149.704042499998</v>
          </cell>
          <cell r="O112">
            <v>355.495</v>
          </cell>
          <cell r="P112">
            <v>85778.863854249998</v>
          </cell>
          <cell r="Q112">
            <v>366.13</v>
          </cell>
          <cell r="R112">
            <v>88345.027139500002</v>
          </cell>
          <cell r="S112">
            <v>689.59664999999995</v>
          </cell>
          <cell r="T112">
            <v>166395.63750459749</v>
          </cell>
          <cell r="U112">
            <v>1662.6</v>
          </cell>
          <cell r="V112">
            <v>401175.65378999995</v>
          </cell>
          <cell r="W112">
            <v>0</v>
          </cell>
          <cell r="X112">
            <v>0</v>
          </cell>
          <cell r="Y112">
            <v>0</v>
          </cell>
          <cell r="Z112">
            <v>0</v>
          </cell>
          <cell r="AA112">
            <v>0</v>
          </cell>
          <cell r="AB112">
            <v>0</v>
          </cell>
          <cell r="AC112">
            <v>0</v>
          </cell>
          <cell r="AD112">
            <v>0</v>
          </cell>
          <cell r="AE112">
            <v>214.61226774053017</v>
          </cell>
          <cell r="AF112">
            <v>51784.684724023646</v>
          </cell>
          <cell r="AG112">
            <v>328.51538723476597</v>
          </cell>
          <cell r="AH112">
            <v>79268.841124733706</v>
          </cell>
          <cell r="AI112">
            <v>0</v>
          </cell>
          <cell r="AJ112">
            <v>0</v>
          </cell>
          <cell r="AK112">
            <v>1710.8458741837112</v>
          </cell>
          <cell r="AL112">
            <v>412817.10099216556</v>
          </cell>
          <cell r="AM112">
            <v>0</v>
          </cell>
          <cell r="AN112">
            <v>0</v>
          </cell>
          <cell r="AO112">
            <v>0</v>
          </cell>
          <cell r="AP112">
            <v>0</v>
          </cell>
          <cell r="AQ112">
            <v>0</v>
          </cell>
          <cell r="AR112">
            <v>0</v>
          </cell>
          <cell r="AS112">
            <v>1724.9575686579012</v>
          </cell>
          <cell r="AT112">
            <v>416222.17031537491</v>
          </cell>
          <cell r="AU112">
            <v>1660.8</v>
          </cell>
          <cell r="AV112">
            <v>400741.32432000001</v>
          </cell>
          <cell r="AW112">
            <v>0</v>
          </cell>
          <cell r="AX112">
            <v>0</v>
          </cell>
          <cell r="BD112">
            <v>2718.32665</v>
          </cell>
        </row>
        <row r="113">
          <cell r="A113" t="str">
            <v>8.2.b</v>
          </cell>
          <cell r="B113" t="str">
            <v>8-2(b)</v>
          </cell>
          <cell r="C113" t="str">
            <v>Making wooden forms for vertical surface, wall etc. (4m high &amp; up to 0.5 m wide) including supply &amp; selection of material, fixing, nailing, placing separators, dismantling forms and hauling up to 30m distance</v>
          </cell>
          <cell r="D113" t="str">
            <v>Formwork for wall (4 m height and 0.5 m wide) including materials</v>
          </cell>
          <cell r="E113" t="str">
            <v>sqm</v>
          </cell>
          <cell r="F113">
            <v>231.72154999999998</v>
          </cell>
          <cell r="G113">
            <v>88.92</v>
          </cell>
          <cell r="H113">
            <v>20604.680225999997</v>
          </cell>
          <cell r="I113">
            <v>0</v>
          </cell>
          <cell r="J113">
            <v>0</v>
          </cell>
          <cell r="K113">
            <v>0</v>
          </cell>
          <cell r="L113">
            <v>0</v>
          </cell>
          <cell r="M113">
            <v>0</v>
          </cell>
          <cell r="N113">
            <v>0</v>
          </cell>
          <cell r="O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79.92</v>
          </cell>
          <cell r="AJ113">
            <v>18519.186276</v>
          </cell>
          <cell r="AK113">
            <v>0</v>
          </cell>
          <cell r="AL113">
            <v>0</v>
          </cell>
          <cell r="AM113">
            <v>0</v>
          </cell>
          <cell r="AN113">
            <v>0</v>
          </cell>
          <cell r="AO113">
            <v>0</v>
          </cell>
          <cell r="AP113">
            <v>0</v>
          </cell>
          <cell r="AQ113">
            <v>9</v>
          </cell>
          <cell r="AR113">
            <v>2085.49395</v>
          </cell>
          <cell r="AS113">
            <v>0</v>
          </cell>
          <cell r="AT113">
            <v>0</v>
          </cell>
          <cell r="AU113">
            <v>0</v>
          </cell>
          <cell r="AV113">
            <v>0</v>
          </cell>
          <cell r="AW113">
            <v>0</v>
          </cell>
          <cell r="AX113">
            <v>0</v>
          </cell>
          <cell r="BD113">
            <v>0</v>
          </cell>
        </row>
        <row r="114">
          <cell r="A114" t="str">
            <v>8.2.c</v>
          </cell>
          <cell r="B114" t="str">
            <v>8-2(c)</v>
          </cell>
          <cell r="C114" t="str">
            <v>Making wooden forms for vertical surface, wall etc. (4.5m high &amp; up to 0.5 m wide) including supply &amp; selection of material, fixing, nailing, placing separators, dismantling forms and hauling up to 30m distance</v>
          </cell>
          <cell r="D114" t="str">
            <v>Formwork for wall (4.5 m height and 0.5 m wide) including materials</v>
          </cell>
          <cell r="E114" t="str">
            <v>sqm</v>
          </cell>
          <cell r="F114">
            <v>329.19267500000001</v>
          </cell>
          <cell r="G114">
            <v>0</v>
          </cell>
          <cell r="H114">
            <v>0</v>
          </cell>
          <cell r="I114">
            <v>0</v>
          </cell>
          <cell r="J114">
            <v>0</v>
          </cell>
          <cell r="K114">
            <v>0</v>
          </cell>
          <cell r="L114">
            <v>0</v>
          </cell>
          <cell r="M114">
            <v>0</v>
          </cell>
          <cell r="N114">
            <v>0</v>
          </cell>
          <cell r="O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BD114">
            <v>0</v>
          </cell>
        </row>
        <row r="115">
          <cell r="A115" t="str">
            <v>8.2.d</v>
          </cell>
          <cell r="B115" t="str">
            <v>8-2(d)</v>
          </cell>
          <cell r="C115" t="str">
            <v>Making wooden forms for vertical surface, wall etc. (5-10m high &amp; up to 0.5 m wide) including supply &amp; selection of material, fixing, nailing, placing separators, dismantling forms and hauling up to 30m distance</v>
          </cell>
          <cell r="D115" t="str">
            <v>Formwork for wall (5 to 10 m height and 0.5 m wide) including materials</v>
          </cell>
          <cell r="E115" t="str">
            <v>sqm</v>
          </cell>
          <cell r="F115">
            <v>686.8282999999999</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C115">
            <v>0</v>
          </cell>
          <cell r="AD115">
            <v>0</v>
          </cell>
          <cell r="AE115">
            <v>0</v>
          </cell>
          <cell r="AF115">
            <v>0</v>
          </cell>
          <cell r="AG115">
            <v>0</v>
          </cell>
          <cell r="AH115">
            <v>0</v>
          </cell>
          <cell r="AI115">
            <v>0</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BD115">
            <v>0</v>
          </cell>
        </row>
        <row r="116">
          <cell r="A116" t="str">
            <v>8.2.e</v>
          </cell>
          <cell r="B116" t="str">
            <v>8-2(e)</v>
          </cell>
          <cell r="C116" t="str">
            <v>Making wooden forms for vertical surface, wall etc. (5m high &amp; up to 0.5-1.0 m wide) including supply &amp; selection of material, fixing, nailing, placing separators, dismantling forms and hauling up to 30m distance</v>
          </cell>
          <cell r="D116" t="str">
            <v>Formwork for wall (5 m height and 0.5 to 1 m wide) including materials</v>
          </cell>
          <cell r="E116" t="str">
            <v>sqm</v>
          </cell>
          <cell r="F116">
            <v>166.43720000000002</v>
          </cell>
          <cell r="G116">
            <v>0</v>
          </cell>
          <cell r="H116">
            <v>0</v>
          </cell>
          <cell r="I116">
            <v>0</v>
          </cell>
          <cell r="J116">
            <v>0</v>
          </cell>
          <cell r="K116">
            <v>0</v>
          </cell>
          <cell r="L116">
            <v>0</v>
          </cell>
          <cell r="M116">
            <v>0</v>
          </cell>
          <cell r="N116">
            <v>0</v>
          </cell>
          <cell r="O116">
            <v>0</v>
          </cell>
          <cell r="P116">
            <v>0</v>
          </cell>
          <cell r="Q116">
            <v>0</v>
          </cell>
          <cell r="R116">
            <v>0</v>
          </cell>
          <cell r="S116">
            <v>0</v>
          </cell>
          <cell r="T116">
            <v>0</v>
          </cell>
          <cell r="U116">
            <v>0</v>
          </cell>
          <cell r="V116">
            <v>0</v>
          </cell>
          <cell r="W116">
            <v>0</v>
          </cell>
          <cell r="X116">
            <v>0</v>
          </cell>
          <cell r="Y116">
            <v>0</v>
          </cell>
          <cell r="Z116">
            <v>0</v>
          </cell>
          <cell r="AA116">
            <v>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BD116">
            <v>0</v>
          </cell>
        </row>
        <row r="117">
          <cell r="A117" t="str">
            <v>8.2.f</v>
          </cell>
          <cell r="B117" t="str">
            <v>8-2(f)</v>
          </cell>
          <cell r="C117" t="str">
            <v>Making wooden forms for vertical surface, wall etc. (5-10m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641.01345000000003</v>
          </cell>
          <cell r="G117">
            <v>0</v>
          </cell>
          <cell r="H117">
            <v>0</v>
          </cell>
          <cell r="I117">
            <v>0</v>
          </cell>
          <cell r="J117">
            <v>0</v>
          </cell>
          <cell r="K117">
            <v>0</v>
          </cell>
          <cell r="L117">
            <v>0</v>
          </cell>
          <cell r="M117">
            <v>0</v>
          </cell>
          <cell r="N117">
            <v>0</v>
          </cell>
          <cell r="O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BD117">
            <v>0</v>
          </cell>
        </row>
        <row r="118">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BD118">
            <v>0</v>
          </cell>
        </row>
        <row r="119">
          <cell r="C119" t="str">
            <v>WOOD WORKS</v>
          </cell>
          <cell r="G119">
            <v>0</v>
          </cell>
          <cell r="H119">
            <v>0</v>
          </cell>
          <cell r="I119">
            <v>0</v>
          </cell>
          <cell r="J119">
            <v>0</v>
          </cell>
          <cell r="K119">
            <v>0</v>
          </cell>
          <cell r="L119">
            <v>0</v>
          </cell>
          <cell r="M119">
            <v>0</v>
          </cell>
          <cell r="N119">
            <v>0</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v>0</v>
          </cell>
          <cell r="AC119">
            <v>0</v>
          </cell>
          <cell r="AD119">
            <v>0</v>
          </cell>
          <cell r="AE119">
            <v>0</v>
          </cell>
          <cell r="AF119">
            <v>0</v>
          </cell>
          <cell r="AG119">
            <v>0</v>
          </cell>
          <cell r="AH119">
            <v>0</v>
          </cell>
          <cell r="AI119">
            <v>0</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BD119">
            <v>0</v>
          </cell>
        </row>
        <row r="120">
          <cell r="A120">
            <v>10.1</v>
          </cell>
          <cell r="B120" t="str">
            <v>10-1</v>
          </cell>
          <cell r="C120" t="str">
            <v>Fabrication and installation of Salwood frame for door and windows</v>
          </cell>
          <cell r="D120" t="str">
            <v>Salwood frame work for door and windows</v>
          </cell>
          <cell r="E120" t="str">
            <v>cum</v>
          </cell>
          <cell r="F120">
            <v>45227.199999999997</v>
          </cell>
          <cell r="G120">
            <v>1.44495</v>
          </cell>
          <cell r="H120">
            <v>65351.042639999992</v>
          </cell>
          <cell r="I120">
            <v>0</v>
          </cell>
          <cell r="J120">
            <v>0</v>
          </cell>
          <cell r="K120">
            <v>0</v>
          </cell>
          <cell r="L120">
            <v>0</v>
          </cell>
          <cell r="M120">
            <v>0</v>
          </cell>
          <cell r="N120">
            <v>0</v>
          </cell>
          <cell r="O120">
            <v>0</v>
          </cell>
          <cell r="P120">
            <v>0</v>
          </cell>
          <cell r="Q120">
            <v>0</v>
          </cell>
          <cell r="R120">
            <v>0</v>
          </cell>
          <cell r="S120">
            <v>0</v>
          </cell>
          <cell r="T120">
            <v>0</v>
          </cell>
          <cell r="U120">
            <v>0</v>
          </cell>
          <cell r="V120">
            <v>0</v>
          </cell>
          <cell r="W120">
            <v>0</v>
          </cell>
          <cell r="X120">
            <v>0</v>
          </cell>
          <cell r="Y120">
            <v>0.83474999999999999</v>
          </cell>
          <cell r="Z120">
            <v>37753.405199999994</v>
          </cell>
          <cell r="AA120">
            <v>0</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0.29519999999999996</v>
          </cell>
          <cell r="AT120">
            <v>13351.069439999997</v>
          </cell>
          <cell r="AU120">
            <v>0</v>
          </cell>
          <cell r="AV120">
            <v>0</v>
          </cell>
          <cell r="AW120">
            <v>0.31499999999999995</v>
          </cell>
          <cell r="AX120">
            <v>14246.567999999997</v>
          </cell>
          <cell r="BD120">
            <v>0</v>
          </cell>
        </row>
        <row r="121">
          <cell r="A121">
            <v>10.199999999999999</v>
          </cell>
          <cell r="B121" t="str">
            <v>10-2</v>
          </cell>
          <cell r="C121" t="str">
            <v>Fabrication and installation of panel shutter in 38 x 75 mm salwood frame (based on shutter size 1.07 x 1.982 = 2.12 sqm)</v>
          </cell>
          <cell r="D121" t="str">
            <v>Panel shutter work in 38 x 75 mm salwood frame</v>
          </cell>
          <cell r="E121" t="str">
            <v>sqm</v>
          </cell>
          <cell r="F121">
            <v>2471.0679245283022</v>
          </cell>
          <cell r="G121">
            <v>8.7277500000000003</v>
          </cell>
          <cell r="H121">
            <v>21566.863078301889</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cell r="X121">
            <v>0</v>
          </cell>
          <cell r="Y121">
            <v>2.7337500000000001</v>
          </cell>
          <cell r="Z121">
            <v>6755.2819386792462</v>
          </cell>
          <cell r="AA121">
            <v>0</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2.3490000000000002</v>
          </cell>
          <cell r="AT121">
            <v>5804.5385547169826</v>
          </cell>
          <cell r="AU121">
            <v>0</v>
          </cell>
          <cell r="AV121">
            <v>0</v>
          </cell>
          <cell r="AW121">
            <v>3.645</v>
          </cell>
          <cell r="AX121">
            <v>9007.042584905661</v>
          </cell>
          <cell r="BD121">
            <v>0</v>
          </cell>
        </row>
        <row r="122">
          <cell r="A122">
            <v>10.3</v>
          </cell>
          <cell r="B122" t="str">
            <v>10-3</v>
          </cell>
          <cell r="C122" t="str">
            <v>Fabrication and installation of glazed shutter with 4mm float glass in 38 x 75 mm salwood frame (based on shutter size 1.829 x 1.22 = 2.23sqm)</v>
          </cell>
          <cell r="D122" t="str">
            <v xml:space="preserve">Glazed shutter work with 4mm float glass in 38 x 75 mm salwood frame </v>
          </cell>
          <cell r="E122" t="str">
            <v>sqm</v>
          </cell>
          <cell r="F122">
            <v>2111.5413004484308</v>
          </cell>
          <cell r="G122">
            <v>11.070000000000002</v>
          </cell>
          <cell r="H122">
            <v>23374.762195964133</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cell r="X122">
            <v>0</v>
          </cell>
          <cell r="Y122">
            <v>11.070000000000002</v>
          </cell>
          <cell r="Z122">
            <v>23374.762195964133</v>
          </cell>
          <cell r="AA122">
            <v>0</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BD122">
            <v>0</v>
          </cell>
        </row>
        <row r="123">
          <cell r="A123">
            <v>10.7</v>
          </cell>
          <cell r="B123" t="str">
            <v>10-7</v>
          </cell>
          <cell r="C123" t="str">
            <v>Fabrication and installation of Flush shutter with 4mm thick commercial plywood in both side in 38 x 75 mm salwood frame (based on shutter size 1.092 x 2.058 = 2.25sqm)</v>
          </cell>
          <cell r="D123" t="str">
            <v xml:space="preserve">Flush shutter work with 4mm plywood in both side in 38 x 75 mm salwood frame </v>
          </cell>
          <cell r="E123" t="str">
            <v>sqm</v>
          </cell>
          <cell r="F123">
            <v>1657.279822222222</v>
          </cell>
          <cell r="G123">
            <v>13.213125</v>
          </cell>
          <cell r="H123">
            <v>21897.845450999997</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cell r="X123">
            <v>0</v>
          </cell>
          <cell r="Y123">
            <v>8.3531250000000004</v>
          </cell>
          <cell r="Z123">
            <v>13843.465515</v>
          </cell>
          <cell r="AA123">
            <v>0</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4.8599999999999994</v>
          </cell>
          <cell r="AX123">
            <v>8054.3799359999985</v>
          </cell>
          <cell r="BD123">
            <v>0</v>
          </cell>
        </row>
        <row r="124">
          <cell r="A124">
            <v>10.8</v>
          </cell>
          <cell r="B124" t="str">
            <v>10-8</v>
          </cell>
          <cell r="C124" t="str">
            <v>Fabrication and installation of Flush shutter with 3mm thick teakply on bothside in 38 x 75 mm salwood frame (based on shutter size 1.092 x 2.058 = 2.25sqm)</v>
          </cell>
          <cell r="D124" t="str">
            <v>Flush shutter with 3mm teakply on bothside in 38 x 75 mm salwood frame</v>
          </cell>
          <cell r="E124" t="str">
            <v>sqm</v>
          </cell>
          <cell r="F124">
            <v>2002.8788746531088</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cell r="X124">
            <v>0</v>
          </cell>
          <cell r="Y124">
            <v>0</v>
          </cell>
          <cell r="Z124">
            <v>0</v>
          </cell>
          <cell r="AA124">
            <v>0</v>
          </cell>
          <cell r="AB124">
            <v>0</v>
          </cell>
          <cell r="AC124">
            <v>0</v>
          </cell>
          <cell r="AD124">
            <v>0</v>
          </cell>
          <cell r="AE124">
            <v>0</v>
          </cell>
          <cell r="AF124">
            <v>0</v>
          </cell>
          <cell r="AG124">
            <v>0</v>
          </cell>
          <cell r="AH124">
            <v>0</v>
          </cell>
          <cell r="AI124">
            <v>0</v>
          </cell>
          <cell r="AJ124">
            <v>0</v>
          </cell>
          <cell r="AK124">
            <v>0</v>
          </cell>
          <cell r="AL124">
            <v>0</v>
          </cell>
          <cell r="AM124">
            <v>0</v>
          </cell>
          <cell r="AN124">
            <v>0</v>
          </cell>
          <cell r="AO124">
            <v>0</v>
          </cell>
          <cell r="AP124">
            <v>0</v>
          </cell>
          <cell r="AQ124">
            <v>0</v>
          </cell>
          <cell r="AR124">
            <v>0</v>
          </cell>
          <cell r="AS124">
            <v>0</v>
          </cell>
          <cell r="AT124">
            <v>0</v>
          </cell>
          <cell r="AU124">
            <v>0</v>
          </cell>
          <cell r="AV124">
            <v>0</v>
          </cell>
          <cell r="AW124">
            <v>0</v>
          </cell>
          <cell r="AX124">
            <v>0</v>
          </cell>
          <cell r="BD124">
            <v>0</v>
          </cell>
        </row>
        <row r="125">
          <cell r="A125">
            <v>10.9</v>
          </cell>
          <cell r="B125" t="str">
            <v>10-9</v>
          </cell>
          <cell r="C125" t="str">
            <v>Fabrication and installation of Flush shutter with 18 gauge Aluminium sheet on bothside in 38 x 75 mm salwood frame (based on shutter size 1.092 x 2.058 = 2.25sqm)</v>
          </cell>
          <cell r="D125" t="str">
            <v>Flush shutter work with 18 gauge Aluminium sheet on bothside in 38 x 75 mm salwood frame</v>
          </cell>
          <cell r="E125" t="str">
            <v>sqm</v>
          </cell>
          <cell r="F125">
            <v>2529.9918222222223</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cell r="X125">
            <v>0</v>
          </cell>
          <cell r="Y125">
            <v>0</v>
          </cell>
          <cell r="Z125">
            <v>0</v>
          </cell>
          <cell r="AA125">
            <v>0</v>
          </cell>
          <cell r="AB125">
            <v>0</v>
          </cell>
          <cell r="AC125">
            <v>0</v>
          </cell>
          <cell r="AD125">
            <v>0</v>
          </cell>
          <cell r="AE125">
            <v>0</v>
          </cell>
          <cell r="AF125">
            <v>0</v>
          </cell>
          <cell r="AG125">
            <v>0</v>
          </cell>
          <cell r="AH125">
            <v>0</v>
          </cell>
          <cell r="AI125">
            <v>0</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BD125">
            <v>0</v>
          </cell>
        </row>
        <row r="126">
          <cell r="A126" t="str">
            <v>10.9.1</v>
          </cell>
          <cell r="B126" t="str">
            <v>10-9</v>
          </cell>
          <cell r="C126" t="str">
            <v>Fabrication and installation of Flush door with 18 gauge Aluminium sheet on oneside and 3mm plywood on otherside in 38 x 75 mm salwood frame (based on shutter size 1.092 x 2.058 = 2.25sqm)</v>
          </cell>
          <cell r="D126" t="str">
            <v>Flush door work with 18 gauge Aluminium sheet on oneside and 3mm plywood on otherside in 38 x 75 mm salwood frame</v>
          </cell>
          <cell r="E126" t="str">
            <v>sqm</v>
          </cell>
          <cell r="F126">
            <v>2308.7164888888892</v>
          </cell>
          <cell r="G126">
            <v>1.3668750000000001</v>
          </cell>
          <cell r="H126">
            <v>3155.7268507500007</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cell r="X126">
            <v>0</v>
          </cell>
          <cell r="Y126">
            <v>1.3668750000000001</v>
          </cell>
          <cell r="Z126">
            <v>3155.7268507500007</v>
          </cell>
          <cell r="AA126">
            <v>0</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BD126">
            <v>0</v>
          </cell>
        </row>
        <row r="127">
          <cell r="A127" t="str">
            <v>10.10</v>
          </cell>
          <cell r="B127" t="str">
            <v>10-10</v>
          </cell>
          <cell r="C127" t="str">
            <v>Fabrication and installation of shutter with 24 gauge G.I. mosquito net in 38 x 75 mm salwood frame (based on shutter size 1.092 x 2.058 = 2.25sqm)</v>
          </cell>
          <cell r="D127" t="str">
            <v>Meshed shutter work with 24 gauge G.I. mosquito net in 38 x 75 mm salwood frame</v>
          </cell>
          <cell r="E127" t="str">
            <v>sqm</v>
          </cell>
          <cell r="F127">
            <v>1437.0472577777778</v>
          </cell>
          <cell r="G127">
            <v>19.89</v>
          </cell>
          <cell r="H127">
            <v>28582.8699572</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cell r="X127">
            <v>0</v>
          </cell>
          <cell r="Y127">
            <v>11.070000000000002</v>
          </cell>
          <cell r="Z127">
            <v>15908.113143600003</v>
          </cell>
          <cell r="AA127">
            <v>0</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0</v>
          </cell>
          <cell r="AS127">
            <v>8.8199999999999985</v>
          </cell>
          <cell r="AT127">
            <v>12674.756813599997</v>
          </cell>
          <cell r="AU127">
            <v>0</v>
          </cell>
          <cell r="AV127">
            <v>0</v>
          </cell>
          <cell r="AW127">
            <v>0</v>
          </cell>
          <cell r="AX127">
            <v>0</v>
          </cell>
          <cell r="BD127">
            <v>0</v>
          </cell>
        </row>
        <row r="128">
          <cell r="A128">
            <v>10.11</v>
          </cell>
          <cell r="B128" t="str">
            <v>10-11</v>
          </cell>
          <cell r="C128" t="str">
            <v>Installation of 4mm Float glass in timber frame with Salwood bead</v>
          </cell>
          <cell r="D128" t="str">
            <v>Installation of 4mm Float glass in Salwood frame with Salwood bead for closed window</v>
          </cell>
          <cell r="E128" t="str">
            <v>sqm</v>
          </cell>
          <cell r="F128">
            <v>895.67637511617102</v>
          </cell>
          <cell r="G128">
            <v>3.6044999999999998</v>
          </cell>
          <cell r="H128">
            <v>3228.4654941062381</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cell r="X128">
            <v>0</v>
          </cell>
          <cell r="Y128">
            <v>3.6044999999999998</v>
          </cell>
          <cell r="Z128">
            <v>3228.4654941062381</v>
          </cell>
          <cell r="AA128">
            <v>0</v>
          </cell>
          <cell r="AB128">
            <v>0</v>
          </cell>
          <cell r="AC128">
            <v>0</v>
          </cell>
          <cell r="AD128">
            <v>0</v>
          </cell>
          <cell r="AE128">
            <v>0</v>
          </cell>
          <cell r="AF128">
            <v>0</v>
          </cell>
          <cell r="AG128">
            <v>0</v>
          </cell>
          <cell r="AH128">
            <v>0</v>
          </cell>
          <cell r="AI128">
            <v>0</v>
          </cell>
          <cell r="AJ128">
            <v>0</v>
          </cell>
          <cell r="AK128">
            <v>0</v>
          </cell>
          <cell r="AL128">
            <v>0</v>
          </cell>
          <cell r="AM128">
            <v>0</v>
          </cell>
          <cell r="AN128">
            <v>0</v>
          </cell>
          <cell r="AO128">
            <v>0</v>
          </cell>
          <cell r="AP128">
            <v>0</v>
          </cell>
          <cell r="AQ128">
            <v>0</v>
          </cell>
          <cell r="AR128">
            <v>0</v>
          </cell>
          <cell r="AS128">
            <v>0</v>
          </cell>
          <cell r="AT128">
            <v>0</v>
          </cell>
          <cell r="AU128">
            <v>0</v>
          </cell>
          <cell r="AV128">
            <v>0</v>
          </cell>
          <cell r="AW128">
            <v>0</v>
          </cell>
          <cell r="AX128">
            <v>0</v>
          </cell>
          <cell r="BD128">
            <v>0</v>
          </cell>
        </row>
        <row r="129">
          <cell r="C129" t="str">
            <v>FLOORING WORKS</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cell r="X129">
            <v>0</v>
          </cell>
          <cell r="Y129">
            <v>0</v>
          </cell>
          <cell r="Z129">
            <v>0</v>
          </cell>
          <cell r="AA129">
            <v>0</v>
          </cell>
          <cell r="AB129">
            <v>0</v>
          </cell>
          <cell r="AC129">
            <v>0</v>
          </cell>
          <cell r="AD129">
            <v>0</v>
          </cell>
          <cell r="AE129">
            <v>0</v>
          </cell>
          <cell r="AF129">
            <v>0</v>
          </cell>
          <cell r="AG129">
            <v>0</v>
          </cell>
          <cell r="AH129">
            <v>0</v>
          </cell>
          <cell r="AI129">
            <v>0</v>
          </cell>
          <cell r="AJ129">
            <v>0</v>
          </cell>
          <cell r="AK129">
            <v>0</v>
          </cell>
          <cell r="AL129">
            <v>0</v>
          </cell>
          <cell r="AM129">
            <v>0</v>
          </cell>
          <cell r="AN129">
            <v>0</v>
          </cell>
          <cell r="AO129">
            <v>0</v>
          </cell>
          <cell r="AP129">
            <v>0</v>
          </cell>
          <cell r="AQ129">
            <v>0</v>
          </cell>
          <cell r="AR129">
            <v>0</v>
          </cell>
          <cell r="AS129">
            <v>0</v>
          </cell>
          <cell r="AT129">
            <v>0</v>
          </cell>
          <cell r="AU129">
            <v>0</v>
          </cell>
          <cell r="AV129">
            <v>0</v>
          </cell>
          <cell r="AW129">
            <v>0</v>
          </cell>
          <cell r="AX129">
            <v>0</v>
          </cell>
          <cell r="BD129">
            <v>0</v>
          </cell>
        </row>
        <row r="130">
          <cell r="A130" t="str">
            <v>11.1.a</v>
          </cell>
          <cell r="B130" t="str">
            <v>11-1(a)</v>
          </cell>
          <cell r="C130" t="str">
            <v>25 mm thick plain cement concrete work in M15 concrete mix in flooring work including materials, required form work, curing all complete works</v>
          </cell>
          <cell r="D130" t="str">
            <v>25 mm PCC in M15 concrete mix in flooring work</v>
          </cell>
          <cell r="E130" t="str">
            <v>sqm</v>
          </cell>
          <cell r="F130">
            <v>168.86183766484376</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BD130">
            <v>0</v>
          </cell>
        </row>
        <row r="131">
          <cell r="A131" t="str">
            <v>11.1.b</v>
          </cell>
          <cell r="B131" t="str">
            <v>11-1(b)</v>
          </cell>
          <cell r="C131" t="str">
            <v>38 mm thick plain cement concrete work in M15 concrete mix in flooring work including materials, required form work, curing all complete works</v>
          </cell>
          <cell r="D131" t="str">
            <v>38 mm PCC in M15 concrete mix in flooring work</v>
          </cell>
          <cell r="E131" t="str">
            <v>sqm</v>
          </cell>
          <cell r="F131">
            <v>244.64350952171873</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BD131">
            <v>0</v>
          </cell>
        </row>
        <row r="132">
          <cell r="A132" t="str">
            <v>11.1.c</v>
          </cell>
          <cell r="B132" t="str">
            <v>11-1(c)</v>
          </cell>
          <cell r="C132" t="str">
            <v>50 mm thick plain cement concrete work in M15 concrete mix in flooring work including materials, required form work, curing all complete works</v>
          </cell>
          <cell r="D132" t="str">
            <v>50 mm PCC in M15 concrete mix in flooring work</v>
          </cell>
          <cell r="E132" t="str">
            <v>sqm</v>
          </cell>
          <cell r="F132">
            <v>308.07752143140624</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0</v>
          </cell>
          <cell r="AS132">
            <v>0</v>
          </cell>
          <cell r="AT132">
            <v>0</v>
          </cell>
          <cell r="AU132">
            <v>0</v>
          </cell>
          <cell r="AV132">
            <v>0</v>
          </cell>
          <cell r="AW132">
            <v>0</v>
          </cell>
          <cell r="AX132">
            <v>0</v>
          </cell>
          <cell r="BD132">
            <v>0</v>
          </cell>
        </row>
        <row r="133">
          <cell r="A133" t="str">
            <v>11.1.d</v>
          </cell>
          <cell r="B133" t="str">
            <v>11-1(d)</v>
          </cell>
          <cell r="C133" t="str">
            <v>75 mm thick plain cement concrete work in M15 concrete mix in flooring work including materials, required form work, curing all complete works</v>
          </cell>
          <cell r="D133" t="str">
            <v>75 mm PCC in M15 concrete mix in flooring work</v>
          </cell>
          <cell r="E133" t="str">
            <v>sqm</v>
          </cell>
          <cell r="F133">
            <v>443.3966595403125</v>
          </cell>
          <cell r="G133">
            <v>0</v>
          </cell>
          <cell r="H133">
            <v>0</v>
          </cell>
          <cell r="I133">
            <v>0</v>
          </cell>
          <cell r="J133">
            <v>0</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C133">
            <v>0</v>
          </cell>
          <cell r="AD133">
            <v>0</v>
          </cell>
          <cell r="AE133">
            <v>0</v>
          </cell>
          <cell r="AF133">
            <v>0</v>
          </cell>
          <cell r="AG133">
            <v>0</v>
          </cell>
          <cell r="AH133">
            <v>0</v>
          </cell>
          <cell r="AI133">
            <v>0</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BD133">
            <v>0</v>
          </cell>
        </row>
        <row r="134">
          <cell r="A134">
            <v>11.4</v>
          </cell>
          <cell r="B134" t="str">
            <v>11-4</v>
          </cell>
          <cell r="C134" t="str">
            <v>20mm thick mosaic flooring with 12.5 thick cement plaster (1:2) base course and 6.5 mm thick marble chips white cement (1:1) surface course including rubbing and polishing</v>
          </cell>
          <cell r="D134" t="str">
            <v>20mm mosaic flooring with white cement in (1:1) over 12.5 thick cement plaster (1:2)</v>
          </cell>
          <cell r="E134" t="str">
            <v>sqm</v>
          </cell>
          <cell r="F134">
            <v>693.96398108373421</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0</v>
          </cell>
          <cell r="AT134">
            <v>0</v>
          </cell>
          <cell r="AU134">
            <v>0</v>
          </cell>
          <cell r="AV134">
            <v>0</v>
          </cell>
          <cell r="AW134">
            <v>0</v>
          </cell>
          <cell r="AX134">
            <v>0</v>
          </cell>
          <cell r="BD134">
            <v>0</v>
          </cell>
        </row>
        <row r="135">
          <cell r="A135" t="str">
            <v>11.6.1</v>
          </cell>
          <cell r="B135" t="str">
            <v>11-6</v>
          </cell>
          <cell r="C135" t="str">
            <v>20 mm thick marble flooring on 20mm thick 1:2 cement sand mortar including rubbing and polishing</v>
          </cell>
          <cell r="D135" t="str">
            <v>20 mm marble flooring on 20mm thick 1:2 mortar</v>
          </cell>
          <cell r="E135" t="str">
            <v>sqm</v>
          </cell>
          <cell r="F135">
            <v>2179.9249126324999</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BD135">
            <v>0</v>
          </cell>
        </row>
        <row r="136">
          <cell r="A136" t="str">
            <v>11.6.2</v>
          </cell>
          <cell r="B136" t="str">
            <v>11-6</v>
          </cell>
          <cell r="C136" t="str">
            <v>25 mm thick Kota stone flooring on 20mm thick 1:4 cement sand mortar including rubbing and polishing</v>
          </cell>
          <cell r="D136" t="str">
            <v>25 mm Kota stone flooring on 20mm thick 1:4 mortar</v>
          </cell>
          <cell r="E136" t="str">
            <v>sqm</v>
          </cell>
          <cell r="F136">
            <v>1037.278498184422</v>
          </cell>
          <cell r="G136">
            <v>32.085636363636361</v>
          </cell>
          <cell r="H136">
            <v>33281.740700564202</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3.5819999999999999</v>
          </cell>
          <cell r="Z136">
            <v>3715.5315804965994</v>
          </cell>
          <cell r="AA136">
            <v>0</v>
          </cell>
          <cell r="AB136">
            <v>0</v>
          </cell>
          <cell r="AC136">
            <v>0</v>
          </cell>
          <cell r="AD136">
            <v>0</v>
          </cell>
          <cell r="AE136">
            <v>0</v>
          </cell>
          <cell r="AF136">
            <v>0</v>
          </cell>
          <cell r="AG136">
            <v>0</v>
          </cell>
          <cell r="AH136">
            <v>0</v>
          </cell>
          <cell r="AI136">
            <v>0</v>
          </cell>
          <cell r="AJ136">
            <v>0</v>
          </cell>
          <cell r="AK136">
            <v>0</v>
          </cell>
          <cell r="AL136">
            <v>0</v>
          </cell>
          <cell r="AM136">
            <v>0</v>
          </cell>
          <cell r="AN136">
            <v>0</v>
          </cell>
          <cell r="AO136">
            <v>0</v>
          </cell>
          <cell r="AP136">
            <v>0</v>
          </cell>
          <cell r="AQ136">
            <v>0</v>
          </cell>
          <cell r="AR136">
            <v>0</v>
          </cell>
          <cell r="AS136">
            <v>0</v>
          </cell>
          <cell r="AT136">
            <v>0</v>
          </cell>
          <cell r="AU136">
            <v>0</v>
          </cell>
          <cell r="AV136">
            <v>0</v>
          </cell>
          <cell r="AW136">
            <v>28.503636363636364</v>
          </cell>
          <cell r="AX136">
            <v>29566.209120067608</v>
          </cell>
          <cell r="BD136">
            <v>0</v>
          </cell>
        </row>
        <row r="137">
          <cell r="A137">
            <v>11.7</v>
          </cell>
          <cell r="B137" t="str">
            <v>11-7</v>
          </cell>
          <cell r="C137" t="str">
            <v>Porcelain glazed tiles overlay in 1:4 cement sand mortar</v>
          </cell>
          <cell r="D137" t="str">
            <v>Porcelain glazed tiles overlay in 1:4 cement sand mortar</v>
          </cell>
          <cell r="E137" t="str">
            <v>sqm</v>
          </cell>
          <cell r="F137">
            <v>808.7618276893752</v>
          </cell>
          <cell r="G137">
            <v>16.927499999999998</v>
          </cell>
          <cell r="H137">
            <v>13690.315838211898</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12.36</v>
          </cell>
          <cell r="Z137">
            <v>9996.2961902406769</v>
          </cell>
          <cell r="AA137">
            <v>0</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4.5674999999999999</v>
          </cell>
          <cell r="AX137">
            <v>3694.0196479712213</v>
          </cell>
          <cell r="BD137">
            <v>0</v>
          </cell>
        </row>
        <row r="138">
          <cell r="A138" t="str">
            <v>11.7.1</v>
          </cell>
          <cell r="B138" t="str">
            <v>11-7</v>
          </cell>
          <cell r="C138" t="str">
            <v>Porcelain non-glazed tiles overlay in 1:4 cement sand mortar</v>
          </cell>
          <cell r="D138" t="str">
            <v>Porcelain non-glazed tiles overlay in 1:4 cement sand mortar</v>
          </cell>
          <cell r="E138" t="str">
            <v>sqm</v>
          </cell>
          <cell r="F138">
            <v>1429.244327689375</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BD138">
            <v>0</v>
          </cell>
        </row>
        <row r="139">
          <cell r="A139" t="str">
            <v>11.15.a</v>
          </cell>
          <cell r="B139" t="str">
            <v>11-15(a)</v>
          </cell>
          <cell r="C139" t="str">
            <v xml:space="preserve">Brick soling on flat with sand </v>
          </cell>
          <cell r="D139" t="str">
            <v xml:space="preserve">Brick soling on flat with sand </v>
          </cell>
          <cell r="E139" t="str">
            <v>sqm</v>
          </cell>
          <cell r="F139">
            <v>189.46513869296876</v>
          </cell>
          <cell r="G139">
            <v>0</v>
          </cell>
          <cell r="H139">
            <v>0</v>
          </cell>
          <cell r="I139">
            <v>0</v>
          </cell>
          <cell r="J139">
            <v>0</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0</v>
          </cell>
          <cell r="AS139">
            <v>0</v>
          </cell>
          <cell r="AT139">
            <v>0</v>
          </cell>
          <cell r="AU139">
            <v>0</v>
          </cell>
          <cell r="AV139">
            <v>0</v>
          </cell>
          <cell r="AW139">
            <v>0</v>
          </cell>
          <cell r="AX139">
            <v>0</v>
          </cell>
          <cell r="BD139">
            <v>0</v>
          </cell>
        </row>
        <row r="140">
          <cell r="A140" t="str">
            <v>11.15.b</v>
          </cell>
          <cell r="B140" t="str">
            <v>11-15(b)</v>
          </cell>
          <cell r="C140" t="str">
            <v xml:space="preserve">Brick soling on edge with sand </v>
          </cell>
          <cell r="D140" t="str">
            <v xml:space="preserve">Brick soling on edge with sand </v>
          </cell>
          <cell r="E140" t="str">
            <v>sqm</v>
          </cell>
          <cell r="F140">
            <v>343.27430057539067</v>
          </cell>
          <cell r="G140">
            <v>134.15015499999998</v>
          </cell>
          <cell r="H140">
            <v>46050.300629705242</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48.9</v>
          </cell>
          <cell r="Z140">
            <v>16786.113298136603</v>
          </cell>
          <cell r="AA140">
            <v>0</v>
          </cell>
          <cell r="AB140">
            <v>0</v>
          </cell>
          <cell r="AC140">
            <v>0</v>
          </cell>
          <cell r="AD140">
            <v>0</v>
          </cell>
          <cell r="AE140">
            <v>0</v>
          </cell>
          <cell r="AF140">
            <v>0</v>
          </cell>
          <cell r="AG140">
            <v>0</v>
          </cell>
          <cell r="AH140">
            <v>0</v>
          </cell>
          <cell r="AI140">
            <v>0</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85.250154999999992</v>
          </cell>
          <cell r="AX140">
            <v>29264.187331568643</v>
          </cell>
          <cell r="BD140">
            <v>0</v>
          </cell>
        </row>
        <row r="141">
          <cell r="A141">
            <v>11.16</v>
          </cell>
          <cell r="B141" t="str">
            <v>11-16</v>
          </cell>
          <cell r="C141" t="str">
            <v xml:space="preserve">Stone soling with sand </v>
          </cell>
          <cell r="D141" t="str">
            <v xml:space="preserve">Stone soling with sand </v>
          </cell>
          <cell r="E141" t="str">
            <v>cum</v>
          </cell>
          <cell r="F141">
            <v>1371.1740676875002</v>
          </cell>
          <cell r="G141">
            <v>1083.078224349535</v>
          </cell>
          <cell r="H141">
            <v>1485088.774505107</v>
          </cell>
          <cell r="I141">
            <v>0</v>
          </cell>
          <cell r="J141">
            <v>0</v>
          </cell>
          <cell r="K141">
            <v>0</v>
          </cell>
          <cell r="L141">
            <v>0</v>
          </cell>
          <cell r="M141">
            <v>9.8749439999999975</v>
          </cell>
          <cell r="N141">
            <v>13540.267132666269</v>
          </cell>
          <cell r="O141">
            <v>30</v>
          </cell>
          <cell r="P141">
            <v>41135.222030625002</v>
          </cell>
          <cell r="Q141">
            <v>28.558</v>
          </cell>
          <cell r="R141">
            <v>39157.989025019626</v>
          </cell>
          <cell r="S141">
            <v>31.713500000000003</v>
          </cell>
          <cell r="T141">
            <v>43484.728795607538</v>
          </cell>
          <cell r="U141">
            <v>69.828000000000003</v>
          </cell>
          <cell r="V141">
            <v>95746.342798482758</v>
          </cell>
          <cell r="W141">
            <v>20.501249999999995</v>
          </cell>
          <cell r="X141">
            <v>28110.782355178355</v>
          </cell>
          <cell r="Y141">
            <v>0</v>
          </cell>
          <cell r="Z141">
            <v>0</v>
          </cell>
          <cell r="AA141">
            <v>0</v>
          </cell>
          <cell r="AB141">
            <v>0</v>
          </cell>
          <cell r="AC141">
            <v>43.58400000000001</v>
          </cell>
          <cell r="AD141">
            <v>59761.250566092021</v>
          </cell>
          <cell r="AE141">
            <v>8.2424999999999997</v>
          </cell>
          <cell r="AF141">
            <v>11301.90225291422</v>
          </cell>
          <cell r="AG141">
            <v>12.487499999999999</v>
          </cell>
          <cell r="AH141">
            <v>17122.536170247658</v>
          </cell>
          <cell r="AI141">
            <v>96.763400000000004</v>
          </cell>
          <cell r="AJ141">
            <v>132679.46478127266</v>
          </cell>
          <cell r="AK141">
            <v>58.300499999999992</v>
          </cell>
          <cell r="AL141">
            <v>79940.133733215087</v>
          </cell>
          <cell r="AM141">
            <v>0</v>
          </cell>
          <cell r="AN141">
            <v>0</v>
          </cell>
          <cell r="AO141">
            <v>0</v>
          </cell>
          <cell r="AP141">
            <v>0</v>
          </cell>
          <cell r="AQ141">
            <v>0.36749999999999994</v>
          </cell>
          <cell r="AR141">
            <v>503.90646987515623</v>
          </cell>
          <cell r="AS141">
            <v>70.145130349534966</v>
          </cell>
          <cell r="AT141">
            <v>96181.183709841775</v>
          </cell>
          <cell r="AU141">
            <v>632.71199999999999</v>
          </cell>
          <cell r="AV141">
            <v>867558.28671469353</v>
          </cell>
          <cell r="AW141">
            <v>0</v>
          </cell>
          <cell r="AX141">
            <v>0</v>
          </cell>
          <cell r="BD141">
            <v>150.60075000000001</v>
          </cell>
        </row>
        <row r="142">
          <cell r="A142" t="str">
            <v>11.19.a</v>
          </cell>
          <cell r="B142" t="str">
            <v>11-19(a)</v>
          </cell>
          <cell r="C142" t="str">
            <v>Sand filling and compaction work with sprinkling of water</v>
          </cell>
          <cell r="D142" t="str">
            <v>Sand filling with compaction and sprinkling of water</v>
          </cell>
          <cell r="E142" t="str">
            <v>cum</v>
          </cell>
          <cell r="F142">
            <v>1020.3712963437499</v>
          </cell>
          <cell r="G142">
            <v>0</v>
          </cell>
          <cell r="H142">
            <v>0</v>
          </cell>
          <cell r="I142">
            <v>0</v>
          </cell>
          <cell r="J142">
            <v>0</v>
          </cell>
          <cell r="K142">
            <v>0</v>
          </cell>
          <cell r="L142">
            <v>0</v>
          </cell>
          <cell r="M142">
            <v>0</v>
          </cell>
          <cell r="N142">
            <v>0</v>
          </cell>
          <cell r="O142">
            <v>0</v>
          </cell>
          <cell r="P142">
            <v>0</v>
          </cell>
          <cell r="Q142">
            <v>0</v>
          </cell>
          <cell r="R142">
            <v>0</v>
          </cell>
          <cell r="S142">
            <v>0</v>
          </cell>
          <cell r="T142">
            <v>0</v>
          </cell>
          <cell r="U142">
            <v>0</v>
          </cell>
          <cell r="V142">
            <v>0</v>
          </cell>
          <cell r="W142">
            <v>0</v>
          </cell>
          <cell r="X142">
            <v>0</v>
          </cell>
          <cell r="Y142">
            <v>0</v>
          </cell>
          <cell r="Z142">
            <v>0</v>
          </cell>
          <cell r="AA142">
            <v>0</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0</v>
          </cell>
          <cell r="AS142">
            <v>0</v>
          </cell>
          <cell r="AT142">
            <v>0</v>
          </cell>
          <cell r="AU142">
            <v>0</v>
          </cell>
          <cell r="AV142">
            <v>0</v>
          </cell>
          <cell r="AW142">
            <v>0</v>
          </cell>
          <cell r="AX142">
            <v>0</v>
          </cell>
          <cell r="BD142">
            <v>0</v>
          </cell>
        </row>
        <row r="143">
          <cell r="A143" t="str">
            <v>11.19.b</v>
          </cell>
          <cell r="B143" t="str">
            <v>11-19(b)</v>
          </cell>
          <cell r="C143" t="str">
            <v>Brick bats filling and compaction work with sprinkling of water</v>
          </cell>
          <cell r="D143" t="str">
            <v>Brick bats filling with compaction and sprinkling of water</v>
          </cell>
          <cell r="E143" t="str">
            <v>cum</v>
          </cell>
          <cell r="F143">
            <v>1255.2513442359377</v>
          </cell>
          <cell r="G143">
            <v>8.2949999999999999</v>
          </cell>
          <cell r="H143">
            <v>10412.309900437103</v>
          </cell>
          <cell r="I143">
            <v>0</v>
          </cell>
          <cell r="J143">
            <v>0</v>
          </cell>
          <cell r="K143">
            <v>0</v>
          </cell>
          <cell r="L143">
            <v>0</v>
          </cell>
          <cell r="M143">
            <v>0</v>
          </cell>
          <cell r="N143">
            <v>0</v>
          </cell>
          <cell r="O143">
            <v>0</v>
          </cell>
          <cell r="P143">
            <v>0</v>
          </cell>
          <cell r="Q143">
            <v>0</v>
          </cell>
          <cell r="R143">
            <v>0</v>
          </cell>
          <cell r="S143">
            <v>0</v>
          </cell>
          <cell r="T143">
            <v>0</v>
          </cell>
          <cell r="U143">
            <v>0</v>
          </cell>
          <cell r="V143">
            <v>0</v>
          </cell>
          <cell r="W143">
            <v>0</v>
          </cell>
          <cell r="X143">
            <v>0</v>
          </cell>
          <cell r="Y143">
            <v>0</v>
          </cell>
          <cell r="Z143">
            <v>0</v>
          </cell>
          <cell r="AA143">
            <v>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0</v>
          </cell>
          <cell r="AS143">
            <v>0</v>
          </cell>
          <cell r="AT143">
            <v>0</v>
          </cell>
          <cell r="AU143">
            <v>0</v>
          </cell>
          <cell r="AV143">
            <v>0</v>
          </cell>
          <cell r="AW143">
            <v>8.2949999999999999</v>
          </cell>
          <cell r="AX143">
            <v>10412.309900437103</v>
          </cell>
          <cell r="BD143">
            <v>0</v>
          </cell>
        </row>
        <row r="144">
          <cell r="C144" t="str">
            <v>PLASTERING WORKS</v>
          </cell>
          <cell r="G144">
            <v>0</v>
          </cell>
          <cell r="H144">
            <v>0</v>
          </cell>
          <cell r="I144">
            <v>0</v>
          </cell>
          <cell r="J144">
            <v>0</v>
          </cell>
          <cell r="K144">
            <v>0</v>
          </cell>
          <cell r="L144">
            <v>0</v>
          </cell>
          <cell r="M144">
            <v>0</v>
          </cell>
          <cell r="N144">
            <v>0</v>
          </cell>
          <cell r="O144">
            <v>0</v>
          </cell>
          <cell r="P144">
            <v>0</v>
          </cell>
          <cell r="Q144">
            <v>0</v>
          </cell>
          <cell r="R144">
            <v>0</v>
          </cell>
          <cell r="S144">
            <v>0</v>
          </cell>
          <cell r="T144">
            <v>0</v>
          </cell>
          <cell r="U144">
            <v>0</v>
          </cell>
          <cell r="V144">
            <v>0</v>
          </cell>
          <cell r="W144">
            <v>0</v>
          </cell>
          <cell r="X144">
            <v>0</v>
          </cell>
          <cell r="Y144">
            <v>0</v>
          </cell>
          <cell r="Z144">
            <v>0</v>
          </cell>
          <cell r="AA144">
            <v>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BD144">
            <v>0</v>
          </cell>
        </row>
        <row r="145">
          <cell r="A145" t="str">
            <v>12.1.a</v>
          </cell>
          <cell r="B145" t="str">
            <v>12-1(a)</v>
          </cell>
          <cell r="C145" t="str">
            <v>12.5 mm thick cement sand plastering works in 1:2 ration in walls and floor</v>
          </cell>
          <cell r="D145" t="str">
            <v>12.5 mm plastering works in 1:2 cement sand mortar</v>
          </cell>
          <cell r="E145" t="str">
            <v>sqm</v>
          </cell>
          <cell r="F145">
            <v>104.97353703753124</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BD145">
            <v>0</v>
          </cell>
        </row>
        <row r="146">
          <cell r="A146" t="str">
            <v>12.1.b</v>
          </cell>
          <cell r="B146" t="str">
            <v>12-1(b)</v>
          </cell>
          <cell r="C146" t="str">
            <v>12.5 mm thick cement sand plastering works in 1:3 ration in walls and floor</v>
          </cell>
          <cell r="D146" t="str">
            <v>12.5 mm plastering works in 1:3 cement sand mortar</v>
          </cell>
          <cell r="E146" t="str">
            <v>sqm</v>
          </cell>
          <cell r="F146">
            <v>87.804354924304675</v>
          </cell>
          <cell r="G146">
            <v>5176.7137723704946</v>
          </cell>
          <cell r="H146">
            <v>454538.01341075508</v>
          </cell>
          <cell r="I146">
            <v>0</v>
          </cell>
          <cell r="J146">
            <v>0</v>
          </cell>
          <cell r="K146">
            <v>0</v>
          </cell>
          <cell r="L146">
            <v>0</v>
          </cell>
          <cell r="M146">
            <v>0</v>
          </cell>
          <cell r="N146">
            <v>0</v>
          </cell>
          <cell r="O146">
            <v>0</v>
          </cell>
          <cell r="P146">
            <v>0</v>
          </cell>
          <cell r="Q146">
            <v>0</v>
          </cell>
          <cell r="R146">
            <v>0</v>
          </cell>
          <cell r="S146">
            <v>0</v>
          </cell>
          <cell r="T146">
            <v>0</v>
          </cell>
          <cell r="U146">
            <v>0</v>
          </cell>
          <cell r="V146">
            <v>0</v>
          </cell>
          <cell r="W146">
            <v>0</v>
          </cell>
          <cell r="X146">
            <v>0</v>
          </cell>
          <cell r="Y146">
            <v>137.405</v>
          </cell>
          <cell r="Z146">
            <v>12064.757388374084</v>
          </cell>
          <cell r="AA146">
            <v>0</v>
          </cell>
          <cell r="AB146">
            <v>0</v>
          </cell>
          <cell r="AC146">
            <v>0</v>
          </cell>
          <cell r="AD146">
            <v>0</v>
          </cell>
          <cell r="AE146">
            <v>247.16453548106034</v>
          </cell>
          <cell r="AF146">
            <v>21702.122598079917</v>
          </cell>
          <cell r="AG146">
            <v>375.09077446953188</v>
          </cell>
          <cell r="AH146">
            <v>32934.603490355097</v>
          </cell>
          <cell r="AI146">
            <v>0</v>
          </cell>
          <cell r="AJ146">
            <v>0</v>
          </cell>
          <cell r="AK146">
            <v>1942.5517483674225</v>
          </cell>
          <cell r="AL146">
            <v>170564.50317248175</v>
          </cell>
          <cell r="AM146">
            <v>0</v>
          </cell>
          <cell r="AN146">
            <v>0</v>
          </cell>
          <cell r="AO146">
            <v>0</v>
          </cell>
          <cell r="AP146">
            <v>0</v>
          </cell>
          <cell r="AQ146">
            <v>0</v>
          </cell>
          <cell r="AR146">
            <v>0</v>
          </cell>
          <cell r="AS146">
            <v>2228.9380640524791</v>
          </cell>
          <cell r="AT146">
            <v>195710.46888035643</v>
          </cell>
          <cell r="AU146">
            <v>0</v>
          </cell>
          <cell r="AV146">
            <v>0</v>
          </cell>
          <cell r="AW146">
            <v>245.56365000000002</v>
          </cell>
          <cell r="AX146">
            <v>21561.557881107732</v>
          </cell>
          <cell r="BD146">
            <v>0</v>
          </cell>
        </row>
        <row r="147">
          <cell r="A147" t="str">
            <v>12.1.c</v>
          </cell>
          <cell r="B147" t="str">
            <v>12-1(c)</v>
          </cell>
          <cell r="C147" t="str">
            <v>12.5 mm thick cement sand plastering works in 1:4 ration in walls and floor</v>
          </cell>
          <cell r="D147" t="str">
            <v>12.5 mm plastering works in 1:4 cement sand mortar</v>
          </cell>
          <cell r="E147" t="str">
            <v>sqm</v>
          </cell>
          <cell r="F147">
            <v>83.687917974834363</v>
          </cell>
          <cell r="G147">
            <v>56.426000000000002</v>
          </cell>
          <cell r="H147">
            <v>4722.1744596480039</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cell r="X147">
            <v>0</v>
          </cell>
          <cell r="Y147">
            <v>12.426000000000002</v>
          </cell>
          <cell r="Z147">
            <v>1039.9060687552919</v>
          </cell>
          <cell r="AA147">
            <v>0</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44</v>
          </cell>
          <cell r="AX147">
            <v>3682.268390892712</v>
          </cell>
          <cell r="BD147">
            <v>0</v>
          </cell>
        </row>
        <row r="148">
          <cell r="A148" t="str">
            <v>12.1.d</v>
          </cell>
          <cell r="B148" t="str">
            <v>12-1(d)</v>
          </cell>
          <cell r="C148" t="str">
            <v>12.5 mm thick cement sand plastering works in 1:6 ration in walls and floor</v>
          </cell>
          <cell r="D148" t="str">
            <v>12.5 mm plastering works in 1:6 cement sand mortar</v>
          </cell>
          <cell r="E148" t="str">
            <v>sqm</v>
          </cell>
          <cell r="F148">
            <v>74.56881389194686</v>
          </cell>
          <cell r="G148">
            <v>0</v>
          </cell>
          <cell r="H148">
            <v>0</v>
          </cell>
          <cell r="I148">
            <v>0</v>
          </cell>
          <cell r="J148">
            <v>0</v>
          </cell>
          <cell r="K148">
            <v>0</v>
          </cell>
          <cell r="L148">
            <v>0</v>
          </cell>
          <cell r="M148">
            <v>0</v>
          </cell>
          <cell r="N148">
            <v>0</v>
          </cell>
          <cell r="O148">
            <v>0</v>
          </cell>
          <cell r="P148">
            <v>0</v>
          </cell>
          <cell r="Q148">
            <v>0</v>
          </cell>
          <cell r="R148">
            <v>0</v>
          </cell>
          <cell r="S148">
            <v>0</v>
          </cell>
          <cell r="T148">
            <v>0</v>
          </cell>
          <cell r="U148">
            <v>0</v>
          </cell>
          <cell r="V148">
            <v>0</v>
          </cell>
          <cell r="W148">
            <v>0</v>
          </cell>
          <cell r="X148">
            <v>0</v>
          </cell>
          <cell r="Y148">
            <v>0</v>
          </cell>
          <cell r="Z148">
            <v>0</v>
          </cell>
          <cell r="AA148">
            <v>0</v>
          </cell>
          <cell r="AB148">
            <v>0</v>
          </cell>
          <cell r="AC148">
            <v>0</v>
          </cell>
          <cell r="AD148">
            <v>0</v>
          </cell>
          <cell r="AE148">
            <v>0</v>
          </cell>
          <cell r="AF148">
            <v>0</v>
          </cell>
          <cell r="AG148">
            <v>0</v>
          </cell>
          <cell r="AH148">
            <v>0</v>
          </cell>
          <cell r="AI148">
            <v>0</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BD148">
            <v>0</v>
          </cell>
        </row>
        <row r="149">
          <cell r="A149" t="str">
            <v>12.4.a</v>
          </cell>
          <cell r="B149" t="str">
            <v>12-4(a)</v>
          </cell>
          <cell r="C149" t="str">
            <v>20 mm thick cement sand plastering works in 1:3 ration in walls and floor</v>
          </cell>
          <cell r="D149" t="str">
            <v>20 mm plastering works in 1:3 cement sand mortar</v>
          </cell>
          <cell r="E149" t="str">
            <v>sqm</v>
          </cell>
          <cell r="F149">
            <v>176.78511684939062</v>
          </cell>
          <cell r="G149">
            <v>2846.9718549999998</v>
          </cell>
          <cell r="H149">
            <v>503302.25205310131</v>
          </cell>
          <cell r="I149">
            <v>0</v>
          </cell>
          <cell r="J149">
            <v>0</v>
          </cell>
          <cell r="K149">
            <v>0</v>
          </cell>
          <cell r="L149">
            <v>0</v>
          </cell>
          <cell r="M149">
            <v>89.828279999999992</v>
          </cell>
          <cell r="N149">
            <v>15880.302976179777</v>
          </cell>
          <cell r="O149">
            <v>325.98499999999996</v>
          </cell>
          <cell r="P149">
            <v>57629.296316148597</v>
          </cell>
          <cell r="Q149">
            <v>493.09</v>
          </cell>
          <cell r="R149">
            <v>87170.973267266018</v>
          </cell>
          <cell r="S149">
            <v>583.17357499999991</v>
          </cell>
          <cell r="T149">
            <v>103096.40859985184</v>
          </cell>
          <cell r="U149">
            <v>1680.88</v>
          </cell>
          <cell r="V149">
            <v>297154.56720980373</v>
          </cell>
          <cell r="W149">
            <v>0</v>
          </cell>
          <cell r="X149">
            <v>0</v>
          </cell>
          <cell r="Y149">
            <v>0</v>
          </cell>
          <cell r="Z149">
            <v>0</v>
          </cell>
          <cell r="AA149">
            <v>0</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0</v>
          </cell>
          <cell r="AS149">
            <v>0</v>
          </cell>
          <cell r="AT149">
            <v>0</v>
          </cell>
          <cell r="AU149">
            <v>0</v>
          </cell>
          <cell r="AV149">
            <v>0</v>
          </cell>
          <cell r="AW149">
            <v>0</v>
          </cell>
          <cell r="AX149">
            <v>0</v>
          </cell>
          <cell r="BD149">
            <v>2757.1435750000001</v>
          </cell>
        </row>
        <row r="150">
          <cell r="A150" t="str">
            <v>12.4.b</v>
          </cell>
          <cell r="B150" t="str">
            <v>12-4(b)</v>
          </cell>
          <cell r="C150" t="str">
            <v>20 mm thick cement sand plastering works in 1:4 ration in walls and floor</v>
          </cell>
          <cell r="D150" t="str">
            <v>20 mm plastering works in 1:4 cement sand mortar</v>
          </cell>
          <cell r="E150" t="str">
            <v>sqm</v>
          </cell>
          <cell r="F150">
            <v>113.70820818442188</v>
          </cell>
          <cell r="G150">
            <v>64.456975</v>
          </cell>
          <cell r="H150">
            <v>7329.2871322380761</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cell r="X150">
            <v>0</v>
          </cell>
          <cell r="Y150">
            <v>64.456975</v>
          </cell>
          <cell r="Z150">
            <v>7329.2871322380761</v>
          </cell>
          <cell r="AA150">
            <v>0</v>
          </cell>
          <cell r="AB150">
            <v>0</v>
          </cell>
          <cell r="AC150">
            <v>0</v>
          </cell>
          <cell r="AD150">
            <v>0</v>
          </cell>
          <cell r="AE150">
            <v>0</v>
          </cell>
          <cell r="AF150">
            <v>0</v>
          </cell>
          <cell r="AG150">
            <v>0</v>
          </cell>
          <cell r="AH150">
            <v>0</v>
          </cell>
          <cell r="AI150">
            <v>0</v>
          </cell>
          <cell r="AJ150">
            <v>0</v>
          </cell>
          <cell r="AK150">
            <v>0</v>
          </cell>
          <cell r="AL150">
            <v>0</v>
          </cell>
          <cell r="AM150">
            <v>0</v>
          </cell>
          <cell r="AN150">
            <v>0</v>
          </cell>
          <cell r="AO150">
            <v>0</v>
          </cell>
          <cell r="AP150">
            <v>0</v>
          </cell>
          <cell r="AQ150">
            <v>0</v>
          </cell>
          <cell r="AR150">
            <v>0</v>
          </cell>
          <cell r="AS150">
            <v>0</v>
          </cell>
          <cell r="AT150">
            <v>0</v>
          </cell>
          <cell r="AU150">
            <v>0</v>
          </cell>
          <cell r="AV150">
            <v>0</v>
          </cell>
          <cell r="AW150">
            <v>0</v>
          </cell>
          <cell r="AX150">
            <v>0</v>
          </cell>
          <cell r="BD150">
            <v>0</v>
          </cell>
        </row>
        <row r="151">
          <cell r="A151" t="str">
            <v>12.4.c</v>
          </cell>
          <cell r="B151" t="str">
            <v>12-4(c)</v>
          </cell>
          <cell r="C151" t="str">
            <v>20 mm thick cement sand plastering works in 1:6 ration in walls and floor</v>
          </cell>
          <cell r="D151" t="str">
            <v>20 mm plastering works in 1:6 cement sand mortar</v>
          </cell>
          <cell r="E151" t="str">
            <v>sqm</v>
          </cell>
          <cell r="F151">
            <v>99.521731833765628</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cell r="X151">
            <v>0</v>
          </cell>
          <cell r="Y151">
            <v>0</v>
          </cell>
          <cell r="Z151">
            <v>0</v>
          </cell>
          <cell r="AA151">
            <v>0</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BD151">
            <v>0</v>
          </cell>
        </row>
        <row r="152">
          <cell r="C152" t="str">
            <v>PAINTING WORKS</v>
          </cell>
          <cell r="G152">
            <v>0</v>
          </cell>
          <cell r="H152">
            <v>0</v>
          </cell>
          <cell r="I152">
            <v>0</v>
          </cell>
          <cell r="J152">
            <v>0</v>
          </cell>
          <cell r="K152">
            <v>0</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0</v>
          </cell>
          <cell r="AK152">
            <v>0</v>
          </cell>
          <cell r="AL152">
            <v>0</v>
          </cell>
          <cell r="AM152">
            <v>0</v>
          </cell>
          <cell r="AN152">
            <v>0</v>
          </cell>
          <cell r="AO152">
            <v>0</v>
          </cell>
          <cell r="AP152">
            <v>0</v>
          </cell>
          <cell r="AQ152">
            <v>0</v>
          </cell>
          <cell r="AR152">
            <v>0</v>
          </cell>
          <cell r="AS152">
            <v>0</v>
          </cell>
          <cell r="AT152">
            <v>0</v>
          </cell>
          <cell r="AU152">
            <v>0</v>
          </cell>
          <cell r="AV152">
            <v>0</v>
          </cell>
          <cell r="AW152">
            <v>0</v>
          </cell>
          <cell r="AX152">
            <v>0</v>
          </cell>
          <cell r="BD152">
            <v>0</v>
          </cell>
        </row>
        <row r="153">
          <cell r="A153" t="str">
            <v>13.3.a</v>
          </cell>
          <cell r="B153" t="str">
            <v>13-3(a)</v>
          </cell>
          <cell r="C153" t="str">
            <v>Laying base course for distemper paint</v>
          </cell>
          <cell r="D153" t="str">
            <v>Laying base course for distemper paint</v>
          </cell>
          <cell r="E153" t="str">
            <v>sqm</v>
          </cell>
          <cell r="F153">
            <v>11.753</v>
          </cell>
          <cell r="G153">
            <v>0</v>
          </cell>
          <cell r="H153">
            <v>0</v>
          </cell>
          <cell r="I153">
            <v>0</v>
          </cell>
          <cell r="J153">
            <v>0</v>
          </cell>
          <cell r="K153">
            <v>0</v>
          </cell>
          <cell r="L153">
            <v>0</v>
          </cell>
          <cell r="M153">
            <v>0</v>
          </cell>
          <cell r="N153">
            <v>0</v>
          </cell>
          <cell r="O153">
            <v>0</v>
          </cell>
          <cell r="P153">
            <v>0</v>
          </cell>
          <cell r="Q153">
            <v>0</v>
          </cell>
          <cell r="R153">
            <v>0</v>
          </cell>
          <cell r="S153">
            <v>0</v>
          </cell>
          <cell r="T153">
            <v>0</v>
          </cell>
          <cell r="U153">
            <v>0</v>
          </cell>
          <cell r="V153">
            <v>0</v>
          </cell>
          <cell r="W153">
            <v>0</v>
          </cell>
          <cell r="X153">
            <v>0</v>
          </cell>
          <cell r="Y153">
            <v>0</v>
          </cell>
          <cell r="Z153">
            <v>0</v>
          </cell>
          <cell r="AA153">
            <v>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0</v>
          </cell>
          <cell r="AS153">
            <v>0</v>
          </cell>
          <cell r="AT153">
            <v>0</v>
          </cell>
          <cell r="AU153">
            <v>0</v>
          </cell>
          <cell r="AV153">
            <v>0</v>
          </cell>
          <cell r="AW153">
            <v>0</v>
          </cell>
          <cell r="AX153">
            <v>0</v>
          </cell>
          <cell r="BD153">
            <v>0</v>
          </cell>
        </row>
        <row r="154">
          <cell r="A154" t="str">
            <v>13.3.b</v>
          </cell>
          <cell r="B154" t="str">
            <v>13-3(a)+(b)</v>
          </cell>
          <cell r="C154" t="str">
            <v>Laying base course and one coat of distemper paint</v>
          </cell>
          <cell r="D154" t="str">
            <v>Laying base course and one coat of distemper paint</v>
          </cell>
          <cell r="E154" t="str">
            <v>sqm</v>
          </cell>
          <cell r="F154">
            <v>21.079499999999999</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BD154">
            <v>0</v>
          </cell>
        </row>
        <row r="155">
          <cell r="A155" t="str">
            <v>13.3.c</v>
          </cell>
          <cell r="B155" t="str">
            <v>13-3(a)+(b)+©</v>
          </cell>
          <cell r="C155" t="str">
            <v>Laying base course and two coats of distemper paint</v>
          </cell>
          <cell r="D155" t="str">
            <v>Laying base course and two coats of distemper paint</v>
          </cell>
          <cell r="E155" t="str">
            <v>sqm</v>
          </cell>
          <cell r="F155">
            <v>28.9846</v>
          </cell>
          <cell r="G155">
            <v>151.005</v>
          </cell>
          <cell r="H155">
            <v>4376.8195230000001</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cell r="X155">
            <v>0</v>
          </cell>
          <cell r="Y155">
            <v>151.005</v>
          </cell>
          <cell r="Z155">
            <v>4376.8195230000001</v>
          </cell>
          <cell r="AA155">
            <v>0</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0</v>
          </cell>
          <cell r="AU155">
            <v>0</v>
          </cell>
          <cell r="AV155">
            <v>0</v>
          </cell>
          <cell r="AW155">
            <v>0</v>
          </cell>
          <cell r="AX155">
            <v>0</v>
          </cell>
          <cell r="BD155">
            <v>0</v>
          </cell>
        </row>
        <row r="156">
          <cell r="A156" t="str">
            <v>13.4.a</v>
          </cell>
          <cell r="B156" t="str">
            <v>13-4(a)</v>
          </cell>
          <cell r="C156" t="str">
            <v>Laying one coat of water proof cement paint</v>
          </cell>
          <cell r="D156" t="str">
            <v>Laying one coat of water proof cement paint</v>
          </cell>
          <cell r="E156" t="str">
            <v>sqm</v>
          </cell>
          <cell r="F156">
            <v>31.315650000000002</v>
          </cell>
          <cell r="G156">
            <v>0</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BD156">
            <v>0</v>
          </cell>
        </row>
        <row r="157">
          <cell r="A157" t="str">
            <v>13.4.b</v>
          </cell>
          <cell r="B157" t="str">
            <v>13-4(b)</v>
          </cell>
          <cell r="C157" t="str">
            <v>Laying two coat of water proof cement paint</v>
          </cell>
          <cell r="D157" t="str">
            <v>Laying two coat of water proof cement paint</v>
          </cell>
          <cell r="E157" t="str">
            <v>sqm</v>
          </cell>
          <cell r="F157">
            <v>56.919250000000005</v>
          </cell>
          <cell r="G157">
            <v>369.93365</v>
          </cell>
          <cell r="H157">
            <v>21056.345907762501</v>
          </cell>
          <cell r="I157">
            <v>0</v>
          </cell>
          <cell r="J157">
            <v>0</v>
          </cell>
          <cell r="K157">
            <v>0</v>
          </cell>
          <cell r="L157">
            <v>0</v>
          </cell>
          <cell r="M157">
            <v>0</v>
          </cell>
          <cell r="N157">
            <v>0</v>
          </cell>
          <cell r="O157">
            <v>0</v>
          </cell>
          <cell r="P157">
            <v>0</v>
          </cell>
          <cell r="Q157">
            <v>0</v>
          </cell>
          <cell r="R157">
            <v>0</v>
          </cell>
          <cell r="S157">
            <v>0</v>
          </cell>
          <cell r="T157">
            <v>0</v>
          </cell>
          <cell r="U157">
            <v>0</v>
          </cell>
          <cell r="V157">
            <v>0</v>
          </cell>
          <cell r="W157">
            <v>0</v>
          </cell>
          <cell r="X157">
            <v>0</v>
          </cell>
          <cell r="Y157">
            <v>124.36999999999999</v>
          </cell>
          <cell r="Z157">
            <v>7079.0471225000001</v>
          </cell>
          <cell r="AA157">
            <v>0</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0</v>
          </cell>
          <cell r="AU157">
            <v>0</v>
          </cell>
          <cell r="AV157">
            <v>0</v>
          </cell>
          <cell r="AW157">
            <v>245.56365000000002</v>
          </cell>
          <cell r="AX157">
            <v>13977.298785262503</v>
          </cell>
          <cell r="BD157">
            <v>0</v>
          </cell>
        </row>
        <row r="158">
          <cell r="A158" t="str">
            <v>13.5.a</v>
          </cell>
          <cell r="B158" t="str">
            <v>13-5(a)</v>
          </cell>
          <cell r="C158" t="str">
            <v>Laying primer course for enamel paint</v>
          </cell>
          <cell r="D158" t="str">
            <v>Laying primer course for enamel paint</v>
          </cell>
          <cell r="E158" t="str">
            <v>sqm</v>
          </cell>
          <cell r="F158">
            <v>30.7395</v>
          </cell>
          <cell r="G158">
            <v>0</v>
          </cell>
          <cell r="H158">
            <v>0</v>
          </cell>
          <cell r="I158">
            <v>0</v>
          </cell>
          <cell r="J158">
            <v>0</v>
          </cell>
          <cell r="K158">
            <v>0</v>
          </cell>
          <cell r="L158">
            <v>0</v>
          </cell>
          <cell r="M158">
            <v>0</v>
          </cell>
          <cell r="N158">
            <v>0</v>
          </cell>
          <cell r="O158">
            <v>0</v>
          </cell>
          <cell r="P158">
            <v>0</v>
          </cell>
          <cell r="Q158">
            <v>0</v>
          </cell>
          <cell r="R158">
            <v>0</v>
          </cell>
          <cell r="S158">
            <v>0</v>
          </cell>
          <cell r="T158">
            <v>0</v>
          </cell>
          <cell r="U158">
            <v>0</v>
          </cell>
          <cell r="V158">
            <v>0</v>
          </cell>
          <cell r="W158">
            <v>0</v>
          </cell>
          <cell r="X158">
            <v>0</v>
          </cell>
          <cell r="Y158">
            <v>0</v>
          </cell>
          <cell r="Z158">
            <v>0</v>
          </cell>
          <cell r="AA158">
            <v>0</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0</v>
          </cell>
          <cell r="AS158">
            <v>0</v>
          </cell>
          <cell r="AT158">
            <v>0</v>
          </cell>
          <cell r="AU158">
            <v>0</v>
          </cell>
          <cell r="AV158">
            <v>0</v>
          </cell>
          <cell r="AW158">
            <v>0</v>
          </cell>
          <cell r="AX158">
            <v>0</v>
          </cell>
          <cell r="BD158">
            <v>0</v>
          </cell>
        </row>
        <row r="159">
          <cell r="A159" t="str">
            <v>13.5.b</v>
          </cell>
          <cell r="B159" t="str">
            <v>13-5(a)+(b)</v>
          </cell>
          <cell r="C159" t="str">
            <v>Laying primer course and one coat of readymade Ist grade enamel paint</v>
          </cell>
          <cell r="D159" t="str">
            <v>Laying primer course and one coat of enamel paint</v>
          </cell>
          <cell r="E159" t="str">
            <v>sqm</v>
          </cell>
          <cell r="F159">
            <v>71.966999999999999</v>
          </cell>
          <cell r="G159">
            <v>0</v>
          </cell>
          <cell r="H159">
            <v>0</v>
          </cell>
          <cell r="I159">
            <v>0</v>
          </cell>
          <cell r="J159">
            <v>0</v>
          </cell>
          <cell r="K159">
            <v>0</v>
          </cell>
          <cell r="L159">
            <v>0</v>
          </cell>
          <cell r="M159">
            <v>0</v>
          </cell>
          <cell r="N159">
            <v>0</v>
          </cell>
          <cell r="O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0</v>
          </cell>
          <cell r="AS159">
            <v>0</v>
          </cell>
          <cell r="AT159">
            <v>0</v>
          </cell>
          <cell r="AU159">
            <v>0</v>
          </cell>
          <cell r="AV159">
            <v>0</v>
          </cell>
          <cell r="AW159">
            <v>0</v>
          </cell>
          <cell r="AX159">
            <v>0</v>
          </cell>
          <cell r="BD159">
            <v>0</v>
          </cell>
        </row>
        <row r="160">
          <cell r="A160" t="str">
            <v>13.5.c</v>
          </cell>
          <cell r="B160" t="str">
            <v xml:space="preserve">13-5(a)+(b)+(c) </v>
          </cell>
          <cell r="C160" t="str">
            <v>Laying primer course and two coats of readymade Ist grade enamel paint</v>
          </cell>
          <cell r="D160" t="str">
            <v>Laying primer course and two coats of enamel paint</v>
          </cell>
          <cell r="E160" t="str">
            <v>sqm</v>
          </cell>
          <cell r="F160">
            <v>105.57</v>
          </cell>
          <cell r="G160">
            <v>47.295000000000002</v>
          </cell>
          <cell r="H160">
            <v>4992.9331499999998</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35.010000000000005</v>
          </cell>
          <cell r="Z160">
            <v>3696.0057000000002</v>
          </cell>
          <cell r="AA160">
            <v>0</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12.285</v>
          </cell>
          <cell r="AX160">
            <v>1296.9274499999999</v>
          </cell>
          <cell r="BD160">
            <v>0</v>
          </cell>
        </row>
        <row r="161">
          <cell r="A161" t="str">
            <v>13.5.a.1</v>
          </cell>
          <cell r="B161" t="str">
            <v>13-5(a)</v>
          </cell>
          <cell r="C161" t="str">
            <v>Laying cement primer for plastic emulsion</v>
          </cell>
          <cell r="D161" t="str">
            <v>Laying cement primer for plastic emulsion</v>
          </cell>
          <cell r="E161" t="str">
            <v>sqm</v>
          </cell>
          <cell r="F161">
            <v>30.7395</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BD161">
            <v>0</v>
          </cell>
        </row>
        <row r="162">
          <cell r="A162" t="str">
            <v>13.8.a</v>
          </cell>
          <cell r="B162" t="str">
            <v>13-8(a)</v>
          </cell>
          <cell r="C162" t="str">
            <v>Laying one coat of boiled linseed oil</v>
          </cell>
          <cell r="D162" t="str">
            <v>Laying one coat of boiled linseed oil</v>
          </cell>
          <cell r="E162" t="str">
            <v>sqm</v>
          </cell>
          <cell r="F162">
            <v>13.8</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J162">
            <v>0</v>
          </cell>
          <cell r="AK162">
            <v>0</v>
          </cell>
          <cell r="AL162">
            <v>0</v>
          </cell>
          <cell r="AM162">
            <v>0</v>
          </cell>
          <cell r="AN162">
            <v>0</v>
          </cell>
          <cell r="AO162">
            <v>0</v>
          </cell>
          <cell r="AP162">
            <v>0</v>
          </cell>
          <cell r="AQ162">
            <v>0</v>
          </cell>
          <cell r="AR162">
            <v>0</v>
          </cell>
          <cell r="AS162">
            <v>0</v>
          </cell>
          <cell r="AT162">
            <v>0</v>
          </cell>
          <cell r="AU162">
            <v>0</v>
          </cell>
          <cell r="AV162">
            <v>0</v>
          </cell>
          <cell r="AW162">
            <v>0</v>
          </cell>
          <cell r="AX162">
            <v>0</v>
          </cell>
          <cell r="BD162">
            <v>0</v>
          </cell>
        </row>
        <row r="163">
          <cell r="A163" t="str">
            <v>13.8.b</v>
          </cell>
          <cell r="B163" t="str">
            <v>13-8(a)+(b)</v>
          </cell>
          <cell r="C163" t="str">
            <v>Laying two coats of boiled linseed oil</v>
          </cell>
          <cell r="D163" t="str">
            <v>Laying two coats of boiled linseed oil</v>
          </cell>
          <cell r="E163" t="str">
            <v>sqm</v>
          </cell>
          <cell r="F163">
            <v>26.2315</v>
          </cell>
          <cell r="G163">
            <v>0</v>
          </cell>
          <cell r="H163">
            <v>0</v>
          </cell>
          <cell r="I163">
            <v>0</v>
          </cell>
          <cell r="J163">
            <v>0</v>
          </cell>
          <cell r="K163">
            <v>0</v>
          </cell>
          <cell r="L163">
            <v>0</v>
          </cell>
          <cell r="M163">
            <v>0</v>
          </cell>
          <cell r="N163">
            <v>0</v>
          </cell>
          <cell r="O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BD163">
            <v>0</v>
          </cell>
        </row>
        <row r="164">
          <cell r="A164" t="str">
            <v>13.9.a</v>
          </cell>
          <cell r="B164" t="str">
            <v>13-9(a)</v>
          </cell>
          <cell r="C164" t="str">
            <v>Laying one coat of varnish</v>
          </cell>
          <cell r="D164" t="str">
            <v>Laying one coat of varnish</v>
          </cell>
          <cell r="E164" t="str">
            <v>sqm</v>
          </cell>
          <cell r="F164">
            <v>15.743499999999999</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BD164">
            <v>0</v>
          </cell>
        </row>
        <row r="165">
          <cell r="A165" t="str">
            <v>13.9.b</v>
          </cell>
          <cell r="B165" t="str">
            <v>13-9(a)+(b)</v>
          </cell>
          <cell r="C165" t="str">
            <v>Laying two coats of varnish</v>
          </cell>
          <cell r="D165" t="str">
            <v>Laying two coats of varnish</v>
          </cell>
          <cell r="E165" t="str">
            <v>sqm</v>
          </cell>
          <cell r="F165">
            <v>30.106999999999999</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BD165">
            <v>0</v>
          </cell>
        </row>
        <row r="166">
          <cell r="A166" t="str">
            <v>13.10.a</v>
          </cell>
          <cell r="B166" t="str">
            <v>13-10(a)</v>
          </cell>
          <cell r="C166" t="str">
            <v>Laying one coat of bitumen paint</v>
          </cell>
          <cell r="D166" t="str">
            <v>Laying one coat of bitumen paint</v>
          </cell>
          <cell r="E166" t="str">
            <v>sqm</v>
          </cell>
          <cell r="F166">
            <v>19.83175</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0</v>
          </cell>
          <cell r="AU166">
            <v>0</v>
          </cell>
          <cell r="AV166">
            <v>0</v>
          </cell>
          <cell r="AW166">
            <v>0</v>
          </cell>
          <cell r="AX166">
            <v>0</v>
          </cell>
          <cell r="BD166">
            <v>0</v>
          </cell>
        </row>
        <row r="167">
          <cell r="A167" t="str">
            <v>13.10.b</v>
          </cell>
          <cell r="B167" t="str">
            <v>13-10(a)+(b)</v>
          </cell>
          <cell r="C167" t="str">
            <v>Laying two coats of bitumen paint</v>
          </cell>
          <cell r="D167" t="str">
            <v>Laying two coats of bitumen paint</v>
          </cell>
          <cell r="E167" t="str">
            <v>sqm</v>
          </cell>
          <cell r="F167">
            <v>34.126249999999999</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BD167">
            <v>0</v>
          </cell>
        </row>
        <row r="168">
          <cell r="A168" t="str">
            <v>13.11.a</v>
          </cell>
          <cell r="B168" t="str">
            <v>13-11(a)</v>
          </cell>
          <cell r="C168" t="str">
            <v>Laying three coats pf Chapra polish</v>
          </cell>
          <cell r="D168" t="str">
            <v>Laying three coats pf Chapra polish</v>
          </cell>
          <cell r="E168" t="str">
            <v>sqm</v>
          </cell>
          <cell r="F168">
            <v>25.593249999999998</v>
          </cell>
          <cell r="G168">
            <v>0</v>
          </cell>
          <cell r="H168">
            <v>0</v>
          </cell>
          <cell r="I168">
            <v>0</v>
          </cell>
          <cell r="J168">
            <v>0</v>
          </cell>
          <cell r="K168">
            <v>0</v>
          </cell>
          <cell r="L168">
            <v>0</v>
          </cell>
          <cell r="M168">
            <v>0</v>
          </cell>
          <cell r="N168">
            <v>0</v>
          </cell>
          <cell r="O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BD168">
            <v>0</v>
          </cell>
        </row>
        <row r="169">
          <cell r="A169" t="str">
            <v>13.12.a</v>
          </cell>
          <cell r="B169" t="str">
            <v>13-12(a)</v>
          </cell>
          <cell r="C169" t="str">
            <v>Laying one coat of cement paint over plastered surface</v>
          </cell>
          <cell r="D169" t="str">
            <v xml:space="preserve">Laying one coat of cement paint </v>
          </cell>
          <cell r="E169" t="str">
            <v>sqm</v>
          </cell>
          <cell r="F169">
            <v>27.030749999999998</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BD169">
            <v>0</v>
          </cell>
        </row>
        <row r="170">
          <cell r="A170" t="str">
            <v>13.12.b</v>
          </cell>
          <cell r="B170" t="str">
            <v>13-12(a)+(b)</v>
          </cell>
          <cell r="C170" t="str">
            <v>Laying two coats of cement paint over plastered surface</v>
          </cell>
          <cell r="D170" t="str">
            <v xml:space="preserve">Laying two coats of cement paint </v>
          </cell>
          <cell r="E170" t="str">
            <v>sqm</v>
          </cell>
          <cell r="F170">
            <v>46.914250000000003</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BD170">
            <v>0</v>
          </cell>
        </row>
        <row r="171">
          <cell r="C171" t="str">
            <v>CEMENT POINTING WORKS</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BD171">
            <v>0</v>
          </cell>
        </row>
        <row r="172">
          <cell r="A172" t="str">
            <v>14.2.a</v>
          </cell>
          <cell r="B172" t="str">
            <v>14-2(a)</v>
          </cell>
          <cell r="C172" t="str">
            <v>Cement Pointing works in 1:1 cement sand mortar for rubble masonry work</v>
          </cell>
          <cell r="D172" t="str">
            <v>Cement Pointing in rubble masonry work in  1:1 mortar</v>
          </cell>
          <cell r="E172" t="str">
            <v>sqm</v>
          </cell>
          <cell r="F172">
            <v>74.437375121712492</v>
          </cell>
          <cell r="G172">
            <v>0</v>
          </cell>
          <cell r="H172">
            <v>0</v>
          </cell>
          <cell r="I172">
            <v>0</v>
          </cell>
          <cell r="J172">
            <v>0</v>
          </cell>
          <cell r="K172">
            <v>0</v>
          </cell>
          <cell r="L172">
            <v>0</v>
          </cell>
          <cell r="M172">
            <v>0</v>
          </cell>
          <cell r="N172">
            <v>0</v>
          </cell>
          <cell r="O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0</v>
          </cell>
          <cell r="AS172">
            <v>0</v>
          </cell>
          <cell r="AT172">
            <v>0</v>
          </cell>
          <cell r="AU172">
            <v>0</v>
          </cell>
          <cell r="AV172">
            <v>0</v>
          </cell>
          <cell r="AW172">
            <v>0</v>
          </cell>
          <cell r="AX172">
            <v>0</v>
          </cell>
          <cell r="BD172">
            <v>0</v>
          </cell>
        </row>
        <row r="173">
          <cell r="A173" t="str">
            <v>14.2.b</v>
          </cell>
          <cell r="B173" t="str">
            <v>14-2(b)</v>
          </cell>
          <cell r="C173" t="str">
            <v>Cement Pointing works in 1:2 cement sand mortar for rubble masonry work</v>
          </cell>
          <cell r="D173" t="str">
            <v>Cement Pointing in rubble masonry work in  1:2 mortar</v>
          </cell>
          <cell r="E173" t="str">
            <v>sqm</v>
          </cell>
          <cell r="F173">
            <v>62.480975768693746</v>
          </cell>
          <cell r="G173">
            <v>0</v>
          </cell>
          <cell r="H173">
            <v>0</v>
          </cell>
          <cell r="I173">
            <v>0</v>
          </cell>
          <cell r="J173">
            <v>0</v>
          </cell>
          <cell r="K173">
            <v>0</v>
          </cell>
          <cell r="L173">
            <v>0</v>
          </cell>
          <cell r="M173">
            <v>0</v>
          </cell>
          <cell r="N173">
            <v>0</v>
          </cell>
          <cell r="O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BD173">
            <v>0</v>
          </cell>
        </row>
        <row r="174">
          <cell r="A174" t="str">
            <v>14.2.c</v>
          </cell>
          <cell r="B174" t="str">
            <v>14-2(c)</v>
          </cell>
          <cell r="C174" t="str">
            <v>Cement Pointing works in 1:3 cement sand mortar for rubble masonry work</v>
          </cell>
          <cell r="D174" t="str">
            <v>Cement Pointing in rubble masonry work in  1:3 mortar</v>
          </cell>
          <cell r="E174" t="str">
            <v>sqm</v>
          </cell>
          <cell r="F174">
            <v>56.421091656153123</v>
          </cell>
          <cell r="G174">
            <v>4059.4999999999072</v>
          </cell>
          <cell r="H174">
            <v>229041.42157814838</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J174">
            <v>0</v>
          </cell>
          <cell r="AK174">
            <v>0</v>
          </cell>
          <cell r="AL174">
            <v>0</v>
          </cell>
          <cell r="AM174">
            <v>0</v>
          </cell>
          <cell r="AN174">
            <v>0</v>
          </cell>
          <cell r="AO174">
            <v>0</v>
          </cell>
          <cell r="AP174">
            <v>0</v>
          </cell>
          <cell r="AQ174">
            <v>0</v>
          </cell>
          <cell r="AR174">
            <v>0</v>
          </cell>
          <cell r="AS174">
            <v>0</v>
          </cell>
          <cell r="AT174">
            <v>0</v>
          </cell>
          <cell r="AU174">
            <v>4059.4999999999072</v>
          </cell>
          <cell r="AV174">
            <v>229041.42157814838</v>
          </cell>
          <cell r="AW174">
            <v>0</v>
          </cell>
          <cell r="AX174">
            <v>0</v>
          </cell>
          <cell r="BD174">
            <v>0</v>
          </cell>
        </row>
        <row r="175">
          <cell r="A175">
            <v>14.6</v>
          </cell>
          <cell r="B175" t="str">
            <v>14-6</v>
          </cell>
          <cell r="C175" t="str">
            <v>Cement punning works in 1:1 cement sand mortar</v>
          </cell>
          <cell r="D175" t="str">
            <v>Cement punning works in 1:1 cement sand mortar</v>
          </cell>
          <cell r="E175" t="str">
            <v>sqm</v>
          </cell>
          <cell r="F175">
            <v>51.400182076293753</v>
          </cell>
          <cell r="G175">
            <v>120.882975</v>
          </cell>
          <cell r="H175">
            <v>6213.4069249240656</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76.882975000000002</v>
          </cell>
          <cell r="Z175">
            <v>3951.798913567141</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44</v>
          </cell>
          <cell r="AX175">
            <v>2261.6080113569251</v>
          </cell>
          <cell r="BD175">
            <v>0</v>
          </cell>
        </row>
        <row r="176">
          <cell r="C176" t="str">
            <v>GABION WORKS</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BD176">
            <v>0</v>
          </cell>
        </row>
        <row r="177">
          <cell r="A177" t="str">
            <v>16.1.a</v>
          </cell>
          <cell r="B177" t="str">
            <v>16-1(a)</v>
          </cell>
          <cell r="C177" t="str">
            <v>2mx1mx1m size Gabion box fabrication including cutting of wires, mesh wire 9 SWG, Selwage wire 6 SWG (mesh size 80x100 hexagonal)</v>
          </cell>
          <cell r="D177" t="str">
            <v>2mx1mx1m size Gabion box fabrication, 9 and 6 SWG ( 80x100 hex)</v>
          </cell>
          <cell r="E177" t="str">
            <v>cum</v>
          </cell>
          <cell r="F177">
            <v>1110.0374999999999</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0</v>
          </cell>
          <cell r="AS177">
            <v>0</v>
          </cell>
          <cell r="AT177">
            <v>0</v>
          </cell>
          <cell r="AU177">
            <v>0</v>
          </cell>
          <cell r="AV177">
            <v>0</v>
          </cell>
          <cell r="AW177">
            <v>0</v>
          </cell>
          <cell r="AX177">
            <v>0</v>
          </cell>
          <cell r="BD177">
            <v>0</v>
          </cell>
        </row>
        <row r="178">
          <cell r="A178" t="str">
            <v>16.1.b</v>
          </cell>
          <cell r="B178" t="str">
            <v>16-1(b)</v>
          </cell>
          <cell r="C178" t="str">
            <v>3mx1mx1m size Gabion box fabrication including cutting of wires, mesh wire 9 SWG, Selwage wire 6 SWG (mesh size 80x100 hexagonal)</v>
          </cell>
          <cell r="D178" t="str">
            <v>3mx1mx1m size Gabion box fabrication, 9 and 6 SWG ( 80x100 hex)</v>
          </cell>
          <cell r="E178" t="str">
            <v>cum</v>
          </cell>
          <cell r="F178">
            <v>1063.1826666666666</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BD178">
            <v>0</v>
          </cell>
        </row>
        <row r="179">
          <cell r="A179" t="str">
            <v>16.1.c</v>
          </cell>
          <cell r="B179" t="str">
            <v>16-1(c)</v>
          </cell>
          <cell r="C179" t="str">
            <v>2mx1mx0.5m size Gabion box fabrication including cutting of wires, mesh wire 9 SWG, Selwage wire 6 SWG (mesh size 80x100 hexagonal)</v>
          </cell>
          <cell r="D179" t="str">
            <v>2mx1mx0.5m size Gabion box fabrication, 9 and 6 SWG ( 80x100 hex)</v>
          </cell>
          <cell r="E179" t="str">
            <v>cum</v>
          </cell>
          <cell r="F179">
            <v>1540.0225</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BD179">
            <v>0</v>
          </cell>
        </row>
        <row r="180">
          <cell r="A180" t="str">
            <v>16.1.d</v>
          </cell>
          <cell r="B180" t="str">
            <v>16-1(d)</v>
          </cell>
          <cell r="C180" t="str">
            <v>3mx1mx0.5m size Gabion box fabrication including cutting of wires, mesh wire 9 SWG, Selwage wire 6 SWG (mesh size 80x100 hexagonal)</v>
          </cell>
          <cell r="D180" t="str">
            <v>3mx1mx0.5m size Gabion box fabrication, 9 and 6 SWG ( 80x100 hex)</v>
          </cell>
          <cell r="E180" t="str">
            <v>cum</v>
          </cell>
          <cell r="F180">
            <v>1485.4780000000001</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BD180">
            <v>0</v>
          </cell>
        </row>
        <row r="181">
          <cell r="A181" t="str">
            <v>16.1.e</v>
          </cell>
          <cell r="B181" t="str">
            <v>16-1(e)</v>
          </cell>
          <cell r="C181" t="str">
            <v>2mx1mx0.3m size Gabion box fabrication including cutting of wires, mesh wire 9 SWG, Selwage wire 6 SWG (mesh size 80x100 hexagonal)</v>
          </cell>
          <cell r="D181" t="str">
            <v>2mx1mx0.3m size Gabion box fabrication, 9 and 6 SWG ( 80x100 hex)</v>
          </cell>
          <cell r="E181" t="str">
            <v>cum</v>
          </cell>
          <cell r="F181">
            <v>2107.6624999999999</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BD181">
            <v>0</v>
          </cell>
        </row>
        <row r="182">
          <cell r="A182" t="str">
            <v>16.1.f</v>
          </cell>
          <cell r="B182" t="str">
            <v>16-1(f)</v>
          </cell>
          <cell r="C182" t="str">
            <v>3mx1mx0.3m size Gabion box fabrication including cutting of wires, mesh wire 9 SWG, Selwage wire 6 SWG (mesh size 80x100 hexagonal)</v>
          </cell>
          <cell r="D182" t="str">
            <v>3mx1mx0.3m size Gabion box fabrication, 9 and 6 SWG ( 80x100 hex)</v>
          </cell>
          <cell r="E182" t="str">
            <v>cum</v>
          </cell>
          <cell r="F182">
            <v>2049.9644444444443</v>
          </cell>
          <cell r="G182">
            <v>0</v>
          </cell>
          <cell r="H182">
            <v>0</v>
          </cell>
          <cell r="I182">
            <v>0</v>
          </cell>
          <cell r="J182">
            <v>0</v>
          </cell>
          <cell r="K182">
            <v>0</v>
          </cell>
          <cell r="L182">
            <v>0</v>
          </cell>
          <cell r="M182">
            <v>0</v>
          </cell>
          <cell r="N182">
            <v>0</v>
          </cell>
          <cell r="O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BD182">
            <v>0</v>
          </cell>
        </row>
        <row r="183">
          <cell r="A183" t="str">
            <v>16.2.a</v>
          </cell>
          <cell r="B183" t="str">
            <v>16-2(a)</v>
          </cell>
          <cell r="C183" t="str">
            <v>2mx1mx1m size Gabion box fabrication including cutting of wires, mesh wire 10 SWG, Selwage wire 7 SWG (mesh size 80x100 hexagonal)</v>
          </cell>
          <cell r="D183" t="str">
            <v>2mx1mx1m size Gabion box fabrication, 10 and 7 SWG ( 80x100 hex)</v>
          </cell>
          <cell r="E183" t="str">
            <v>cum</v>
          </cell>
          <cell r="F183">
            <v>868.58349999999996</v>
          </cell>
          <cell r="G183">
            <v>860</v>
          </cell>
          <cell r="H183">
            <v>746981.80999999994</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cell r="X183">
            <v>0</v>
          </cell>
          <cell r="Y183">
            <v>0</v>
          </cell>
          <cell r="Z183">
            <v>0</v>
          </cell>
          <cell r="AA183">
            <v>750</v>
          </cell>
          <cell r="AB183">
            <v>651437.625</v>
          </cell>
          <cell r="AC183">
            <v>0</v>
          </cell>
          <cell r="AD183">
            <v>0</v>
          </cell>
          <cell r="AE183">
            <v>0</v>
          </cell>
          <cell r="AF183">
            <v>0</v>
          </cell>
          <cell r="AG183">
            <v>0</v>
          </cell>
          <cell r="AH183">
            <v>0</v>
          </cell>
          <cell r="AI183">
            <v>110</v>
          </cell>
          <cell r="AJ183">
            <v>95544.184999999998</v>
          </cell>
          <cell r="AK183">
            <v>0</v>
          </cell>
          <cell r="AL183">
            <v>0</v>
          </cell>
          <cell r="AM183">
            <v>0</v>
          </cell>
          <cell r="AN183">
            <v>0</v>
          </cell>
          <cell r="AO183">
            <v>0</v>
          </cell>
          <cell r="AP183">
            <v>0</v>
          </cell>
          <cell r="AQ183">
            <v>0</v>
          </cell>
          <cell r="AR183">
            <v>0</v>
          </cell>
          <cell r="AS183">
            <v>0</v>
          </cell>
          <cell r="AT183">
            <v>0</v>
          </cell>
          <cell r="AU183">
            <v>0</v>
          </cell>
          <cell r="AV183">
            <v>0</v>
          </cell>
          <cell r="AW183">
            <v>0</v>
          </cell>
          <cell r="AX183">
            <v>0</v>
          </cell>
          <cell r="BD183">
            <v>0</v>
          </cell>
        </row>
        <row r="184">
          <cell r="A184" t="str">
            <v>16.2.b</v>
          </cell>
          <cell r="B184" t="str">
            <v>16-2(b)</v>
          </cell>
          <cell r="C184" t="str">
            <v>3mx1mx1m size Gabion box fabrication including cutting of wires, mesh wire 10 SWG, Selwage wire 7 SWG (mesh size 80x100 hexagonal)</v>
          </cell>
          <cell r="D184" t="str">
            <v>3mx1mx1m size Gabion box fabrication, 10 and 7 SWG ( 80x100 hex)</v>
          </cell>
          <cell r="E184" t="str">
            <v>cum</v>
          </cell>
          <cell r="F184">
            <v>854.7643333333333</v>
          </cell>
          <cell r="G184">
            <v>133.5</v>
          </cell>
          <cell r="H184">
            <v>114111.0385</v>
          </cell>
          <cell r="I184">
            <v>0</v>
          </cell>
          <cell r="J184">
            <v>0</v>
          </cell>
          <cell r="K184">
            <v>133.5</v>
          </cell>
          <cell r="L184">
            <v>114111.0385</v>
          </cell>
          <cell r="M184">
            <v>0</v>
          </cell>
          <cell r="N184">
            <v>0</v>
          </cell>
          <cell r="O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0</v>
          </cell>
          <cell r="AX184">
            <v>0</v>
          </cell>
          <cell r="BD184">
            <v>0</v>
          </cell>
        </row>
        <row r="185">
          <cell r="A185" t="str">
            <v>16.2.c</v>
          </cell>
          <cell r="B185" t="str">
            <v>16-2(c)</v>
          </cell>
          <cell r="C185" t="str">
            <v>2mx1mx0.5m size Gabion box fabrication including cutting of wires, mesh wire 10 SWG, Selwage wire 7 SWG (mesh size 80x100 hexagonal)</v>
          </cell>
          <cell r="D185" t="str">
            <v>2mx1mx0.5m size Gabion box fabrication, 10 and 7 SWG ( 80x100 hex)</v>
          </cell>
          <cell r="E185" t="str">
            <v>cum</v>
          </cell>
          <cell r="F185">
            <v>1240.4475000000002</v>
          </cell>
          <cell r="G185">
            <v>1415.5</v>
          </cell>
          <cell r="H185">
            <v>1755853.4362500003</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1415.5</v>
          </cell>
          <cell r="AJ185">
            <v>1755853.4362500003</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BD185">
            <v>0</v>
          </cell>
        </row>
        <row r="186">
          <cell r="A186" t="str">
            <v>16.2.d</v>
          </cell>
          <cell r="B186" t="str">
            <v>16-2(d)</v>
          </cell>
          <cell r="C186" t="str">
            <v>3mx1mx0.5m size Gabion box fabrication including cutting of wires, mesh wire 10 SWG, Selwage wire 7 SWG (mesh size 80x100 hexagonal)</v>
          </cell>
          <cell r="D186" t="str">
            <v>3mx1mx0.5m size Gabion box fabrication, 10 and 7 SWG ( 80x100 hex)</v>
          </cell>
          <cell r="E186" t="str">
            <v>cum</v>
          </cell>
          <cell r="F186">
            <v>1195.7393333333332</v>
          </cell>
          <cell r="G186">
            <v>15.75</v>
          </cell>
          <cell r="H186">
            <v>18832.894499999999</v>
          </cell>
          <cell r="I186">
            <v>0</v>
          </cell>
          <cell r="J186">
            <v>0</v>
          </cell>
          <cell r="K186">
            <v>15.75</v>
          </cell>
          <cell r="L186">
            <v>18832.894499999999</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0</v>
          </cell>
          <cell r="AS186">
            <v>0</v>
          </cell>
          <cell r="AT186">
            <v>0</v>
          </cell>
          <cell r="AU186">
            <v>0</v>
          </cell>
          <cell r="AV186">
            <v>0</v>
          </cell>
          <cell r="AW186">
            <v>0</v>
          </cell>
          <cell r="AX186">
            <v>0</v>
          </cell>
          <cell r="BD186">
            <v>0</v>
          </cell>
        </row>
        <row r="187">
          <cell r="A187" t="str">
            <v>16.2.e</v>
          </cell>
          <cell r="B187" t="str">
            <v>16-2(e)</v>
          </cell>
          <cell r="C187" t="str">
            <v>2mx1mx0.3m size Gabion box fabrication including cutting of wires, mesh wire 10 SWG, Selwage wire 7 SWG (mesh size 80x100 hexagonal)</v>
          </cell>
          <cell r="D187" t="str">
            <v>2mx1mx0.3m size Gabion box fabrication, 10 and 7 SWG ( 80x100 hex)</v>
          </cell>
          <cell r="E187" t="str">
            <v>cum</v>
          </cell>
          <cell r="F187">
            <v>1701.1758333333332</v>
          </cell>
          <cell r="G187">
            <v>0</v>
          </cell>
          <cell r="H187">
            <v>0</v>
          </cell>
          <cell r="I187">
            <v>0</v>
          </cell>
          <cell r="J187">
            <v>0</v>
          </cell>
          <cell r="K187">
            <v>0</v>
          </cell>
          <cell r="L187">
            <v>0</v>
          </cell>
          <cell r="M187">
            <v>0</v>
          </cell>
          <cell r="N187">
            <v>0</v>
          </cell>
          <cell r="O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BD187">
            <v>0</v>
          </cell>
        </row>
        <row r="188">
          <cell r="A188" t="str">
            <v>16.2.f</v>
          </cell>
          <cell r="B188" t="str">
            <v>16-2(f)</v>
          </cell>
          <cell r="C188" t="str">
            <v>3mx1mx0.3m size Gabion box fabrication including cutting of wires, mesh wire 10 SWG, Selwage wire 7 SWG (mesh size 80x100 hexagonal)</v>
          </cell>
          <cell r="D188" t="str">
            <v>3mx1mx0.3m size Gabion box fabrication, 10 and 7 SWG ( 80x100 hex)</v>
          </cell>
          <cell r="E188" t="str">
            <v>cum</v>
          </cell>
          <cell r="F188">
            <v>1652.3711111111108</v>
          </cell>
          <cell r="G188">
            <v>0</v>
          </cell>
          <cell r="H188">
            <v>0</v>
          </cell>
          <cell r="I188">
            <v>0</v>
          </cell>
          <cell r="J188">
            <v>0</v>
          </cell>
          <cell r="K188">
            <v>0</v>
          </cell>
          <cell r="L188">
            <v>0</v>
          </cell>
          <cell r="M188">
            <v>0</v>
          </cell>
          <cell r="N188">
            <v>0</v>
          </cell>
          <cell r="O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BD188">
            <v>0</v>
          </cell>
        </row>
        <row r="189">
          <cell r="A189" t="str">
            <v>16.3.a</v>
          </cell>
          <cell r="B189" t="str">
            <v>16-3(a)</v>
          </cell>
          <cell r="C189" t="str">
            <v>2mx1mx1m size Gabion box fabrication including cutting of wires, mesh wire 11 SWG, Selwage wire 8 SWG (mesh size 80x100 hexagonal)</v>
          </cell>
          <cell r="D189" t="str">
            <v>2mx1mx1m size Gabion box fabrication, 11 and 8 SWG ( 80x100 hex)</v>
          </cell>
          <cell r="E189" t="str">
            <v>cum</v>
          </cell>
          <cell r="F189">
            <v>803.78099999999995</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BD189">
            <v>0</v>
          </cell>
        </row>
        <row r="190">
          <cell r="A190" t="str">
            <v>16.3.b</v>
          </cell>
          <cell r="B190" t="str">
            <v>16-3(b)</v>
          </cell>
          <cell r="C190" t="str">
            <v>3mx1mx1m size Gabion box fabrication including cutting of wires, mesh wire 11 SWG, Selwage wire 8 SWG (mesh size 80x100 hexagonal)</v>
          </cell>
          <cell r="D190" t="str">
            <v>3mx1mx1m size Gabion box fabrication, 11 and 8 SWG ( 80x100 hex)</v>
          </cell>
          <cell r="E190" t="str">
            <v>cum</v>
          </cell>
          <cell r="F190">
            <v>717.78399999999999</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BD190">
            <v>0</v>
          </cell>
        </row>
        <row r="191">
          <cell r="A191" t="str">
            <v>16.3.c</v>
          </cell>
          <cell r="B191" t="str">
            <v>16-3(c)</v>
          </cell>
          <cell r="C191" t="str">
            <v>2mx1mx0.5m size Gabion box fabrication including cutting of wires, mesh wire 11 SWG, Selwage wire 8 SWG (mesh size 80x100 hexagonal)</v>
          </cell>
          <cell r="D191" t="str">
            <v>2mx1mx0.5m size Gabion box fabrication, 11 and 8 SWG ( 80x100 hex)</v>
          </cell>
          <cell r="E191" t="str">
            <v>cum</v>
          </cell>
          <cell r="F191">
            <v>1041.5205000000001</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0</v>
          </cell>
          <cell r="Y191">
            <v>0</v>
          </cell>
          <cell r="Z191">
            <v>0</v>
          </cell>
          <cell r="AA191">
            <v>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BD191">
            <v>0</v>
          </cell>
        </row>
        <row r="192">
          <cell r="A192" t="str">
            <v>16.3.d</v>
          </cell>
          <cell r="B192" t="str">
            <v>16-3(d)</v>
          </cell>
          <cell r="C192" t="str">
            <v>3mx1mx0.5m size Gabion box fabrication including cutting of wires, mesh wire 11 SWG, Selwage wire 8 SWG (mesh size 80x100 hexagonal)</v>
          </cell>
          <cell r="D192" t="str">
            <v>3mx1mx0.5m size Gabion box fabrication, 11 and 8 SWG ( 80x100 hex)</v>
          </cell>
          <cell r="E192" t="str">
            <v>cum</v>
          </cell>
          <cell r="F192">
            <v>1003.03</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0</v>
          </cell>
          <cell r="V192">
            <v>0</v>
          </cell>
          <cell r="W192">
            <v>0</v>
          </cell>
          <cell r="X192">
            <v>0</v>
          </cell>
          <cell r="Y192">
            <v>0</v>
          </cell>
          <cell r="Z192">
            <v>0</v>
          </cell>
          <cell r="AA192">
            <v>0</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BD192">
            <v>0</v>
          </cell>
        </row>
        <row r="193">
          <cell r="A193" t="str">
            <v>16.3.e</v>
          </cell>
          <cell r="B193" t="str">
            <v>16-3(e)</v>
          </cell>
          <cell r="C193" t="str">
            <v>2mx1mx0.3m size Gabion box fabrication including cutting of wires, mesh wire 11 SWG, Selwage wire 8 SWG (mesh size 80x100 hexagonal)</v>
          </cell>
          <cell r="D193" t="str">
            <v>2mx1mx0.3m size Gabion box fabrication, 11 and 8 SWG ( 80x100 hex)</v>
          </cell>
          <cell r="E193" t="str">
            <v>cum</v>
          </cell>
          <cell r="F193">
            <v>1431.3474999999999</v>
          </cell>
          <cell r="G193">
            <v>0</v>
          </cell>
          <cell r="H193">
            <v>0</v>
          </cell>
          <cell r="I193">
            <v>0</v>
          </cell>
          <cell r="J193">
            <v>0</v>
          </cell>
          <cell r="K193">
            <v>0</v>
          </cell>
          <cell r="L193">
            <v>0</v>
          </cell>
          <cell r="M193">
            <v>0</v>
          </cell>
          <cell r="N193">
            <v>0</v>
          </cell>
          <cell r="O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0</v>
          </cell>
          <cell r="AS193">
            <v>0</v>
          </cell>
          <cell r="AT193">
            <v>0</v>
          </cell>
          <cell r="AU193">
            <v>0</v>
          </cell>
          <cell r="AV193">
            <v>0</v>
          </cell>
          <cell r="AW193">
            <v>0</v>
          </cell>
          <cell r="AX193">
            <v>0</v>
          </cell>
          <cell r="BD193">
            <v>0</v>
          </cell>
        </row>
        <row r="194">
          <cell r="A194" t="str">
            <v>16.3.f</v>
          </cell>
          <cell r="B194" t="str">
            <v>16-3(f)</v>
          </cell>
          <cell r="C194" t="str">
            <v>3mx1mx0.3m size Gabion box fabrication including cutting of wires, mesh wire 11 SWG, Selwage wire 8 SWG (mesh size 80x100 hexagonal)</v>
          </cell>
          <cell r="D194" t="str">
            <v>3mx1mx0.3m size Gabion box fabrication, 11 and 8 SWG ( 80x100 hex)</v>
          </cell>
          <cell r="E194" t="str">
            <v>cum</v>
          </cell>
          <cell r="F194">
            <v>1384.0122222222224</v>
          </cell>
          <cell r="G194">
            <v>0</v>
          </cell>
          <cell r="H194">
            <v>0</v>
          </cell>
          <cell r="I194">
            <v>0</v>
          </cell>
          <cell r="J194">
            <v>0</v>
          </cell>
          <cell r="K194">
            <v>0</v>
          </cell>
          <cell r="L194">
            <v>0</v>
          </cell>
          <cell r="M194">
            <v>0</v>
          </cell>
          <cell r="N194">
            <v>0</v>
          </cell>
          <cell r="O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BD194">
            <v>0</v>
          </cell>
        </row>
        <row r="195">
          <cell r="A195" t="str">
            <v>16.4.a</v>
          </cell>
          <cell r="B195" t="str">
            <v>16-4(a)</v>
          </cell>
          <cell r="C195" t="str">
            <v>2mx1mx1m size Gabion box fabrication including cutting of wires, mesh wire 9 SWG, Selwage wire 6 SWG (mesh size 100x120 hexagonal)</v>
          </cell>
          <cell r="D195" t="str">
            <v>2mx1mx1m size Gabion box fabrication, 9 and 6 SWG ( 100x120 hex)</v>
          </cell>
          <cell r="E195" t="str">
            <v>cum</v>
          </cell>
          <cell r="F195">
            <v>1071.08125</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BD195">
            <v>0</v>
          </cell>
        </row>
        <row r="196">
          <cell r="A196" t="str">
            <v>16.4.b</v>
          </cell>
          <cell r="B196" t="str">
            <v>16-4(b)</v>
          </cell>
          <cell r="C196" t="str">
            <v>3mx1mx1m size Gabion box fabrication including cutting of wires, mesh wire 9 SWG, Selwage wire 6 SWG (mesh size 100x120 hexagonal)</v>
          </cell>
          <cell r="D196" t="str">
            <v>3mx1mx1m size Gabion box fabrication, 9 and 6 SWG ( 100x120 hex)</v>
          </cell>
          <cell r="E196" t="str">
            <v>cum</v>
          </cell>
          <cell r="F196">
            <v>920.38716666666664</v>
          </cell>
          <cell r="G196">
            <v>0</v>
          </cell>
          <cell r="H196">
            <v>0</v>
          </cell>
          <cell r="I196">
            <v>0</v>
          </cell>
          <cell r="J196">
            <v>0</v>
          </cell>
          <cell r="K196">
            <v>0</v>
          </cell>
          <cell r="L196">
            <v>0</v>
          </cell>
          <cell r="M196">
            <v>0</v>
          </cell>
          <cell r="N196">
            <v>0</v>
          </cell>
          <cell r="O196">
            <v>0</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BD196">
            <v>0</v>
          </cell>
        </row>
        <row r="197">
          <cell r="A197" t="str">
            <v>16.4.c</v>
          </cell>
          <cell r="B197" t="str">
            <v>16-4(c)</v>
          </cell>
          <cell r="C197" t="str">
            <v>2mx1mx0.5m size Gabion box fabrication including cutting of wires, mesh wire 9 SWG, Selwage wire 6 SWG (mesh size 100x120 hexagonal)</v>
          </cell>
          <cell r="D197" t="str">
            <v>2mx1mx0.5m size Gabion box fabrication, 9 and 6 SWG ( 100x120 hex)</v>
          </cell>
          <cell r="E197" t="str">
            <v>cum</v>
          </cell>
          <cell r="F197">
            <v>1338.6689999999999</v>
          </cell>
          <cell r="G197">
            <v>0</v>
          </cell>
          <cell r="H197">
            <v>0</v>
          </cell>
          <cell r="I197">
            <v>0</v>
          </cell>
          <cell r="J197">
            <v>0</v>
          </cell>
          <cell r="K197">
            <v>0</v>
          </cell>
          <cell r="L197">
            <v>0</v>
          </cell>
          <cell r="M197">
            <v>0</v>
          </cell>
          <cell r="N197">
            <v>0</v>
          </cell>
          <cell r="O197">
            <v>0</v>
          </cell>
          <cell r="P197">
            <v>0</v>
          </cell>
          <cell r="Q197">
            <v>0</v>
          </cell>
          <cell r="R197">
            <v>0</v>
          </cell>
          <cell r="S197">
            <v>0</v>
          </cell>
          <cell r="T197">
            <v>0</v>
          </cell>
          <cell r="U197">
            <v>0</v>
          </cell>
          <cell r="V197">
            <v>0</v>
          </cell>
          <cell r="W197">
            <v>0</v>
          </cell>
          <cell r="X197">
            <v>0</v>
          </cell>
          <cell r="Y197">
            <v>0</v>
          </cell>
          <cell r="Z197">
            <v>0</v>
          </cell>
          <cell r="AA197">
            <v>0</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BD197">
            <v>0</v>
          </cell>
        </row>
        <row r="198">
          <cell r="A198" t="str">
            <v>16.4.d</v>
          </cell>
          <cell r="B198" t="str">
            <v>16-4(d)</v>
          </cell>
          <cell r="C198" t="str">
            <v>3mx1mx0.5m size Gabion box fabrication including cutting of wires, mesh wire 9 SWG, Selwage wire 6 SWG (mesh size 100x120 hexagonal)</v>
          </cell>
          <cell r="D198" t="str">
            <v>3mx1mx0.5m size Gabion box fabrication, 9 and 6 SWG ( 100x120 hex)</v>
          </cell>
          <cell r="E198" t="str">
            <v>cum</v>
          </cell>
          <cell r="F198">
            <v>1288.7896666666668</v>
          </cell>
          <cell r="G198">
            <v>0</v>
          </cell>
          <cell r="H198">
            <v>0</v>
          </cell>
          <cell r="I198">
            <v>0</v>
          </cell>
          <cell r="J198">
            <v>0</v>
          </cell>
          <cell r="K198">
            <v>0</v>
          </cell>
          <cell r="L198">
            <v>0</v>
          </cell>
          <cell r="M198">
            <v>0</v>
          </cell>
          <cell r="N198">
            <v>0</v>
          </cell>
          <cell r="O198">
            <v>0</v>
          </cell>
          <cell r="P198">
            <v>0</v>
          </cell>
          <cell r="Q198">
            <v>0</v>
          </cell>
          <cell r="R198">
            <v>0</v>
          </cell>
          <cell r="S198">
            <v>0</v>
          </cell>
          <cell r="T198">
            <v>0</v>
          </cell>
          <cell r="U198">
            <v>0</v>
          </cell>
          <cell r="V198">
            <v>0</v>
          </cell>
          <cell r="W198">
            <v>0</v>
          </cell>
          <cell r="X198">
            <v>0</v>
          </cell>
          <cell r="Y198">
            <v>0</v>
          </cell>
          <cell r="Z198">
            <v>0</v>
          </cell>
          <cell r="AA198">
            <v>0</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BD198">
            <v>0</v>
          </cell>
        </row>
        <row r="199">
          <cell r="A199" t="str">
            <v>16.4.e</v>
          </cell>
          <cell r="B199" t="str">
            <v>16-4(e)</v>
          </cell>
          <cell r="C199" t="str">
            <v>2mx1mx0.3m size Gabion box fabrication including cutting of wires, mesh wire 9 SWG, Selwage wire 6 SWG (mesh size 100x120 hexagonal)</v>
          </cell>
          <cell r="D199" t="str">
            <v>2mx1mx0.3m size Gabion box fabrication, 9 and 6 SWG ( 100x120 hex)</v>
          </cell>
          <cell r="E199" t="str">
            <v>cum</v>
          </cell>
          <cell r="F199">
            <v>1833.7900000000002</v>
          </cell>
          <cell r="G199">
            <v>0</v>
          </cell>
          <cell r="H199">
            <v>0</v>
          </cell>
          <cell r="I199">
            <v>0</v>
          </cell>
          <cell r="J199">
            <v>0</v>
          </cell>
          <cell r="K199">
            <v>0</v>
          </cell>
          <cell r="L199">
            <v>0</v>
          </cell>
          <cell r="M199">
            <v>0</v>
          </cell>
          <cell r="N199">
            <v>0</v>
          </cell>
          <cell r="O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J199">
            <v>0</v>
          </cell>
          <cell r="AK199">
            <v>0</v>
          </cell>
          <cell r="AL199">
            <v>0</v>
          </cell>
          <cell r="AM199">
            <v>0</v>
          </cell>
          <cell r="AN199">
            <v>0</v>
          </cell>
          <cell r="AO199">
            <v>0</v>
          </cell>
          <cell r="AP199">
            <v>0</v>
          </cell>
          <cell r="AQ199">
            <v>0</v>
          </cell>
          <cell r="AR199">
            <v>0</v>
          </cell>
          <cell r="AS199">
            <v>0</v>
          </cell>
          <cell r="AT199">
            <v>0</v>
          </cell>
          <cell r="AU199">
            <v>0</v>
          </cell>
          <cell r="AV199">
            <v>0</v>
          </cell>
          <cell r="AW199">
            <v>0</v>
          </cell>
          <cell r="AX199">
            <v>0</v>
          </cell>
          <cell r="BD199">
            <v>0</v>
          </cell>
        </row>
        <row r="200">
          <cell r="A200" t="str">
            <v>16.4.f</v>
          </cell>
          <cell r="B200" t="str">
            <v>16-4(f)</v>
          </cell>
          <cell r="C200" t="str">
            <v>3mx1mx0.3m size Gabion box fabrication including cutting of wires, mesh wire 9 SWG, Selwage wire 6 SWG (mesh size 100x120 hexagonal)</v>
          </cell>
          <cell r="D200" t="str">
            <v>3mx1mx0.3m size Gabion box fabrication, 9 and 6 SWG ( 100x120 hex)</v>
          </cell>
          <cell r="E200" t="str">
            <v>cum</v>
          </cell>
          <cell r="F200">
            <v>1777.9894444444444</v>
          </cell>
          <cell r="G200">
            <v>0</v>
          </cell>
          <cell r="H200">
            <v>0</v>
          </cell>
          <cell r="I200">
            <v>0</v>
          </cell>
          <cell r="J200">
            <v>0</v>
          </cell>
          <cell r="K200">
            <v>0</v>
          </cell>
          <cell r="L200">
            <v>0</v>
          </cell>
          <cell r="M200">
            <v>0</v>
          </cell>
          <cell r="N200">
            <v>0</v>
          </cell>
          <cell r="O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BD200">
            <v>0</v>
          </cell>
        </row>
        <row r="201">
          <cell r="A201" t="str">
            <v>16.5.a</v>
          </cell>
          <cell r="B201" t="str">
            <v>16-5(a)</v>
          </cell>
          <cell r="C201" t="str">
            <v>2mx1mx1m size Gabion box fabrication including cutting of wires, mesh wire 10 SWG, Selwage wire 7 SWG (mesh size 100x120 hexagonal)</v>
          </cell>
          <cell r="D201" t="str">
            <v>2mx1mx1m size Gabion box fabrication, 10 and 7 SWG ( 100x120 hex)</v>
          </cell>
          <cell r="E201" t="str">
            <v>cum</v>
          </cell>
          <cell r="F201">
            <v>775.63474999999994</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BD201">
            <v>0</v>
          </cell>
        </row>
        <row r="202">
          <cell r="A202" t="str">
            <v>16.5.b</v>
          </cell>
          <cell r="B202" t="str">
            <v>16-5(b)</v>
          </cell>
          <cell r="C202" t="str">
            <v>3mx1mx1m size Gabion box fabrication including cutting of wires, mesh wire 10 SWG, Selwage wire 7 SWG (mesh size 100x120 hexagonal)</v>
          </cell>
          <cell r="D202" t="str">
            <v>3mx1mx1m size Gabion box fabrication, 10 and 7 SWG ( 100x120 hex)</v>
          </cell>
          <cell r="E202" t="str">
            <v>cum</v>
          </cell>
          <cell r="F202">
            <v>741.06383333333338</v>
          </cell>
          <cell r="G202">
            <v>0</v>
          </cell>
          <cell r="H202">
            <v>0</v>
          </cell>
          <cell r="I202">
            <v>0</v>
          </cell>
          <cell r="J202">
            <v>0</v>
          </cell>
          <cell r="K202">
            <v>0</v>
          </cell>
          <cell r="L202">
            <v>0</v>
          </cell>
          <cell r="M202">
            <v>0</v>
          </cell>
          <cell r="N202">
            <v>0</v>
          </cell>
          <cell r="O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BD202">
            <v>0</v>
          </cell>
        </row>
        <row r="203">
          <cell r="A203" t="str">
            <v>16.5.c</v>
          </cell>
          <cell r="B203" t="str">
            <v>16-5(c)</v>
          </cell>
          <cell r="C203" t="str">
            <v>2mx1mx0.5m size Gabion box fabrication including cutting of wires, mesh wire 10 SWG, Selwage wire 7 SWG (mesh size 100x120 hexagonal)</v>
          </cell>
          <cell r="D203" t="str">
            <v>2mx1mx0.5m size Gabion box fabrication, 10 and 7 SWG ( 100x120 hex)</v>
          </cell>
          <cell r="E203" t="str">
            <v>cum</v>
          </cell>
          <cell r="F203">
            <v>1078.769</v>
          </cell>
          <cell r="G203">
            <v>0</v>
          </cell>
          <cell r="H203">
            <v>0</v>
          </cell>
          <cell r="I203">
            <v>0</v>
          </cell>
          <cell r="J203">
            <v>0</v>
          </cell>
          <cell r="K203">
            <v>0</v>
          </cell>
          <cell r="L203">
            <v>0</v>
          </cell>
          <cell r="M203">
            <v>0</v>
          </cell>
          <cell r="N203">
            <v>0</v>
          </cell>
          <cell r="O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BD203">
            <v>0</v>
          </cell>
        </row>
        <row r="204">
          <cell r="A204" t="str">
            <v>16.5.d</v>
          </cell>
          <cell r="B204" t="str">
            <v>16-5(d)</v>
          </cell>
          <cell r="C204" t="str">
            <v>3mx1mx0.5m size Gabion box fabrication including cutting of wires, mesh wire 10 SWG, Selwage wire 7 SWG (mesh size 100x120 hexagonal)</v>
          </cell>
          <cell r="D204" t="str">
            <v>3mx1mx0.5m size Gabion box fabrication, 10 and 7 SWG ( 100x120 hex)</v>
          </cell>
          <cell r="E204" t="str">
            <v>cum</v>
          </cell>
          <cell r="F204">
            <v>1039.6076666666665</v>
          </cell>
          <cell r="G204">
            <v>0</v>
          </cell>
          <cell r="H204">
            <v>0</v>
          </cell>
          <cell r="I204">
            <v>0</v>
          </cell>
          <cell r="J204">
            <v>0</v>
          </cell>
          <cell r="K204">
            <v>0</v>
          </cell>
          <cell r="L204">
            <v>0</v>
          </cell>
          <cell r="M204">
            <v>0</v>
          </cell>
          <cell r="N204">
            <v>0</v>
          </cell>
          <cell r="O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BD204">
            <v>0</v>
          </cell>
        </row>
        <row r="205">
          <cell r="A205" t="str">
            <v>16.5.e</v>
          </cell>
          <cell r="B205" t="str">
            <v>16-5(e)</v>
          </cell>
          <cell r="C205" t="str">
            <v>2mx1mx0.3m size Gabion box fabrication including cutting of wires, mesh wire 10 SWG, Selwage wire 7 SWG (mesh size 100x120 hexagonal)</v>
          </cell>
          <cell r="D205" t="str">
            <v>2mx1mx0.3m size Gabion box fabrication, 10 and 7 SWG ( 100x120 hex)</v>
          </cell>
          <cell r="E205" t="str">
            <v>cum</v>
          </cell>
          <cell r="F205">
            <v>1484.6116666666669</v>
          </cell>
          <cell r="G205">
            <v>0</v>
          </cell>
          <cell r="H205">
            <v>0</v>
          </cell>
          <cell r="I205">
            <v>0</v>
          </cell>
          <cell r="J205">
            <v>0</v>
          </cell>
          <cell r="K205">
            <v>0</v>
          </cell>
          <cell r="L205">
            <v>0</v>
          </cell>
          <cell r="M205">
            <v>0</v>
          </cell>
          <cell r="N205">
            <v>0</v>
          </cell>
          <cell r="O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0</v>
          </cell>
          <cell r="AS205">
            <v>0</v>
          </cell>
          <cell r="AT205">
            <v>0</v>
          </cell>
          <cell r="AU205">
            <v>0</v>
          </cell>
          <cell r="AV205">
            <v>0</v>
          </cell>
          <cell r="AW205">
            <v>0</v>
          </cell>
          <cell r="AX205">
            <v>0</v>
          </cell>
          <cell r="BD205">
            <v>0</v>
          </cell>
        </row>
        <row r="206">
          <cell r="A206" t="str">
            <v>16.5.f</v>
          </cell>
          <cell r="B206" t="str">
            <v>16-5(f)</v>
          </cell>
          <cell r="C206" t="str">
            <v>3mx1mx0.3m size Gabion box fabrication including cutting of wires, mesh wire 10 SWG, Selwage wire 7 SWG (mesh size 100x120 hexagonal)</v>
          </cell>
          <cell r="D206" t="str">
            <v>3mx1mx0.3m size Gabion box fabrication, 10 and 7 SWG ( 100x120 hex)</v>
          </cell>
          <cell r="E206" t="str">
            <v>cum</v>
          </cell>
          <cell r="F206">
            <v>1436.2349999999999</v>
          </cell>
          <cell r="G206">
            <v>0</v>
          </cell>
          <cell r="H206">
            <v>0</v>
          </cell>
          <cell r="I206">
            <v>0</v>
          </cell>
          <cell r="J206">
            <v>0</v>
          </cell>
          <cell r="K206">
            <v>0</v>
          </cell>
          <cell r="L206">
            <v>0</v>
          </cell>
          <cell r="M206">
            <v>0</v>
          </cell>
          <cell r="N206">
            <v>0</v>
          </cell>
          <cell r="O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BD206">
            <v>0</v>
          </cell>
        </row>
        <row r="207">
          <cell r="A207" t="str">
            <v>16.6.a</v>
          </cell>
          <cell r="B207" t="str">
            <v>16-6(a)</v>
          </cell>
          <cell r="C207" t="str">
            <v>2mx1mx1m size Gabion box construction, placing at designated location, stretching, tying up with gabion wire and closing with 11 SWG gabion wire</v>
          </cell>
          <cell r="D207" t="str">
            <v>2mx1mx1m size Gabion box construction and tying up with 11 SWG GI wire</v>
          </cell>
          <cell r="E207" t="str">
            <v>cum</v>
          </cell>
          <cell r="F207">
            <v>48.817500000000003</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0</v>
          </cell>
          <cell r="AK207">
            <v>0</v>
          </cell>
          <cell r="AL207">
            <v>0</v>
          </cell>
          <cell r="AM207">
            <v>0</v>
          </cell>
          <cell r="AN207">
            <v>0</v>
          </cell>
          <cell r="AO207">
            <v>0</v>
          </cell>
          <cell r="AP207">
            <v>0</v>
          </cell>
          <cell r="AQ207">
            <v>0</v>
          </cell>
          <cell r="AR207">
            <v>0</v>
          </cell>
          <cell r="AS207">
            <v>0</v>
          </cell>
          <cell r="AT207">
            <v>0</v>
          </cell>
          <cell r="AU207">
            <v>0</v>
          </cell>
          <cell r="AV207">
            <v>0</v>
          </cell>
          <cell r="AW207">
            <v>0</v>
          </cell>
          <cell r="AX207">
            <v>0</v>
          </cell>
          <cell r="BD207">
            <v>0</v>
          </cell>
        </row>
        <row r="208">
          <cell r="A208" t="str">
            <v>16.6.b</v>
          </cell>
          <cell r="B208" t="str">
            <v>16-6(b)</v>
          </cell>
          <cell r="C208" t="str">
            <v>3mx1mx1m size Gabion box construction, placing at designated location, stretching, tying up with gabion wire and closing with 11 SWG gabion wire</v>
          </cell>
          <cell r="D208" t="str">
            <v>3mx1mx1m size Gabion box construction and tying up with 11 SWG GI wire</v>
          </cell>
          <cell r="E208" t="str">
            <v>cum</v>
          </cell>
          <cell r="F208">
            <v>46.61333333333333</v>
          </cell>
          <cell r="G208">
            <v>0</v>
          </cell>
          <cell r="H208">
            <v>0</v>
          </cell>
          <cell r="I208">
            <v>0</v>
          </cell>
          <cell r="J208">
            <v>0</v>
          </cell>
          <cell r="K208">
            <v>0</v>
          </cell>
          <cell r="L208">
            <v>0</v>
          </cell>
          <cell r="M208">
            <v>0</v>
          </cell>
          <cell r="N208">
            <v>0</v>
          </cell>
          <cell r="O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BD208">
            <v>0</v>
          </cell>
        </row>
        <row r="209">
          <cell r="A209" t="str">
            <v>16.6.c</v>
          </cell>
          <cell r="B209" t="str">
            <v>16-6(c)</v>
          </cell>
          <cell r="C209" t="str">
            <v>2mx1mx0.5m size Gabion box construction, placing at designated location, stretching, tying up with GI wire and closing with 11 SWG gabion wire</v>
          </cell>
          <cell r="D209" t="str">
            <v>2mx1mx0.5m size Gabion box construction and tying up with 11 SWG GI wire</v>
          </cell>
          <cell r="E209" t="str">
            <v>cum</v>
          </cell>
          <cell r="F209">
            <v>66.009999999999991</v>
          </cell>
          <cell r="G209">
            <v>1525.5</v>
          </cell>
          <cell r="H209">
            <v>100698.25499999999</v>
          </cell>
          <cell r="I209">
            <v>0</v>
          </cell>
          <cell r="J209">
            <v>0</v>
          </cell>
          <cell r="K209">
            <v>0</v>
          </cell>
          <cell r="L209">
            <v>0</v>
          </cell>
          <cell r="M209">
            <v>0</v>
          </cell>
          <cell r="N209">
            <v>0</v>
          </cell>
          <cell r="O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1525.5</v>
          </cell>
          <cell r="AJ209">
            <v>100698.25499999999</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BD209">
            <v>0</v>
          </cell>
        </row>
        <row r="210">
          <cell r="A210" t="str">
            <v>16.6.d</v>
          </cell>
          <cell r="B210" t="str">
            <v>16-6(d)</v>
          </cell>
          <cell r="C210" t="str">
            <v>3mx1mx0.5m size Gabion box construction, placing at designated location, stretching, tying up with GI wire and closing with 11 SWG gabion wire</v>
          </cell>
          <cell r="D210" t="str">
            <v>3mx1mx0.5m size Gabion box construction and tying up with 11 SWG GI wire</v>
          </cell>
          <cell r="E210" t="str">
            <v>cum</v>
          </cell>
          <cell r="F210">
            <v>60.72</v>
          </cell>
          <cell r="G210">
            <v>0</v>
          </cell>
          <cell r="H210">
            <v>0</v>
          </cell>
          <cell r="I210">
            <v>0</v>
          </cell>
          <cell r="J210">
            <v>0</v>
          </cell>
          <cell r="K210">
            <v>0</v>
          </cell>
          <cell r="L210">
            <v>0</v>
          </cell>
          <cell r="M210">
            <v>0</v>
          </cell>
          <cell r="N210">
            <v>0</v>
          </cell>
          <cell r="O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BD210">
            <v>0</v>
          </cell>
        </row>
        <row r="211">
          <cell r="A211" t="str">
            <v>16.6.e</v>
          </cell>
          <cell r="B211" t="str">
            <v>16-6(e)</v>
          </cell>
          <cell r="C211" t="str">
            <v>2mx1mx0.3m size Gabion box construction, placing at designated location, stretching, tying up with GI wire and closing with 11 SWG gabion wire</v>
          </cell>
          <cell r="D211" t="str">
            <v>2mx1mx0.3m size Gabion box construction and tying up with 11 SWG GI wire</v>
          </cell>
          <cell r="E211" t="str">
            <v>cum</v>
          </cell>
          <cell r="F211">
            <v>85.866666666666688</v>
          </cell>
          <cell r="G211">
            <v>0</v>
          </cell>
          <cell r="H211">
            <v>0</v>
          </cell>
          <cell r="I211">
            <v>0</v>
          </cell>
          <cell r="J211">
            <v>0</v>
          </cell>
          <cell r="K211">
            <v>0</v>
          </cell>
          <cell r="L211">
            <v>0</v>
          </cell>
          <cell r="M211">
            <v>0</v>
          </cell>
          <cell r="N211">
            <v>0</v>
          </cell>
          <cell r="O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0</v>
          </cell>
          <cell r="AS211">
            <v>0</v>
          </cell>
          <cell r="AT211">
            <v>0</v>
          </cell>
          <cell r="AU211">
            <v>0</v>
          </cell>
          <cell r="AV211">
            <v>0</v>
          </cell>
          <cell r="AW211">
            <v>0</v>
          </cell>
          <cell r="AX211">
            <v>0</v>
          </cell>
          <cell r="BD211">
            <v>0</v>
          </cell>
        </row>
        <row r="212">
          <cell r="A212" t="str">
            <v>16.6.f</v>
          </cell>
          <cell r="B212" t="str">
            <v>16-6(f)</v>
          </cell>
          <cell r="C212" t="str">
            <v>3mx1mx0.3m size Gabion box construction, placing at designated location, stretching, tying up with GI wire and closing with 11 SWG gabion wire</v>
          </cell>
          <cell r="D212" t="str">
            <v>3mx1mx0.3m size Gabion box construction and tying up with 11 SWG GI wire</v>
          </cell>
          <cell r="E212" t="str">
            <v>cum</v>
          </cell>
          <cell r="F212">
            <v>83.055555555555557</v>
          </cell>
          <cell r="G212">
            <v>0</v>
          </cell>
          <cell r="H212">
            <v>0</v>
          </cell>
          <cell r="I212">
            <v>0</v>
          </cell>
          <cell r="J212">
            <v>0</v>
          </cell>
          <cell r="K212">
            <v>0</v>
          </cell>
          <cell r="L212">
            <v>0</v>
          </cell>
          <cell r="M212">
            <v>0</v>
          </cell>
          <cell r="N212">
            <v>0</v>
          </cell>
          <cell r="O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BD212">
            <v>0</v>
          </cell>
        </row>
        <row r="213">
          <cell r="A213">
            <v>16.11</v>
          </cell>
          <cell r="B213" t="str">
            <v>16-11</v>
          </cell>
          <cell r="C213" t="str">
            <v>Filling of Gabion box with boulder</v>
          </cell>
          <cell r="D213" t="str">
            <v>Filling of Gabion box with boulder</v>
          </cell>
          <cell r="E213" t="str">
            <v>cum</v>
          </cell>
          <cell r="F213">
            <v>974.35519562499996</v>
          </cell>
          <cell r="G213">
            <v>1674.75</v>
          </cell>
          <cell r="H213">
            <v>1631801.3638729686</v>
          </cell>
          <cell r="I213">
            <v>0</v>
          </cell>
          <cell r="J213">
            <v>0</v>
          </cell>
          <cell r="K213">
            <v>149.25</v>
          </cell>
          <cell r="L213">
            <v>145422.51294703124</v>
          </cell>
          <cell r="M213">
            <v>0</v>
          </cell>
          <cell r="N213">
            <v>0</v>
          </cell>
          <cell r="O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1525.5</v>
          </cell>
          <cell r="AJ213">
            <v>1486378.8509259375</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BD213">
            <v>0</v>
          </cell>
        </row>
        <row r="214">
          <cell r="C214" t="str">
            <v>PIPELINE WORKS</v>
          </cell>
          <cell r="G214">
            <v>0</v>
          </cell>
          <cell r="H214">
            <v>0</v>
          </cell>
          <cell r="I214">
            <v>0</v>
          </cell>
          <cell r="J214">
            <v>0</v>
          </cell>
          <cell r="K214">
            <v>0</v>
          </cell>
          <cell r="L214">
            <v>0</v>
          </cell>
          <cell r="M214">
            <v>0</v>
          </cell>
          <cell r="N214">
            <v>0</v>
          </cell>
          <cell r="O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BD214">
            <v>0</v>
          </cell>
        </row>
        <row r="215">
          <cell r="A215" t="str">
            <v>17.1.a</v>
          </cell>
          <cell r="B215" t="str">
            <v>17-1(a)</v>
          </cell>
          <cell r="C215" t="str">
            <v>150mm dia. R.C.C. Pipe laying work including 100m haulage including pipe and collar</v>
          </cell>
          <cell r="D215" t="str">
            <v xml:space="preserve">150mm dia. R.C.C. Pipe laying work </v>
          </cell>
          <cell r="E215" t="str">
            <v>m</v>
          </cell>
          <cell r="F215">
            <v>347.14380630764163</v>
          </cell>
          <cell r="G215">
            <v>0</v>
          </cell>
          <cell r="H215">
            <v>0</v>
          </cell>
          <cell r="I215">
            <v>0</v>
          </cell>
          <cell r="J215">
            <v>0</v>
          </cell>
          <cell r="K215">
            <v>0</v>
          </cell>
          <cell r="L215">
            <v>0</v>
          </cell>
          <cell r="M215">
            <v>0</v>
          </cell>
          <cell r="N215">
            <v>0</v>
          </cell>
          <cell r="O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0</v>
          </cell>
          <cell r="AT215">
            <v>0</v>
          </cell>
          <cell r="AU215">
            <v>0</v>
          </cell>
          <cell r="AV215">
            <v>0</v>
          </cell>
          <cell r="AW215">
            <v>0</v>
          </cell>
          <cell r="AX215">
            <v>0</v>
          </cell>
          <cell r="BD215">
            <v>0</v>
          </cell>
        </row>
        <row r="216">
          <cell r="A216" t="str">
            <v>17.1.b</v>
          </cell>
          <cell r="B216" t="str">
            <v>17-1(b)</v>
          </cell>
          <cell r="C216" t="str">
            <v>200mm dia. R.C.C. Pipe laying work including 100m haulage including pipe and collar</v>
          </cell>
          <cell r="D216" t="str">
            <v xml:space="preserve">200mm dia. R.C.C. Pipe laying work </v>
          </cell>
          <cell r="E216" t="str">
            <v>m</v>
          </cell>
          <cell r="F216">
            <v>550.07682839277345</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BD216">
            <v>0</v>
          </cell>
        </row>
        <row r="217">
          <cell r="A217" t="str">
            <v>17.1.c</v>
          </cell>
          <cell r="B217" t="str">
            <v>17-1(c)</v>
          </cell>
          <cell r="C217" t="str">
            <v>300mm dia. R.C.C. Pipe laying work including 100m haulage including pipe and collar</v>
          </cell>
          <cell r="D217" t="str">
            <v xml:space="preserve">300mm dia. R.C.C. Pipe laying work </v>
          </cell>
          <cell r="E217" t="str">
            <v>m</v>
          </cell>
          <cell r="F217">
            <v>882.14809947983395</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BD217">
            <v>0</v>
          </cell>
        </row>
        <row r="218">
          <cell r="A218" t="str">
            <v>17.1.d</v>
          </cell>
          <cell r="B218" t="str">
            <v>17-1(d)</v>
          </cell>
          <cell r="C218" t="str">
            <v>400mm dia. R.C.C. Pipe laying work including 100m haulage including pipe and collar</v>
          </cell>
          <cell r="D218" t="str">
            <v xml:space="preserve">400mm dia. R.C.C. Pipe laying work </v>
          </cell>
          <cell r="E218" t="str">
            <v>m</v>
          </cell>
          <cell r="F218">
            <v>968.27513151537596</v>
          </cell>
          <cell r="G218">
            <v>0</v>
          </cell>
          <cell r="H218">
            <v>0</v>
          </cell>
          <cell r="I218">
            <v>0</v>
          </cell>
          <cell r="J218">
            <v>0</v>
          </cell>
          <cell r="K218">
            <v>0</v>
          </cell>
          <cell r="L218">
            <v>0</v>
          </cell>
          <cell r="M218">
            <v>0</v>
          </cell>
          <cell r="N218">
            <v>0</v>
          </cell>
          <cell r="O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BD218">
            <v>0</v>
          </cell>
        </row>
        <row r="219">
          <cell r="A219" t="str">
            <v>17.1.e</v>
          </cell>
          <cell r="B219" t="str">
            <v>17-1(e)</v>
          </cell>
          <cell r="C219" t="str">
            <v>500mm dia. R.C.C. Pipe laying work including 100m haulage including pipe and collar</v>
          </cell>
          <cell r="D219" t="str">
            <v xml:space="preserve">500mm dia. R.C.C. Pipe laying work </v>
          </cell>
          <cell r="E219" t="str">
            <v>m</v>
          </cell>
          <cell r="F219">
            <v>1180.6393366624463</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BD219">
            <v>0</v>
          </cell>
        </row>
        <row r="220">
          <cell r="A220" t="str">
            <v>17.1.f</v>
          </cell>
          <cell r="B220" t="str">
            <v>17-1(f)</v>
          </cell>
          <cell r="C220" t="str">
            <v>600mm dia. R.C.C. Pipe laying work including 100m haulage including pipe and collar</v>
          </cell>
          <cell r="D220" t="str">
            <v xml:space="preserve">600mm dia. R.C.C. Pipe laying work </v>
          </cell>
          <cell r="E220" t="str">
            <v>m</v>
          </cell>
          <cell r="F220">
            <v>1539.4401027303416</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BD220">
            <v>0</v>
          </cell>
        </row>
        <row r="221">
          <cell r="A221" t="str">
            <v>17.1.g</v>
          </cell>
          <cell r="B221" t="str">
            <v>17-1(g)</v>
          </cell>
          <cell r="C221" t="str">
            <v>750mm dia. R.C.C. Pipe laying work including 100m haulage including pipe and collar</v>
          </cell>
          <cell r="D221" t="str">
            <v xml:space="preserve">750mm dia. R.C.C. Pipe laying work </v>
          </cell>
          <cell r="E221" t="str">
            <v>m</v>
          </cell>
          <cell r="F221">
            <v>2113.2585377591063</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J221">
            <v>0</v>
          </cell>
          <cell r="AK221">
            <v>0</v>
          </cell>
          <cell r="AL221">
            <v>0</v>
          </cell>
          <cell r="AM221">
            <v>0</v>
          </cell>
          <cell r="AN221">
            <v>0</v>
          </cell>
          <cell r="AO221">
            <v>0</v>
          </cell>
          <cell r="AP221">
            <v>0</v>
          </cell>
          <cell r="AQ221">
            <v>0</v>
          </cell>
          <cell r="AR221">
            <v>0</v>
          </cell>
          <cell r="AS221">
            <v>0</v>
          </cell>
          <cell r="AT221">
            <v>0</v>
          </cell>
          <cell r="AU221">
            <v>0</v>
          </cell>
          <cell r="AV221">
            <v>0</v>
          </cell>
          <cell r="AW221">
            <v>0</v>
          </cell>
          <cell r="AX221">
            <v>0</v>
          </cell>
          <cell r="BD221">
            <v>0</v>
          </cell>
        </row>
        <row r="222">
          <cell r="A222" t="str">
            <v>17.1.h</v>
          </cell>
          <cell r="B222" t="str">
            <v>17-1(h)</v>
          </cell>
          <cell r="C222" t="str">
            <v>900mm dia. R.C.C. Pipe laying work including 100m haulage including pipe and collar</v>
          </cell>
          <cell r="D222" t="str">
            <v xml:space="preserve">900mm dia. R.C.C. Pipe laying work </v>
          </cell>
          <cell r="E222" t="str">
            <v>m</v>
          </cell>
          <cell r="F222">
            <v>2741.9475003167477</v>
          </cell>
          <cell r="G222">
            <v>0</v>
          </cell>
          <cell r="H222">
            <v>0</v>
          </cell>
          <cell r="I222">
            <v>0</v>
          </cell>
          <cell r="J222">
            <v>0</v>
          </cell>
          <cell r="K222">
            <v>0</v>
          </cell>
          <cell r="L222">
            <v>0</v>
          </cell>
          <cell r="M222">
            <v>0</v>
          </cell>
          <cell r="N222">
            <v>0</v>
          </cell>
          <cell r="O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BD222">
            <v>0</v>
          </cell>
        </row>
        <row r="223">
          <cell r="A223" t="str">
            <v>17.1.h'</v>
          </cell>
          <cell r="B223" t="str">
            <v>17-1(h)</v>
          </cell>
          <cell r="C223" t="str">
            <v>1000mm dia. R.C.C. Pipe laying work including 100m haulage including pipe and collar</v>
          </cell>
          <cell r="D223" t="str">
            <v xml:space="preserve">1000mm dia. R.C.C. Pipe laying work </v>
          </cell>
          <cell r="E223" t="str">
            <v>m</v>
          </cell>
          <cell r="F223">
            <v>3064.6375003167477</v>
          </cell>
          <cell r="G223">
            <v>0</v>
          </cell>
          <cell r="H223">
            <v>0</v>
          </cell>
          <cell r="I223">
            <v>0</v>
          </cell>
          <cell r="J223">
            <v>0</v>
          </cell>
          <cell r="K223">
            <v>0</v>
          </cell>
          <cell r="L223">
            <v>0</v>
          </cell>
          <cell r="M223">
            <v>0</v>
          </cell>
          <cell r="N223">
            <v>0</v>
          </cell>
          <cell r="O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0</v>
          </cell>
          <cell r="AW223">
            <v>0</v>
          </cell>
          <cell r="AX223">
            <v>0</v>
          </cell>
          <cell r="BD223">
            <v>0</v>
          </cell>
        </row>
        <row r="224">
          <cell r="A224" t="str">
            <v>17.1.i</v>
          </cell>
          <cell r="B224" t="str">
            <v>17-1(i)</v>
          </cell>
          <cell r="C224" t="str">
            <v>1200mm dia. R.C.C. Pipe laying work including 100m haulage including pipe and collar</v>
          </cell>
          <cell r="D224" t="str">
            <v xml:space="preserve">1200mm dia. R.C.C. Pipe laying work </v>
          </cell>
          <cell r="E224" t="str">
            <v>m</v>
          </cell>
          <cell r="F224">
            <v>3720.9302591387159</v>
          </cell>
          <cell r="G224">
            <v>0</v>
          </cell>
          <cell r="H224">
            <v>0</v>
          </cell>
          <cell r="I224">
            <v>0</v>
          </cell>
          <cell r="J224">
            <v>0</v>
          </cell>
          <cell r="K224">
            <v>0</v>
          </cell>
          <cell r="L224">
            <v>0</v>
          </cell>
          <cell r="M224">
            <v>0</v>
          </cell>
          <cell r="N224">
            <v>0</v>
          </cell>
          <cell r="O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0</v>
          </cell>
          <cell r="AS224">
            <v>0</v>
          </cell>
          <cell r="AT224">
            <v>0</v>
          </cell>
          <cell r="AU224">
            <v>0</v>
          </cell>
          <cell r="AV224">
            <v>0</v>
          </cell>
          <cell r="AW224">
            <v>0</v>
          </cell>
          <cell r="AX224">
            <v>0</v>
          </cell>
          <cell r="BD224">
            <v>0</v>
          </cell>
        </row>
        <row r="225">
          <cell r="A225" t="str">
            <v>17.2.a.1</v>
          </cell>
          <cell r="B225" t="str">
            <v>17-2(a)</v>
          </cell>
          <cell r="C225" t="str">
            <v>20mm dia. HDPE pipe laying works with butt-welded joint (excluding pipe)</v>
          </cell>
          <cell r="D225" t="str">
            <v>20mm dia. HDPE pipe laying works</v>
          </cell>
          <cell r="E225" t="str">
            <v>m</v>
          </cell>
          <cell r="F225">
            <v>0.40574874999999999</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J225">
            <v>0</v>
          </cell>
          <cell r="AK225">
            <v>0</v>
          </cell>
          <cell r="AL225">
            <v>0</v>
          </cell>
          <cell r="AM225">
            <v>0</v>
          </cell>
          <cell r="AN225">
            <v>0</v>
          </cell>
          <cell r="AO225">
            <v>0</v>
          </cell>
          <cell r="AP225">
            <v>0</v>
          </cell>
          <cell r="AQ225">
            <v>0</v>
          </cell>
          <cell r="AR225">
            <v>0</v>
          </cell>
          <cell r="AS225">
            <v>0</v>
          </cell>
          <cell r="AT225">
            <v>0</v>
          </cell>
          <cell r="AU225">
            <v>0</v>
          </cell>
          <cell r="AV225">
            <v>0</v>
          </cell>
          <cell r="AW225">
            <v>0</v>
          </cell>
          <cell r="AX225">
            <v>0</v>
          </cell>
          <cell r="BD225">
            <v>0</v>
          </cell>
        </row>
        <row r="226">
          <cell r="A226" t="str">
            <v>17.2.a.2</v>
          </cell>
          <cell r="B226" t="str">
            <v>17-2(a)</v>
          </cell>
          <cell r="C226" t="str">
            <v>25mm dia. HDPE pipe laying works with butt-welded joint (excluding pipe)</v>
          </cell>
          <cell r="D226" t="str">
            <v xml:space="preserve">25mm dia. HDPE pipe laying works </v>
          </cell>
          <cell r="E226" t="str">
            <v>m</v>
          </cell>
          <cell r="F226">
            <v>0.40574874999999999</v>
          </cell>
          <cell r="G226">
            <v>0</v>
          </cell>
          <cell r="H226">
            <v>0</v>
          </cell>
          <cell r="I226">
            <v>0</v>
          </cell>
          <cell r="J226">
            <v>0</v>
          </cell>
          <cell r="K226">
            <v>0</v>
          </cell>
          <cell r="L226">
            <v>0</v>
          </cell>
          <cell r="M226">
            <v>0</v>
          </cell>
          <cell r="N226">
            <v>0</v>
          </cell>
          <cell r="O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BD226">
            <v>0</v>
          </cell>
        </row>
        <row r="227">
          <cell r="A227" t="str">
            <v>17.2.a.3</v>
          </cell>
          <cell r="B227" t="str">
            <v>17-2(a)</v>
          </cell>
          <cell r="C227" t="str">
            <v>32mm dia. HDPE pipe laying works with butt-welded joint (excluding pipe)</v>
          </cell>
          <cell r="D227" t="str">
            <v xml:space="preserve">32mm dia. HDPE pipe laying works </v>
          </cell>
          <cell r="E227" t="str">
            <v>m</v>
          </cell>
          <cell r="F227">
            <v>0.50004874999999993</v>
          </cell>
          <cell r="G227">
            <v>0</v>
          </cell>
          <cell r="H227">
            <v>0</v>
          </cell>
          <cell r="I227">
            <v>0</v>
          </cell>
          <cell r="J227">
            <v>0</v>
          </cell>
          <cell r="K227">
            <v>0</v>
          </cell>
          <cell r="L227">
            <v>0</v>
          </cell>
          <cell r="M227">
            <v>0</v>
          </cell>
          <cell r="N227">
            <v>0</v>
          </cell>
          <cell r="O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J227">
            <v>0</v>
          </cell>
          <cell r="AK227">
            <v>0</v>
          </cell>
          <cell r="AL227">
            <v>0</v>
          </cell>
          <cell r="AM227">
            <v>0</v>
          </cell>
          <cell r="AN227">
            <v>0</v>
          </cell>
          <cell r="AO227">
            <v>0</v>
          </cell>
          <cell r="AP227">
            <v>0</v>
          </cell>
          <cell r="AQ227">
            <v>0</v>
          </cell>
          <cell r="AR227">
            <v>0</v>
          </cell>
          <cell r="AS227">
            <v>0</v>
          </cell>
          <cell r="AT227">
            <v>0</v>
          </cell>
          <cell r="AU227">
            <v>0</v>
          </cell>
          <cell r="AV227">
            <v>0</v>
          </cell>
          <cell r="AW227">
            <v>0</v>
          </cell>
          <cell r="AX227">
            <v>0</v>
          </cell>
          <cell r="BD227">
            <v>0</v>
          </cell>
        </row>
        <row r="228">
          <cell r="A228" t="str">
            <v>17.2.a.4</v>
          </cell>
          <cell r="B228" t="str">
            <v>17-2(a)</v>
          </cell>
          <cell r="C228" t="str">
            <v>40mm dia. HDPE pipe laying works with butt-welded joint (excluding pipe)</v>
          </cell>
          <cell r="D228" t="str">
            <v xml:space="preserve">40mm dia. HDPE pipe laying works </v>
          </cell>
          <cell r="E228" t="str">
            <v>m</v>
          </cell>
          <cell r="F228">
            <v>0.60835862499999993</v>
          </cell>
          <cell r="G228">
            <v>2670</v>
          </cell>
          <cell r="H228">
            <v>1624.3175287499998</v>
          </cell>
          <cell r="I228">
            <v>0</v>
          </cell>
          <cell r="J228">
            <v>0</v>
          </cell>
          <cell r="K228">
            <v>0</v>
          </cell>
          <cell r="L228">
            <v>0</v>
          </cell>
          <cell r="M228">
            <v>0</v>
          </cell>
          <cell r="N228">
            <v>0</v>
          </cell>
          <cell r="O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J228">
            <v>0</v>
          </cell>
          <cell r="AK228">
            <v>0</v>
          </cell>
          <cell r="AL228">
            <v>0</v>
          </cell>
          <cell r="AM228">
            <v>1169</v>
          </cell>
          <cell r="AN228">
            <v>711.1712326249999</v>
          </cell>
          <cell r="AO228">
            <v>1501</v>
          </cell>
          <cell r="AP228">
            <v>913.14629612499994</v>
          </cell>
          <cell r="AQ228">
            <v>0</v>
          </cell>
          <cell r="AR228">
            <v>0</v>
          </cell>
          <cell r="AS228">
            <v>0</v>
          </cell>
          <cell r="AT228">
            <v>0</v>
          </cell>
          <cell r="AU228">
            <v>0</v>
          </cell>
          <cell r="AV228">
            <v>0</v>
          </cell>
          <cell r="AW228">
            <v>0</v>
          </cell>
          <cell r="AX228">
            <v>0</v>
          </cell>
          <cell r="BD228">
            <v>0</v>
          </cell>
        </row>
        <row r="229">
          <cell r="A229" t="str">
            <v>17.2.a.5</v>
          </cell>
          <cell r="B229" t="str">
            <v>17-2(a)</v>
          </cell>
          <cell r="C229" t="str">
            <v>50mm dia. HDPE pipe laying works with butt-welded joint (excluding pipe)</v>
          </cell>
          <cell r="D229" t="str">
            <v xml:space="preserve">50mm dia. HDPE pipe laying works </v>
          </cell>
          <cell r="E229" t="str">
            <v>m</v>
          </cell>
          <cell r="F229">
            <v>0.60835862499999993</v>
          </cell>
          <cell r="G229">
            <v>2316</v>
          </cell>
          <cell r="H229">
            <v>1408.9585754999998</v>
          </cell>
          <cell r="I229">
            <v>0</v>
          </cell>
          <cell r="J229">
            <v>0</v>
          </cell>
          <cell r="K229">
            <v>0</v>
          </cell>
          <cell r="L229">
            <v>0</v>
          </cell>
          <cell r="M229">
            <v>0</v>
          </cell>
          <cell r="N229">
            <v>0</v>
          </cell>
          <cell r="O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J229">
            <v>0</v>
          </cell>
          <cell r="AK229">
            <v>0</v>
          </cell>
          <cell r="AL229">
            <v>0</v>
          </cell>
          <cell r="AM229">
            <v>662</v>
          </cell>
          <cell r="AN229">
            <v>402.73340974999996</v>
          </cell>
          <cell r="AO229">
            <v>1654</v>
          </cell>
          <cell r="AP229">
            <v>1006.2251657499999</v>
          </cell>
          <cell r="AQ229">
            <v>0</v>
          </cell>
          <cell r="AR229">
            <v>0</v>
          </cell>
          <cell r="AS229">
            <v>0</v>
          </cell>
          <cell r="AT229">
            <v>0</v>
          </cell>
          <cell r="AU229">
            <v>0</v>
          </cell>
          <cell r="AV229">
            <v>0</v>
          </cell>
          <cell r="AW229">
            <v>0</v>
          </cell>
          <cell r="AX229">
            <v>0</v>
          </cell>
          <cell r="BD229">
            <v>0</v>
          </cell>
        </row>
        <row r="230">
          <cell r="A230" t="str">
            <v>17.2.b.1</v>
          </cell>
          <cell r="B230" t="str">
            <v>17-2(b)</v>
          </cell>
          <cell r="C230" t="str">
            <v>63mm dia. HDPE pipe laying works with butt-welded joint (excluding pipe)</v>
          </cell>
          <cell r="D230" t="str">
            <v xml:space="preserve">63mm dia. HDPE pipe laying works </v>
          </cell>
          <cell r="E230" t="str">
            <v>m</v>
          </cell>
          <cell r="F230">
            <v>11.353375000000002</v>
          </cell>
          <cell r="G230">
            <v>2857</v>
          </cell>
          <cell r="H230">
            <v>32436.592375000004</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J230">
            <v>0</v>
          </cell>
          <cell r="AK230">
            <v>0</v>
          </cell>
          <cell r="AL230">
            <v>0</v>
          </cell>
          <cell r="AM230">
            <v>708</v>
          </cell>
          <cell r="AN230">
            <v>8038.1895000000013</v>
          </cell>
          <cell r="AO230">
            <v>2149</v>
          </cell>
          <cell r="AP230">
            <v>24398.402875000003</v>
          </cell>
          <cell r="AQ230">
            <v>0</v>
          </cell>
          <cell r="AR230">
            <v>0</v>
          </cell>
          <cell r="AS230">
            <v>0</v>
          </cell>
          <cell r="AT230">
            <v>0</v>
          </cell>
          <cell r="AU230">
            <v>0</v>
          </cell>
          <cell r="AV230">
            <v>0</v>
          </cell>
          <cell r="AW230">
            <v>0</v>
          </cell>
          <cell r="AX230">
            <v>0</v>
          </cell>
          <cell r="BD230">
            <v>0</v>
          </cell>
        </row>
        <row r="231">
          <cell r="A231" t="str">
            <v>17.2.b.2</v>
          </cell>
          <cell r="B231" t="str">
            <v>17-2(b)</v>
          </cell>
          <cell r="C231" t="str">
            <v>75mm dia. HDPE pipe laying works with butt-welded joint (excluding pipe)</v>
          </cell>
          <cell r="D231" t="str">
            <v xml:space="preserve">75mm dia. HDPE pipe laying works </v>
          </cell>
          <cell r="E231" t="str">
            <v>m</v>
          </cell>
          <cell r="F231">
            <v>11.353375000000002</v>
          </cell>
          <cell r="G231">
            <v>2138</v>
          </cell>
          <cell r="H231">
            <v>24273.515750000002</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J231">
            <v>0</v>
          </cell>
          <cell r="AK231">
            <v>0</v>
          </cell>
          <cell r="AL231">
            <v>0</v>
          </cell>
          <cell r="AM231">
            <v>202</v>
          </cell>
          <cell r="AN231">
            <v>2293.3817500000005</v>
          </cell>
          <cell r="AO231">
            <v>1936</v>
          </cell>
          <cell r="AP231">
            <v>21980.134000000002</v>
          </cell>
          <cell r="AQ231">
            <v>0</v>
          </cell>
          <cell r="AR231">
            <v>0</v>
          </cell>
          <cell r="AS231">
            <v>0</v>
          </cell>
          <cell r="AT231">
            <v>0</v>
          </cell>
          <cell r="AU231">
            <v>0</v>
          </cell>
          <cell r="AV231">
            <v>0</v>
          </cell>
          <cell r="AW231">
            <v>0</v>
          </cell>
          <cell r="AX231">
            <v>0</v>
          </cell>
          <cell r="BD231">
            <v>0</v>
          </cell>
        </row>
        <row r="232">
          <cell r="A232" t="str">
            <v>17.2.b.3</v>
          </cell>
          <cell r="B232" t="str">
            <v>17-2(b)</v>
          </cell>
          <cell r="C232" t="str">
            <v>90mm dia. HDPE pipe laying works with butt-welded joint (excluding pipe)</v>
          </cell>
          <cell r="D232" t="str">
            <v xml:space="preserve">90mm dia. HDPE pipe laying works </v>
          </cell>
          <cell r="E232" t="str">
            <v>m</v>
          </cell>
          <cell r="F232">
            <v>13.078375000000001</v>
          </cell>
          <cell r="G232">
            <v>1450</v>
          </cell>
          <cell r="H232">
            <v>18963.643750000003</v>
          </cell>
          <cell r="I232">
            <v>0</v>
          </cell>
          <cell r="J232">
            <v>0</v>
          </cell>
          <cell r="K232">
            <v>0</v>
          </cell>
          <cell r="L232">
            <v>0</v>
          </cell>
          <cell r="M232">
            <v>0</v>
          </cell>
          <cell r="N232">
            <v>0</v>
          </cell>
          <cell r="O232">
            <v>0</v>
          </cell>
          <cell r="P232">
            <v>0</v>
          </cell>
          <cell r="Q232">
            <v>0</v>
          </cell>
          <cell r="R232">
            <v>0</v>
          </cell>
          <cell r="S232">
            <v>0</v>
          </cell>
          <cell r="T232">
            <v>0</v>
          </cell>
          <cell r="U232">
            <v>0</v>
          </cell>
          <cell r="V232">
            <v>0</v>
          </cell>
          <cell r="W232">
            <v>0</v>
          </cell>
          <cell r="X232">
            <v>0</v>
          </cell>
          <cell r="Y232">
            <v>0</v>
          </cell>
          <cell r="Z232">
            <v>0</v>
          </cell>
          <cell r="AA232">
            <v>0</v>
          </cell>
          <cell r="AB232">
            <v>0</v>
          </cell>
          <cell r="AC232">
            <v>150</v>
          </cell>
          <cell r="AD232">
            <v>1961.7562500000001</v>
          </cell>
          <cell r="AE232">
            <v>0</v>
          </cell>
          <cell r="AF232">
            <v>0</v>
          </cell>
          <cell r="AG232">
            <v>0</v>
          </cell>
          <cell r="AH232">
            <v>0</v>
          </cell>
          <cell r="AI232">
            <v>0</v>
          </cell>
          <cell r="AJ232">
            <v>0</v>
          </cell>
          <cell r="AK232">
            <v>0</v>
          </cell>
          <cell r="AL232">
            <v>0</v>
          </cell>
          <cell r="AM232">
            <v>290</v>
          </cell>
          <cell r="AN232">
            <v>3792.7287500000002</v>
          </cell>
          <cell r="AO232">
            <v>1010</v>
          </cell>
          <cell r="AP232">
            <v>13209.158750000001</v>
          </cell>
          <cell r="AQ232">
            <v>0</v>
          </cell>
          <cell r="AR232">
            <v>0</v>
          </cell>
          <cell r="AS232">
            <v>0</v>
          </cell>
          <cell r="AT232">
            <v>0</v>
          </cell>
          <cell r="AU232">
            <v>0</v>
          </cell>
          <cell r="AV232">
            <v>0</v>
          </cell>
          <cell r="AW232">
            <v>0</v>
          </cell>
          <cell r="AX232">
            <v>0</v>
          </cell>
          <cell r="BD232">
            <v>0</v>
          </cell>
        </row>
        <row r="233">
          <cell r="A233" t="str">
            <v>17.2.b.4</v>
          </cell>
          <cell r="B233" t="str">
            <v>17-2(b)</v>
          </cell>
          <cell r="C233" t="str">
            <v>110mm dia. HDPE pipe laying works with butt-welded joint (excluding pipe)</v>
          </cell>
          <cell r="D233" t="str">
            <v xml:space="preserve">110mm dia. HDPE pipe laying works </v>
          </cell>
          <cell r="E233" t="str">
            <v>m</v>
          </cell>
          <cell r="F233">
            <v>17.479712499999998</v>
          </cell>
          <cell r="G233">
            <v>1588</v>
          </cell>
          <cell r="H233">
            <v>27757.783449999995</v>
          </cell>
          <cell r="I233">
            <v>0</v>
          </cell>
          <cell r="J233">
            <v>0</v>
          </cell>
          <cell r="K233">
            <v>0</v>
          </cell>
          <cell r="L233">
            <v>0</v>
          </cell>
          <cell r="M233">
            <v>0</v>
          </cell>
          <cell r="N233">
            <v>0</v>
          </cell>
          <cell r="O233">
            <v>0</v>
          </cell>
          <cell r="P233">
            <v>0</v>
          </cell>
          <cell r="Q233">
            <v>0</v>
          </cell>
          <cell r="R233">
            <v>0</v>
          </cell>
          <cell r="S233">
            <v>0</v>
          </cell>
          <cell r="T233">
            <v>0</v>
          </cell>
          <cell r="U233">
            <v>0</v>
          </cell>
          <cell r="V233">
            <v>0</v>
          </cell>
          <cell r="W233">
            <v>0</v>
          </cell>
          <cell r="X233">
            <v>0</v>
          </cell>
          <cell r="Y233">
            <v>0</v>
          </cell>
          <cell r="Z233">
            <v>0</v>
          </cell>
          <cell r="AA233">
            <v>0</v>
          </cell>
          <cell r="AB233">
            <v>0</v>
          </cell>
          <cell r="AC233">
            <v>0</v>
          </cell>
          <cell r="AD233">
            <v>0</v>
          </cell>
          <cell r="AE233">
            <v>0</v>
          </cell>
          <cell r="AF233">
            <v>0</v>
          </cell>
          <cell r="AG233">
            <v>0</v>
          </cell>
          <cell r="AH233">
            <v>0</v>
          </cell>
          <cell r="AI233">
            <v>0</v>
          </cell>
          <cell r="AJ233">
            <v>0</v>
          </cell>
          <cell r="AK233">
            <v>0</v>
          </cell>
          <cell r="AL233">
            <v>0</v>
          </cell>
          <cell r="AM233">
            <v>260</v>
          </cell>
          <cell r="AN233">
            <v>4544.7252499999995</v>
          </cell>
          <cell r="AO233">
            <v>1328</v>
          </cell>
          <cell r="AP233">
            <v>23213.058199999996</v>
          </cell>
          <cell r="AQ233">
            <v>0</v>
          </cell>
          <cell r="AR233">
            <v>0</v>
          </cell>
          <cell r="AS233">
            <v>0</v>
          </cell>
          <cell r="AT233">
            <v>0</v>
          </cell>
          <cell r="AU233">
            <v>0</v>
          </cell>
          <cell r="AV233">
            <v>0</v>
          </cell>
          <cell r="AW233">
            <v>0</v>
          </cell>
          <cell r="AX233">
            <v>0</v>
          </cell>
          <cell r="BD233">
            <v>0</v>
          </cell>
        </row>
        <row r="234">
          <cell r="A234" t="str">
            <v>17.2.b.5</v>
          </cell>
          <cell r="B234" t="str">
            <v>17-2(b)</v>
          </cell>
          <cell r="C234" t="str">
            <v>125mm dia. HDPE pipe laying works with butt-welded joint (excluding pipe)</v>
          </cell>
          <cell r="D234" t="str">
            <v xml:space="preserve">125mm dia. HDPE pipe laying works </v>
          </cell>
          <cell r="E234" t="str">
            <v>m</v>
          </cell>
          <cell r="F234">
            <v>17.479712499999998</v>
          </cell>
          <cell r="G234">
            <v>2448</v>
          </cell>
          <cell r="H234">
            <v>42790.336199999998</v>
          </cell>
          <cell r="I234">
            <v>0</v>
          </cell>
          <cell r="J234">
            <v>0</v>
          </cell>
          <cell r="K234">
            <v>0</v>
          </cell>
          <cell r="L234">
            <v>0</v>
          </cell>
          <cell r="M234">
            <v>0</v>
          </cell>
          <cell r="N234">
            <v>0</v>
          </cell>
          <cell r="O234">
            <v>0</v>
          </cell>
          <cell r="P234">
            <v>0</v>
          </cell>
          <cell r="Q234">
            <v>0</v>
          </cell>
          <cell r="R234">
            <v>0</v>
          </cell>
          <cell r="S234">
            <v>0</v>
          </cell>
          <cell r="T234">
            <v>0</v>
          </cell>
          <cell r="U234">
            <v>0</v>
          </cell>
          <cell r="V234">
            <v>0</v>
          </cell>
          <cell r="W234">
            <v>0</v>
          </cell>
          <cell r="X234">
            <v>0</v>
          </cell>
          <cell r="Y234">
            <v>0</v>
          </cell>
          <cell r="Z234">
            <v>0</v>
          </cell>
          <cell r="AA234">
            <v>0</v>
          </cell>
          <cell r="AB234">
            <v>0</v>
          </cell>
          <cell r="AC234">
            <v>150</v>
          </cell>
          <cell r="AD234">
            <v>2621.9568749999999</v>
          </cell>
          <cell r="AE234">
            <v>0</v>
          </cell>
          <cell r="AF234">
            <v>0</v>
          </cell>
          <cell r="AG234">
            <v>0</v>
          </cell>
          <cell r="AH234">
            <v>0</v>
          </cell>
          <cell r="AI234">
            <v>0</v>
          </cell>
          <cell r="AJ234">
            <v>0</v>
          </cell>
          <cell r="AK234">
            <v>0</v>
          </cell>
          <cell r="AL234">
            <v>0</v>
          </cell>
          <cell r="AM234">
            <v>2052</v>
          </cell>
          <cell r="AN234">
            <v>35868.370049999998</v>
          </cell>
          <cell r="AO234">
            <v>246</v>
          </cell>
          <cell r="AP234">
            <v>4300.0092749999994</v>
          </cell>
          <cell r="AQ234">
            <v>0</v>
          </cell>
          <cell r="AR234">
            <v>0</v>
          </cell>
          <cell r="AS234">
            <v>0</v>
          </cell>
          <cell r="AT234">
            <v>0</v>
          </cell>
          <cell r="AU234">
            <v>0</v>
          </cell>
          <cell r="AV234">
            <v>0</v>
          </cell>
          <cell r="AW234">
            <v>0</v>
          </cell>
          <cell r="AX234">
            <v>0</v>
          </cell>
          <cell r="BD234">
            <v>0</v>
          </cell>
        </row>
        <row r="235">
          <cell r="A235" t="str">
            <v>17.2.b.6</v>
          </cell>
          <cell r="B235" t="str">
            <v>17-2(b)</v>
          </cell>
          <cell r="C235" t="str">
            <v>140mm dia. HDPE pipe laying works with butt-welded joint (excluding pipe)</v>
          </cell>
          <cell r="D235" t="str">
            <v xml:space="preserve">140mm dia. HDPE pipe laying works </v>
          </cell>
          <cell r="E235" t="str">
            <v>m</v>
          </cell>
          <cell r="F235">
            <v>23.658950000000004</v>
          </cell>
          <cell r="G235">
            <v>391</v>
          </cell>
          <cell r="H235">
            <v>9250.6494500000008</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C235">
            <v>0</v>
          </cell>
          <cell r="AD235">
            <v>0</v>
          </cell>
          <cell r="AE235">
            <v>0</v>
          </cell>
          <cell r="AF235">
            <v>0</v>
          </cell>
          <cell r="AG235">
            <v>0</v>
          </cell>
          <cell r="AH235">
            <v>0</v>
          </cell>
          <cell r="AI235">
            <v>0</v>
          </cell>
          <cell r="AJ235">
            <v>0</v>
          </cell>
          <cell r="AK235">
            <v>0</v>
          </cell>
          <cell r="AL235">
            <v>0</v>
          </cell>
          <cell r="AM235">
            <v>391</v>
          </cell>
          <cell r="AN235">
            <v>9250.6494500000008</v>
          </cell>
          <cell r="AO235">
            <v>0</v>
          </cell>
          <cell r="AP235">
            <v>0</v>
          </cell>
          <cell r="AQ235">
            <v>0</v>
          </cell>
          <cell r="AR235">
            <v>0</v>
          </cell>
          <cell r="AS235">
            <v>0</v>
          </cell>
          <cell r="AT235">
            <v>0</v>
          </cell>
          <cell r="AU235">
            <v>0</v>
          </cell>
          <cell r="AV235">
            <v>0</v>
          </cell>
          <cell r="AW235">
            <v>0</v>
          </cell>
          <cell r="AX235">
            <v>0</v>
          </cell>
          <cell r="BD235">
            <v>0</v>
          </cell>
        </row>
        <row r="236">
          <cell r="A236" t="str">
            <v>17.2.b.7</v>
          </cell>
          <cell r="B236" t="str">
            <v>17-2(b)</v>
          </cell>
          <cell r="C236" t="str">
            <v>160mm dia. HDPE pipe laying works with butt-welded joint (excluding pipe)</v>
          </cell>
          <cell r="D236" t="str">
            <v xml:space="preserve">160mm dia. HDPE pipe laying works </v>
          </cell>
          <cell r="E236" t="str">
            <v>m</v>
          </cell>
          <cell r="F236">
            <v>23.658950000000004</v>
          </cell>
          <cell r="G236">
            <v>1580</v>
          </cell>
          <cell r="H236">
            <v>37381.141000000003</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C236">
            <v>0</v>
          </cell>
          <cell r="AD236">
            <v>0</v>
          </cell>
          <cell r="AE236">
            <v>0</v>
          </cell>
          <cell r="AF236">
            <v>0</v>
          </cell>
          <cell r="AG236">
            <v>0</v>
          </cell>
          <cell r="AH236">
            <v>0</v>
          </cell>
          <cell r="AI236">
            <v>0</v>
          </cell>
          <cell r="AJ236">
            <v>0</v>
          </cell>
          <cell r="AK236">
            <v>0</v>
          </cell>
          <cell r="AL236">
            <v>0</v>
          </cell>
          <cell r="AM236">
            <v>1580</v>
          </cell>
          <cell r="AN236">
            <v>37381.141000000003</v>
          </cell>
          <cell r="AO236">
            <v>0</v>
          </cell>
          <cell r="AP236">
            <v>0</v>
          </cell>
          <cell r="AQ236">
            <v>0</v>
          </cell>
          <cell r="AR236">
            <v>0</v>
          </cell>
          <cell r="AS236">
            <v>0</v>
          </cell>
          <cell r="AT236">
            <v>0</v>
          </cell>
          <cell r="AU236">
            <v>0</v>
          </cell>
          <cell r="AV236">
            <v>0</v>
          </cell>
          <cell r="AW236">
            <v>0</v>
          </cell>
          <cell r="AX236">
            <v>0</v>
          </cell>
          <cell r="BD236">
            <v>0</v>
          </cell>
        </row>
        <row r="237">
          <cell r="A237" t="str">
            <v>17.2.b.8</v>
          </cell>
          <cell r="B237" t="str">
            <v>17-2(b)</v>
          </cell>
          <cell r="C237" t="str">
            <v>180mm dia. HDPE pipe laying works with butt-welded joint (excluding pipe)</v>
          </cell>
          <cell r="D237" t="str">
            <v xml:space="preserve">180mm dia. HDPE pipe laying works </v>
          </cell>
          <cell r="E237" t="str">
            <v>m</v>
          </cell>
          <cell r="F237">
            <v>23.658950000000004</v>
          </cell>
          <cell r="G237">
            <v>0</v>
          </cell>
          <cell r="H237">
            <v>0</v>
          </cell>
          <cell r="I237">
            <v>0</v>
          </cell>
          <cell r="J237">
            <v>0</v>
          </cell>
          <cell r="K237">
            <v>0</v>
          </cell>
          <cell r="L237">
            <v>0</v>
          </cell>
          <cell r="M237">
            <v>0</v>
          </cell>
          <cell r="N237">
            <v>0</v>
          </cell>
          <cell r="O237">
            <v>0</v>
          </cell>
          <cell r="P237">
            <v>0</v>
          </cell>
          <cell r="Q237">
            <v>0</v>
          </cell>
          <cell r="R237">
            <v>0</v>
          </cell>
          <cell r="S237">
            <v>0</v>
          </cell>
          <cell r="T237">
            <v>0</v>
          </cell>
          <cell r="U237">
            <v>0</v>
          </cell>
          <cell r="V237">
            <v>0</v>
          </cell>
          <cell r="W237">
            <v>0</v>
          </cell>
          <cell r="X237">
            <v>0</v>
          </cell>
          <cell r="Y237">
            <v>0</v>
          </cell>
          <cell r="Z237">
            <v>0</v>
          </cell>
          <cell r="AA237">
            <v>0</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BD237">
            <v>0</v>
          </cell>
        </row>
        <row r="238">
          <cell r="A238" t="str">
            <v>17.4.a.1.1</v>
          </cell>
          <cell r="B238" t="str">
            <v>17-4(a)1</v>
          </cell>
          <cell r="C238" t="str">
            <v>13mm dia. GI pipe laying works with socket, union or flange joint including 500m carriage (excluding pipe)</v>
          </cell>
          <cell r="D238" t="str">
            <v xml:space="preserve">13mm dia. GI pipe laying works </v>
          </cell>
          <cell r="E238" t="str">
            <v>m</v>
          </cell>
          <cell r="F238">
            <v>8.8286458333333329</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cell r="X238">
            <v>0</v>
          </cell>
          <cell r="Y238">
            <v>0</v>
          </cell>
          <cell r="Z238">
            <v>0</v>
          </cell>
          <cell r="AA238">
            <v>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BD238">
            <v>0</v>
          </cell>
        </row>
        <row r="239">
          <cell r="A239" t="str">
            <v>17.4.a.1.1.a</v>
          </cell>
          <cell r="B239" t="str">
            <v>17-4(a)1</v>
          </cell>
          <cell r="C239" t="str">
            <v>13mm dia. GI pipe laying works with socket, union or flange joint including 500m carriage (including pipe)</v>
          </cell>
          <cell r="D239" t="str">
            <v>13mm dia. GI pipe laying works (with pipe)</v>
          </cell>
          <cell r="E239" t="str">
            <v>m</v>
          </cell>
          <cell r="F239">
            <v>77.665872533333342</v>
          </cell>
          <cell r="G239">
            <v>29</v>
          </cell>
          <cell r="H239">
            <v>2252.3103034666669</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cell r="X239">
            <v>0</v>
          </cell>
          <cell r="Y239">
            <v>15</v>
          </cell>
          <cell r="Z239">
            <v>1164.9880880000001</v>
          </cell>
          <cell r="AA239">
            <v>0</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14</v>
          </cell>
          <cell r="AX239">
            <v>1087.3222154666669</v>
          </cell>
          <cell r="BD239">
            <v>0</v>
          </cell>
        </row>
        <row r="240">
          <cell r="A240" t="str">
            <v>17.4.a.1.2</v>
          </cell>
          <cell r="B240" t="str">
            <v>17-4(a)1</v>
          </cell>
          <cell r="C240" t="str">
            <v>20mm dia. GI pipe laying works with socket, union or flange joint including 500m carriage (excluding pipe)</v>
          </cell>
          <cell r="D240" t="str">
            <v xml:space="preserve">20mm dia. GI pipe laying works </v>
          </cell>
          <cell r="E240" t="str">
            <v>m</v>
          </cell>
          <cell r="F240">
            <v>10.770292646666666</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cell r="X240">
            <v>0</v>
          </cell>
          <cell r="Y240">
            <v>0</v>
          </cell>
          <cell r="Z240">
            <v>0</v>
          </cell>
          <cell r="AA240">
            <v>0</v>
          </cell>
          <cell r="AB240">
            <v>0</v>
          </cell>
          <cell r="AC240">
            <v>0</v>
          </cell>
          <cell r="AD240">
            <v>0</v>
          </cell>
          <cell r="AE240">
            <v>0</v>
          </cell>
          <cell r="AF240">
            <v>0</v>
          </cell>
          <cell r="AG240">
            <v>0</v>
          </cell>
          <cell r="AH240">
            <v>0</v>
          </cell>
          <cell r="AI240">
            <v>0</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BD240">
            <v>0</v>
          </cell>
        </row>
        <row r="241">
          <cell r="A241" t="str">
            <v>17.4.a.1.2.a</v>
          </cell>
          <cell r="B241" t="str">
            <v>17-4(a)1</v>
          </cell>
          <cell r="C241" t="str">
            <v>20mm dia. GI pipe laying works with socket, union or flange joint including 500m carriage (including pipe)</v>
          </cell>
          <cell r="D241" t="str">
            <v>20mm dia. GI pipe laying works (with Pipe)</v>
          </cell>
          <cell r="E241" t="str">
            <v>m</v>
          </cell>
          <cell r="F241">
            <v>98.22596492866667</v>
          </cell>
          <cell r="G241">
            <v>20</v>
          </cell>
          <cell r="H241">
            <v>1964.5192985733333</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cell r="X241">
            <v>0</v>
          </cell>
          <cell r="Y241">
            <v>6</v>
          </cell>
          <cell r="Z241">
            <v>589.35578957200005</v>
          </cell>
          <cell r="AA241">
            <v>0</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14</v>
          </cell>
          <cell r="AX241">
            <v>1375.1635090013333</v>
          </cell>
          <cell r="BD241">
            <v>0</v>
          </cell>
        </row>
        <row r="242">
          <cell r="A242" t="str">
            <v>17.4.a.2.1</v>
          </cell>
          <cell r="B242" t="str">
            <v>17-4(a)2</v>
          </cell>
          <cell r="C242" t="str">
            <v>25mm dia. GI pipe laying works with socket, union or flange joint including 500m carriage (excluding pipe)</v>
          </cell>
          <cell r="D242" t="str">
            <v>25mm dia. GI pipe laying works</v>
          </cell>
          <cell r="E242" t="str">
            <v>m</v>
          </cell>
          <cell r="F242">
            <v>14.695961623216666</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cell r="X242">
            <v>0</v>
          </cell>
          <cell r="Y242">
            <v>0</v>
          </cell>
          <cell r="Z242">
            <v>0</v>
          </cell>
          <cell r="AA242">
            <v>0</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BD242">
            <v>0</v>
          </cell>
        </row>
        <row r="243">
          <cell r="A243" t="str">
            <v>17.4.a.2.1.a</v>
          </cell>
          <cell r="B243" t="str">
            <v>17-4(a)2</v>
          </cell>
          <cell r="C243" t="str">
            <v>25mm dia. GI pipe laying works with socket, union or flange joint including 500m carriage (including pipe)</v>
          </cell>
          <cell r="D243" t="str">
            <v>25mm dia. GI pipe laying works (with Pipe)</v>
          </cell>
          <cell r="E243" t="str">
            <v>m</v>
          </cell>
          <cell r="F243">
            <v>150.19106852088041</v>
          </cell>
          <cell r="G243">
            <v>4</v>
          </cell>
          <cell r="H243">
            <v>600.76427408352163</v>
          </cell>
          <cell r="I243">
            <v>0</v>
          </cell>
          <cell r="J243">
            <v>0</v>
          </cell>
          <cell r="K243">
            <v>0</v>
          </cell>
          <cell r="L243">
            <v>0</v>
          </cell>
          <cell r="M243">
            <v>0</v>
          </cell>
          <cell r="N243">
            <v>0</v>
          </cell>
          <cell r="O243">
            <v>0</v>
          </cell>
          <cell r="P243">
            <v>0</v>
          </cell>
          <cell r="Q243">
            <v>0</v>
          </cell>
          <cell r="R243">
            <v>0</v>
          </cell>
          <cell r="S243">
            <v>0</v>
          </cell>
          <cell r="T243">
            <v>0</v>
          </cell>
          <cell r="U243">
            <v>0</v>
          </cell>
          <cell r="V243">
            <v>0</v>
          </cell>
          <cell r="W243">
            <v>0</v>
          </cell>
          <cell r="X243">
            <v>0</v>
          </cell>
          <cell r="Y243">
            <v>0</v>
          </cell>
          <cell r="Z243">
            <v>0</v>
          </cell>
          <cell r="AA243">
            <v>0</v>
          </cell>
          <cell r="AB243">
            <v>0</v>
          </cell>
          <cell r="AC243">
            <v>0</v>
          </cell>
          <cell r="AD243">
            <v>0</v>
          </cell>
          <cell r="AE243">
            <v>0</v>
          </cell>
          <cell r="AF243">
            <v>0</v>
          </cell>
          <cell r="AG243">
            <v>0</v>
          </cell>
          <cell r="AH243">
            <v>0</v>
          </cell>
          <cell r="AI243">
            <v>0</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4</v>
          </cell>
          <cell r="AX243">
            <v>600.76427408352163</v>
          </cell>
          <cell r="BD243">
            <v>0</v>
          </cell>
        </row>
        <row r="244">
          <cell r="A244" t="str">
            <v>17.4.a.2.2</v>
          </cell>
          <cell r="B244" t="str">
            <v>17-4(a)2</v>
          </cell>
          <cell r="C244" t="str">
            <v>32mm dia. GI pipe laying works with socket, union or flange joint including 500m carriage (excluding pipe)</v>
          </cell>
          <cell r="D244" t="str">
            <v>32mm dia. GI pipe laying works</v>
          </cell>
          <cell r="E244" t="str">
            <v>m</v>
          </cell>
          <cell r="F244">
            <v>15.995089213022007</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cell r="X244">
            <v>0</v>
          </cell>
          <cell r="Y244">
            <v>0</v>
          </cell>
          <cell r="Z244">
            <v>0</v>
          </cell>
          <cell r="AA244">
            <v>0</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BD244">
            <v>0</v>
          </cell>
        </row>
        <row r="245">
          <cell r="A245" t="str">
            <v>17.4.a.3.1</v>
          </cell>
          <cell r="B245" t="str">
            <v>17-4(a)3</v>
          </cell>
          <cell r="C245" t="str">
            <v>40mm dia. GI pipe laying works with socket, union or flange joint including 500m carriage (excluding pipe)</v>
          </cell>
          <cell r="D245" t="str">
            <v>40mm dia. GI pipe laying works</v>
          </cell>
          <cell r="E245" t="str">
            <v>m</v>
          </cell>
          <cell r="F245">
            <v>16.654635416666668</v>
          </cell>
          <cell r="G245">
            <v>5138</v>
          </cell>
          <cell r="H245">
            <v>85571.516770833347</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C245">
            <v>187</v>
          </cell>
          <cell r="AD245">
            <v>3114.4168229166671</v>
          </cell>
          <cell r="AE245">
            <v>0</v>
          </cell>
          <cell r="AF245">
            <v>0</v>
          </cell>
          <cell r="AG245">
            <v>0</v>
          </cell>
          <cell r="AH245">
            <v>0</v>
          </cell>
          <cell r="AI245">
            <v>0</v>
          </cell>
          <cell r="AJ245">
            <v>0</v>
          </cell>
          <cell r="AK245">
            <v>0</v>
          </cell>
          <cell r="AL245">
            <v>0</v>
          </cell>
          <cell r="AM245">
            <v>1527</v>
          </cell>
          <cell r="AN245">
            <v>25431.628281250003</v>
          </cell>
          <cell r="AO245">
            <v>0</v>
          </cell>
          <cell r="AP245">
            <v>0</v>
          </cell>
          <cell r="AQ245">
            <v>3424</v>
          </cell>
          <cell r="AR245">
            <v>57025.471666666672</v>
          </cell>
          <cell r="AS245">
            <v>0</v>
          </cell>
          <cell r="AT245">
            <v>0</v>
          </cell>
          <cell r="AU245">
            <v>0</v>
          </cell>
          <cell r="AV245">
            <v>0</v>
          </cell>
          <cell r="AW245">
            <v>0</v>
          </cell>
          <cell r="AX245">
            <v>0</v>
          </cell>
          <cell r="BD245">
            <v>0</v>
          </cell>
        </row>
        <row r="246">
          <cell r="A246" t="str">
            <v>17.4.a.3.2</v>
          </cell>
          <cell r="B246" t="str">
            <v>17-4(a)3</v>
          </cell>
          <cell r="C246" t="str">
            <v>50mm dia. GI pipe laying works with socket, union or flange joint including 500m carriage (excluding pipe)</v>
          </cell>
          <cell r="D246" t="str">
            <v>50mm dia. GI pipe laying works</v>
          </cell>
          <cell r="E246" t="str">
            <v>m</v>
          </cell>
          <cell r="F246">
            <v>16.654635416666668</v>
          </cell>
          <cell r="G246">
            <v>2008</v>
          </cell>
          <cell r="H246">
            <v>33442.507916666669</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C246">
            <v>583</v>
          </cell>
          <cell r="AD246">
            <v>9709.6524479166674</v>
          </cell>
          <cell r="AE246">
            <v>0</v>
          </cell>
          <cell r="AF246">
            <v>0</v>
          </cell>
          <cell r="AG246">
            <v>0</v>
          </cell>
          <cell r="AH246">
            <v>0</v>
          </cell>
          <cell r="AI246">
            <v>0</v>
          </cell>
          <cell r="AJ246">
            <v>0</v>
          </cell>
          <cell r="AK246">
            <v>0</v>
          </cell>
          <cell r="AL246">
            <v>0</v>
          </cell>
          <cell r="AM246">
            <v>0</v>
          </cell>
          <cell r="AN246">
            <v>0</v>
          </cell>
          <cell r="AO246">
            <v>0</v>
          </cell>
          <cell r="AP246">
            <v>0</v>
          </cell>
          <cell r="AQ246">
            <v>1425</v>
          </cell>
          <cell r="AR246">
            <v>23732.855468750004</v>
          </cell>
          <cell r="AS246">
            <v>0</v>
          </cell>
          <cell r="AT246">
            <v>0</v>
          </cell>
          <cell r="AU246">
            <v>0</v>
          </cell>
          <cell r="AV246">
            <v>0</v>
          </cell>
          <cell r="AW246">
            <v>0</v>
          </cell>
          <cell r="AX246">
            <v>0</v>
          </cell>
          <cell r="BD246">
            <v>0</v>
          </cell>
        </row>
        <row r="247">
          <cell r="A247" t="str">
            <v>17.4.a.4.1</v>
          </cell>
          <cell r="B247" t="str">
            <v>17-4(a)4</v>
          </cell>
          <cell r="C247" t="str">
            <v>63mm dia. GI pipe laying works with socket, union or flange joint including 500m carriage (excluding pipe)</v>
          </cell>
          <cell r="D247" t="str">
            <v>63mm dia. GI pipe laying works</v>
          </cell>
          <cell r="E247" t="str">
            <v>m</v>
          </cell>
          <cell r="F247">
            <v>22.033281250000002</v>
          </cell>
          <cell r="G247">
            <v>4504</v>
          </cell>
          <cell r="H247">
            <v>99237.898750000008</v>
          </cell>
          <cell r="I247">
            <v>0</v>
          </cell>
          <cell r="J247">
            <v>0</v>
          </cell>
          <cell r="K247">
            <v>0</v>
          </cell>
          <cell r="L247">
            <v>0</v>
          </cell>
          <cell r="M247">
            <v>0</v>
          </cell>
          <cell r="N247">
            <v>0</v>
          </cell>
          <cell r="O247">
            <v>0</v>
          </cell>
          <cell r="P247">
            <v>0</v>
          </cell>
          <cell r="Q247">
            <v>0</v>
          </cell>
          <cell r="R247">
            <v>0</v>
          </cell>
          <cell r="S247">
            <v>0</v>
          </cell>
          <cell r="T247">
            <v>0</v>
          </cell>
          <cell r="U247">
            <v>0</v>
          </cell>
          <cell r="V247">
            <v>0</v>
          </cell>
          <cell r="W247">
            <v>0</v>
          </cell>
          <cell r="X247">
            <v>0</v>
          </cell>
          <cell r="Y247">
            <v>0</v>
          </cell>
          <cell r="Z247">
            <v>0</v>
          </cell>
          <cell r="AA247">
            <v>0</v>
          </cell>
          <cell r="AB247">
            <v>0</v>
          </cell>
          <cell r="AC247">
            <v>1561</v>
          </cell>
          <cell r="AD247">
            <v>34393.952031250003</v>
          </cell>
          <cell r="AE247">
            <v>0</v>
          </cell>
          <cell r="AF247">
            <v>0</v>
          </cell>
          <cell r="AG247">
            <v>0</v>
          </cell>
          <cell r="AH247">
            <v>0</v>
          </cell>
          <cell r="AI247">
            <v>0</v>
          </cell>
          <cell r="AJ247">
            <v>0</v>
          </cell>
          <cell r="AK247">
            <v>0</v>
          </cell>
          <cell r="AL247">
            <v>0</v>
          </cell>
          <cell r="AM247">
            <v>0</v>
          </cell>
          <cell r="AN247">
            <v>0</v>
          </cell>
          <cell r="AO247">
            <v>0</v>
          </cell>
          <cell r="AP247">
            <v>0</v>
          </cell>
          <cell r="AQ247">
            <v>2943</v>
          </cell>
          <cell r="AR247">
            <v>64843.946718750005</v>
          </cell>
          <cell r="AS247">
            <v>0</v>
          </cell>
          <cell r="AT247">
            <v>0</v>
          </cell>
          <cell r="AU247">
            <v>0</v>
          </cell>
          <cell r="AV247">
            <v>0</v>
          </cell>
          <cell r="AW247">
            <v>0</v>
          </cell>
          <cell r="AX247">
            <v>0</v>
          </cell>
          <cell r="BD247">
            <v>0</v>
          </cell>
        </row>
        <row r="248">
          <cell r="A248" t="str">
            <v>17.4.a.4.2</v>
          </cell>
          <cell r="B248" t="str">
            <v>17-4(a)4</v>
          </cell>
          <cell r="C248" t="str">
            <v>75mm dia. GI pipe laying works with socket, union or flange joint including 500m carriage (excluding pipe)</v>
          </cell>
          <cell r="D248" t="str">
            <v>75mm dia. GI pipe laying works</v>
          </cell>
          <cell r="E248" t="str">
            <v>m</v>
          </cell>
          <cell r="F248">
            <v>22.033281250000002</v>
          </cell>
          <cell r="G248">
            <v>9724</v>
          </cell>
          <cell r="H248">
            <v>214251.62687500002</v>
          </cell>
          <cell r="I248">
            <v>0</v>
          </cell>
          <cell r="J248">
            <v>0</v>
          </cell>
          <cell r="K248">
            <v>0</v>
          </cell>
          <cell r="L248">
            <v>0</v>
          </cell>
          <cell r="M248">
            <v>0</v>
          </cell>
          <cell r="N248">
            <v>0</v>
          </cell>
          <cell r="O248">
            <v>0</v>
          </cell>
          <cell r="P248">
            <v>0</v>
          </cell>
          <cell r="Q248">
            <v>0</v>
          </cell>
          <cell r="R248">
            <v>0</v>
          </cell>
          <cell r="S248">
            <v>0</v>
          </cell>
          <cell r="T248">
            <v>0</v>
          </cell>
          <cell r="U248">
            <v>0</v>
          </cell>
          <cell r="V248">
            <v>0</v>
          </cell>
          <cell r="W248">
            <v>0</v>
          </cell>
          <cell r="X248">
            <v>0</v>
          </cell>
          <cell r="Y248">
            <v>0</v>
          </cell>
          <cell r="Z248">
            <v>0</v>
          </cell>
          <cell r="AA248">
            <v>0</v>
          </cell>
          <cell r="AB248">
            <v>0</v>
          </cell>
          <cell r="AC248">
            <v>1018</v>
          </cell>
          <cell r="AD248">
            <v>22429.880312500001</v>
          </cell>
          <cell r="AE248">
            <v>0</v>
          </cell>
          <cell r="AF248">
            <v>0</v>
          </cell>
          <cell r="AG248">
            <v>0</v>
          </cell>
          <cell r="AH248">
            <v>0</v>
          </cell>
          <cell r="AI248">
            <v>0</v>
          </cell>
          <cell r="AJ248">
            <v>0</v>
          </cell>
          <cell r="AK248">
            <v>0</v>
          </cell>
          <cell r="AL248">
            <v>0</v>
          </cell>
          <cell r="AM248">
            <v>581</v>
          </cell>
          <cell r="AN248">
            <v>12801.33640625</v>
          </cell>
          <cell r="AO248">
            <v>0</v>
          </cell>
          <cell r="AP248">
            <v>0</v>
          </cell>
          <cell r="AQ248">
            <v>8125</v>
          </cell>
          <cell r="AR248">
            <v>179020.41015625</v>
          </cell>
          <cell r="AS248">
            <v>0</v>
          </cell>
          <cell r="AT248">
            <v>0</v>
          </cell>
          <cell r="AU248">
            <v>0</v>
          </cell>
          <cell r="AV248">
            <v>0</v>
          </cell>
          <cell r="AW248">
            <v>0</v>
          </cell>
          <cell r="AX248">
            <v>0</v>
          </cell>
          <cell r="BD248">
            <v>0</v>
          </cell>
        </row>
        <row r="249">
          <cell r="A249" t="str">
            <v>17.4.a.5</v>
          </cell>
          <cell r="B249" t="str">
            <v>17-4(a)5</v>
          </cell>
          <cell r="C249" t="str">
            <v>100mm dia. GI pipe laying works with socket, union or flange joint including 500m carriage (excluding pipe)</v>
          </cell>
          <cell r="D249" t="str">
            <v>100mm dia. GI pipe laying works</v>
          </cell>
          <cell r="E249" t="str">
            <v>m</v>
          </cell>
          <cell r="F249">
            <v>27.411927083333335</v>
          </cell>
          <cell r="G249">
            <v>8976</v>
          </cell>
          <cell r="H249">
            <v>246049.45750000002</v>
          </cell>
          <cell r="I249">
            <v>0</v>
          </cell>
          <cell r="J249">
            <v>0</v>
          </cell>
          <cell r="K249">
            <v>0</v>
          </cell>
          <cell r="L249">
            <v>0</v>
          </cell>
          <cell r="M249">
            <v>0</v>
          </cell>
          <cell r="N249">
            <v>0</v>
          </cell>
          <cell r="O249">
            <v>0</v>
          </cell>
          <cell r="P249">
            <v>0</v>
          </cell>
          <cell r="Q249">
            <v>0</v>
          </cell>
          <cell r="R249">
            <v>0</v>
          </cell>
          <cell r="S249">
            <v>0</v>
          </cell>
          <cell r="T249">
            <v>0</v>
          </cell>
          <cell r="U249">
            <v>0</v>
          </cell>
          <cell r="V249">
            <v>0</v>
          </cell>
          <cell r="W249">
            <v>0</v>
          </cell>
          <cell r="X249">
            <v>0</v>
          </cell>
          <cell r="Y249">
            <v>0</v>
          </cell>
          <cell r="Z249">
            <v>0</v>
          </cell>
          <cell r="AA249">
            <v>0</v>
          </cell>
          <cell r="AB249">
            <v>0</v>
          </cell>
          <cell r="AC249">
            <v>1140</v>
          </cell>
          <cell r="AD249">
            <v>31249.596875000003</v>
          </cell>
          <cell r="AE249">
            <v>0</v>
          </cell>
          <cell r="AF249">
            <v>0</v>
          </cell>
          <cell r="AG249">
            <v>0</v>
          </cell>
          <cell r="AH249">
            <v>0</v>
          </cell>
          <cell r="AI249">
            <v>0</v>
          </cell>
          <cell r="AJ249">
            <v>0</v>
          </cell>
          <cell r="AK249">
            <v>0</v>
          </cell>
          <cell r="AL249">
            <v>0</v>
          </cell>
          <cell r="AM249">
            <v>789</v>
          </cell>
          <cell r="AN249">
            <v>21628.010468750002</v>
          </cell>
          <cell r="AO249">
            <v>0</v>
          </cell>
          <cell r="AP249">
            <v>0</v>
          </cell>
          <cell r="AQ249">
            <v>7047</v>
          </cell>
          <cell r="AR249">
            <v>193171.85015625</v>
          </cell>
          <cell r="AS249">
            <v>0</v>
          </cell>
          <cell r="AT249">
            <v>0</v>
          </cell>
          <cell r="AU249">
            <v>0</v>
          </cell>
          <cell r="AV249">
            <v>0</v>
          </cell>
          <cell r="AW249">
            <v>0</v>
          </cell>
          <cell r="AX249">
            <v>0</v>
          </cell>
          <cell r="BD249">
            <v>0</v>
          </cell>
        </row>
        <row r="250">
          <cell r="A250" t="str">
            <v>17.4.a.6</v>
          </cell>
          <cell r="B250" t="str">
            <v>17-4(a)6</v>
          </cell>
          <cell r="C250" t="str">
            <v>125mm dia. GI pipe laying works with socket, union or flange joint including 500m carriage (excluding pipe)</v>
          </cell>
          <cell r="D250" t="str">
            <v>125mm dia. GI pipe laying works</v>
          </cell>
          <cell r="E250" t="str">
            <v>m</v>
          </cell>
          <cell r="F250">
            <v>33.512916666666669</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0</v>
          </cell>
          <cell r="V250">
            <v>0</v>
          </cell>
          <cell r="W250">
            <v>0</v>
          </cell>
          <cell r="X250">
            <v>0</v>
          </cell>
          <cell r="Y250">
            <v>0</v>
          </cell>
          <cell r="Z250">
            <v>0</v>
          </cell>
          <cell r="AA250">
            <v>0</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BD250">
            <v>0</v>
          </cell>
        </row>
        <row r="251">
          <cell r="A251" t="str">
            <v>17.4.a.6.1</v>
          </cell>
          <cell r="B251" t="str">
            <v>17-4(a)6</v>
          </cell>
          <cell r="C251" t="str">
            <v>150mm dia. GI pipe laying works with socket, union or flange joint including 500m carriage (excluding pipe) [data based on that for 125mm pipe]</v>
          </cell>
          <cell r="D251" t="str">
            <v>150mm dia. GI pipe laying works</v>
          </cell>
          <cell r="E251" t="str">
            <v>m</v>
          </cell>
          <cell r="F251">
            <v>40.616562500000001</v>
          </cell>
          <cell r="G251">
            <v>0</v>
          </cell>
          <cell r="H251">
            <v>0</v>
          </cell>
          <cell r="I251">
            <v>0</v>
          </cell>
          <cell r="J251">
            <v>0</v>
          </cell>
          <cell r="K251">
            <v>0</v>
          </cell>
          <cell r="L251">
            <v>0</v>
          </cell>
          <cell r="M251">
            <v>0</v>
          </cell>
          <cell r="N251">
            <v>0</v>
          </cell>
          <cell r="O251">
            <v>0</v>
          </cell>
          <cell r="P251">
            <v>0</v>
          </cell>
          <cell r="Q251">
            <v>0</v>
          </cell>
          <cell r="R251">
            <v>0</v>
          </cell>
          <cell r="S251">
            <v>0</v>
          </cell>
          <cell r="T251">
            <v>0</v>
          </cell>
          <cell r="U251">
            <v>0</v>
          </cell>
          <cell r="V251">
            <v>0</v>
          </cell>
          <cell r="W251">
            <v>0</v>
          </cell>
          <cell r="X251">
            <v>0</v>
          </cell>
          <cell r="Y251">
            <v>0</v>
          </cell>
          <cell r="Z251">
            <v>0</v>
          </cell>
          <cell r="AA251">
            <v>0</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BD251">
            <v>0</v>
          </cell>
        </row>
        <row r="252">
          <cell r="A252" t="str">
            <v>Rate for Ductile Iron Pipe Laying</v>
          </cell>
          <cell r="G252">
            <v>0</v>
          </cell>
          <cell r="H252">
            <v>0</v>
          </cell>
          <cell r="I252">
            <v>0</v>
          </cell>
          <cell r="J252">
            <v>0</v>
          </cell>
          <cell r="K252">
            <v>0</v>
          </cell>
          <cell r="L252">
            <v>0</v>
          </cell>
          <cell r="M252">
            <v>0</v>
          </cell>
          <cell r="N252">
            <v>0</v>
          </cell>
          <cell r="O252">
            <v>0</v>
          </cell>
          <cell r="P252">
            <v>0</v>
          </cell>
          <cell r="Q252">
            <v>0</v>
          </cell>
          <cell r="R252">
            <v>0</v>
          </cell>
          <cell r="S252">
            <v>0</v>
          </cell>
          <cell r="T252">
            <v>0</v>
          </cell>
          <cell r="U252">
            <v>0</v>
          </cell>
          <cell r="V252">
            <v>0</v>
          </cell>
          <cell r="W252">
            <v>0</v>
          </cell>
          <cell r="X252">
            <v>0</v>
          </cell>
          <cell r="Y252">
            <v>0</v>
          </cell>
          <cell r="Z252">
            <v>0</v>
          </cell>
          <cell r="AA252">
            <v>0</v>
          </cell>
          <cell r="AB252">
            <v>0</v>
          </cell>
          <cell r="AC252">
            <v>0</v>
          </cell>
          <cell r="AD252">
            <v>0</v>
          </cell>
          <cell r="AE252">
            <v>0</v>
          </cell>
          <cell r="AF252">
            <v>0</v>
          </cell>
          <cell r="AG252">
            <v>0</v>
          </cell>
          <cell r="AH252">
            <v>0</v>
          </cell>
          <cell r="AI252">
            <v>0</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BD252">
            <v>0</v>
          </cell>
        </row>
        <row r="253">
          <cell r="A253">
            <v>18.100000000000001</v>
          </cell>
          <cell r="B253" t="str">
            <v>18-1</v>
          </cell>
          <cell r="C253" t="str">
            <v xml:space="preserve">80mm dia. DI pipe laying works with double flanged socket, or flange joint including 500m carriage (excluding pipe) </v>
          </cell>
          <cell r="D253" t="str">
            <v xml:space="preserve">80mm dia DI pipe laying works </v>
          </cell>
          <cell r="E253" t="str">
            <v>m</v>
          </cell>
          <cell r="F253">
            <v>22.033281250000002</v>
          </cell>
          <cell r="G253">
            <v>6611</v>
          </cell>
          <cell r="H253">
            <v>145662.02234375002</v>
          </cell>
          <cell r="I253">
            <v>0</v>
          </cell>
          <cell r="J253">
            <v>0</v>
          </cell>
          <cell r="K253">
            <v>0</v>
          </cell>
          <cell r="L253">
            <v>0</v>
          </cell>
          <cell r="M253">
            <v>0</v>
          </cell>
          <cell r="N253">
            <v>0</v>
          </cell>
          <cell r="O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6611</v>
          </cell>
          <cell r="AD253">
            <v>145662.02234375002</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BD253">
            <v>0</v>
          </cell>
        </row>
        <row r="254">
          <cell r="A254">
            <v>18.2</v>
          </cell>
          <cell r="B254" t="str">
            <v>18-2</v>
          </cell>
          <cell r="C254" t="str">
            <v xml:space="preserve">100mm dia. DI pipe laying works with double flanged socket, or flange joint including 500m carriage (excluding pipe) </v>
          </cell>
          <cell r="D254" t="str">
            <v xml:space="preserve">100mm dia DI pipe laying works </v>
          </cell>
          <cell r="E254" t="str">
            <v>m</v>
          </cell>
          <cell r="F254">
            <v>27.411927083333335</v>
          </cell>
          <cell r="G254">
            <v>5740</v>
          </cell>
          <cell r="H254">
            <v>157344.46145833333</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5740</v>
          </cell>
          <cell r="AD254">
            <v>157344.46145833333</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BD254">
            <v>0</v>
          </cell>
        </row>
        <row r="255">
          <cell r="A255">
            <v>18.3</v>
          </cell>
          <cell r="B255" t="str">
            <v>18-3</v>
          </cell>
          <cell r="C255" t="str">
            <v xml:space="preserve">150mm dia. DI pipe laying works with double flanged socket, or flange joint including 500m carriage (excluding pipe) </v>
          </cell>
          <cell r="D255" t="str">
            <v xml:space="preserve">150mm dia DI pipe laying works </v>
          </cell>
          <cell r="E255" t="str">
            <v>m</v>
          </cell>
          <cell r="F255">
            <v>40.616562500000001</v>
          </cell>
          <cell r="G255">
            <v>6020</v>
          </cell>
          <cell r="H255">
            <v>244511.70625000002</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5230</v>
          </cell>
          <cell r="AD255">
            <v>212424.62187500001</v>
          </cell>
          <cell r="AE255">
            <v>0</v>
          </cell>
          <cell r="AF255">
            <v>0</v>
          </cell>
          <cell r="AG255">
            <v>0</v>
          </cell>
          <cell r="AH255">
            <v>0</v>
          </cell>
          <cell r="AI255">
            <v>0</v>
          </cell>
          <cell r="AJ255">
            <v>0</v>
          </cell>
          <cell r="AK255">
            <v>0</v>
          </cell>
          <cell r="AL255">
            <v>0</v>
          </cell>
          <cell r="AM255">
            <v>10</v>
          </cell>
          <cell r="AN255">
            <v>406.16562499999998</v>
          </cell>
          <cell r="AO255">
            <v>0</v>
          </cell>
          <cell r="AP255">
            <v>0</v>
          </cell>
          <cell r="AQ255">
            <v>780</v>
          </cell>
          <cell r="AR255">
            <v>31680.918750000001</v>
          </cell>
          <cell r="AS255">
            <v>0</v>
          </cell>
          <cell r="AT255">
            <v>0</v>
          </cell>
          <cell r="AU255">
            <v>0</v>
          </cell>
          <cell r="AV255">
            <v>0</v>
          </cell>
          <cell r="AW255">
            <v>0</v>
          </cell>
          <cell r="AX255">
            <v>0</v>
          </cell>
          <cell r="BD255">
            <v>0</v>
          </cell>
        </row>
        <row r="256">
          <cell r="A256">
            <v>18.399999999999999</v>
          </cell>
          <cell r="B256" t="str">
            <v>18-4</v>
          </cell>
          <cell r="C256" t="str">
            <v xml:space="preserve">200mm dia. DI pipe laying works with double flanged socket, or flange joint including 500m carriage (excluding pipe) </v>
          </cell>
          <cell r="D256" t="str">
            <v xml:space="preserve">200mm dia DI pipe laying works </v>
          </cell>
          <cell r="E256" t="str">
            <v>m</v>
          </cell>
          <cell r="F256">
            <v>81.233125000000001</v>
          </cell>
          <cell r="G256">
            <v>7240</v>
          </cell>
          <cell r="H256">
            <v>588127.82499999995</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5735</v>
          </cell>
          <cell r="AD256">
            <v>465871.97187499999</v>
          </cell>
          <cell r="AE256">
            <v>0</v>
          </cell>
          <cell r="AF256">
            <v>0</v>
          </cell>
          <cell r="AG256">
            <v>0</v>
          </cell>
          <cell r="AH256">
            <v>0</v>
          </cell>
          <cell r="AI256">
            <v>0</v>
          </cell>
          <cell r="AJ256">
            <v>0</v>
          </cell>
          <cell r="AK256">
            <v>0</v>
          </cell>
          <cell r="AL256">
            <v>0</v>
          </cell>
          <cell r="AM256">
            <v>0</v>
          </cell>
          <cell r="AN256">
            <v>0</v>
          </cell>
          <cell r="AO256">
            <v>75</v>
          </cell>
          <cell r="AP256">
            <v>6092.484375</v>
          </cell>
          <cell r="AQ256">
            <v>1430</v>
          </cell>
          <cell r="AR256">
            <v>116163.36875000001</v>
          </cell>
          <cell r="AS256">
            <v>0</v>
          </cell>
          <cell r="AT256">
            <v>0</v>
          </cell>
          <cell r="AU256">
            <v>0</v>
          </cell>
          <cell r="AV256">
            <v>0</v>
          </cell>
          <cell r="AW256">
            <v>0</v>
          </cell>
          <cell r="AX256">
            <v>0</v>
          </cell>
          <cell r="BD256">
            <v>0</v>
          </cell>
        </row>
        <row r="257">
          <cell r="A257">
            <v>18.5</v>
          </cell>
          <cell r="B257" t="str">
            <v>18-5</v>
          </cell>
          <cell r="C257" t="str">
            <v>250mm dia. DI pipe laying works with fouble flanged socket,  or flange joint including 500m carriage (excluding pipe)</v>
          </cell>
          <cell r="D257" t="str">
            <v>250mm dia DI pipe laying works</v>
          </cell>
          <cell r="E257" t="str">
            <v>m</v>
          </cell>
          <cell r="F257">
            <v>121.8496875</v>
          </cell>
          <cell r="G257">
            <v>1665</v>
          </cell>
          <cell r="H257">
            <v>202879.72968749999</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1525</v>
          </cell>
          <cell r="AD257">
            <v>185820.7734375</v>
          </cell>
          <cell r="AE257">
            <v>0</v>
          </cell>
          <cell r="AF257">
            <v>0</v>
          </cell>
          <cell r="AG257">
            <v>0</v>
          </cell>
          <cell r="AH257">
            <v>0</v>
          </cell>
          <cell r="AI257">
            <v>0</v>
          </cell>
          <cell r="AJ257">
            <v>0</v>
          </cell>
          <cell r="AK257">
            <v>0</v>
          </cell>
          <cell r="AL257">
            <v>0</v>
          </cell>
          <cell r="AM257">
            <v>0</v>
          </cell>
          <cell r="AN257">
            <v>0</v>
          </cell>
          <cell r="AO257">
            <v>0</v>
          </cell>
          <cell r="AP257">
            <v>0</v>
          </cell>
          <cell r="AQ257">
            <v>140</v>
          </cell>
          <cell r="AR257">
            <v>17058.956249999999</v>
          </cell>
          <cell r="AS257">
            <v>0</v>
          </cell>
          <cell r="AT257">
            <v>0</v>
          </cell>
          <cell r="AU257">
            <v>0</v>
          </cell>
          <cell r="AV257">
            <v>0</v>
          </cell>
          <cell r="AW257">
            <v>0</v>
          </cell>
          <cell r="AX257">
            <v>0</v>
          </cell>
          <cell r="BD257">
            <v>0</v>
          </cell>
        </row>
        <row r="258">
          <cell r="A258">
            <v>18.600000000000001</v>
          </cell>
          <cell r="B258" t="str">
            <v>18-6</v>
          </cell>
          <cell r="C258" t="str">
            <v>300mm dia. DI pipe laying works with fouble flanged socket,  or flange joint including 500m carriage (excluding pipe)</v>
          </cell>
          <cell r="D258" t="str">
            <v>300mm dia DI pipe laying works</v>
          </cell>
          <cell r="E258" t="str">
            <v>m</v>
          </cell>
          <cell r="F258">
            <v>162.46625</v>
          </cell>
          <cell r="G258">
            <v>810</v>
          </cell>
          <cell r="H258">
            <v>131597.66250000001</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800</v>
          </cell>
          <cell r="AD258">
            <v>129973</v>
          </cell>
          <cell r="AE258">
            <v>0</v>
          </cell>
          <cell r="AF258">
            <v>0</v>
          </cell>
          <cell r="AG258">
            <v>0</v>
          </cell>
          <cell r="AH258">
            <v>0</v>
          </cell>
          <cell r="AI258">
            <v>0</v>
          </cell>
          <cell r="AJ258">
            <v>0</v>
          </cell>
          <cell r="AK258">
            <v>0</v>
          </cell>
          <cell r="AL258">
            <v>0</v>
          </cell>
          <cell r="AM258">
            <v>0</v>
          </cell>
          <cell r="AN258">
            <v>0</v>
          </cell>
          <cell r="AO258">
            <v>0</v>
          </cell>
          <cell r="AP258">
            <v>0</v>
          </cell>
          <cell r="AQ258">
            <v>10</v>
          </cell>
          <cell r="AR258">
            <v>1624.6624999999999</v>
          </cell>
          <cell r="AS258">
            <v>0</v>
          </cell>
          <cell r="AT258">
            <v>0</v>
          </cell>
          <cell r="AU258">
            <v>0</v>
          </cell>
          <cell r="AV258">
            <v>0</v>
          </cell>
          <cell r="AW258">
            <v>0</v>
          </cell>
          <cell r="AX258">
            <v>0</v>
          </cell>
          <cell r="BD258">
            <v>0</v>
          </cell>
        </row>
        <row r="259">
          <cell r="A259" t="str">
            <v>18.6_1</v>
          </cell>
          <cell r="B259" t="str">
            <v>18-6</v>
          </cell>
          <cell r="C259" t="str">
            <v>300mm dia. DI pipe laying works with fouble flanged socket,  or flange joint including 500m carriage (excluding pipe)</v>
          </cell>
          <cell r="D259" t="str">
            <v>300mm dia DI pipe laying works</v>
          </cell>
          <cell r="E259" t="str">
            <v>m</v>
          </cell>
          <cell r="F259">
            <v>162.46625</v>
          </cell>
          <cell r="G259">
            <v>7410</v>
          </cell>
          <cell r="H259">
            <v>1203874.9125000001</v>
          </cell>
          <cell r="I259">
            <v>0</v>
          </cell>
          <cell r="J259">
            <v>0</v>
          </cell>
          <cell r="K259">
            <v>0</v>
          </cell>
          <cell r="L259">
            <v>0</v>
          </cell>
          <cell r="M259">
            <v>0</v>
          </cell>
          <cell r="N259">
            <v>0</v>
          </cell>
          <cell r="O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7410</v>
          </cell>
          <cell r="AD259">
            <v>1203874.9125000001</v>
          </cell>
          <cell r="AE259">
            <v>0</v>
          </cell>
          <cell r="AF259">
            <v>0</v>
          </cell>
          <cell r="AG259">
            <v>0</v>
          </cell>
          <cell r="AH259">
            <v>0</v>
          </cell>
          <cell r="AI259">
            <v>0</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BD259">
            <v>0</v>
          </cell>
        </row>
        <row r="260">
          <cell r="C260" t="str">
            <v>MISCELLANEOUS WORKS</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BD260">
            <v>0</v>
          </cell>
        </row>
        <row r="261">
          <cell r="A261" t="str">
            <v>M-1</v>
          </cell>
          <cell r="C261" t="str">
            <v>Fabrication of Angle post (MS 50x50x4 2.3m high)</v>
          </cell>
          <cell r="D261" t="str">
            <v xml:space="preserve">Fabrication &amp; placing of Angle post </v>
          </cell>
          <cell r="E261" t="str">
            <v>no</v>
          </cell>
          <cell r="F261">
            <v>315.2955</v>
          </cell>
          <cell r="G261">
            <v>470</v>
          </cell>
          <cell r="H261">
            <v>148188.88500000001</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165</v>
          </cell>
          <cell r="X261">
            <v>52023.7575</v>
          </cell>
          <cell r="Y261">
            <v>0</v>
          </cell>
          <cell r="Z261">
            <v>0</v>
          </cell>
          <cell r="AA261">
            <v>0</v>
          </cell>
          <cell r="AB261">
            <v>0</v>
          </cell>
          <cell r="AC261">
            <v>0</v>
          </cell>
          <cell r="AD261">
            <v>0</v>
          </cell>
          <cell r="AE261">
            <v>0</v>
          </cell>
          <cell r="AF261">
            <v>0</v>
          </cell>
          <cell r="AG261">
            <v>0</v>
          </cell>
          <cell r="AH261">
            <v>0</v>
          </cell>
          <cell r="AI261">
            <v>0</v>
          </cell>
          <cell r="AJ261">
            <v>0</v>
          </cell>
          <cell r="AK261">
            <v>0</v>
          </cell>
          <cell r="AL261">
            <v>0</v>
          </cell>
          <cell r="AM261">
            <v>0</v>
          </cell>
          <cell r="AN261">
            <v>0</v>
          </cell>
          <cell r="AO261">
            <v>0</v>
          </cell>
          <cell r="AP261">
            <v>0</v>
          </cell>
          <cell r="AQ261">
            <v>0</v>
          </cell>
          <cell r="AR261">
            <v>0</v>
          </cell>
          <cell r="AS261">
            <v>305</v>
          </cell>
          <cell r="AT261">
            <v>96165.127500000002</v>
          </cell>
          <cell r="AU261">
            <v>0</v>
          </cell>
          <cell r="AV261">
            <v>0</v>
          </cell>
          <cell r="AW261">
            <v>0</v>
          </cell>
          <cell r="AX261">
            <v>0</v>
          </cell>
          <cell r="BD261">
            <v>165</v>
          </cell>
        </row>
        <row r="262">
          <cell r="A262" t="str">
            <v>M-2</v>
          </cell>
          <cell r="C262" t="str">
            <v>Fabrication of MS Grill gate 1.2mx 1.5m</v>
          </cell>
          <cell r="D262" t="str">
            <v>Fabrication &amp; placing of MS Grill gate</v>
          </cell>
          <cell r="E262" t="str">
            <v>set</v>
          </cell>
          <cell r="F262">
            <v>2717.148815</v>
          </cell>
          <cell r="G262">
            <v>7</v>
          </cell>
          <cell r="H262">
            <v>19020.041705</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1</v>
          </cell>
          <cell r="X262">
            <v>2717.148815</v>
          </cell>
          <cell r="Y262">
            <v>0</v>
          </cell>
          <cell r="Z262">
            <v>0</v>
          </cell>
          <cell r="AA262">
            <v>0</v>
          </cell>
          <cell r="AB262">
            <v>0</v>
          </cell>
          <cell r="AC262">
            <v>0</v>
          </cell>
          <cell r="AD262">
            <v>0</v>
          </cell>
          <cell r="AE262">
            <v>0</v>
          </cell>
          <cell r="AF262">
            <v>0</v>
          </cell>
          <cell r="AG262">
            <v>0</v>
          </cell>
          <cell r="AH262">
            <v>0</v>
          </cell>
          <cell r="AI262">
            <v>0</v>
          </cell>
          <cell r="AJ262">
            <v>0</v>
          </cell>
          <cell r="AK262">
            <v>0</v>
          </cell>
          <cell r="AL262">
            <v>0</v>
          </cell>
          <cell r="AM262">
            <v>0</v>
          </cell>
          <cell r="AN262">
            <v>0</v>
          </cell>
          <cell r="AO262">
            <v>0</v>
          </cell>
          <cell r="AP262">
            <v>0</v>
          </cell>
          <cell r="AQ262">
            <v>0</v>
          </cell>
          <cell r="AR262">
            <v>0</v>
          </cell>
          <cell r="AS262">
            <v>6</v>
          </cell>
          <cell r="AT262">
            <v>16302.892889999999</v>
          </cell>
          <cell r="AU262">
            <v>0</v>
          </cell>
          <cell r="AV262">
            <v>0</v>
          </cell>
          <cell r="AW262">
            <v>0</v>
          </cell>
          <cell r="AX262">
            <v>0</v>
          </cell>
          <cell r="BD262">
            <v>1</v>
          </cell>
        </row>
        <row r="263">
          <cell r="A263" t="str">
            <v>M-3</v>
          </cell>
          <cell r="C263" t="str">
            <v>Fabrication of MS Grill for windows including 2 coats of enamel paint over one coat of metal primer</v>
          </cell>
          <cell r="D263" t="str">
            <v>Fabrication of MS Grill for Windows</v>
          </cell>
          <cell r="E263" t="str">
            <v>Kg.</v>
          </cell>
          <cell r="F263">
            <v>74.75</v>
          </cell>
          <cell r="G263">
            <v>264.14100000000002</v>
          </cell>
          <cell r="H263">
            <v>19744.53975</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cell r="X263">
            <v>0</v>
          </cell>
          <cell r="Y263">
            <v>264.14100000000002</v>
          </cell>
          <cell r="Z263">
            <v>19744.53975</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BD263">
            <v>0</v>
          </cell>
        </row>
        <row r="264">
          <cell r="A264" t="str">
            <v>M-4</v>
          </cell>
          <cell r="C264" t="str">
            <v>Railing Wooden Guide (section : 100 x 150mm) including 3 coats of chapra polish</v>
          </cell>
          <cell r="D264" t="str">
            <v>Railing Wooden Guide (Section : 100 x 150mm)</v>
          </cell>
          <cell r="E264" t="str">
            <v>Rm</v>
          </cell>
          <cell r="F264">
            <v>742.74475000000007</v>
          </cell>
          <cell r="G264">
            <v>0</v>
          </cell>
          <cell r="H264">
            <v>0</v>
          </cell>
          <cell r="I264">
            <v>0</v>
          </cell>
          <cell r="J264">
            <v>0</v>
          </cell>
          <cell r="K264">
            <v>0</v>
          </cell>
          <cell r="L264">
            <v>0</v>
          </cell>
          <cell r="M264">
            <v>0</v>
          </cell>
          <cell r="N264">
            <v>0</v>
          </cell>
          <cell r="O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BD264">
            <v>0</v>
          </cell>
        </row>
        <row r="265">
          <cell r="A265" t="str">
            <v>M-5</v>
          </cell>
          <cell r="C265" t="str">
            <v>Staircase Railing Works of 20mm Square Pipe of 14 gauge including 2 coats of enamel paint over one coat of metal primer for Windows</v>
          </cell>
          <cell r="D265" t="str">
            <v>Staircase Railing Works of 20mm Square Pipe of 14 gauge</v>
          </cell>
          <cell r="E265" t="str">
            <v>Kg.</v>
          </cell>
          <cell r="F265">
            <v>74.75</v>
          </cell>
          <cell r="G265">
            <v>0</v>
          </cell>
          <cell r="H265">
            <v>0</v>
          </cell>
          <cell r="I265">
            <v>0</v>
          </cell>
          <cell r="J265">
            <v>0</v>
          </cell>
          <cell r="K265">
            <v>0</v>
          </cell>
          <cell r="L265">
            <v>0</v>
          </cell>
          <cell r="M265">
            <v>0</v>
          </cell>
          <cell r="N265">
            <v>0</v>
          </cell>
          <cell r="O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BD265">
            <v>0</v>
          </cell>
        </row>
        <row r="266">
          <cell r="A266" t="str">
            <v>M-6</v>
          </cell>
          <cell r="C266" t="str">
            <v>Making plastered pattern of approved design on 20mm th. Plaster</v>
          </cell>
          <cell r="D266" t="str">
            <v>Plaster with Pattern</v>
          </cell>
          <cell r="E266" t="str">
            <v>Sqm</v>
          </cell>
          <cell r="F266">
            <v>260.42675190420778</v>
          </cell>
          <cell r="G266">
            <v>0</v>
          </cell>
          <cell r="H266">
            <v>0</v>
          </cell>
          <cell r="I266">
            <v>0</v>
          </cell>
          <cell r="J266">
            <v>0</v>
          </cell>
          <cell r="K266">
            <v>0</v>
          </cell>
          <cell r="L266">
            <v>0</v>
          </cell>
          <cell r="M266">
            <v>0</v>
          </cell>
          <cell r="N266">
            <v>0</v>
          </cell>
          <cell r="O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BD266">
            <v>0</v>
          </cell>
        </row>
        <row r="267">
          <cell r="A267" t="str">
            <v>M-7</v>
          </cell>
          <cell r="C267" t="str">
            <v>20mm Gate Valve with fitting</v>
          </cell>
          <cell r="D267" t="str">
            <v>20mm Gate Valve with fitting</v>
          </cell>
          <cell r="E267" t="str">
            <v>Nos.</v>
          </cell>
          <cell r="F267">
            <v>250</v>
          </cell>
          <cell r="G267">
            <v>2</v>
          </cell>
          <cell r="H267">
            <v>500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cell r="X267">
            <v>0</v>
          </cell>
          <cell r="Y267">
            <v>1</v>
          </cell>
          <cell r="Z267">
            <v>250</v>
          </cell>
          <cell r="AA267">
            <v>0</v>
          </cell>
          <cell r="AB267">
            <v>0</v>
          </cell>
          <cell r="AC267">
            <v>0</v>
          </cell>
          <cell r="AD267">
            <v>0</v>
          </cell>
          <cell r="AE267">
            <v>0</v>
          </cell>
          <cell r="AF267">
            <v>0</v>
          </cell>
          <cell r="AG267">
            <v>0</v>
          </cell>
          <cell r="AH267">
            <v>0</v>
          </cell>
          <cell r="AI267">
            <v>0</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1</v>
          </cell>
          <cell r="AX267">
            <v>250</v>
          </cell>
          <cell r="BD267">
            <v>0</v>
          </cell>
        </row>
        <row r="268">
          <cell r="A268" t="str">
            <v>M-7-1</v>
          </cell>
          <cell r="C268" t="str">
            <v>25mm Gate Valve with fitting</v>
          </cell>
          <cell r="D268" t="str">
            <v>25mm Gate Valve with fitting</v>
          </cell>
          <cell r="E268" t="str">
            <v>Nos.</v>
          </cell>
          <cell r="F268">
            <v>400</v>
          </cell>
          <cell r="G268">
            <v>1</v>
          </cell>
          <cell r="H268">
            <v>400</v>
          </cell>
          <cell r="I268">
            <v>0</v>
          </cell>
          <cell r="J268">
            <v>0</v>
          </cell>
          <cell r="K268">
            <v>0</v>
          </cell>
          <cell r="L268">
            <v>0</v>
          </cell>
          <cell r="M268">
            <v>0</v>
          </cell>
          <cell r="N268">
            <v>0</v>
          </cell>
          <cell r="O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1</v>
          </cell>
          <cell r="AX268">
            <v>400</v>
          </cell>
          <cell r="BD268">
            <v>0</v>
          </cell>
        </row>
        <row r="269">
          <cell r="A269" t="str">
            <v>M-8</v>
          </cell>
          <cell r="C269" t="str">
            <v>Chrome Plate (CP) 15mm taps</v>
          </cell>
          <cell r="D269" t="str">
            <v>Chrome Plate (CP) 15mm taps</v>
          </cell>
          <cell r="E269" t="str">
            <v>Nos,</v>
          </cell>
          <cell r="F269">
            <v>250</v>
          </cell>
          <cell r="G269">
            <v>4</v>
          </cell>
          <cell r="H269">
            <v>1000</v>
          </cell>
          <cell r="I269">
            <v>0</v>
          </cell>
          <cell r="J269">
            <v>0</v>
          </cell>
          <cell r="K269">
            <v>0</v>
          </cell>
          <cell r="L269">
            <v>0</v>
          </cell>
          <cell r="M269">
            <v>0</v>
          </cell>
          <cell r="N269">
            <v>0</v>
          </cell>
          <cell r="O269">
            <v>0</v>
          </cell>
          <cell r="P269">
            <v>0</v>
          </cell>
          <cell r="Q269">
            <v>0</v>
          </cell>
          <cell r="R269">
            <v>0</v>
          </cell>
          <cell r="S269">
            <v>0</v>
          </cell>
          <cell r="T269">
            <v>0</v>
          </cell>
          <cell r="U269">
            <v>0</v>
          </cell>
          <cell r="V269">
            <v>0</v>
          </cell>
          <cell r="W269">
            <v>0</v>
          </cell>
          <cell r="X269">
            <v>0</v>
          </cell>
          <cell r="Y269">
            <v>2</v>
          </cell>
          <cell r="Z269">
            <v>500</v>
          </cell>
          <cell r="AA269">
            <v>0</v>
          </cell>
          <cell r="AB269">
            <v>0</v>
          </cell>
          <cell r="AC269">
            <v>0</v>
          </cell>
          <cell r="AD269">
            <v>0</v>
          </cell>
          <cell r="AE269">
            <v>0</v>
          </cell>
          <cell r="AF269">
            <v>0</v>
          </cell>
          <cell r="AG269">
            <v>0</v>
          </cell>
          <cell r="AH269">
            <v>0</v>
          </cell>
          <cell r="AI269">
            <v>0</v>
          </cell>
          <cell r="AJ269">
            <v>0</v>
          </cell>
          <cell r="AK269">
            <v>0</v>
          </cell>
          <cell r="AL269">
            <v>0</v>
          </cell>
          <cell r="AM269">
            <v>0</v>
          </cell>
          <cell r="AN269">
            <v>0</v>
          </cell>
          <cell r="AO269">
            <v>0</v>
          </cell>
          <cell r="AP269">
            <v>0</v>
          </cell>
          <cell r="AQ269">
            <v>0</v>
          </cell>
          <cell r="AR269">
            <v>0</v>
          </cell>
          <cell r="AS269">
            <v>0</v>
          </cell>
          <cell r="AT269">
            <v>0</v>
          </cell>
          <cell r="AU269">
            <v>0</v>
          </cell>
          <cell r="AV269">
            <v>0</v>
          </cell>
          <cell r="AW269">
            <v>2</v>
          </cell>
          <cell r="AX269">
            <v>500</v>
          </cell>
          <cell r="BD269">
            <v>0</v>
          </cell>
        </row>
        <row r="270">
          <cell r="A270" t="str">
            <v>M-9</v>
          </cell>
          <cell r="C270" t="str">
            <v>Glazed Indian Type WC Set</v>
          </cell>
          <cell r="D270" t="str">
            <v>Glazed Indian Type WC Set</v>
          </cell>
          <cell r="E270" t="str">
            <v>Nos.</v>
          </cell>
          <cell r="F270">
            <v>750</v>
          </cell>
          <cell r="G270">
            <v>4</v>
          </cell>
          <cell r="H270">
            <v>3000</v>
          </cell>
          <cell r="I270">
            <v>0</v>
          </cell>
          <cell r="J270">
            <v>0</v>
          </cell>
          <cell r="K270">
            <v>0</v>
          </cell>
          <cell r="L270">
            <v>0</v>
          </cell>
          <cell r="M270">
            <v>0</v>
          </cell>
          <cell r="N270">
            <v>0</v>
          </cell>
          <cell r="O270">
            <v>0</v>
          </cell>
          <cell r="P270">
            <v>0</v>
          </cell>
          <cell r="Q270">
            <v>0</v>
          </cell>
          <cell r="R270">
            <v>0</v>
          </cell>
          <cell r="S270">
            <v>0</v>
          </cell>
          <cell r="T270">
            <v>0</v>
          </cell>
          <cell r="U270">
            <v>0</v>
          </cell>
          <cell r="V270">
            <v>0</v>
          </cell>
          <cell r="W270">
            <v>0</v>
          </cell>
          <cell r="X270">
            <v>0</v>
          </cell>
          <cell r="Y270">
            <v>2</v>
          </cell>
          <cell r="Z270">
            <v>1500</v>
          </cell>
          <cell r="AA270">
            <v>0</v>
          </cell>
          <cell r="AB270">
            <v>0</v>
          </cell>
          <cell r="AC270">
            <v>0</v>
          </cell>
          <cell r="AD270">
            <v>0</v>
          </cell>
          <cell r="AE270">
            <v>0</v>
          </cell>
          <cell r="AF270">
            <v>0</v>
          </cell>
          <cell r="AG270">
            <v>0</v>
          </cell>
          <cell r="AH270">
            <v>0</v>
          </cell>
          <cell r="AI270">
            <v>0</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2</v>
          </cell>
          <cell r="AX270">
            <v>1500</v>
          </cell>
          <cell r="BD270">
            <v>0</v>
          </cell>
        </row>
        <row r="271">
          <cell r="A271" t="str">
            <v>M-10</v>
          </cell>
          <cell r="C271" t="str">
            <v>Inspection Chamber having internal dimension 450x450x450 with RCC Cover</v>
          </cell>
          <cell r="D271" t="str">
            <v>Inspection Chamber 450x450x450 with RCC Cover</v>
          </cell>
          <cell r="E271" t="str">
            <v>Nos.</v>
          </cell>
          <cell r="F271">
            <v>3543.4252941742179</v>
          </cell>
          <cell r="G271">
            <v>4</v>
          </cell>
          <cell r="H271">
            <v>14173.701176696872</v>
          </cell>
          <cell r="I271">
            <v>0</v>
          </cell>
          <cell r="J271">
            <v>0</v>
          </cell>
          <cell r="K271">
            <v>0</v>
          </cell>
          <cell r="L271">
            <v>0</v>
          </cell>
          <cell r="M271">
            <v>0</v>
          </cell>
          <cell r="N271">
            <v>0</v>
          </cell>
          <cell r="O271">
            <v>0</v>
          </cell>
          <cell r="P271">
            <v>0</v>
          </cell>
          <cell r="Q271">
            <v>0</v>
          </cell>
          <cell r="R271">
            <v>0</v>
          </cell>
          <cell r="S271">
            <v>0</v>
          </cell>
          <cell r="T271">
            <v>0</v>
          </cell>
          <cell r="U271">
            <v>0</v>
          </cell>
          <cell r="V271">
            <v>0</v>
          </cell>
          <cell r="W271">
            <v>0</v>
          </cell>
          <cell r="X271">
            <v>0</v>
          </cell>
          <cell r="Y271">
            <v>4</v>
          </cell>
          <cell r="Z271">
            <v>14173.701176696872</v>
          </cell>
          <cell r="AA271">
            <v>0</v>
          </cell>
          <cell r="AB271">
            <v>0</v>
          </cell>
          <cell r="AC271">
            <v>0</v>
          </cell>
          <cell r="AD271">
            <v>0</v>
          </cell>
          <cell r="AE271">
            <v>0</v>
          </cell>
          <cell r="AF271">
            <v>0</v>
          </cell>
          <cell r="AG271">
            <v>0</v>
          </cell>
          <cell r="AH271">
            <v>0</v>
          </cell>
          <cell r="AI271">
            <v>0</v>
          </cell>
          <cell r="AJ271">
            <v>0</v>
          </cell>
          <cell r="AK271">
            <v>0</v>
          </cell>
          <cell r="AL271">
            <v>0</v>
          </cell>
          <cell r="AM271">
            <v>0</v>
          </cell>
          <cell r="AN271">
            <v>0</v>
          </cell>
          <cell r="AO271">
            <v>0</v>
          </cell>
          <cell r="AP271">
            <v>0</v>
          </cell>
          <cell r="AQ271">
            <v>0</v>
          </cell>
          <cell r="AR271">
            <v>0</v>
          </cell>
          <cell r="AS271">
            <v>0</v>
          </cell>
          <cell r="AT271">
            <v>0</v>
          </cell>
          <cell r="AU271">
            <v>0</v>
          </cell>
          <cell r="AV271">
            <v>0</v>
          </cell>
          <cell r="AW271">
            <v>0</v>
          </cell>
          <cell r="AX271">
            <v>0</v>
          </cell>
          <cell r="BD271">
            <v>0</v>
          </cell>
        </row>
        <row r="272">
          <cell r="A272" t="str">
            <v>M-12</v>
          </cell>
          <cell r="C272" t="str">
            <v>PVC Pipe 100mm</v>
          </cell>
          <cell r="D272" t="str">
            <v>PVC Pipe 100mm</v>
          </cell>
          <cell r="E272" t="str">
            <v>Rm</v>
          </cell>
          <cell r="F272">
            <v>100</v>
          </cell>
          <cell r="G272">
            <v>15</v>
          </cell>
          <cell r="H272">
            <v>1500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cell r="X272">
            <v>0</v>
          </cell>
          <cell r="Y272">
            <v>3</v>
          </cell>
          <cell r="Z272">
            <v>300</v>
          </cell>
          <cell r="AA272">
            <v>0</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0</v>
          </cell>
          <cell r="AU272">
            <v>0</v>
          </cell>
          <cell r="AV272">
            <v>0</v>
          </cell>
          <cell r="AW272">
            <v>12</v>
          </cell>
          <cell r="AX272">
            <v>1200</v>
          </cell>
          <cell r="BD272">
            <v>0</v>
          </cell>
        </row>
        <row r="273">
          <cell r="A273" t="str">
            <v>M-13</v>
          </cell>
          <cell r="C273" t="str">
            <v>PVC Pipe 75mm</v>
          </cell>
          <cell r="D273" t="str">
            <v>PVC Pipe 75mm</v>
          </cell>
          <cell r="E273" t="str">
            <v>Rm</v>
          </cell>
          <cell r="F273">
            <v>75</v>
          </cell>
          <cell r="G273">
            <v>36</v>
          </cell>
          <cell r="H273">
            <v>2700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cell r="X273">
            <v>0</v>
          </cell>
          <cell r="Y273">
            <v>18</v>
          </cell>
          <cell r="Z273">
            <v>1350</v>
          </cell>
          <cell r="AA273">
            <v>0</v>
          </cell>
          <cell r="AB273">
            <v>0</v>
          </cell>
          <cell r="AC273">
            <v>0</v>
          </cell>
          <cell r="AD273">
            <v>0</v>
          </cell>
          <cell r="AE273">
            <v>0</v>
          </cell>
          <cell r="AF273">
            <v>0</v>
          </cell>
          <cell r="AG273">
            <v>0</v>
          </cell>
          <cell r="AH273">
            <v>0</v>
          </cell>
          <cell r="AI273">
            <v>0</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18</v>
          </cell>
          <cell r="AX273">
            <v>1350</v>
          </cell>
          <cell r="BD273">
            <v>0</v>
          </cell>
        </row>
        <row r="274">
          <cell r="A274" t="str">
            <v>M-14</v>
          </cell>
          <cell r="C274" t="str">
            <v>PVC Pipe 50mm</v>
          </cell>
          <cell r="D274" t="str">
            <v>PVC Pipe 50mm</v>
          </cell>
          <cell r="E274" t="str">
            <v>Rm</v>
          </cell>
          <cell r="F274">
            <v>50</v>
          </cell>
          <cell r="G274">
            <v>17</v>
          </cell>
          <cell r="H274">
            <v>850</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0</v>
          </cell>
          <cell r="X274">
            <v>0</v>
          </cell>
          <cell r="Y274">
            <v>5</v>
          </cell>
          <cell r="Z274">
            <v>250</v>
          </cell>
          <cell r="AA274">
            <v>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12</v>
          </cell>
          <cell r="AX274">
            <v>600</v>
          </cell>
          <cell r="BD274">
            <v>0</v>
          </cell>
        </row>
        <row r="275">
          <cell r="A275" t="str">
            <v>M-15</v>
          </cell>
          <cell r="C275" t="str">
            <v>Supply and Fixation of RCC Jali for Ventitation</v>
          </cell>
          <cell r="D275" t="str">
            <v>Supply and Fixation of RCC Jali for Ventitation</v>
          </cell>
          <cell r="E275" t="str">
            <v>Sqm</v>
          </cell>
          <cell r="F275">
            <v>920</v>
          </cell>
          <cell r="G275">
            <v>6.39</v>
          </cell>
          <cell r="H275">
            <v>5878.7999999999993</v>
          </cell>
          <cell r="I275">
            <v>0</v>
          </cell>
          <cell r="J275">
            <v>0</v>
          </cell>
          <cell r="K275">
            <v>0</v>
          </cell>
          <cell r="L275">
            <v>0</v>
          </cell>
          <cell r="M275">
            <v>0</v>
          </cell>
          <cell r="N275">
            <v>0</v>
          </cell>
          <cell r="O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6.39</v>
          </cell>
          <cell r="AX275">
            <v>5878.7999999999993</v>
          </cell>
          <cell r="BD275">
            <v>0</v>
          </cell>
        </row>
        <row r="276">
          <cell r="A276" t="str">
            <v>M-16</v>
          </cell>
          <cell r="C276" t="str">
            <v>Supply and Fixation of Stainless Steel Plate</v>
          </cell>
          <cell r="D276" t="str">
            <v>Supply and Fixation of Stainless Steel Plate</v>
          </cell>
          <cell r="E276" t="str">
            <v>Sqm</v>
          </cell>
          <cell r="F276">
            <v>6512.9449838187702</v>
          </cell>
          <cell r="G276">
            <v>8.8872</v>
          </cell>
          <cell r="H276">
            <v>57881.844660194176</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J276">
            <v>0</v>
          </cell>
          <cell r="AK276">
            <v>0</v>
          </cell>
          <cell r="AL276">
            <v>0</v>
          </cell>
          <cell r="AM276">
            <v>0</v>
          </cell>
          <cell r="AN276">
            <v>0</v>
          </cell>
          <cell r="AO276">
            <v>0</v>
          </cell>
          <cell r="AP276">
            <v>0</v>
          </cell>
          <cell r="AQ276">
            <v>0</v>
          </cell>
          <cell r="AR276">
            <v>0</v>
          </cell>
          <cell r="AS276">
            <v>0</v>
          </cell>
          <cell r="AT276">
            <v>0</v>
          </cell>
          <cell r="AU276">
            <v>0</v>
          </cell>
          <cell r="AV276">
            <v>0</v>
          </cell>
          <cell r="AW276">
            <v>8.8872</v>
          </cell>
          <cell r="AX276">
            <v>57881.844660194176</v>
          </cell>
          <cell r="BD276">
            <v>0</v>
          </cell>
        </row>
        <row r="277">
          <cell r="A277" t="str">
            <v>M-17</v>
          </cell>
          <cell r="C277" t="str">
            <v>H Connection of PVC pipe 100mm</v>
          </cell>
          <cell r="D277" t="str">
            <v>H Connection of PVC pipe 100mm</v>
          </cell>
          <cell r="E277" t="str">
            <v>Nos.</v>
          </cell>
          <cell r="F277">
            <v>230</v>
          </cell>
          <cell r="G277">
            <v>11.5</v>
          </cell>
          <cell r="H277">
            <v>2645</v>
          </cell>
          <cell r="I277">
            <v>0</v>
          </cell>
          <cell r="J277">
            <v>0</v>
          </cell>
          <cell r="K277">
            <v>0</v>
          </cell>
          <cell r="L277">
            <v>0</v>
          </cell>
          <cell r="M277">
            <v>0</v>
          </cell>
          <cell r="N277">
            <v>0</v>
          </cell>
          <cell r="O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J277">
            <v>0</v>
          </cell>
          <cell r="AK277">
            <v>0</v>
          </cell>
          <cell r="AL277">
            <v>0</v>
          </cell>
          <cell r="AM277">
            <v>0</v>
          </cell>
          <cell r="AN277">
            <v>0</v>
          </cell>
          <cell r="AO277">
            <v>0</v>
          </cell>
          <cell r="AP277">
            <v>0</v>
          </cell>
          <cell r="AQ277">
            <v>0</v>
          </cell>
          <cell r="AR277">
            <v>0</v>
          </cell>
          <cell r="AS277">
            <v>0</v>
          </cell>
          <cell r="AT277">
            <v>0</v>
          </cell>
          <cell r="AU277">
            <v>0</v>
          </cell>
          <cell r="AV277">
            <v>0</v>
          </cell>
          <cell r="AW277">
            <v>11.5</v>
          </cell>
          <cell r="AX277">
            <v>2645</v>
          </cell>
          <cell r="BD277">
            <v>0</v>
          </cell>
        </row>
        <row r="278">
          <cell r="A278" t="str">
            <v>M-18</v>
          </cell>
          <cell r="C278" t="str">
            <v>Stainless Steel Sink</v>
          </cell>
          <cell r="D278" t="str">
            <v>Stainless Steel Sink</v>
          </cell>
          <cell r="E278" t="str">
            <v>Nos.</v>
          </cell>
          <cell r="F278">
            <v>969.45</v>
          </cell>
          <cell r="G278">
            <v>2</v>
          </cell>
          <cell r="H278">
            <v>1938.9</v>
          </cell>
          <cell r="I278">
            <v>0</v>
          </cell>
          <cell r="J278">
            <v>0</v>
          </cell>
          <cell r="K278">
            <v>0</v>
          </cell>
          <cell r="L278">
            <v>0</v>
          </cell>
          <cell r="M278">
            <v>0</v>
          </cell>
          <cell r="N278">
            <v>0</v>
          </cell>
          <cell r="O278">
            <v>0</v>
          </cell>
          <cell r="P278">
            <v>0</v>
          </cell>
          <cell r="Q278">
            <v>0</v>
          </cell>
          <cell r="R278">
            <v>0</v>
          </cell>
          <cell r="S278">
            <v>0</v>
          </cell>
          <cell r="T278">
            <v>0</v>
          </cell>
          <cell r="U278">
            <v>0</v>
          </cell>
          <cell r="V278">
            <v>0</v>
          </cell>
          <cell r="W278">
            <v>0</v>
          </cell>
          <cell r="X278">
            <v>0</v>
          </cell>
          <cell r="Y278">
            <v>2</v>
          </cell>
          <cell r="Z278">
            <v>1938.9</v>
          </cell>
          <cell r="AA278">
            <v>0</v>
          </cell>
          <cell r="AB278">
            <v>0</v>
          </cell>
          <cell r="AC278">
            <v>0</v>
          </cell>
          <cell r="AD278">
            <v>0</v>
          </cell>
          <cell r="AE278">
            <v>0</v>
          </cell>
          <cell r="AF278">
            <v>0</v>
          </cell>
          <cell r="AG278">
            <v>0</v>
          </cell>
          <cell r="AH278">
            <v>0</v>
          </cell>
          <cell r="AI278">
            <v>0</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BD278">
            <v>0</v>
          </cell>
        </row>
        <row r="279">
          <cell r="A279" t="str">
            <v>M-21</v>
          </cell>
          <cell r="C279" t="str">
            <v>Formwork for Ferro-Cement</v>
          </cell>
          <cell r="D279" t="str">
            <v>Formwork for Ferro-Cement</v>
          </cell>
          <cell r="E279" t="str">
            <v>sqm</v>
          </cell>
          <cell r="F279">
            <v>121.40084974372807</v>
          </cell>
          <cell r="G279">
            <v>0</v>
          </cell>
          <cell r="H279">
            <v>0</v>
          </cell>
          <cell r="I279">
            <v>0</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0</v>
          </cell>
          <cell r="Y279">
            <v>0</v>
          </cell>
          <cell r="Z279">
            <v>0</v>
          </cell>
          <cell r="AA279">
            <v>0</v>
          </cell>
          <cell r="AB279">
            <v>0</v>
          </cell>
          <cell r="AC279">
            <v>0</v>
          </cell>
          <cell r="AD279">
            <v>0</v>
          </cell>
          <cell r="AE279">
            <v>0</v>
          </cell>
          <cell r="AF279">
            <v>0</v>
          </cell>
          <cell r="AG279">
            <v>0</v>
          </cell>
          <cell r="AH279">
            <v>0</v>
          </cell>
          <cell r="AI279">
            <v>0</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BD279">
            <v>0</v>
          </cell>
        </row>
        <row r="280">
          <cell r="A280" t="str">
            <v>M-22</v>
          </cell>
          <cell r="C280" t="str">
            <v>Steel bar binding for Ferro-Cement work</v>
          </cell>
          <cell r="D280" t="str">
            <v>Steel bar binding for Ferro-Cement work</v>
          </cell>
          <cell r="E280" t="str">
            <v>sqm</v>
          </cell>
          <cell r="F280">
            <v>359.5790459541663</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BD280">
            <v>0</v>
          </cell>
        </row>
        <row r="281">
          <cell r="A281" t="str">
            <v>M-23</v>
          </cell>
          <cell r="C281" t="str">
            <v>600 mm circular metal manhole cover for Ferro-Cement tank as per standard details</v>
          </cell>
          <cell r="D281" t="str">
            <v xml:space="preserve">600 mm circular metal manhole </v>
          </cell>
          <cell r="E281" t="str">
            <v>no</v>
          </cell>
          <cell r="F281">
            <v>1500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BD281">
            <v>0</v>
          </cell>
        </row>
        <row r="282">
          <cell r="A282" t="str">
            <v>M-101</v>
          </cell>
          <cell r="C282" t="str">
            <v>MS Gate for Flushing</v>
          </cell>
          <cell r="D282" t="str">
            <v>MS Gate for Flushing</v>
          </cell>
          <cell r="E282" t="str">
            <v>Job</v>
          </cell>
          <cell r="F282">
            <v>100000</v>
          </cell>
          <cell r="G282">
            <v>1</v>
          </cell>
          <cell r="H282">
            <v>100000</v>
          </cell>
          <cell r="I282">
            <v>0</v>
          </cell>
          <cell r="J282">
            <v>0</v>
          </cell>
          <cell r="K282">
            <v>1</v>
          </cell>
          <cell r="L282">
            <v>100000</v>
          </cell>
          <cell r="M282">
            <v>0</v>
          </cell>
          <cell r="N282">
            <v>0</v>
          </cell>
          <cell r="O282">
            <v>0</v>
          </cell>
          <cell r="P282">
            <v>0</v>
          </cell>
          <cell r="Q282">
            <v>0</v>
          </cell>
          <cell r="R282">
            <v>0</v>
          </cell>
          <cell r="S282">
            <v>0</v>
          </cell>
          <cell r="T282">
            <v>0</v>
          </cell>
          <cell r="U282">
            <v>0</v>
          </cell>
          <cell r="V282">
            <v>0</v>
          </cell>
          <cell r="W282">
            <v>0</v>
          </cell>
          <cell r="X282">
            <v>0</v>
          </cell>
          <cell r="Y282">
            <v>0</v>
          </cell>
          <cell r="Z282">
            <v>0</v>
          </cell>
          <cell r="AA282">
            <v>0</v>
          </cell>
          <cell r="AB282">
            <v>0</v>
          </cell>
          <cell r="AC282">
            <v>0</v>
          </cell>
          <cell r="AD282">
            <v>0</v>
          </cell>
          <cell r="AE282">
            <v>0</v>
          </cell>
          <cell r="AF282">
            <v>0</v>
          </cell>
          <cell r="AG282">
            <v>0</v>
          </cell>
          <cell r="AH282">
            <v>0</v>
          </cell>
          <cell r="AI282">
            <v>0</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BD282">
            <v>0</v>
          </cell>
        </row>
        <row r="283">
          <cell r="A283" t="str">
            <v>M-102</v>
          </cell>
          <cell r="C283" t="str">
            <v>MS Plate for Trash rack</v>
          </cell>
          <cell r="D283" t="str">
            <v>MS Plate for Trash rack</v>
          </cell>
          <cell r="E283" t="str">
            <v>Job</v>
          </cell>
          <cell r="F283">
            <v>15000</v>
          </cell>
          <cell r="G283">
            <v>1</v>
          </cell>
          <cell r="H283">
            <v>15000</v>
          </cell>
          <cell r="I283">
            <v>0</v>
          </cell>
          <cell r="J283">
            <v>0</v>
          </cell>
          <cell r="K283">
            <v>1</v>
          </cell>
          <cell r="L283">
            <v>15000</v>
          </cell>
          <cell r="M283">
            <v>0</v>
          </cell>
          <cell r="N283">
            <v>0</v>
          </cell>
          <cell r="O283">
            <v>0</v>
          </cell>
          <cell r="P283">
            <v>0</v>
          </cell>
          <cell r="Q283">
            <v>0</v>
          </cell>
          <cell r="R283">
            <v>0</v>
          </cell>
          <cell r="S283">
            <v>0</v>
          </cell>
          <cell r="T283">
            <v>0</v>
          </cell>
          <cell r="U283">
            <v>0</v>
          </cell>
          <cell r="V283">
            <v>0</v>
          </cell>
          <cell r="W283">
            <v>0</v>
          </cell>
          <cell r="X283">
            <v>0</v>
          </cell>
          <cell r="Y283">
            <v>0</v>
          </cell>
          <cell r="Z283">
            <v>0</v>
          </cell>
          <cell r="AA283">
            <v>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BD283">
            <v>0</v>
          </cell>
        </row>
        <row r="284">
          <cell r="A284" t="str">
            <v>M-103</v>
          </cell>
          <cell r="C284" t="str">
            <v>Stop log structure</v>
          </cell>
          <cell r="D284" t="str">
            <v>Stop log structure</v>
          </cell>
          <cell r="E284" t="str">
            <v>Job</v>
          </cell>
          <cell r="F284">
            <v>5000</v>
          </cell>
          <cell r="G284">
            <v>1</v>
          </cell>
          <cell r="H284">
            <v>5000</v>
          </cell>
          <cell r="I284">
            <v>0</v>
          </cell>
          <cell r="J284">
            <v>0</v>
          </cell>
          <cell r="K284">
            <v>1</v>
          </cell>
          <cell r="L284">
            <v>5000</v>
          </cell>
          <cell r="M284">
            <v>0</v>
          </cell>
          <cell r="N284">
            <v>0</v>
          </cell>
          <cell r="O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BD284">
            <v>0</v>
          </cell>
        </row>
        <row r="285">
          <cell r="A285" t="str">
            <v>M-104</v>
          </cell>
          <cell r="C285" t="str">
            <v>Dewatering Cost</v>
          </cell>
          <cell r="D285" t="str">
            <v>Dewatering Cost</v>
          </cell>
          <cell r="E285" t="str">
            <v>Job</v>
          </cell>
          <cell r="F285">
            <v>100000</v>
          </cell>
          <cell r="G285">
            <v>1</v>
          </cell>
          <cell r="H285">
            <v>100000</v>
          </cell>
          <cell r="I285">
            <v>0</v>
          </cell>
          <cell r="J285">
            <v>0</v>
          </cell>
          <cell r="K285">
            <v>1</v>
          </cell>
          <cell r="L285">
            <v>100000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J285">
            <v>0</v>
          </cell>
          <cell r="AK285">
            <v>0</v>
          </cell>
          <cell r="AL285">
            <v>0</v>
          </cell>
          <cell r="AM285">
            <v>0</v>
          </cell>
          <cell r="AN285">
            <v>0</v>
          </cell>
          <cell r="AO285">
            <v>0</v>
          </cell>
          <cell r="AP285">
            <v>0</v>
          </cell>
          <cell r="AQ285">
            <v>0</v>
          </cell>
          <cell r="AR285">
            <v>0</v>
          </cell>
          <cell r="AS285">
            <v>0</v>
          </cell>
          <cell r="AT285">
            <v>0</v>
          </cell>
          <cell r="AU285">
            <v>0</v>
          </cell>
          <cell r="AV285">
            <v>0</v>
          </cell>
          <cell r="AW285">
            <v>0</v>
          </cell>
          <cell r="AX285">
            <v>0</v>
          </cell>
          <cell r="BD285">
            <v>0</v>
          </cell>
        </row>
        <row r="286">
          <cell r="A286" t="str">
            <v>M-105</v>
          </cell>
          <cell r="C286" t="str">
            <v xml:space="preserve">Railing Work with 50mm GI Post @ 1600 c/c and 2 horizontal 40mm GI Pipe  </v>
          </cell>
          <cell r="D286" t="str">
            <v xml:space="preserve">Railing Work with 50mm GI Post @ 1600 c/c and 2 horizontal 40mm GI Pipe  </v>
          </cell>
          <cell r="E286" t="str">
            <v>rm</v>
          </cell>
          <cell r="F286">
            <v>1000</v>
          </cell>
          <cell r="G286">
            <v>191.78</v>
          </cell>
          <cell r="H286">
            <v>191780</v>
          </cell>
          <cell r="I286">
            <v>0</v>
          </cell>
          <cell r="J286">
            <v>0</v>
          </cell>
          <cell r="K286">
            <v>0</v>
          </cell>
          <cell r="L286">
            <v>0</v>
          </cell>
          <cell r="M286">
            <v>21.58</v>
          </cell>
          <cell r="N286">
            <v>21580</v>
          </cell>
          <cell r="O286">
            <v>48.6</v>
          </cell>
          <cell r="P286">
            <v>48600</v>
          </cell>
          <cell r="Q286">
            <v>48.6</v>
          </cell>
          <cell r="R286">
            <v>48600</v>
          </cell>
          <cell r="S286">
            <v>48.6</v>
          </cell>
          <cell r="T286">
            <v>48600</v>
          </cell>
          <cell r="U286">
            <v>73</v>
          </cell>
          <cell r="V286">
            <v>73000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BD286">
            <v>170.2</v>
          </cell>
        </row>
        <row r="287">
          <cell r="A287" t="str">
            <v>M-106</v>
          </cell>
          <cell r="C287" t="str">
            <v>Paddle Wheel set</v>
          </cell>
          <cell r="D287" t="str">
            <v>Paddle Wheel set</v>
          </cell>
          <cell r="E287" t="str">
            <v>No</v>
          </cell>
          <cell r="F287">
            <v>10000</v>
          </cell>
          <cell r="G287">
            <v>0</v>
          </cell>
          <cell r="H287">
            <v>0</v>
          </cell>
          <cell r="I287">
            <v>0</v>
          </cell>
          <cell r="J287">
            <v>0</v>
          </cell>
          <cell r="K287">
            <v>0</v>
          </cell>
          <cell r="L287">
            <v>0</v>
          </cell>
          <cell r="M287">
            <v>0</v>
          </cell>
          <cell r="N287">
            <v>0</v>
          </cell>
          <cell r="O287">
            <v>2</v>
          </cell>
          <cell r="P287">
            <v>20000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BD287">
            <v>0</v>
          </cell>
        </row>
        <row r="288">
          <cell r="A288" t="str">
            <v>M-107</v>
          </cell>
          <cell r="C288" t="str">
            <v>Electric Motor for Flash Mixer</v>
          </cell>
          <cell r="D288" t="str">
            <v>Electric Motor for Flash Mixer</v>
          </cell>
          <cell r="E288" t="str">
            <v>No</v>
          </cell>
          <cell r="F288">
            <v>8000</v>
          </cell>
          <cell r="G288">
            <v>0</v>
          </cell>
          <cell r="H288">
            <v>0</v>
          </cell>
          <cell r="I288">
            <v>0</v>
          </cell>
          <cell r="J288">
            <v>0</v>
          </cell>
          <cell r="K288">
            <v>0</v>
          </cell>
          <cell r="L288">
            <v>0</v>
          </cell>
          <cell r="M288">
            <v>0</v>
          </cell>
          <cell r="N288">
            <v>0</v>
          </cell>
          <cell r="O288">
            <v>2</v>
          </cell>
          <cell r="P288">
            <v>16000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0</v>
          </cell>
          <cell r="AT288">
            <v>0</v>
          </cell>
          <cell r="AU288">
            <v>0</v>
          </cell>
          <cell r="AV288">
            <v>0</v>
          </cell>
          <cell r="AW288">
            <v>0</v>
          </cell>
          <cell r="AX288">
            <v>0</v>
          </cell>
          <cell r="BD288">
            <v>0</v>
          </cell>
        </row>
        <row r="289">
          <cell r="A289" t="str">
            <v>M-108</v>
          </cell>
          <cell r="B289" t="str">
            <v>20-40mm river gravel filter filling work</v>
          </cell>
          <cell r="C289" t="str">
            <v>20-40mm river gravel filter filling work</v>
          </cell>
          <cell r="D289" t="str">
            <v>20-40mm river gravel filter filling work</v>
          </cell>
          <cell r="E289" t="str">
            <v>Cum</v>
          </cell>
          <cell r="F289">
            <v>2000</v>
          </cell>
          <cell r="G289">
            <v>393.75</v>
          </cell>
          <cell r="H289">
            <v>787500</v>
          </cell>
          <cell r="I289">
            <v>0</v>
          </cell>
          <cell r="J289">
            <v>0</v>
          </cell>
          <cell r="K289">
            <v>0</v>
          </cell>
          <cell r="L289">
            <v>0</v>
          </cell>
          <cell r="M289">
            <v>0</v>
          </cell>
          <cell r="N289">
            <v>0</v>
          </cell>
          <cell r="O289">
            <v>0</v>
          </cell>
          <cell r="P289">
            <v>0</v>
          </cell>
          <cell r="Q289">
            <v>0</v>
          </cell>
          <cell r="R289">
            <v>0</v>
          </cell>
          <cell r="S289">
            <v>0</v>
          </cell>
          <cell r="T289">
            <v>0</v>
          </cell>
          <cell r="U289">
            <v>393.75</v>
          </cell>
          <cell r="V289">
            <v>787500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BD289">
            <v>393.75</v>
          </cell>
        </row>
        <row r="290">
          <cell r="A290" t="str">
            <v>M-109</v>
          </cell>
          <cell r="B290" t="str">
            <v>10-20mm river gravel filter filling work</v>
          </cell>
          <cell r="C290" t="str">
            <v>10-20mm river gravel filter filling work</v>
          </cell>
          <cell r="D290" t="str">
            <v>10-20mm river gravel filter filling work</v>
          </cell>
          <cell r="E290" t="str">
            <v>Cum</v>
          </cell>
          <cell r="F290">
            <v>2500</v>
          </cell>
          <cell r="G290">
            <v>236.25</v>
          </cell>
          <cell r="H290">
            <v>590625</v>
          </cell>
          <cell r="I290">
            <v>0</v>
          </cell>
          <cell r="J290">
            <v>0</v>
          </cell>
          <cell r="K290">
            <v>0</v>
          </cell>
          <cell r="L290">
            <v>0</v>
          </cell>
          <cell r="M290">
            <v>0</v>
          </cell>
          <cell r="N290">
            <v>0</v>
          </cell>
          <cell r="O290">
            <v>0</v>
          </cell>
          <cell r="P290">
            <v>0</v>
          </cell>
          <cell r="Q290">
            <v>0</v>
          </cell>
          <cell r="R290">
            <v>0</v>
          </cell>
          <cell r="S290">
            <v>0</v>
          </cell>
          <cell r="T290">
            <v>0</v>
          </cell>
          <cell r="U290">
            <v>236.25</v>
          </cell>
          <cell r="V290">
            <v>590625</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BD290">
            <v>236.25</v>
          </cell>
        </row>
        <row r="291">
          <cell r="A291" t="str">
            <v>M-110</v>
          </cell>
          <cell r="B291" t="str">
            <v>4-10mm river gravel filter filling work</v>
          </cell>
          <cell r="C291" t="str">
            <v>4-10mm river gravel filter filling work</v>
          </cell>
          <cell r="D291" t="str">
            <v>4-10mm river gravel filter filling work</v>
          </cell>
          <cell r="E291" t="str">
            <v>Cum</v>
          </cell>
          <cell r="F291">
            <v>3000</v>
          </cell>
          <cell r="G291">
            <v>157.5</v>
          </cell>
          <cell r="H291">
            <v>472500</v>
          </cell>
          <cell r="I291">
            <v>0</v>
          </cell>
          <cell r="J291">
            <v>0</v>
          </cell>
          <cell r="K291">
            <v>0</v>
          </cell>
          <cell r="L291">
            <v>0</v>
          </cell>
          <cell r="M291">
            <v>0</v>
          </cell>
          <cell r="N291">
            <v>0</v>
          </cell>
          <cell r="O291">
            <v>0</v>
          </cell>
          <cell r="P291">
            <v>0</v>
          </cell>
          <cell r="Q291">
            <v>0</v>
          </cell>
          <cell r="R291">
            <v>0</v>
          </cell>
          <cell r="S291">
            <v>0</v>
          </cell>
          <cell r="T291">
            <v>0</v>
          </cell>
          <cell r="U291">
            <v>157.5</v>
          </cell>
          <cell r="V291">
            <v>472500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J291">
            <v>0</v>
          </cell>
          <cell r="AK291">
            <v>0</v>
          </cell>
          <cell r="AL291">
            <v>0</v>
          </cell>
          <cell r="AM291">
            <v>0</v>
          </cell>
          <cell r="AN291">
            <v>0</v>
          </cell>
          <cell r="AO291">
            <v>0</v>
          </cell>
          <cell r="AP291">
            <v>0</v>
          </cell>
          <cell r="AQ291">
            <v>0</v>
          </cell>
          <cell r="AR291">
            <v>0</v>
          </cell>
          <cell r="AS291">
            <v>0</v>
          </cell>
          <cell r="AT291">
            <v>0</v>
          </cell>
          <cell r="AU291">
            <v>0</v>
          </cell>
          <cell r="AV291">
            <v>0</v>
          </cell>
          <cell r="AW291">
            <v>0</v>
          </cell>
          <cell r="AX291">
            <v>0</v>
          </cell>
          <cell r="BD291">
            <v>157.5</v>
          </cell>
        </row>
        <row r="292">
          <cell r="A292" t="str">
            <v>M-111</v>
          </cell>
          <cell r="B292" t="str">
            <v>MS U-Notch</v>
          </cell>
          <cell r="C292" t="str">
            <v>MS U-Notch</v>
          </cell>
          <cell r="D292" t="str">
            <v>MS U-Notch</v>
          </cell>
          <cell r="E292" t="str">
            <v>Job</v>
          </cell>
          <cell r="F292">
            <v>100000</v>
          </cell>
          <cell r="G292">
            <v>1</v>
          </cell>
          <cell r="H292">
            <v>100000</v>
          </cell>
          <cell r="I292">
            <v>0</v>
          </cell>
          <cell r="J292">
            <v>0</v>
          </cell>
          <cell r="K292">
            <v>0</v>
          </cell>
          <cell r="L292">
            <v>0</v>
          </cell>
          <cell r="M292">
            <v>0</v>
          </cell>
          <cell r="N292">
            <v>0</v>
          </cell>
          <cell r="O292">
            <v>0</v>
          </cell>
          <cell r="P292">
            <v>0</v>
          </cell>
          <cell r="Q292">
            <v>0</v>
          </cell>
          <cell r="R292">
            <v>0</v>
          </cell>
          <cell r="S292">
            <v>0</v>
          </cell>
          <cell r="T292">
            <v>0</v>
          </cell>
          <cell r="U292">
            <v>1</v>
          </cell>
          <cell r="V292">
            <v>100000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0</v>
          </cell>
          <cell r="AS292">
            <v>0</v>
          </cell>
          <cell r="AT292">
            <v>0</v>
          </cell>
          <cell r="AU292">
            <v>0</v>
          </cell>
          <cell r="AV292">
            <v>0</v>
          </cell>
          <cell r="AW292">
            <v>0</v>
          </cell>
          <cell r="AX292">
            <v>0</v>
          </cell>
          <cell r="BD292">
            <v>1</v>
          </cell>
        </row>
        <row r="293">
          <cell r="A293" t="str">
            <v>M-112</v>
          </cell>
          <cell r="B293" t="str">
            <v>Barbed Wire</v>
          </cell>
          <cell r="C293" t="str">
            <v>Barbed Wire</v>
          </cell>
          <cell r="D293" t="str">
            <v>Barbed Wire</v>
          </cell>
          <cell r="E293" t="str">
            <v>Kg.</v>
          </cell>
          <cell r="F293">
            <v>65</v>
          </cell>
          <cell r="G293">
            <v>1481.6</v>
          </cell>
          <cell r="H293">
            <v>96304</v>
          </cell>
          <cell r="I293">
            <v>0</v>
          </cell>
          <cell r="J293">
            <v>0</v>
          </cell>
          <cell r="K293">
            <v>0</v>
          </cell>
          <cell r="L293">
            <v>0</v>
          </cell>
          <cell r="M293">
            <v>0</v>
          </cell>
          <cell r="N293">
            <v>0</v>
          </cell>
          <cell r="O293">
            <v>0</v>
          </cell>
          <cell r="P293">
            <v>0</v>
          </cell>
          <cell r="Q293">
            <v>0</v>
          </cell>
          <cell r="R293">
            <v>0</v>
          </cell>
          <cell r="S293">
            <v>0</v>
          </cell>
          <cell r="T293">
            <v>0</v>
          </cell>
          <cell r="U293">
            <v>0</v>
          </cell>
          <cell r="V293">
            <v>0</v>
          </cell>
          <cell r="W293">
            <v>524.79999999999995</v>
          </cell>
          <cell r="X293">
            <v>34112</v>
          </cell>
          <cell r="Y293">
            <v>0</v>
          </cell>
          <cell r="Z293">
            <v>0</v>
          </cell>
          <cell r="AA293">
            <v>0</v>
          </cell>
          <cell r="AB293">
            <v>0</v>
          </cell>
          <cell r="AC293">
            <v>0</v>
          </cell>
          <cell r="AD293">
            <v>0</v>
          </cell>
          <cell r="AE293">
            <v>0</v>
          </cell>
          <cell r="AF293">
            <v>0</v>
          </cell>
          <cell r="AG293">
            <v>0</v>
          </cell>
          <cell r="AH293">
            <v>0</v>
          </cell>
          <cell r="AI293">
            <v>0</v>
          </cell>
          <cell r="AJ293">
            <v>0</v>
          </cell>
          <cell r="AK293">
            <v>0</v>
          </cell>
          <cell r="AL293">
            <v>0</v>
          </cell>
          <cell r="AM293">
            <v>0</v>
          </cell>
          <cell r="AN293">
            <v>0</v>
          </cell>
          <cell r="AO293">
            <v>0</v>
          </cell>
          <cell r="AP293">
            <v>0</v>
          </cell>
          <cell r="AQ293">
            <v>0</v>
          </cell>
          <cell r="AR293">
            <v>0</v>
          </cell>
          <cell r="AS293">
            <v>956.8</v>
          </cell>
          <cell r="AT293">
            <v>62192</v>
          </cell>
          <cell r="AU293">
            <v>0</v>
          </cell>
          <cell r="AV293">
            <v>0</v>
          </cell>
          <cell r="AW293">
            <v>0</v>
          </cell>
          <cell r="AX293">
            <v>0</v>
          </cell>
          <cell r="BD293">
            <v>524.79999999999995</v>
          </cell>
        </row>
        <row r="294">
          <cell r="A294" t="str">
            <v>M-113</v>
          </cell>
          <cell r="C294" t="str">
            <v>Truss Anchoring Work for pipeline in hard rock</v>
          </cell>
          <cell r="D294" t="str">
            <v>Truss Anchoring Work for pipeline in hard rock</v>
          </cell>
          <cell r="E294" t="str">
            <v>rm</v>
          </cell>
          <cell r="F294">
            <v>3238.3428990560419</v>
          </cell>
          <cell r="G294">
            <v>700</v>
          </cell>
          <cell r="H294">
            <v>2266840.0293392292</v>
          </cell>
          <cell r="I294">
            <v>0</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700</v>
          </cell>
          <cell r="AD294">
            <v>2266840.0293392292</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BD294">
            <v>0</v>
          </cell>
        </row>
        <row r="295">
          <cell r="A295" t="str">
            <v>M-114</v>
          </cell>
          <cell r="C295" t="str">
            <v>Staging work for anchoring using MS pipe and wooden plateform</v>
          </cell>
          <cell r="D295" t="str">
            <v>Staging work for anchoring using MS pipe and wooden plateform</v>
          </cell>
          <cell r="E295" t="str">
            <v>Rm</v>
          </cell>
          <cell r="F295">
            <v>750</v>
          </cell>
          <cell r="G295">
            <v>700</v>
          </cell>
          <cell r="H295">
            <v>525000</v>
          </cell>
          <cell r="I295">
            <v>0</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700</v>
          </cell>
          <cell r="AD295">
            <v>525000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BD295">
            <v>0</v>
          </cell>
        </row>
        <row r="296">
          <cell r="A296" t="str">
            <v>M-115</v>
          </cell>
          <cell r="C296" t="str">
            <v>Brass Plate</v>
          </cell>
          <cell r="D296" t="str">
            <v>Brass Plate</v>
          </cell>
          <cell r="E296" t="str">
            <v>No</v>
          </cell>
          <cell r="F296">
            <v>100</v>
          </cell>
          <cell r="G296">
            <v>147</v>
          </cell>
          <cell r="H296">
            <v>14700</v>
          </cell>
          <cell r="I296">
            <v>0</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76</v>
          </cell>
          <cell r="AD296">
            <v>7600</v>
          </cell>
          <cell r="AE296">
            <v>0</v>
          </cell>
          <cell r="AF296">
            <v>0</v>
          </cell>
          <cell r="AG296">
            <v>0</v>
          </cell>
          <cell r="AH296">
            <v>0</v>
          </cell>
          <cell r="AI296">
            <v>0</v>
          </cell>
          <cell r="AJ296">
            <v>0</v>
          </cell>
          <cell r="AK296">
            <v>0</v>
          </cell>
          <cell r="AL296">
            <v>0</v>
          </cell>
          <cell r="AM296">
            <v>0</v>
          </cell>
          <cell r="AN296">
            <v>0</v>
          </cell>
          <cell r="AO296">
            <v>20</v>
          </cell>
          <cell r="AP296">
            <v>2000</v>
          </cell>
          <cell r="AQ296">
            <v>51</v>
          </cell>
          <cell r="AR296">
            <v>5100</v>
          </cell>
          <cell r="AS296">
            <v>0</v>
          </cell>
          <cell r="AT296">
            <v>0</v>
          </cell>
          <cell r="AU296">
            <v>0</v>
          </cell>
          <cell r="AV296">
            <v>0</v>
          </cell>
          <cell r="AW296">
            <v>0</v>
          </cell>
          <cell r="AX296">
            <v>0</v>
          </cell>
          <cell r="BD296">
            <v>0</v>
          </cell>
        </row>
        <row r="297">
          <cell r="A297" t="str">
            <v>M-116</v>
          </cell>
          <cell r="C297" t="str">
            <v>Valve Box</v>
          </cell>
          <cell r="D297" t="str">
            <v>Valve Box</v>
          </cell>
          <cell r="E297" t="str">
            <v>No</v>
          </cell>
          <cell r="F297">
            <v>2500</v>
          </cell>
          <cell r="G297">
            <v>104</v>
          </cell>
          <cell r="H297">
            <v>260000</v>
          </cell>
          <cell r="I297">
            <v>0</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J297">
            <v>0</v>
          </cell>
          <cell r="AK297">
            <v>104</v>
          </cell>
          <cell r="AL297">
            <v>260000</v>
          </cell>
          <cell r="AM297">
            <v>0</v>
          </cell>
          <cell r="AN297">
            <v>0</v>
          </cell>
          <cell r="AO297">
            <v>0</v>
          </cell>
          <cell r="AP297">
            <v>0</v>
          </cell>
          <cell r="AQ297">
            <v>0</v>
          </cell>
          <cell r="AR297">
            <v>0</v>
          </cell>
          <cell r="AS297">
            <v>0</v>
          </cell>
          <cell r="AT297">
            <v>0</v>
          </cell>
          <cell r="AU297">
            <v>0</v>
          </cell>
          <cell r="AV297">
            <v>0</v>
          </cell>
          <cell r="AW297">
            <v>0</v>
          </cell>
          <cell r="AX297">
            <v>0</v>
          </cell>
          <cell r="BD297">
            <v>0</v>
          </cell>
        </row>
        <row r="298">
          <cell r="A298" t="str">
            <v>M-117</v>
          </cell>
          <cell r="C298" t="str">
            <v>Fire Hydrant</v>
          </cell>
          <cell r="D298" t="str">
            <v>Fire Hydrant</v>
          </cell>
          <cell r="E298" t="str">
            <v>No</v>
          </cell>
          <cell r="F298">
            <v>15000</v>
          </cell>
          <cell r="G298">
            <v>16</v>
          </cell>
          <cell r="H298">
            <v>240000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J298">
            <v>0</v>
          </cell>
          <cell r="AK298">
            <v>0</v>
          </cell>
          <cell r="AL298">
            <v>0</v>
          </cell>
          <cell r="AM298">
            <v>2</v>
          </cell>
          <cell r="AN298">
            <v>30000</v>
          </cell>
          <cell r="AO298">
            <v>4</v>
          </cell>
          <cell r="AP298">
            <v>60000</v>
          </cell>
          <cell r="AQ298">
            <v>6</v>
          </cell>
          <cell r="AR298">
            <v>90000</v>
          </cell>
          <cell r="AS298">
            <v>0</v>
          </cell>
          <cell r="AT298">
            <v>0</v>
          </cell>
          <cell r="AU298">
            <v>0</v>
          </cell>
          <cell r="AV298">
            <v>0</v>
          </cell>
          <cell r="AW298">
            <v>0</v>
          </cell>
          <cell r="AX298">
            <v>0</v>
          </cell>
          <cell r="BA298">
            <v>4</v>
          </cell>
          <cell r="BB298">
            <v>60000</v>
          </cell>
          <cell r="BD298">
            <v>0</v>
          </cell>
        </row>
        <row r="299">
          <cell r="A299" t="str">
            <v>M-118</v>
          </cell>
          <cell r="C299" t="str">
            <v>CI Manhole</v>
          </cell>
          <cell r="D299" t="str">
            <v>CI Manhole</v>
          </cell>
          <cell r="E299" t="str">
            <v>No</v>
          </cell>
          <cell r="F299">
            <v>8000</v>
          </cell>
          <cell r="G299">
            <v>12</v>
          </cell>
          <cell r="H299">
            <v>96000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12</v>
          </cell>
          <cell r="AT299">
            <v>96000</v>
          </cell>
          <cell r="AU299">
            <v>0</v>
          </cell>
          <cell r="AV299">
            <v>0</v>
          </cell>
          <cell r="AW299">
            <v>0</v>
          </cell>
          <cell r="AX299">
            <v>0</v>
          </cell>
          <cell r="BD299">
            <v>0</v>
          </cell>
        </row>
        <row r="300">
          <cell r="A300" t="str">
            <v>E-1</v>
          </cell>
          <cell r="C300" t="str">
            <v>Supply, installation and commissioning  of Main Distribution Board(MDB) wall mounting concealed type, dust and vermin proofmade of 16 SWG mildsteel sheet cubical with double covercovering the MCB with the locking arrangement as perdrawing and specificatio</v>
          </cell>
          <cell r="D300" t="str">
            <v>Supply, installation and commissioning  of Main Distribution Board(MDB) wall mounting concealed type, dust and vermin proofmade of 16 SWG mildsteel sheet cubical with double covercovering the MCB with the locking arrangement as perdrawing and specificatio</v>
          </cell>
          <cell r="E300" t="str">
            <v>No</v>
          </cell>
          <cell r="F300">
            <v>3936</v>
          </cell>
          <cell r="G300">
            <v>1</v>
          </cell>
          <cell r="H300">
            <v>3936</v>
          </cell>
          <cell r="I300">
            <v>0</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0</v>
          </cell>
          <cell r="Y300">
            <v>1</v>
          </cell>
          <cell r="Z300">
            <v>3936</v>
          </cell>
          <cell r="AA300">
            <v>0</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BD300">
            <v>0</v>
          </cell>
        </row>
        <row r="301">
          <cell r="A301" t="str">
            <v>E-2</v>
          </cell>
          <cell r="C301" t="str">
            <v>Supply and installation of light point wiring from DB tovarious points with2 nos of 3/22 PVC insulated copper wirethrough 20 mm internal dia HDPEconduit concealed via junction box as per drawing and specificationincluding the cost of switch and metal box</v>
          </cell>
          <cell r="D301" t="str">
            <v>Supply and installation of light point wiring from DB tovarious points with2 nos of 3/22 PVC insulated copper wirethrough 20 mm internal dia HDPEconduit concealed via junction box as per drawing and specificationincluding the cost of switch and metal box</v>
          </cell>
          <cell r="E301" t="str">
            <v>No</v>
          </cell>
          <cell r="F301">
            <v>426</v>
          </cell>
          <cell r="G301">
            <v>25</v>
          </cell>
          <cell r="H301">
            <v>10650</v>
          </cell>
          <cell r="I301">
            <v>0</v>
          </cell>
          <cell r="J301">
            <v>0</v>
          </cell>
          <cell r="K301">
            <v>0</v>
          </cell>
          <cell r="L301">
            <v>0</v>
          </cell>
          <cell r="M301">
            <v>0</v>
          </cell>
          <cell r="N301">
            <v>0</v>
          </cell>
          <cell r="O301">
            <v>0</v>
          </cell>
          <cell r="P301">
            <v>0</v>
          </cell>
          <cell r="Q301">
            <v>0</v>
          </cell>
          <cell r="R301">
            <v>0</v>
          </cell>
          <cell r="S301">
            <v>0</v>
          </cell>
          <cell r="T301">
            <v>0</v>
          </cell>
          <cell r="U301">
            <v>0</v>
          </cell>
          <cell r="V301">
            <v>0</v>
          </cell>
          <cell r="W301">
            <v>0</v>
          </cell>
          <cell r="X301">
            <v>0</v>
          </cell>
          <cell r="Y301">
            <v>17</v>
          </cell>
          <cell r="Z301">
            <v>7242</v>
          </cell>
          <cell r="AA301">
            <v>0</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8</v>
          </cell>
          <cell r="AX301">
            <v>3408</v>
          </cell>
          <cell r="BD301">
            <v>0</v>
          </cell>
        </row>
        <row r="302">
          <cell r="A302" t="str">
            <v>E-3</v>
          </cell>
          <cell r="C302" t="str">
            <v>Supply and installation of  3 pin (15 A) socket point wiringwith2 nos of7/22 + 1no of 1/18 pvc insulated copper wiresthrough 20 mm internal diaHDPE conduit concealed from SDB to various points as per drawing andspecification including the cost of Switch s</v>
          </cell>
          <cell r="D302" t="str">
            <v>Supply and installation of  3 pin (15 A) socket point wiringwith2 nos of7/22 + 1no of 1/18 pvc insulated copper wiresthrough 20 mm internal diaHDPE conduit concealed from SDB to various points as per drawing andspecification including the cost of Switch s</v>
          </cell>
          <cell r="E302" t="str">
            <v>No</v>
          </cell>
          <cell r="F302">
            <v>610</v>
          </cell>
          <cell r="G302">
            <v>9</v>
          </cell>
          <cell r="H302">
            <v>5490</v>
          </cell>
          <cell r="I302">
            <v>0</v>
          </cell>
          <cell r="J302">
            <v>0</v>
          </cell>
          <cell r="K302">
            <v>0</v>
          </cell>
          <cell r="L302">
            <v>0</v>
          </cell>
          <cell r="M302">
            <v>0</v>
          </cell>
          <cell r="N302">
            <v>0</v>
          </cell>
          <cell r="O302">
            <v>0</v>
          </cell>
          <cell r="P302">
            <v>0</v>
          </cell>
          <cell r="Q302">
            <v>0</v>
          </cell>
          <cell r="R302">
            <v>0</v>
          </cell>
          <cell r="S302">
            <v>0</v>
          </cell>
          <cell r="T302">
            <v>0</v>
          </cell>
          <cell r="U302">
            <v>0</v>
          </cell>
          <cell r="V302">
            <v>0</v>
          </cell>
          <cell r="W302">
            <v>0</v>
          </cell>
          <cell r="X302">
            <v>0</v>
          </cell>
          <cell r="Y302">
            <v>7</v>
          </cell>
          <cell r="Z302">
            <v>4270</v>
          </cell>
          <cell r="AA302">
            <v>0</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2</v>
          </cell>
          <cell r="AX302">
            <v>1220</v>
          </cell>
          <cell r="BD302">
            <v>0</v>
          </cell>
        </row>
        <row r="303">
          <cell r="A303">
            <v>4</v>
          </cell>
          <cell r="C303" t="str">
            <v>Supply and installation of  2 pin ( 5 A)socket point wiring with2 nos of3/20 pvc insulated copper wires through 20 mminternal dia HDPE conduitconcealed from SDB to variouspoints as per drawing and specification including the cost of Switch socket and meta</v>
          </cell>
          <cell r="D303" t="str">
            <v>Supply and installation of  2 pin ( 5 A)socket point wiring with2 nos of3/20 pvc insulated copper wires through 20 mminternal dia HDPE conduitconcealed from SDB to variouspoints as per drawing and specification including the cost of Switch socket and meta</v>
          </cell>
          <cell r="E303" t="str">
            <v>No</v>
          </cell>
          <cell r="F303">
            <v>476</v>
          </cell>
          <cell r="G303">
            <v>2</v>
          </cell>
          <cell r="H303">
            <v>952</v>
          </cell>
          <cell r="I303">
            <v>0</v>
          </cell>
          <cell r="J303">
            <v>0</v>
          </cell>
          <cell r="K303">
            <v>0</v>
          </cell>
          <cell r="L303">
            <v>0</v>
          </cell>
          <cell r="M303">
            <v>0</v>
          </cell>
          <cell r="N303">
            <v>0</v>
          </cell>
          <cell r="O303">
            <v>0</v>
          </cell>
          <cell r="P303">
            <v>0</v>
          </cell>
          <cell r="Q303">
            <v>0</v>
          </cell>
          <cell r="R303">
            <v>0</v>
          </cell>
          <cell r="S303">
            <v>0</v>
          </cell>
          <cell r="T303">
            <v>0</v>
          </cell>
          <cell r="U303">
            <v>0</v>
          </cell>
          <cell r="V303">
            <v>0</v>
          </cell>
          <cell r="W303">
            <v>0</v>
          </cell>
          <cell r="X303">
            <v>0</v>
          </cell>
          <cell r="Y303">
            <v>2</v>
          </cell>
          <cell r="Z303">
            <v>952</v>
          </cell>
          <cell r="AA303">
            <v>0</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0</v>
          </cell>
          <cell r="AS303">
            <v>0</v>
          </cell>
          <cell r="AT303">
            <v>0</v>
          </cell>
          <cell r="AU303">
            <v>0</v>
          </cell>
          <cell r="AV303">
            <v>0</v>
          </cell>
          <cell r="AW303">
            <v>0</v>
          </cell>
          <cell r="AX303">
            <v>0</v>
          </cell>
          <cell r="BD303">
            <v>0</v>
          </cell>
        </row>
        <row r="304">
          <cell r="A304" t="str">
            <v>E-4</v>
          </cell>
          <cell r="C304" t="str">
            <v>Supply and installation of 9'' sweep  exhaust fan as per drawing andspecification including GI sheet boxing.</v>
          </cell>
          <cell r="D304" t="str">
            <v>Supply and installation of 9'' sweep  exhaust fan as per drawing andspecification including GI sheet boxing.</v>
          </cell>
          <cell r="E304" t="str">
            <v>No</v>
          </cell>
          <cell r="F304">
            <v>2447</v>
          </cell>
          <cell r="G304">
            <v>6</v>
          </cell>
          <cell r="H304">
            <v>14682</v>
          </cell>
          <cell r="I304">
            <v>0</v>
          </cell>
          <cell r="J304">
            <v>0</v>
          </cell>
          <cell r="K304">
            <v>0</v>
          </cell>
          <cell r="L304">
            <v>0</v>
          </cell>
          <cell r="M304">
            <v>0</v>
          </cell>
          <cell r="N304">
            <v>0</v>
          </cell>
          <cell r="O304">
            <v>0</v>
          </cell>
          <cell r="P304">
            <v>0</v>
          </cell>
          <cell r="Q304">
            <v>0</v>
          </cell>
          <cell r="R304">
            <v>0</v>
          </cell>
          <cell r="S304">
            <v>0</v>
          </cell>
          <cell r="T304">
            <v>0</v>
          </cell>
          <cell r="U304">
            <v>0</v>
          </cell>
          <cell r="V304">
            <v>0</v>
          </cell>
          <cell r="W304">
            <v>0</v>
          </cell>
          <cell r="X304">
            <v>0</v>
          </cell>
          <cell r="Y304">
            <v>2</v>
          </cell>
          <cell r="Z304">
            <v>4894</v>
          </cell>
          <cell r="AA304">
            <v>0</v>
          </cell>
          <cell r="AB304">
            <v>0</v>
          </cell>
          <cell r="AC304">
            <v>0</v>
          </cell>
          <cell r="AD304">
            <v>0</v>
          </cell>
          <cell r="AE304">
            <v>0</v>
          </cell>
          <cell r="AF304">
            <v>0</v>
          </cell>
          <cell r="AG304">
            <v>0</v>
          </cell>
          <cell r="AH304">
            <v>0</v>
          </cell>
          <cell r="AI304">
            <v>0</v>
          </cell>
          <cell r="AJ304">
            <v>0</v>
          </cell>
          <cell r="AK304">
            <v>0</v>
          </cell>
          <cell r="AL304">
            <v>0</v>
          </cell>
          <cell r="AM304">
            <v>0</v>
          </cell>
          <cell r="AN304">
            <v>0</v>
          </cell>
          <cell r="AO304">
            <v>0</v>
          </cell>
          <cell r="AP304">
            <v>0</v>
          </cell>
          <cell r="AQ304">
            <v>0</v>
          </cell>
          <cell r="AR304">
            <v>0</v>
          </cell>
          <cell r="AS304">
            <v>0</v>
          </cell>
          <cell r="AT304">
            <v>0</v>
          </cell>
          <cell r="AU304">
            <v>0</v>
          </cell>
          <cell r="AV304">
            <v>0</v>
          </cell>
          <cell r="AW304">
            <v>4</v>
          </cell>
          <cell r="AX304">
            <v>9788</v>
          </cell>
          <cell r="BD304">
            <v>0</v>
          </cell>
        </row>
        <row r="305">
          <cell r="A305" t="str">
            <v>E-5</v>
          </cell>
          <cell r="C305" t="str">
            <v>Supply and installation of 42'' sweep  ceiling fan as per drawing andspecification including GI sheet boxing.</v>
          </cell>
          <cell r="D305" t="str">
            <v>Supply and installation of 42'' sweep  ceiling fan as per drawing andspecification including GI sheet boxing.</v>
          </cell>
          <cell r="E305" t="str">
            <v>No</v>
          </cell>
          <cell r="F305">
            <v>2447</v>
          </cell>
          <cell r="G305">
            <v>6</v>
          </cell>
          <cell r="H305">
            <v>14682</v>
          </cell>
          <cell r="I305">
            <v>0</v>
          </cell>
          <cell r="J305">
            <v>0</v>
          </cell>
          <cell r="K305">
            <v>0</v>
          </cell>
          <cell r="L305">
            <v>0</v>
          </cell>
          <cell r="M305">
            <v>0</v>
          </cell>
          <cell r="N305">
            <v>0</v>
          </cell>
          <cell r="O305">
            <v>0</v>
          </cell>
          <cell r="P305">
            <v>0</v>
          </cell>
          <cell r="Q305">
            <v>0</v>
          </cell>
          <cell r="R305">
            <v>0</v>
          </cell>
          <cell r="S305">
            <v>0</v>
          </cell>
          <cell r="T305">
            <v>0</v>
          </cell>
          <cell r="U305">
            <v>0</v>
          </cell>
          <cell r="V305">
            <v>0</v>
          </cell>
          <cell r="W305">
            <v>0</v>
          </cell>
          <cell r="X305">
            <v>0</v>
          </cell>
          <cell r="Y305">
            <v>2</v>
          </cell>
          <cell r="Z305">
            <v>4894</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4</v>
          </cell>
          <cell r="AX305">
            <v>9788</v>
          </cell>
          <cell r="BD305">
            <v>0</v>
          </cell>
        </row>
        <row r="306">
          <cell r="A306" t="str">
            <v>E-6</v>
          </cell>
          <cell r="C306" t="str">
            <v>Supply and installation of earth electrode made of 30cm x 30cm x 3mmcopper plate including 8 SWG bare copper wireconnection to DB's.</v>
          </cell>
          <cell r="D306" t="str">
            <v>Supply and installation of earth electrode made of 30cm x 30cm x 3mmcopper plate including 8 SWG bare copper wireconnection to DB's.</v>
          </cell>
          <cell r="E306" t="str">
            <v>Set</v>
          </cell>
          <cell r="F306">
            <v>6758</v>
          </cell>
          <cell r="G306">
            <v>2</v>
          </cell>
          <cell r="H306">
            <v>13516</v>
          </cell>
          <cell r="I306">
            <v>0</v>
          </cell>
          <cell r="J306">
            <v>0</v>
          </cell>
          <cell r="K306">
            <v>0</v>
          </cell>
          <cell r="L306">
            <v>0</v>
          </cell>
          <cell r="M306">
            <v>0</v>
          </cell>
          <cell r="N306">
            <v>0</v>
          </cell>
          <cell r="O306">
            <v>0</v>
          </cell>
          <cell r="P306">
            <v>0</v>
          </cell>
          <cell r="Q306">
            <v>0</v>
          </cell>
          <cell r="R306">
            <v>0</v>
          </cell>
          <cell r="S306">
            <v>0</v>
          </cell>
          <cell r="T306">
            <v>0</v>
          </cell>
          <cell r="U306">
            <v>0</v>
          </cell>
          <cell r="V306">
            <v>0</v>
          </cell>
          <cell r="W306">
            <v>0</v>
          </cell>
          <cell r="X306">
            <v>0</v>
          </cell>
          <cell r="Y306">
            <v>1</v>
          </cell>
          <cell r="Z306">
            <v>6758</v>
          </cell>
          <cell r="AA306">
            <v>0</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1</v>
          </cell>
          <cell r="AX306">
            <v>6758</v>
          </cell>
          <cell r="BD306">
            <v>0</v>
          </cell>
        </row>
        <row r="307">
          <cell r="A307" t="str">
            <v>E-7</v>
          </cell>
          <cell r="C307" t="str">
            <v>Chieseling, laying conduits cables the main line distribution from MDB toFloor DB,s with 2 x 7/16 size cable in 20 mm HDPE consduit.</v>
          </cell>
          <cell r="D307" t="str">
            <v>Chieseling, laying conduits cables the main line distribution from MDB toFloor DB,s with 2 x 7/16 size cable in 20 mm HDPE consduit.</v>
          </cell>
          <cell r="E307" t="str">
            <v>Job</v>
          </cell>
          <cell r="F307">
            <v>149</v>
          </cell>
          <cell r="G307">
            <v>13</v>
          </cell>
          <cell r="H307">
            <v>1937</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7</v>
          </cell>
          <cell r="Z307">
            <v>1043</v>
          </cell>
          <cell r="AA307">
            <v>0</v>
          </cell>
          <cell r="AB307">
            <v>0</v>
          </cell>
          <cell r="AC307">
            <v>0</v>
          </cell>
          <cell r="AD307">
            <v>0</v>
          </cell>
          <cell r="AE307">
            <v>0</v>
          </cell>
          <cell r="AF307">
            <v>0</v>
          </cell>
          <cell r="AG307">
            <v>0</v>
          </cell>
          <cell r="AH307">
            <v>0</v>
          </cell>
          <cell r="AI307">
            <v>0</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6</v>
          </cell>
          <cell r="AX307">
            <v>894</v>
          </cell>
          <cell r="BD307">
            <v>0</v>
          </cell>
        </row>
        <row r="308">
          <cell r="A308" t="str">
            <v>F-1</v>
          </cell>
          <cell r="C308" t="str">
            <v>Made of 25x38mm MS angle and 3x18mm MS Strip with metal polish all complete</v>
          </cell>
          <cell r="D308" t="str">
            <v>Made of 25x38mm MS angle and 3x18mm MS Strip with metal polish all complete</v>
          </cell>
          <cell r="E308" t="str">
            <v>no</v>
          </cell>
          <cell r="F308">
            <v>3000</v>
          </cell>
          <cell r="G308">
            <v>1</v>
          </cell>
          <cell r="H308">
            <v>3000</v>
          </cell>
          <cell r="I308">
            <v>0</v>
          </cell>
          <cell r="J308">
            <v>0</v>
          </cell>
          <cell r="K308">
            <v>0</v>
          </cell>
          <cell r="L308">
            <v>0</v>
          </cell>
          <cell r="M308">
            <v>0</v>
          </cell>
          <cell r="N308">
            <v>0</v>
          </cell>
          <cell r="O308">
            <v>0</v>
          </cell>
          <cell r="P308">
            <v>0</v>
          </cell>
          <cell r="Q308">
            <v>0</v>
          </cell>
          <cell r="R308">
            <v>0</v>
          </cell>
          <cell r="S308">
            <v>0</v>
          </cell>
          <cell r="T308">
            <v>0</v>
          </cell>
          <cell r="U308">
            <v>0</v>
          </cell>
          <cell r="V308">
            <v>0</v>
          </cell>
          <cell r="W308">
            <v>0</v>
          </cell>
          <cell r="X308">
            <v>0</v>
          </cell>
          <cell r="Y308">
            <v>1</v>
          </cell>
          <cell r="Z308">
            <v>3000</v>
          </cell>
          <cell r="AA308">
            <v>0</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BD308">
            <v>0</v>
          </cell>
        </row>
        <row r="309">
          <cell r="A309" t="str">
            <v>F-2</v>
          </cell>
          <cell r="C309" t="str">
            <v>Made of 25x38mm MS angle and 3x18mm MS Strip with metal polish all complete</v>
          </cell>
          <cell r="D309" t="str">
            <v>Made of 25x38mm MS angle and 3x18mm MS Strip with metal polish all complete</v>
          </cell>
          <cell r="E309" t="str">
            <v>no</v>
          </cell>
          <cell r="F309">
            <v>3000</v>
          </cell>
          <cell r="G309">
            <v>3</v>
          </cell>
          <cell r="H309">
            <v>9000</v>
          </cell>
          <cell r="I309">
            <v>0</v>
          </cell>
          <cell r="J309">
            <v>0</v>
          </cell>
          <cell r="K309">
            <v>0</v>
          </cell>
          <cell r="L309">
            <v>0</v>
          </cell>
          <cell r="M309">
            <v>0</v>
          </cell>
          <cell r="N309">
            <v>0</v>
          </cell>
          <cell r="O309">
            <v>0</v>
          </cell>
          <cell r="P309">
            <v>0</v>
          </cell>
          <cell r="Q309">
            <v>0</v>
          </cell>
          <cell r="R309">
            <v>0</v>
          </cell>
          <cell r="S309">
            <v>0</v>
          </cell>
          <cell r="T309">
            <v>0</v>
          </cell>
          <cell r="U309">
            <v>0</v>
          </cell>
          <cell r="V309">
            <v>0</v>
          </cell>
          <cell r="W309">
            <v>0</v>
          </cell>
          <cell r="X309">
            <v>0</v>
          </cell>
          <cell r="Y309">
            <v>3</v>
          </cell>
          <cell r="Z309">
            <v>9000</v>
          </cell>
          <cell r="AA309">
            <v>0</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BD309">
            <v>0</v>
          </cell>
        </row>
        <row r="310">
          <cell r="A310" t="str">
            <v>F-3</v>
          </cell>
          <cell r="C310" t="str">
            <v>Made of sisam wood of 25x38mm section, dunlop at seat and back rest with rexin cover, having hand rest, 3 coats chapra polish all complete</v>
          </cell>
          <cell r="D310" t="str">
            <v>Made of sisam wood of 25x38mm section, dunlop at seat and back rest with rexin cover, having hand rest, 3 coats chapra polish all complete</v>
          </cell>
          <cell r="E310" t="str">
            <v>no</v>
          </cell>
          <cell r="F310">
            <v>1800</v>
          </cell>
          <cell r="G310">
            <v>2</v>
          </cell>
          <cell r="H310">
            <v>3600</v>
          </cell>
          <cell r="I310">
            <v>0</v>
          </cell>
          <cell r="J310">
            <v>0</v>
          </cell>
          <cell r="K310">
            <v>0</v>
          </cell>
          <cell r="L310">
            <v>0</v>
          </cell>
          <cell r="M310">
            <v>0</v>
          </cell>
          <cell r="N310">
            <v>0</v>
          </cell>
          <cell r="O310">
            <v>0</v>
          </cell>
          <cell r="P310">
            <v>0</v>
          </cell>
          <cell r="Q310">
            <v>0</v>
          </cell>
          <cell r="R310">
            <v>0</v>
          </cell>
          <cell r="S310">
            <v>0</v>
          </cell>
          <cell r="T310">
            <v>0</v>
          </cell>
          <cell r="U310">
            <v>0</v>
          </cell>
          <cell r="V310">
            <v>0</v>
          </cell>
          <cell r="W310">
            <v>0</v>
          </cell>
          <cell r="X310">
            <v>0</v>
          </cell>
          <cell r="Y310">
            <v>2</v>
          </cell>
          <cell r="Z310">
            <v>3600</v>
          </cell>
          <cell r="AA310">
            <v>0</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0</v>
          </cell>
          <cell r="AS310">
            <v>0</v>
          </cell>
          <cell r="AT310">
            <v>0</v>
          </cell>
          <cell r="AU310">
            <v>0</v>
          </cell>
          <cell r="AV310">
            <v>0</v>
          </cell>
          <cell r="AW310">
            <v>0</v>
          </cell>
          <cell r="AX310">
            <v>0</v>
          </cell>
          <cell r="BD310">
            <v>0</v>
          </cell>
        </row>
        <row r="311">
          <cell r="A311" t="str">
            <v>F-4</v>
          </cell>
          <cell r="C311" t="str">
            <v>MS cupboard made of 20 gauge MS Sheet for Clothes Store : Godrej or Equivalent</v>
          </cell>
          <cell r="D311" t="str">
            <v>MS cupboard made of 20 gauge MS Sheet for Clothes Store : Godrej or Equivalent</v>
          </cell>
          <cell r="E311" t="str">
            <v>no</v>
          </cell>
          <cell r="F311">
            <v>9000</v>
          </cell>
          <cell r="G311">
            <v>1</v>
          </cell>
          <cell r="H311">
            <v>9000</v>
          </cell>
          <cell r="I311">
            <v>0</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0</v>
          </cell>
          <cell r="Y311">
            <v>1</v>
          </cell>
          <cell r="Z311">
            <v>9000</v>
          </cell>
          <cell r="AA311">
            <v>0</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0</v>
          </cell>
          <cell r="AT311">
            <v>0</v>
          </cell>
          <cell r="AU311">
            <v>0</v>
          </cell>
          <cell r="AV311">
            <v>0</v>
          </cell>
          <cell r="AW311">
            <v>0</v>
          </cell>
          <cell r="AX311">
            <v>0</v>
          </cell>
          <cell r="BD311">
            <v>0</v>
          </cell>
        </row>
        <row r="312">
          <cell r="A312" t="str">
            <v>F-5</v>
          </cell>
          <cell r="C312" t="str">
            <v>Single Bed made of 50x75 salwood section</v>
          </cell>
          <cell r="D312" t="str">
            <v>Single Bed made of 50x75 salwood section</v>
          </cell>
          <cell r="E312" t="str">
            <v>no</v>
          </cell>
          <cell r="F312">
            <v>4500</v>
          </cell>
          <cell r="G312">
            <v>4</v>
          </cell>
          <cell r="H312">
            <v>18000</v>
          </cell>
          <cell r="I312">
            <v>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0</v>
          </cell>
          <cell r="Y312">
            <v>4</v>
          </cell>
          <cell r="Z312">
            <v>18000</v>
          </cell>
          <cell r="AA312">
            <v>0</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BD312">
            <v>0</v>
          </cell>
        </row>
        <row r="313">
          <cell r="A313" t="str">
            <v>Lab-1</v>
          </cell>
          <cell r="C313" t="str">
            <v>Laboratory Equipment</v>
          </cell>
          <cell r="D313" t="str">
            <v>Laboratory Equipment</v>
          </cell>
          <cell r="E313" t="str">
            <v>Set</v>
          </cell>
          <cell r="F313">
            <v>318505</v>
          </cell>
          <cell r="G313">
            <v>1</v>
          </cell>
          <cell r="H313">
            <v>318505</v>
          </cell>
          <cell r="I313">
            <v>0</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0</v>
          </cell>
          <cell r="Y313">
            <v>1</v>
          </cell>
          <cell r="Z313">
            <v>318505</v>
          </cell>
          <cell r="AA313">
            <v>0</v>
          </cell>
          <cell r="AB313">
            <v>0</v>
          </cell>
          <cell r="AC313">
            <v>0</v>
          </cell>
          <cell r="AD313">
            <v>0</v>
          </cell>
          <cell r="AE313">
            <v>0</v>
          </cell>
          <cell r="AF313">
            <v>0</v>
          </cell>
          <cell r="AG313">
            <v>0</v>
          </cell>
          <cell r="AH313">
            <v>0</v>
          </cell>
          <cell r="AI313">
            <v>0</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BD313">
            <v>0</v>
          </cell>
        </row>
        <row r="314">
          <cell r="A314" t="str">
            <v>Lab-2</v>
          </cell>
          <cell r="C314" t="str">
            <v>Glassware</v>
          </cell>
          <cell r="D314" t="str">
            <v>Glassware</v>
          </cell>
          <cell r="E314" t="str">
            <v>Set</v>
          </cell>
          <cell r="F314">
            <v>110000</v>
          </cell>
          <cell r="G314">
            <v>1</v>
          </cell>
          <cell r="H314">
            <v>110000</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1</v>
          </cell>
          <cell r="Z314">
            <v>110000</v>
          </cell>
          <cell r="AA314">
            <v>0</v>
          </cell>
          <cell r="AB314">
            <v>0</v>
          </cell>
          <cell r="AC314">
            <v>0</v>
          </cell>
          <cell r="AD314">
            <v>0</v>
          </cell>
          <cell r="AE314">
            <v>0</v>
          </cell>
          <cell r="AF314">
            <v>0</v>
          </cell>
          <cell r="AG314">
            <v>0</v>
          </cell>
          <cell r="AH314">
            <v>0</v>
          </cell>
          <cell r="AI314">
            <v>0</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BD314">
            <v>0</v>
          </cell>
        </row>
        <row r="315">
          <cell r="A315" t="str">
            <v>Lab-3</v>
          </cell>
          <cell r="C315" t="str">
            <v>Chemicals and Reagents</v>
          </cell>
          <cell r="D315" t="str">
            <v>Chemicals and Reagents</v>
          </cell>
          <cell r="E315" t="str">
            <v>Set</v>
          </cell>
          <cell r="F315">
            <v>44000</v>
          </cell>
          <cell r="G315">
            <v>1</v>
          </cell>
          <cell r="H315">
            <v>44000</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1</v>
          </cell>
          <cell r="Z315">
            <v>44000</v>
          </cell>
          <cell r="AA315">
            <v>0</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0</v>
          </cell>
          <cell r="AS315">
            <v>0</v>
          </cell>
          <cell r="AT315">
            <v>0</v>
          </cell>
          <cell r="AU315">
            <v>0</v>
          </cell>
          <cell r="AV315">
            <v>0</v>
          </cell>
          <cell r="AW315">
            <v>0</v>
          </cell>
          <cell r="AX315">
            <v>0</v>
          </cell>
          <cell r="BD315">
            <v>0</v>
          </cell>
        </row>
        <row r="316">
          <cell r="A316" t="str">
            <v>PS-1</v>
          </cell>
          <cell r="C316" t="str">
            <v>Provisional Sum for unforseen works e.g. Road crossing, change of electrical poles etc.</v>
          </cell>
          <cell r="D316" t="str">
            <v>Provisional Sum for unforseen works e.g. Road crossing, change of electrical poles etc.</v>
          </cell>
          <cell r="E316" t="str">
            <v>Job</v>
          </cell>
          <cell r="F316">
            <v>300000</v>
          </cell>
          <cell r="G316">
            <v>2</v>
          </cell>
          <cell r="H316">
            <v>600000</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J316">
            <v>0</v>
          </cell>
          <cell r="AK316">
            <v>0</v>
          </cell>
          <cell r="AL316">
            <v>0</v>
          </cell>
          <cell r="AM316">
            <v>0</v>
          </cell>
          <cell r="AN316">
            <v>0</v>
          </cell>
          <cell r="AO316">
            <v>1</v>
          </cell>
          <cell r="AP316">
            <v>300000</v>
          </cell>
          <cell r="AQ316">
            <v>1</v>
          </cell>
          <cell r="AR316">
            <v>300000</v>
          </cell>
          <cell r="AS316">
            <v>0</v>
          </cell>
          <cell r="AT316">
            <v>0</v>
          </cell>
          <cell r="AU316">
            <v>0</v>
          </cell>
          <cell r="AV316">
            <v>0</v>
          </cell>
          <cell r="AW316">
            <v>0</v>
          </cell>
          <cell r="AX316">
            <v>0</v>
          </cell>
          <cell r="BD316">
            <v>0</v>
          </cell>
        </row>
        <row r="317">
          <cell r="A317" t="str">
            <v>LT-trans</v>
          </cell>
          <cell r="C317" t="str">
            <v>Local Transportation and Portering</v>
          </cell>
          <cell r="D317" t="str">
            <v>Local Transportation and Portering</v>
          </cell>
          <cell r="E317" t="str">
            <v>Job</v>
          </cell>
          <cell r="F317">
            <v>1072324.512042453</v>
          </cell>
          <cell r="G317">
            <v>1</v>
          </cell>
          <cell r="H317">
            <v>1072324.512042453</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1</v>
          </cell>
          <cell r="AD317">
            <v>1072324.512042453</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BD317">
            <v>0</v>
          </cell>
        </row>
        <row r="318">
          <cell r="A318" t="str">
            <v>LT-2</v>
          </cell>
          <cell r="C318" t="str">
            <v>Local Transportation and Portering</v>
          </cell>
          <cell r="D318" t="str">
            <v>Local Transportation and Portering</v>
          </cell>
          <cell r="E318" t="str">
            <v>Job</v>
          </cell>
          <cell r="F318">
            <v>29113.704510641102</v>
          </cell>
          <cell r="G318">
            <v>1</v>
          </cell>
          <cell r="H318">
            <v>29113.704510641102</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J318">
            <v>0</v>
          </cell>
          <cell r="AK318">
            <v>0</v>
          </cell>
          <cell r="AL318">
            <v>0</v>
          </cell>
          <cell r="AM318">
            <v>1</v>
          </cell>
          <cell r="AN318">
            <v>29113.704510641102</v>
          </cell>
          <cell r="AO318">
            <v>0</v>
          </cell>
          <cell r="AP318">
            <v>0</v>
          </cell>
          <cell r="AQ318">
            <v>0</v>
          </cell>
          <cell r="AR318">
            <v>0</v>
          </cell>
          <cell r="AS318">
            <v>0</v>
          </cell>
          <cell r="AT318">
            <v>0</v>
          </cell>
          <cell r="AU318">
            <v>0</v>
          </cell>
          <cell r="AV318">
            <v>0</v>
          </cell>
          <cell r="AW318">
            <v>0</v>
          </cell>
          <cell r="AX318">
            <v>0</v>
          </cell>
          <cell r="BD318">
            <v>0</v>
          </cell>
        </row>
        <row r="319">
          <cell r="A319" t="str">
            <v>LT-8</v>
          </cell>
          <cell r="C319" t="str">
            <v>Local Transportation and Portering</v>
          </cell>
          <cell r="D319" t="str">
            <v>Local Transportation and Portering</v>
          </cell>
          <cell r="E319" t="str">
            <v>Job</v>
          </cell>
          <cell r="F319">
            <v>12068.512618029963</v>
          </cell>
          <cell r="G319">
            <v>1</v>
          </cell>
          <cell r="H319">
            <v>12068.512618029963</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1</v>
          </cell>
          <cell r="AP319">
            <v>12068.512618029963</v>
          </cell>
          <cell r="AQ319">
            <v>0</v>
          </cell>
          <cell r="AR319">
            <v>0</v>
          </cell>
          <cell r="AS319">
            <v>0</v>
          </cell>
          <cell r="AT319">
            <v>0</v>
          </cell>
          <cell r="AU319">
            <v>0</v>
          </cell>
          <cell r="AV319">
            <v>0</v>
          </cell>
          <cell r="AW319">
            <v>0</v>
          </cell>
          <cell r="AX319">
            <v>0</v>
          </cell>
          <cell r="BD319">
            <v>0</v>
          </cell>
        </row>
        <row r="320">
          <cell r="A320" t="str">
            <v>LT-9</v>
          </cell>
          <cell r="C320" t="str">
            <v>Local Transportation and Portering</v>
          </cell>
          <cell r="D320" t="str">
            <v>Local Transportation and Portering</v>
          </cell>
          <cell r="E320" t="str">
            <v>Job</v>
          </cell>
          <cell r="F320">
            <v>71877.805158061848</v>
          </cell>
          <cell r="G320">
            <v>1</v>
          </cell>
          <cell r="H320">
            <v>71877.805158061848</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J320">
            <v>0</v>
          </cell>
          <cell r="AK320">
            <v>0</v>
          </cell>
          <cell r="AL320">
            <v>0</v>
          </cell>
          <cell r="AM320">
            <v>0</v>
          </cell>
          <cell r="AN320">
            <v>0</v>
          </cell>
          <cell r="AO320">
            <v>0</v>
          </cell>
          <cell r="AP320">
            <v>0</v>
          </cell>
          <cell r="AQ320">
            <v>1</v>
          </cell>
          <cell r="AR320">
            <v>71877.805158061848</v>
          </cell>
          <cell r="AS320">
            <v>0</v>
          </cell>
          <cell r="AT320">
            <v>0</v>
          </cell>
          <cell r="AU320">
            <v>0</v>
          </cell>
          <cell r="AV320">
            <v>0</v>
          </cell>
          <cell r="AW320">
            <v>0</v>
          </cell>
          <cell r="AX320">
            <v>0</v>
          </cell>
          <cell r="BD320">
            <v>0</v>
          </cell>
        </row>
        <row r="321">
          <cell r="A321" t="str">
            <v>SD-9</v>
          </cell>
          <cell r="C321" t="str">
            <v>Site Development (SA-9)</v>
          </cell>
          <cell r="D321" t="str">
            <v>Site Development (SA-9)</v>
          </cell>
          <cell r="E321" t="str">
            <v>job</v>
          </cell>
          <cell r="F321">
            <v>100000</v>
          </cell>
          <cell r="G321">
            <v>1</v>
          </cell>
          <cell r="H321">
            <v>100000</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1</v>
          </cell>
          <cell r="AR321">
            <v>100000</v>
          </cell>
          <cell r="AS321">
            <v>0</v>
          </cell>
          <cell r="AT321">
            <v>0</v>
          </cell>
          <cell r="AU321">
            <v>0</v>
          </cell>
          <cell r="AV321">
            <v>0</v>
          </cell>
          <cell r="AW321">
            <v>0</v>
          </cell>
          <cell r="AX321">
            <v>0</v>
          </cell>
          <cell r="BD321">
            <v>0</v>
          </cell>
        </row>
        <row r="322">
          <cell r="A322" t="str">
            <v>H16/10</v>
          </cell>
          <cell r="C322" t="str">
            <v>H16/10</v>
          </cell>
          <cell r="D322" t="str">
            <v>HDPE 16/10</v>
          </cell>
          <cell r="F322">
            <v>7.9697212622999993</v>
          </cell>
          <cell r="G322">
            <v>0</v>
          </cell>
          <cell r="H322">
            <v>0</v>
          </cell>
          <cell r="I322">
            <v>0</v>
          </cell>
          <cell r="J322">
            <v>0</v>
          </cell>
          <cell r="K322">
            <v>0</v>
          </cell>
          <cell r="BD322">
            <v>0</v>
          </cell>
        </row>
        <row r="323">
          <cell r="A323" t="str">
            <v>H20/10</v>
          </cell>
          <cell r="C323" t="str">
            <v>H20/10</v>
          </cell>
          <cell r="D323" t="str">
            <v>HDPE 20/10</v>
          </cell>
          <cell r="F323">
            <v>11.386940780250001</v>
          </cell>
          <cell r="G323">
            <v>0</v>
          </cell>
          <cell r="H323">
            <v>0</v>
          </cell>
          <cell r="I323">
            <v>0</v>
          </cell>
          <cell r="J323">
            <v>0</v>
          </cell>
          <cell r="K323">
            <v>0</v>
          </cell>
          <cell r="BD323">
            <v>0</v>
          </cell>
        </row>
        <row r="324">
          <cell r="A324" t="str">
            <v>H25/10</v>
          </cell>
          <cell r="C324" t="str">
            <v>H25/10</v>
          </cell>
          <cell r="D324" t="str">
            <v>HDPE 25/10</v>
          </cell>
          <cell r="F324">
            <v>18.21127062615</v>
          </cell>
          <cell r="G324">
            <v>0</v>
          </cell>
          <cell r="H324">
            <v>0</v>
          </cell>
          <cell r="I324">
            <v>0</v>
          </cell>
          <cell r="J324">
            <v>0</v>
          </cell>
          <cell r="K324">
            <v>0</v>
          </cell>
          <cell r="BD324">
            <v>0</v>
          </cell>
        </row>
        <row r="325">
          <cell r="A325" t="str">
            <v>H32/6</v>
          </cell>
          <cell r="C325" t="str">
            <v>H32/6</v>
          </cell>
          <cell r="D325" t="str">
            <v>HDPE 32/6</v>
          </cell>
          <cell r="F325">
            <v>19.352871096299999</v>
          </cell>
          <cell r="G325">
            <v>2570</v>
          </cell>
          <cell r="H325">
            <v>49736.878717490996</v>
          </cell>
          <cell r="I325">
            <v>2570</v>
          </cell>
          <cell r="J325">
            <v>49736.878717490996</v>
          </cell>
          <cell r="K325">
            <v>0</v>
          </cell>
          <cell r="BD325">
            <v>0</v>
          </cell>
        </row>
        <row r="326">
          <cell r="A326" t="str">
            <v>H32/10</v>
          </cell>
          <cell r="C326" t="str">
            <v>H32/10</v>
          </cell>
          <cell r="D326" t="str">
            <v>HDPE 32/10</v>
          </cell>
          <cell r="F326">
            <v>29.596947757649996</v>
          </cell>
          <cell r="G326">
            <v>1949</v>
          </cell>
          <cell r="H326">
            <v>57684.451179659845</v>
          </cell>
          <cell r="I326">
            <v>1949</v>
          </cell>
          <cell r="J326">
            <v>57684.451179659845</v>
          </cell>
          <cell r="K326">
            <v>0</v>
          </cell>
          <cell r="BD326">
            <v>0</v>
          </cell>
        </row>
        <row r="327">
          <cell r="A327" t="str">
            <v>H40/4</v>
          </cell>
          <cell r="C327" t="str">
            <v>H40/4</v>
          </cell>
          <cell r="D327" t="str">
            <v>HDPE 40/4</v>
          </cell>
          <cell r="F327">
            <v>22.853558756637</v>
          </cell>
          <cell r="G327">
            <v>0</v>
          </cell>
          <cell r="H327">
            <v>0</v>
          </cell>
          <cell r="I327">
            <v>0</v>
          </cell>
          <cell r="J327">
            <v>0</v>
          </cell>
          <cell r="K327">
            <v>0</v>
          </cell>
          <cell r="BD327">
            <v>0</v>
          </cell>
        </row>
        <row r="328">
          <cell r="A328" t="str">
            <v>H40/6</v>
          </cell>
          <cell r="C328" t="str">
            <v>H40/6</v>
          </cell>
          <cell r="D328" t="str">
            <v>HDPE 40/6</v>
          </cell>
          <cell r="F328">
            <v>31.867512210449995</v>
          </cell>
          <cell r="G328">
            <v>4873</v>
          </cell>
          <cell r="H328">
            <v>155290.38700152282</v>
          </cell>
          <cell r="I328">
            <v>4873</v>
          </cell>
          <cell r="J328">
            <v>155290.38700152282</v>
          </cell>
          <cell r="K328">
            <v>0</v>
          </cell>
          <cell r="BD328">
            <v>0</v>
          </cell>
        </row>
        <row r="329">
          <cell r="A329" t="str">
            <v>H40/10</v>
          </cell>
          <cell r="C329" t="str">
            <v>H40/10</v>
          </cell>
          <cell r="D329" t="str">
            <v>HDPE 40/10</v>
          </cell>
          <cell r="F329">
            <v>45.533862984750002</v>
          </cell>
          <cell r="G329">
            <v>8226</v>
          </cell>
          <cell r="H329">
            <v>374561.5569125535</v>
          </cell>
          <cell r="I329">
            <v>8226</v>
          </cell>
          <cell r="J329">
            <v>374561.5569125535</v>
          </cell>
          <cell r="K329">
            <v>0</v>
          </cell>
          <cell r="BD329">
            <v>0</v>
          </cell>
        </row>
        <row r="330">
          <cell r="A330" t="str">
            <v>H50/4</v>
          </cell>
          <cell r="C330" t="str">
            <v>H50/4</v>
          </cell>
          <cell r="D330" t="str">
            <v>HDPE 50/4</v>
          </cell>
          <cell r="F330">
            <v>34.133146810752947</v>
          </cell>
          <cell r="G330">
            <v>0</v>
          </cell>
          <cell r="H330">
            <v>0</v>
          </cell>
          <cell r="I330">
            <v>0</v>
          </cell>
          <cell r="J330">
            <v>0</v>
          </cell>
          <cell r="K330">
            <v>0</v>
          </cell>
          <cell r="BD330">
            <v>0</v>
          </cell>
        </row>
        <row r="331">
          <cell r="A331" t="str">
            <v>H50/6</v>
          </cell>
          <cell r="C331" t="str">
            <v>H50/6</v>
          </cell>
          <cell r="D331" t="str">
            <v>HDPE 50/6</v>
          </cell>
          <cell r="F331">
            <v>48.942236961449993</v>
          </cell>
          <cell r="G331">
            <v>2675</v>
          </cell>
          <cell r="H331">
            <v>130920.48387187874</v>
          </cell>
          <cell r="I331">
            <v>2675</v>
          </cell>
          <cell r="J331">
            <v>130920.48387187874</v>
          </cell>
          <cell r="K331">
            <v>0</v>
          </cell>
          <cell r="BD331">
            <v>0</v>
          </cell>
        </row>
        <row r="332">
          <cell r="A332" t="str">
            <v>H50/10</v>
          </cell>
          <cell r="C332" t="str">
            <v>H50/10</v>
          </cell>
          <cell r="D332" t="str">
            <v>HDPE 50/10</v>
          </cell>
          <cell r="F332">
            <v>71.707272980699997</v>
          </cell>
          <cell r="G332">
            <v>8251</v>
          </cell>
          <cell r="H332">
            <v>591656.70936375565</v>
          </cell>
          <cell r="I332">
            <v>8251</v>
          </cell>
          <cell r="J332">
            <v>591656.70936375565</v>
          </cell>
          <cell r="K332">
            <v>0</v>
          </cell>
          <cell r="BD332">
            <v>0</v>
          </cell>
        </row>
        <row r="333">
          <cell r="A333" t="str">
            <v>H63/4</v>
          </cell>
          <cell r="C333" t="str">
            <v>H63/4</v>
          </cell>
          <cell r="D333" t="str">
            <v>HDPE 63/4</v>
          </cell>
          <cell r="F333">
            <v>52.360088303775001</v>
          </cell>
          <cell r="G333">
            <v>0</v>
          </cell>
          <cell r="H333">
            <v>0</v>
          </cell>
          <cell r="I333">
            <v>0</v>
          </cell>
          <cell r="J333">
            <v>0</v>
          </cell>
          <cell r="K333">
            <v>0</v>
          </cell>
          <cell r="BD333">
            <v>0</v>
          </cell>
        </row>
        <row r="334">
          <cell r="A334" t="str">
            <v>H63/6</v>
          </cell>
          <cell r="C334" t="str">
            <v>H63/6</v>
          </cell>
          <cell r="D334" t="str">
            <v>HDPE 63/6</v>
          </cell>
          <cell r="F334">
            <v>76.262302022549989</v>
          </cell>
          <cell r="G334">
            <v>1773</v>
          </cell>
          <cell r="H334">
            <v>135213.06148598113</v>
          </cell>
          <cell r="I334">
            <v>1773</v>
          </cell>
          <cell r="J334">
            <v>135213.06148598113</v>
          </cell>
          <cell r="K334">
            <v>0</v>
          </cell>
          <cell r="BD334">
            <v>0</v>
          </cell>
        </row>
        <row r="335">
          <cell r="A335" t="str">
            <v>H63/10</v>
          </cell>
          <cell r="C335" t="str">
            <v>H63/10</v>
          </cell>
          <cell r="D335" t="str">
            <v>HDPE 63/10</v>
          </cell>
          <cell r="F335">
            <v>113.82454827187497</v>
          </cell>
          <cell r="G335">
            <v>10637</v>
          </cell>
          <cell r="H335">
            <v>1210751.7199679341</v>
          </cell>
          <cell r="I335">
            <v>10637</v>
          </cell>
          <cell r="J335">
            <v>1210751.7199679341</v>
          </cell>
          <cell r="K335">
            <v>0</v>
          </cell>
          <cell r="BD335">
            <v>0</v>
          </cell>
        </row>
        <row r="336">
          <cell r="A336" t="str">
            <v>H75/4</v>
          </cell>
          <cell r="C336" t="str">
            <v>H75/4</v>
          </cell>
          <cell r="D336" t="str">
            <v>HDPE 75/4</v>
          </cell>
          <cell r="F336">
            <v>75.12954709364999</v>
          </cell>
          <cell r="G336">
            <v>0</v>
          </cell>
          <cell r="H336">
            <v>0</v>
          </cell>
          <cell r="I336">
            <v>0</v>
          </cell>
          <cell r="J336">
            <v>0</v>
          </cell>
          <cell r="K336">
            <v>0</v>
          </cell>
          <cell r="BD336">
            <v>0</v>
          </cell>
        </row>
        <row r="337">
          <cell r="A337" t="str">
            <v>H75/6</v>
          </cell>
          <cell r="C337" t="str">
            <v>H75/6</v>
          </cell>
          <cell r="D337" t="str">
            <v>HDPE 75/6</v>
          </cell>
          <cell r="F337">
            <v>106.99390018222499</v>
          </cell>
          <cell r="G337">
            <v>3056</v>
          </cell>
          <cell r="H337">
            <v>326973.35895687959</v>
          </cell>
          <cell r="I337">
            <v>3056</v>
          </cell>
          <cell r="J337">
            <v>326973.35895687959</v>
          </cell>
          <cell r="K337">
            <v>0</v>
          </cell>
          <cell r="BD337">
            <v>0</v>
          </cell>
        </row>
        <row r="338">
          <cell r="A338" t="str">
            <v>H75/10</v>
          </cell>
          <cell r="C338" t="str">
            <v>H75/10</v>
          </cell>
          <cell r="D338" t="str">
            <v>HDPE 75/10</v>
          </cell>
          <cell r="F338">
            <v>160.08659120463886</v>
          </cell>
          <cell r="G338">
            <v>2272</v>
          </cell>
          <cell r="H338">
            <v>363716.73521693947</v>
          </cell>
          <cell r="I338">
            <v>2272</v>
          </cell>
          <cell r="J338">
            <v>363716.73521693947</v>
          </cell>
          <cell r="K338">
            <v>0</v>
          </cell>
          <cell r="BD338">
            <v>0</v>
          </cell>
        </row>
        <row r="339">
          <cell r="A339" t="str">
            <v>H90/4</v>
          </cell>
          <cell r="C339" t="str">
            <v>H90/4</v>
          </cell>
          <cell r="D339" t="str">
            <v>HDPE 90/4</v>
          </cell>
          <cell r="F339">
            <v>109.27267835189998</v>
          </cell>
          <cell r="G339">
            <v>527</v>
          </cell>
          <cell r="H339">
            <v>57586.701491451291</v>
          </cell>
          <cell r="I339">
            <v>527</v>
          </cell>
          <cell r="J339">
            <v>57586.701491451291</v>
          </cell>
          <cell r="K339">
            <v>0</v>
          </cell>
          <cell r="BD339">
            <v>0</v>
          </cell>
        </row>
        <row r="340">
          <cell r="A340" t="str">
            <v>H90/6</v>
          </cell>
          <cell r="C340" t="str">
            <v>H90/6</v>
          </cell>
          <cell r="D340" t="str">
            <v>HDPE 90/6</v>
          </cell>
          <cell r="F340">
            <v>154.79453667352499</v>
          </cell>
          <cell r="G340">
            <v>5416</v>
          </cell>
          <cell r="H340">
            <v>838367.21062381135</v>
          </cell>
          <cell r="I340">
            <v>5416</v>
          </cell>
          <cell r="J340">
            <v>838367.21062381135</v>
          </cell>
          <cell r="K340">
            <v>0</v>
          </cell>
          <cell r="BD340">
            <v>0</v>
          </cell>
        </row>
        <row r="341">
          <cell r="A341" t="str">
            <v>H90/10</v>
          </cell>
          <cell r="C341" t="str">
            <v>H90/10</v>
          </cell>
          <cell r="D341" t="str">
            <v>HDPE 90/10</v>
          </cell>
          <cell r="F341">
            <v>229.92850653779996</v>
          </cell>
          <cell r="G341">
            <v>3232</v>
          </cell>
          <cell r="H341">
            <v>743128.93313016952</v>
          </cell>
          <cell r="I341">
            <v>3232</v>
          </cell>
          <cell r="J341">
            <v>743128.93313016952</v>
          </cell>
          <cell r="K341">
            <v>0</v>
          </cell>
          <cell r="BD341">
            <v>0</v>
          </cell>
        </row>
        <row r="342">
          <cell r="A342" t="str">
            <v>H110/4</v>
          </cell>
          <cell r="C342" t="str">
            <v>H110/4</v>
          </cell>
          <cell r="D342" t="str">
            <v>HDPE 110/4</v>
          </cell>
          <cell r="F342">
            <v>159.30786530662499</v>
          </cell>
          <cell r="G342">
            <v>528</v>
          </cell>
          <cell r="H342">
            <v>84114.552881897995</v>
          </cell>
          <cell r="I342">
            <v>528</v>
          </cell>
          <cell r="J342">
            <v>84114.552881897995</v>
          </cell>
          <cell r="K342">
            <v>0</v>
          </cell>
          <cell r="BD342">
            <v>0</v>
          </cell>
        </row>
        <row r="343">
          <cell r="A343" t="str">
            <v>H110/6</v>
          </cell>
          <cell r="C343" t="str">
            <v>H110/6</v>
          </cell>
          <cell r="D343" t="str">
            <v>HDPE 110/6</v>
          </cell>
          <cell r="F343">
            <v>227.65351931437496</v>
          </cell>
          <cell r="G343">
            <v>3320</v>
          </cell>
          <cell r="H343">
            <v>755809.68412372482</v>
          </cell>
          <cell r="I343">
            <v>3320</v>
          </cell>
          <cell r="J343">
            <v>755809.68412372482</v>
          </cell>
          <cell r="K343">
            <v>0</v>
          </cell>
          <cell r="BD343">
            <v>0</v>
          </cell>
        </row>
        <row r="344">
          <cell r="A344" t="str">
            <v>H110/10</v>
          </cell>
          <cell r="C344" t="str">
            <v>H110/10</v>
          </cell>
          <cell r="D344" t="str">
            <v>HDPE 110/10</v>
          </cell>
          <cell r="F344">
            <v>343.73030913217491</v>
          </cell>
          <cell r="G344">
            <v>1392</v>
          </cell>
          <cell r="H344">
            <v>478472.5903119875</v>
          </cell>
          <cell r="I344">
            <v>1392</v>
          </cell>
          <cell r="J344">
            <v>478472.5903119875</v>
          </cell>
          <cell r="K344">
            <v>0</v>
          </cell>
          <cell r="BD344">
            <v>0</v>
          </cell>
        </row>
        <row r="345">
          <cell r="A345" t="str">
            <v>H125/4</v>
          </cell>
          <cell r="C345" t="str">
            <v>H125/4</v>
          </cell>
          <cell r="D345" t="str">
            <v>HDPE 125/4</v>
          </cell>
          <cell r="F345">
            <v>204.887219646375</v>
          </cell>
          <cell r="G345">
            <v>425</v>
          </cell>
          <cell r="H345">
            <v>87077.068349709371</v>
          </cell>
          <cell r="I345">
            <v>425</v>
          </cell>
          <cell r="J345">
            <v>87077.068349709371</v>
          </cell>
          <cell r="K345">
            <v>0</v>
          </cell>
          <cell r="BD345">
            <v>0</v>
          </cell>
        </row>
        <row r="346">
          <cell r="A346" t="str">
            <v>H125/6</v>
          </cell>
          <cell r="C346" t="str">
            <v>H125/6</v>
          </cell>
          <cell r="D346" t="str">
            <v>HDPE 125/6</v>
          </cell>
          <cell r="F346">
            <v>294.75474630647125</v>
          </cell>
          <cell r="G346">
            <v>1521</v>
          </cell>
          <cell r="H346">
            <v>448321.96913214278</v>
          </cell>
          <cell r="I346">
            <v>1521</v>
          </cell>
          <cell r="J346">
            <v>448321.96913214278</v>
          </cell>
          <cell r="K346">
            <v>0</v>
          </cell>
          <cell r="BD346">
            <v>0</v>
          </cell>
        </row>
        <row r="347">
          <cell r="A347" t="str">
            <v>H125/10</v>
          </cell>
          <cell r="C347" t="str">
            <v>H125/10</v>
          </cell>
          <cell r="D347" t="str">
            <v>HDPE 125/10</v>
          </cell>
          <cell r="F347">
            <v>444.14608295557554</v>
          </cell>
          <cell r="G347">
            <v>8313</v>
          </cell>
          <cell r="H347">
            <v>3692186.3876096993</v>
          </cell>
          <cell r="I347">
            <v>8313</v>
          </cell>
          <cell r="J347">
            <v>3692186.3876096993</v>
          </cell>
          <cell r="K347">
            <v>0</v>
          </cell>
          <cell r="BD347">
            <v>0</v>
          </cell>
        </row>
        <row r="348">
          <cell r="A348" t="str">
            <v>H140/4</v>
          </cell>
          <cell r="C348" t="str">
            <v>H140/4</v>
          </cell>
          <cell r="D348" t="str">
            <v>HDPE 140/4</v>
          </cell>
          <cell r="F348">
            <v>259.52482247107491</v>
          </cell>
          <cell r="G348">
            <v>0</v>
          </cell>
          <cell r="H348">
            <v>0</v>
          </cell>
          <cell r="I348">
            <v>0</v>
          </cell>
          <cell r="J348">
            <v>0</v>
          </cell>
          <cell r="K348">
            <v>0</v>
          </cell>
          <cell r="BD348">
            <v>0</v>
          </cell>
        </row>
        <row r="349">
          <cell r="A349" t="str">
            <v>H140/6</v>
          </cell>
          <cell r="C349" t="str">
            <v>H140/6</v>
          </cell>
          <cell r="D349" t="str">
            <v>HDPE 140/6</v>
          </cell>
          <cell r="F349">
            <v>367.68559609844993</v>
          </cell>
          <cell r="G349">
            <v>1031</v>
          </cell>
          <cell r="H349">
            <v>379083.84957750188</v>
          </cell>
          <cell r="I349">
            <v>1031</v>
          </cell>
          <cell r="J349">
            <v>379083.84957750188</v>
          </cell>
          <cell r="K349">
            <v>0</v>
          </cell>
          <cell r="BD349">
            <v>0</v>
          </cell>
        </row>
        <row r="350">
          <cell r="A350" t="str">
            <v>H140/10</v>
          </cell>
          <cell r="C350" t="str">
            <v>H140/10</v>
          </cell>
          <cell r="D350" t="str">
            <v>HDPE 140/10</v>
          </cell>
          <cell r="F350">
            <v>550.11081112657234</v>
          </cell>
          <cell r="G350">
            <v>1897</v>
          </cell>
          <cell r="H350">
            <v>1043560.2087071077</v>
          </cell>
          <cell r="I350">
            <v>1897</v>
          </cell>
          <cell r="J350">
            <v>1043560.2087071077</v>
          </cell>
          <cell r="K350">
            <v>0</v>
          </cell>
          <cell r="BD350">
            <v>0</v>
          </cell>
        </row>
        <row r="351">
          <cell r="A351" t="str">
            <v>H160/4</v>
          </cell>
          <cell r="C351" t="str">
            <v>H160/4</v>
          </cell>
          <cell r="D351" t="str">
            <v>HDPE 160/4</v>
          </cell>
          <cell r="F351">
            <v>340.32193515547493</v>
          </cell>
          <cell r="G351">
            <v>1590</v>
          </cell>
          <cell r="H351">
            <v>541111.87689720513</v>
          </cell>
          <cell r="I351">
            <v>1590</v>
          </cell>
          <cell r="J351">
            <v>541111.87689720513</v>
          </cell>
          <cell r="K351">
            <v>0</v>
          </cell>
          <cell r="BD351">
            <v>0</v>
          </cell>
        </row>
        <row r="352">
          <cell r="A352" t="str">
            <v>H160/6</v>
          </cell>
          <cell r="C352" t="str">
            <v>H160/6</v>
          </cell>
          <cell r="D352" t="str">
            <v>HDPE 160/6</v>
          </cell>
          <cell r="F352">
            <v>483.01721779951464</v>
          </cell>
          <cell r="G352">
            <v>5478</v>
          </cell>
          <cell r="H352">
            <v>2645968.3191057411</v>
          </cell>
          <cell r="I352">
            <v>5478</v>
          </cell>
          <cell r="J352">
            <v>2645968.3191057411</v>
          </cell>
          <cell r="K352">
            <v>0</v>
          </cell>
          <cell r="BD352">
            <v>0</v>
          </cell>
        </row>
        <row r="353">
          <cell r="A353" t="str">
            <v>H160/10</v>
          </cell>
          <cell r="C353" t="str">
            <v>H160/10</v>
          </cell>
          <cell r="D353" t="str">
            <v>HDPE 160/10</v>
          </cell>
          <cell r="F353">
            <v>728.72009385663455</v>
          </cell>
          <cell r="G353">
            <v>0</v>
          </cell>
          <cell r="H353">
            <v>0</v>
          </cell>
          <cell r="I353">
            <v>0</v>
          </cell>
          <cell r="J353">
            <v>0</v>
          </cell>
          <cell r="K353">
            <v>0</v>
          </cell>
          <cell r="BD353">
            <v>0</v>
          </cell>
        </row>
        <row r="354">
          <cell r="A354" t="str">
            <v>H180/4</v>
          </cell>
          <cell r="C354" t="str">
            <v>H180/4</v>
          </cell>
          <cell r="D354" t="str">
            <v>HDPE 180/4</v>
          </cell>
          <cell r="F354">
            <v>0</v>
          </cell>
          <cell r="G354">
            <v>0</v>
          </cell>
          <cell r="H354">
            <v>0</v>
          </cell>
          <cell r="I354">
            <v>0</v>
          </cell>
          <cell r="J354">
            <v>0</v>
          </cell>
          <cell r="K354">
            <v>0</v>
          </cell>
          <cell r="BD354">
            <v>0</v>
          </cell>
        </row>
        <row r="355">
          <cell r="A355" t="str">
            <v>H180/6</v>
          </cell>
          <cell r="C355" t="str">
            <v>H180/6</v>
          </cell>
          <cell r="D355" t="str">
            <v>HDPE 180/6</v>
          </cell>
          <cell r="F355">
            <v>0</v>
          </cell>
          <cell r="G355">
            <v>0</v>
          </cell>
          <cell r="H355">
            <v>0</v>
          </cell>
          <cell r="I355">
            <v>0</v>
          </cell>
          <cell r="J355">
            <v>0</v>
          </cell>
          <cell r="K355">
            <v>0</v>
          </cell>
          <cell r="BD355">
            <v>0</v>
          </cell>
        </row>
        <row r="356">
          <cell r="A356" t="str">
            <v>H180/10</v>
          </cell>
          <cell r="C356" t="str">
            <v>H180/10</v>
          </cell>
          <cell r="D356" t="str">
            <v>HDPE 180/10</v>
          </cell>
          <cell r="F356">
            <v>0</v>
          </cell>
          <cell r="G356">
            <v>0</v>
          </cell>
          <cell r="H356">
            <v>0</v>
          </cell>
          <cell r="I356">
            <v>0</v>
          </cell>
          <cell r="J356">
            <v>0</v>
          </cell>
          <cell r="K356">
            <v>0</v>
          </cell>
          <cell r="BD356">
            <v>0</v>
          </cell>
        </row>
        <row r="357">
          <cell r="A357" t="str">
            <v>H200/4</v>
          </cell>
          <cell r="C357" t="str">
            <v>H200/4</v>
          </cell>
          <cell r="D357" t="str">
            <v>HDPE 200/4</v>
          </cell>
          <cell r="F357">
            <v>0</v>
          </cell>
          <cell r="G357">
            <v>0</v>
          </cell>
          <cell r="H357">
            <v>0</v>
          </cell>
          <cell r="I357">
            <v>0</v>
          </cell>
          <cell r="J357">
            <v>0</v>
          </cell>
          <cell r="K357">
            <v>0</v>
          </cell>
          <cell r="BD357">
            <v>0</v>
          </cell>
        </row>
        <row r="358">
          <cell r="A358" t="str">
            <v>H200/6</v>
          </cell>
          <cell r="C358" t="str">
            <v>H200/6</v>
          </cell>
          <cell r="D358" t="str">
            <v>HDPE 200/6</v>
          </cell>
          <cell r="F358">
            <v>0</v>
          </cell>
          <cell r="G358">
            <v>0</v>
          </cell>
          <cell r="H358">
            <v>0</v>
          </cell>
          <cell r="I358">
            <v>0</v>
          </cell>
          <cell r="J358">
            <v>0</v>
          </cell>
          <cell r="K358">
            <v>0</v>
          </cell>
          <cell r="BD358">
            <v>0</v>
          </cell>
        </row>
        <row r="359">
          <cell r="A359" t="str">
            <v>H200/10</v>
          </cell>
          <cell r="C359" t="str">
            <v>H200/10</v>
          </cell>
          <cell r="D359" t="str">
            <v>HDPE 200/10</v>
          </cell>
          <cell r="F359">
            <v>0</v>
          </cell>
          <cell r="G359">
            <v>0</v>
          </cell>
          <cell r="H359">
            <v>0</v>
          </cell>
          <cell r="I359">
            <v>0</v>
          </cell>
          <cell r="J359">
            <v>0</v>
          </cell>
          <cell r="K359">
            <v>0</v>
          </cell>
          <cell r="BD359">
            <v>0</v>
          </cell>
        </row>
        <row r="360">
          <cell r="A360" t="str">
            <v>H225/4</v>
          </cell>
          <cell r="C360" t="str">
            <v>H225/4</v>
          </cell>
          <cell r="D360" t="str">
            <v>HDPE 225/4</v>
          </cell>
          <cell r="F360">
            <v>0</v>
          </cell>
          <cell r="G360">
            <v>0</v>
          </cell>
          <cell r="H360">
            <v>0</v>
          </cell>
          <cell r="I360">
            <v>0</v>
          </cell>
          <cell r="J360">
            <v>0</v>
          </cell>
          <cell r="K360">
            <v>0</v>
          </cell>
          <cell r="BD360">
            <v>0</v>
          </cell>
        </row>
        <row r="361">
          <cell r="A361" t="str">
            <v>H225/6</v>
          </cell>
          <cell r="C361" t="str">
            <v>H225/6</v>
          </cell>
          <cell r="D361" t="str">
            <v>HDPE 225/6</v>
          </cell>
          <cell r="F361">
            <v>0</v>
          </cell>
          <cell r="G361">
            <v>0</v>
          </cell>
          <cell r="H361">
            <v>0</v>
          </cell>
          <cell r="I361">
            <v>0</v>
          </cell>
          <cell r="J361">
            <v>0</v>
          </cell>
          <cell r="K361">
            <v>0</v>
          </cell>
          <cell r="BD361">
            <v>0</v>
          </cell>
        </row>
        <row r="362">
          <cell r="A362" t="str">
            <v>H225/10</v>
          </cell>
          <cell r="C362" t="str">
            <v>H225/10</v>
          </cell>
          <cell r="D362" t="str">
            <v>HDPE 225/10</v>
          </cell>
          <cell r="F362">
            <v>0</v>
          </cell>
          <cell r="G362">
            <v>0</v>
          </cell>
          <cell r="H362">
            <v>0</v>
          </cell>
          <cell r="I362">
            <v>0</v>
          </cell>
          <cell r="J362">
            <v>0</v>
          </cell>
          <cell r="K362">
            <v>0</v>
          </cell>
          <cell r="BD362">
            <v>0</v>
          </cell>
        </row>
        <row r="363">
          <cell r="A363" t="str">
            <v>H250/4</v>
          </cell>
          <cell r="C363" t="str">
            <v>H250/4</v>
          </cell>
          <cell r="D363" t="str">
            <v>HDPE 250/4</v>
          </cell>
          <cell r="F363">
            <v>0</v>
          </cell>
          <cell r="G363">
            <v>0</v>
          </cell>
          <cell r="H363">
            <v>0</v>
          </cell>
          <cell r="I363">
            <v>0</v>
          </cell>
          <cell r="J363">
            <v>0</v>
          </cell>
          <cell r="K363">
            <v>0</v>
          </cell>
          <cell r="BD363">
            <v>0</v>
          </cell>
        </row>
        <row r="364">
          <cell r="A364" t="str">
            <v>H250/6</v>
          </cell>
          <cell r="C364" t="str">
            <v>H250/6</v>
          </cell>
          <cell r="D364" t="str">
            <v>HDPE 250/6</v>
          </cell>
          <cell r="F364">
            <v>0</v>
          </cell>
          <cell r="G364">
            <v>0</v>
          </cell>
          <cell r="H364">
            <v>0</v>
          </cell>
          <cell r="I364">
            <v>0</v>
          </cell>
          <cell r="J364">
            <v>0</v>
          </cell>
          <cell r="K364">
            <v>0</v>
          </cell>
          <cell r="BD364">
            <v>0</v>
          </cell>
        </row>
        <row r="365">
          <cell r="A365" t="str">
            <v>H250/10</v>
          </cell>
          <cell r="C365" t="str">
            <v>H250/10</v>
          </cell>
          <cell r="D365" t="str">
            <v>HDPE 250/10</v>
          </cell>
          <cell r="F365">
            <v>0</v>
          </cell>
          <cell r="G365">
            <v>0</v>
          </cell>
          <cell r="H365">
            <v>0</v>
          </cell>
          <cell r="I365">
            <v>0</v>
          </cell>
          <cell r="J365">
            <v>0</v>
          </cell>
          <cell r="K365">
            <v>0</v>
          </cell>
          <cell r="BD365">
            <v>0</v>
          </cell>
        </row>
        <row r="366">
          <cell r="A366" t="str">
            <v>H280/4</v>
          </cell>
          <cell r="C366" t="str">
            <v>H280/4</v>
          </cell>
          <cell r="D366" t="str">
            <v>HDPE 280/4</v>
          </cell>
          <cell r="F366">
            <v>0</v>
          </cell>
          <cell r="G366">
            <v>0</v>
          </cell>
          <cell r="H366">
            <v>0</v>
          </cell>
          <cell r="I366">
            <v>0</v>
          </cell>
          <cell r="J366">
            <v>0</v>
          </cell>
          <cell r="K366">
            <v>0</v>
          </cell>
          <cell r="BD366">
            <v>0</v>
          </cell>
        </row>
        <row r="367">
          <cell r="A367" t="str">
            <v>H280/6</v>
          </cell>
          <cell r="C367" t="str">
            <v>H280/6</v>
          </cell>
          <cell r="D367" t="str">
            <v>HDPE 280/6</v>
          </cell>
          <cell r="F367">
            <v>0</v>
          </cell>
          <cell r="G367">
            <v>0</v>
          </cell>
          <cell r="H367">
            <v>0</v>
          </cell>
          <cell r="I367">
            <v>0</v>
          </cell>
          <cell r="J367">
            <v>0</v>
          </cell>
          <cell r="K367">
            <v>0</v>
          </cell>
          <cell r="BD367">
            <v>0</v>
          </cell>
        </row>
        <row r="368">
          <cell r="A368" t="str">
            <v>H280/10</v>
          </cell>
          <cell r="C368" t="str">
            <v>H280/10</v>
          </cell>
          <cell r="D368" t="str">
            <v>HDPE 280/10</v>
          </cell>
          <cell r="F368">
            <v>0</v>
          </cell>
          <cell r="G368">
            <v>0</v>
          </cell>
          <cell r="H368">
            <v>0</v>
          </cell>
          <cell r="I368">
            <v>0</v>
          </cell>
          <cell r="J368">
            <v>0</v>
          </cell>
          <cell r="K368">
            <v>0</v>
          </cell>
          <cell r="BD368">
            <v>0</v>
          </cell>
        </row>
        <row r="369">
          <cell r="A369" t="str">
            <v>H315/4</v>
          </cell>
          <cell r="C369" t="str">
            <v>H315/4</v>
          </cell>
          <cell r="D369" t="str">
            <v>HDPE 315/4</v>
          </cell>
          <cell r="F369">
            <v>0</v>
          </cell>
          <cell r="G369">
            <v>0</v>
          </cell>
          <cell r="H369">
            <v>0</v>
          </cell>
          <cell r="I369">
            <v>0</v>
          </cell>
          <cell r="J369">
            <v>0</v>
          </cell>
          <cell r="K369">
            <v>0</v>
          </cell>
          <cell r="BD369">
            <v>0</v>
          </cell>
        </row>
        <row r="370">
          <cell r="A370" t="str">
            <v>H315/6</v>
          </cell>
          <cell r="C370" t="str">
            <v>H315/6</v>
          </cell>
          <cell r="D370" t="str">
            <v>HDPE 315/6</v>
          </cell>
          <cell r="F370">
            <v>0</v>
          </cell>
          <cell r="G370">
            <v>0</v>
          </cell>
          <cell r="H370">
            <v>0</v>
          </cell>
          <cell r="I370">
            <v>0</v>
          </cell>
          <cell r="J370">
            <v>0</v>
          </cell>
          <cell r="K370">
            <v>0</v>
          </cell>
          <cell r="BD370">
            <v>0</v>
          </cell>
        </row>
        <row r="371">
          <cell r="A371" t="str">
            <v>H315/10</v>
          </cell>
          <cell r="C371" t="str">
            <v>H315/10</v>
          </cell>
          <cell r="D371" t="str">
            <v>HDPE 315/10</v>
          </cell>
          <cell r="F371">
            <v>0</v>
          </cell>
          <cell r="G371">
            <v>0</v>
          </cell>
          <cell r="H371">
            <v>0</v>
          </cell>
          <cell r="I371">
            <v>0</v>
          </cell>
          <cell r="J371">
            <v>0</v>
          </cell>
          <cell r="K371">
            <v>0</v>
          </cell>
          <cell r="BD371">
            <v>0</v>
          </cell>
        </row>
        <row r="372">
          <cell r="A372" t="str">
            <v>H350/4</v>
          </cell>
          <cell r="C372" t="str">
            <v>H350/4</v>
          </cell>
          <cell r="D372" t="str">
            <v>HDPE 350/4</v>
          </cell>
          <cell r="F372">
            <v>0</v>
          </cell>
          <cell r="G372">
            <v>0</v>
          </cell>
          <cell r="H372">
            <v>0</v>
          </cell>
          <cell r="I372">
            <v>0</v>
          </cell>
          <cell r="J372">
            <v>0</v>
          </cell>
          <cell r="K372">
            <v>0</v>
          </cell>
          <cell r="BD372">
            <v>0</v>
          </cell>
        </row>
        <row r="373">
          <cell r="A373" t="str">
            <v>H350/6</v>
          </cell>
          <cell r="C373" t="str">
            <v>H350/6</v>
          </cell>
          <cell r="D373" t="str">
            <v>HDPE 350/6</v>
          </cell>
          <cell r="F373">
            <v>0</v>
          </cell>
          <cell r="G373">
            <v>0</v>
          </cell>
          <cell r="H373">
            <v>0</v>
          </cell>
          <cell r="I373">
            <v>0</v>
          </cell>
          <cell r="J373">
            <v>0</v>
          </cell>
          <cell r="K373">
            <v>0</v>
          </cell>
          <cell r="BD373">
            <v>0</v>
          </cell>
        </row>
        <row r="374">
          <cell r="A374" t="str">
            <v>H350/10</v>
          </cell>
          <cell r="C374" t="str">
            <v>H350/10</v>
          </cell>
          <cell r="D374" t="str">
            <v>HDPE 350/10</v>
          </cell>
          <cell r="F374">
            <v>0</v>
          </cell>
          <cell r="G374">
            <v>0</v>
          </cell>
          <cell r="H374">
            <v>0</v>
          </cell>
          <cell r="I374">
            <v>0</v>
          </cell>
          <cell r="J374">
            <v>0</v>
          </cell>
          <cell r="K374">
            <v>0</v>
          </cell>
          <cell r="BD374">
            <v>0</v>
          </cell>
        </row>
        <row r="375">
          <cell r="A375" t="str">
            <v>H400/4</v>
          </cell>
          <cell r="C375" t="str">
            <v>H400/4</v>
          </cell>
          <cell r="D375" t="str">
            <v>HDPE 400/4</v>
          </cell>
          <cell r="F375">
            <v>0</v>
          </cell>
          <cell r="G375">
            <v>0</v>
          </cell>
          <cell r="H375">
            <v>0</v>
          </cell>
          <cell r="I375">
            <v>0</v>
          </cell>
          <cell r="J375">
            <v>0</v>
          </cell>
          <cell r="K375">
            <v>0</v>
          </cell>
          <cell r="BD375">
            <v>0</v>
          </cell>
        </row>
        <row r="376">
          <cell r="A376" t="str">
            <v>H400/6</v>
          </cell>
          <cell r="C376" t="str">
            <v>H400/6</v>
          </cell>
          <cell r="D376" t="str">
            <v>HDPE 400/6</v>
          </cell>
          <cell r="F376">
            <v>0</v>
          </cell>
          <cell r="G376">
            <v>0</v>
          </cell>
          <cell r="H376">
            <v>0</v>
          </cell>
          <cell r="I376">
            <v>0</v>
          </cell>
          <cell r="J376">
            <v>0</v>
          </cell>
          <cell r="K376">
            <v>0</v>
          </cell>
          <cell r="BD376">
            <v>0</v>
          </cell>
        </row>
        <row r="377">
          <cell r="A377" t="str">
            <v>H400/10</v>
          </cell>
          <cell r="C377" t="str">
            <v>H400/10</v>
          </cell>
          <cell r="D377" t="str">
            <v>HDPE 400/10</v>
          </cell>
          <cell r="F377">
            <v>0</v>
          </cell>
          <cell r="G377">
            <v>0</v>
          </cell>
          <cell r="H377">
            <v>0</v>
          </cell>
          <cell r="I377">
            <v>0</v>
          </cell>
          <cell r="J377">
            <v>0</v>
          </cell>
          <cell r="K377">
            <v>0</v>
          </cell>
          <cell r="BD377">
            <v>0</v>
          </cell>
        </row>
        <row r="378">
          <cell r="A378" t="str">
            <v>H440/4</v>
          </cell>
          <cell r="C378" t="str">
            <v>H440/4</v>
          </cell>
          <cell r="D378" t="str">
            <v>HDPE 440/4</v>
          </cell>
          <cell r="F378">
            <v>0</v>
          </cell>
          <cell r="G378">
            <v>0</v>
          </cell>
          <cell r="H378">
            <v>0</v>
          </cell>
          <cell r="I378">
            <v>0</v>
          </cell>
          <cell r="J378">
            <v>0</v>
          </cell>
          <cell r="K378">
            <v>0</v>
          </cell>
          <cell r="BD378">
            <v>0</v>
          </cell>
        </row>
        <row r="379">
          <cell r="A379" t="str">
            <v>H440/6</v>
          </cell>
          <cell r="C379" t="str">
            <v>H440/6</v>
          </cell>
          <cell r="D379" t="str">
            <v>HDPE 440/6</v>
          </cell>
          <cell r="F379">
            <v>0</v>
          </cell>
          <cell r="G379">
            <v>0</v>
          </cell>
          <cell r="H379">
            <v>0</v>
          </cell>
          <cell r="I379">
            <v>0</v>
          </cell>
          <cell r="J379">
            <v>0</v>
          </cell>
          <cell r="K379">
            <v>0</v>
          </cell>
          <cell r="BD379">
            <v>0</v>
          </cell>
        </row>
        <row r="380">
          <cell r="A380" t="str">
            <v>H440/10</v>
          </cell>
          <cell r="C380" t="str">
            <v>H440/10</v>
          </cell>
          <cell r="D380" t="str">
            <v>HDPE 440/10</v>
          </cell>
          <cell r="F380">
            <v>0</v>
          </cell>
          <cell r="G380">
            <v>0</v>
          </cell>
          <cell r="H380">
            <v>0</v>
          </cell>
          <cell r="I380">
            <v>0</v>
          </cell>
          <cell r="J380">
            <v>0</v>
          </cell>
          <cell r="K380">
            <v>0</v>
          </cell>
          <cell r="BD380">
            <v>0</v>
          </cell>
        </row>
        <row r="381">
          <cell r="A381" t="str">
            <v>H500/4</v>
          </cell>
          <cell r="C381" t="str">
            <v>H500/4</v>
          </cell>
          <cell r="D381" t="str">
            <v>HDPE 500/4</v>
          </cell>
          <cell r="F381">
            <v>0</v>
          </cell>
          <cell r="G381">
            <v>0</v>
          </cell>
          <cell r="H381">
            <v>0</v>
          </cell>
          <cell r="I381">
            <v>0</v>
          </cell>
          <cell r="J381">
            <v>0</v>
          </cell>
          <cell r="K381">
            <v>0</v>
          </cell>
          <cell r="BD381">
            <v>0</v>
          </cell>
        </row>
        <row r="382">
          <cell r="A382" t="str">
            <v>H500/6</v>
          </cell>
          <cell r="C382" t="str">
            <v>H500/6</v>
          </cell>
          <cell r="D382" t="str">
            <v>HDPE 500/6</v>
          </cell>
          <cell r="F382">
            <v>0</v>
          </cell>
          <cell r="G382">
            <v>0</v>
          </cell>
          <cell r="H382">
            <v>0</v>
          </cell>
          <cell r="I382">
            <v>0</v>
          </cell>
          <cell r="J382">
            <v>0</v>
          </cell>
          <cell r="K382">
            <v>0</v>
          </cell>
          <cell r="BD382">
            <v>0</v>
          </cell>
        </row>
        <row r="383">
          <cell r="A383" t="str">
            <v>H500/10</v>
          </cell>
          <cell r="C383" t="str">
            <v>H500/10</v>
          </cell>
          <cell r="D383" t="str">
            <v>HDPE 500/10</v>
          </cell>
          <cell r="F383">
            <v>0</v>
          </cell>
          <cell r="G383">
            <v>0</v>
          </cell>
          <cell r="H383">
            <v>0</v>
          </cell>
          <cell r="I383">
            <v>0</v>
          </cell>
          <cell r="J383">
            <v>0</v>
          </cell>
          <cell r="K383">
            <v>0</v>
          </cell>
          <cell r="BD383">
            <v>0</v>
          </cell>
        </row>
        <row r="384">
          <cell r="A384" t="str">
            <v>G13</v>
          </cell>
          <cell r="C384" t="str">
            <v>G13</v>
          </cell>
          <cell r="D384" t="str">
            <v>GI 13</v>
          </cell>
          <cell r="F384">
            <v>71.466799289690002</v>
          </cell>
          <cell r="G384">
            <v>0</v>
          </cell>
          <cell r="H384">
            <v>0</v>
          </cell>
          <cell r="I384">
            <v>0</v>
          </cell>
          <cell r="J384">
            <v>0</v>
          </cell>
          <cell r="K384">
            <v>0</v>
          </cell>
          <cell r="BD384">
            <v>0</v>
          </cell>
        </row>
        <row r="385">
          <cell r="A385" t="str">
            <v>G20</v>
          </cell>
          <cell r="C385" t="str">
            <v>G20</v>
          </cell>
          <cell r="D385" t="str">
            <v>GI 20</v>
          </cell>
          <cell r="F385">
            <v>92.531336660734993</v>
          </cell>
          <cell r="G385">
            <v>0</v>
          </cell>
          <cell r="H385">
            <v>0</v>
          </cell>
          <cell r="I385">
            <v>0</v>
          </cell>
          <cell r="J385">
            <v>0</v>
          </cell>
          <cell r="K385">
            <v>0</v>
          </cell>
          <cell r="BD385">
            <v>0</v>
          </cell>
        </row>
        <row r="386">
          <cell r="A386" t="str">
            <v>G25</v>
          </cell>
          <cell r="C386" t="str">
            <v>G25</v>
          </cell>
          <cell r="D386" t="str">
            <v>GI 25</v>
          </cell>
          <cell r="F386">
            <v>142.817357892335</v>
          </cell>
          <cell r="G386">
            <v>0</v>
          </cell>
          <cell r="H386">
            <v>0</v>
          </cell>
          <cell r="I386">
            <v>0</v>
          </cell>
          <cell r="J386">
            <v>0</v>
          </cell>
          <cell r="K386">
            <v>0</v>
          </cell>
          <cell r="BD386">
            <v>0</v>
          </cell>
        </row>
        <row r="387">
          <cell r="A387" t="str">
            <v>G32</v>
          </cell>
          <cell r="C387" t="str">
            <v>G32</v>
          </cell>
          <cell r="D387" t="str">
            <v>GI 32</v>
          </cell>
          <cell r="F387">
            <v>183.94700645681499</v>
          </cell>
          <cell r="G387">
            <v>0</v>
          </cell>
          <cell r="H387">
            <v>0</v>
          </cell>
          <cell r="I387">
            <v>0</v>
          </cell>
          <cell r="J387">
            <v>0</v>
          </cell>
          <cell r="K387">
            <v>0</v>
          </cell>
          <cell r="BD387">
            <v>0</v>
          </cell>
        </row>
        <row r="388">
          <cell r="A388" t="str">
            <v>G40</v>
          </cell>
          <cell r="C388" t="str">
            <v>G40</v>
          </cell>
          <cell r="D388" t="str">
            <v>GI 40</v>
          </cell>
          <cell r="F388">
            <v>211.26068066396999</v>
          </cell>
          <cell r="G388">
            <v>13417</v>
          </cell>
          <cell r="H388">
            <v>2834484.5524684852</v>
          </cell>
          <cell r="I388">
            <v>13417</v>
          </cell>
          <cell r="J388">
            <v>2834484.5524684852</v>
          </cell>
          <cell r="K388">
            <v>0</v>
          </cell>
          <cell r="BD388">
            <v>0</v>
          </cell>
        </row>
        <row r="389">
          <cell r="A389" t="str">
            <v>G50</v>
          </cell>
          <cell r="C389" t="str">
            <v>G50</v>
          </cell>
          <cell r="D389" t="str">
            <v>GI 50</v>
          </cell>
          <cell r="F389">
            <v>299.77292057324496</v>
          </cell>
          <cell r="G389">
            <v>5828</v>
          </cell>
          <cell r="H389">
            <v>1747076.5811008716</v>
          </cell>
          <cell r="I389">
            <v>5828</v>
          </cell>
          <cell r="J389">
            <v>1747076.5811008716</v>
          </cell>
          <cell r="K389">
            <v>0</v>
          </cell>
          <cell r="BD389">
            <v>0</v>
          </cell>
        </row>
        <row r="390">
          <cell r="A390" t="str">
            <v>G63</v>
          </cell>
          <cell r="C390" t="str">
            <v>G63</v>
          </cell>
          <cell r="D390" t="str">
            <v>GI 63</v>
          </cell>
          <cell r="F390">
            <v>384.39307542839003</v>
          </cell>
          <cell r="G390">
            <v>5034</v>
          </cell>
          <cell r="H390">
            <v>1935034.7417065154</v>
          </cell>
          <cell r="I390">
            <v>5034</v>
          </cell>
          <cell r="J390">
            <v>1935034.7417065154</v>
          </cell>
          <cell r="K390">
            <v>0</v>
          </cell>
          <cell r="BD390">
            <v>0</v>
          </cell>
        </row>
        <row r="391">
          <cell r="A391" t="str">
            <v>G75</v>
          </cell>
          <cell r="C391" t="str">
            <v>G75</v>
          </cell>
          <cell r="D391" t="str">
            <v>GI 75</v>
          </cell>
          <cell r="F391">
            <v>500.92332374339492</v>
          </cell>
          <cell r="G391">
            <v>12066</v>
          </cell>
          <cell r="H391">
            <v>6044140.8242878029</v>
          </cell>
          <cell r="I391">
            <v>12066</v>
          </cell>
          <cell r="J391">
            <v>6044140.8242878029</v>
          </cell>
          <cell r="K391">
            <v>0</v>
          </cell>
          <cell r="BD391">
            <v>0</v>
          </cell>
        </row>
        <row r="392">
          <cell r="A392" t="str">
            <v>G100</v>
          </cell>
          <cell r="C392" t="str">
            <v>G100</v>
          </cell>
          <cell r="D392" t="str">
            <v>GI 100</v>
          </cell>
          <cell r="F392">
            <v>718.31690055643003</v>
          </cell>
          <cell r="G392">
            <v>9361</v>
          </cell>
          <cell r="H392">
            <v>6724164.5061087413</v>
          </cell>
          <cell r="I392">
            <v>9361</v>
          </cell>
          <cell r="J392">
            <v>6724164.5061087413</v>
          </cell>
          <cell r="K392">
            <v>0</v>
          </cell>
          <cell r="BD392">
            <v>0</v>
          </cell>
        </row>
        <row r="393">
          <cell r="A393" t="str">
            <v>G150</v>
          </cell>
          <cell r="C393" t="str">
            <v>G150</v>
          </cell>
          <cell r="D393" t="str">
            <v>GI 150</v>
          </cell>
          <cell r="F393">
            <v>1149.5388772954802</v>
          </cell>
          <cell r="G393">
            <v>0</v>
          </cell>
          <cell r="H393">
            <v>0</v>
          </cell>
          <cell r="I393">
            <v>0</v>
          </cell>
          <cell r="J393">
            <v>0</v>
          </cell>
          <cell r="K393">
            <v>0</v>
          </cell>
          <cell r="BD393">
            <v>0</v>
          </cell>
        </row>
        <row r="394">
          <cell r="A394" t="str">
            <v>D80</v>
          </cell>
          <cell r="C394" t="str">
            <v>D80</v>
          </cell>
          <cell r="D394" t="str">
            <v>DI 80</v>
          </cell>
          <cell r="F394">
            <v>1166.5390829662497</v>
          </cell>
          <cell r="G394">
            <v>6611</v>
          </cell>
          <cell r="H394">
            <v>7711989.8774898769</v>
          </cell>
          <cell r="I394">
            <v>6611</v>
          </cell>
          <cell r="J394">
            <v>7711989.8774898769</v>
          </cell>
          <cell r="K394">
            <v>0</v>
          </cell>
          <cell r="BD394">
            <v>0</v>
          </cell>
        </row>
        <row r="395">
          <cell r="A395" t="str">
            <v>D100</v>
          </cell>
          <cell r="C395" t="str">
            <v>D100</v>
          </cell>
          <cell r="D395" t="str">
            <v>DI 100</v>
          </cell>
          <cell r="F395">
            <v>1213.5931153972499</v>
          </cell>
          <cell r="G395">
            <v>5740</v>
          </cell>
          <cell r="H395">
            <v>6966024.4823802141</v>
          </cell>
          <cell r="I395">
            <v>5740</v>
          </cell>
          <cell r="J395">
            <v>6966024.4823802141</v>
          </cell>
          <cell r="K395">
            <v>0</v>
          </cell>
          <cell r="BD395">
            <v>0</v>
          </cell>
        </row>
        <row r="396">
          <cell r="A396" t="str">
            <v>D150</v>
          </cell>
          <cell r="C396" t="str">
            <v>D150</v>
          </cell>
          <cell r="D396" t="str">
            <v>DI 150</v>
          </cell>
          <cell r="F396">
            <v>1524.0176729189996</v>
          </cell>
          <cell r="G396">
            <v>6020</v>
          </cell>
          <cell r="H396">
            <v>9174586.3909723777</v>
          </cell>
          <cell r="I396">
            <v>6020</v>
          </cell>
          <cell r="J396">
            <v>9174586.3909723777</v>
          </cell>
          <cell r="K396">
            <v>0</v>
          </cell>
          <cell r="BD396">
            <v>0</v>
          </cell>
        </row>
        <row r="397">
          <cell r="A397" t="str">
            <v>D200</v>
          </cell>
          <cell r="C397" t="str">
            <v>D200</v>
          </cell>
          <cell r="D397" t="str">
            <v>DI 200</v>
          </cell>
          <cell r="F397">
            <v>1758.7169791369497</v>
          </cell>
          <cell r="G397">
            <v>7240</v>
          </cell>
          <cell r="H397">
            <v>12733110.928951517</v>
          </cell>
          <cell r="I397">
            <v>7240</v>
          </cell>
          <cell r="J397">
            <v>12733110.928951517</v>
          </cell>
          <cell r="K397">
            <v>0</v>
          </cell>
          <cell r="BD397">
            <v>0</v>
          </cell>
        </row>
        <row r="398">
          <cell r="A398" t="str">
            <v>D250</v>
          </cell>
          <cell r="C398" t="str">
            <v>D250</v>
          </cell>
          <cell r="D398" t="str">
            <v>DI 250</v>
          </cell>
          <cell r="F398">
            <v>2311.0425789968995</v>
          </cell>
          <cell r="G398">
            <v>1675</v>
          </cell>
          <cell r="H398">
            <v>3870996.3198198066</v>
          </cell>
          <cell r="I398">
            <v>1675</v>
          </cell>
          <cell r="J398">
            <v>3870996.3198198066</v>
          </cell>
          <cell r="K398">
            <v>0</v>
          </cell>
          <cell r="BD398">
            <v>0</v>
          </cell>
        </row>
        <row r="399">
          <cell r="A399" t="str">
            <v>D300</v>
          </cell>
          <cell r="C399" t="str">
            <v>D300</v>
          </cell>
          <cell r="D399" t="str">
            <v>DI 300</v>
          </cell>
          <cell r="F399">
            <v>2862.9708675004495</v>
          </cell>
          <cell r="G399">
            <v>7420</v>
          </cell>
          <cell r="H399">
            <v>21243243.836853337</v>
          </cell>
          <cell r="I399">
            <v>7420</v>
          </cell>
          <cell r="J399">
            <v>21243243.836853337</v>
          </cell>
          <cell r="K399">
            <v>0</v>
          </cell>
          <cell r="BD399">
            <v>0</v>
          </cell>
        </row>
        <row r="400">
          <cell r="A400" t="str">
            <v>D300_1</v>
          </cell>
          <cell r="C400" t="str">
            <v>D300_1</v>
          </cell>
          <cell r="D400" t="str">
            <v>DI 300 Mechanical Joint</v>
          </cell>
          <cell r="F400">
            <v>3435.5650410005392</v>
          </cell>
          <cell r="G400">
            <v>800</v>
          </cell>
          <cell r="H400">
            <v>2748452.0328004314</v>
          </cell>
          <cell r="I400">
            <v>800</v>
          </cell>
          <cell r="J400">
            <v>2748452.0328004314</v>
          </cell>
          <cell r="K400">
            <v>0</v>
          </cell>
          <cell r="BD400">
            <v>0</v>
          </cell>
        </row>
      </sheetData>
      <sheetData sheetId="4"/>
      <sheetData sheetId="5"/>
      <sheetData sheetId="6"/>
      <sheetData sheetId="7"/>
      <sheetData sheetId="8"/>
      <sheetData sheetId="9"/>
      <sheetData sheetId="10" refreshError="1">
        <row r="7">
          <cell r="B7" t="str">
            <v>1.8</v>
          </cell>
          <cell r="C7" t="str">
            <v>Top soil removal (20 cm thick)</v>
          </cell>
          <cell r="D7" t="str">
            <v>cum</v>
          </cell>
          <cell r="E7">
            <v>1247.4000000000001</v>
          </cell>
          <cell r="O7">
            <v>1023.9699999999697</v>
          </cell>
          <cell r="P7">
            <v>2740.4411111110635</v>
          </cell>
          <cell r="R7">
            <v>5011.8111111110338</v>
          </cell>
        </row>
        <row r="8">
          <cell r="B8">
            <v>2.14</v>
          </cell>
          <cell r="C8" t="str">
            <v>E/W Excavation for foundation, drain, pipelines etc. in BM Soil</v>
          </cell>
          <cell r="D8" t="str">
            <v>cum</v>
          </cell>
          <cell r="E8">
            <v>3994.161111111111</v>
          </cell>
          <cell r="O8">
            <v>2980.144999999919</v>
          </cell>
          <cell r="P8">
            <v>8310.2405555553814</v>
          </cell>
          <cell r="R8">
            <v>16286.908888888618</v>
          </cell>
        </row>
        <row r="9">
          <cell r="B9" t="str">
            <v>2.15.a</v>
          </cell>
          <cell r="C9" t="str">
            <v>E/W Excavation for foundation, drain, pipelines etc. in soft rock</v>
          </cell>
          <cell r="D9" t="str">
            <v>cum</v>
          </cell>
          <cell r="E9">
            <v>1316.7</v>
          </cell>
          <cell r="O9">
            <v>0</v>
          </cell>
          <cell r="P9">
            <v>0</v>
          </cell>
          <cell r="R9">
            <v>1316.7</v>
          </cell>
        </row>
        <row r="10">
          <cell r="B10" t="str">
            <v>2.25.b</v>
          </cell>
          <cell r="C10" t="str">
            <v xml:space="preserve">Filling with ordinary soils with compaction </v>
          </cell>
          <cell r="D10" t="str">
            <v>cum</v>
          </cell>
          <cell r="E10">
            <v>4319.3311111111116</v>
          </cell>
          <cell r="O10">
            <v>3583.894999999904</v>
          </cell>
          <cell r="P10">
            <v>9591.5438888886874</v>
          </cell>
          <cell r="R10">
            <v>18497.13222222191</v>
          </cell>
        </row>
        <row r="11">
          <cell r="B11" t="str">
            <v>2.42</v>
          </cell>
          <cell r="C11" t="str">
            <v>Sand filling with compaction and sprinkling of water</v>
          </cell>
          <cell r="D11" t="str">
            <v>cum</v>
          </cell>
          <cell r="E11">
            <v>991.53</v>
          </cell>
          <cell r="O11">
            <v>0</v>
          </cell>
          <cell r="P11">
            <v>0</v>
          </cell>
          <cell r="R11">
            <v>991.53</v>
          </cell>
        </row>
        <row r="12">
          <cell r="B12" t="str">
            <v>1.9</v>
          </cell>
          <cell r="C12" t="str">
            <v>Top soil spreading (20 cm thick)</v>
          </cell>
          <cell r="D12" t="str">
            <v>sqm</v>
          </cell>
          <cell r="E12">
            <v>1247.4000000000001</v>
          </cell>
          <cell r="O12">
            <v>1023.9699999999697</v>
          </cell>
          <cell r="P12">
            <v>2740.4411111110635</v>
          </cell>
          <cell r="R12">
            <v>5011.8111111110338</v>
          </cell>
        </row>
        <row r="13">
          <cell r="B13" t="str">
            <v>M-113</v>
          </cell>
          <cell r="C13" t="str">
            <v>Truss Anchoring Work for pipeline in hard rock</v>
          </cell>
          <cell r="D13" t="str">
            <v>rm</v>
          </cell>
          <cell r="E13">
            <v>700</v>
          </cell>
          <cell r="O13">
            <v>0</v>
          </cell>
          <cell r="P13">
            <v>0</v>
          </cell>
          <cell r="R13">
            <v>700</v>
          </cell>
        </row>
        <row r="14">
          <cell r="B14" t="str">
            <v>M-114</v>
          </cell>
          <cell r="C14" t="str">
            <v>Staging work for anchoring using MS pipe and wooden plateform</v>
          </cell>
          <cell r="D14" t="str">
            <v>m</v>
          </cell>
          <cell r="E14">
            <v>700</v>
          </cell>
          <cell r="O14">
            <v>0</v>
          </cell>
          <cell r="P14">
            <v>0</v>
          </cell>
          <cell r="R14">
            <v>700</v>
          </cell>
        </row>
        <row r="15">
          <cell r="B15" t="str">
            <v>TB</v>
          </cell>
          <cell r="C15" t="str">
            <v>Thrust Blocks (454 Nos)</v>
          </cell>
          <cell r="D15" t="str">
            <v>no</v>
          </cell>
          <cell r="E15">
            <v>454</v>
          </cell>
          <cell r="O15">
            <v>0</v>
          </cell>
          <cell r="P15">
            <v>0</v>
          </cell>
          <cell r="R15">
            <v>454</v>
          </cell>
        </row>
        <row r="16">
          <cell r="B16" t="str">
            <v>PMP</v>
          </cell>
          <cell r="C16" t="str">
            <v>Pipe Marker Post</v>
          </cell>
          <cell r="D16" t="str">
            <v>no</v>
          </cell>
          <cell r="E16">
            <v>76</v>
          </cell>
          <cell r="O16">
            <v>20</v>
          </cell>
          <cell r="P16">
            <v>0</v>
          </cell>
          <cell r="R16">
            <v>96</v>
          </cell>
        </row>
        <row r="17">
          <cell r="B17" t="str">
            <v>M-117</v>
          </cell>
          <cell r="C17" t="str">
            <v>Fire Hydrant</v>
          </cell>
          <cell r="D17" t="str">
            <v>no</v>
          </cell>
          <cell r="E17">
            <v>0</v>
          </cell>
          <cell r="H17">
            <v>2</v>
          </cell>
          <cell r="N17">
            <v>4</v>
          </cell>
          <cell r="O17">
            <v>4</v>
          </cell>
          <cell r="P17">
            <v>6</v>
          </cell>
          <cell r="R17">
            <v>16</v>
          </cell>
        </row>
        <row r="21">
          <cell r="A21" t="str">
            <v>H32/6</v>
          </cell>
          <cell r="C21" t="str">
            <v xml:space="preserve">HDPE - 32/6 (dia/kgf/cm2)   </v>
          </cell>
          <cell r="E21">
            <v>0</v>
          </cell>
          <cell r="O21">
            <v>0</v>
          </cell>
          <cell r="R21">
            <v>0</v>
          </cell>
        </row>
        <row r="22">
          <cell r="A22" t="str">
            <v>H32/10</v>
          </cell>
          <cell r="C22" t="str">
            <v xml:space="preserve">HDPE - 32/10 (dia/kgf/cm2)   </v>
          </cell>
          <cell r="E22">
            <v>0</v>
          </cell>
          <cell r="O22">
            <v>0</v>
          </cell>
          <cell r="R22">
            <v>0</v>
          </cell>
        </row>
        <row r="23">
          <cell r="A23" t="str">
            <v>H40/6</v>
          </cell>
          <cell r="B23" t="str">
            <v>17.2.a.4</v>
          </cell>
          <cell r="C23" t="str">
            <v xml:space="preserve">HDPE - 40/6 (dia/kgf/cm2)   </v>
          </cell>
          <cell r="E23">
            <v>0</v>
          </cell>
          <cell r="O23">
            <v>132</v>
          </cell>
          <cell r="R23">
            <v>132</v>
          </cell>
        </row>
        <row r="24">
          <cell r="A24" t="str">
            <v>H40/10</v>
          </cell>
          <cell r="B24" t="str">
            <v>17.2.a.4</v>
          </cell>
          <cell r="C24" t="str">
            <v xml:space="preserve">HDPE - 40/10 (dia/kgf/cm2)   </v>
          </cell>
          <cell r="E24">
            <v>0</v>
          </cell>
          <cell r="O24">
            <v>1369</v>
          </cell>
          <cell r="R24">
            <v>1369</v>
          </cell>
        </row>
        <row r="25">
          <cell r="A25" t="str">
            <v>H50/6</v>
          </cell>
          <cell r="B25" t="str">
            <v>17.2.a.5</v>
          </cell>
          <cell r="C25" t="str">
            <v xml:space="preserve">HDPE - 50/6 (dia/kgf/cm2)   </v>
          </cell>
          <cell r="E25">
            <v>0</v>
          </cell>
          <cell r="O25">
            <v>0</v>
          </cell>
          <cell r="R25">
            <v>0</v>
          </cell>
        </row>
        <row r="26">
          <cell r="A26" t="str">
            <v>H50/10</v>
          </cell>
          <cell r="B26" t="str">
            <v>17.2.a.5</v>
          </cell>
          <cell r="C26" t="str">
            <v xml:space="preserve">HDPE - 50/10 (dia/kgf/cm2)   </v>
          </cell>
          <cell r="E26">
            <v>0</v>
          </cell>
          <cell r="O26">
            <v>1654</v>
          </cell>
          <cell r="R26">
            <v>1654</v>
          </cell>
        </row>
        <row r="27">
          <cell r="A27" t="str">
            <v>H63/6</v>
          </cell>
          <cell r="B27" t="str">
            <v>17.2.b.1</v>
          </cell>
          <cell r="C27" t="str">
            <v xml:space="preserve">HDPE - 63/6 (dia/kgf/cm2)   </v>
          </cell>
          <cell r="E27">
            <v>0</v>
          </cell>
          <cell r="O27">
            <v>415</v>
          </cell>
          <cell r="R27">
            <v>415</v>
          </cell>
        </row>
        <row r="28">
          <cell r="A28" t="str">
            <v>H63/10</v>
          </cell>
          <cell r="B28" t="str">
            <v>17.2.b.1</v>
          </cell>
          <cell r="C28" t="str">
            <v xml:space="preserve">HDPE - 63/10(dia/kgf/cm2)   </v>
          </cell>
          <cell r="E28">
            <v>0</v>
          </cell>
          <cell r="O28">
            <v>1734</v>
          </cell>
          <cell r="R28">
            <v>1734</v>
          </cell>
        </row>
        <row r="29">
          <cell r="A29" t="str">
            <v>H75/6</v>
          </cell>
          <cell r="B29" t="str">
            <v>17.2.b.2</v>
          </cell>
          <cell r="C29" t="str">
            <v xml:space="preserve">HDPE - 75/6 (dia/kgf/cm2)   </v>
          </cell>
          <cell r="E29">
            <v>0</v>
          </cell>
          <cell r="O29">
            <v>350</v>
          </cell>
          <cell r="R29">
            <v>350</v>
          </cell>
        </row>
        <row r="30">
          <cell r="A30" t="str">
            <v>H75/10</v>
          </cell>
          <cell r="B30" t="str">
            <v>17.2.b.2</v>
          </cell>
          <cell r="C30" t="str">
            <v xml:space="preserve">HDPE - 75/10 (dia/kgf/cm2)   </v>
          </cell>
          <cell r="E30">
            <v>0</v>
          </cell>
          <cell r="O30">
            <v>1586</v>
          </cell>
          <cell r="R30">
            <v>1586</v>
          </cell>
        </row>
        <row r="31">
          <cell r="A31" t="str">
            <v>H90/6</v>
          </cell>
          <cell r="B31" t="str">
            <v>17.2.b.3</v>
          </cell>
          <cell r="C31" t="str">
            <v xml:space="preserve">HDPE - 90/6 (dia/kgf/cm2)   </v>
          </cell>
          <cell r="D31" t="str">
            <v>m</v>
          </cell>
          <cell r="E31">
            <v>150</v>
          </cell>
          <cell r="O31">
            <v>150</v>
          </cell>
          <cell r="R31">
            <v>300</v>
          </cell>
        </row>
        <row r="32">
          <cell r="A32" t="str">
            <v>H90/10</v>
          </cell>
          <cell r="B32" t="str">
            <v>17.2.b.3</v>
          </cell>
          <cell r="C32" t="str">
            <v xml:space="preserve">HDPE - 90/10 (dia/kgf/cm2)   </v>
          </cell>
          <cell r="E32">
            <v>0</v>
          </cell>
          <cell r="O32">
            <v>860</v>
          </cell>
          <cell r="R32">
            <v>860</v>
          </cell>
        </row>
        <row r="33">
          <cell r="A33" t="str">
            <v>H110/4</v>
          </cell>
          <cell r="B33" t="str">
            <v>17.2.b.4</v>
          </cell>
          <cell r="C33" t="str">
            <v xml:space="preserve">HDPE - 110/4 (dia/kgf/cm2)   </v>
          </cell>
          <cell r="E33">
            <v>0</v>
          </cell>
          <cell r="O33">
            <v>528</v>
          </cell>
          <cell r="R33">
            <v>528</v>
          </cell>
        </row>
        <row r="34">
          <cell r="A34" t="str">
            <v>H110/6</v>
          </cell>
          <cell r="B34" t="str">
            <v>17.2.b.4</v>
          </cell>
          <cell r="C34" t="str">
            <v xml:space="preserve">HDPE - 110/6 (dia/kgf/cm2)   </v>
          </cell>
          <cell r="E34">
            <v>0</v>
          </cell>
          <cell r="O34">
            <v>800</v>
          </cell>
          <cell r="R34">
            <v>800</v>
          </cell>
        </row>
        <row r="35">
          <cell r="A35" t="str">
            <v>H110/10</v>
          </cell>
          <cell r="B35" t="str">
            <v>17.2.b.4</v>
          </cell>
          <cell r="C35" t="str">
            <v xml:space="preserve">HDPE - 110/10 (dia/kgf/cm2)   </v>
          </cell>
          <cell r="E35">
            <v>0</v>
          </cell>
          <cell r="O35">
            <v>0</v>
          </cell>
          <cell r="R35">
            <v>0</v>
          </cell>
        </row>
        <row r="36">
          <cell r="A36" t="str">
            <v>H125/4</v>
          </cell>
          <cell r="B36" t="str">
            <v>17.2.b.5</v>
          </cell>
          <cell r="C36" t="str">
            <v xml:space="preserve">HDPE - 125/4 (dia/kgf/cm2)   </v>
          </cell>
          <cell r="E36">
            <v>0</v>
          </cell>
          <cell r="O36">
            <v>157</v>
          </cell>
          <cell r="R36">
            <v>157</v>
          </cell>
        </row>
        <row r="37">
          <cell r="A37" t="str">
            <v>H125/6</v>
          </cell>
          <cell r="B37" t="str">
            <v>17.2.b.5</v>
          </cell>
          <cell r="C37" t="str">
            <v xml:space="preserve">HDPE - 125/6 (dia/kgf/cm2)   </v>
          </cell>
          <cell r="D37" t="str">
            <v>m</v>
          </cell>
          <cell r="E37">
            <v>150</v>
          </cell>
          <cell r="O37">
            <v>89</v>
          </cell>
          <cell r="R37">
            <v>239</v>
          </cell>
        </row>
        <row r="38">
          <cell r="A38" t="str">
            <v>H125/10</v>
          </cell>
          <cell r="B38" t="str">
            <v>17.2.b.5</v>
          </cell>
          <cell r="C38" t="str">
            <v xml:space="preserve">HDPE - 125/10 (dia/kgf/cm2)   </v>
          </cell>
          <cell r="D38" t="str">
            <v>m</v>
          </cell>
          <cell r="E38">
            <v>0</v>
          </cell>
          <cell r="O38">
            <v>0</v>
          </cell>
          <cell r="R38">
            <v>0</v>
          </cell>
        </row>
        <row r="39">
          <cell r="A39" t="str">
            <v>H140/6</v>
          </cell>
          <cell r="B39" t="str">
            <v>17.2.b.6</v>
          </cell>
          <cell r="C39" t="str">
            <v xml:space="preserve">HDPE - 140/6 (dia/kgf/cm2)   </v>
          </cell>
          <cell r="D39" t="str">
            <v>m</v>
          </cell>
          <cell r="E39">
            <v>0</v>
          </cell>
          <cell r="O39">
            <v>0</v>
          </cell>
          <cell r="R39">
            <v>0</v>
          </cell>
        </row>
        <row r="40">
          <cell r="A40" t="str">
            <v>H140/10</v>
          </cell>
          <cell r="B40" t="str">
            <v>17.2.b.6</v>
          </cell>
          <cell r="C40" t="str">
            <v xml:space="preserve">HDPE - 140/10 (dia/kgf/cm2)   </v>
          </cell>
          <cell r="D40" t="str">
            <v>m</v>
          </cell>
          <cell r="E40">
            <v>0</v>
          </cell>
          <cell r="O40">
            <v>0</v>
          </cell>
          <cell r="R40">
            <v>0</v>
          </cell>
        </row>
        <row r="41">
          <cell r="A41" t="str">
            <v>H160/4</v>
          </cell>
          <cell r="B41" t="str">
            <v>17.2.b.7</v>
          </cell>
          <cell r="C41" t="str">
            <v xml:space="preserve">HDPE - 160/4 (dia/kgf/cm2)   </v>
          </cell>
          <cell r="D41" t="str">
            <v>m</v>
          </cell>
          <cell r="E41">
            <v>0</v>
          </cell>
          <cell r="O41">
            <v>0</v>
          </cell>
          <cell r="R41">
            <v>0</v>
          </cell>
        </row>
        <row r="42">
          <cell r="A42" t="str">
            <v>H160/6</v>
          </cell>
          <cell r="C42" t="str">
            <v xml:space="preserve">HDPE - 160/6 (dia/kgf/cm2)   </v>
          </cell>
          <cell r="D42" t="str">
            <v>m</v>
          </cell>
          <cell r="E42">
            <v>0</v>
          </cell>
          <cell r="O42">
            <v>0</v>
          </cell>
          <cell r="R42">
            <v>0</v>
          </cell>
        </row>
        <row r="43">
          <cell r="E43">
            <v>300</v>
          </cell>
          <cell r="F43">
            <v>0</v>
          </cell>
          <cell r="G43">
            <v>0</v>
          </cell>
          <cell r="H43">
            <v>0</v>
          </cell>
          <cell r="I43">
            <v>0</v>
          </cell>
          <cell r="J43">
            <v>0</v>
          </cell>
          <cell r="K43">
            <v>0</v>
          </cell>
          <cell r="L43">
            <v>0</v>
          </cell>
          <cell r="M43">
            <v>0</v>
          </cell>
          <cell r="N43">
            <v>0</v>
          </cell>
          <cell r="O43">
            <v>9824</v>
          </cell>
          <cell r="P43">
            <v>0</v>
          </cell>
          <cell r="Q43">
            <v>0</v>
          </cell>
          <cell r="R43">
            <v>10124</v>
          </cell>
        </row>
        <row r="46">
          <cell r="C46" t="str">
            <v>GI pipes</v>
          </cell>
        </row>
        <row r="49">
          <cell r="A49" t="str">
            <v>G40</v>
          </cell>
          <cell r="B49" t="str">
            <v>17.4.a.3.1</v>
          </cell>
          <cell r="C49" t="str">
            <v>GI pipe dia 40 (Medium 'B' )</v>
          </cell>
          <cell r="D49" t="str">
            <v>m</v>
          </cell>
          <cell r="E49">
            <v>187</v>
          </cell>
          <cell r="O49">
            <v>0</v>
          </cell>
          <cell r="P49">
            <v>3424</v>
          </cell>
          <cell r="R49">
            <v>3611</v>
          </cell>
        </row>
        <row r="50">
          <cell r="A50" t="str">
            <v>G50</v>
          </cell>
          <cell r="B50" t="str">
            <v>17.4.a.3.2</v>
          </cell>
          <cell r="C50" t="str">
            <v>GI pipe dia 50 (Medium 'B' )</v>
          </cell>
          <cell r="D50" t="str">
            <v>m</v>
          </cell>
          <cell r="E50">
            <v>583</v>
          </cell>
          <cell r="O50">
            <v>0</v>
          </cell>
          <cell r="P50">
            <v>1425</v>
          </cell>
          <cell r="R50">
            <v>2008</v>
          </cell>
        </row>
        <row r="51">
          <cell r="A51" t="str">
            <v>G63</v>
          </cell>
          <cell r="B51" t="str">
            <v>17.4.a.4.1</v>
          </cell>
          <cell r="C51" t="str">
            <v>GI pipe dia 63 (Medium 'B' )</v>
          </cell>
          <cell r="D51" t="str">
            <v>m</v>
          </cell>
          <cell r="E51">
            <v>1561</v>
          </cell>
          <cell r="O51">
            <v>0</v>
          </cell>
          <cell r="P51">
            <v>2943</v>
          </cell>
          <cell r="R51">
            <v>4504</v>
          </cell>
        </row>
        <row r="52">
          <cell r="A52" t="str">
            <v>G75</v>
          </cell>
          <cell r="B52" t="str">
            <v>17.4.a.4.2</v>
          </cell>
          <cell r="C52" t="str">
            <v>GI pipe dia 75 (Medium 'B' )</v>
          </cell>
          <cell r="D52" t="str">
            <v>m</v>
          </cell>
          <cell r="E52">
            <v>1018</v>
          </cell>
          <cell r="O52">
            <v>0</v>
          </cell>
          <cell r="P52">
            <v>8125</v>
          </cell>
          <cell r="R52">
            <v>9143</v>
          </cell>
        </row>
        <row r="53">
          <cell r="A53" t="str">
            <v>G100</v>
          </cell>
          <cell r="B53" t="str">
            <v>17.4.a.5</v>
          </cell>
          <cell r="C53" t="str">
            <v>GI pipe dia 100 (Medium 'B' )</v>
          </cell>
          <cell r="D53" t="str">
            <v>m</v>
          </cell>
          <cell r="E53">
            <v>1140</v>
          </cell>
          <cell r="O53">
            <v>0</v>
          </cell>
          <cell r="P53">
            <v>7047</v>
          </cell>
          <cell r="R53">
            <v>8187</v>
          </cell>
        </row>
        <row r="54">
          <cell r="A54" t="str">
            <v>G150</v>
          </cell>
          <cell r="E54">
            <v>4489</v>
          </cell>
          <cell r="F54">
            <v>0</v>
          </cell>
          <cell r="G54">
            <v>0</v>
          </cell>
          <cell r="H54">
            <v>0</v>
          </cell>
          <cell r="I54">
            <v>0</v>
          </cell>
          <cell r="J54">
            <v>0</v>
          </cell>
          <cell r="K54">
            <v>0</v>
          </cell>
          <cell r="L54">
            <v>0</v>
          </cell>
          <cell r="M54">
            <v>0</v>
          </cell>
          <cell r="N54">
            <v>0</v>
          </cell>
          <cell r="O54">
            <v>0</v>
          </cell>
          <cell r="P54">
            <v>22964</v>
          </cell>
          <cell r="Q54">
            <v>0</v>
          </cell>
          <cell r="R54">
            <v>27453</v>
          </cell>
        </row>
        <row r="56">
          <cell r="C56" t="str">
            <v>DI pipes</v>
          </cell>
        </row>
        <row r="57">
          <cell r="A57" t="str">
            <v>D80</v>
          </cell>
          <cell r="B57">
            <v>18.100000000000001</v>
          </cell>
          <cell r="C57" t="str">
            <v>DI pipe dia 80</v>
          </cell>
          <cell r="D57" t="str">
            <v>m</v>
          </cell>
          <cell r="E57">
            <v>6611</v>
          </cell>
          <cell r="O57">
            <v>0</v>
          </cell>
          <cell r="P57">
            <v>0</v>
          </cell>
          <cell r="R57">
            <v>6611</v>
          </cell>
        </row>
        <row r="58">
          <cell r="A58" t="str">
            <v>D100</v>
          </cell>
          <cell r="B58">
            <v>18.2</v>
          </cell>
          <cell r="C58" t="str">
            <v>DI pipe dia 100</v>
          </cell>
          <cell r="D58" t="str">
            <v>m</v>
          </cell>
          <cell r="E58">
            <v>5740</v>
          </cell>
          <cell r="O58">
            <v>0</v>
          </cell>
          <cell r="P58">
            <v>0</v>
          </cell>
          <cell r="R58">
            <v>5740</v>
          </cell>
        </row>
        <row r="59">
          <cell r="A59" t="str">
            <v>D150</v>
          </cell>
          <cell r="B59">
            <v>18.3</v>
          </cell>
          <cell r="C59" t="str">
            <v>DI pipe dia 150</v>
          </cell>
          <cell r="D59" t="str">
            <v>m</v>
          </cell>
          <cell r="E59">
            <v>5230</v>
          </cell>
          <cell r="O59">
            <v>0</v>
          </cell>
          <cell r="P59">
            <v>780</v>
          </cell>
          <cell r="R59">
            <v>6010</v>
          </cell>
        </row>
        <row r="60">
          <cell r="A60" t="str">
            <v>D200</v>
          </cell>
          <cell r="B60">
            <v>18.399999999999999</v>
          </cell>
          <cell r="C60" t="str">
            <v>DI pipe dia 200</v>
          </cell>
          <cell r="D60" t="str">
            <v>m</v>
          </cell>
          <cell r="E60">
            <v>5735</v>
          </cell>
          <cell r="O60">
            <v>75</v>
          </cell>
          <cell r="P60">
            <v>1430</v>
          </cell>
          <cell r="R60">
            <v>7240</v>
          </cell>
        </row>
        <row r="61">
          <cell r="A61" t="str">
            <v>D250</v>
          </cell>
          <cell r="B61">
            <v>18.5</v>
          </cell>
          <cell r="C61" t="str">
            <v>DI pipe dia 250</v>
          </cell>
          <cell r="D61" t="str">
            <v>m</v>
          </cell>
          <cell r="E61">
            <v>1525</v>
          </cell>
          <cell r="O61">
            <v>0</v>
          </cell>
          <cell r="P61">
            <v>140</v>
          </cell>
          <cell r="R61">
            <v>1665</v>
          </cell>
        </row>
        <row r="62">
          <cell r="A62" t="str">
            <v>D300</v>
          </cell>
          <cell r="B62">
            <v>18.600000000000001</v>
          </cell>
          <cell r="C62" t="str">
            <v>DI pipe dia 300</v>
          </cell>
          <cell r="D62" t="str">
            <v>m</v>
          </cell>
          <cell r="E62">
            <v>7410</v>
          </cell>
          <cell r="O62">
            <v>0</v>
          </cell>
          <cell r="P62">
            <v>10</v>
          </cell>
          <cell r="R62">
            <v>7420</v>
          </cell>
        </row>
        <row r="63">
          <cell r="A63" t="str">
            <v>D300_1</v>
          </cell>
          <cell r="B63" t="str">
            <v>18.6_1</v>
          </cell>
          <cell r="C63" t="str">
            <v>DI pipe dia 300</v>
          </cell>
          <cell r="D63" t="str">
            <v>m</v>
          </cell>
          <cell r="E63">
            <v>800</v>
          </cell>
          <cell r="O63">
            <v>0</v>
          </cell>
          <cell r="P63">
            <v>0</v>
          </cell>
          <cell r="R63">
            <v>800</v>
          </cell>
        </row>
        <row r="64">
          <cell r="E64">
            <v>33051</v>
          </cell>
          <cell r="F64">
            <v>0</v>
          </cell>
          <cell r="G64">
            <v>0</v>
          </cell>
          <cell r="H64">
            <v>0</v>
          </cell>
          <cell r="I64">
            <v>0</v>
          </cell>
          <cell r="J64">
            <v>0</v>
          </cell>
          <cell r="K64">
            <v>0</v>
          </cell>
          <cell r="L64">
            <v>0</v>
          </cell>
          <cell r="M64">
            <v>0</v>
          </cell>
          <cell r="N64">
            <v>0</v>
          </cell>
          <cell r="O64">
            <v>75</v>
          </cell>
          <cell r="P64">
            <v>2360</v>
          </cell>
          <cell r="Q64">
            <v>0</v>
          </cell>
          <cell r="R64">
            <v>35486</v>
          </cell>
        </row>
        <row r="65">
          <cell r="R65">
            <v>0</v>
          </cell>
        </row>
        <row r="66">
          <cell r="R66">
            <v>0</v>
          </cell>
        </row>
      </sheetData>
      <sheetData sheetId="11" refreshError="1">
        <row r="20">
          <cell r="B20" t="str">
            <v>H32/6</v>
          </cell>
          <cell r="D20" t="str">
            <v xml:space="preserve">HDPE - 32/6 (dia/kgf/cm2)   </v>
          </cell>
          <cell r="G20">
            <v>1818</v>
          </cell>
          <cell r="H20">
            <v>0</v>
          </cell>
          <cell r="I20">
            <v>0</v>
          </cell>
          <cell r="J20">
            <v>0</v>
          </cell>
          <cell r="K20">
            <v>552</v>
          </cell>
          <cell r="L20">
            <v>0</v>
          </cell>
          <cell r="M20">
            <v>0</v>
          </cell>
          <cell r="N20">
            <v>0</v>
          </cell>
          <cell r="O20">
            <v>0</v>
          </cell>
          <cell r="R20">
            <v>200</v>
          </cell>
          <cell r="S20">
            <v>2570</v>
          </cell>
        </row>
        <row r="21">
          <cell r="B21" t="str">
            <v>H32/10</v>
          </cell>
          <cell r="D21" t="str">
            <v xml:space="preserve">HDPE - 32/10 (dia/kgf/cm2)   </v>
          </cell>
          <cell r="G21">
            <v>670</v>
          </cell>
          <cell r="H21">
            <v>240</v>
          </cell>
          <cell r="I21">
            <v>0</v>
          </cell>
          <cell r="J21">
            <v>103</v>
          </cell>
          <cell r="K21">
            <v>0</v>
          </cell>
          <cell r="L21">
            <v>0</v>
          </cell>
          <cell r="M21">
            <v>0</v>
          </cell>
          <cell r="N21">
            <v>0</v>
          </cell>
          <cell r="O21">
            <v>0</v>
          </cell>
          <cell r="R21">
            <v>936</v>
          </cell>
          <cell r="S21">
            <v>1949</v>
          </cell>
        </row>
        <row r="22">
          <cell r="B22" t="str">
            <v>H40/6</v>
          </cell>
          <cell r="D22" t="str">
            <v xml:space="preserve">HDPE - 40/6 (dia/kgf/cm2)   </v>
          </cell>
          <cell r="G22">
            <v>564</v>
          </cell>
          <cell r="H22">
            <v>229</v>
          </cell>
          <cell r="I22">
            <v>350</v>
          </cell>
          <cell r="J22">
            <v>0</v>
          </cell>
          <cell r="K22">
            <v>405</v>
          </cell>
          <cell r="L22">
            <v>293</v>
          </cell>
          <cell r="M22">
            <v>1200</v>
          </cell>
          <cell r="N22">
            <v>1550</v>
          </cell>
          <cell r="O22">
            <v>0</v>
          </cell>
          <cell r="R22">
            <v>150</v>
          </cell>
          <cell r="S22">
            <v>4741</v>
          </cell>
        </row>
        <row r="23">
          <cell r="B23" t="str">
            <v>H40/10</v>
          </cell>
          <cell r="D23" t="str">
            <v xml:space="preserve">HDPE - 40/10 (dia/kgf/cm2)   </v>
          </cell>
          <cell r="G23">
            <v>330</v>
          </cell>
          <cell r="H23">
            <v>0</v>
          </cell>
          <cell r="I23">
            <v>819</v>
          </cell>
          <cell r="J23">
            <v>0</v>
          </cell>
          <cell r="K23">
            <v>0</v>
          </cell>
          <cell r="L23">
            <v>0</v>
          </cell>
          <cell r="M23">
            <v>3826</v>
          </cell>
          <cell r="N23">
            <v>1325</v>
          </cell>
          <cell r="O23">
            <v>0</v>
          </cell>
          <cell r="R23">
            <v>557</v>
          </cell>
          <cell r="S23">
            <v>6857</v>
          </cell>
        </row>
        <row r="24">
          <cell r="B24" t="str">
            <v>H50/6</v>
          </cell>
          <cell r="D24" t="str">
            <v xml:space="preserve">HDPE - 50/6 (dia/kgf/cm2)   </v>
          </cell>
          <cell r="G24">
            <v>617</v>
          </cell>
          <cell r="H24">
            <v>0</v>
          </cell>
          <cell r="I24">
            <v>109</v>
          </cell>
          <cell r="J24">
            <v>0</v>
          </cell>
          <cell r="K24">
            <v>0</v>
          </cell>
          <cell r="L24">
            <v>899</v>
          </cell>
          <cell r="M24">
            <v>1050</v>
          </cell>
          <cell r="N24">
            <v>0</v>
          </cell>
          <cell r="O24">
            <v>0</v>
          </cell>
          <cell r="R24">
            <v>0</v>
          </cell>
          <cell r="S24">
            <v>2675</v>
          </cell>
        </row>
        <row r="25">
          <cell r="B25" t="str">
            <v>H50/10</v>
          </cell>
          <cell r="D25" t="str">
            <v xml:space="preserve">HDPE - 50/10 (dia/kgf/cm2)   </v>
          </cell>
          <cell r="G25">
            <v>0</v>
          </cell>
          <cell r="H25">
            <v>0</v>
          </cell>
          <cell r="I25">
            <v>553</v>
          </cell>
          <cell r="J25">
            <v>0</v>
          </cell>
          <cell r="K25">
            <v>0</v>
          </cell>
          <cell r="L25">
            <v>1953</v>
          </cell>
          <cell r="M25">
            <v>1535</v>
          </cell>
          <cell r="N25">
            <v>1310</v>
          </cell>
          <cell r="O25">
            <v>238</v>
          </cell>
          <cell r="R25">
            <v>1008</v>
          </cell>
          <cell r="S25">
            <v>6597</v>
          </cell>
        </row>
        <row r="26">
          <cell r="B26" t="str">
            <v>H63/6</v>
          </cell>
          <cell r="D26" t="str">
            <v xml:space="preserve">HDPE - 63/6 (dia/kgf/cm2)   </v>
          </cell>
          <cell r="G26">
            <v>36</v>
          </cell>
          <cell r="H26">
            <v>594</v>
          </cell>
          <cell r="I26">
            <v>506</v>
          </cell>
          <cell r="J26">
            <v>0</v>
          </cell>
          <cell r="K26">
            <v>0</v>
          </cell>
          <cell r="L26">
            <v>147</v>
          </cell>
          <cell r="M26">
            <v>75</v>
          </cell>
          <cell r="N26">
            <v>0</v>
          </cell>
          <cell r="O26">
            <v>0</v>
          </cell>
          <cell r="R26">
            <v>0</v>
          </cell>
          <cell r="S26">
            <v>1358</v>
          </cell>
        </row>
        <row r="27">
          <cell r="B27" t="str">
            <v>H63/10</v>
          </cell>
          <cell r="D27" t="str">
            <v xml:space="preserve">HDPE - 63/10(dia/kgf/cm2)   </v>
          </cell>
          <cell r="G27">
            <v>0</v>
          </cell>
          <cell r="H27">
            <v>0</v>
          </cell>
          <cell r="I27">
            <v>202</v>
          </cell>
          <cell r="J27">
            <v>0</v>
          </cell>
          <cell r="K27">
            <v>0</v>
          </cell>
          <cell r="L27">
            <v>0</v>
          </cell>
          <cell r="M27">
            <v>4526</v>
          </cell>
          <cell r="N27">
            <v>460</v>
          </cell>
          <cell r="O27">
            <v>1245</v>
          </cell>
          <cell r="R27">
            <v>2470</v>
          </cell>
          <cell r="S27">
            <v>8903</v>
          </cell>
        </row>
        <row r="28">
          <cell r="B28" t="str">
            <v>H75/6</v>
          </cell>
          <cell r="D28" t="str">
            <v xml:space="preserve">HDPE - 75/6 (dia/kgf/cm2)   </v>
          </cell>
          <cell r="G28">
            <v>141</v>
          </cell>
          <cell r="H28">
            <v>0</v>
          </cell>
          <cell r="I28">
            <v>202</v>
          </cell>
          <cell r="J28">
            <v>0</v>
          </cell>
          <cell r="K28">
            <v>239</v>
          </cell>
          <cell r="L28">
            <v>713</v>
          </cell>
          <cell r="M28">
            <v>700</v>
          </cell>
          <cell r="N28">
            <v>711</v>
          </cell>
          <cell r="O28">
            <v>0</v>
          </cell>
          <cell r="R28">
            <v>0</v>
          </cell>
          <cell r="S28">
            <v>2706</v>
          </cell>
        </row>
        <row r="29">
          <cell r="B29" t="str">
            <v>H75/10</v>
          </cell>
          <cell r="D29" t="str">
            <v xml:space="preserve">HDPE - 75/10 (dia/kgf/cm2)   </v>
          </cell>
          <cell r="G29">
            <v>0</v>
          </cell>
          <cell r="H29">
            <v>0</v>
          </cell>
          <cell r="I29">
            <v>0</v>
          </cell>
          <cell r="J29">
            <v>0</v>
          </cell>
          <cell r="K29">
            <v>0</v>
          </cell>
          <cell r="L29">
            <v>0</v>
          </cell>
          <cell r="M29">
            <v>686</v>
          </cell>
          <cell r="N29">
            <v>0</v>
          </cell>
          <cell r="O29">
            <v>0</v>
          </cell>
          <cell r="R29">
            <v>0</v>
          </cell>
          <cell r="S29">
            <v>686</v>
          </cell>
        </row>
        <row r="30">
          <cell r="B30" t="str">
            <v>H90/6</v>
          </cell>
          <cell r="D30" t="str">
            <v xml:space="preserve">HDPE - 90/6 (dia/kgf/cm2)   </v>
          </cell>
          <cell r="G30">
            <v>306</v>
          </cell>
          <cell r="H30">
            <v>0</v>
          </cell>
          <cell r="I30">
            <v>80</v>
          </cell>
          <cell r="J30">
            <v>0</v>
          </cell>
          <cell r="K30">
            <v>2456</v>
          </cell>
          <cell r="L30">
            <v>0</v>
          </cell>
          <cell r="M30">
            <v>420</v>
          </cell>
          <cell r="N30">
            <v>252</v>
          </cell>
          <cell r="O30">
            <v>400</v>
          </cell>
          <cell r="R30">
            <v>1202</v>
          </cell>
          <cell r="S30">
            <v>5116</v>
          </cell>
        </row>
        <row r="31">
          <cell r="B31" t="str">
            <v>H90/10</v>
          </cell>
          <cell r="D31" t="str">
            <v xml:space="preserve">HDPE - 90/10 (dia/kgf/cm2)   </v>
          </cell>
          <cell r="G31">
            <v>231</v>
          </cell>
          <cell r="H31">
            <v>0</v>
          </cell>
          <cell r="I31">
            <v>210</v>
          </cell>
          <cell r="J31">
            <v>0</v>
          </cell>
          <cell r="K31">
            <v>0</v>
          </cell>
          <cell r="L31">
            <v>277</v>
          </cell>
          <cell r="M31">
            <v>0</v>
          </cell>
          <cell r="N31">
            <v>0</v>
          </cell>
          <cell r="O31">
            <v>0</v>
          </cell>
          <cell r="R31">
            <v>1654</v>
          </cell>
          <cell r="S31">
            <v>2372</v>
          </cell>
        </row>
        <row r="32">
          <cell r="B32" t="str">
            <v>H110/4</v>
          </cell>
          <cell r="D32" t="str">
            <v xml:space="preserve">HDPE - 110/4 (dia/kgf/cm2)   </v>
          </cell>
          <cell r="G32">
            <v>0</v>
          </cell>
          <cell r="H32">
            <v>0</v>
          </cell>
          <cell r="I32">
            <v>0</v>
          </cell>
          <cell r="J32">
            <v>0</v>
          </cell>
          <cell r="K32">
            <v>0</v>
          </cell>
          <cell r="L32">
            <v>0</v>
          </cell>
          <cell r="M32">
            <v>0</v>
          </cell>
          <cell r="N32">
            <v>0</v>
          </cell>
          <cell r="O32">
            <v>0</v>
          </cell>
          <cell r="R32">
            <v>0</v>
          </cell>
          <cell r="S32">
            <v>0</v>
          </cell>
        </row>
        <row r="33">
          <cell r="B33" t="str">
            <v>H110/6</v>
          </cell>
          <cell r="D33" t="str">
            <v xml:space="preserve">HDPE - 110/6 (dia/kgf/cm2)   </v>
          </cell>
          <cell r="G33">
            <v>0</v>
          </cell>
          <cell r="H33">
            <v>0</v>
          </cell>
          <cell r="I33">
            <v>0</v>
          </cell>
          <cell r="J33">
            <v>0</v>
          </cell>
          <cell r="K33">
            <v>380</v>
          </cell>
          <cell r="L33">
            <v>1050</v>
          </cell>
          <cell r="M33">
            <v>430</v>
          </cell>
          <cell r="N33">
            <v>0</v>
          </cell>
          <cell r="O33">
            <v>660</v>
          </cell>
          <cell r="R33">
            <v>0</v>
          </cell>
          <cell r="S33">
            <v>2520</v>
          </cell>
        </row>
        <row r="34">
          <cell r="B34" t="str">
            <v>H110/10</v>
          </cell>
          <cell r="D34" t="str">
            <v xml:space="preserve">HDPE - 110/10 (dia/kgf/cm2)   </v>
          </cell>
          <cell r="G34">
            <v>0</v>
          </cell>
          <cell r="H34">
            <v>0</v>
          </cell>
          <cell r="I34">
            <v>260</v>
          </cell>
          <cell r="J34">
            <v>0</v>
          </cell>
          <cell r="K34">
            <v>0</v>
          </cell>
          <cell r="L34">
            <v>652</v>
          </cell>
          <cell r="M34">
            <v>0</v>
          </cell>
          <cell r="N34">
            <v>0</v>
          </cell>
          <cell r="O34">
            <v>0</v>
          </cell>
          <cell r="R34">
            <v>480</v>
          </cell>
          <cell r="S34">
            <v>1392</v>
          </cell>
        </row>
        <row r="35">
          <cell r="B35" t="str">
            <v>H125/4</v>
          </cell>
          <cell r="D35" t="str">
            <v xml:space="preserve">HDPE - 125/4 (dia/kgf/cm2)   </v>
          </cell>
          <cell r="G35">
            <v>20</v>
          </cell>
          <cell r="H35">
            <v>0</v>
          </cell>
          <cell r="I35">
            <v>0</v>
          </cell>
          <cell r="J35">
            <v>0</v>
          </cell>
          <cell r="K35">
            <v>0</v>
          </cell>
          <cell r="L35">
            <v>248</v>
          </cell>
          <cell r="M35">
            <v>0</v>
          </cell>
          <cell r="N35">
            <v>0</v>
          </cell>
          <cell r="O35">
            <v>0</v>
          </cell>
          <cell r="R35">
            <v>0</v>
          </cell>
          <cell r="S35">
            <v>268</v>
          </cell>
        </row>
        <row r="36">
          <cell r="B36" t="str">
            <v>H125/6</v>
          </cell>
          <cell r="D36" t="str">
            <v xml:space="preserve">HDPE - 125/6 (dia/kgf/cm2)   </v>
          </cell>
          <cell r="G36">
            <v>0</v>
          </cell>
          <cell r="H36">
            <v>0</v>
          </cell>
          <cell r="I36">
            <v>481</v>
          </cell>
          <cell r="J36">
            <v>0</v>
          </cell>
          <cell r="K36">
            <v>248</v>
          </cell>
          <cell r="L36">
            <v>553</v>
          </cell>
          <cell r="M36">
            <v>0</v>
          </cell>
          <cell r="N36">
            <v>0</v>
          </cell>
          <cell r="O36">
            <v>0</v>
          </cell>
          <cell r="R36">
            <v>0</v>
          </cell>
          <cell r="S36">
            <v>1282</v>
          </cell>
        </row>
        <row r="37">
          <cell r="B37" t="str">
            <v>H125/10</v>
          </cell>
          <cell r="D37" t="str">
            <v xml:space="preserve">HDPE - 125/10 (dia/kgf/cm2)   </v>
          </cell>
          <cell r="G37">
            <v>0</v>
          </cell>
          <cell r="H37">
            <v>0</v>
          </cell>
          <cell r="I37">
            <v>1571</v>
          </cell>
          <cell r="J37">
            <v>477</v>
          </cell>
          <cell r="K37">
            <v>0</v>
          </cell>
          <cell r="L37">
            <v>846</v>
          </cell>
          <cell r="M37">
            <v>0</v>
          </cell>
          <cell r="N37">
            <v>1638</v>
          </cell>
          <cell r="O37">
            <v>1300</v>
          </cell>
          <cell r="R37">
            <v>2481</v>
          </cell>
          <cell r="S37">
            <v>8313</v>
          </cell>
        </row>
        <row r="38">
          <cell r="B38" t="str">
            <v>H140/6</v>
          </cell>
          <cell r="D38" t="str">
            <v xml:space="preserve">HDPE - 140/6 (dia/kgf/cm2)   </v>
          </cell>
          <cell r="G38">
            <v>0</v>
          </cell>
          <cell r="H38">
            <v>0</v>
          </cell>
          <cell r="I38">
            <v>391</v>
          </cell>
          <cell r="J38">
            <v>0</v>
          </cell>
          <cell r="K38">
            <v>0</v>
          </cell>
          <cell r="L38">
            <v>0</v>
          </cell>
          <cell r="M38">
            <v>177</v>
          </cell>
          <cell r="N38">
            <v>0</v>
          </cell>
          <cell r="O38">
            <v>60</v>
          </cell>
          <cell r="R38">
            <v>403</v>
          </cell>
          <cell r="S38">
            <v>1031</v>
          </cell>
        </row>
        <row r="39">
          <cell r="B39" t="str">
            <v>H140/10</v>
          </cell>
          <cell r="D39" t="str">
            <v xml:space="preserve">HDPE - 140/10 (dia/kgf/cm2)   </v>
          </cell>
          <cell r="G39">
            <v>0</v>
          </cell>
          <cell r="H39">
            <v>0</v>
          </cell>
          <cell r="I39">
            <v>0</v>
          </cell>
          <cell r="J39">
            <v>0</v>
          </cell>
          <cell r="K39">
            <v>0</v>
          </cell>
          <cell r="L39">
            <v>0</v>
          </cell>
          <cell r="M39">
            <v>0</v>
          </cell>
          <cell r="N39">
            <v>1127</v>
          </cell>
          <cell r="O39">
            <v>0</v>
          </cell>
          <cell r="R39">
            <v>770</v>
          </cell>
          <cell r="S39">
            <v>1897</v>
          </cell>
        </row>
        <row r="40">
          <cell r="B40" t="str">
            <v>H160/4</v>
          </cell>
          <cell r="D40" t="str">
            <v xml:space="preserve">HDPE - 160/4 (dia/kgf/cm2)   </v>
          </cell>
          <cell r="G40">
            <v>0</v>
          </cell>
          <cell r="H40">
            <v>0</v>
          </cell>
          <cell r="I40">
            <v>1580</v>
          </cell>
          <cell r="J40">
            <v>0</v>
          </cell>
          <cell r="K40">
            <v>0</v>
          </cell>
          <cell r="L40">
            <v>0</v>
          </cell>
          <cell r="M40">
            <v>0</v>
          </cell>
          <cell r="N40">
            <v>0</v>
          </cell>
          <cell r="O40">
            <v>0</v>
          </cell>
          <cell r="R40">
            <v>10</v>
          </cell>
          <cell r="S40">
            <v>1590</v>
          </cell>
        </row>
        <row r="41">
          <cell r="B41" t="str">
            <v>H160/6</v>
          </cell>
          <cell r="D41" t="str">
            <v xml:space="preserve">HDPE - 160/6 (dia/kgf/cm2)   </v>
          </cell>
          <cell r="G41">
            <v>0</v>
          </cell>
          <cell r="H41">
            <v>0</v>
          </cell>
          <cell r="I41">
            <v>0</v>
          </cell>
          <cell r="J41">
            <v>0</v>
          </cell>
          <cell r="K41">
            <v>0</v>
          </cell>
          <cell r="L41">
            <v>0</v>
          </cell>
          <cell r="M41">
            <v>0</v>
          </cell>
          <cell r="N41">
            <v>3173</v>
          </cell>
          <cell r="O41">
            <v>440</v>
          </cell>
          <cell r="R41">
            <v>1865</v>
          </cell>
          <cell r="S41">
            <v>5478</v>
          </cell>
        </row>
        <row r="42">
          <cell r="J42">
            <v>0</v>
          </cell>
          <cell r="K42">
            <v>0</v>
          </cell>
          <cell r="L42">
            <v>0</v>
          </cell>
          <cell r="M42">
            <v>0</v>
          </cell>
          <cell r="N42">
            <v>0</v>
          </cell>
          <cell r="O42">
            <v>0</v>
          </cell>
          <cell r="R42">
            <v>0</v>
          </cell>
          <cell r="S42">
            <v>0</v>
          </cell>
        </row>
        <row r="43">
          <cell r="S43">
            <v>0</v>
          </cell>
        </row>
        <row r="44">
          <cell r="B44" t="str">
            <v>G40</v>
          </cell>
          <cell r="D44" t="str">
            <v>GI pipe dia 40 (Medium 'B' )</v>
          </cell>
          <cell r="O44">
            <v>5835</v>
          </cell>
          <cell r="S44">
            <v>5835</v>
          </cell>
        </row>
        <row r="45">
          <cell r="B45" t="str">
            <v>G50</v>
          </cell>
          <cell r="D45" t="str">
            <v>GI pipe dia 50 (Medium 'B' )</v>
          </cell>
          <cell r="O45">
            <v>2411</v>
          </cell>
          <cell r="S45">
            <v>2411</v>
          </cell>
        </row>
        <row r="46">
          <cell r="B46" t="str">
            <v>G63</v>
          </cell>
          <cell r="D46" t="str">
            <v>GI pipe dia 63 (Medium 'B' )</v>
          </cell>
          <cell r="O46">
            <v>0</v>
          </cell>
          <cell r="S46">
            <v>0</v>
          </cell>
        </row>
        <row r="47">
          <cell r="B47" t="str">
            <v>G75</v>
          </cell>
          <cell r="D47" t="str">
            <v>GI pipe dia 75 (Medium 'B' )</v>
          </cell>
          <cell r="O47">
            <v>2312</v>
          </cell>
          <cell r="S47">
            <v>2312</v>
          </cell>
        </row>
        <row r="48">
          <cell r="B48" t="str">
            <v>G100</v>
          </cell>
          <cell r="D48" t="str">
            <v>GI pipe dia 100 (Medium 'B' )</v>
          </cell>
          <cell r="O48">
            <v>0</v>
          </cell>
          <cell r="S48">
            <v>0</v>
          </cell>
        </row>
        <row r="49">
          <cell r="B49" t="str">
            <v>G150</v>
          </cell>
          <cell r="D49" t="str">
            <v>GI pipe dia 150 (Medium 'B' )</v>
          </cell>
          <cell r="S49">
            <v>0</v>
          </cell>
        </row>
        <row r="50">
          <cell r="S50">
            <v>0</v>
          </cell>
        </row>
        <row r="51">
          <cell r="S51">
            <v>0</v>
          </cell>
        </row>
        <row r="52">
          <cell r="B52" t="str">
            <v>D80</v>
          </cell>
          <cell r="D52" t="str">
            <v>DI pipe dia 80</v>
          </cell>
          <cell r="O52">
            <v>0</v>
          </cell>
          <cell r="S52">
            <v>0</v>
          </cell>
        </row>
        <row r="53">
          <cell r="B53" t="str">
            <v>D100</v>
          </cell>
          <cell r="D53" t="str">
            <v>DI pipe dia 100</v>
          </cell>
          <cell r="O53">
            <v>0</v>
          </cell>
          <cell r="S53">
            <v>0</v>
          </cell>
        </row>
        <row r="54">
          <cell r="B54" t="str">
            <v>D150</v>
          </cell>
          <cell r="D54" t="str">
            <v>DI pipe dia 150</v>
          </cell>
          <cell r="O54">
            <v>0</v>
          </cell>
          <cell r="S54">
            <v>0</v>
          </cell>
        </row>
        <row r="55">
          <cell r="B55" t="str">
            <v>D200</v>
          </cell>
          <cell r="D55" t="str">
            <v>DI pipe dia 200</v>
          </cell>
          <cell r="O55">
            <v>0</v>
          </cell>
          <cell r="S55">
            <v>0</v>
          </cell>
        </row>
        <row r="56">
          <cell r="B56" t="str">
            <v>D250</v>
          </cell>
          <cell r="D56" t="str">
            <v>DI pipe dia 250</v>
          </cell>
          <cell r="O56">
            <v>10</v>
          </cell>
          <cell r="S56">
            <v>10</v>
          </cell>
        </row>
        <row r="57">
          <cell r="B57" t="str">
            <v>D300</v>
          </cell>
          <cell r="D57" t="str">
            <v>DI pipe dia 300</v>
          </cell>
          <cell r="O57">
            <v>0</v>
          </cell>
          <cell r="S57">
            <v>0</v>
          </cell>
        </row>
        <row r="58">
          <cell r="B58" t="str">
            <v>D300_1</v>
          </cell>
          <cell r="D58" t="str">
            <v>DI pipe dia 300</v>
          </cell>
          <cell r="O58">
            <v>0</v>
          </cell>
          <cell r="S58">
            <v>0</v>
          </cell>
        </row>
      </sheetData>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row r="26">
          <cell r="B26" t="str">
            <v>1.3</v>
          </cell>
          <cell r="C26" t="str">
            <v>Site Clearance in thick vegetation area</v>
          </cell>
          <cell r="D26" t="str">
            <v>sqm</v>
          </cell>
          <cell r="E26">
            <v>32750</v>
          </cell>
          <cell r="F26">
            <v>3.68</v>
          </cell>
          <cell r="G26">
            <v>120520</v>
          </cell>
        </row>
        <row r="27">
          <cell r="B27" t="str">
            <v>1.1.c</v>
          </cell>
          <cell r="C27" t="str">
            <v>Cutting of Trees (61-90 cm dia.)</v>
          </cell>
          <cell r="D27" t="str">
            <v>no</v>
          </cell>
          <cell r="E27">
            <v>850</v>
          </cell>
          <cell r="F27">
            <v>90.160000000000011</v>
          </cell>
          <cell r="G27">
            <v>76636.000000000015</v>
          </cell>
        </row>
        <row r="28">
          <cell r="B28" t="str">
            <v>1.2.c</v>
          </cell>
          <cell r="C28" t="str">
            <v>Removal of Tree roots (61-90 cm dia.)</v>
          </cell>
          <cell r="D28" t="str">
            <v>no</v>
          </cell>
          <cell r="E28">
            <v>850</v>
          </cell>
          <cell r="F28">
            <v>231.84</v>
          </cell>
          <cell r="G28">
            <v>197064</v>
          </cell>
        </row>
        <row r="29">
          <cell r="B29">
            <v>2.2000000000000002</v>
          </cell>
          <cell r="C29" t="str">
            <v>E/W excavation in hard clay</v>
          </cell>
          <cell r="D29" t="str">
            <v>cum</v>
          </cell>
          <cell r="E29">
            <v>25201</v>
          </cell>
          <cell r="F29">
            <v>75.808000000000007</v>
          </cell>
          <cell r="G29">
            <v>1910437.4080000003</v>
          </cell>
        </row>
        <row r="30">
          <cell r="B30" t="str">
            <v>2.10</v>
          </cell>
          <cell r="C30" t="str">
            <v>E/W Excavation of fractured and soft rock</v>
          </cell>
          <cell r="D30" t="str">
            <v>sqm</v>
          </cell>
          <cell r="E30">
            <v>9015</v>
          </cell>
          <cell r="F30">
            <v>236.9</v>
          </cell>
          <cell r="G30">
            <v>2135653.5</v>
          </cell>
        </row>
        <row r="31">
          <cell r="B31" t="str">
            <v>6.1.b</v>
          </cell>
          <cell r="C31" t="str">
            <v>Rubble masonry works in 1:4 cement mortar</v>
          </cell>
          <cell r="D31" t="str">
            <v>cum</v>
          </cell>
          <cell r="E31">
            <v>350</v>
          </cell>
          <cell r="F31">
            <v>3062.1631243026563</v>
          </cell>
          <cell r="G31">
            <v>1071757.0935059297</v>
          </cell>
        </row>
        <row r="32">
          <cell r="B32" t="str">
            <v>16.2.a</v>
          </cell>
          <cell r="C32" t="str">
            <v>2mx1mx1m size Gabion box fabrication, 10 and 7 SWG ( 80x100 hex)</v>
          </cell>
          <cell r="D32" t="str">
            <v>cum</v>
          </cell>
          <cell r="E32">
            <v>750</v>
          </cell>
          <cell r="F32">
            <v>868.58349999999996</v>
          </cell>
          <cell r="G32">
            <v>651437.625</v>
          </cell>
        </row>
      </sheetData>
      <sheetData sheetId="34" refreshError="1">
        <row r="136">
          <cell r="B136" t="str">
            <v>1.4</v>
          </cell>
          <cell r="C136" t="str">
            <v>Site Clearance in thin vegetation area</v>
          </cell>
          <cell r="I136">
            <v>29725</v>
          </cell>
          <cell r="K136">
            <v>2.76</v>
          </cell>
          <cell r="L136">
            <v>82041</v>
          </cell>
        </row>
        <row r="137">
          <cell r="B137">
            <v>2.14</v>
          </cell>
          <cell r="C137" t="str">
            <v>E/W Excavation for foundation, drain, pipelines etc. in BM Soil</v>
          </cell>
          <cell r="I137">
            <v>2792.83</v>
          </cell>
          <cell r="K137">
            <v>150.66839999999999</v>
          </cell>
          <cell r="L137">
            <v>420791.22757199995</v>
          </cell>
        </row>
        <row r="138">
          <cell r="B138" t="str">
            <v>16.2.a</v>
          </cell>
          <cell r="C138" t="str">
            <v>2mx1mx1m size Gabion box fabrication, 10 and 7 SWG ( 80x100 hex)</v>
          </cell>
          <cell r="I138">
            <v>110</v>
          </cell>
          <cell r="K138">
            <v>868.58349999999996</v>
          </cell>
          <cell r="L138">
            <v>95544.184999999998</v>
          </cell>
        </row>
        <row r="139">
          <cell r="B139" t="str">
            <v>16.2.c</v>
          </cell>
          <cell r="C139" t="str">
            <v>2mx1mx0.5m size Gabion box fabrication, 10 and 7 SWG ( 80x100 hex)</v>
          </cell>
          <cell r="I139">
            <v>1415.5</v>
          </cell>
          <cell r="K139">
            <v>1240.4475000000002</v>
          </cell>
          <cell r="L139">
            <v>1755853.4362500003</v>
          </cell>
        </row>
        <row r="140">
          <cell r="B140">
            <v>16.11</v>
          </cell>
          <cell r="C140" t="str">
            <v>Filling of Gabion box with boulder</v>
          </cell>
          <cell r="I140">
            <v>1525.5</v>
          </cell>
          <cell r="K140">
            <v>974.35519562499996</v>
          </cell>
          <cell r="L140">
            <v>1486378.8509259375</v>
          </cell>
        </row>
        <row r="141">
          <cell r="B141" t="str">
            <v>2.25.b</v>
          </cell>
          <cell r="C141" t="str">
            <v xml:space="preserve">Filling with ordinary soils with compaction </v>
          </cell>
          <cell r="I141">
            <v>115</v>
          </cell>
          <cell r="K141">
            <v>23.69</v>
          </cell>
          <cell r="L141">
            <v>2724.3500000000004</v>
          </cell>
        </row>
        <row r="142">
          <cell r="B142">
            <v>11.16</v>
          </cell>
          <cell r="C142" t="str">
            <v xml:space="preserve">Stone soling with sand </v>
          </cell>
          <cell r="I142">
            <v>93.5</v>
          </cell>
          <cell r="K142">
            <v>1371.1740676875002</v>
          </cell>
          <cell r="L142">
            <v>128204.77532878127</v>
          </cell>
        </row>
        <row r="143">
          <cell r="B143" t="str">
            <v>7.2.d</v>
          </cell>
          <cell r="C143" t="str">
            <v xml:space="preserve">P.C.C. for  foundation &amp; walls in M15 </v>
          </cell>
          <cell r="I143">
            <v>9.9156692424599981</v>
          </cell>
          <cell r="K143">
            <v>5021.5728177781257</v>
          </cell>
          <cell r="L143">
            <v>49792.255138015746</v>
          </cell>
        </row>
        <row r="144">
          <cell r="B144" t="str">
            <v>16.6.c</v>
          </cell>
          <cell r="C144" t="str">
            <v>2mx1mx0.5m size Gabion box construction and tying up with 11 SWG GI wire</v>
          </cell>
          <cell r="I144">
            <v>1525.5</v>
          </cell>
          <cell r="K144">
            <v>66.009999999999991</v>
          </cell>
          <cell r="L144">
            <v>100698.25499999999</v>
          </cell>
        </row>
      </sheetData>
      <sheetData sheetId="35" refreshError="1">
        <row r="4">
          <cell r="B4" t="str">
            <v>1.3</v>
          </cell>
          <cell r="C4" t="str">
            <v>Site Clearance in thick vegetation area</v>
          </cell>
          <cell r="D4" t="str">
            <v>sqm</v>
          </cell>
          <cell r="E4">
            <v>333</v>
          </cell>
          <cell r="F4">
            <v>3.68</v>
          </cell>
          <cell r="G4">
            <v>1225.44</v>
          </cell>
        </row>
        <row r="5">
          <cell r="B5">
            <v>2.14</v>
          </cell>
          <cell r="C5" t="str">
            <v>E/W Excavation for foundation, drain, pipelines etc. in BM Soil</v>
          </cell>
          <cell r="D5" t="str">
            <v>cum</v>
          </cell>
          <cell r="E5">
            <v>182.48399999999998</v>
          </cell>
          <cell r="F5">
            <v>150.66839999999999</v>
          </cell>
          <cell r="G5">
            <v>27494.572305599995</v>
          </cell>
        </row>
        <row r="6">
          <cell r="B6" t="str">
            <v>2.25.a</v>
          </cell>
          <cell r="C6" t="str">
            <v>Filling with ordinary soils with compaction and sprinkling of water</v>
          </cell>
          <cell r="D6" t="str">
            <v>cum</v>
          </cell>
          <cell r="E6">
            <v>167.23259999999999</v>
          </cell>
          <cell r="F6">
            <v>47.38</v>
          </cell>
          <cell r="G6">
            <v>7923.4805880000004</v>
          </cell>
        </row>
        <row r="7">
          <cell r="B7" t="str">
            <v>8.2.b</v>
          </cell>
          <cell r="C7" t="str">
            <v>Formwork for wall (4 m height and 0.5 m wide) including materials</v>
          </cell>
          <cell r="D7" t="str">
            <v>sqm</v>
          </cell>
          <cell r="E7">
            <v>79.92</v>
          </cell>
          <cell r="F7">
            <v>231.72154999999998</v>
          </cell>
          <cell r="G7">
            <v>18519.186276</v>
          </cell>
        </row>
        <row r="8">
          <cell r="B8">
            <v>11.16</v>
          </cell>
          <cell r="C8" t="str">
            <v xml:space="preserve">Stone soling with sand </v>
          </cell>
          <cell r="D8" t="str">
            <v>cum</v>
          </cell>
          <cell r="E8">
            <v>3.2633999999999994</v>
          </cell>
          <cell r="F8">
            <v>1371.1740676875002</v>
          </cell>
          <cell r="G8">
            <v>4474.6894524913869</v>
          </cell>
        </row>
        <row r="9">
          <cell r="B9" t="str">
            <v>7.4.b</v>
          </cell>
          <cell r="C9" t="str">
            <v xml:space="preserve">P.C.C. for R.C.C. for super structures in M20 </v>
          </cell>
          <cell r="D9" t="str">
            <v>cum</v>
          </cell>
          <cell r="E9">
            <v>11.988</v>
          </cell>
          <cell r="F9">
            <v>6154.8131365578129</v>
          </cell>
          <cell r="G9">
            <v>73783.899881055055</v>
          </cell>
        </row>
        <row r="10">
          <cell r="B10" t="str">
            <v>7.5</v>
          </cell>
          <cell r="C10" t="str">
            <v>Reinforcement work for R.C.C. work</v>
          </cell>
          <cell r="D10" t="str">
            <v>MT</v>
          </cell>
          <cell r="E10">
            <v>1.7981999999999998</v>
          </cell>
          <cell r="F10">
            <v>39248.537514867188</v>
          </cell>
          <cell r="G10">
            <v>70576.720159234173</v>
          </cell>
        </row>
        <row r="91">
          <cell r="B91" t="str">
            <v>1.3</v>
          </cell>
          <cell r="C91" t="str">
            <v>Site Clearance in thick vegetation area</v>
          </cell>
          <cell r="D91" t="str">
            <v>sqm</v>
          </cell>
          <cell r="E91">
            <v>37.5</v>
          </cell>
          <cell r="F91">
            <v>3.68</v>
          </cell>
          <cell r="G91">
            <v>138</v>
          </cell>
        </row>
        <row r="92">
          <cell r="B92">
            <v>2.14</v>
          </cell>
          <cell r="C92" t="str">
            <v>E/W Excavation for foundation, drain, pipelines etc. in BM Soil</v>
          </cell>
          <cell r="D92" t="str">
            <v>cum</v>
          </cell>
          <cell r="E92">
            <v>20.55</v>
          </cell>
          <cell r="F92">
            <v>150.66839999999999</v>
          </cell>
          <cell r="G92">
            <v>3096.2356199999999</v>
          </cell>
        </row>
        <row r="93">
          <cell r="B93" t="str">
            <v>2.25.a</v>
          </cell>
          <cell r="C93" t="str">
            <v>Filling with ordinary soils with compaction and sprinkling of water</v>
          </cell>
          <cell r="D93" t="str">
            <v>cum</v>
          </cell>
          <cell r="E93">
            <v>18.8325</v>
          </cell>
          <cell r="F93">
            <v>47.38</v>
          </cell>
          <cell r="G93">
            <v>892.28385000000003</v>
          </cell>
        </row>
        <row r="94">
          <cell r="B94" t="str">
            <v>8.2.b</v>
          </cell>
          <cell r="C94" t="str">
            <v>Formwork for wall (4 m height and 0.5 m wide) including materials</v>
          </cell>
          <cell r="D94" t="str">
            <v>sqm</v>
          </cell>
          <cell r="E94">
            <v>9</v>
          </cell>
          <cell r="F94">
            <v>231.72154999999998</v>
          </cell>
          <cell r="G94">
            <v>2085.49395</v>
          </cell>
        </row>
        <row r="95">
          <cell r="B95">
            <v>11.16</v>
          </cell>
          <cell r="C95" t="str">
            <v xml:space="preserve">Stone soling with sand </v>
          </cell>
          <cell r="D95" t="str">
            <v>cum</v>
          </cell>
          <cell r="E95">
            <v>0.36749999999999994</v>
          </cell>
          <cell r="F95">
            <v>1371.1740676875002</v>
          </cell>
          <cell r="G95">
            <v>503.90646987515623</v>
          </cell>
        </row>
        <row r="96">
          <cell r="B96" t="str">
            <v>7.4.b</v>
          </cell>
          <cell r="C96" t="str">
            <v xml:space="preserve">P.C.C. for R.C.C. for super structures in M20 </v>
          </cell>
          <cell r="D96" t="str">
            <v>cum</v>
          </cell>
          <cell r="E96">
            <v>1.3499999999999999</v>
          </cell>
          <cell r="F96">
            <v>6154.8131365578129</v>
          </cell>
          <cell r="G96">
            <v>8308.9977343530463</v>
          </cell>
        </row>
        <row r="97">
          <cell r="B97" t="str">
            <v>7.5</v>
          </cell>
          <cell r="C97" t="str">
            <v>Reinforcement work for R.C.C. work</v>
          </cell>
          <cell r="D97" t="str">
            <v>MT</v>
          </cell>
          <cell r="E97">
            <v>0.20249999999999999</v>
          </cell>
          <cell r="F97">
            <v>39248.537514867188</v>
          </cell>
          <cell r="G97">
            <v>7947.8288467606053</v>
          </cell>
        </row>
      </sheetData>
      <sheetData sheetId="36"/>
      <sheetData sheetId="37" refreshError="1">
        <row r="5">
          <cell r="A5" t="str">
            <v>1.1.b</v>
          </cell>
          <cell r="B5" t="str">
            <v>Cutting of Trees (21-60 cm dia.)</v>
          </cell>
          <cell r="C5" t="str">
            <v>no</v>
          </cell>
          <cell r="D5">
            <v>0</v>
          </cell>
          <cell r="E5">
            <v>0</v>
          </cell>
          <cell r="F5">
            <v>0</v>
          </cell>
          <cell r="G5">
            <v>0</v>
          </cell>
          <cell r="H5">
            <v>0</v>
          </cell>
          <cell r="I5">
            <v>0</v>
          </cell>
          <cell r="J5">
            <v>0</v>
          </cell>
          <cell r="K5">
            <v>0</v>
          </cell>
          <cell r="L5">
            <v>2</v>
          </cell>
          <cell r="M5">
            <v>0</v>
          </cell>
          <cell r="N5">
            <v>0</v>
          </cell>
          <cell r="O5">
            <v>0</v>
          </cell>
          <cell r="P5">
            <v>0</v>
          </cell>
          <cell r="Q5">
            <v>0</v>
          </cell>
          <cell r="R5">
            <v>0</v>
          </cell>
          <cell r="S5">
            <v>0</v>
          </cell>
          <cell r="T5">
            <v>0</v>
          </cell>
          <cell r="U5">
            <v>2</v>
          </cell>
        </row>
        <row r="6">
          <cell r="A6" t="str">
            <v>1.2.b</v>
          </cell>
          <cell r="B6" t="str">
            <v>Removal of Tree roots (21-60 cm dia.)</v>
          </cell>
          <cell r="C6" t="str">
            <v>no</v>
          </cell>
          <cell r="D6">
            <v>0</v>
          </cell>
          <cell r="E6">
            <v>0</v>
          </cell>
          <cell r="F6">
            <v>0</v>
          </cell>
          <cell r="G6">
            <v>0</v>
          </cell>
          <cell r="H6">
            <v>0</v>
          </cell>
          <cell r="I6">
            <v>0</v>
          </cell>
          <cell r="J6">
            <v>0</v>
          </cell>
          <cell r="K6">
            <v>0</v>
          </cell>
          <cell r="L6">
            <v>2</v>
          </cell>
          <cell r="M6">
            <v>0</v>
          </cell>
          <cell r="N6">
            <v>0</v>
          </cell>
          <cell r="O6">
            <v>0</v>
          </cell>
          <cell r="P6">
            <v>0</v>
          </cell>
          <cell r="Q6">
            <v>0</v>
          </cell>
          <cell r="R6">
            <v>0</v>
          </cell>
          <cell r="S6">
            <v>0</v>
          </cell>
          <cell r="T6">
            <v>0</v>
          </cell>
          <cell r="U6">
            <v>2</v>
          </cell>
        </row>
        <row r="7">
          <cell r="A7" t="str">
            <v>1.4</v>
          </cell>
          <cell r="B7" t="str">
            <v>Site Clearance in thin vegetation area</v>
          </cell>
          <cell r="C7" t="str">
            <v>sqm</v>
          </cell>
          <cell r="D7">
            <v>170.2702643687382</v>
          </cell>
          <cell r="E7">
            <v>36</v>
          </cell>
          <cell r="F7">
            <v>170.2702643687382</v>
          </cell>
          <cell r="G7">
            <v>36</v>
          </cell>
          <cell r="H7">
            <v>412.54052873747639</v>
          </cell>
          <cell r="I7">
            <v>0</v>
          </cell>
          <cell r="J7">
            <v>384</v>
          </cell>
          <cell r="K7">
            <v>0</v>
          </cell>
          <cell r="L7">
            <v>600</v>
          </cell>
          <cell r="M7">
            <v>0</v>
          </cell>
          <cell r="N7">
            <v>900</v>
          </cell>
          <cell r="O7">
            <v>0</v>
          </cell>
          <cell r="P7">
            <v>600</v>
          </cell>
          <cell r="Q7">
            <v>0</v>
          </cell>
          <cell r="R7">
            <v>900</v>
          </cell>
          <cell r="S7">
            <v>0</v>
          </cell>
          <cell r="T7">
            <v>900</v>
          </cell>
          <cell r="U7">
            <v>4284</v>
          </cell>
        </row>
        <row r="8">
          <cell r="A8">
            <v>2.14</v>
          </cell>
          <cell r="B8" t="str">
            <v>E/W Excavation for foundation, drain, pipelines etc. in BM Soil</v>
          </cell>
          <cell r="C8" t="str">
            <v>cum</v>
          </cell>
          <cell r="D8">
            <v>29.96</v>
          </cell>
          <cell r="E8">
            <v>6.8482500000000002</v>
          </cell>
          <cell r="F8">
            <v>29.96</v>
          </cell>
          <cell r="G8">
            <v>6.8482500000000002</v>
          </cell>
          <cell r="H8">
            <v>73.616500000000002</v>
          </cell>
          <cell r="I8">
            <v>150.79644737231007</v>
          </cell>
          <cell r="J8">
            <v>1.7842499999999999</v>
          </cell>
          <cell r="K8">
            <v>49.087385212340521</v>
          </cell>
          <cell r="L8">
            <v>17.562275</v>
          </cell>
          <cell r="M8">
            <v>58.90486225480862</v>
          </cell>
          <cell r="N8">
            <v>55.65625</v>
          </cell>
          <cell r="O8">
            <v>226.12099868176279</v>
          </cell>
          <cell r="P8">
            <v>194.95425</v>
          </cell>
          <cell r="Q8">
            <v>181.20706425905928</v>
          </cell>
          <cell r="R8">
            <v>3.65625</v>
          </cell>
          <cell r="S8">
            <v>292.2417478616693</v>
          </cell>
          <cell r="T8">
            <v>295.8979978616693</v>
          </cell>
          <cell r="U8">
            <v>1527.8697785036197</v>
          </cell>
        </row>
        <row r="9">
          <cell r="A9" t="str">
            <v>2.25.a</v>
          </cell>
          <cell r="B9" t="str">
            <v>Filling with ordinary soils with compaction and sprinkling of water</v>
          </cell>
          <cell r="C9" t="str">
            <v>cum</v>
          </cell>
          <cell r="D9">
            <v>9.14</v>
          </cell>
          <cell r="E9">
            <v>0</v>
          </cell>
          <cell r="F9">
            <v>9.14</v>
          </cell>
          <cell r="G9">
            <v>0</v>
          </cell>
          <cell r="H9">
            <v>18.28</v>
          </cell>
          <cell r="I9">
            <v>0</v>
          </cell>
          <cell r="J9">
            <v>0</v>
          </cell>
          <cell r="K9">
            <v>0</v>
          </cell>
          <cell r="L9">
            <v>0</v>
          </cell>
          <cell r="M9">
            <v>0</v>
          </cell>
          <cell r="N9">
            <v>0</v>
          </cell>
          <cell r="O9">
            <v>0</v>
          </cell>
          <cell r="P9">
            <v>0</v>
          </cell>
          <cell r="Q9">
            <v>0</v>
          </cell>
          <cell r="R9">
            <v>0</v>
          </cell>
          <cell r="S9">
            <v>0</v>
          </cell>
          <cell r="T9">
            <v>0</v>
          </cell>
          <cell r="U9">
            <v>0</v>
          </cell>
        </row>
        <row r="10">
          <cell r="A10">
            <v>11.16</v>
          </cell>
          <cell r="B10" t="str">
            <v xml:space="preserve">Stone soling with sand </v>
          </cell>
          <cell r="C10" t="str">
            <v>cum</v>
          </cell>
          <cell r="D10">
            <v>3.73</v>
          </cell>
          <cell r="E10">
            <v>0.19574999999999998</v>
          </cell>
          <cell r="F10">
            <v>3.73</v>
          </cell>
          <cell r="G10">
            <v>0.19574999999999998</v>
          </cell>
          <cell r="H10">
            <v>7.8514999999999997</v>
          </cell>
          <cell r="I10">
            <v>9.8033398755269516</v>
          </cell>
          <cell r="J10">
            <v>0.41174999999999995</v>
          </cell>
          <cell r="K10">
            <v>4.0856412459935258</v>
          </cell>
          <cell r="L10">
            <v>2.0219999999999998</v>
          </cell>
          <cell r="M10">
            <v>4.0856412459935258</v>
          </cell>
          <cell r="N10">
            <v>0.84374999999999989</v>
          </cell>
          <cell r="O10">
            <v>9.8033398755269516</v>
          </cell>
          <cell r="P10">
            <v>0.68174999999999986</v>
          </cell>
          <cell r="Q10">
            <v>9.8033398755269516</v>
          </cell>
          <cell r="R10">
            <v>0.84374999999999989</v>
          </cell>
          <cell r="S10">
            <v>16.664578230967063</v>
          </cell>
          <cell r="T10">
            <v>0.84374999999999989</v>
          </cell>
          <cell r="U10">
            <v>59.892630349534969</v>
          </cell>
        </row>
        <row r="11">
          <cell r="A11" t="str">
            <v>6.1.b</v>
          </cell>
          <cell r="B11" t="str">
            <v>Rubble masonry works in 1:4 cement mortar</v>
          </cell>
          <cell r="C11" t="str">
            <v>cum</v>
          </cell>
          <cell r="D11">
            <v>1.87</v>
          </cell>
          <cell r="E11">
            <v>0.77849999999999997</v>
          </cell>
          <cell r="F11">
            <v>1.87</v>
          </cell>
          <cell r="G11">
            <v>0.77849999999999997</v>
          </cell>
          <cell r="H11">
            <v>5.2970000000000006</v>
          </cell>
          <cell r="I11">
            <v>0</v>
          </cell>
          <cell r="J11">
            <v>1.2104999999999999</v>
          </cell>
          <cell r="K11">
            <v>0</v>
          </cell>
          <cell r="L11">
            <v>11.928437500000001</v>
          </cell>
          <cell r="M11">
            <v>0</v>
          </cell>
          <cell r="N11">
            <v>2.0744999999999996</v>
          </cell>
          <cell r="O11">
            <v>0</v>
          </cell>
          <cell r="P11">
            <v>1.7504999999999997</v>
          </cell>
          <cell r="Q11">
            <v>0</v>
          </cell>
          <cell r="R11">
            <v>2.0744999999999996</v>
          </cell>
          <cell r="S11">
            <v>0</v>
          </cell>
          <cell r="T11">
            <v>2.0744999999999996</v>
          </cell>
          <cell r="U11">
            <v>21.112937500000001</v>
          </cell>
        </row>
        <row r="12">
          <cell r="A12" t="str">
            <v>7.2.c</v>
          </cell>
          <cell r="B12" t="str">
            <v xml:space="preserve">P.C.C. for  foundation &amp; walls in M10 </v>
          </cell>
          <cell r="C12" t="str">
            <v>cum</v>
          </cell>
          <cell r="D12">
            <v>0</v>
          </cell>
          <cell r="E12">
            <v>0.44999999999999996</v>
          </cell>
          <cell r="F12">
            <v>0</v>
          </cell>
          <cell r="G12">
            <v>0.44999999999999996</v>
          </cell>
          <cell r="H12">
            <v>0.89999999999999991</v>
          </cell>
          <cell r="I12">
            <v>3.676252453322606</v>
          </cell>
          <cell r="J12">
            <v>1.17</v>
          </cell>
          <cell r="K12">
            <v>1.5321154672475721</v>
          </cell>
          <cell r="L12">
            <v>2.5871249999999999</v>
          </cell>
          <cell r="M12">
            <v>1.5321154672475721</v>
          </cell>
          <cell r="N12">
            <v>2.61</v>
          </cell>
          <cell r="O12">
            <v>3.676252453322606</v>
          </cell>
          <cell r="P12">
            <v>2.0699999999999998</v>
          </cell>
          <cell r="Q12">
            <v>3.676252453322606</v>
          </cell>
          <cell r="R12">
            <v>2.61</v>
          </cell>
          <cell r="S12">
            <v>6.2492168366126473</v>
          </cell>
          <cell r="T12">
            <v>2.61</v>
          </cell>
          <cell r="U12">
            <v>33.999330131075602</v>
          </cell>
        </row>
        <row r="13">
          <cell r="A13" t="str">
            <v>7.2.d</v>
          </cell>
          <cell r="B13" t="str">
            <v xml:space="preserve">P.C.C. for  foundation &amp; walls in M15 </v>
          </cell>
          <cell r="C13" t="str">
            <v>cum</v>
          </cell>
          <cell r="D13">
            <v>0.4</v>
          </cell>
          <cell r="E13">
            <v>0</v>
          </cell>
          <cell r="F13">
            <v>0.4</v>
          </cell>
          <cell r="G13">
            <v>0</v>
          </cell>
          <cell r="H13">
            <v>0.8</v>
          </cell>
          <cell r="I13">
            <v>0</v>
          </cell>
          <cell r="J13">
            <v>0</v>
          </cell>
          <cell r="K13">
            <v>0</v>
          </cell>
          <cell r="L13">
            <v>0</v>
          </cell>
          <cell r="M13">
            <v>0</v>
          </cell>
          <cell r="N13">
            <v>0</v>
          </cell>
          <cell r="O13">
            <v>0</v>
          </cell>
          <cell r="P13">
            <v>0</v>
          </cell>
          <cell r="Q13">
            <v>0</v>
          </cell>
          <cell r="R13">
            <v>0</v>
          </cell>
          <cell r="S13">
            <v>0</v>
          </cell>
          <cell r="T13">
            <v>0</v>
          </cell>
          <cell r="U13">
            <v>0</v>
          </cell>
        </row>
        <row r="14">
          <cell r="A14" t="str">
            <v>7.4.b</v>
          </cell>
          <cell r="B14" t="str">
            <v xml:space="preserve">P.C.C. for R.C.C. for super structures in M20 </v>
          </cell>
          <cell r="C14" t="str">
            <v>cum</v>
          </cell>
          <cell r="D14">
            <v>0</v>
          </cell>
          <cell r="E14">
            <v>0</v>
          </cell>
          <cell r="F14">
            <v>0</v>
          </cell>
          <cell r="G14">
            <v>0</v>
          </cell>
          <cell r="H14">
            <v>0</v>
          </cell>
          <cell r="I14">
            <v>38.524512275089435</v>
          </cell>
          <cell r="J14">
            <v>0</v>
          </cell>
          <cell r="K14">
            <v>15.373399082893227</v>
          </cell>
          <cell r="L14">
            <v>0</v>
          </cell>
          <cell r="M14">
            <v>15.373399082893227</v>
          </cell>
          <cell r="N14">
            <v>0</v>
          </cell>
          <cell r="O14">
            <v>38.524512275089435</v>
          </cell>
          <cell r="P14">
            <v>0</v>
          </cell>
          <cell r="Q14">
            <v>38.524512275089435</v>
          </cell>
          <cell r="R14">
            <v>0</v>
          </cell>
          <cell r="S14">
            <v>65.095120362660325</v>
          </cell>
          <cell r="T14">
            <v>0</v>
          </cell>
          <cell r="U14">
            <v>211.41545535371512</v>
          </cell>
        </row>
        <row r="15">
          <cell r="A15" t="str">
            <v>7.4.c</v>
          </cell>
          <cell r="B15" t="str">
            <v xml:space="preserve">P.C.C. for R.C.C. for super structures in M25 </v>
          </cell>
          <cell r="C15" t="str">
            <v>cum</v>
          </cell>
          <cell r="D15">
            <v>1.89</v>
          </cell>
          <cell r="E15">
            <v>0</v>
          </cell>
          <cell r="F15">
            <v>1.89</v>
          </cell>
          <cell r="G15">
            <v>0</v>
          </cell>
          <cell r="H15">
            <v>3.78</v>
          </cell>
          <cell r="I15">
            <v>0</v>
          </cell>
          <cell r="J15">
            <v>0</v>
          </cell>
          <cell r="K15">
            <v>0</v>
          </cell>
          <cell r="L15">
            <v>0</v>
          </cell>
          <cell r="M15">
            <v>0</v>
          </cell>
          <cell r="N15">
            <v>0</v>
          </cell>
          <cell r="O15">
            <v>0</v>
          </cell>
          <cell r="P15">
            <v>0</v>
          </cell>
          <cell r="Q15">
            <v>0</v>
          </cell>
          <cell r="R15">
            <v>0</v>
          </cell>
          <cell r="S15">
            <v>0</v>
          </cell>
          <cell r="T15">
            <v>0</v>
          </cell>
          <cell r="U15">
            <v>0</v>
          </cell>
        </row>
        <row r="16">
          <cell r="A16" t="str">
            <v>7.5</v>
          </cell>
          <cell r="B16" t="str">
            <v>Reinforcement work for R.C.C. work</v>
          </cell>
          <cell r="C16" t="str">
            <v>mt</v>
          </cell>
          <cell r="D16">
            <v>8.4600000000000005E-3</v>
          </cell>
          <cell r="E16">
            <v>0</v>
          </cell>
          <cell r="F16">
            <v>8.4600000000000005E-3</v>
          </cell>
          <cell r="G16">
            <v>0</v>
          </cell>
          <cell r="H16">
            <v>1.6920000000000001E-2</v>
          </cell>
          <cell r="I16">
            <v>5.7786768412634153</v>
          </cell>
          <cell r="J16">
            <v>0</v>
          </cell>
          <cell r="K16">
            <v>2.3060098624339838</v>
          </cell>
          <cell r="L16">
            <v>0</v>
          </cell>
          <cell r="M16">
            <v>2.3060098624339838</v>
          </cell>
          <cell r="N16">
            <v>0</v>
          </cell>
          <cell r="O16">
            <v>5.7786768412634153</v>
          </cell>
          <cell r="P16">
            <v>0</v>
          </cell>
          <cell r="Q16">
            <v>5.7786768412634153</v>
          </cell>
          <cell r="R16">
            <v>0</v>
          </cell>
          <cell r="S16">
            <v>9.7642680543990483</v>
          </cell>
          <cell r="T16">
            <v>0</v>
          </cell>
          <cell r="U16">
            <v>31.712318303057259</v>
          </cell>
        </row>
        <row r="17">
          <cell r="A17" t="str">
            <v>8.2.a</v>
          </cell>
          <cell r="B17" t="str">
            <v>Formwork for flooring and slab including materials</v>
          </cell>
          <cell r="C17" t="str">
            <v>sqm</v>
          </cell>
          <cell r="D17">
            <v>1.1599999999999999</v>
          </cell>
          <cell r="E17">
            <v>0</v>
          </cell>
          <cell r="F17">
            <v>1.1599999999999999</v>
          </cell>
          <cell r="G17">
            <v>0</v>
          </cell>
          <cell r="H17">
            <v>2.3199999999999998</v>
          </cell>
          <cell r="I17">
            <v>227.59391854389102</v>
          </cell>
          <cell r="J17">
            <v>0</v>
          </cell>
          <cell r="K17">
            <v>140.22622684755888</v>
          </cell>
          <cell r="L17">
            <v>0</v>
          </cell>
          <cell r="M17">
            <v>140.22622684755888</v>
          </cell>
          <cell r="N17">
            <v>0</v>
          </cell>
          <cell r="O17">
            <v>227.59391854389102</v>
          </cell>
          <cell r="P17">
            <v>0</v>
          </cell>
          <cell r="Q17">
            <v>227.59391854389102</v>
          </cell>
          <cell r="R17">
            <v>0</v>
          </cell>
          <cell r="S17">
            <v>299.95265133769794</v>
          </cell>
          <cell r="T17">
            <v>0</v>
          </cell>
          <cell r="U17">
            <v>1263.1868606644889</v>
          </cell>
        </row>
        <row r="18">
          <cell r="A18" t="str">
            <v>12.1.b</v>
          </cell>
          <cell r="B18" t="str">
            <v>12.5 mm plastering works in 1:3 cement sand mortar</v>
          </cell>
          <cell r="C18" t="str">
            <v>sqm</v>
          </cell>
          <cell r="D18">
            <v>12.56</v>
          </cell>
          <cell r="E18">
            <v>0</v>
          </cell>
          <cell r="F18">
            <v>12.56</v>
          </cell>
          <cell r="G18">
            <v>0</v>
          </cell>
          <cell r="H18">
            <v>25.12</v>
          </cell>
          <cell r="I18">
            <v>304.89457607044221</v>
          </cell>
          <cell r="J18">
            <v>0</v>
          </cell>
          <cell r="K18">
            <v>182.96936518462232</v>
          </cell>
          <cell r="L18">
            <v>0</v>
          </cell>
          <cell r="M18">
            <v>182.96936518462232</v>
          </cell>
          <cell r="N18">
            <v>0</v>
          </cell>
          <cell r="O18">
            <v>304.89457607044221</v>
          </cell>
          <cell r="P18">
            <v>0</v>
          </cell>
          <cell r="Q18">
            <v>304.89457607044221</v>
          </cell>
          <cell r="R18">
            <v>0</v>
          </cell>
          <cell r="S18">
            <v>428.30418948508321</v>
          </cell>
          <cell r="T18">
            <v>0</v>
          </cell>
          <cell r="U18">
            <v>1708.9266480656545</v>
          </cell>
        </row>
        <row r="19">
          <cell r="A19" t="str">
            <v>12.1.a</v>
          </cell>
          <cell r="B19" t="str">
            <v>12.5 mm plastering works in 1:2 cement sand mortar</v>
          </cell>
          <cell r="C19" t="str">
            <v>sqm</v>
          </cell>
          <cell r="D19">
            <v>149.41999999999999</v>
          </cell>
          <cell r="E19">
            <v>0</v>
          </cell>
          <cell r="F19">
            <v>149.41999999999999</v>
          </cell>
          <cell r="G19">
            <v>0</v>
          </cell>
          <cell r="H19">
            <v>298.83999999999997</v>
          </cell>
          <cell r="I19">
            <v>0</v>
          </cell>
          <cell r="J19">
            <v>0</v>
          </cell>
          <cell r="K19">
            <v>0</v>
          </cell>
          <cell r="L19">
            <v>0</v>
          </cell>
          <cell r="M19">
            <v>0</v>
          </cell>
          <cell r="N19">
            <v>0</v>
          </cell>
          <cell r="O19">
            <v>0</v>
          </cell>
          <cell r="P19">
            <v>0</v>
          </cell>
          <cell r="Q19">
            <v>0</v>
          </cell>
          <cell r="R19">
            <v>0</v>
          </cell>
          <cell r="S19">
            <v>0</v>
          </cell>
          <cell r="T19">
            <v>0</v>
          </cell>
          <cell r="U19">
            <v>0</v>
          </cell>
        </row>
        <row r="20">
          <cell r="A20" t="str">
            <v>12.4.c</v>
          </cell>
          <cell r="B20" t="str">
            <v>20 mm plastering works in 1:6 cement sand mortar</v>
          </cell>
          <cell r="C20" t="str">
            <v>sqm</v>
          </cell>
          <cell r="D20">
            <v>4.9400000000000004</v>
          </cell>
          <cell r="E20">
            <v>0</v>
          </cell>
          <cell r="F20">
            <v>4.9400000000000004</v>
          </cell>
          <cell r="G20">
            <v>0</v>
          </cell>
          <cell r="H20">
            <v>9.8800000000000008</v>
          </cell>
          <cell r="I20">
            <v>0</v>
          </cell>
          <cell r="J20">
            <v>0</v>
          </cell>
          <cell r="K20">
            <v>0</v>
          </cell>
          <cell r="L20">
            <v>0</v>
          </cell>
          <cell r="M20">
            <v>0</v>
          </cell>
          <cell r="N20">
            <v>0</v>
          </cell>
          <cell r="O20">
            <v>0</v>
          </cell>
          <cell r="P20">
            <v>0</v>
          </cell>
          <cell r="Q20">
            <v>0</v>
          </cell>
          <cell r="R20">
            <v>0</v>
          </cell>
          <cell r="S20">
            <v>0</v>
          </cell>
          <cell r="T20">
            <v>0</v>
          </cell>
          <cell r="U20">
            <v>0</v>
          </cell>
        </row>
        <row r="21">
          <cell r="A21">
            <v>14.6</v>
          </cell>
          <cell r="B21" t="str">
            <v>3 mm Cement punning work (1:1)</v>
          </cell>
          <cell r="C21" t="str">
            <v>sqm</v>
          </cell>
          <cell r="D21">
            <v>35.17</v>
          </cell>
          <cell r="E21">
            <v>0</v>
          </cell>
          <cell r="F21">
            <v>35.17</v>
          </cell>
          <cell r="G21">
            <v>0</v>
          </cell>
          <cell r="H21">
            <v>70.34</v>
          </cell>
          <cell r="I21">
            <v>0</v>
          </cell>
          <cell r="J21">
            <v>0</v>
          </cell>
          <cell r="K21">
            <v>0</v>
          </cell>
          <cell r="L21">
            <v>0</v>
          </cell>
          <cell r="M21">
            <v>0</v>
          </cell>
          <cell r="N21">
            <v>0</v>
          </cell>
          <cell r="O21">
            <v>0</v>
          </cell>
          <cell r="P21">
            <v>0</v>
          </cell>
          <cell r="Q21">
            <v>0</v>
          </cell>
          <cell r="R21">
            <v>0</v>
          </cell>
          <cell r="S21">
            <v>0</v>
          </cell>
          <cell r="T21">
            <v>0</v>
          </cell>
          <cell r="U21">
            <v>0</v>
          </cell>
        </row>
        <row r="22">
          <cell r="A22" t="str">
            <v>M-21</v>
          </cell>
          <cell r="B22" t="str">
            <v>Formwork for Ferro-Cement for 1 sq.m.</v>
          </cell>
          <cell r="C22" t="str">
            <v>sqm</v>
          </cell>
          <cell r="D22">
            <v>37.07</v>
          </cell>
          <cell r="E22">
            <v>0</v>
          </cell>
          <cell r="F22">
            <v>37.07</v>
          </cell>
          <cell r="G22">
            <v>0</v>
          </cell>
          <cell r="H22">
            <v>74.14</v>
          </cell>
          <cell r="I22">
            <v>0</v>
          </cell>
          <cell r="J22">
            <v>0</v>
          </cell>
          <cell r="K22">
            <v>0</v>
          </cell>
          <cell r="L22">
            <v>0</v>
          </cell>
          <cell r="M22">
            <v>0</v>
          </cell>
          <cell r="N22">
            <v>0</v>
          </cell>
          <cell r="O22">
            <v>0</v>
          </cell>
          <cell r="P22">
            <v>0</v>
          </cell>
          <cell r="Q22">
            <v>0</v>
          </cell>
          <cell r="R22">
            <v>0</v>
          </cell>
          <cell r="S22">
            <v>0</v>
          </cell>
          <cell r="T22">
            <v>0</v>
          </cell>
          <cell r="U22">
            <v>0</v>
          </cell>
        </row>
        <row r="23">
          <cell r="A23" t="str">
            <v>M-22</v>
          </cell>
          <cell r="B23" t="str">
            <v>Steel bar binding for Ferro-Cement work for 1 sq.m.</v>
          </cell>
          <cell r="C23" t="str">
            <v>sqm</v>
          </cell>
          <cell r="D23">
            <v>37.36</v>
          </cell>
          <cell r="E23">
            <v>0</v>
          </cell>
          <cell r="F23">
            <v>37.36</v>
          </cell>
          <cell r="G23">
            <v>0</v>
          </cell>
          <cell r="H23">
            <v>74.72</v>
          </cell>
          <cell r="I23">
            <v>0</v>
          </cell>
          <cell r="J23">
            <v>0</v>
          </cell>
          <cell r="K23">
            <v>0</v>
          </cell>
          <cell r="L23">
            <v>0</v>
          </cell>
          <cell r="M23">
            <v>0</v>
          </cell>
          <cell r="N23">
            <v>0</v>
          </cell>
          <cell r="O23">
            <v>0</v>
          </cell>
          <cell r="P23">
            <v>0</v>
          </cell>
          <cell r="Q23">
            <v>0</v>
          </cell>
          <cell r="R23">
            <v>0</v>
          </cell>
          <cell r="S23">
            <v>0</v>
          </cell>
          <cell r="T23">
            <v>0</v>
          </cell>
          <cell r="U23">
            <v>0</v>
          </cell>
        </row>
        <row r="24">
          <cell r="A24" t="str">
            <v>M-23</v>
          </cell>
          <cell r="B24" t="str">
            <v>600 mm circular metal manhole cover for Ferro-Cement tank as per standard details</v>
          </cell>
          <cell r="C24" t="str">
            <v>no</v>
          </cell>
          <cell r="D24">
            <v>2</v>
          </cell>
          <cell r="E24">
            <v>0</v>
          </cell>
          <cell r="F24">
            <v>2</v>
          </cell>
          <cell r="G24">
            <v>0</v>
          </cell>
          <cell r="H24">
            <v>4</v>
          </cell>
          <cell r="I24">
            <v>0</v>
          </cell>
          <cell r="J24">
            <v>0</v>
          </cell>
          <cell r="K24">
            <v>0</v>
          </cell>
          <cell r="L24">
            <v>0</v>
          </cell>
          <cell r="M24">
            <v>0</v>
          </cell>
          <cell r="N24">
            <v>0</v>
          </cell>
          <cell r="O24">
            <v>0</v>
          </cell>
          <cell r="P24">
            <v>0</v>
          </cell>
          <cell r="Q24">
            <v>0</v>
          </cell>
          <cell r="R24">
            <v>0</v>
          </cell>
          <cell r="S24">
            <v>0</v>
          </cell>
          <cell r="T24">
            <v>0</v>
          </cell>
          <cell r="U24">
            <v>0</v>
          </cell>
        </row>
        <row r="25">
          <cell r="A25" t="str">
            <v>13.4.b</v>
          </cell>
          <cell r="B25" t="str">
            <v>Laying two coat of water proof cement paint</v>
          </cell>
          <cell r="C25" t="str">
            <v>sqm</v>
          </cell>
          <cell r="D25">
            <v>28.1</v>
          </cell>
          <cell r="E25">
            <v>0</v>
          </cell>
          <cell r="F25">
            <v>28.1</v>
          </cell>
          <cell r="G25">
            <v>0</v>
          </cell>
          <cell r="H25">
            <v>56.2</v>
          </cell>
          <cell r="I25">
            <v>0</v>
          </cell>
          <cell r="J25">
            <v>0</v>
          </cell>
          <cell r="K25">
            <v>0</v>
          </cell>
          <cell r="L25">
            <v>0</v>
          </cell>
          <cell r="M25">
            <v>0</v>
          </cell>
          <cell r="N25">
            <v>0</v>
          </cell>
          <cell r="O25">
            <v>0</v>
          </cell>
          <cell r="P25">
            <v>0</v>
          </cell>
          <cell r="Q25">
            <v>0</v>
          </cell>
          <cell r="R25">
            <v>0</v>
          </cell>
          <cell r="S25">
            <v>0</v>
          </cell>
          <cell r="T25">
            <v>0</v>
          </cell>
          <cell r="U25">
            <v>0</v>
          </cell>
        </row>
        <row r="26">
          <cell r="A26" t="str">
            <v>vc</v>
          </cell>
          <cell r="B26" t="str">
            <v>Valve Chamber</v>
          </cell>
          <cell r="C26" t="str">
            <v>no</v>
          </cell>
          <cell r="D26">
            <v>2</v>
          </cell>
          <cell r="E26">
            <v>0</v>
          </cell>
          <cell r="F26">
            <v>2</v>
          </cell>
          <cell r="G26">
            <v>0</v>
          </cell>
          <cell r="H26">
            <v>4</v>
          </cell>
          <cell r="I26">
            <v>2</v>
          </cell>
          <cell r="J26">
            <v>0</v>
          </cell>
          <cell r="K26">
            <v>2</v>
          </cell>
          <cell r="L26">
            <v>0</v>
          </cell>
          <cell r="M26">
            <v>2</v>
          </cell>
          <cell r="N26">
            <v>0</v>
          </cell>
          <cell r="O26">
            <v>2</v>
          </cell>
          <cell r="P26">
            <v>0</v>
          </cell>
          <cell r="Q26">
            <v>2</v>
          </cell>
          <cell r="R26">
            <v>0</v>
          </cell>
          <cell r="S26">
            <v>2</v>
          </cell>
          <cell r="T26">
            <v>0</v>
          </cell>
          <cell r="U26">
            <v>12</v>
          </cell>
        </row>
        <row r="27">
          <cell r="A27" t="str">
            <v>M-1</v>
          </cell>
          <cell r="B27" t="str">
            <v xml:space="preserve">Fabrication &amp; placing of Angle post </v>
          </cell>
          <cell r="C27" t="str">
            <v>no</v>
          </cell>
          <cell r="D27">
            <v>0</v>
          </cell>
          <cell r="E27">
            <v>12</v>
          </cell>
          <cell r="F27">
            <v>0</v>
          </cell>
          <cell r="G27">
            <v>12</v>
          </cell>
          <cell r="H27">
            <v>24</v>
          </cell>
          <cell r="I27">
            <v>0</v>
          </cell>
          <cell r="J27">
            <v>28</v>
          </cell>
          <cell r="K27">
            <v>0</v>
          </cell>
          <cell r="L27">
            <v>49</v>
          </cell>
          <cell r="M27">
            <v>0</v>
          </cell>
          <cell r="N27">
            <v>60</v>
          </cell>
          <cell r="O27">
            <v>0</v>
          </cell>
          <cell r="P27">
            <v>48</v>
          </cell>
          <cell r="Q27">
            <v>0</v>
          </cell>
          <cell r="R27">
            <v>60</v>
          </cell>
          <cell r="S27">
            <v>0</v>
          </cell>
          <cell r="T27">
            <v>60</v>
          </cell>
          <cell r="U27">
            <v>305</v>
          </cell>
        </row>
        <row r="28">
          <cell r="A28" t="str">
            <v>M-2</v>
          </cell>
          <cell r="B28" t="str">
            <v>Fabrication &amp; placing of MS Grill gate</v>
          </cell>
          <cell r="C28" t="str">
            <v>set</v>
          </cell>
          <cell r="D28">
            <v>0</v>
          </cell>
          <cell r="E28">
            <v>1</v>
          </cell>
          <cell r="F28">
            <v>0</v>
          </cell>
          <cell r="G28">
            <v>1</v>
          </cell>
          <cell r="H28">
            <v>2</v>
          </cell>
          <cell r="I28">
            <v>0</v>
          </cell>
          <cell r="J28">
            <v>1</v>
          </cell>
          <cell r="K28">
            <v>0</v>
          </cell>
          <cell r="L28">
            <v>1</v>
          </cell>
          <cell r="M28">
            <v>0</v>
          </cell>
          <cell r="N28">
            <v>1</v>
          </cell>
          <cell r="O28">
            <v>0</v>
          </cell>
          <cell r="P28">
            <v>1</v>
          </cell>
          <cell r="Q28">
            <v>0</v>
          </cell>
          <cell r="R28">
            <v>1</v>
          </cell>
          <cell r="S28">
            <v>0</v>
          </cell>
          <cell r="T28">
            <v>1</v>
          </cell>
          <cell r="U28">
            <v>6</v>
          </cell>
        </row>
        <row r="29">
          <cell r="A29">
            <v>10.1</v>
          </cell>
          <cell r="B29" t="str">
            <v>Meshed shutter work with 24 gauge G.I. mosquito net in 38 x 75 mm salwood frame</v>
          </cell>
          <cell r="C29" t="str">
            <v>sqm</v>
          </cell>
          <cell r="D29">
            <v>0</v>
          </cell>
          <cell r="E29">
            <v>0</v>
          </cell>
          <cell r="F29">
            <v>0</v>
          </cell>
          <cell r="G29">
            <v>0</v>
          </cell>
          <cell r="H29">
            <v>0</v>
          </cell>
          <cell r="I29">
            <v>4.9199999999999994E-2</v>
          </cell>
          <cell r="J29">
            <v>0</v>
          </cell>
          <cell r="K29">
            <v>4.9199999999999994E-2</v>
          </cell>
          <cell r="L29">
            <v>0</v>
          </cell>
          <cell r="M29">
            <v>4.9199999999999994E-2</v>
          </cell>
          <cell r="N29">
            <v>0</v>
          </cell>
          <cell r="O29">
            <v>4.9199999999999994E-2</v>
          </cell>
          <cell r="P29">
            <v>0</v>
          </cell>
          <cell r="Q29">
            <v>4.9199999999999994E-2</v>
          </cell>
          <cell r="R29">
            <v>0</v>
          </cell>
          <cell r="S29">
            <v>4.9199999999999994E-2</v>
          </cell>
          <cell r="T29">
            <v>0</v>
          </cell>
          <cell r="U29">
            <v>0.29519999999999996</v>
          </cell>
        </row>
        <row r="30">
          <cell r="A30">
            <v>10.199999999999999</v>
          </cell>
          <cell r="B30" t="str">
            <v>Panel shutter work in 38 x 75 mm salwood frame</v>
          </cell>
          <cell r="C30" t="str">
            <v>sqm</v>
          </cell>
          <cell r="D30">
            <v>0</v>
          </cell>
          <cell r="E30">
            <v>0</v>
          </cell>
          <cell r="F30">
            <v>0</v>
          </cell>
          <cell r="G30">
            <v>0</v>
          </cell>
          <cell r="H30">
            <v>0</v>
          </cell>
          <cell r="I30">
            <v>0.39150000000000001</v>
          </cell>
          <cell r="J30">
            <v>0</v>
          </cell>
          <cell r="K30">
            <v>0.39150000000000001</v>
          </cell>
          <cell r="L30">
            <v>0</v>
          </cell>
          <cell r="M30">
            <v>0.39150000000000001</v>
          </cell>
          <cell r="N30">
            <v>0</v>
          </cell>
          <cell r="O30">
            <v>0.39150000000000001</v>
          </cell>
          <cell r="P30">
            <v>0</v>
          </cell>
          <cell r="Q30">
            <v>0.39150000000000001</v>
          </cell>
          <cell r="R30">
            <v>0</v>
          </cell>
          <cell r="S30">
            <v>0.39150000000000001</v>
          </cell>
          <cell r="T30">
            <v>0</v>
          </cell>
          <cell r="U30">
            <v>2.3490000000000002</v>
          </cell>
        </row>
        <row r="31">
          <cell r="A31">
            <v>10.1</v>
          </cell>
          <cell r="B31" t="str">
            <v>Salwood frame work for door and windows</v>
          </cell>
          <cell r="C31" t="str">
            <v>cum</v>
          </cell>
          <cell r="D31">
            <v>0</v>
          </cell>
          <cell r="E31">
            <v>0</v>
          </cell>
          <cell r="F31">
            <v>0</v>
          </cell>
          <cell r="G31">
            <v>0</v>
          </cell>
          <cell r="H31">
            <v>0</v>
          </cell>
          <cell r="I31">
            <v>4.9199999999999994E-2</v>
          </cell>
          <cell r="J31">
            <v>0</v>
          </cell>
          <cell r="K31">
            <v>4.9199999999999994E-2</v>
          </cell>
          <cell r="L31">
            <v>0</v>
          </cell>
          <cell r="M31">
            <v>4.9199999999999994E-2</v>
          </cell>
          <cell r="N31">
            <v>0</v>
          </cell>
          <cell r="O31">
            <v>4.9199999999999994E-2</v>
          </cell>
          <cell r="P31">
            <v>0</v>
          </cell>
          <cell r="Q31">
            <v>4.9199999999999994E-2</v>
          </cell>
          <cell r="R31">
            <v>0</v>
          </cell>
          <cell r="S31">
            <v>4.9199999999999994E-2</v>
          </cell>
          <cell r="T31">
            <v>0</v>
          </cell>
          <cell r="U31">
            <v>0.29519999999999996</v>
          </cell>
        </row>
        <row r="32">
          <cell r="A32" t="str">
            <v>M-112</v>
          </cell>
          <cell r="B32" t="str">
            <v>Barbed wire</v>
          </cell>
          <cell r="C32" t="str">
            <v>kg</v>
          </cell>
          <cell r="D32">
            <v>0</v>
          </cell>
          <cell r="E32">
            <v>35.200000000000003</v>
          </cell>
          <cell r="F32">
            <v>0</v>
          </cell>
          <cell r="G32">
            <v>35.200000000000003</v>
          </cell>
          <cell r="H32">
            <v>70.400000000000006</v>
          </cell>
          <cell r="I32">
            <v>0</v>
          </cell>
          <cell r="J32">
            <v>86.4</v>
          </cell>
          <cell r="K32">
            <v>0</v>
          </cell>
          <cell r="L32">
            <v>153.6</v>
          </cell>
          <cell r="M32">
            <v>0</v>
          </cell>
          <cell r="N32">
            <v>188.8</v>
          </cell>
          <cell r="O32">
            <v>0</v>
          </cell>
          <cell r="P32">
            <v>150.4</v>
          </cell>
          <cell r="Q32">
            <v>0</v>
          </cell>
          <cell r="R32">
            <v>188.8</v>
          </cell>
          <cell r="S32">
            <v>0</v>
          </cell>
          <cell r="T32">
            <v>188.8</v>
          </cell>
          <cell r="U32">
            <v>956.8</v>
          </cell>
        </row>
        <row r="36">
          <cell r="A36" t="str">
            <v>1.4</v>
          </cell>
          <cell r="B36" t="str">
            <v>Site Clearance in thin vegetation area</v>
          </cell>
          <cell r="D36">
            <v>0.96000000000000019</v>
          </cell>
          <cell r="E36">
            <v>2.16</v>
          </cell>
          <cell r="F36">
            <v>2.4000000000000004</v>
          </cell>
          <cell r="G36">
            <v>2.6400000000000006</v>
          </cell>
          <cell r="H36">
            <v>1.7999999999999998</v>
          </cell>
          <cell r="I36">
            <v>3.375</v>
          </cell>
          <cell r="J36">
            <v>4.5</v>
          </cell>
          <cell r="K36">
            <v>3.96</v>
          </cell>
          <cell r="L36">
            <v>4.5</v>
          </cell>
          <cell r="M36">
            <v>38.415000000000006</v>
          </cell>
          <cell r="N36">
            <v>5.52</v>
          </cell>
          <cell r="O36">
            <v>43.935000000000002</v>
          </cell>
        </row>
        <row r="37">
          <cell r="A37">
            <v>2.14</v>
          </cell>
          <cell r="B37" t="str">
            <v>E/W Excavation for foundation, drain, pipelines etc. in BM Soil</v>
          </cell>
          <cell r="D37">
            <v>3.7124999999999999</v>
          </cell>
          <cell r="E37">
            <v>6.1875</v>
          </cell>
          <cell r="F37">
            <v>6.682500000000001</v>
          </cell>
          <cell r="G37">
            <v>7.1775000000000002</v>
          </cell>
          <cell r="H37">
            <v>7.7519999999999998</v>
          </cell>
          <cell r="I37">
            <v>19.602000000000004</v>
          </cell>
          <cell r="J37">
            <v>24.057000000000006</v>
          </cell>
          <cell r="K37">
            <v>25.621500000000005</v>
          </cell>
          <cell r="L37">
            <v>29.792000000000002</v>
          </cell>
          <cell r="M37">
            <v>189.91550000000004</v>
          </cell>
          <cell r="N37">
            <v>22.928999999999998</v>
          </cell>
          <cell r="O37">
            <v>212.84450000000004</v>
          </cell>
        </row>
        <row r="38">
          <cell r="A38">
            <v>11.16</v>
          </cell>
          <cell r="B38" t="str">
            <v xml:space="preserve">Stone soling with sand </v>
          </cell>
          <cell r="D38">
            <v>0.33749999999999997</v>
          </cell>
          <cell r="E38">
            <v>0.5625</v>
          </cell>
          <cell r="F38">
            <v>0.60750000000000004</v>
          </cell>
          <cell r="G38">
            <v>0.65250000000000008</v>
          </cell>
          <cell r="H38">
            <v>0.48449999999999999</v>
          </cell>
          <cell r="I38">
            <v>0.72600000000000009</v>
          </cell>
          <cell r="J38">
            <v>0.89100000000000013</v>
          </cell>
          <cell r="K38">
            <v>0.82650000000000012</v>
          </cell>
          <cell r="L38">
            <v>0.91199999999999992</v>
          </cell>
          <cell r="M38">
            <v>8.6084999999999994</v>
          </cell>
          <cell r="N38">
            <v>1.6439999999999999</v>
          </cell>
          <cell r="O38">
            <v>10.2525</v>
          </cell>
        </row>
        <row r="39">
          <cell r="A39" t="str">
            <v>7.2.c</v>
          </cell>
          <cell r="B39" t="str">
            <v xml:space="preserve">P.C.C. for  foundation &amp; walls in M10 </v>
          </cell>
          <cell r="D39">
            <v>0.12675</v>
          </cell>
          <cell r="E39">
            <v>0.22424999999999998</v>
          </cell>
          <cell r="F39">
            <v>0.24374999999999999</v>
          </cell>
          <cell r="G39">
            <v>0.26324999999999998</v>
          </cell>
          <cell r="H39">
            <v>0.19124999999999998</v>
          </cell>
          <cell r="I39">
            <v>0.3</v>
          </cell>
          <cell r="J39">
            <v>0.375</v>
          </cell>
          <cell r="K39">
            <v>0.34425</v>
          </cell>
          <cell r="L39">
            <v>0.38249999999999995</v>
          </cell>
          <cell r="M39">
            <v>3.5332500000000002</v>
          </cell>
          <cell r="N39">
            <v>0.6359999999999999</v>
          </cell>
          <cell r="O39">
            <v>4.1692499999999999</v>
          </cell>
        </row>
        <row r="40">
          <cell r="A40" t="str">
            <v>7.4.b</v>
          </cell>
          <cell r="B40" t="str">
            <v xml:space="preserve">P.C.C. for R.C.C. for super structures in M20 </v>
          </cell>
          <cell r="D40">
            <v>0.76929424958826886</v>
          </cell>
          <cell r="E40">
            <v>1.324294249588269</v>
          </cell>
          <cell r="F40">
            <v>1.4352942495882688</v>
          </cell>
          <cell r="G40">
            <v>1.5462942495882688</v>
          </cell>
          <cell r="H40">
            <v>2.0637942495882693</v>
          </cell>
          <cell r="I40">
            <v>5.1087942495882688</v>
          </cell>
          <cell r="J40">
            <v>6.0087942495882682</v>
          </cell>
          <cell r="K40">
            <v>6.6537942495882687</v>
          </cell>
          <cell r="L40">
            <v>7.6387942495882681</v>
          </cell>
          <cell r="M40">
            <v>47.218530995059218</v>
          </cell>
          <cell r="N40">
            <v>5.6661769983530768</v>
          </cell>
          <cell r="O40">
            <v>52.884707993412292</v>
          </cell>
        </row>
        <row r="41">
          <cell r="A41" t="str">
            <v>7.5</v>
          </cell>
          <cell r="B41" t="str">
            <v>Reinforcement work for R.C.C. work</v>
          </cell>
          <cell r="D41">
            <v>7.6929424958826889E-2</v>
          </cell>
          <cell r="E41">
            <v>0.1324294249588269</v>
          </cell>
          <cell r="F41">
            <v>0.1435294249588269</v>
          </cell>
          <cell r="G41">
            <v>0.15462942495882689</v>
          </cell>
          <cell r="H41">
            <v>0.20637942495882694</v>
          </cell>
          <cell r="I41">
            <v>0.51087942495882688</v>
          </cell>
          <cell r="J41">
            <v>0.60087942495882685</v>
          </cell>
          <cell r="K41">
            <v>0.66537942495882696</v>
          </cell>
          <cell r="L41">
            <v>0.76387942495882688</v>
          </cell>
          <cell r="M41">
            <v>4.7218530995059229</v>
          </cell>
          <cell r="N41">
            <v>0.56661769983530763</v>
          </cell>
          <cell r="O41">
            <v>5.2884707993412308</v>
          </cell>
        </row>
        <row r="42">
          <cell r="A42" t="str">
            <v>8.2.a</v>
          </cell>
          <cell r="B42" t="str">
            <v>Formwork for flooring and slab including materials</v>
          </cell>
          <cell r="D42">
            <v>6.9787942495882707</v>
          </cell>
          <cell r="E42">
            <v>11.078794249588269</v>
          </cell>
          <cell r="F42">
            <v>11.898794249588269</v>
          </cell>
          <cell r="G42">
            <v>12.718794249588269</v>
          </cell>
          <cell r="H42">
            <v>17.018794249588268</v>
          </cell>
          <cell r="I42">
            <v>44.888794249588265</v>
          </cell>
          <cell r="J42">
            <v>52.088794249588268</v>
          </cell>
          <cell r="K42">
            <v>59.318794249588272</v>
          </cell>
          <cell r="L42">
            <v>68.268794249588282</v>
          </cell>
          <cell r="M42">
            <v>413.77553099505923</v>
          </cell>
          <cell r="N42">
            <v>47.995176998353074</v>
          </cell>
          <cell r="O42">
            <v>461.77070799341232</v>
          </cell>
        </row>
        <row r="43">
          <cell r="A43" t="str">
            <v>12.1.b</v>
          </cell>
          <cell r="B43" t="str">
            <v>12.5 mm plastering works in 1:3 cement sand mortar</v>
          </cell>
          <cell r="D43">
            <v>8.2375884991765389</v>
          </cell>
          <cell r="E43">
            <v>13.937588499176538</v>
          </cell>
          <cell r="F43">
            <v>15.077588499176539</v>
          </cell>
          <cell r="G43">
            <v>16.217588499176539</v>
          </cell>
          <cell r="H43">
            <v>19.397588499176535</v>
          </cell>
          <cell r="I43">
            <v>49.367588499176534</v>
          </cell>
          <cell r="J43">
            <v>58.067588499176537</v>
          </cell>
          <cell r="K43">
            <v>64.577588499176542</v>
          </cell>
          <cell r="L43">
            <v>74.247588499176544</v>
          </cell>
          <cell r="M43">
            <v>464.74106199011851</v>
          </cell>
          <cell r="N43">
            <v>55.270353996706149</v>
          </cell>
          <cell r="O43">
            <v>520.01141598682466</v>
          </cell>
        </row>
      </sheetData>
      <sheetData sheetId="38"/>
      <sheetData sheetId="39" refreshError="1">
        <row r="90">
          <cell r="A90" t="str">
            <v>1.4</v>
          </cell>
          <cell r="B90" t="str">
            <v>Site Clearance in thin vegetation area</v>
          </cell>
          <cell r="D90">
            <v>0.96000000000000019</v>
          </cell>
          <cell r="E90">
            <v>1.2000000000000002</v>
          </cell>
          <cell r="F90">
            <v>1.7999999999999998</v>
          </cell>
          <cell r="M90">
            <v>2.25</v>
          </cell>
          <cell r="N90">
            <v>3</v>
          </cell>
          <cell r="P90">
            <v>176.34000000000003</v>
          </cell>
        </row>
        <row r="91">
          <cell r="A91">
            <v>2.14</v>
          </cell>
          <cell r="B91" t="str">
            <v>E/W Excavation for foundation, drain, pipelines etc. in BM Soil</v>
          </cell>
          <cell r="D91">
            <v>4.6124999999999998</v>
          </cell>
          <cell r="E91">
            <v>5.2274999999999991</v>
          </cell>
          <cell r="F91">
            <v>6.6214999999999993</v>
          </cell>
          <cell r="M91">
            <v>7.6669999999999998</v>
          </cell>
          <cell r="N91">
            <v>9.4094999999999995</v>
          </cell>
          <cell r="P91">
            <v>832.04149999999981</v>
          </cell>
        </row>
        <row r="92">
          <cell r="A92">
            <v>11.16</v>
          </cell>
          <cell r="B92" t="str">
            <v xml:space="preserve">Stone soling with sand </v>
          </cell>
          <cell r="D92">
            <v>0.33749999999999997</v>
          </cell>
          <cell r="E92">
            <v>0.38249999999999995</v>
          </cell>
          <cell r="F92">
            <v>0.48449999999999999</v>
          </cell>
          <cell r="M92">
            <v>0.56100000000000005</v>
          </cell>
          <cell r="N92">
            <v>0.6885</v>
          </cell>
          <cell r="P92">
            <v>58.300499999999992</v>
          </cell>
        </row>
        <row r="93">
          <cell r="A93" t="str">
            <v>7.2.c</v>
          </cell>
          <cell r="B93" t="str">
            <v xml:space="preserve">P.C.C. for  foundation &amp; walls in M10 </v>
          </cell>
          <cell r="D93">
            <v>0.12675</v>
          </cell>
          <cell r="E93">
            <v>0.14625000000000002</v>
          </cell>
          <cell r="F93">
            <v>0.19124999999999998</v>
          </cell>
          <cell r="M93">
            <v>0.22499999999999998</v>
          </cell>
          <cell r="N93">
            <v>0.28125</v>
          </cell>
          <cell r="P93">
            <v>22.13325</v>
          </cell>
        </row>
        <row r="94">
          <cell r="A94" t="str">
            <v>7.4.b</v>
          </cell>
          <cell r="B94" t="str">
            <v xml:space="preserve">P.C.C. for R.C.C. for super structures in M20 </v>
          </cell>
          <cell r="D94">
            <v>0.99729424958826884</v>
          </cell>
          <cell r="E94">
            <v>1.1322942495882689</v>
          </cell>
          <cell r="F94">
            <v>1.4262942495882689</v>
          </cell>
          <cell r="M94">
            <v>1.6467942495882688</v>
          </cell>
          <cell r="N94">
            <v>2.0142942495882687</v>
          </cell>
          <cell r="P94">
            <v>172.31537418371127</v>
          </cell>
        </row>
        <row r="95">
          <cell r="A95" t="str">
            <v>7.5</v>
          </cell>
          <cell r="B95" t="str">
            <v>Reinforcement work for R.C.C. work</v>
          </cell>
          <cell r="D95">
            <v>9.972942495882689E-2</v>
          </cell>
          <cell r="E95">
            <v>0.11322942495882689</v>
          </cell>
          <cell r="F95">
            <v>0.14262942495882688</v>
          </cell>
          <cell r="M95">
            <v>0.1646794249588269</v>
          </cell>
          <cell r="N95">
            <v>0.20142942495882687</v>
          </cell>
          <cell r="P95">
            <v>17.231537418371129</v>
          </cell>
        </row>
        <row r="96">
          <cell r="A96" t="str">
            <v>8.2.a</v>
          </cell>
          <cell r="B96" t="str">
            <v>Formwork for flooring and slab including materials</v>
          </cell>
          <cell r="D96">
            <v>10.018794249588268</v>
          </cell>
          <cell r="E96">
            <v>11.158794249588269</v>
          </cell>
          <cell r="F96">
            <v>13.518794249588268</v>
          </cell>
          <cell r="M96">
            <v>15.288794249588268</v>
          </cell>
          <cell r="N96">
            <v>18.238794249588267</v>
          </cell>
          <cell r="P96">
            <v>1710.8458741837112</v>
          </cell>
        </row>
        <row r="97">
          <cell r="A97" t="str">
            <v>12.1.b</v>
          </cell>
          <cell r="B97" t="str">
            <v>12.5 mm plastering works in 1:3 cement sand mortar</v>
          </cell>
          <cell r="D97">
            <v>11.277588499176536</v>
          </cell>
          <cell r="E97">
            <v>12.737588499176537</v>
          </cell>
          <cell r="F97">
            <v>15.897588499176537</v>
          </cell>
          <cell r="M97">
            <v>18.267588499176536</v>
          </cell>
          <cell r="N97">
            <v>22.217588499176536</v>
          </cell>
          <cell r="P97">
            <v>1942.5517483674225</v>
          </cell>
        </row>
        <row r="100">
          <cell r="A100" t="str">
            <v>1.4</v>
          </cell>
          <cell r="B100" t="str">
            <v>Site Clearance in thin vegetation area</v>
          </cell>
          <cell r="D100">
            <v>1.5</v>
          </cell>
          <cell r="E100">
            <v>0.96000000000000019</v>
          </cell>
          <cell r="P100">
            <v>24.780000000000005</v>
          </cell>
        </row>
        <row r="101">
          <cell r="A101">
            <v>2.14</v>
          </cell>
          <cell r="B101" t="str">
            <v>E/W Excavation for foundation, drain, pipelines etc. in BM Soil</v>
          </cell>
          <cell r="D101">
            <v>5.4909999999999988</v>
          </cell>
          <cell r="E101">
            <v>4.2749999999999995</v>
          </cell>
          <cell r="P101">
            <v>109.36099999999999</v>
          </cell>
        </row>
        <row r="102">
          <cell r="A102">
            <v>11.16</v>
          </cell>
          <cell r="B102" t="str">
            <v xml:space="preserve">Stone soling with sand </v>
          </cell>
          <cell r="D102">
            <v>0.43349999999999994</v>
          </cell>
          <cell r="E102">
            <v>0.33749999999999997</v>
          </cell>
          <cell r="P102">
            <v>8.2424999999999997</v>
          </cell>
        </row>
        <row r="103">
          <cell r="A103" t="str">
            <v>7.2.c</v>
          </cell>
          <cell r="B103" t="str">
            <v xml:space="preserve">P.C.C. for  foundation &amp; walls in M10 </v>
          </cell>
          <cell r="D103">
            <v>0.16874999999999998</v>
          </cell>
          <cell r="E103">
            <v>0.12675</v>
          </cell>
          <cell r="P103">
            <v>3.1252499999999999</v>
          </cell>
        </row>
        <row r="104">
          <cell r="A104" t="str">
            <v>7.4.b</v>
          </cell>
          <cell r="B104" t="str">
            <v xml:space="preserve">P.C.C. for R.C.C. for super structures in M20 </v>
          </cell>
          <cell r="D104">
            <v>1.0912942495882689</v>
          </cell>
          <cell r="E104">
            <v>0.85129424958826894</v>
          </cell>
          <cell r="P104">
            <v>20.779767740530186</v>
          </cell>
        </row>
        <row r="105">
          <cell r="A105" t="str">
            <v>7.5</v>
          </cell>
          <cell r="B105" t="str">
            <v>Reinforcement work for R.C.C. work</v>
          </cell>
          <cell r="D105">
            <v>0.1091294249588269</v>
          </cell>
          <cell r="E105">
            <v>8.5129424958826902E-2</v>
          </cell>
          <cell r="P105">
            <v>2.0779767740530186</v>
          </cell>
        </row>
        <row r="106">
          <cell r="A106" t="str">
            <v>8.2.a</v>
          </cell>
          <cell r="B106" t="str">
            <v>Formwork for flooring and slab including materials</v>
          </cell>
          <cell r="D106">
            <v>10.958794249588269</v>
          </cell>
          <cell r="E106">
            <v>8.8787942495882692</v>
          </cell>
          <cell r="P106">
            <v>214.61226774053017</v>
          </cell>
        </row>
        <row r="107">
          <cell r="A107" t="str">
            <v>12.1.b</v>
          </cell>
          <cell r="B107" t="str">
            <v>12.5 mm plastering works in 1:3 cement sand mortar</v>
          </cell>
          <cell r="D107">
            <v>12.937588499176538</v>
          </cell>
          <cell r="E107">
            <v>10.137588499176537</v>
          </cell>
          <cell r="P107">
            <v>247.16453548106034</v>
          </cell>
        </row>
        <row r="109">
          <cell r="A109" t="str">
            <v>1.4</v>
          </cell>
          <cell r="B109" t="str">
            <v>Site Clearance in thin vegetation area</v>
          </cell>
          <cell r="D109">
            <v>0.96000000000000019</v>
          </cell>
          <cell r="P109">
            <v>35.52000000000001</v>
          </cell>
        </row>
        <row r="110">
          <cell r="A110">
            <v>2.14</v>
          </cell>
          <cell r="B110" t="str">
            <v>E/W Excavation for foundation, drain, pipelines etc. in BM Soil</v>
          </cell>
          <cell r="D110">
            <v>4.2749999999999995</v>
          </cell>
          <cell r="P110">
            <v>165.279</v>
          </cell>
        </row>
        <row r="111">
          <cell r="A111">
            <v>11.16</v>
          </cell>
          <cell r="B111" t="str">
            <v xml:space="preserve">Stone soling with sand </v>
          </cell>
          <cell r="D111">
            <v>0.33749999999999997</v>
          </cell>
          <cell r="P111">
            <v>12.487499999999999</v>
          </cell>
        </row>
        <row r="112">
          <cell r="A112" t="str">
            <v>7.2.c</v>
          </cell>
          <cell r="B112" t="str">
            <v xml:space="preserve">P.C.C. for  foundation &amp; walls in M10 </v>
          </cell>
          <cell r="D112">
            <v>0.12675</v>
          </cell>
          <cell r="P112">
            <v>4.6897500000000001</v>
          </cell>
        </row>
        <row r="113">
          <cell r="A113" t="str">
            <v>7.4.b</v>
          </cell>
          <cell r="B113" t="str">
            <v xml:space="preserve">P.C.C. for R.C.C. for super structures in M20 </v>
          </cell>
          <cell r="D113">
            <v>0.85129424958826894</v>
          </cell>
          <cell r="P113">
            <v>31.497887234765951</v>
          </cell>
        </row>
        <row r="114">
          <cell r="A114" t="str">
            <v>7.5</v>
          </cell>
          <cell r="B114" t="str">
            <v>Reinforcement work for R.C.C. work</v>
          </cell>
          <cell r="D114">
            <v>8.5129424958826902E-2</v>
          </cell>
          <cell r="P114">
            <v>3.1497887234765956</v>
          </cell>
        </row>
        <row r="115">
          <cell r="A115" t="str">
            <v>8.2.a</v>
          </cell>
          <cell r="B115" t="str">
            <v>Formwork for flooring and slab including materials</v>
          </cell>
          <cell r="D115">
            <v>8.8787942495882692</v>
          </cell>
          <cell r="P115">
            <v>328.51538723476597</v>
          </cell>
        </row>
        <row r="116">
          <cell r="A116" t="str">
            <v>12.1.b</v>
          </cell>
          <cell r="B116" t="str">
            <v>12.5 mm plastering works in 1:3 cement sand mortar</v>
          </cell>
          <cell r="D116">
            <v>10.137588499176537</v>
          </cell>
          <cell r="P116">
            <v>375.09077446953188</v>
          </cell>
        </row>
      </sheetData>
      <sheetData sheetId="40" refreshError="1">
        <row r="7">
          <cell r="B7" t="str">
            <v>1.4</v>
          </cell>
          <cell r="C7" t="str">
            <v>Site Clearance in thin vegetation area</v>
          </cell>
          <cell r="D7">
            <v>1</v>
          </cell>
          <cell r="E7">
            <v>10.3</v>
          </cell>
          <cell r="F7">
            <v>9.1</v>
          </cell>
          <cell r="H7">
            <v>93.73</v>
          </cell>
          <cell r="I7">
            <v>93.73</v>
          </cell>
          <cell r="J7" t="str">
            <v>sqm</v>
          </cell>
          <cell r="K7">
            <v>2.76</v>
          </cell>
          <cell r="L7">
            <v>258.69479999999999</v>
          </cell>
        </row>
        <row r="8">
          <cell r="B8">
            <v>2.14</v>
          </cell>
          <cell r="C8" t="str">
            <v>E/W Excavation for foundation, drain, pipelines etc. in BM Soil</v>
          </cell>
          <cell r="H8">
            <v>39.15</v>
          </cell>
          <cell r="I8">
            <v>39.15</v>
          </cell>
          <cell r="J8" t="str">
            <v>cum</v>
          </cell>
          <cell r="K8">
            <v>150.66839999999999</v>
          </cell>
          <cell r="L8">
            <v>5898.6678599999996</v>
          </cell>
        </row>
        <row r="9">
          <cell r="C9" t="str">
            <v>Longwalls-1</v>
          </cell>
          <cell r="D9">
            <v>3</v>
          </cell>
          <cell r="E9">
            <v>9.6</v>
          </cell>
          <cell r="F9">
            <v>0.75</v>
          </cell>
          <cell r="G9">
            <v>0.9</v>
          </cell>
          <cell r="H9">
            <v>19.439999999999998</v>
          </cell>
        </row>
        <row r="10">
          <cell r="C10" t="str">
            <v>Longwalls-2</v>
          </cell>
          <cell r="D10">
            <v>1</v>
          </cell>
          <cell r="E10">
            <v>7.85</v>
          </cell>
          <cell r="F10">
            <v>0.75</v>
          </cell>
          <cell r="G10">
            <v>0.9</v>
          </cell>
          <cell r="H10">
            <v>5.2987499999999992</v>
          </cell>
        </row>
        <row r="11">
          <cell r="C11" t="str">
            <v>Shortwalls-1</v>
          </cell>
          <cell r="D11">
            <v>7</v>
          </cell>
          <cell r="E11">
            <v>2.2000000000000002</v>
          </cell>
          <cell r="F11">
            <v>0.75</v>
          </cell>
          <cell r="G11">
            <v>0.9</v>
          </cell>
          <cell r="H11">
            <v>10.395000000000001</v>
          </cell>
        </row>
        <row r="12">
          <cell r="C12" t="str">
            <v>Shortwalls-2</v>
          </cell>
          <cell r="D12">
            <v>2</v>
          </cell>
          <cell r="E12">
            <v>1</v>
          </cell>
          <cell r="F12">
            <v>0.75</v>
          </cell>
          <cell r="G12">
            <v>0.9</v>
          </cell>
          <cell r="H12">
            <v>1.35</v>
          </cell>
        </row>
        <row r="13">
          <cell r="C13" t="str">
            <v>Shortwalls-3</v>
          </cell>
          <cell r="D13">
            <v>1</v>
          </cell>
          <cell r="E13">
            <v>3.95</v>
          </cell>
          <cell r="F13">
            <v>0.75</v>
          </cell>
          <cell r="G13">
            <v>0.9</v>
          </cell>
          <cell r="H13">
            <v>2.6662500000000002</v>
          </cell>
        </row>
        <row r="14">
          <cell r="B14" t="str">
            <v>2.25.a</v>
          </cell>
          <cell r="C14" t="str">
            <v>Filling with ordinary soils with compaction and sprinkling of water</v>
          </cell>
          <cell r="H14">
            <v>25.526192500000001</v>
          </cell>
          <cell r="I14">
            <v>25.526192500000001</v>
          </cell>
          <cell r="J14" t="str">
            <v>cum</v>
          </cell>
          <cell r="K14">
            <v>47.38</v>
          </cell>
          <cell r="L14">
            <v>1209.43100065</v>
          </cell>
        </row>
        <row r="15">
          <cell r="C15" t="str">
            <v>Foundation</v>
          </cell>
          <cell r="D15">
            <v>1</v>
          </cell>
          <cell r="E15">
            <v>58</v>
          </cell>
          <cell r="F15" t="str">
            <v>Area</v>
          </cell>
          <cell r="G15">
            <v>0.17199999999999999</v>
          </cell>
          <cell r="H15">
            <v>9.9759999999999991</v>
          </cell>
        </row>
        <row r="16">
          <cell r="C16" t="str">
            <v>Retiring room</v>
          </cell>
          <cell r="D16">
            <v>1</v>
          </cell>
          <cell r="E16">
            <v>2.5750000000000002</v>
          </cell>
          <cell r="F16">
            <v>2.875</v>
          </cell>
          <cell r="G16">
            <v>0.3</v>
          </cell>
          <cell r="H16">
            <v>2.2209374999999998</v>
          </cell>
        </row>
        <row r="17">
          <cell r="C17" t="str">
            <v>Kitchen</v>
          </cell>
          <cell r="D17">
            <v>1</v>
          </cell>
          <cell r="E17">
            <v>2.5750000000000002</v>
          </cell>
          <cell r="F17">
            <v>2.875</v>
          </cell>
          <cell r="G17">
            <v>0.3</v>
          </cell>
          <cell r="H17">
            <v>2.2209374999999998</v>
          </cell>
        </row>
        <row r="18">
          <cell r="C18" t="str">
            <v>Store</v>
          </cell>
          <cell r="D18">
            <v>1</v>
          </cell>
          <cell r="E18">
            <v>2.5750000000000002</v>
          </cell>
          <cell r="F18">
            <v>2.875</v>
          </cell>
          <cell r="G18">
            <v>0.3</v>
          </cell>
          <cell r="H18">
            <v>2.2209374999999998</v>
          </cell>
        </row>
        <row r="19">
          <cell r="C19" t="str">
            <v>Laboratory</v>
          </cell>
          <cell r="D19">
            <v>1</v>
          </cell>
          <cell r="E19">
            <v>2.5750000000000002</v>
          </cell>
          <cell r="F19">
            <v>1.98</v>
          </cell>
          <cell r="G19">
            <v>0.3</v>
          </cell>
          <cell r="H19">
            <v>1.5295500000000002</v>
          </cell>
        </row>
        <row r="20">
          <cell r="C20" t="str">
            <v>Bedroom</v>
          </cell>
          <cell r="D20">
            <v>1</v>
          </cell>
          <cell r="E20">
            <v>2.5750000000000002</v>
          </cell>
          <cell r="F20">
            <v>3.48</v>
          </cell>
          <cell r="G20">
            <v>0.3</v>
          </cell>
          <cell r="H20">
            <v>2.6882999999999999</v>
          </cell>
        </row>
        <row r="21">
          <cell r="C21" t="str">
            <v>Corridor</v>
          </cell>
          <cell r="D21">
            <v>1</v>
          </cell>
          <cell r="E21">
            <v>6.73</v>
          </cell>
          <cell r="F21">
            <v>1.38</v>
          </cell>
          <cell r="G21">
            <v>0.3</v>
          </cell>
          <cell r="H21">
            <v>2.7862199999999997</v>
          </cell>
        </row>
        <row r="22">
          <cell r="C22" t="str">
            <v>Verandah</v>
          </cell>
          <cell r="D22">
            <v>1</v>
          </cell>
          <cell r="E22">
            <v>4.3899999999999997</v>
          </cell>
          <cell r="F22">
            <v>1.43</v>
          </cell>
          <cell r="G22">
            <v>0.3</v>
          </cell>
          <cell r="H22">
            <v>1.8833099999999998</v>
          </cell>
        </row>
        <row r="23">
          <cell r="B23" t="str">
            <v>2.42</v>
          </cell>
          <cell r="C23" t="str">
            <v>Sand filling with compaction and sprinkling of water</v>
          </cell>
          <cell r="H23">
            <v>7.2567565000000016</v>
          </cell>
          <cell r="I23">
            <v>7.2567565000000016</v>
          </cell>
          <cell r="J23" t="str">
            <v>cum</v>
          </cell>
          <cell r="K23">
            <v>924.01857832812482</v>
          </cell>
          <cell r="L23">
            <v>6705.3778244033801</v>
          </cell>
        </row>
        <row r="24">
          <cell r="C24" t="str">
            <v>Retiring room</v>
          </cell>
          <cell r="D24">
            <v>1</v>
          </cell>
          <cell r="E24">
            <v>2.5750000000000002</v>
          </cell>
          <cell r="F24">
            <v>2.875</v>
          </cell>
          <cell r="G24">
            <v>0.14000000000000001</v>
          </cell>
          <cell r="H24">
            <v>1.0364375000000001</v>
          </cell>
        </row>
        <row r="25">
          <cell r="C25" t="str">
            <v>Kitchen</v>
          </cell>
          <cell r="D25">
            <v>1</v>
          </cell>
          <cell r="E25">
            <v>2.5750000000000002</v>
          </cell>
          <cell r="F25">
            <v>2.875</v>
          </cell>
          <cell r="G25">
            <v>0.14000000000000001</v>
          </cell>
          <cell r="H25">
            <v>1.0364375000000001</v>
          </cell>
        </row>
        <row r="26">
          <cell r="C26" t="str">
            <v>Store</v>
          </cell>
          <cell r="D26">
            <v>1</v>
          </cell>
          <cell r="E26">
            <v>2.5750000000000002</v>
          </cell>
          <cell r="F26">
            <v>2.875</v>
          </cell>
          <cell r="G26">
            <v>0.14000000000000001</v>
          </cell>
          <cell r="H26">
            <v>1.0364375000000001</v>
          </cell>
        </row>
        <row r="27">
          <cell r="C27" t="str">
            <v>Laboratory</v>
          </cell>
          <cell r="D27">
            <v>1</v>
          </cell>
          <cell r="E27">
            <v>2.5750000000000002</v>
          </cell>
          <cell r="F27">
            <v>1.98</v>
          </cell>
          <cell r="G27">
            <v>0.14000000000000001</v>
          </cell>
          <cell r="H27">
            <v>0.71379000000000015</v>
          </cell>
        </row>
        <row r="28">
          <cell r="C28" t="str">
            <v>Bedroom</v>
          </cell>
          <cell r="D28">
            <v>1</v>
          </cell>
          <cell r="E28">
            <v>2.5750000000000002</v>
          </cell>
          <cell r="F28">
            <v>3.48</v>
          </cell>
          <cell r="G28">
            <v>0.14000000000000001</v>
          </cell>
          <cell r="H28">
            <v>1.2545400000000002</v>
          </cell>
        </row>
        <row r="29">
          <cell r="C29" t="str">
            <v>Corridor</v>
          </cell>
          <cell r="D29">
            <v>1</v>
          </cell>
          <cell r="E29">
            <v>6.73</v>
          </cell>
          <cell r="F29">
            <v>1.38</v>
          </cell>
          <cell r="G29">
            <v>0.14000000000000001</v>
          </cell>
          <cell r="H29">
            <v>1.3002360000000002</v>
          </cell>
        </row>
        <row r="30">
          <cell r="C30" t="str">
            <v>Verandah</v>
          </cell>
          <cell r="D30">
            <v>1</v>
          </cell>
          <cell r="E30">
            <v>4.3899999999999997</v>
          </cell>
          <cell r="F30">
            <v>1.43</v>
          </cell>
          <cell r="G30">
            <v>0.14000000000000001</v>
          </cell>
          <cell r="H30">
            <v>0.87887800000000005</v>
          </cell>
        </row>
        <row r="31">
          <cell r="B31" t="str">
            <v>11.15.b</v>
          </cell>
          <cell r="C31" t="str">
            <v xml:space="preserve">Brick soling on edge with sand </v>
          </cell>
          <cell r="H31">
            <v>95.333975000000009</v>
          </cell>
          <cell r="I31">
            <v>43.5</v>
          </cell>
          <cell r="J31" t="str">
            <v>sqm</v>
          </cell>
          <cell r="K31">
            <v>343.27430057539067</v>
          </cell>
          <cell r="L31">
            <v>14932.432075029494</v>
          </cell>
        </row>
        <row r="32">
          <cell r="C32" t="str">
            <v>Below Foundation</v>
          </cell>
          <cell r="D32">
            <v>1</v>
          </cell>
          <cell r="E32">
            <v>58</v>
          </cell>
          <cell r="F32">
            <v>0.75</v>
          </cell>
          <cell r="H32">
            <v>43.5</v>
          </cell>
        </row>
        <row r="33">
          <cell r="C33" t="str">
            <v>Retiring room</v>
          </cell>
          <cell r="D33">
            <v>1</v>
          </cell>
          <cell r="E33">
            <v>2.5750000000000002</v>
          </cell>
          <cell r="F33">
            <v>2.875</v>
          </cell>
          <cell r="H33">
            <v>7.4031250000000002</v>
          </cell>
        </row>
        <row r="34">
          <cell r="C34" t="str">
            <v>Kitchen</v>
          </cell>
          <cell r="D34">
            <v>1</v>
          </cell>
          <cell r="E34">
            <v>2.5750000000000002</v>
          </cell>
          <cell r="F34">
            <v>2.875</v>
          </cell>
          <cell r="H34">
            <v>7.4031250000000002</v>
          </cell>
        </row>
        <row r="35">
          <cell r="C35" t="str">
            <v>Store</v>
          </cell>
          <cell r="D35">
            <v>1</v>
          </cell>
          <cell r="E35">
            <v>2.5750000000000002</v>
          </cell>
          <cell r="F35">
            <v>2.875</v>
          </cell>
          <cell r="H35">
            <v>7.4031250000000002</v>
          </cell>
        </row>
        <row r="36">
          <cell r="C36" t="str">
            <v>Laboratory</v>
          </cell>
          <cell r="D36">
            <v>1</v>
          </cell>
          <cell r="E36">
            <v>2.5750000000000002</v>
          </cell>
          <cell r="F36">
            <v>1.98</v>
          </cell>
          <cell r="H36">
            <v>5.0985000000000005</v>
          </cell>
        </row>
        <row r="37">
          <cell r="C37" t="str">
            <v>Bedroom</v>
          </cell>
          <cell r="D37">
            <v>1</v>
          </cell>
          <cell r="E37">
            <v>2.5750000000000002</v>
          </cell>
          <cell r="F37">
            <v>3.48</v>
          </cell>
          <cell r="H37">
            <v>8.9610000000000003</v>
          </cell>
        </row>
        <row r="38">
          <cell r="C38" t="str">
            <v>Corridor</v>
          </cell>
          <cell r="D38">
            <v>1</v>
          </cell>
          <cell r="E38">
            <v>6.73</v>
          </cell>
          <cell r="F38">
            <v>1.38</v>
          </cell>
          <cell r="H38">
            <v>9.2873999999999999</v>
          </cell>
        </row>
        <row r="39">
          <cell r="C39" t="str">
            <v>Verandah</v>
          </cell>
          <cell r="D39">
            <v>1</v>
          </cell>
          <cell r="E39">
            <v>4.3899999999999997</v>
          </cell>
          <cell r="F39">
            <v>1.43</v>
          </cell>
          <cell r="H39">
            <v>6.2776999999999994</v>
          </cell>
        </row>
        <row r="40">
          <cell r="B40" t="str">
            <v>5.1.b.3</v>
          </cell>
          <cell r="C40" t="str">
            <v xml:space="preserve">Local first class brick masonry works in 1:6 cement sand mortar </v>
          </cell>
          <cell r="H40">
            <v>73.417953125000011</v>
          </cell>
          <cell r="I40">
            <v>73.417953125000011</v>
          </cell>
          <cell r="J40" t="str">
            <v>cum</v>
          </cell>
          <cell r="K40">
            <v>3238.8808289078133</v>
          </cell>
          <cell r="L40">
            <v>237792.00087421501</v>
          </cell>
        </row>
        <row r="41">
          <cell r="C41" t="str">
            <v>Below Plinth Level</v>
          </cell>
        </row>
        <row r="42">
          <cell r="C42" t="str">
            <v>Long Wall-1</v>
          </cell>
        </row>
        <row r="43">
          <cell r="C43" t="str">
            <v>First footing</v>
          </cell>
          <cell r="D43">
            <v>2</v>
          </cell>
          <cell r="E43">
            <v>9.48</v>
          </cell>
          <cell r="F43">
            <v>0.625</v>
          </cell>
          <cell r="G43">
            <v>0.3</v>
          </cell>
          <cell r="H43">
            <v>3.5550000000000002</v>
          </cell>
        </row>
        <row r="44">
          <cell r="C44" t="str">
            <v>Second footing</v>
          </cell>
          <cell r="D44">
            <v>2</v>
          </cell>
          <cell r="E44">
            <v>9.3000000000000007</v>
          </cell>
          <cell r="F44">
            <v>0.45</v>
          </cell>
          <cell r="G44">
            <v>0.46</v>
          </cell>
          <cell r="H44">
            <v>3.8502000000000005</v>
          </cell>
        </row>
        <row r="45">
          <cell r="C45" t="str">
            <v>Third footing</v>
          </cell>
          <cell r="D45">
            <v>2</v>
          </cell>
          <cell r="E45">
            <v>9.23</v>
          </cell>
          <cell r="F45">
            <v>0.375</v>
          </cell>
          <cell r="G45">
            <v>0.52500000000000002</v>
          </cell>
          <cell r="H45">
            <v>3.6343125000000005</v>
          </cell>
        </row>
        <row r="46">
          <cell r="C46" t="str">
            <v>Long wall-2</v>
          </cell>
        </row>
        <row r="47">
          <cell r="C47" t="str">
            <v>First footing</v>
          </cell>
          <cell r="D47">
            <v>2</v>
          </cell>
          <cell r="E47">
            <v>7.73</v>
          </cell>
          <cell r="F47">
            <v>0.625</v>
          </cell>
          <cell r="G47">
            <v>0.3</v>
          </cell>
          <cell r="H47">
            <v>2.8987500000000002</v>
          </cell>
        </row>
        <row r="48">
          <cell r="C48" t="str">
            <v>Second footing</v>
          </cell>
          <cell r="D48">
            <v>2</v>
          </cell>
          <cell r="E48">
            <v>7.55</v>
          </cell>
          <cell r="F48">
            <v>0.45</v>
          </cell>
          <cell r="G48">
            <v>0.46</v>
          </cell>
          <cell r="H48">
            <v>3.1257000000000001</v>
          </cell>
        </row>
        <row r="49">
          <cell r="C49" t="str">
            <v>Third footing</v>
          </cell>
          <cell r="D49">
            <v>2</v>
          </cell>
          <cell r="E49">
            <v>7.48</v>
          </cell>
          <cell r="F49">
            <v>0.375</v>
          </cell>
          <cell r="G49">
            <v>0.52500000000000002</v>
          </cell>
          <cell r="H49">
            <v>2.9452500000000001</v>
          </cell>
        </row>
        <row r="50">
          <cell r="C50" t="str">
            <v>Short wall</v>
          </cell>
        </row>
        <row r="51">
          <cell r="C51" t="str">
            <v>First footing</v>
          </cell>
          <cell r="D51">
            <v>7</v>
          </cell>
          <cell r="E51">
            <v>2.33</v>
          </cell>
          <cell r="F51">
            <v>0.625</v>
          </cell>
          <cell r="G51">
            <v>0.3</v>
          </cell>
          <cell r="H51">
            <v>3.0581250000000004</v>
          </cell>
        </row>
        <row r="52">
          <cell r="C52" t="str">
            <v>Second footing</v>
          </cell>
          <cell r="D52">
            <v>7</v>
          </cell>
          <cell r="E52">
            <v>2.5</v>
          </cell>
          <cell r="F52">
            <v>0.45</v>
          </cell>
          <cell r="G52">
            <v>0.46</v>
          </cell>
          <cell r="H52">
            <v>3.6225000000000001</v>
          </cell>
        </row>
        <row r="53">
          <cell r="C53" t="str">
            <v>Third footing</v>
          </cell>
          <cell r="D53">
            <v>7</v>
          </cell>
          <cell r="E53">
            <v>2.58</v>
          </cell>
          <cell r="F53">
            <v>0.375</v>
          </cell>
          <cell r="G53">
            <v>0.52500000000000002</v>
          </cell>
          <cell r="H53">
            <v>3.5555625000000006</v>
          </cell>
        </row>
        <row r="54">
          <cell r="C54" t="str">
            <v>Short Wall-2</v>
          </cell>
        </row>
        <row r="55">
          <cell r="C55" t="str">
            <v>First footing</v>
          </cell>
          <cell r="D55">
            <v>1</v>
          </cell>
          <cell r="E55">
            <v>1.125</v>
          </cell>
          <cell r="F55">
            <v>0.625</v>
          </cell>
          <cell r="G55">
            <v>0.3</v>
          </cell>
          <cell r="H55">
            <v>0.2109375</v>
          </cell>
        </row>
        <row r="56">
          <cell r="C56" t="str">
            <v>Second footing</v>
          </cell>
          <cell r="D56">
            <v>1</v>
          </cell>
          <cell r="E56">
            <v>1.3</v>
          </cell>
          <cell r="F56">
            <v>0.45</v>
          </cell>
          <cell r="G56">
            <v>0.46</v>
          </cell>
          <cell r="H56">
            <v>0.26910000000000006</v>
          </cell>
        </row>
        <row r="57">
          <cell r="C57" t="str">
            <v>Third footing</v>
          </cell>
          <cell r="D57">
            <v>1</v>
          </cell>
          <cell r="E57">
            <v>1.375</v>
          </cell>
          <cell r="F57">
            <v>0.375</v>
          </cell>
          <cell r="G57">
            <v>0.52500000000000002</v>
          </cell>
          <cell r="H57">
            <v>0.27070312499999999</v>
          </cell>
        </row>
        <row r="58">
          <cell r="C58" t="str">
            <v>Verandah</v>
          </cell>
        </row>
        <row r="59">
          <cell r="C59" t="str">
            <v>Long Wall</v>
          </cell>
        </row>
        <row r="60">
          <cell r="C60" t="str">
            <v>First footing</v>
          </cell>
          <cell r="D60">
            <v>1</v>
          </cell>
          <cell r="E60">
            <v>4.49</v>
          </cell>
          <cell r="F60">
            <v>0.625</v>
          </cell>
          <cell r="G60">
            <v>0.3</v>
          </cell>
          <cell r="H60">
            <v>0.84187500000000004</v>
          </cell>
        </row>
        <row r="61">
          <cell r="C61" t="str">
            <v>Second footing</v>
          </cell>
          <cell r="D61">
            <v>1</v>
          </cell>
          <cell r="E61">
            <v>4.5999999999999996</v>
          </cell>
          <cell r="F61">
            <v>0.45</v>
          </cell>
          <cell r="G61">
            <v>0.46</v>
          </cell>
          <cell r="H61">
            <v>0.95219999999999994</v>
          </cell>
        </row>
        <row r="62">
          <cell r="C62" t="str">
            <v>Third footing</v>
          </cell>
          <cell r="D62">
            <v>1</v>
          </cell>
          <cell r="E62">
            <v>4.6399999999999997</v>
          </cell>
          <cell r="F62">
            <v>0.375</v>
          </cell>
          <cell r="G62">
            <v>0.52500000000000002</v>
          </cell>
          <cell r="H62">
            <v>0.91349999999999987</v>
          </cell>
        </row>
        <row r="63">
          <cell r="C63" t="str">
            <v xml:space="preserve">Short Wall </v>
          </cell>
        </row>
        <row r="64">
          <cell r="C64" t="str">
            <v>First footing</v>
          </cell>
          <cell r="D64">
            <v>1</v>
          </cell>
          <cell r="E64">
            <v>1.31</v>
          </cell>
          <cell r="F64">
            <v>0.625</v>
          </cell>
          <cell r="G64">
            <v>0.3</v>
          </cell>
          <cell r="H64">
            <v>0.24562500000000001</v>
          </cell>
        </row>
        <row r="65">
          <cell r="C65" t="str">
            <v>Second footing</v>
          </cell>
          <cell r="D65">
            <v>1</v>
          </cell>
          <cell r="E65">
            <v>1.4</v>
          </cell>
          <cell r="F65">
            <v>0.45</v>
          </cell>
          <cell r="G65">
            <v>0.46</v>
          </cell>
          <cell r="H65">
            <v>0.2898</v>
          </cell>
        </row>
        <row r="66">
          <cell r="C66" t="str">
            <v>Third footing</v>
          </cell>
          <cell r="D66">
            <v>1</v>
          </cell>
          <cell r="E66">
            <v>1.44</v>
          </cell>
          <cell r="F66">
            <v>0.375</v>
          </cell>
          <cell r="G66">
            <v>0.52500000000000002</v>
          </cell>
          <cell r="H66">
            <v>0.28350000000000003</v>
          </cell>
        </row>
        <row r="67">
          <cell r="C67" t="str">
            <v>Above plinth Level</v>
          </cell>
        </row>
        <row r="68">
          <cell r="C68" t="str">
            <v>Long Wall-1</v>
          </cell>
          <cell r="D68">
            <v>2</v>
          </cell>
          <cell r="E68">
            <v>9.1</v>
          </cell>
          <cell r="F68">
            <v>0.25</v>
          </cell>
          <cell r="G68">
            <v>2.9</v>
          </cell>
          <cell r="H68">
            <v>13.194999999999999</v>
          </cell>
        </row>
        <row r="69">
          <cell r="C69" t="str">
            <v>Short Wall-1</v>
          </cell>
          <cell r="D69">
            <v>7</v>
          </cell>
          <cell r="E69">
            <v>2.7</v>
          </cell>
          <cell r="F69">
            <v>0.25</v>
          </cell>
          <cell r="G69">
            <v>2.9</v>
          </cell>
          <cell r="H69">
            <v>13.702500000000001</v>
          </cell>
        </row>
        <row r="70">
          <cell r="C70" t="str">
            <v>Short Wall-2</v>
          </cell>
          <cell r="D70">
            <v>1</v>
          </cell>
          <cell r="E70">
            <v>1.5</v>
          </cell>
          <cell r="F70">
            <v>0.25</v>
          </cell>
          <cell r="G70">
            <v>2.9</v>
          </cell>
          <cell r="H70">
            <v>1.0874999999999999</v>
          </cell>
        </row>
        <row r="71">
          <cell r="C71" t="str">
            <v>Long Wall-2</v>
          </cell>
          <cell r="D71">
            <v>2</v>
          </cell>
          <cell r="E71">
            <v>7.35</v>
          </cell>
          <cell r="F71">
            <v>0.25</v>
          </cell>
          <cell r="G71">
            <v>2.9</v>
          </cell>
          <cell r="H71">
            <v>10.657499999999999</v>
          </cell>
        </row>
        <row r="72">
          <cell r="C72" t="str">
            <v>Pillar</v>
          </cell>
          <cell r="D72">
            <v>1</v>
          </cell>
          <cell r="E72">
            <v>0.5</v>
          </cell>
          <cell r="F72">
            <v>0.25</v>
          </cell>
          <cell r="G72">
            <v>2.9</v>
          </cell>
          <cell r="H72">
            <v>0.36249999999999999</v>
          </cell>
        </row>
        <row r="73">
          <cell r="C73" t="str">
            <v>Stairs</v>
          </cell>
          <cell r="D73">
            <v>1</v>
          </cell>
          <cell r="E73">
            <v>1.5</v>
          </cell>
          <cell r="F73" t="str">
            <v>Area</v>
          </cell>
          <cell r="G73">
            <v>0.22500000000000001</v>
          </cell>
          <cell r="H73">
            <v>0.33750000000000002</v>
          </cell>
        </row>
        <row r="74">
          <cell r="C74" t="str">
            <v>bath short wall</v>
          </cell>
          <cell r="D74">
            <v>1</v>
          </cell>
          <cell r="E74">
            <v>1.5</v>
          </cell>
          <cell r="F74">
            <v>0.125</v>
          </cell>
          <cell r="G74">
            <v>2.9</v>
          </cell>
          <cell r="H74">
            <v>0.54374999999999996</v>
          </cell>
        </row>
        <row r="75">
          <cell r="C75" t="str">
            <v>Parapet wall</v>
          </cell>
        </row>
        <row r="76">
          <cell r="C76" t="str">
            <v>Long Wall-1</v>
          </cell>
          <cell r="D76">
            <v>2</v>
          </cell>
          <cell r="E76">
            <v>9.1</v>
          </cell>
          <cell r="F76">
            <v>0.25</v>
          </cell>
          <cell r="G76">
            <v>0.9</v>
          </cell>
          <cell r="H76">
            <v>4.0949999999999998</v>
          </cell>
        </row>
        <row r="77">
          <cell r="C77" t="str">
            <v>Short Wall-1</v>
          </cell>
          <cell r="D77">
            <v>2</v>
          </cell>
          <cell r="E77">
            <v>7.65</v>
          </cell>
          <cell r="F77">
            <v>0.25</v>
          </cell>
          <cell r="G77">
            <v>0.9</v>
          </cell>
          <cell r="H77">
            <v>3.4425000000000003</v>
          </cell>
        </row>
        <row r="78">
          <cell r="C78" t="str">
            <v>Deductions</v>
          </cell>
        </row>
        <row r="79">
          <cell r="C79" t="str">
            <v>Door-1</v>
          </cell>
          <cell r="D79">
            <v>5</v>
          </cell>
          <cell r="E79">
            <v>0.97499999999999998</v>
          </cell>
          <cell r="F79">
            <v>0.25</v>
          </cell>
          <cell r="G79">
            <v>2.1</v>
          </cell>
          <cell r="H79">
            <v>-2.5593750000000002</v>
          </cell>
        </row>
        <row r="80">
          <cell r="C80" t="str">
            <v>Door-3</v>
          </cell>
          <cell r="D80">
            <v>1</v>
          </cell>
          <cell r="E80">
            <v>0.82499999999999996</v>
          </cell>
          <cell r="F80">
            <v>0.125</v>
          </cell>
          <cell r="G80">
            <v>2.1</v>
          </cell>
          <cell r="H80">
            <v>-0.21656249999999999</v>
          </cell>
        </row>
        <row r="81">
          <cell r="C81" t="str">
            <v>Window-1</v>
          </cell>
          <cell r="D81">
            <v>3</v>
          </cell>
          <cell r="E81">
            <v>1.8</v>
          </cell>
          <cell r="F81">
            <v>0.25</v>
          </cell>
          <cell r="G81">
            <v>1.35</v>
          </cell>
          <cell r="H81">
            <v>-1.8225000000000002</v>
          </cell>
        </row>
        <row r="82">
          <cell r="C82" t="str">
            <v>Window-2</v>
          </cell>
          <cell r="D82">
            <v>5</v>
          </cell>
          <cell r="E82">
            <v>1.05</v>
          </cell>
          <cell r="F82">
            <v>0.25</v>
          </cell>
          <cell r="G82">
            <v>1.35</v>
          </cell>
          <cell r="H82">
            <v>-1.7718750000000001</v>
          </cell>
        </row>
        <row r="83">
          <cell r="C83" t="str">
            <v>Window-3</v>
          </cell>
          <cell r="D83">
            <v>2</v>
          </cell>
          <cell r="E83">
            <v>1.8</v>
          </cell>
          <cell r="F83">
            <v>0.25</v>
          </cell>
          <cell r="G83">
            <v>1.05</v>
          </cell>
          <cell r="H83">
            <v>-0.94500000000000006</v>
          </cell>
        </row>
        <row r="84">
          <cell r="C84" t="str">
            <v>Window-4</v>
          </cell>
          <cell r="D84">
            <v>1</v>
          </cell>
          <cell r="E84">
            <v>1.05</v>
          </cell>
          <cell r="F84">
            <v>0.25</v>
          </cell>
          <cell r="G84">
            <v>1.05</v>
          </cell>
          <cell r="H84">
            <v>-0.27562500000000001</v>
          </cell>
        </row>
        <row r="85">
          <cell r="C85" t="str">
            <v>Door lintels</v>
          </cell>
          <cell r="D85">
            <v>5</v>
          </cell>
          <cell r="E85">
            <v>1.28</v>
          </cell>
          <cell r="F85">
            <v>0.25</v>
          </cell>
          <cell r="G85">
            <v>0.15</v>
          </cell>
          <cell r="H85">
            <v>-0.24</v>
          </cell>
        </row>
        <row r="86">
          <cell r="C86" t="str">
            <v>W-1 lintel</v>
          </cell>
          <cell r="D86">
            <v>3</v>
          </cell>
          <cell r="E86">
            <v>2.1</v>
          </cell>
          <cell r="F86">
            <v>0.25</v>
          </cell>
          <cell r="G86">
            <v>0.15</v>
          </cell>
          <cell r="H86">
            <v>-0.23625000000000002</v>
          </cell>
        </row>
        <row r="87">
          <cell r="C87" t="str">
            <v>W-2 lintel</v>
          </cell>
          <cell r="D87">
            <v>5</v>
          </cell>
          <cell r="E87">
            <v>1.35</v>
          </cell>
          <cell r="F87">
            <v>0.25</v>
          </cell>
          <cell r="G87">
            <v>0.15</v>
          </cell>
          <cell r="H87">
            <v>-0.25312499999999999</v>
          </cell>
        </row>
        <row r="88">
          <cell r="C88" t="str">
            <v>W-3 litel</v>
          </cell>
          <cell r="D88">
            <v>2</v>
          </cell>
          <cell r="E88">
            <v>2.1</v>
          </cell>
          <cell r="F88">
            <v>0.25</v>
          </cell>
          <cell r="G88">
            <v>0.15</v>
          </cell>
          <cell r="H88">
            <v>-0.1575</v>
          </cell>
        </row>
        <row r="89">
          <cell r="C89" t="str">
            <v>W-4 lintel</v>
          </cell>
          <cell r="D89">
            <v>1</v>
          </cell>
          <cell r="E89">
            <v>1.35</v>
          </cell>
          <cell r="F89">
            <v>0.25</v>
          </cell>
          <cell r="G89">
            <v>0.15</v>
          </cell>
          <cell r="H89">
            <v>-5.0625000000000003E-2</v>
          </cell>
        </row>
        <row r="90">
          <cell r="B90" t="str">
            <v>7.2.c</v>
          </cell>
          <cell r="C90" t="str">
            <v xml:space="preserve">P.C.C. for  foundation &amp; walls in M10 </v>
          </cell>
          <cell r="H90">
            <v>21.664636250000001</v>
          </cell>
          <cell r="I90">
            <v>21.664636250000001</v>
          </cell>
          <cell r="J90" t="str">
            <v>cum</v>
          </cell>
          <cell r="K90">
            <v>4334.2110718062495</v>
          </cell>
          <cell r="L90">
            <v>93899.106301405031</v>
          </cell>
        </row>
        <row r="91">
          <cell r="C91" t="str">
            <v>Below Foundation</v>
          </cell>
          <cell r="D91">
            <v>1</v>
          </cell>
          <cell r="E91">
            <v>58</v>
          </cell>
          <cell r="F91">
            <v>0.75</v>
          </cell>
          <cell r="G91">
            <v>7.4999999999999997E-2</v>
          </cell>
          <cell r="H91">
            <v>3.2624999999999997</v>
          </cell>
        </row>
        <row r="92">
          <cell r="C92" t="str">
            <v>Rooms</v>
          </cell>
        </row>
        <row r="93">
          <cell r="C93" t="str">
            <v>Retiring room</v>
          </cell>
          <cell r="D93">
            <v>1</v>
          </cell>
          <cell r="E93">
            <v>2.5750000000000002</v>
          </cell>
          <cell r="F93">
            <v>2.875</v>
          </cell>
          <cell r="G93">
            <v>0.05</v>
          </cell>
          <cell r="H93">
            <v>0.37015625000000002</v>
          </cell>
        </row>
        <row r="94">
          <cell r="C94" t="str">
            <v>Kitchen</v>
          </cell>
          <cell r="D94">
            <v>1</v>
          </cell>
          <cell r="E94">
            <v>2.5750000000000002</v>
          </cell>
          <cell r="F94">
            <v>2.875</v>
          </cell>
          <cell r="G94">
            <v>0.05</v>
          </cell>
          <cell r="H94">
            <v>0.37015625000000002</v>
          </cell>
        </row>
        <row r="95">
          <cell r="C95" t="str">
            <v>Store</v>
          </cell>
          <cell r="D95">
            <v>1</v>
          </cell>
          <cell r="E95">
            <v>2.5750000000000002</v>
          </cell>
          <cell r="F95">
            <v>2.875</v>
          </cell>
          <cell r="G95">
            <v>0.05</v>
          </cell>
          <cell r="H95">
            <v>0.37015625000000002</v>
          </cell>
        </row>
        <row r="96">
          <cell r="C96" t="str">
            <v>Laboratory</v>
          </cell>
          <cell r="D96">
            <v>1</v>
          </cell>
          <cell r="E96">
            <v>2.5750000000000002</v>
          </cell>
          <cell r="F96">
            <v>1.98</v>
          </cell>
          <cell r="G96">
            <v>0.05</v>
          </cell>
          <cell r="H96">
            <v>0.25492500000000001</v>
          </cell>
        </row>
        <row r="97">
          <cell r="C97" t="str">
            <v>Bedroom</v>
          </cell>
          <cell r="D97">
            <v>1</v>
          </cell>
          <cell r="E97">
            <v>2.5750000000000002</v>
          </cell>
          <cell r="F97">
            <v>3.48</v>
          </cell>
          <cell r="G97">
            <v>0.05</v>
          </cell>
          <cell r="H97">
            <v>0.44805000000000006</v>
          </cell>
        </row>
        <row r="98">
          <cell r="C98" t="str">
            <v>Corridor</v>
          </cell>
          <cell r="D98">
            <v>1</v>
          </cell>
          <cell r="E98">
            <v>6.73</v>
          </cell>
          <cell r="F98">
            <v>1.38</v>
          </cell>
          <cell r="G98">
            <v>0.05</v>
          </cell>
          <cell r="H98">
            <v>0.46437</v>
          </cell>
        </row>
        <row r="99">
          <cell r="C99" t="str">
            <v>Verandah</v>
          </cell>
          <cell r="D99">
            <v>1</v>
          </cell>
          <cell r="E99">
            <v>4.3899999999999997</v>
          </cell>
          <cell r="F99">
            <v>1.43</v>
          </cell>
          <cell r="G99">
            <v>0.05</v>
          </cell>
          <cell r="H99">
            <v>0.31388499999999997</v>
          </cell>
        </row>
        <row r="100">
          <cell r="B100" t="str">
            <v>7.4.b</v>
          </cell>
          <cell r="C100" t="str">
            <v xml:space="preserve">P.C.C. for R.C.C. for super structures in M20 </v>
          </cell>
          <cell r="H100">
            <v>15.810437500000001</v>
          </cell>
          <cell r="I100">
            <v>15.810437500000001</v>
          </cell>
          <cell r="J100" t="str">
            <v>cum</v>
          </cell>
          <cell r="K100">
            <v>6154.8131365578129</v>
          </cell>
          <cell r="L100">
            <v>97310.288419726276</v>
          </cell>
        </row>
        <row r="101">
          <cell r="C101" t="str">
            <v>Door Lintels (d1)</v>
          </cell>
          <cell r="D101">
            <v>5</v>
          </cell>
          <cell r="E101">
            <v>1.28</v>
          </cell>
          <cell r="F101">
            <v>0.25</v>
          </cell>
          <cell r="G101">
            <v>0.15</v>
          </cell>
          <cell r="H101">
            <v>0.24</v>
          </cell>
        </row>
        <row r="102">
          <cell r="C102" t="str">
            <v>Window-1</v>
          </cell>
          <cell r="D102">
            <v>3</v>
          </cell>
          <cell r="E102">
            <v>2.1</v>
          </cell>
          <cell r="F102">
            <v>0.25</v>
          </cell>
          <cell r="G102">
            <v>0.15</v>
          </cell>
          <cell r="H102">
            <v>0.23625000000000002</v>
          </cell>
        </row>
        <row r="103">
          <cell r="C103" t="str">
            <v>Window-2</v>
          </cell>
          <cell r="D103">
            <v>5</v>
          </cell>
          <cell r="E103">
            <v>1.35</v>
          </cell>
          <cell r="F103">
            <v>0.25</v>
          </cell>
          <cell r="G103">
            <v>0.15</v>
          </cell>
          <cell r="H103">
            <v>0.25312499999999999</v>
          </cell>
        </row>
        <row r="104">
          <cell r="C104" t="str">
            <v>Window-3</v>
          </cell>
          <cell r="D104">
            <v>2</v>
          </cell>
          <cell r="E104">
            <v>2.1</v>
          </cell>
          <cell r="F104">
            <v>0.25</v>
          </cell>
          <cell r="G104">
            <v>0.15</v>
          </cell>
          <cell r="H104">
            <v>0.1575</v>
          </cell>
        </row>
        <row r="105">
          <cell r="C105" t="str">
            <v>Window-4</v>
          </cell>
          <cell r="D105">
            <v>1</v>
          </cell>
          <cell r="E105">
            <v>1.35</v>
          </cell>
          <cell r="F105">
            <v>0.25</v>
          </cell>
          <cell r="G105">
            <v>0.15</v>
          </cell>
          <cell r="H105">
            <v>5.0625000000000003E-2</v>
          </cell>
        </row>
        <row r="106">
          <cell r="C106" t="str">
            <v>Beams</v>
          </cell>
        </row>
        <row r="107">
          <cell r="C107" t="str">
            <v>Long Wall-1</v>
          </cell>
          <cell r="D107">
            <v>3</v>
          </cell>
          <cell r="E107">
            <v>9.1</v>
          </cell>
          <cell r="F107">
            <v>0.25</v>
          </cell>
          <cell r="G107">
            <v>0.23</v>
          </cell>
          <cell r="H107">
            <v>1.56975</v>
          </cell>
        </row>
        <row r="108">
          <cell r="C108" t="str">
            <v>Long Wall-2</v>
          </cell>
          <cell r="D108">
            <v>1</v>
          </cell>
          <cell r="E108">
            <v>7.35</v>
          </cell>
          <cell r="F108">
            <v>0.25</v>
          </cell>
          <cell r="G108">
            <v>0.23</v>
          </cell>
          <cell r="H108">
            <v>0.42262499999999997</v>
          </cell>
        </row>
        <row r="109">
          <cell r="C109" t="str">
            <v>Short Wall-1</v>
          </cell>
          <cell r="D109">
            <v>7</v>
          </cell>
          <cell r="E109">
            <v>2.7</v>
          </cell>
          <cell r="F109">
            <v>0.25</v>
          </cell>
          <cell r="G109">
            <v>0.23</v>
          </cell>
          <cell r="H109">
            <v>1.0867500000000001</v>
          </cell>
        </row>
        <row r="110">
          <cell r="C110" t="str">
            <v>Short Wall-2</v>
          </cell>
          <cell r="D110">
            <v>1</v>
          </cell>
          <cell r="E110">
            <v>1.5</v>
          </cell>
          <cell r="F110">
            <v>0.25</v>
          </cell>
          <cell r="G110">
            <v>0.23</v>
          </cell>
          <cell r="H110">
            <v>8.6250000000000007E-2</v>
          </cell>
        </row>
        <row r="111">
          <cell r="C111" t="str">
            <v>Tie Beam</v>
          </cell>
          <cell r="D111">
            <v>1</v>
          </cell>
          <cell r="E111">
            <v>53.3</v>
          </cell>
          <cell r="F111">
            <v>0.25</v>
          </cell>
          <cell r="G111">
            <v>0.15</v>
          </cell>
          <cell r="H111">
            <v>1.9987499999999998</v>
          </cell>
        </row>
        <row r="112">
          <cell r="C112" t="str">
            <v>Slab</v>
          </cell>
          <cell r="D112">
            <v>1</v>
          </cell>
          <cell r="E112">
            <v>10.3</v>
          </cell>
          <cell r="F112">
            <v>9.1</v>
          </cell>
          <cell r="G112">
            <v>0.1</v>
          </cell>
          <cell r="H112">
            <v>9.3730000000000011</v>
          </cell>
        </row>
        <row r="113">
          <cell r="C113" t="str">
            <v>Slab in Kitchen</v>
          </cell>
          <cell r="D113">
            <v>1</v>
          </cell>
          <cell r="E113">
            <v>3.375</v>
          </cell>
          <cell r="F113">
            <v>0.75</v>
          </cell>
          <cell r="G113">
            <v>7.4999999999999997E-2</v>
          </cell>
          <cell r="H113">
            <v>0.18984375000000001</v>
          </cell>
        </row>
        <row r="114">
          <cell r="C114" t="str">
            <v>Slab in Lab</v>
          </cell>
          <cell r="D114">
            <v>1</v>
          </cell>
          <cell r="E114">
            <v>2.5950000000000002</v>
          </cell>
          <cell r="F114">
            <v>0.75</v>
          </cell>
          <cell r="G114">
            <v>7.4999999999999997E-2</v>
          </cell>
          <cell r="H114">
            <v>0.14596875000000001</v>
          </cell>
        </row>
        <row r="115">
          <cell r="B115" t="str">
            <v>7.5</v>
          </cell>
          <cell r="C115" t="str">
            <v>Reinforcement work for R.C.C. work</v>
          </cell>
          <cell r="I115">
            <v>1.5810437500000001</v>
          </cell>
          <cell r="J115" t="str">
            <v>mt</v>
          </cell>
          <cell r="K115">
            <v>39248.537514867188</v>
          </cell>
          <cell r="L115">
            <v>62053.654934521306</v>
          </cell>
        </row>
        <row r="116">
          <cell r="B116" t="str">
            <v>8.1.a</v>
          </cell>
          <cell r="C116" t="str">
            <v>Simple standard formwork of size &lt;1 sqm excluding materials</v>
          </cell>
          <cell r="H116">
            <v>144.97750000000002</v>
          </cell>
          <cell r="I116">
            <v>144.97750000000002</v>
          </cell>
          <cell r="J116" t="str">
            <v>sqm</v>
          </cell>
          <cell r="K116">
            <v>72.249900000000011</v>
          </cell>
          <cell r="L116">
            <v>10474.609877250003</v>
          </cell>
        </row>
        <row r="117">
          <cell r="C117" t="str">
            <v>Tie Beam</v>
          </cell>
          <cell r="D117">
            <v>1</v>
          </cell>
          <cell r="E117">
            <v>53.3</v>
          </cell>
          <cell r="F117">
            <v>0.3</v>
          </cell>
          <cell r="H117">
            <v>15.989999999999998</v>
          </cell>
        </row>
        <row r="118">
          <cell r="C118" t="str">
            <v>Lintel</v>
          </cell>
        </row>
        <row r="119">
          <cell r="C119" t="str">
            <v>Door Lintels (d1)</v>
          </cell>
          <cell r="D119">
            <v>5</v>
          </cell>
          <cell r="E119">
            <v>1.28</v>
          </cell>
          <cell r="F119">
            <v>0.3</v>
          </cell>
          <cell r="H119">
            <v>1.92</v>
          </cell>
        </row>
        <row r="120">
          <cell r="C120" t="str">
            <v>Window-1</v>
          </cell>
          <cell r="D120">
            <v>3</v>
          </cell>
          <cell r="E120">
            <v>2.1</v>
          </cell>
          <cell r="F120">
            <v>0.3</v>
          </cell>
          <cell r="H120">
            <v>1.8900000000000001</v>
          </cell>
        </row>
        <row r="121">
          <cell r="C121" t="str">
            <v>Window-2</v>
          </cell>
          <cell r="D121">
            <v>5</v>
          </cell>
          <cell r="E121">
            <v>1.35</v>
          </cell>
          <cell r="F121">
            <v>0.3</v>
          </cell>
          <cell r="H121">
            <v>2.0250000000000004</v>
          </cell>
        </row>
        <row r="122">
          <cell r="C122" t="str">
            <v>Window-3</v>
          </cell>
          <cell r="D122">
            <v>2</v>
          </cell>
          <cell r="E122">
            <v>2.1</v>
          </cell>
          <cell r="F122">
            <v>0.3</v>
          </cell>
          <cell r="H122">
            <v>1.26</v>
          </cell>
        </row>
        <row r="123">
          <cell r="C123" t="str">
            <v>Window-4</v>
          </cell>
          <cell r="D123">
            <v>1</v>
          </cell>
          <cell r="E123">
            <v>1.35</v>
          </cell>
          <cell r="F123">
            <v>0.3</v>
          </cell>
          <cell r="H123">
            <v>0.40500000000000003</v>
          </cell>
        </row>
        <row r="124">
          <cell r="C124" t="str">
            <v>Beams</v>
          </cell>
        </row>
        <row r="125">
          <cell r="C125" t="str">
            <v>Long Wall-1</v>
          </cell>
          <cell r="D125">
            <v>3</v>
          </cell>
          <cell r="E125">
            <v>9.1</v>
          </cell>
          <cell r="F125">
            <v>0.45</v>
          </cell>
          <cell r="H125">
            <v>12.285</v>
          </cell>
        </row>
        <row r="126">
          <cell r="C126" t="str">
            <v>Long Wall-2</v>
          </cell>
          <cell r="D126">
            <v>1</v>
          </cell>
          <cell r="E126">
            <v>7.35</v>
          </cell>
          <cell r="F126">
            <v>0.45</v>
          </cell>
          <cell r="H126">
            <v>3.3075000000000001</v>
          </cell>
        </row>
        <row r="127">
          <cell r="C127" t="str">
            <v>Short Wall-1</v>
          </cell>
          <cell r="D127">
            <v>7</v>
          </cell>
          <cell r="E127">
            <v>2.7</v>
          </cell>
          <cell r="F127">
            <v>0.45</v>
          </cell>
          <cell r="H127">
            <v>8.5050000000000008</v>
          </cell>
        </row>
        <row r="128">
          <cell r="C128" t="str">
            <v>Short Wall-2</v>
          </cell>
          <cell r="D128">
            <v>1</v>
          </cell>
          <cell r="E128">
            <v>1.5</v>
          </cell>
          <cell r="F128">
            <v>0.45</v>
          </cell>
          <cell r="H128">
            <v>0.67500000000000004</v>
          </cell>
        </row>
        <row r="129">
          <cell r="C129" t="str">
            <v>Slab</v>
          </cell>
          <cell r="D129">
            <v>1</v>
          </cell>
          <cell r="E129">
            <v>10.3</v>
          </cell>
          <cell r="F129">
            <v>9.1</v>
          </cell>
          <cell r="H129">
            <v>93.73</v>
          </cell>
        </row>
        <row r="130">
          <cell r="C130" t="str">
            <v>Slab in Kitchen</v>
          </cell>
          <cell r="D130">
            <v>1</v>
          </cell>
          <cell r="E130">
            <v>3.375</v>
          </cell>
          <cell r="F130">
            <v>0.5</v>
          </cell>
          <cell r="H130">
            <v>1.6875</v>
          </cell>
        </row>
        <row r="131">
          <cell r="C131" t="str">
            <v>Slab in Lab</v>
          </cell>
          <cell r="D131">
            <v>1</v>
          </cell>
          <cell r="E131">
            <v>2.5950000000000002</v>
          </cell>
          <cell r="F131">
            <v>0.5</v>
          </cell>
          <cell r="H131">
            <v>1.2975000000000001</v>
          </cell>
        </row>
        <row r="132">
          <cell r="B132" t="str">
            <v>12.1.b</v>
          </cell>
          <cell r="C132" t="str">
            <v>12.5 mm plastering works in 1:3 cement sand mortar</v>
          </cell>
          <cell r="H132">
            <v>137.405</v>
          </cell>
          <cell r="I132">
            <v>137.405</v>
          </cell>
          <cell r="J132" t="str">
            <v>sqm</v>
          </cell>
          <cell r="K132">
            <v>87.804354924304675</v>
          </cell>
          <cell r="L132">
            <v>12064.757388374084</v>
          </cell>
        </row>
        <row r="133">
          <cell r="C133" t="str">
            <v>Plastering in inner wall</v>
          </cell>
        </row>
        <row r="134">
          <cell r="C134" t="str">
            <v>Room-1</v>
          </cell>
          <cell r="D134">
            <v>6</v>
          </cell>
          <cell r="E134">
            <v>2.7</v>
          </cell>
          <cell r="G134">
            <v>2.9</v>
          </cell>
          <cell r="H134">
            <v>46.980000000000004</v>
          </cell>
        </row>
        <row r="135">
          <cell r="C135" t="str">
            <v>Room-1</v>
          </cell>
          <cell r="D135">
            <v>6</v>
          </cell>
          <cell r="E135">
            <v>3</v>
          </cell>
          <cell r="G135">
            <v>2.9</v>
          </cell>
          <cell r="H135">
            <v>52.199999999999996</v>
          </cell>
        </row>
        <row r="136">
          <cell r="C136" t="str">
            <v>Room-2</v>
          </cell>
          <cell r="D136">
            <v>2</v>
          </cell>
          <cell r="E136">
            <v>2.7</v>
          </cell>
          <cell r="G136">
            <v>2.9</v>
          </cell>
          <cell r="H136">
            <v>15.66</v>
          </cell>
        </row>
        <row r="137">
          <cell r="C137" t="str">
            <v>Room-2</v>
          </cell>
          <cell r="D137">
            <v>2</v>
          </cell>
          <cell r="E137">
            <v>2.1</v>
          </cell>
          <cell r="G137">
            <v>2.9</v>
          </cell>
          <cell r="H137">
            <v>12.18</v>
          </cell>
        </row>
        <row r="138">
          <cell r="C138" t="str">
            <v>Room-3</v>
          </cell>
          <cell r="D138">
            <v>2</v>
          </cell>
          <cell r="E138">
            <v>1.5</v>
          </cell>
          <cell r="G138">
            <v>2.9</v>
          </cell>
          <cell r="H138">
            <v>8.6999999999999993</v>
          </cell>
        </row>
        <row r="139">
          <cell r="C139" t="str">
            <v>Room-3</v>
          </cell>
          <cell r="D139">
            <v>2</v>
          </cell>
          <cell r="E139">
            <v>1.9</v>
          </cell>
          <cell r="G139">
            <v>2.9</v>
          </cell>
          <cell r="H139">
            <v>11.02</v>
          </cell>
        </row>
        <row r="140">
          <cell r="C140" t="str">
            <v>Verandah pillar</v>
          </cell>
          <cell r="D140">
            <v>1</v>
          </cell>
          <cell r="E140">
            <v>0.5</v>
          </cell>
          <cell r="G140">
            <v>2.9</v>
          </cell>
          <cell r="H140">
            <v>1.45</v>
          </cell>
        </row>
        <row r="141">
          <cell r="C141" t="str">
            <v>Verandah pillar</v>
          </cell>
          <cell r="D141">
            <v>1</v>
          </cell>
          <cell r="E141">
            <v>0.25</v>
          </cell>
          <cell r="G141">
            <v>2.9</v>
          </cell>
          <cell r="H141">
            <v>0.72499999999999998</v>
          </cell>
        </row>
        <row r="142">
          <cell r="C142" t="str">
            <v>Bathroom</v>
          </cell>
          <cell r="D142">
            <v>2</v>
          </cell>
          <cell r="E142">
            <v>1.5</v>
          </cell>
          <cell r="G142">
            <v>2.9</v>
          </cell>
          <cell r="H142">
            <v>8.6999999999999993</v>
          </cell>
        </row>
        <row r="143">
          <cell r="C143" t="str">
            <v>Bathroom</v>
          </cell>
          <cell r="D143">
            <v>2</v>
          </cell>
          <cell r="E143">
            <v>1.9</v>
          </cell>
          <cell r="G143">
            <v>2.9</v>
          </cell>
          <cell r="H143">
            <v>11.02</v>
          </cell>
        </row>
        <row r="144">
          <cell r="C144" t="str">
            <v>Deductions for opening</v>
          </cell>
        </row>
        <row r="145">
          <cell r="C145" t="str">
            <v>Door-1</v>
          </cell>
          <cell r="D145">
            <v>-5</v>
          </cell>
          <cell r="E145">
            <v>0.97499999999999998</v>
          </cell>
          <cell r="G145">
            <v>2.1</v>
          </cell>
          <cell r="H145">
            <v>-10.237500000000001</v>
          </cell>
        </row>
        <row r="146">
          <cell r="C146" t="str">
            <v>Door-3</v>
          </cell>
          <cell r="D146">
            <v>-1</v>
          </cell>
          <cell r="E146">
            <v>0.82499999999999996</v>
          </cell>
          <cell r="G146">
            <v>2.1</v>
          </cell>
          <cell r="H146">
            <v>-1.7324999999999999</v>
          </cell>
        </row>
        <row r="147">
          <cell r="C147" t="str">
            <v>Window-1</v>
          </cell>
          <cell r="D147">
            <v>-3</v>
          </cell>
          <cell r="E147">
            <v>1.8</v>
          </cell>
          <cell r="G147">
            <v>1.35</v>
          </cell>
          <cell r="H147">
            <v>-7.2900000000000009</v>
          </cell>
        </row>
        <row r="148">
          <cell r="C148" t="str">
            <v>Window-2</v>
          </cell>
          <cell r="D148">
            <v>-5</v>
          </cell>
          <cell r="E148">
            <v>1.05</v>
          </cell>
          <cell r="G148">
            <v>1.35</v>
          </cell>
          <cell r="H148">
            <v>-7.0875000000000004</v>
          </cell>
        </row>
        <row r="149">
          <cell r="C149" t="str">
            <v>Window-3</v>
          </cell>
          <cell r="D149">
            <v>-2</v>
          </cell>
          <cell r="E149">
            <v>1.8</v>
          </cell>
          <cell r="G149">
            <v>1.05</v>
          </cell>
          <cell r="H149">
            <v>-3.7800000000000002</v>
          </cell>
        </row>
        <row r="150">
          <cell r="C150" t="str">
            <v>Window-4</v>
          </cell>
          <cell r="D150">
            <v>-1</v>
          </cell>
          <cell r="E150">
            <v>1.05</v>
          </cell>
          <cell r="G150">
            <v>1.05</v>
          </cell>
          <cell r="H150">
            <v>-1.1025</v>
          </cell>
        </row>
        <row r="151">
          <cell r="C151" t="str">
            <v>Plastering in outer wall</v>
          </cell>
        </row>
        <row r="152">
          <cell r="C152" t="str">
            <v>Long Wall-1</v>
          </cell>
          <cell r="D152">
            <v>2</v>
          </cell>
          <cell r="E152">
            <v>9.1</v>
          </cell>
          <cell r="G152">
            <v>3</v>
          </cell>
          <cell r="H152">
            <v>54.599999999999994</v>
          </cell>
        </row>
        <row r="153">
          <cell r="C153" t="str">
            <v>Short Wall</v>
          </cell>
          <cell r="D153">
            <v>2</v>
          </cell>
          <cell r="E153">
            <v>7.65</v>
          </cell>
          <cell r="G153">
            <v>3</v>
          </cell>
          <cell r="H153">
            <v>45.900000000000006</v>
          </cell>
        </row>
        <row r="154">
          <cell r="C154" t="str">
            <v>Parapet Wall</v>
          </cell>
          <cell r="D154">
            <v>2</v>
          </cell>
          <cell r="E154">
            <v>9.1</v>
          </cell>
          <cell r="G154">
            <v>0.9</v>
          </cell>
          <cell r="H154">
            <v>16.38</v>
          </cell>
        </row>
        <row r="155">
          <cell r="C155" t="str">
            <v>Parapet Wall-2</v>
          </cell>
          <cell r="D155">
            <v>2</v>
          </cell>
          <cell r="E155">
            <v>7.65</v>
          </cell>
          <cell r="G155">
            <v>0.9</v>
          </cell>
          <cell r="H155">
            <v>13.770000000000001</v>
          </cell>
        </row>
        <row r="156">
          <cell r="C156" t="str">
            <v>Verandah outer Wall</v>
          </cell>
          <cell r="D156">
            <v>1</v>
          </cell>
          <cell r="E156">
            <v>3.2</v>
          </cell>
          <cell r="G156">
            <v>2.9</v>
          </cell>
          <cell r="H156">
            <v>9.2799999999999994</v>
          </cell>
        </row>
        <row r="157">
          <cell r="C157" t="str">
            <v>Corrider wall</v>
          </cell>
          <cell r="D157">
            <v>2</v>
          </cell>
          <cell r="E157">
            <v>5.6</v>
          </cell>
          <cell r="G157">
            <v>2.9</v>
          </cell>
          <cell r="H157">
            <v>32.479999999999997</v>
          </cell>
        </row>
        <row r="158">
          <cell r="C158" t="str">
            <v>Staircase</v>
          </cell>
          <cell r="D158">
            <v>2</v>
          </cell>
          <cell r="E158">
            <v>1.5</v>
          </cell>
          <cell r="G158">
            <v>0.35</v>
          </cell>
          <cell r="H158">
            <v>1.0499999999999998</v>
          </cell>
        </row>
        <row r="159">
          <cell r="C159" t="str">
            <v>Staircase</v>
          </cell>
          <cell r="D159">
            <v>2</v>
          </cell>
          <cell r="E159">
            <v>0.7</v>
          </cell>
          <cell r="G159">
            <v>0.5</v>
          </cell>
          <cell r="H159">
            <v>0.7</v>
          </cell>
        </row>
        <row r="160">
          <cell r="C160" t="str">
            <v>Deduction for opening</v>
          </cell>
        </row>
        <row r="161">
          <cell r="C161" t="str">
            <v>Doors and Windows</v>
          </cell>
          <cell r="H161">
            <v>-31.23</v>
          </cell>
        </row>
        <row r="162">
          <cell r="C162" t="str">
            <v xml:space="preserve">Verandah </v>
          </cell>
          <cell r="D162">
            <v>-1</v>
          </cell>
          <cell r="E162">
            <v>4.6500000000000004</v>
          </cell>
          <cell r="G162">
            <v>2.9</v>
          </cell>
          <cell r="H162">
            <v>-13.485000000000001</v>
          </cell>
        </row>
        <row r="163">
          <cell r="C163" t="str">
            <v xml:space="preserve">Verandah </v>
          </cell>
          <cell r="D163">
            <v>-1</v>
          </cell>
          <cell r="E163">
            <v>1.75</v>
          </cell>
          <cell r="G163">
            <v>2.9</v>
          </cell>
          <cell r="H163">
            <v>-5.0750000000000002</v>
          </cell>
        </row>
        <row r="164">
          <cell r="C164" t="str">
            <v>Plastering in Ceiling of room</v>
          </cell>
          <cell r="H164">
            <v>105.66000000000001</v>
          </cell>
        </row>
        <row r="165">
          <cell r="C165" t="str">
            <v>Room1</v>
          </cell>
          <cell r="D165">
            <v>3</v>
          </cell>
          <cell r="E165">
            <v>2.7</v>
          </cell>
          <cell r="G165">
            <v>3</v>
          </cell>
          <cell r="H165">
            <v>24.300000000000004</v>
          </cell>
        </row>
        <row r="166">
          <cell r="C166" t="str">
            <v>Room2</v>
          </cell>
          <cell r="D166">
            <v>1</v>
          </cell>
          <cell r="E166">
            <v>2.7</v>
          </cell>
          <cell r="G166">
            <v>2.1</v>
          </cell>
          <cell r="H166">
            <v>5.6700000000000008</v>
          </cell>
        </row>
        <row r="167">
          <cell r="C167" t="str">
            <v>Room3</v>
          </cell>
          <cell r="D167">
            <v>1</v>
          </cell>
          <cell r="E167">
            <v>1.5</v>
          </cell>
          <cell r="G167">
            <v>1.9</v>
          </cell>
          <cell r="H167">
            <v>2.8499999999999996</v>
          </cell>
        </row>
        <row r="168">
          <cell r="C168" t="str">
            <v>Room4</v>
          </cell>
          <cell r="D168">
            <v>1</v>
          </cell>
          <cell r="E168">
            <v>2.7</v>
          </cell>
          <cell r="G168">
            <v>3.6</v>
          </cell>
          <cell r="H168">
            <v>9.7200000000000006</v>
          </cell>
        </row>
        <row r="169">
          <cell r="C169" t="str">
            <v>Corridor</v>
          </cell>
          <cell r="D169">
            <v>1</v>
          </cell>
          <cell r="E169">
            <v>5.08</v>
          </cell>
          <cell r="G169">
            <v>1.5</v>
          </cell>
          <cell r="H169">
            <v>7.62</v>
          </cell>
        </row>
        <row r="170">
          <cell r="C170" t="str">
            <v>Chajja both face</v>
          </cell>
          <cell r="D170">
            <v>4</v>
          </cell>
          <cell r="E170">
            <v>10.6</v>
          </cell>
          <cell r="G170">
            <v>0.75</v>
          </cell>
          <cell r="H170">
            <v>31.799999999999997</v>
          </cell>
        </row>
        <row r="171">
          <cell r="C171" t="str">
            <v>Chajja both face short wall</v>
          </cell>
          <cell r="D171">
            <v>4</v>
          </cell>
          <cell r="E171">
            <v>7.9</v>
          </cell>
          <cell r="G171">
            <v>0.75</v>
          </cell>
          <cell r="H171">
            <v>23.700000000000003</v>
          </cell>
        </row>
        <row r="172">
          <cell r="B172" t="str">
            <v>12.4.b</v>
          </cell>
          <cell r="C172" t="str">
            <v>20 mm plastering works in 1:4 cement sand mortar</v>
          </cell>
          <cell r="H172">
            <v>61.206975</v>
          </cell>
          <cell r="I172">
            <v>61.206975</v>
          </cell>
          <cell r="J172" t="str">
            <v>sqm</v>
          </cell>
          <cell r="K172">
            <v>113.70820818442188</v>
          </cell>
          <cell r="L172">
            <v>6959.7354556387054</v>
          </cell>
        </row>
        <row r="173">
          <cell r="C173" t="str">
            <v>Rooms</v>
          </cell>
          <cell r="H173">
            <v>51.833974999999995</v>
          </cell>
        </row>
        <row r="174">
          <cell r="C174" t="str">
            <v>Roof Slab</v>
          </cell>
          <cell r="D174">
            <v>1</v>
          </cell>
          <cell r="E174">
            <v>10.3</v>
          </cell>
          <cell r="F174">
            <v>9.1</v>
          </cell>
          <cell r="G174">
            <v>0.1</v>
          </cell>
          <cell r="H174">
            <v>9.3730000000000011</v>
          </cell>
        </row>
        <row r="175">
          <cell r="B175">
            <v>14.6</v>
          </cell>
          <cell r="C175" t="str">
            <v>Cement punning works in 1:1 cement sand mortar</v>
          </cell>
          <cell r="H175">
            <v>61.206975</v>
          </cell>
          <cell r="I175">
            <v>61.206975</v>
          </cell>
          <cell r="J175" t="str">
            <v>sqm</v>
          </cell>
          <cell r="K175">
            <v>51.400182076293753</v>
          </cell>
          <cell r="L175">
            <v>3146.0496593391599</v>
          </cell>
        </row>
        <row r="176">
          <cell r="B176" t="str">
            <v>11.6.2</v>
          </cell>
          <cell r="C176" t="str">
            <v>25 mm Kota stone flooring on 20mm thick 1:4 mortar</v>
          </cell>
          <cell r="H176">
            <v>3.5819999999999999</v>
          </cell>
          <cell r="I176">
            <v>3.5819999999999999</v>
          </cell>
          <cell r="J176" t="str">
            <v>sqm</v>
          </cell>
          <cell r="K176">
            <v>1037.278498184422</v>
          </cell>
          <cell r="L176">
            <v>3715.5315804965994</v>
          </cell>
        </row>
        <row r="177">
          <cell r="C177" t="str">
            <v>Slab in Kitchen</v>
          </cell>
          <cell r="D177">
            <v>1</v>
          </cell>
          <cell r="E177">
            <v>3.375</v>
          </cell>
          <cell r="F177">
            <v>0.6</v>
          </cell>
          <cell r="H177">
            <v>2.0249999999999999</v>
          </cell>
        </row>
        <row r="178">
          <cell r="C178" t="str">
            <v>Slab in Lab</v>
          </cell>
          <cell r="D178">
            <v>1</v>
          </cell>
          <cell r="E178">
            <v>2.5950000000000002</v>
          </cell>
          <cell r="F178">
            <v>0.6</v>
          </cell>
          <cell r="H178">
            <v>1.5570000000000002</v>
          </cell>
        </row>
        <row r="179">
          <cell r="B179">
            <v>11.7</v>
          </cell>
          <cell r="C179" t="str">
            <v>Porcelain glazed tiles overlay in 1:4 cement sand mortar</v>
          </cell>
          <cell r="H179">
            <v>12.36</v>
          </cell>
          <cell r="I179">
            <v>12.36</v>
          </cell>
          <cell r="J179" t="str">
            <v>sqm</v>
          </cell>
          <cell r="K179">
            <v>808.7618276893752</v>
          </cell>
          <cell r="L179">
            <v>9996.2961902406769</v>
          </cell>
        </row>
        <row r="180">
          <cell r="C180" t="str">
            <v>Bathroom</v>
          </cell>
        </row>
        <row r="181">
          <cell r="C181" t="str">
            <v>Floor</v>
          </cell>
          <cell r="D181">
            <v>1</v>
          </cell>
          <cell r="E181">
            <v>1.9</v>
          </cell>
          <cell r="F181">
            <v>1.5</v>
          </cell>
          <cell r="H181">
            <v>2.8499999999999996</v>
          </cell>
        </row>
        <row r="182">
          <cell r="C182" t="str">
            <v>Wall</v>
          </cell>
          <cell r="D182">
            <v>2</v>
          </cell>
          <cell r="E182">
            <v>1.9</v>
          </cell>
          <cell r="F182">
            <v>1.2</v>
          </cell>
          <cell r="H182">
            <v>4.5599999999999996</v>
          </cell>
        </row>
        <row r="183">
          <cell r="D183">
            <v>1</v>
          </cell>
          <cell r="E183">
            <v>1.5</v>
          </cell>
          <cell r="F183">
            <v>1.2</v>
          </cell>
          <cell r="H183">
            <v>1.7999999999999998</v>
          </cell>
        </row>
        <row r="184">
          <cell r="D184">
            <v>1</v>
          </cell>
          <cell r="E184">
            <v>1.5</v>
          </cell>
          <cell r="F184">
            <v>2.1</v>
          </cell>
          <cell r="H184">
            <v>3.1500000000000004</v>
          </cell>
        </row>
        <row r="185">
          <cell r="B185">
            <v>10.1</v>
          </cell>
          <cell r="C185" t="str">
            <v>Salwood frame work for door and windows</v>
          </cell>
          <cell r="H185">
            <v>0.83474999999999999</v>
          </cell>
          <cell r="I185">
            <v>0.83474999999999999</v>
          </cell>
          <cell r="J185" t="str">
            <v>cum</v>
          </cell>
          <cell r="K185">
            <v>45227.199999999997</v>
          </cell>
          <cell r="L185">
            <v>37753.405199999994</v>
          </cell>
        </row>
        <row r="186">
          <cell r="C186" t="str">
            <v xml:space="preserve">Door-1 </v>
          </cell>
          <cell r="D186">
            <v>5</v>
          </cell>
          <cell r="E186">
            <v>5.1749999999999998</v>
          </cell>
          <cell r="F186">
            <v>0.1</v>
          </cell>
          <cell r="G186">
            <v>7.4999999999999997E-2</v>
          </cell>
          <cell r="H186">
            <v>0.19406250000000003</v>
          </cell>
        </row>
        <row r="187">
          <cell r="C187" t="str">
            <v>Door-2</v>
          </cell>
          <cell r="D187">
            <v>1</v>
          </cell>
          <cell r="E187">
            <v>5.7</v>
          </cell>
          <cell r="F187">
            <v>0.1</v>
          </cell>
          <cell r="G187">
            <v>7.4999999999999997E-2</v>
          </cell>
          <cell r="H187">
            <v>4.2750000000000003E-2</v>
          </cell>
        </row>
        <row r="188">
          <cell r="C188" t="str">
            <v xml:space="preserve">Door-3 </v>
          </cell>
          <cell r="D188">
            <v>1</v>
          </cell>
          <cell r="E188">
            <v>5.0250000000000004</v>
          </cell>
          <cell r="F188">
            <v>0.1</v>
          </cell>
          <cell r="G188">
            <v>7.4999999999999997E-2</v>
          </cell>
          <cell r="H188">
            <v>3.7687500000000006E-2</v>
          </cell>
        </row>
        <row r="189">
          <cell r="C189" t="str">
            <v>Window-1</v>
          </cell>
          <cell r="D189">
            <v>3</v>
          </cell>
          <cell r="E189">
            <v>9</v>
          </cell>
          <cell r="F189">
            <v>0.1</v>
          </cell>
          <cell r="G189">
            <v>7.4999999999999997E-2</v>
          </cell>
          <cell r="H189">
            <v>0.20250000000000001</v>
          </cell>
        </row>
        <row r="190">
          <cell r="C190" t="str">
            <v>Window-2</v>
          </cell>
          <cell r="D190">
            <v>5</v>
          </cell>
          <cell r="E190">
            <v>4.8000000000000007</v>
          </cell>
          <cell r="F190">
            <v>0.1</v>
          </cell>
          <cell r="G190">
            <v>7.4999999999999997E-2</v>
          </cell>
          <cell r="H190">
            <v>0.18000000000000002</v>
          </cell>
        </row>
        <row r="191">
          <cell r="C191" t="str">
            <v>Window-3</v>
          </cell>
          <cell r="D191">
            <v>2</v>
          </cell>
          <cell r="E191">
            <v>7.8000000000000007</v>
          </cell>
          <cell r="F191">
            <v>0.1</v>
          </cell>
          <cell r="G191">
            <v>7.4999999999999997E-2</v>
          </cell>
          <cell r="H191">
            <v>0.11700000000000002</v>
          </cell>
        </row>
        <row r="192">
          <cell r="C192" t="str">
            <v>Window-4</v>
          </cell>
          <cell r="D192">
            <v>1</v>
          </cell>
          <cell r="E192">
            <v>4.2</v>
          </cell>
          <cell r="F192">
            <v>0.1</v>
          </cell>
          <cell r="G192">
            <v>7.4999999999999997E-2</v>
          </cell>
          <cell r="H192">
            <v>3.15E-2</v>
          </cell>
        </row>
        <row r="193">
          <cell r="C193" t="str">
            <v>Ventilation</v>
          </cell>
          <cell r="D193">
            <v>1</v>
          </cell>
          <cell r="E193">
            <v>3.9</v>
          </cell>
          <cell r="F193">
            <v>0.1</v>
          </cell>
          <cell r="G193">
            <v>7.4999999999999997E-2</v>
          </cell>
          <cell r="H193">
            <v>2.9249999999999998E-2</v>
          </cell>
        </row>
        <row r="194">
          <cell r="B194">
            <v>10.7</v>
          </cell>
          <cell r="C194" t="str">
            <v xml:space="preserve">Flush shutter work with 4mm plywood in both side in 38 x 75 mm salwood frame </v>
          </cell>
          <cell r="H194">
            <v>8.3531250000000004</v>
          </cell>
          <cell r="I194">
            <v>8.3531250000000004</v>
          </cell>
          <cell r="J194" t="str">
            <v>sqm</v>
          </cell>
          <cell r="K194">
            <v>1657.279822222222</v>
          </cell>
          <cell r="L194">
            <v>13843.465515</v>
          </cell>
        </row>
        <row r="195">
          <cell r="C195" t="str">
            <v>Door-1</v>
          </cell>
          <cell r="D195">
            <v>5</v>
          </cell>
          <cell r="E195">
            <v>2.0249999999999999</v>
          </cell>
          <cell r="G195">
            <v>0.82499999999999996</v>
          </cell>
          <cell r="H195">
            <v>8.3531250000000004</v>
          </cell>
        </row>
        <row r="196">
          <cell r="B196" t="str">
            <v>10.9.1</v>
          </cell>
          <cell r="C196" t="str">
            <v>Flush door work with 18 gauge Aluminium sheet on oneside and 3mm plywood on otherside in 38 x 75 mm salwood frame</v>
          </cell>
          <cell r="H196">
            <v>1.3668750000000001</v>
          </cell>
          <cell r="I196">
            <v>1.3668750000000001</v>
          </cell>
          <cell r="J196" t="str">
            <v>sqm</v>
          </cell>
          <cell r="K196">
            <v>2308.7164888888892</v>
          </cell>
          <cell r="L196">
            <v>3155.7268507500007</v>
          </cell>
        </row>
        <row r="197">
          <cell r="C197" t="str">
            <v>Door-3</v>
          </cell>
          <cell r="D197">
            <v>1</v>
          </cell>
          <cell r="E197">
            <v>2.0249999999999999</v>
          </cell>
          <cell r="G197">
            <v>0.67500000000000004</v>
          </cell>
          <cell r="H197">
            <v>1.3668750000000001</v>
          </cell>
        </row>
        <row r="198">
          <cell r="B198">
            <v>10.199999999999999</v>
          </cell>
          <cell r="C198" t="str">
            <v>Panel shutter work in 38 x 75 mm salwood frame</v>
          </cell>
          <cell r="H198">
            <v>2.7337500000000001</v>
          </cell>
          <cell r="I198">
            <v>2.7337500000000001</v>
          </cell>
          <cell r="J198" t="str">
            <v>sqm</v>
          </cell>
          <cell r="K198">
            <v>2471.0679245283022</v>
          </cell>
          <cell r="L198">
            <v>6755.2819386792462</v>
          </cell>
        </row>
        <row r="199">
          <cell r="C199" t="str">
            <v>Door-2</v>
          </cell>
          <cell r="D199">
            <v>1</v>
          </cell>
          <cell r="E199">
            <v>2.0249999999999999</v>
          </cell>
          <cell r="G199">
            <v>1.35</v>
          </cell>
          <cell r="H199">
            <v>2.7337500000000001</v>
          </cell>
        </row>
        <row r="200">
          <cell r="B200">
            <v>10.3</v>
          </cell>
          <cell r="C200" t="str">
            <v xml:space="preserve">Glazed shutter work with 4mm float glass in 38 x 75 mm salwood frame </v>
          </cell>
          <cell r="H200">
            <v>11.070000000000002</v>
          </cell>
          <cell r="I200">
            <v>11.070000000000002</v>
          </cell>
          <cell r="J200" t="str">
            <v>sqm</v>
          </cell>
          <cell r="K200">
            <v>2111.5413004484308</v>
          </cell>
          <cell r="L200">
            <v>23374.762195964133</v>
          </cell>
        </row>
        <row r="201">
          <cell r="C201" t="str">
            <v xml:space="preserve">Window-1 </v>
          </cell>
          <cell r="D201">
            <v>6</v>
          </cell>
          <cell r="E201">
            <v>0.45</v>
          </cell>
          <cell r="G201">
            <v>1.2</v>
          </cell>
          <cell r="H201">
            <v>3.24</v>
          </cell>
        </row>
        <row r="202">
          <cell r="C202" t="str">
            <v>Window-2</v>
          </cell>
          <cell r="D202">
            <v>10</v>
          </cell>
          <cell r="E202">
            <v>0.45</v>
          </cell>
          <cell r="G202">
            <v>1.2</v>
          </cell>
          <cell r="H202">
            <v>5.3999999999999995</v>
          </cell>
        </row>
        <row r="203">
          <cell r="C203" t="str">
            <v>Window-3</v>
          </cell>
          <cell r="D203">
            <v>4</v>
          </cell>
          <cell r="E203">
            <v>0.45</v>
          </cell>
          <cell r="G203">
            <v>0.9</v>
          </cell>
          <cell r="H203">
            <v>1.62</v>
          </cell>
        </row>
        <row r="204">
          <cell r="C204" t="str">
            <v>Window-4</v>
          </cell>
          <cell r="D204">
            <v>2</v>
          </cell>
          <cell r="E204">
            <v>0.45</v>
          </cell>
          <cell r="G204">
            <v>0.9</v>
          </cell>
          <cell r="H204">
            <v>0.81</v>
          </cell>
        </row>
        <row r="205">
          <cell r="B205" t="str">
            <v>10.10</v>
          </cell>
          <cell r="C205" t="str">
            <v>Meshed shutter work with 24 gauge G.I. mosquito net in 38 x 75 mm salwood frame</v>
          </cell>
          <cell r="H205">
            <v>11.070000000000002</v>
          </cell>
          <cell r="I205">
            <v>11.070000000000002</v>
          </cell>
          <cell r="J205" t="str">
            <v>sqm</v>
          </cell>
          <cell r="K205">
            <v>1437.0472577777778</v>
          </cell>
          <cell r="L205">
            <v>15908.113143600003</v>
          </cell>
        </row>
        <row r="206">
          <cell r="C206" t="str">
            <v>Window-1</v>
          </cell>
          <cell r="D206">
            <v>6</v>
          </cell>
          <cell r="E206">
            <v>0.45</v>
          </cell>
          <cell r="G206">
            <v>1.2</v>
          </cell>
          <cell r="H206">
            <v>3.24</v>
          </cell>
        </row>
        <row r="207">
          <cell r="C207" t="str">
            <v>Window-2</v>
          </cell>
          <cell r="D207">
            <v>10</v>
          </cell>
          <cell r="E207">
            <v>0.45</v>
          </cell>
          <cell r="G207">
            <v>1.2</v>
          </cell>
          <cell r="H207">
            <v>5.3999999999999995</v>
          </cell>
        </row>
        <row r="208">
          <cell r="C208" t="str">
            <v>Window-3</v>
          </cell>
          <cell r="D208">
            <v>4</v>
          </cell>
          <cell r="E208">
            <v>0.45</v>
          </cell>
          <cell r="G208">
            <v>0.9</v>
          </cell>
          <cell r="H208">
            <v>1.62</v>
          </cell>
        </row>
        <row r="209">
          <cell r="C209" t="str">
            <v>Window-4</v>
          </cell>
          <cell r="D209">
            <v>2</v>
          </cell>
          <cell r="E209">
            <v>0.45</v>
          </cell>
          <cell r="G209">
            <v>0.9</v>
          </cell>
          <cell r="H209">
            <v>0.81</v>
          </cell>
        </row>
        <row r="210">
          <cell r="B210">
            <v>10.11</v>
          </cell>
          <cell r="C210" t="str">
            <v>Installation of 4mm Float glass in Salwood frame with Salwood bead for closed window</v>
          </cell>
          <cell r="H210">
            <v>3.6044999999999998</v>
          </cell>
          <cell r="I210">
            <v>3.6044999999999998</v>
          </cell>
          <cell r="J210" t="str">
            <v>sqm</v>
          </cell>
          <cell r="K210">
            <v>895.67637511617102</v>
          </cell>
          <cell r="L210">
            <v>3228.4654941062381</v>
          </cell>
        </row>
        <row r="211">
          <cell r="C211" t="str">
            <v xml:space="preserve">Window-1 </v>
          </cell>
          <cell r="D211">
            <v>3</v>
          </cell>
          <cell r="E211">
            <v>0.6</v>
          </cell>
          <cell r="G211">
            <v>1.2</v>
          </cell>
          <cell r="H211">
            <v>2.1599999999999997</v>
          </cell>
        </row>
        <row r="212">
          <cell r="C212" t="str">
            <v>Window-3</v>
          </cell>
          <cell r="D212">
            <v>2</v>
          </cell>
          <cell r="E212">
            <v>0.6</v>
          </cell>
          <cell r="G212">
            <v>0.9</v>
          </cell>
          <cell r="H212">
            <v>1.08</v>
          </cell>
        </row>
        <row r="213">
          <cell r="C213" t="str">
            <v>Ventillation</v>
          </cell>
          <cell r="D213">
            <v>1</v>
          </cell>
          <cell r="E213">
            <v>1.35</v>
          </cell>
          <cell r="G213">
            <v>0.27</v>
          </cell>
          <cell r="H213">
            <v>0.36450000000000005</v>
          </cell>
        </row>
        <row r="214">
          <cell r="B214" t="str">
            <v>M-3</v>
          </cell>
          <cell r="C214" t="str">
            <v>Fabrication of MS Grill for Windows</v>
          </cell>
          <cell r="H214">
            <v>14.674500000000002</v>
          </cell>
          <cell r="I214">
            <v>264.14100000000002</v>
          </cell>
          <cell r="J214" t="str">
            <v>Kg.</v>
          </cell>
          <cell r="K214">
            <v>74.75</v>
          </cell>
          <cell r="L214">
            <v>19744.53975</v>
          </cell>
        </row>
        <row r="215">
          <cell r="C215" t="str">
            <v>Window-1</v>
          </cell>
          <cell r="D215">
            <v>6</v>
          </cell>
          <cell r="E215">
            <v>0.45</v>
          </cell>
          <cell r="G215">
            <v>1.2</v>
          </cell>
          <cell r="H215">
            <v>3.24</v>
          </cell>
        </row>
        <row r="216">
          <cell r="D216">
            <v>3</v>
          </cell>
          <cell r="E216">
            <v>0.6</v>
          </cell>
          <cell r="G216">
            <v>1.2</v>
          </cell>
          <cell r="H216">
            <v>2.1599999999999997</v>
          </cell>
        </row>
        <row r="217">
          <cell r="C217" t="str">
            <v>Window-2</v>
          </cell>
          <cell r="D217">
            <v>10</v>
          </cell>
          <cell r="E217">
            <v>0.45</v>
          </cell>
          <cell r="G217">
            <v>1.2</v>
          </cell>
          <cell r="H217">
            <v>5.3999999999999995</v>
          </cell>
        </row>
        <row r="218">
          <cell r="C218" t="str">
            <v>Window-3</v>
          </cell>
          <cell r="D218">
            <v>4</v>
          </cell>
          <cell r="E218">
            <v>0.45</v>
          </cell>
          <cell r="G218">
            <v>0.9</v>
          </cell>
          <cell r="H218">
            <v>1.62</v>
          </cell>
        </row>
        <row r="219">
          <cell r="D219">
            <v>2</v>
          </cell>
          <cell r="E219">
            <v>0.6</v>
          </cell>
          <cell r="G219">
            <v>0.9</v>
          </cell>
          <cell r="H219">
            <v>1.08</v>
          </cell>
        </row>
        <row r="220">
          <cell r="C220" t="str">
            <v>Window-4</v>
          </cell>
          <cell r="D220">
            <v>2</v>
          </cell>
          <cell r="E220">
            <v>0.45</v>
          </cell>
          <cell r="G220">
            <v>0.9</v>
          </cell>
          <cell r="H220">
            <v>0.81</v>
          </cell>
        </row>
        <row r="221">
          <cell r="C221" t="str">
            <v>Ventillation</v>
          </cell>
          <cell r="D221">
            <v>1</v>
          </cell>
          <cell r="E221">
            <v>1.35</v>
          </cell>
          <cell r="G221">
            <v>0.27</v>
          </cell>
          <cell r="H221">
            <v>0.36450000000000005</v>
          </cell>
        </row>
        <row r="222">
          <cell r="B222" t="str">
            <v>13.3.c</v>
          </cell>
          <cell r="C222" t="str">
            <v>Laying base course and two coats of distemper paint</v>
          </cell>
          <cell r="H222">
            <v>151.005</v>
          </cell>
          <cell r="I222">
            <v>151.005</v>
          </cell>
          <cell r="J222" t="str">
            <v>sqm</v>
          </cell>
          <cell r="K222">
            <v>28.9846</v>
          </cell>
          <cell r="L222">
            <v>4376.8195230000001</v>
          </cell>
        </row>
        <row r="223">
          <cell r="C223" t="str">
            <v>Same as wall and ceiling plaster (internal)</v>
          </cell>
          <cell r="H223">
            <v>151.005</v>
          </cell>
        </row>
        <row r="224">
          <cell r="B224" t="str">
            <v>13.4.b</v>
          </cell>
          <cell r="C224" t="str">
            <v>Laying two coat of water proof cement paint</v>
          </cell>
          <cell r="H224">
            <v>124.36999999999999</v>
          </cell>
          <cell r="I224">
            <v>124.36999999999999</v>
          </cell>
          <cell r="J224" t="str">
            <v>sqm</v>
          </cell>
          <cell r="K224">
            <v>56.919250000000005</v>
          </cell>
          <cell r="L224">
            <v>7079.0471225000001</v>
          </cell>
        </row>
        <row r="225">
          <cell r="C225" t="str">
            <v>Same as wall and ceiling plaster (external)</v>
          </cell>
          <cell r="H225">
            <v>124.36999999999999</v>
          </cell>
        </row>
        <row r="226">
          <cell r="B226" t="str">
            <v>13.5.c</v>
          </cell>
          <cell r="C226" t="str">
            <v>Laying primer course and two coats of enamel paint</v>
          </cell>
          <cell r="H226">
            <v>35.010000000000005</v>
          </cell>
          <cell r="I226">
            <v>35.010000000000005</v>
          </cell>
          <cell r="J226" t="str">
            <v>sqm</v>
          </cell>
          <cell r="K226">
            <v>105.57</v>
          </cell>
          <cell r="L226">
            <v>3696.0057000000002</v>
          </cell>
        </row>
        <row r="227">
          <cell r="C227" t="str">
            <v xml:space="preserve">Door-1 </v>
          </cell>
          <cell r="D227">
            <v>5</v>
          </cell>
          <cell r="E227">
            <v>0.97499999999999998</v>
          </cell>
          <cell r="G227">
            <v>2.1</v>
          </cell>
          <cell r="H227">
            <v>10.237499999999999</v>
          </cell>
        </row>
        <row r="228">
          <cell r="C228" t="str">
            <v>Door-2</v>
          </cell>
          <cell r="D228">
            <v>1</v>
          </cell>
          <cell r="E228">
            <v>1.5</v>
          </cell>
          <cell r="G228">
            <v>2.1</v>
          </cell>
          <cell r="H228">
            <v>3.1500000000000004</v>
          </cell>
        </row>
        <row r="229">
          <cell r="C229" t="str">
            <v xml:space="preserve">Door-3 </v>
          </cell>
          <cell r="D229">
            <v>1</v>
          </cell>
          <cell r="E229">
            <v>0.82499999999999996</v>
          </cell>
          <cell r="G229">
            <v>2.1</v>
          </cell>
          <cell r="H229">
            <v>1.7324999999999999</v>
          </cell>
        </row>
        <row r="230">
          <cell r="C230" t="str">
            <v>Window-1</v>
          </cell>
          <cell r="D230">
            <v>3</v>
          </cell>
          <cell r="E230">
            <v>1.8</v>
          </cell>
          <cell r="G230">
            <v>1.35</v>
          </cell>
          <cell r="H230">
            <v>7.2900000000000009</v>
          </cell>
        </row>
        <row r="231">
          <cell r="C231" t="str">
            <v>Window-2</v>
          </cell>
          <cell r="D231">
            <v>5</v>
          </cell>
          <cell r="E231">
            <v>1.05</v>
          </cell>
          <cell r="G231">
            <v>1.35</v>
          </cell>
          <cell r="H231">
            <v>7.0875000000000012</v>
          </cell>
        </row>
        <row r="232">
          <cell r="C232" t="str">
            <v>Window-3</v>
          </cell>
          <cell r="D232">
            <v>2</v>
          </cell>
          <cell r="E232">
            <v>1.8</v>
          </cell>
          <cell r="G232">
            <v>1.05</v>
          </cell>
          <cell r="H232">
            <v>3.7800000000000002</v>
          </cell>
        </row>
        <row r="233">
          <cell r="C233" t="str">
            <v>Window-4</v>
          </cell>
          <cell r="D233">
            <v>1</v>
          </cell>
          <cell r="E233">
            <v>1.05</v>
          </cell>
          <cell r="G233">
            <v>1.05</v>
          </cell>
          <cell r="H233">
            <v>1.1025</v>
          </cell>
        </row>
        <row r="234">
          <cell r="C234" t="str">
            <v>Ventillation</v>
          </cell>
          <cell r="D234">
            <v>1</v>
          </cell>
          <cell r="E234">
            <v>1.5</v>
          </cell>
          <cell r="G234">
            <v>0.42</v>
          </cell>
          <cell r="H234">
            <v>0.63</v>
          </cell>
        </row>
        <row r="235">
          <cell r="B235" t="str">
            <v>Sanitary Work</v>
          </cell>
        </row>
        <row r="236">
          <cell r="B236" t="str">
            <v>17.4.a.1.1.a</v>
          </cell>
          <cell r="C236" t="str">
            <v>13mm dia. GI pipe laying works (with pipe)</v>
          </cell>
          <cell r="D236">
            <v>1</v>
          </cell>
          <cell r="E236">
            <v>15</v>
          </cell>
          <cell r="H236">
            <v>15</v>
          </cell>
          <cell r="I236">
            <v>15</v>
          </cell>
          <cell r="J236" t="str">
            <v>m</v>
          </cell>
          <cell r="K236">
            <v>77.665872533333342</v>
          </cell>
          <cell r="L236">
            <v>1164.9880880000001</v>
          </cell>
        </row>
        <row r="237">
          <cell r="B237" t="str">
            <v>17.4.a.1.2.a</v>
          </cell>
          <cell r="C237" t="str">
            <v>20mm dia. GI pipe laying works (with Pipe)</v>
          </cell>
          <cell r="D237">
            <v>1</v>
          </cell>
          <cell r="E237">
            <v>6</v>
          </cell>
          <cell r="H237">
            <v>6</v>
          </cell>
          <cell r="I237">
            <v>6</v>
          </cell>
          <cell r="J237" t="str">
            <v>m</v>
          </cell>
          <cell r="K237">
            <v>98.22596492866667</v>
          </cell>
          <cell r="L237">
            <v>589.35578957200005</v>
          </cell>
        </row>
        <row r="238">
          <cell r="B238" t="str">
            <v>M-7</v>
          </cell>
          <cell r="C238" t="str">
            <v>20mm Gate Valve with fitting</v>
          </cell>
          <cell r="D238">
            <v>1</v>
          </cell>
          <cell r="H238">
            <v>1</v>
          </cell>
          <cell r="I238">
            <v>1</v>
          </cell>
          <cell r="J238" t="str">
            <v>no</v>
          </cell>
          <cell r="K238">
            <v>250</v>
          </cell>
          <cell r="L238">
            <v>250</v>
          </cell>
        </row>
        <row r="239">
          <cell r="B239" t="str">
            <v>M-8</v>
          </cell>
          <cell r="C239" t="str">
            <v>Chrome Plate (CP) 15mm taps</v>
          </cell>
          <cell r="D239">
            <v>4</v>
          </cell>
          <cell r="H239">
            <v>2</v>
          </cell>
          <cell r="I239">
            <v>2</v>
          </cell>
          <cell r="J239" t="str">
            <v>no</v>
          </cell>
          <cell r="K239">
            <v>250</v>
          </cell>
          <cell r="L239">
            <v>500</v>
          </cell>
        </row>
        <row r="240">
          <cell r="B240" t="str">
            <v>M-9</v>
          </cell>
          <cell r="C240" t="str">
            <v>Glazed Indian Type WC Set</v>
          </cell>
          <cell r="D240">
            <v>1</v>
          </cell>
          <cell r="H240">
            <v>2</v>
          </cell>
          <cell r="I240">
            <v>2</v>
          </cell>
          <cell r="J240" t="str">
            <v>no</v>
          </cell>
          <cell r="K240">
            <v>750</v>
          </cell>
          <cell r="L240">
            <v>1500</v>
          </cell>
        </row>
        <row r="241">
          <cell r="B241" t="str">
            <v>M-12</v>
          </cell>
          <cell r="C241" t="str">
            <v>PVC Pipe 100mm</v>
          </cell>
          <cell r="D241">
            <v>1</v>
          </cell>
          <cell r="E241">
            <v>3</v>
          </cell>
          <cell r="H241">
            <v>3</v>
          </cell>
          <cell r="I241">
            <v>3</v>
          </cell>
          <cell r="J241" t="str">
            <v>Rm</v>
          </cell>
          <cell r="K241">
            <v>100</v>
          </cell>
          <cell r="L241">
            <v>300</v>
          </cell>
        </row>
        <row r="242">
          <cell r="B242" t="str">
            <v>M-13</v>
          </cell>
          <cell r="C242" t="str">
            <v>PVC Pipe 75mm</v>
          </cell>
          <cell r="D242">
            <v>4</v>
          </cell>
          <cell r="E242">
            <v>4.5</v>
          </cell>
          <cell r="H242">
            <v>18</v>
          </cell>
          <cell r="I242">
            <v>18</v>
          </cell>
          <cell r="J242" t="str">
            <v>Rm</v>
          </cell>
          <cell r="K242">
            <v>75</v>
          </cell>
          <cell r="L242">
            <v>1350</v>
          </cell>
        </row>
        <row r="243">
          <cell r="B243" t="str">
            <v>M-14</v>
          </cell>
          <cell r="C243" t="str">
            <v>PVC Pipe 50mm</v>
          </cell>
          <cell r="D243">
            <v>1</v>
          </cell>
          <cell r="E243">
            <v>5</v>
          </cell>
          <cell r="H243">
            <v>5</v>
          </cell>
          <cell r="I243">
            <v>5</v>
          </cell>
          <cell r="J243" t="str">
            <v>Rm</v>
          </cell>
          <cell r="K243">
            <v>50</v>
          </cell>
          <cell r="L243">
            <v>250</v>
          </cell>
        </row>
        <row r="244">
          <cell r="B244" t="str">
            <v>M-18</v>
          </cell>
          <cell r="C244" t="str">
            <v>Stainless Steel Sink</v>
          </cell>
          <cell r="D244">
            <v>2</v>
          </cell>
          <cell r="H244">
            <v>2</v>
          </cell>
          <cell r="I244">
            <v>2</v>
          </cell>
          <cell r="J244" t="str">
            <v>no</v>
          </cell>
          <cell r="K244">
            <v>969.45</v>
          </cell>
          <cell r="L244">
            <v>1938.9</v>
          </cell>
        </row>
        <row r="266">
          <cell r="B266" t="str">
            <v>E-1</v>
          </cell>
          <cell r="C266" t="str">
            <v>Supply, installation and commissioning  of Main Distribution Board(MDB) wall mounting concealed type, dust and vermin proofmade of 16 SWG mildsteel sheet cubical with double covercovering the MCB with the locking arrangement as perdrawing and specificatio</v>
          </cell>
          <cell r="I266">
            <v>1</v>
          </cell>
          <cell r="J266" t="str">
            <v>set</v>
          </cell>
          <cell r="K266">
            <v>3936</v>
          </cell>
          <cell r="L266">
            <v>3936</v>
          </cell>
        </row>
        <row r="267">
          <cell r="C267" t="str">
            <v>Main Distribution Board</v>
          </cell>
        </row>
        <row r="268">
          <cell r="C268" t="str">
            <v>1 no of 20 amp SP  MCB  Havells/ Siemens of equivalent</v>
          </cell>
        </row>
        <row r="269">
          <cell r="C269" t="str">
            <v>1set of 30 A amp bus bars</v>
          </cell>
        </row>
        <row r="270">
          <cell r="C270" t="str">
            <v>1 no of earth bus bar</v>
          </cell>
        </row>
        <row r="271">
          <cell r="C271" t="str">
            <v xml:space="preserve">2 nos. of 16 amp SP MCB (4.5 kA)   Havells\Siemens or equivalent  </v>
          </cell>
        </row>
        <row r="272">
          <cell r="C272" t="str">
            <v>4 nos. of  10 amp SP MCB (4.5 kA)   Havells\Siemens or equivalent</v>
          </cell>
        </row>
        <row r="273">
          <cell r="B273" t="str">
            <v>E-2</v>
          </cell>
          <cell r="C273" t="str">
            <v>Supply and installation of light point wiring from DB tovarious points with2 nos of 3/22 PVC insulated copper wirethrough 20 mm internal dia HDPEconduit concealed via junction box as per drawing and specificationincluding the cost of switch and metal box</v>
          </cell>
          <cell r="I273">
            <v>17</v>
          </cell>
          <cell r="J273" t="str">
            <v>pt</v>
          </cell>
          <cell r="K273">
            <v>426</v>
          </cell>
          <cell r="L273">
            <v>7242</v>
          </cell>
        </row>
        <row r="274">
          <cell r="B274" t="str">
            <v>E-3</v>
          </cell>
          <cell r="C274" t="str">
            <v>Supply and installation of  3 pin (15 A) socket point wiringwith2 nos of7/22 + 1no of 1/18 pvc insulated copper wiresthrough 20 mm internal diaHDPE conduit concealed from SDB to various points as per drawing andspecification including the cost of Switch s</v>
          </cell>
          <cell r="I274">
            <v>7</v>
          </cell>
          <cell r="J274" t="str">
            <v>pt</v>
          </cell>
          <cell r="K274">
            <v>610</v>
          </cell>
          <cell r="L274">
            <v>4270</v>
          </cell>
        </row>
        <row r="275">
          <cell r="B275">
            <v>4</v>
          </cell>
          <cell r="C275" t="str">
            <v>Supply and installation of  2 pin ( 5 A)socket point wiring with2 nos of3/20 pvc insulated copper wires through 20 mminternal dia HDPE conduitconcealed from SDB to variouspoints as per drawing and specification including the cost of Switch socket and meta</v>
          </cell>
          <cell r="I275">
            <v>2</v>
          </cell>
          <cell r="J275" t="str">
            <v>pt</v>
          </cell>
          <cell r="K275">
            <v>476</v>
          </cell>
          <cell r="L275">
            <v>952</v>
          </cell>
        </row>
        <row r="276">
          <cell r="B276" t="str">
            <v>E-4</v>
          </cell>
          <cell r="C276" t="str">
            <v>Supply and installation of 9'' sweep  exhaust fan as per drawing andspecification including GI sheet boxing.</v>
          </cell>
          <cell r="I276">
            <v>2</v>
          </cell>
          <cell r="J276" t="str">
            <v>set</v>
          </cell>
          <cell r="K276">
            <v>2447</v>
          </cell>
          <cell r="L276">
            <v>4894</v>
          </cell>
        </row>
        <row r="277">
          <cell r="B277" t="str">
            <v>E-5</v>
          </cell>
          <cell r="C277" t="str">
            <v>Supply and installation of 42'' sweep  ceiling fan as per drawing andspecification including GI sheet boxing.</v>
          </cell>
          <cell r="I277">
            <v>2</v>
          </cell>
          <cell r="J277" t="str">
            <v>set</v>
          </cell>
          <cell r="K277">
            <v>2447</v>
          </cell>
          <cell r="L277">
            <v>4894</v>
          </cell>
        </row>
        <row r="278">
          <cell r="B278" t="str">
            <v>E-6</v>
          </cell>
          <cell r="C278" t="str">
            <v>Supply and installation of earth electrode made of 30cm x 30cm x 3mmcopper plate including 8 SWG bare copper wireconnection to DB's.</v>
          </cell>
          <cell r="I278">
            <v>1</v>
          </cell>
          <cell r="J278" t="str">
            <v>set</v>
          </cell>
          <cell r="K278">
            <v>6758</v>
          </cell>
          <cell r="L278">
            <v>6758</v>
          </cell>
        </row>
        <row r="279">
          <cell r="B279" t="str">
            <v>E-7</v>
          </cell>
          <cell r="C279" t="str">
            <v>Chieseling, laying conduits cables the main line distribution from MDB toFloor DB,s with 2 x 7/16 size cable in 20 mm HDPE consduit.</v>
          </cell>
          <cell r="I279">
            <v>7</v>
          </cell>
          <cell r="J279" t="str">
            <v>job</v>
          </cell>
          <cell r="K279">
            <v>149</v>
          </cell>
          <cell r="L279">
            <v>1043</v>
          </cell>
        </row>
        <row r="282">
          <cell r="B282" t="str">
            <v>F-1</v>
          </cell>
          <cell r="C282" t="str">
            <v>Made of 25x38mm MS angle and 3x18mm MS Strip with metal polish all complete</v>
          </cell>
          <cell r="D282">
            <v>1</v>
          </cell>
          <cell r="E282">
            <v>1800</v>
          </cell>
          <cell r="F282">
            <v>375</v>
          </cell>
          <cell r="G282">
            <v>2025</v>
          </cell>
          <cell r="I282">
            <v>1</v>
          </cell>
          <cell r="J282" t="str">
            <v>no</v>
          </cell>
          <cell r="K282">
            <v>3000</v>
          </cell>
          <cell r="L282">
            <v>3000</v>
          </cell>
        </row>
        <row r="283">
          <cell r="B283" t="str">
            <v>F-2</v>
          </cell>
          <cell r="C283" t="str">
            <v>Made of 25x38mm MS angle and 3x18mm MS Strip with metal polish all complete</v>
          </cell>
          <cell r="D283">
            <v>3</v>
          </cell>
          <cell r="E283">
            <v>1200</v>
          </cell>
          <cell r="F283">
            <v>375</v>
          </cell>
          <cell r="G283">
            <v>2025</v>
          </cell>
          <cell r="I283">
            <v>3</v>
          </cell>
          <cell r="J283" t="str">
            <v>no</v>
          </cell>
          <cell r="K283">
            <v>3000</v>
          </cell>
          <cell r="L283">
            <v>9000</v>
          </cell>
        </row>
        <row r="284">
          <cell r="B284" t="str">
            <v>F-3</v>
          </cell>
          <cell r="C284" t="str">
            <v>Made of sisam wood of 25x38mm section, dunlop at seat and back rest with rexin cover, having hand rest, 3 coats chapra polish all complete</v>
          </cell>
          <cell r="D284">
            <v>2</v>
          </cell>
          <cell r="E284">
            <v>525</v>
          </cell>
          <cell r="F284">
            <v>475</v>
          </cell>
          <cell r="I284">
            <v>2</v>
          </cell>
          <cell r="J284" t="str">
            <v>no</v>
          </cell>
          <cell r="K284">
            <v>1800</v>
          </cell>
          <cell r="L284">
            <v>3600</v>
          </cell>
        </row>
        <row r="285">
          <cell r="B285" t="str">
            <v>F-4</v>
          </cell>
          <cell r="C285" t="str">
            <v>MS cupboard made of 20 gauge MS Sheet for Clothes Store : Godrej or Equivalent</v>
          </cell>
          <cell r="D285">
            <v>1</v>
          </cell>
          <cell r="E285">
            <v>525</v>
          </cell>
          <cell r="F285">
            <v>900</v>
          </cell>
          <cell r="G285">
            <v>2025</v>
          </cell>
          <cell r="I285">
            <v>1</v>
          </cell>
          <cell r="J285" t="str">
            <v>no</v>
          </cell>
          <cell r="K285">
            <v>9000</v>
          </cell>
          <cell r="L285">
            <v>9000</v>
          </cell>
        </row>
        <row r="286">
          <cell r="B286" t="str">
            <v>F-5</v>
          </cell>
          <cell r="C286" t="str">
            <v>Single Bed made of 50x75 salwood section</v>
          </cell>
          <cell r="D286">
            <v>4</v>
          </cell>
          <cell r="E286">
            <v>375</v>
          </cell>
          <cell r="F286">
            <v>375</v>
          </cell>
          <cell r="G286">
            <v>600</v>
          </cell>
          <cell r="I286">
            <v>4</v>
          </cell>
          <cell r="J286" t="str">
            <v>no</v>
          </cell>
          <cell r="K286">
            <v>4500</v>
          </cell>
          <cell r="L286">
            <v>18000</v>
          </cell>
        </row>
        <row r="344">
          <cell r="B344">
            <v>2.14</v>
          </cell>
          <cell r="C344" t="str">
            <v>E/W Excavation for foundation, drain, pipelines etc. in BM Soil</v>
          </cell>
          <cell r="D344">
            <v>1</v>
          </cell>
          <cell r="E344">
            <v>3.1</v>
          </cell>
          <cell r="F344">
            <v>1.9</v>
          </cell>
          <cell r="G344">
            <v>1.5</v>
          </cell>
          <cell r="H344">
            <v>8.8349999999999991</v>
          </cell>
          <cell r="I344">
            <v>8.8349999999999991</v>
          </cell>
          <cell r="J344" t="str">
            <v>cum</v>
          </cell>
          <cell r="K344">
            <v>150.66839999999999</v>
          </cell>
          <cell r="L344">
            <v>1331.1553139999999</v>
          </cell>
        </row>
        <row r="345">
          <cell r="B345" t="str">
            <v>11.15.b</v>
          </cell>
          <cell r="C345" t="str">
            <v xml:space="preserve">Brick soling on edge with sand </v>
          </cell>
          <cell r="D345">
            <v>1</v>
          </cell>
          <cell r="E345">
            <v>3</v>
          </cell>
          <cell r="F345">
            <v>1.8</v>
          </cell>
          <cell r="H345">
            <v>5.4</v>
          </cell>
          <cell r="I345">
            <v>5.4</v>
          </cell>
          <cell r="J345" t="str">
            <v>sqm</v>
          </cell>
          <cell r="K345">
            <v>343.27430057539067</v>
          </cell>
          <cell r="L345">
            <v>1853.6812231071096</v>
          </cell>
        </row>
        <row r="346">
          <cell r="B346" t="str">
            <v>5.1.b.3</v>
          </cell>
          <cell r="C346" t="str">
            <v xml:space="preserve">Local first class brick masonry works in 1:6 cement sand mortar </v>
          </cell>
          <cell r="H346">
            <v>3.0204374999999999</v>
          </cell>
          <cell r="I346">
            <v>3.0204374999999999</v>
          </cell>
          <cell r="J346" t="str">
            <v>cum</v>
          </cell>
          <cell r="K346">
            <v>3238.8808289078133</v>
          </cell>
          <cell r="L346">
            <v>9782.8371136642436</v>
          </cell>
        </row>
        <row r="347">
          <cell r="C347" t="str">
            <v>Outer Wall</v>
          </cell>
          <cell r="D347">
            <v>2</v>
          </cell>
          <cell r="E347">
            <v>3</v>
          </cell>
          <cell r="F347">
            <v>1.335</v>
          </cell>
          <cell r="G347">
            <v>0.25</v>
          </cell>
          <cell r="H347">
            <v>2.0024999999999999</v>
          </cell>
        </row>
        <row r="348">
          <cell r="D348">
            <v>2</v>
          </cell>
          <cell r="E348">
            <v>1.3</v>
          </cell>
          <cell r="F348">
            <v>1.335</v>
          </cell>
          <cell r="G348">
            <v>0.25</v>
          </cell>
          <cell r="H348">
            <v>0.86775000000000002</v>
          </cell>
        </row>
        <row r="349">
          <cell r="C349" t="str">
            <v>Partition Wall</v>
          </cell>
          <cell r="D349">
            <v>1</v>
          </cell>
          <cell r="E349">
            <v>0.9</v>
          </cell>
          <cell r="F349">
            <v>1.335</v>
          </cell>
          <cell r="G349">
            <v>0.125</v>
          </cell>
          <cell r="H349">
            <v>0.1501875</v>
          </cell>
        </row>
        <row r="350">
          <cell r="B350" t="str">
            <v>7.4.b</v>
          </cell>
          <cell r="C350" t="str">
            <v xml:space="preserve">P.C.C. for R.C.C. for super structures in M20 </v>
          </cell>
          <cell r="H350">
            <v>1.08</v>
          </cell>
          <cell r="I350">
            <v>1.08</v>
          </cell>
          <cell r="J350" t="str">
            <v>cum</v>
          </cell>
          <cell r="K350">
            <v>6154.8131365578129</v>
          </cell>
          <cell r="L350">
            <v>6647.1981874824387</v>
          </cell>
        </row>
        <row r="351">
          <cell r="C351" t="str">
            <v>Base of Septic Tank</v>
          </cell>
          <cell r="D351">
            <v>1</v>
          </cell>
          <cell r="E351">
            <v>3</v>
          </cell>
          <cell r="F351">
            <v>1.8</v>
          </cell>
          <cell r="G351">
            <v>0.1</v>
          </cell>
          <cell r="H351">
            <v>0.54</v>
          </cell>
        </row>
        <row r="352">
          <cell r="C352" t="str">
            <v>Septic Tank Cover</v>
          </cell>
          <cell r="D352">
            <v>1</v>
          </cell>
          <cell r="E352">
            <v>3</v>
          </cell>
          <cell r="F352">
            <v>1.8</v>
          </cell>
          <cell r="G352">
            <v>0.1</v>
          </cell>
          <cell r="H352">
            <v>0.54</v>
          </cell>
        </row>
        <row r="353">
          <cell r="B353" t="str">
            <v>7.5</v>
          </cell>
          <cell r="C353" t="str">
            <v>Reinforcement work for R.C.C. work</v>
          </cell>
          <cell r="I353">
            <v>0.10800000000000001</v>
          </cell>
          <cell r="J353" t="str">
            <v>mt</v>
          </cell>
          <cell r="K353">
            <v>39248.537514867188</v>
          </cell>
          <cell r="L353">
            <v>4238.8420516056567</v>
          </cell>
        </row>
        <row r="354">
          <cell r="B354" t="str">
            <v>8.1.a</v>
          </cell>
          <cell r="C354" t="str">
            <v>Simple standard formwork of size &lt;1 sqm excluding materials</v>
          </cell>
          <cell r="H354">
            <v>5.4</v>
          </cell>
          <cell r="I354">
            <v>5.4</v>
          </cell>
          <cell r="J354" t="str">
            <v>sqm</v>
          </cell>
          <cell r="K354">
            <v>72.249900000000011</v>
          </cell>
          <cell r="L354">
            <v>390.14946000000009</v>
          </cell>
        </row>
        <row r="355">
          <cell r="C355" t="str">
            <v>Septic Tank Cover</v>
          </cell>
          <cell r="D355">
            <v>1</v>
          </cell>
          <cell r="E355">
            <v>3</v>
          </cell>
          <cell r="F355">
            <v>1.8</v>
          </cell>
          <cell r="H355">
            <v>5.4</v>
          </cell>
        </row>
        <row r="356">
          <cell r="B356" t="str">
            <v>12.1.c</v>
          </cell>
          <cell r="C356" t="str">
            <v>12.5 mm plastering works in 1:4 cement sand mortar</v>
          </cell>
          <cell r="H356">
            <v>12.426000000000002</v>
          </cell>
          <cell r="I356">
            <v>12.426000000000002</v>
          </cell>
          <cell r="J356" t="str">
            <v>sqm</v>
          </cell>
          <cell r="K356">
            <v>83.687917974834363</v>
          </cell>
          <cell r="L356">
            <v>1039.9060687552919</v>
          </cell>
        </row>
        <row r="357">
          <cell r="C357" t="str">
            <v>Inside Outer Wall</v>
          </cell>
          <cell r="D357">
            <v>2</v>
          </cell>
          <cell r="E357">
            <v>2.5</v>
          </cell>
          <cell r="F357">
            <v>1.635</v>
          </cell>
          <cell r="H357">
            <v>8.1750000000000007</v>
          </cell>
        </row>
        <row r="358">
          <cell r="D358">
            <v>2</v>
          </cell>
          <cell r="E358">
            <v>1.3</v>
          </cell>
          <cell r="F358">
            <v>1.635</v>
          </cell>
          <cell r="H358">
            <v>4.2510000000000003</v>
          </cell>
        </row>
        <row r="359">
          <cell r="B359" t="str">
            <v>12.4.b</v>
          </cell>
          <cell r="C359" t="str">
            <v>20 mm plastering works in 1:4 cement sand mortar</v>
          </cell>
          <cell r="H359">
            <v>3.25</v>
          </cell>
          <cell r="I359">
            <v>3.25</v>
          </cell>
          <cell r="J359" t="str">
            <v>sqm</v>
          </cell>
          <cell r="K359">
            <v>113.70820818442188</v>
          </cell>
          <cell r="L359">
            <v>369.55167659937109</v>
          </cell>
        </row>
        <row r="360">
          <cell r="C360" t="str">
            <v>Base of Septic Tank</v>
          </cell>
          <cell r="D360">
            <v>1</v>
          </cell>
          <cell r="E360">
            <v>2.5</v>
          </cell>
          <cell r="F360">
            <v>1.3</v>
          </cell>
          <cell r="H360">
            <v>3.25</v>
          </cell>
        </row>
        <row r="361">
          <cell r="B361">
            <v>14.6</v>
          </cell>
          <cell r="C361" t="str">
            <v>Cement punning works in 1:1 cement sand mortar</v>
          </cell>
          <cell r="I361">
            <v>15.676000000000002</v>
          </cell>
          <cell r="J361" t="str">
            <v>sqm</v>
          </cell>
          <cell r="K361">
            <v>51.400182076293753</v>
          </cell>
          <cell r="L361">
            <v>805.74925422798094</v>
          </cell>
        </row>
        <row r="362">
          <cell r="B362" t="str">
            <v>M-10</v>
          </cell>
          <cell r="C362" t="str">
            <v>Inspection Chamber 450x450x450 with RCC Cover</v>
          </cell>
          <cell r="I362">
            <v>4</v>
          </cell>
          <cell r="J362" t="str">
            <v>no</v>
          </cell>
          <cell r="K362">
            <v>3543.4252941742179</v>
          </cell>
          <cell r="L362">
            <v>14173.701176696872</v>
          </cell>
        </row>
      </sheetData>
      <sheetData sheetId="41" refreshError="1">
        <row r="332">
          <cell r="B332" t="str">
            <v>1.4</v>
          </cell>
          <cell r="C332" t="str">
            <v>Site Clearance in thin vegetation area</v>
          </cell>
          <cell r="I332">
            <v>61.413749999999993</v>
          </cell>
          <cell r="J332" t="str">
            <v>sqm</v>
          </cell>
          <cell r="K332">
            <v>2.76</v>
          </cell>
          <cell r="L332">
            <v>169.50194999999997</v>
          </cell>
        </row>
        <row r="333">
          <cell r="B333">
            <v>2.14</v>
          </cell>
          <cell r="C333" t="str">
            <v>E/W Excavation for foundation, drain, pipelines etc. in BM Soil</v>
          </cell>
          <cell r="I333">
            <v>142.19746499999999</v>
          </cell>
          <cell r="J333" t="str">
            <v>cum</v>
          </cell>
          <cell r="K333">
            <v>150.66839999999999</v>
          </cell>
          <cell r="L333">
            <v>21424.664535605996</v>
          </cell>
        </row>
        <row r="334">
          <cell r="B334" t="str">
            <v>2.42</v>
          </cell>
          <cell r="C334" t="str">
            <v>Sand filling with compaction and sprinkling of water</v>
          </cell>
          <cell r="I334">
            <v>3.4150900000000006</v>
          </cell>
          <cell r="J334" t="str">
            <v>cum</v>
          </cell>
          <cell r="K334">
            <v>924.01857832812482</v>
          </cell>
          <cell r="L334">
            <v>3155.6066066625963</v>
          </cell>
        </row>
        <row r="335">
          <cell r="B335" t="str">
            <v>7.5</v>
          </cell>
          <cell r="C335" t="str">
            <v>Reinforcement work for R.C.C. work</v>
          </cell>
          <cell r="I335">
            <v>0.69044977499999993</v>
          </cell>
          <cell r="J335" t="str">
            <v>mt</v>
          </cell>
          <cell r="K335">
            <v>39248.537514867188</v>
          </cell>
          <cell r="L335">
            <v>27099.143896219106</v>
          </cell>
        </row>
        <row r="336">
          <cell r="B336">
            <v>10.1</v>
          </cell>
          <cell r="C336" t="str">
            <v>Salwood frame work for door and windows</v>
          </cell>
          <cell r="I336">
            <v>0.31499999999999995</v>
          </cell>
          <cell r="J336" t="str">
            <v>cum</v>
          </cell>
          <cell r="K336">
            <v>45227.199999999997</v>
          </cell>
          <cell r="L336">
            <v>14246.567999999997</v>
          </cell>
        </row>
        <row r="337">
          <cell r="B337">
            <v>10.199999999999999</v>
          </cell>
          <cell r="C337" t="str">
            <v>Panel shutter work in 38 x 75 mm salwood frame</v>
          </cell>
          <cell r="I337">
            <v>3.645</v>
          </cell>
          <cell r="J337" t="str">
            <v>sqm</v>
          </cell>
          <cell r="K337">
            <v>2471.0679245283022</v>
          </cell>
          <cell r="L337">
            <v>9007.042584905661</v>
          </cell>
        </row>
        <row r="338">
          <cell r="B338">
            <v>10.7</v>
          </cell>
          <cell r="C338" t="str">
            <v xml:space="preserve">Flush shutter work with 4mm plywood in both side in 38 x 75 mm salwood frame </v>
          </cell>
          <cell r="I338">
            <v>4.8599999999999994</v>
          </cell>
          <cell r="J338" t="str">
            <v>sqm</v>
          </cell>
          <cell r="K338">
            <v>1657.279822222222</v>
          </cell>
          <cell r="L338">
            <v>8054.3799359999985</v>
          </cell>
        </row>
        <row r="339">
          <cell r="B339">
            <v>11.7</v>
          </cell>
          <cell r="C339" t="str">
            <v>Porcelain glazed tiles overlay in 1:4 cement sand mortar</v>
          </cell>
          <cell r="I339">
            <v>4.5674999999999999</v>
          </cell>
          <cell r="J339" t="str">
            <v>sqm</v>
          </cell>
          <cell r="K339">
            <v>808.7618276893752</v>
          </cell>
          <cell r="L339">
            <v>3694.0196479712213</v>
          </cell>
        </row>
        <row r="340">
          <cell r="B340">
            <v>14.6</v>
          </cell>
          <cell r="C340" t="str">
            <v>Cement punning works in 1:1 cement sand mortar</v>
          </cell>
          <cell r="I340">
            <v>44</v>
          </cell>
          <cell r="J340" t="str">
            <v>sqm</v>
          </cell>
          <cell r="K340">
            <v>51.400182076293753</v>
          </cell>
          <cell r="L340">
            <v>2261.6080113569251</v>
          </cell>
        </row>
        <row r="341">
          <cell r="B341" t="str">
            <v>11.15.b</v>
          </cell>
          <cell r="C341" t="str">
            <v xml:space="preserve">Brick soling on edge with sand </v>
          </cell>
          <cell r="I341">
            <v>85.250154999999992</v>
          </cell>
          <cell r="J341" t="str">
            <v>sqm</v>
          </cell>
          <cell r="K341">
            <v>343.27430057539067</v>
          </cell>
          <cell r="L341">
            <v>29264.187331568643</v>
          </cell>
        </row>
        <row r="342">
          <cell r="B342" t="str">
            <v>11.19.b</v>
          </cell>
          <cell r="C342" t="str">
            <v>Brick bats filling with compaction and sprinkling of water</v>
          </cell>
          <cell r="I342">
            <v>8.2949999999999999</v>
          </cell>
          <cell r="J342" t="str">
            <v>cum</v>
          </cell>
          <cell r="K342">
            <v>1255.2513442359377</v>
          </cell>
          <cell r="L342">
            <v>10412.309900437103</v>
          </cell>
        </row>
        <row r="343">
          <cell r="B343" t="str">
            <v>11.6.2</v>
          </cell>
          <cell r="C343" t="str">
            <v>25 mm Kota stone flooring on 20mm thick 1:4 mortar</v>
          </cell>
          <cell r="I343">
            <v>28.503636363636364</v>
          </cell>
          <cell r="J343" t="str">
            <v>sqm</v>
          </cell>
          <cell r="K343">
            <v>1037.278498184422</v>
          </cell>
          <cell r="L343">
            <v>29566.209120067608</v>
          </cell>
        </row>
        <row r="344">
          <cell r="B344" t="str">
            <v>12.1.b</v>
          </cell>
          <cell r="C344" t="str">
            <v>12.5 mm plastering works in 1:3 cement sand mortar</v>
          </cell>
          <cell r="I344">
            <v>245.56365000000002</v>
          </cell>
          <cell r="J344" t="str">
            <v>sqm</v>
          </cell>
          <cell r="K344">
            <v>87.804354924304675</v>
          </cell>
          <cell r="L344">
            <v>21561.557881107732</v>
          </cell>
        </row>
        <row r="345">
          <cell r="B345" t="str">
            <v>12.1.c</v>
          </cell>
          <cell r="C345" t="str">
            <v>12.5 mm plastering works in 1:4 cement sand mortar</v>
          </cell>
          <cell r="I345">
            <v>44</v>
          </cell>
          <cell r="J345" t="str">
            <v>sqm</v>
          </cell>
          <cell r="K345">
            <v>83.687917974834363</v>
          </cell>
          <cell r="L345">
            <v>3682.268390892712</v>
          </cell>
        </row>
        <row r="346">
          <cell r="B346" t="str">
            <v>13.4.b</v>
          </cell>
          <cell r="C346" t="str">
            <v>Laying two coat of water proof cement paint</v>
          </cell>
          <cell r="I346">
            <v>245.56365000000002</v>
          </cell>
          <cell r="J346" t="str">
            <v>sqm</v>
          </cell>
          <cell r="K346">
            <v>56.919250000000005</v>
          </cell>
          <cell r="L346">
            <v>13977.298785262503</v>
          </cell>
        </row>
        <row r="347">
          <cell r="B347" t="str">
            <v>13.5.c</v>
          </cell>
          <cell r="C347" t="str">
            <v>Laying primer course and two coats of enamel paint</v>
          </cell>
          <cell r="I347">
            <v>12.285</v>
          </cell>
          <cell r="J347" t="str">
            <v>sqm</v>
          </cell>
          <cell r="K347">
            <v>105.57</v>
          </cell>
          <cell r="L347">
            <v>1296.9274499999999</v>
          </cell>
        </row>
        <row r="348">
          <cell r="B348" t="str">
            <v>17.4.a.1.1.a</v>
          </cell>
          <cell r="C348" t="str">
            <v>13mm dia. GI pipe laying works (with pipe)</v>
          </cell>
          <cell r="I348">
            <v>14</v>
          </cell>
          <cell r="J348" t="str">
            <v>m</v>
          </cell>
          <cell r="K348">
            <v>77.665872533333342</v>
          </cell>
          <cell r="L348">
            <v>1087.3222154666669</v>
          </cell>
        </row>
        <row r="349">
          <cell r="B349" t="str">
            <v>17.4.a.1.2.a</v>
          </cell>
          <cell r="C349" t="str">
            <v>20mm dia. GI pipe laying works (with Pipe)</v>
          </cell>
          <cell r="I349">
            <v>14</v>
          </cell>
          <cell r="J349" t="str">
            <v>m</v>
          </cell>
          <cell r="K349">
            <v>98.22596492866667</v>
          </cell>
          <cell r="L349">
            <v>1375.1635090013333</v>
          </cell>
        </row>
        <row r="350">
          <cell r="B350" t="str">
            <v>17.4.a.2.1.a</v>
          </cell>
          <cell r="C350" t="str">
            <v>25mm dia. GI pipe laying works (with Pipe)</v>
          </cell>
          <cell r="I350">
            <v>4</v>
          </cell>
          <cell r="J350" t="str">
            <v>m</v>
          </cell>
          <cell r="K350">
            <v>150.19106852088041</v>
          </cell>
          <cell r="L350">
            <v>600.76427408352163</v>
          </cell>
        </row>
        <row r="351">
          <cell r="B351" t="str">
            <v>2.25.a</v>
          </cell>
          <cell r="C351" t="str">
            <v>Filling with ordinary soils with compaction and sprinkling of water</v>
          </cell>
          <cell r="I351">
            <v>37.560185999999995</v>
          </cell>
          <cell r="J351" t="str">
            <v>cum</v>
          </cell>
          <cell r="K351">
            <v>47.38</v>
          </cell>
          <cell r="L351">
            <v>1779.6016126799998</v>
          </cell>
        </row>
        <row r="352">
          <cell r="B352" t="str">
            <v>5.1.b.3</v>
          </cell>
          <cell r="C352" t="str">
            <v xml:space="preserve">Local first class brick masonry works in 1:6 cement sand mortar </v>
          </cell>
          <cell r="I352">
            <v>70.696741874999987</v>
          </cell>
          <cell r="J352" t="str">
            <v>cum</v>
          </cell>
          <cell r="K352">
            <v>3238.8808289078133</v>
          </cell>
          <cell r="L352">
            <v>228978.32192518166</v>
          </cell>
        </row>
        <row r="353">
          <cell r="B353" t="str">
            <v>7.1.a</v>
          </cell>
          <cell r="C353" t="str">
            <v xml:space="preserve">Plum concrete in M10 </v>
          </cell>
          <cell r="I353">
            <v>0.55391875000000002</v>
          </cell>
          <cell r="J353" t="str">
            <v>cum</v>
          </cell>
          <cell r="K353">
            <v>4591.7984018249999</v>
          </cell>
          <cell r="L353">
            <v>2543.4832309909016</v>
          </cell>
        </row>
        <row r="354">
          <cell r="B354" t="str">
            <v>7.2.c</v>
          </cell>
          <cell r="C354" t="str">
            <v xml:space="preserve">P.C.C. for  foundation &amp; walls in M10 </v>
          </cell>
          <cell r="I354">
            <v>3.3476050000000002</v>
          </cell>
          <cell r="J354" t="str">
            <v>cum</v>
          </cell>
          <cell r="K354">
            <v>4334.2110718062495</v>
          </cell>
          <cell r="L354">
            <v>14509.226655033961</v>
          </cell>
        </row>
        <row r="355">
          <cell r="B355" t="str">
            <v>7.4.b</v>
          </cell>
          <cell r="C355" t="str">
            <v xml:space="preserve">P.C.C. for R.C.C. for super structures in M20 </v>
          </cell>
          <cell r="I355">
            <v>16.933887500000001</v>
          </cell>
          <cell r="J355" t="str">
            <v>cum</v>
          </cell>
          <cell r="K355">
            <v>6154.8131365578129</v>
          </cell>
          <cell r="L355">
            <v>104224.91323799215</v>
          </cell>
        </row>
        <row r="356">
          <cell r="B356" t="str">
            <v>8.1.a</v>
          </cell>
          <cell r="C356" t="str">
            <v>Simple standard formwork of size &lt;1 sqm excluding materials</v>
          </cell>
          <cell r="I356">
            <v>103.75127499999999</v>
          </cell>
          <cell r="J356" t="str">
            <v>sqm</v>
          </cell>
          <cell r="K356">
            <v>72.249900000000011</v>
          </cell>
          <cell r="L356">
            <v>7496.0192436225007</v>
          </cell>
        </row>
        <row r="357">
          <cell r="B357" t="str">
            <v>E-2</v>
          </cell>
          <cell r="C357" t="str">
            <v>Supply and installation of light point wiring from DB tovarious points with2 nos of 3/22 PVC insulated copper wirethrough 20 mm internal dia HDPEconduit concealed via junction box as per drawing and specificationincluding the cost of switch and metal box</v>
          </cell>
          <cell r="I357">
            <v>8</v>
          </cell>
          <cell r="J357" t="str">
            <v>No</v>
          </cell>
          <cell r="K357">
            <v>426</v>
          </cell>
          <cell r="L357">
            <v>3408</v>
          </cell>
        </row>
        <row r="358">
          <cell r="B358" t="str">
            <v>E-3</v>
          </cell>
          <cell r="C358" t="str">
            <v>Supply and installation of  3 pin (15 A) socket point wiringwith2 nos of7/22 + 1no of 1/18 pvc insulated copper wiresthrough 20 mm internal diaHDPE conduit concealed from SDB to various points as per drawing andspecification including the cost of Switch s</v>
          </cell>
          <cell r="I358">
            <v>2</v>
          </cell>
          <cell r="J358" t="str">
            <v>No</v>
          </cell>
          <cell r="K358">
            <v>610</v>
          </cell>
          <cell r="L358">
            <v>1220</v>
          </cell>
        </row>
        <row r="359">
          <cell r="B359" t="str">
            <v>E-4</v>
          </cell>
          <cell r="C359" t="str">
            <v>Supply and installation of 9'' sweep  exhaust fan as per drawing andspecification including GI sheet boxing.</v>
          </cell>
          <cell r="I359">
            <v>4</v>
          </cell>
          <cell r="J359" t="str">
            <v>No</v>
          </cell>
          <cell r="K359">
            <v>2447</v>
          </cell>
          <cell r="L359">
            <v>9788</v>
          </cell>
        </row>
        <row r="360">
          <cell r="B360" t="str">
            <v>E-5</v>
          </cell>
          <cell r="C360" t="str">
            <v>Supply and installation of 42'' sweep  ceiling fan as per drawing andspecification including GI sheet boxing.</v>
          </cell>
          <cell r="I360">
            <v>4</v>
          </cell>
          <cell r="J360" t="str">
            <v>No</v>
          </cell>
          <cell r="K360">
            <v>2447</v>
          </cell>
          <cell r="L360">
            <v>9788</v>
          </cell>
        </row>
        <row r="361">
          <cell r="B361" t="str">
            <v>E-6</v>
          </cell>
          <cell r="C361" t="str">
            <v>Supply and installation of earth electrode made of 30cm x 30cm x 3mmcopper plate including 8 SWG bare copper wireconnection to DB's.</v>
          </cell>
          <cell r="I361">
            <v>1</v>
          </cell>
          <cell r="J361" t="str">
            <v>Set</v>
          </cell>
          <cell r="K361">
            <v>6758</v>
          </cell>
          <cell r="L361">
            <v>6758</v>
          </cell>
        </row>
        <row r="362">
          <cell r="B362" t="str">
            <v>E-7</v>
          </cell>
          <cell r="C362" t="str">
            <v>Chieseling, laying conduits cables the main line distribution from MDB toFloor DB,s with 2 x 7/16 size cable in 20 mm HDPE consduit.</v>
          </cell>
          <cell r="I362">
            <v>6</v>
          </cell>
          <cell r="J362" t="str">
            <v>Job</v>
          </cell>
          <cell r="K362">
            <v>149</v>
          </cell>
          <cell r="L362">
            <v>894</v>
          </cell>
        </row>
        <row r="363">
          <cell r="B363" t="str">
            <v>E-8</v>
          </cell>
          <cell r="C363"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I363">
            <v>1</v>
          </cell>
          <cell r="J363" t="str">
            <v>no</v>
          </cell>
          <cell r="K363">
            <v>2980</v>
          </cell>
          <cell r="L363">
            <v>2980</v>
          </cell>
        </row>
        <row r="364">
          <cell r="B364" t="str">
            <v>M-12</v>
          </cell>
          <cell r="C364" t="str">
            <v>PVC Pipe 100mm</v>
          </cell>
          <cell r="I364">
            <v>12</v>
          </cell>
          <cell r="J364" t="str">
            <v>Rm</v>
          </cell>
          <cell r="K364">
            <v>100</v>
          </cell>
          <cell r="L364">
            <v>1200</v>
          </cell>
        </row>
        <row r="365">
          <cell r="B365" t="str">
            <v>M-13</v>
          </cell>
          <cell r="C365" t="str">
            <v>PVC Pipe 75mm</v>
          </cell>
          <cell r="I365">
            <v>18</v>
          </cell>
          <cell r="J365" t="str">
            <v>Rm</v>
          </cell>
          <cell r="K365">
            <v>75</v>
          </cell>
          <cell r="L365">
            <v>1350</v>
          </cell>
        </row>
        <row r="366">
          <cell r="B366" t="str">
            <v>M-14</v>
          </cell>
          <cell r="C366" t="str">
            <v>PVC Pipe 50mm</v>
          </cell>
          <cell r="I366">
            <v>12</v>
          </cell>
          <cell r="J366" t="str">
            <v>Rm</v>
          </cell>
          <cell r="K366">
            <v>50</v>
          </cell>
          <cell r="L366">
            <v>600</v>
          </cell>
        </row>
        <row r="367">
          <cell r="B367" t="str">
            <v>M-15</v>
          </cell>
          <cell r="C367" t="str">
            <v>Supply and Fixation of RCC Jali for Ventitation</v>
          </cell>
          <cell r="I367">
            <v>6.39</v>
          </cell>
          <cell r="J367" t="str">
            <v>Sqm</v>
          </cell>
          <cell r="K367">
            <v>920</v>
          </cell>
          <cell r="L367">
            <v>5878.7999999999993</v>
          </cell>
        </row>
        <row r="368">
          <cell r="B368" t="str">
            <v>M-16</v>
          </cell>
          <cell r="C368" t="str">
            <v>Supply and Fixation of Stainless Steel Plate</v>
          </cell>
          <cell r="I368">
            <v>8.8872</v>
          </cell>
          <cell r="J368" t="str">
            <v>Sqm</v>
          </cell>
          <cell r="K368">
            <v>6512.9449838187702</v>
          </cell>
          <cell r="L368">
            <v>57881.844660194176</v>
          </cell>
        </row>
        <row r="369">
          <cell r="B369" t="str">
            <v>M-17</v>
          </cell>
          <cell r="C369" t="str">
            <v>H Connection of PVC pipe 100mm</v>
          </cell>
          <cell r="I369">
            <v>11.5</v>
          </cell>
          <cell r="J369" t="str">
            <v>no</v>
          </cell>
          <cell r="K369">
            <v>230</v>
          </cell>
          <cell r="L369">
            <v>2645</v>
          </cell>
        </row>
        <row r="370">
          <cell r="B370" t="str">
            <v>M-7</v>
          </cell>
          <cell r="C370" t="str">
            <v>20mm Gate Valve with fitting</v>
          </cell>
          <cell r="I370">
            <v>1</v>
          </cell>
          <cell r="J370" t="str">
            <v>no</v>
          </cell>
          <cell r="K370">
            <v>250</v>
          </cell>
          <cell r="L370">
            <v>250</v>
          </cell>
        </row>
        <row r="371">
          <cell r="B371" t="str">
            <v>M-7-1</v>
          </cell>
          <cell r="C371" t="str">
            <v>25mm Gate Valve with fitting</v>
          </cell>
          <cell r="I371">
            <v>1</v>
          </cell>
          <cell r="J371" t="str">
            <v>no</v>
          </cell>
          <cell r="K371">
            <v>400</v>
          </cell>
          <cell r="L371">
            <v>400</v>
          </cell>
        </row>
        <row r="372">
          <cell r="B372" t="str">
            <v>M-8</v>
          </cell>
          <cell r="C372" t="str">
            <v>Chrome Plate (CP) 15mm taps</v>
          </cell>
          <cell r="I372">
            <v>2</v>
          </cell>
          <cell r="J372" t="str">
            <v>no</v>
          </cell>
          <cell r="K372">
            <v>250</v>
          </cell>
          <cell r="L372">
            <v>500</v>
          </cell>
        </row>
        <row r="373">
          <cell r="B373" t="str">
            <v>M-9</v>
          </cell>
          <cell r="C373" t="str">
            <v>Glazed Indian Type WC Set</v>
          </cell>
          <cell r="I373">
            <v>2</v>
          </cell>
          <cell r="J373" t="str">
            <v>no</v>
          </cell>
          <cell r="K373">
            <v>750</v>
          </cell>
          <cell r="L373">
            <v>1500</v>
          </cell>
        </row>
      </sheetData>
      <sheetData sheetId="42" refreshError="1">
        <row r="59">
          <cell r="B59" t="str">
            <v>1.4</v>
          </cell>
          <cell r="C59" t="str">
            <v>Site Clearance in thin vegetation area</v>
          </cell>
          <cell r="D59">
            <v>1</v>
          </cell>
          <cell r="E59">
            <v>1</v>
          </cell>
          <cell r="F59">
            <v>1</v>
          </cell>
          <cell r="H59">
            <v>1</v>
          </cell>
          <cell r="I59">
            <v>1</v>
          </cell>
          <cell r="J59" t="str">
            <v>sqm</v>
          </cell>
          <cell r="K59">
            <v>2.76</v>
          </cell>
          <cell r="L59">
            <v>2.76</v>
          </cell>
          <cell r="M59">
            <v>0</v>
          </cell>
          <cell r="N59">
            <v>2.76</v>
          </cell>
          <cell r="O59">
            <v>0</v>
          </cell>
          <cell r="P59">
            <v>2.76</v>
          </cell>
          <cell r="R59">
            <v>0</v>
          </cell>
          <cell r="U59">
            <v>454</v>
          </cell>
        </row>
        <row r="60">
          <cell r="B60">
            <v>2.14</v>
          </cell>
          <cell r="C60" t="str">
            <v>E/W Excavation for foundation, drain, pipelines etc. in BM Soil</v>
          </cell>
          <cell r="D60">
            <v>1</v>
          </cell>
          <cell r="E60">
            <v>0.8</v>
          </cell>
          <cell r="F60">
            <v>0.8</v>
          </cell>
          <cell r="G60">
            <v>0.4</v>
          </cell>
          <cell r="H60">
            <v>0.25600000000000006</v>
          </cell>
          <cell r="I60">
            <v>0.25600000000000006</v>
          </cell>
          <cell r="J60" t="str">
            <v>cum</v>
          </cell>
          <cell r="K60">
            <v>150.66839999999999</v>
          </cell>
          <cell r="L60">
            <v>38.571110400000009</v>
          </cell>
          <cell r="M60">
            <v>0</v>
          </cell>
          <cell r="N60">
            <v>38.571110400000009</v>
          </cell>
          <cell r="O60">
            <v>0</v>
          </cell>
          <cell r="P60">
            <v>38.571110400000009</v>
          </cell>
          <cell r="R60">
            <v>0</v>
          </cell>
          <cell r="U60">
            <v>116.22400000000003</v>
          </cell>
        </row>
        <row r="61">
          <cell r="B61">
            <v>11.16</v>
          </cell>
          <cell r="C61" t="str">
            <v xml:space="preserve">Stone soling with sand </v>
          </cell>
          <cell r="D61">
            <v>1</v>
          </cell>
          <cell r="E61">
            <v>0.8</v>
          </cell>
          <cell r="F61">
            <v>0.8</v>
          </cell>
          <cell r="G61">
            <v>0.15</v>
          </cell>
          <cell r="H61">
            <v>9.6000000000000016E-2</v>
          </cell>
          <cell r="I61">
            <v>9.6000000000000016E-2</v>
          </cell>
          <cell r="J61" t="str">
            <v>cum</v>
          </cell>
          <cell r="K61">
            <v>1371.1740676875002</v>
          </cell>
          <cell r="L61">
            <v>131.63271049800002</v>
          </cell>
          <cell r="M61">
            <v>0</v>
          </cell>
          <cell r="N61">
            <v>131.63271049800002</v>
          </cell>
          <cell r="O61">
            <v>17.995200000000001</v>
          </cell>
          <cell r="P61">
            <v>8.8320000000000007</v>
          </cell>
          <cell r="R61">
            <v>104.805510498</v>
          </cell>
          <cell r="U61">
            <v>43.58400000000001</v>
          </cell>
        </row>
        <row r="62">
          <cell r="B62" t="str">
            <v>7.4.b</v>
          </cell>
          <cell r="C62" t="str">
            <v xml:space="preserve">P.C.C. for R.C.C. for super structures in M20 </v>
          </cell>
          <cell r="D62">
            <v>1</v>
          </cell>
          <cell r="E62">
            <v>0.6</v>
          </cell>
          <cell r="F62">
            <v>0.6</v>
          </cell>
          <cell r="G62">
            <v>1</v>
          </cell>
          <cell r="H62">
            <v>0.36</v>
          </cell>
          <cell r="I62">
            <v>0.36</v>
          </cell>
          <cell r="J62" t="str">
            <v>cum</v>
          </cell>
          <cell r="K62">
            <v>6154.8131365578129</v>
          </cell>
          <cell r="L62">
            <v>2215.7327291608126</v>
          </cell>
          <cell r="M62">
            <v>1027.8319734674999</v>
          </cell>
          <cell r="N62">
            <v>1187.9007556933127</v>
          </cell>
          <cell r="O62">
            <v>53.985599999999998</v>
          </cell>
          <cell r="P62">
            <v>231.84</v>
          </cell>
          <cell r="R62">
            <v>902.07515569331235</v>
          </cell>
          <cell r="U62">
            <v>163.44</v>
          </cell>
        </row>
        <row r="63">
          <cell r="B63" t="str">
            <v>8.2.a</v>
          </cell>
          <cell r="C63" t="str">
            <v>Form work</v>
          </cell>
          <cell r="D63">
            <v>1</v>
          </cell>
          <cell r="E63">
            <v>0.6</v>
          </cell>
          <cell r="F63">
            <v>0.6</v>
          </cell>
          <cell r="G63">
            <v>1.5</v>
          </cell>
          <cell r="H63">
            <v>3.5999999999999996</v>
          </cell>
          <cell r="I63">
            <v>3.5999999999999996</v>
          </cell>
          <cell r="U63">
            <v>1634.3999999999999</v>
          </cell>
        </row>
      </sheetData>
      <sheetData sheetId="43"/>
      <sheetData sheetId="44" refreshError="1">
        <row r="12">
          <cell r="B12" t="str">
            <v>1.4</v>
          </cell>
          <cell r="C12" t="str">
            <v>Site Clearance in thin vegetation area</v>
          </cell>
          <cell r="I12">
            <v>4960.5</v>
          </cell>
          <cell r="J12" t="str">
            <v>sqm</v>
          </cell>
          <cell r="K12">
            <v>2.76</v>
          </cell>
          <cell r="L12">
            <v>13690.98</v>
          </cell>
        </row>
        <row r="13">
          <cell r="C13" t="str">
            <v>Drain-1</v>
          </cell>
          <cell r="D13">
            <v>1</v>
          </cell>
          <cell r="E13">
            <v>277</v>
          </cell>
          <cell r="F13">
            <v>1.5</v>
          </cell>
          <cell r="H13">
            <v>415.5</v>
          </cell>
        </row>
        <row r="14">
          <cell r="C14" t="str">
            <v>Drain 2.1</v>
          </cell>
          <cell r="D14">
            <v>1</v>
          </cell>
          <cell r="E14">
            <v>175</v>
          </cell>
          <cell r="F14">
            <v>1.5</v>
          </cell>
          <cell r="H14">
            <v>262.5</v>
          </cell>
        </row>
        <row r="15">
          <cell r="C15" t="str">
            <v>Drain 2.2</v>
          </cell>
          <cell r="D15">
            <v>1</v>
          </cell>
          <cell r="E15">
            <v>1190</v>
          </cell>
          <cell r="F15">
            <v>1.5</v>
          </cell>
          <cell r="H15">
            <v>1785</v>
          </cell>
        </row>
        <row r="16">
          <cell r="C16" t="str">
            <v>Drain 3.1</v>
          </cell>
          <cell r="D16">
            <v>1</v>
          </cell>
          <cell r="E16">
            <v>375</v>
          </cell>
          <cell r="F16">
            <v>1.5</v>
          </cell>
          <cell r="H16">
            <v>562.5</v>
          </cell>
        </row>
        <row r="17">
          <cell r="C17" t="str">
            <v>Drain 3.2</v>
          </cell>
          <cell r="D17">
            <v>1</v>
          </cell>
          <cell r="E17">
            <v>825</v>
          </cell>
          <cell r="F17">
            <v>1.5</v>
          </cell>
          <cell r="H17">
            <v>1237.5</v>
          </cell>
        </row>
        <row r="18">
          <cell r="C18" t="str">
            <v>Drain 3.A</v>
          </cell>
          <cell r="D18">
            <v>1</v>
          </cell>
          <cell r="E18">
            <v>225</v>
          </cell>
          <cell r="F18">
            <v>1.5</v>
          </cell>
          <cell r="H18">
            <v>337.5</v>
          </cell>
        </row>
        <row r="19">
          <cell r="C19" t="str">
            <v>Drain 3.B</v>
          </cell>
          <cell r="D19">
            <v>1</v>
          </cell>
          <cell r="E19">
            <v>240</v>
          </cell>
          <cell r="F19">
            <v>1.5</v>
          </cell>
          <cell r="H19">
            <v>360</v>
          </cell>
        </row>
        <row r="22">
          <cell r="B22">
            <v>2.14</v>
          </cell>
          <cell r="C22" t="str">
            <v>E/W Excavation for foundation, drain, pipelines etc. in BM Soil</v>
          </cell>
          <cell r="I22">
            <v>4559.5689999999477</v>
          </cell>
          <cell r="J22" t="str">
            <v>cum</v>
          </cell>
          <cell r="K22">
            <v>150.66839999999999</v>
          </cell>
          <cell r="L22">
            <v>686982.96591959207</v>
          </cell>
        </row>
        <row r="23">
          <cell r="C23" t="str">
            <v>Drain-1</v>
          </cell>
          <cell r="D23">
            <v>1</v>
          </cell>
          <cell r="E23">
            <v>277</v>
          </cell>
          <cell r="F23">
            <v>1.2000000000000002</v>
          </cell>
          <cell r="G23">
            <v>0.8</v>
          </cell>
          <cell r="H23">
            <v>265.92</v>
          </cell>
        </row>
        <row r="24">
          <cell r="C24" t="str">
            <v>Drain 2.1</v>
          </cell>
          <cell r="D24">
            <v>1</v>
          </cell>
          <cell r="E24">
            <v>175</v>
          </cell>
          <cell r="F24">
            <v>1.3</v>
          </cell>
          <cell r="G24">
            <v>1.05</v>
          </cell>
          <cell r="H24">
            <v>238.875</v>
          </cell>
        </row>
        <row r="25">
          <cell r="C25" t="str">
            <v>Drain 2.2</v>
          </cell>
          <cell r="D25">
            <v>1</v>
          </cell>
          <cell r="E25">
            <v>1190</v>
          </cell>
          <cell r="F25">
            <v>1.4</v>
          </cell>
          <cell r="G25">
            <v>1.1500000000000228</v>
          </cell>
          <cell r="H25">
            <v>1915.9000000000381</v>
          </cell>
        </row>
        <row r="26">
          <cell r="C26" t="str">
            <v>Drain 3.1</v>
          </cell>
          <cell r="D26">
            <v>1</v>
          </cell>
          <cell r="E26">
            <v>375</v>
          </cell>
          <cell r="F26">
            <v>1.2000000000000002</v>
          </cell>
          <cell r="G26">
            <v>1.0999999999999546</v>
          </cell>
          <cell r="H26">
            <v>494.99999999997959</v>
          </cell>
        </row>
        <row r="27">
          <cell r="C27" t="str">
            <v>Drain 3.2</v>
          </cell>
          <cell r="D27">
            <v>1</v>
          </cell>
          <cell r="E27">
            <v>825</v>
          </cell>
          <cell r="F27">
            <v>1.3</v>
          </cell>
          <cell r="G27">
            <v>1.0999999999999546</v>
          </cell>
          <cell r="H27">
            <v>1179.7499999999513</v>
          </cell>
        </row>
        <row r="28">
          <cell r="C28" t="str">
            <v>Drain 3.A</v>
          </cell>
          <cell r="D28">
            <v>1</v>
          </cell>
          <cell r="E28">
            <v>225</v>
          </cell>
          <cell r="F28">
            <v>1.2000000000000002</v>
          </cell>
          <cell r="G28">
            <v>0.84999999999995457</v>
          </cell>
          <cell r="H28">
            <v>229.49999999998778</v>
          </cell>
        </row>
        <row r="29">
          <cell r="C29" t="str">
            <v>Drain 3.B</v>
          </cell>
          <cell r="D29">
            <v>1</v>
          </cell>
          <cell r="E29">
            <v>240</v>
          </cell>
          <cell r="F29">
            <v>1.04</v>
          </cell>
          <cell r="G29">
            <v>0.93999999999996375</v>
          </cell>
          <cell r="H29">
            <v>234.62399999999099</v>
          </cell>
        </row>
        <row r="30">
          <cell r="B30" t="str">
            <v>2.25.b</v>
          </cell>
          <cell r="C30" t="str">
            <v xml:space="preserve">Filling with ordinary soils with compaction </v>
          </cell>
          <cell r="I30">
            <v>2134</v>
          </cell>
          <cell r="J30" t="str">
            <v>cum</v>
          </cell>
          <cell r="K30">
            <v>23.69</v>
          </cell>
          <cell r="L30">
            <v>50554.46</v>
          </cell>
        </row>
        <row r="31">
          <cell r="C31" t="str">
            <v>Drain-1</v>
          </cell>
          <cell r="D31">
            <v>1</v>
          </cell>
          <cell r="E31">
            <v>277</v>
          </cell>
          <cell r="F31">
            <v>1.2000000000000002</v>
          </cell>
          <cell r="G31">
            <v>0.5</v>
          </cell>
          <cell r="H31">
            <v>166.20000000000002</v>
          </cell>
        </row>
        <row r="32">
          <cell r="C32" t="str">
            <v>Drain 2.1</v>
          </cell>
          <cell r="D32">
            <v>1</v>
          </cell>
          <cell r="E32">
            <v>175</v>
          </cell>
          <cell r="F32">
            <v>1.3</v>
          </cell>
          <cell r="G32">
            <v>0.5</v>
          </cell>
          <cell r="H32">
            <v>113.75</v>
          </cell>
        </row>
        <row r="33">
          <cell r="C33" t="str">
            <v>Drain 2.2</v>
          </cell>
          <cell r="D33">
            <v>1</v>
          </cell>
          <cell r="E33">
            <v>1190</v>
          </cell>
          <cell r="F33">
            <v>1.4</v>
          </cell>
          <cell r="G33">
            <v>0.5</v>
          </cell>
          <cell r="H33">
            <v>833</v>
          </cell>
        </row>
        <row r="34">
          <cell r="C34" t="str">
            <v>Drain 3.1</v>
          </cell>
          <cell r="D34">
            <v>1</v>
          </cell>
          <cell r="E34">
            <v>375</v>
          </cell>
          <cell r="F34">
            <v>1.2000000000000002</v>
          </cell>
          <cell r="G34">
            <v>0.5</v>
          </cell>
          <cell r="H34">
            <v>225.00000000000003</v>
          </cell>
        </row>
        <row r="35">
          <cell r="C35" t="str">
            <v>Drain 3.2</v>
          </cell>
          <cell r="D35">
            <v>1</v>
          </cell>
          <cell r="E35">
            <v>825</v>
          </cell>
          <cell r="F35">
            <v>1.3</v>
          </cell>
          <cell r="G35">
            <v>0.5</v>
          </cell>
          <cell r="H35">
            <v>536.25</v>
          </cell>
        </row>
        <row r="36">
          <cell r="C36" t="str">
            <v>Drain 3.A</v>
          </cell>
          <cell r="D36">
            <v>1</v>
          </cell>
          <cell r="E36">
            <v>225</v>
          </cell>
          <cell r="F36">
            <v>1.2000000000000002</v>
          </cell>
          <cell r="G36">
            <v>0.5</v>
          </cell>
          <cell r="H36">
            <v>135.00000000000003</v>
          </cell>
        </row>
        <row r="37">
          <cell r="C37" t="str">
            <v>Drain 3.B</v>
          </cell>
          <cell r="D37">
            <v>1</v>
          </cell>
          <cell r="E37">
            <v>240</v>
          </cell>
          <cell r="F37">
            <v>1.04</v>
          </cell>
          <cell r="G37">
            <v>0.5</v>
          </cell>
          <cell r="H37">
            <v>124.80000000000001</v>
          </cell>
        </row>
        <row r="38">
          <cell r="B38">
            <v>11.16</v>
          </cell>
          <cell r="C38" t="str">
            <v xml:space="preserve">Stone soling with sand </v>
          </cell>
          <cell r="I38">
            <v>632.71199999999999</v>
          </cell>
          <cell r="J38" t="str">
            <v>cum</v>
          </cell>
          <cell r="K38">
            <v>1371.1740676875002</v>
          </cell>
          <cell r="L38">
            <v>867558.28671469353</v>
          </cell>
        </row>
        <row r="39">
          <cell r="C39" t="str">
            <v>Drain-1</v>
          </cell>
          <cell r="D39">
            <v>1</v>
          </cell>
          <cell r="E39">
            <v>277</v>
          </cell>
          <cell r="F39">
            <v>1.2000000000000002</v>
          </cell>
          <cell r="G39">
            <v>0.15</v>
          </cell>
          <cell r="H39">
            <v>49.860000000000007</v>
          </cell>
        </row>
        <row r="40">
          <cell r="C40" t="str">
            <v>Drain 2.1</v>
          </cell>
          <cell r="D40">
            <v>1</v>
          </cell>
          <cell r="E40">
            <v>175</v>
          </cell>
          <cell r="F40">
            <v>1.3</v>
          </cell>
          <cell r="G40">
            <v>0.15</v>
          </cell>
          <cell r="H40">
            <v>34.125</v>
          </cell>
        </row>
        <row r="41">
          <cell r="C41" t="str">
            <v>Drain 2.2</v>
          </cell>
          <cell r="D41">
            <v>1</v>
          </cell>
          <cell r="E41">
            <v>1190</v>
          </cell>
          <cell r="F41">
            <v>1.4</v>
          </cell>
          <cell r="G41">
            <v>0.15</v>
          </cell>
          <cell r="H41">
            <v>249.89999999999998</v>
          </cell>
        </row>
        <row r="42">
          <cell r="C42" t="str">
            <v>Drain 3.1</v>
          </cell>
          <cell r="D42">
            <v>1</v>
          </cell>
          <cell r="E42">
            <v>375</v>
          </cell>
          <cell r="F42">
            <v>1.2000000000000002</v>
          </cell>
          <cell r="G42">
            <v>0.15</v>
          </cell>
          <cell r="H42">
            <v>67.5</v>
          </cell>
        </row>
        <row r="43">
          <cell r="C43" t="str">
            <v>Drain 3.2</v>
          </cell>
          <cell r="D43">
            <v>1</v>
          </cell>
          <cell r="E43">
            <v>825</v>
          </cell>
          <cell r="F43">
            <v>1.3</v>
          </cell>
          <cell r="G43">
            <v>0.15</v>
          </cell>
          <cell r="H43">
            <v>160.875</v>
          </cell>
        </row>
        <row r="44">
          <cell r="C44" t="str">
            <v>Drain 3.A</v>
          </cell>
          <cell r="D44">
            <v>1</v>
          </cell>
          <cell r="E44">
            <v>225</v>
          </cell>
          <cell r="F44">
            <v>1.2000000000000002</v>
          </cell>
          <cell r="G44">
            <v>0.15</v>
          </cell>
          <cell r="H44">
            <v>40.500000000000007</v>
          </cell>
        </row>
        <row r="45">
          <cell r="C45" t="str">
            <v>Drain 3.B</v>
          </cell>
          <cell r="D45">
            <v>1</v>
          </cell>
          <cell r="E45">
            <v>240</v>
          </cell>
          <cell r="F45">
            <v>1.04</v>
          </cell>
          <cell r="G45">
            <v>0.12</v>
          </cell>
          <cell r="H45">
            <v>29.952000000000002</v>
          </cell>
        </row>
        <row r="46">
          <cell r="B46" t="str">
            <v>7.2.d</v>
          </cell>
          <cell r="C46" t="str">
            <v xml:space="preserve">P.C.C. for  foundation &amp; walls in M15 </v>
          </cell>
          <cell r="I46">
            <v>316.35599999999999</v>
          </cell>
          <cell r="J46" t="str">
            <v>cum</v>
          </cell>
          <cell r="K46">
            <v>5021.5728177781257</v>
          </cell>
          <cell r="L46">
            <v>1588604.6903410167</v>
          </cell>
        </row>
        <row r="47">
          <cell r="C47" t="str">
            <v>Drain-1</v>
          </cell>
          <cell r="D47">
            <v>1</v>
          </cell>
          <cell r="E47">
            <v>277</v>
          </cell>
          <cell r="F47">
            <v>1.2000000000000002</v>
          </cell>
          <cell r="G47">
            <v>7.4999999999999997E-2</v>
          </cell>
          <cell r="H47">
            <v>24.930000000000003</v>
          </cell>
        </row>
        <row r="48">
          <cell r="C48" t="str">
            <v>Drain 2.1</v>
          </cell>
          <cell r="D48">
            <v>1</v>
          </cell>
          <cell r="E48">
            <v>175</v>
          </cell>
          <cell r="F48">
            <v>1.3</v>
          </cell>
          <cell r="G48">
            <v>7.4999999999999997E-2</v>
          </cell>
          <cell r="H48">
            <v>17.0625</v>
          </cell>
        </row>
        <row r="49">
          <cell r="C49" t="str">
            <v>Drain 2.2</v>
          </cell>
          <cell r="D49">
            <v>1</v>
          </cell>
          <cell r="E49">
            <v>1190</v>
          </cell>
          <cell r="F49">
            <v>1.4</v>
          </cell>
          <cell r="G49">
            <v>7.4999999999999997E-2</v>
          </cell>
          <cell r="H49">
            <v>124.94999999999999</v>
          </cell>
        </row>
        <row r="50">
          <cell r="C50" t="str">
            <v>Drain 3.1</v>
          </cell>
          <cell r="D50">
            <v>1</v>
          </cell>
          <cell r="E50">
            <v>375</v>
          </cell>
          <cell r="F50">
            <v>1.2000000000000002</v>
          </cell>
          <cell r="G50">
            <v>7.4999999999999997E-2</v>
          </cell>
          <cell r="H50">
            <v>33.75</v>
          </cell>
        </row>
        <row r="51">
          <cell r="C51" t="str">
            <v>Drain 3.2</v>
          </cell>
          <cell r="D51">
            <v>1</v>
          </cell>
          <cell r="E51">
            <v>825</v>
          </cell>
          <cell r="F51">
            <v>1.3</v>
          </cell>
          <cell r="G51">
            <v>7.4999999999999997E-2</v>
          </cell>
          <cell r="H51">
            <v>80.4375</v>
          </cell>
        </row>
        <row r="52">
          <cell r="C52" t="str">
            <v>Drain 3.A</v>
          </cell>
          <cell r="D52">
            <v>1</v>
          </cell>
          <cell r="E52">
            <v>225</v>
          </cell>
          <cell r="F52">
            <v>1.2000000000000002</v>
          </cell>
          <cell r="G52">
            <v>7.4999999999999997E-2</v>
          </cell>
          <cell r="H52">
            <v>20.250000000000004</v>
          </cell>
        </row>
        <row r="53">
          <cell r="C53" t="str">
            <v>Drain 3.B</v>
          </cell>
          <cell r="D53">
            <v>1</v>
          </cell>
          <cell r="E53">
            <v>240</v>
          </cell>
          <cell r="F53">
            <v>1.04</v>
          </cell>
          <cell r="G53">
            <v>0.06</v>
          </cell>
          <cell r="H53">
            <v>14.976000000000001</v>
          </cell>
        </row>
        <row r="54">
          <cell r="B54" t="str">
            <v>14.2.c</v>
          </cell>
          <cell r="C54" t="str">
            <v>Cement Pointing in rubble masonry work in  1:3 mortar</v>
          </cell>
          <cell r="I54">
            <v>4059.4999999999072</v>
          </cell>
          <cell r="J54" t="str">
            <v>sqm</v>
          </cell>
          <cell r="K54">
            <v>56.421091656153123</v>
          </cell>
          <cell r="L54">
            <v>229041.42157814838</v>
          </cell>
        </row>
        <row r="55">
          <cell r="C55" t="str">
            <v>Drain-1</v>
          </cell>
          <cell r="D55">
            <v>2</v>
          </cell>
          <cell r="E55">
            <v>277</v>
          </cell>
          <cell r="G55">
            <v>0.35</v>
          </cell>
          <cell r="H55">
            <v>193.89999999999998</v>
          </cell>
        </row>
        <row r="56">
          <cell r="C56" t="str">
            <v>Drain 2.1</v>
          </cell>
          <cell r="D56">
            <v>2</v>
          </cell>
          <cell r="E56">
            <v>175</v>
          </cell>
          <cell r="G56">
            <v>0.6</v>
          </cell>
          <cell r="H56">
            <v>210</v>
          </cell>
        </row>
        <row r="57">
          <cell r="C57" t="str">
            <v>Drain 2.2</v>
          </cell>
          <cell r="D57">
            <v>2</v>
          </cell>
          <cell r="E57">
            <v>1190</v>
          </cell>
          <cell r="G57">
            <v>0.70000000000002272</v>
          </cell>
          <cell r="H57">
            <v>1666.0000000000541</v>
          </cell>
        </row>
        <row r="58">
          <cell r="C58" t="str">
            <v>Drain 3.1</v>
          </cell>
          <cell r="D58">
            <v>2</v>
          </cell>
          <cell r="E58">
            <v>375</v>
          </cell>
          <cell r="G58">
            <v>0.6499999999999545</v>
          </cell>
          <cell r="H58">
            <v>487.49999999996589</v>
          </cell>
        </row>
        <row r="59">
          <cell r="C59" t="str">
            <v>Drain 3.2</v>
          </cell>
          <cell r="D59">
            <v>2</v>
          </cell>
          <cell r="E59">
            <v>825</v>
          </cell>
          <cell r="G59">
            <v>0.6499999999999545</v>
          </cell>
          <cell r="H59">
            <v>1072.499999999925</v>
          </cell>
        </row>
        <row r="60">
          <cell r="C60" t="str">
            <v>Drain 3.A</v>
          </cell>
          <cell r="D60">
            <v>2</v>
          </cell>
          <cell r="E60">
            <v>225</v>
          </cell>
          <cell r="G60">
            <v>0.3999999999999545</v>
          </cell>
          <cell r="H60">
            <v>179.99999999997954</v>
          </cell>
        </row>
        <row r="61">
          <cell r="C61" t="str">
            <v>Drain 3.B</v>
          </cell>
          <cell r="D61">
            <v>2</v>
          </cell>
          <cell r="E61">
            <v>240</v>
          </cell>
          <cell r="G61">
            <v>0.51999999999996371</v>
          </cell>
          <cell r="H61">
            <v>249.59999999998257</v>
          </cell>
        </row>
        <row r="62">
          <cell r="B62" t="str">
            <v>6.1.b</v>
          </cell>
          <cell r="C62" t="str">
            <v>Rubble masonry works in 1:4 cement mortar</v>
          </cell>
          <cell r="I62">
            <v>1202.8739999999732</v>
          </cell>
          <cell r="J62" t="str">
            <v>cum</v>
          </cell>
          <cell r="K62">
            <v>3062.1631243026563</v>
          </cell>
          <cell r="L62">
            <v>3683396.4059823514</v>
          </cell>
        </row>
        <row r="63">
          <cell r="C63" t="str">
            <v>Drain-1</v>
          </cell>
          <cell r="D63">
            <v>2</v>
          </cell>
          <cell r="E63">
            <v>277</v>
          </cell>
          <cell r="F63">
            <v>0.3</v>
          </cell>
          <cell r="G63">
            <v>0.35</v>
          </cell>
          <cell r="H63">
            <v>58.169999999999995</v>
          </cell>
        </row>
        <row r="64">
          <cell r="C64" t="str">
            <v>Drain 2.1</v>
          </cell>
          <cell r="D64">
            <v>2</v>
          </cell>
          <cell r="E64">
            <v>175</v>
          </cell>
          <cell r="F64">
            <v>0.3</v>
          </cell>
          <cell r="G64">
            <v>0.6</v>
          </cell>
          <cell r="H64">
            <v>63</v>
          </cell>
        </row>
        <row r="65">
          <cell r="C65" t="str">
            <v>Drain 2.2</v>
          </cell>
          <cell r="D65">
            <v>2</v>
          </cell>
          <cell r="E65">
            <v>1190</v>
          </cell>
          <cell r="F65">
            <v>0.3</v>
          </cell>
          <cell r="G65">
            <v>0.70000000000002272</v>
          </cell>
          <cell r="H65">
            <v>499.80000000001621</v>
          </cell>
        </row>
        <row r="66">
          <cell r="C66" t="str">
            <v>Drain 3.1</v>
          </cell>
          <cell r="D66">
            <v>2</v>
          </cell>
          <cell r="E66">
            <v>375</v>
          </cell>
          <cell r="F66">
            <v>0.3</v>
          </cell>
          <cell r="G66">
            <v>0.6499999999999545</v>
          </cell>
          <cell r="H66">
            <v>146.24999999998977</v>
          </cell>
        </row>
        <row r="67">
          <cell r="C67" t="str">
            <v>Drain 3.2</v>
          </cell>
          <cell r="D67">
            <v>2</v>
          </cell>
          <cell r="E67">
            <v>825</v>
          </cell>
          <cell r="F67">
            <v>0.3</v>
          </cell>
          <cell r="G67">
            <v>0.6499999999999545</v>
          </cell>
          <cell r="H67">
            <v>321.74999999997749</v>
          </cell>
        </row>
        <row r="68">
          <cell r="C68" t="str">
            <v>Drain 3.A</v>
          </cell>
          <cell r="D68">
            <v>2</v>
          </cell>
          <cell r="E68">
            <v>225</v>
          </cell>
          <cell r="F68">
            <v>0.3</v>
          </cell>
          <cell r="G68">
            <v>0.3999999999999545</v>
          </cell>
          <cell r="H68">
            <v>53.999999999993861</v>
          </cell>
        </row>
        <row r="69">
          <cell r="C69" t="str">
            <v>Drain 3.B</v>
          </cell>
          <cell r="D69">
            <v>2</v>
          </cell>
          <cell r="E69">
            <v>240</v>
          </cell>
          <cell r="F69">
            <v>0.24</v>
          </cell>
          <cell r="G69">
            <v>0.51999999999996371</v>
          </cell>
          <cell r="H69">
            <v>59.903999999995811</v>
          </cell>
        </row>
        <row r="70">
          <cell r="B70" t="str">
            <v>7.4.a</v>
          </cell>
          <cell r="C70" t="str">
            <v xml:space="preserve">P.C.C. for R.C.C. for super structures in M15 </v>
          </cell>
          <cell r="I70">
            <v>536.09400000000005</v>
          </cell>
          <cell r="J70" t="str">
            <v>cum</v>
          </cell>
          <cell r="K70">
            <v>5239.6617087703125</v>
          </cell>
          <cell r="L70">
            <v>2808951.2041015122</v>
          </cell>
        </row>
        <row r="71">
          <cell r="C71" t="str">
            <v>Cover Slab</v>
          </cell>
        </row>
        <row r="72">
          <cell r="C72" t="str">
            <v>Drain-1</v>
          </cell>
          <cell r="D72">
            <v>1</v>
          </cell>
          <cell r="E72">
            <v>277</v>
          </cell>
          <cell r="F72">
            <v>1</v>
          </cell>
          <cell r="G72">
            <v>0.15</v>
          </cell>
          <cell r="H72">
            <v>41.55</v>
          </cell>
        </row>
        <row r="73">
          <cell r="C73" t="str">
            <v>Drain 2.1</v>
          </cell>
          <cell r="D73">
            <v>1</v>
          </cell>
          <cell r="E73">
            <v>175</v>
          </cell>
          <cell r="F73">
            <v>1.1000000000000001</v>
          </cell>
          <cell r="G73">
            <v>0.15</v>
          </cell>
          <cell r="H73">
            <v>28.875000000000004</v>
          </cell>
        </row>
        <row r="74">
          <cell r="C74" t="str">
            <v>Drain 2.2</v>
          </cell>
          <cell r="D74">
            <v>1</v>
          </cell>
          <cell r="E74">
            <v>1190</v>
          </cell>
          <cell r="F74">
            <v>1.2</v>
          </cell>
          <cell r="G74">
            <v>0.15</v>
          </cell>
          <cell r="H74">
            <v>214.2</v>
          </cell>
        </row>
        <row r="75">
          <cell r="C75" t="str">
            <v>Drain 3.1</v>
          </cell>
          <cell r="D75">
            <v>1</v>
          </cell>
          <cell r="E75">
            <v>375</v>
          </cell>
          <cell r="F75">
            <v>1</v>
          </cell>
          <cell r="G75">
            <v>0.15</v>
          </cell>
          <cell r="H75">
            <v>56.25</v>
          </cell>
        </row>
        <row r="76">
          <cell r="C76" t="str">
            <v>Drain 3.2</v>
          </cell>
          <cell r="D76">
            <v>1</v>
          </cell>
          <cell r="E76">
            <v>825</v>
          </cell>
          <cell r="F76">
            <v>1.1000000000000001</v>
          </cell>
          <cell r="G76">
            <v>0.15</v>
          </cell>
          <cell r="H76">
            <v>136.125</v>
          </cell>
        </row>
        <row r="77">
          <cell r="C77" t="str">
            <v>Drain 3.A</v>
          </cell>
          <cell r="D77">
            <v>1</v>
          </cell>
          <cell r="E77">
            <v>225</v>
          </cell>
          <cell r="F77">
            <v>1</v>
          </cell>
          <cell r="G77">
            <v>0.15</v>
          </cell>
          <cell r="H77">
            <v>33.75</v>
          </cell>
        </row>
        <row r="78">
          <cell r="C78" t="str">
            <v>Drain 3.B</v>
          </cell>
          <cell r="D78">
            <v>1</v>
          </cell>
          <cell r="E78">
            <v>240</v>
          </cell>
          <cell r="F78">
            <v>0.88</v>
          </cell>
          <cell r="G78">
            <v>0.12</v>
          </cell>
          <cell r="H78">
            <v>25.343999999999998</v>
          </cell>
        </row>
        <row r="79">
          <cell r="B79" t="str">
            <v>8.2.a</v>
          </cell>
          <cell r="C79" t="str">
            <v>Formwork for flooring and slab including materials</v>
          </cell>
          <cell r="I79">
            <v>1660.8</v>
          </cell>
          <cell r="J79" t="str">
            <v>sqm</v>
          </cell>
          <cell r="K79">
            <v>241.29415</v>
          </cell>
          <cell r="L79">
            <v>400741.32432000001</v>
          </cell>
        </row>
        <row r="80">
          <cell r="C80" t="str">
            <v>Cover Slab</v>
          </cell>
        </row>
        <row r="81">
          <cell r="C81" t="str">
            <v>Drain-1</v>
          </cell>
          <cell r="D81">
            <v>1</v>
          </cell>
          <cell r="E81">
            <v>277</v>
          </cell>
          <cell r="F81">
            <v>0.4</v>
          </cell>
          <cell r="H81">
            <v>110.80000000000001</v>
          </cell>
        </row>
        <row r="82">
          <cell r="C82" t="str">
            <v>Drain 2.1</v>
          </cell>
          <cell r="D82">
            <v>1</v>
          </cell>
          <cell r="E82">
            <v>175</v>
          </cell>
          <cell r="F82">
            <v>0.5</v>
          </cell>
          <cell r="H82">
            <v>87.5</v>
          </cell>
        </row>
        <row r="83">
          <cell r="C83" t="str">
            <v>Drain 2.2</v>
          </cell>
          <cell r="D83">
            <v>1</v>
          </cell>
          <cell r="E83">
            <v>1190</v>
          </cell>
          <cell r="F83">
            <v>0.6</v>
          </cell>
          <cell r="H83">
            <v>714</v>
          </cell>
        </row>
        <row r="84">
          <cell r="C84" t="str">
            <v>Drain 3.1</v>
          </cell>
          <cell r="D84">
            <v>1</v>
          </cell>
          <cell r="E84">
            <v>375</v>
          </cell>
          <cell r="F84">
            <v>0.4</v>
          </cell>
          <cell r="H84">
            <v>150</v>
          </cell>
        </row>
        <row r="85">
          <cell r="C85" t="str">
            <v>Drain 3.2</v>
          </cell>
          <cell r="D85">
            <v>1</v>
          </cell>
          <cell r="E85">
            <v>825</v>
          </cell>
          <cell r="F85">
            <v>0.5</v>
          </cell>
          <cell r="H85">
            <v>412.5</v>
          </cell>
        </row>
        <row r="86">
          <cell r="C86" t="str">
            <v>Drain 3.A</v>
          </cell>
          <cell r="D86">
            <v>1</v>
          </cell>
          <cell r="E86">
            <v>225</v>
          </cell>
          <cell r="F86">
            <v>0.4</v>
          </cell>
          <cell r="H86">
            <v>90</v>
          </cell>
        </row>
        <row r="87">
          <cell r="C87" t="str">
            <v>Drain 3.B</v>
          </cell>
          <cell r="D87">
            <v>1</v>
          </cell>
          <cell r="E87">
            <v>240</v>
          </cell>
          <cell r="F87">
            <v>0.4</v>
          </cell>
          <cell r="H87">
            <v>96</v>
          </cell>
        </row>
        <row r="88">
          <cell r="B88" t="str">
            <v>7.5</v>
          </cell>
          <cell r="C88" t="str">
            <v>Reinforcement work for R.C.C. work</v>
          </cell>
          <cell r="I88">
            <v>40.207050000000002</v>
          </cell>
          <cell r="J88" t="str">
            <v>mt</v>
          </cell>
          <cell r="K88">
            <v>39248.537514867188</v>
          </cell>
          <cell r="L88">
            <v>1578067.9102871409</v>
          </cell>
        </row>
      </sheetData>
      <sheetData sheetId="45"/>
      <sheetData sheetId="46"/>
      <sheetData sheetId="47"/>
      <sheetData sheetId="48"/>
      <sheetData sheetId="49"/>
      <sheetData sheetId="50"/>
      <sheetData sheetId="51"/>
      <sheetData sheetId="52"/>
      <sheetData sheetId="53"/>
      <sheetData sheetId="54"/>
      <sheetData sheetId="55"/>
      <sheetData sheetId="56"/>
      <sheetData sheetId="57" refreshError="1">
        <row r="4">
          <cell r="B4" t="str">
            <v>1.4</v>
          </cell>
          <cell r="C4" t="str">
            <v>Site Clearance in thin vegetation area</v>
          </cell>
          <cell r="D4">
            <v>1</v>
          </cell>
          <cell r="E4">
            <v>15</v>
          </cell>
          <cell r="F4">
            <v>20</v>
          </cell>
          <cell r="H4">
            <v>450</v>
          </cell>
          <cell r="I4">
            <v>450</v>
          </cell>
          <cell r="J4" t="str">
            <v>sqm</v>
          </cell>
          <cell r="K4">
            <v>2.76</v>
          </cell>
          <cell r="L4">
            <v>1242</v>
          </cell>
        </row>
        <row r="5">
          <cell r="B5">
            <v>2.14</v>
          </cell>
          <cell r="C5" t="str">
            <v>E/W Excavation for foundation, drain, pipelines etc. in BM Soil</v>
          </cell>
          <cell r="I5">
            <v>143.86500000000001</v>
          </cell>
          <cell r="J5" t="str">
            <v>cum</v>
          </cell>
          <cell r="K5">
            <v>150.66839999999999</v>
          </cell>
          <cell r="L5">
            <v>21675.909366</v>
          </cell>
        </row>
        <row r="6">
          <cell r="C6" t="str">
            <v>Weir+ U/S and D/S floor</v>
          </cell>
          <cell r="D6">
            <v>1</v>
          </cell>
          <cell r="E6">
            <v>10.25</v>
          </cell>
          <cell r="F6">
            <v>13.5</v>
          </cell>
          <cell r="G6">
            <v>0.5</v>
          </cell>
          <cell r="H6">
            <v>69.1875</v>
          </cell>
        </row>
        <row r="7">
          <cell r="C7" t="str">
            <v>U/S Gabion Apron-1</v>
          </cell>
          <cell r="D7">
            <v>1</v>
          </cell>
          <cell r="E7">
            <v>13.5</v>
          </cell>
          <cell r="F7">
            <v>1</v>
          </cell>
          <cell r="G7">
            <v>0.5</v>
          </cell>
          <cell r="H7">
            <v>6.75</v>
          </cell>
        </row>
        <row r="8">
          <cell r="C8" t="str">
            <v>U/S Gabion Apron-2</v>
          </cell>
          <cell r="D8">
            <v>1</v>
          </cell>
          <cell r="E8">
            <v>13.5</v>
          </cell>
          <cell r="F8">
            <v>1</v>
          </cell>
          <cell r="G8">
            <v>1</v>
          </cell>
          <cell r="H8">
            <v>13.5</v>
          </cell>
        </row>
        <row r="9">
          <cell r="C9" t="str">
            <v>U/S &amp; D/S Cufoff</v>
          </cell>
          <cell r="D9">
            <v>2</v>
          </cell>
          <cell r="E9">
            <v>13.5</v>
          </cell>
          <cell r="F9">
            <v>1</v>
          </cell>
          <cell r="G9">
            <v>0.3</v>
          </cell>
          <cell r="H9">
            <v>8.1</v>
          </cell>
        </row>
        <row r="10">
          <cell r="C10" t="str">
            <v>D/S Gabion Apron-1</v>
          </cell>
          <cell r="D10">
            <v>1</v>
          </cell>
          <cell r="E10">
            <v>18</v>
          </cell>
          <cell r="F10">
            <v>1</v>
          </cell>
          <cell r="G10">
            <v>1</v>
          </cell>
          <cell r="H10">
            <v>18</v>
          </cell>
        </row>
        <row r="11">
          <cell r="C11" t="str">
            <v>D/S Gabion Apron-2</v>
          </cell>
          <cell r="D11">
            <v>1</v>
          </cell>
          <cell r="E11">
            <v>18</v>
          </cell>
          <cell r="F11">
            <v>1</v>
          </cell>
          <cell r="G11">
            <v>0.5</v>
          </cell>
          <cell r="H11">
            <v>9</v>
          </cell>
        </row>
        <row r="12">
          <cell r="C12" t="str">
            <v>Left bank Gabion protection</v>
          </cell>
          <cell r="D12">
            <v>2</v>
          </cell>
          <cell r="E12">
            <v>36</v>
          </cell>
          <cell r="F12">
            <v>1</v>
          </cell>
          <cell r="G12">
            <v>0.5</v>
          </cell>
          <cell r="H12">
            <v>36</v>
          </cell>
        </row>
        <row r="13">
          <cell r="C13" t="str">
            <v>Side Intake Chamber</v>
          </cell>
          <cell r="D13">
            <v>1</v>
          </cell>
          <cell r="E13">
            <v>9</v>
          </cell>
          <cell r="F13">
            <v>2.1</v>
          </cell>
          <cell r="G13">
            <v>1.35</v>
          </cell>
          <cell r="H13">
            <v>25.515000000000004</v>
          </cell>
        </row>
        <row r="14">
          <cell r="C14" t="str">
            <v>Right bank Gabion protection U/S</v>
          </cell>
          <cell r="D14">
            <v>2</v>
          </cell>
          <cell r="E14">
            <v>12</v>
          </cell>
          <cell r="F14">
            <v>1</v>
          </cell>
          <cell r="G14">
            <v>1</v>
          </cell>
          <cell r="H14">
            <v>24</v>
          </cell>
        </row>
        <row r="15">
          <cell r="C15" t="str">
            <v>Right bank Gabion protection D/S</v>
          </cell>
          <cell r="D15">
            <v>1</v>
          </cell>
          <cell r="E15">
            <v>6</v>
          </cell>
          <cell r="F15">
            <v>1</v>
          </cell>
          <cell r="G15">
            <v>0.5</v>
          </cell>
          <cell r="H15">
            <v>3</v>
          </cell>
        </row>
        <row r="17">
          <cell r="B17">
            <v>11.16</v>
          </cell>
          <cell r="C17" t="str">
            <v xml:space="preserve">Stone soling with sand </v>
          </cell>
          <cell r="I17">
            <v>0</v>
          </cell>
          <cell r="J17" t="str">
            <v>cum</v>
          </cell>
          <cell r="K17">
            <v>1371.1740676875002</v>
          </cell>
          <cell r="L17">
            <v>0</v>
          </cell>
        </row>
        <row r="18">
          <cell r="H18">
            <v>0</v>
          </cell>
        </row>
        <row r="19">
          <cell r="H19">
            <v>0</v>
          </cell>
        </row>
        <row r="20">
          <cell r="H20">
            <v>0</v>
          </cell>
        </row>
        <row r="21">
          <cell r="B21" t="str">
            <v>7.2.c</v>
          </cell>
          <cell r="C21" t="str">
            <v xml:space="preserve">P.C.C. for  foundation &amp; walls in M10 </v>
          </cell>
          <cell r="I21">
            <v>15.727500000000001</v>
          </cell>
          <cell r="J21" t="str">
            <v>cum</v>
          </cell>
          <cell r="K21">
            <v>4334.2110718062495</v>
          </cell>
          <cell r="L21">
            <v>68166.304631832798</v>
          </cell>
        </row>
        <row r="22">
          <cell r="C22" t="str">
            <v>Weir+ U/S and D/S floor</v>
          </cell>
          <cell r="D22">
            <v>1</v>
          </cell>
          <cell r="E22">
            <v>10.25</v>
          </cell>
          <cell r="F22">
            <v>13.5</v>
          </cell>
          <cell r="G22">
            <v>0.1</v>
          </cell>
          <cell r="H22">
            <v>13.8375</v>
          </cell>
        </row>
        <row r="23">
          <cell r="C23" t="str">
            <v>Side Intake Chamber</v>
          </cell>
          <cell r="D23">
            <v>1</v>
          </cell>
          <cell r="E23">
            <v>9</v>
          </cell>
          <cell r="F23">
            <v>2.1</v>
          </cell>
          <cell r="G23">
            <v>0.1</v>
          </cell>
          <cell r="H23">
            <v>1.8900000000000003</v>
          </cell>
        </row>
        <row r="24">
          <cell r="B24" t="str">
            <v>7.4.c</v>
          </cell>
          <cell r="C24" t="str">
            <v xml:space="preserve">P.C.C. for R.C.C. for super structures in M25 </v>
          </cell>
          <cell r="I24">
            <v>21.507750000000001</v>
          </cell>
          <cell r="J24" t="str">
            <v>cum</v>
          </cell>
          <cell r="K24">
            <v>7432.4170875750006</v>
          </cell>
          <cell r="L24">
            <v>159854.56861529124</v>
          </cell>
        </row>
        <row r="25">
          <cell r="C25" t="str">
            <v>Base of Side Intake Chamber</v>
          </cell>
          <cell r="D25">
            <v>1</v>
          </cell>
          <cell r="E25">
            <v>9</v>
          </cell>
          <cell r="F25">
            <v>2.1</v>
          </cell>
          <cell r="G25">
            <v>0.3</v>
          </cell>
          <cell r="H25">
            <v>5.6700000000000008</v>
          </cell>
        </row>
        <row r="26">
          <cell r="C26" t="str">
            <v>Side Walls(Long) of Intake Chamber</v>
          </cell>
          <cell r="D26">
            <v>2</v>
          </cell>
          <cell r="E26">
            <v>8.4</v>
          </cell>
          <cell r="F26">
            <v>2.4849999999999999</v>
          </cell>
          <cell r="G26">
            <v>0.3</v>
          </cell>
          <cell r="H26">
            <v>12.524399999999998</v>
          </cell>
        </row>
        <row r="27">
          <cell r="C27" t="str">
            <v>Side Wall-1(Short) of Intake Chamber</v>
          </cell>
          <cell r="D27">
            <v>1</v>
          </cell>
          <cell r="E27">
            <v>2.1</v>
          </cell>
          <cell r="F27">
            <v>0.3</v>
          </cell>
          <cell r="G27">
            <v>2.4</v>
          </cell>
          <cell r="H27">
            <v>1.512</v>
          </cell>
        </row>
        <row r="28">
          <cell r="C28" t="str">
            <v>Side Wall-2(Short) of Intake Chamber</v>
          </cell>
          <cell r="D28">
            <v>1</v>
          </cell>
          <cell r="E28">
            <v>2.1</v>
          </cell>
          <cell r="F28">
            <v>0.3</v>
          </cell>
          <cell r="G28">
            <v>2.57</v>
          </cell>
          <cell r="H28">
            <v>1.6191</v>
          </cell>
        </row>
        <row r="29">
          <cell r="C29" t="str">
            <v>Weir in the Intake Chamber</v>
          </cell>
          <cell r="D29">
            <v>1</v>
          </cell>
          <cell r="E29">
            <v>1.5</v>
          </cell>
          <cell r="F29">
            <v>2.0699999999999998</v>
          </cell>
          <cell r="G29">
            <v>0.25</v>
          </cell>
          <cell r="H29">
            <v>0.77624999999999988</v>
          </cell>
        </row>
        <row r="30">
          <cell r="C30" t="str">
            <v>Deduction for openings</v>
          </cell>
          <cell r="H30">
            <v>0</v>
          </cell>
        </row>
        <row r="31">
          <cell r="C31" t="str">
            <v>Trash rack</v>
          </cell>
          <cell r="D31">
            <v>1</v>
          </cell>
          <cell r="E31">
            <v>3</v>
          </cell>
          <cell r="F31">
            <v>0.6</v>
          </cell>
          <cell r="G31">
            <v>0.3</v>
          </cell>
          <cell r="H31">
            <v>-0.53999999999999992</v>
          </cell>
        </row>
        <row r="32">
          <cell r="C32" t="str">
            <v>Gate for flushing</v>
          </cell>
          <cell r="D32">
            <v>1</v>
          </cell>
          <cell r="E32">
            <v>0.6</v>
          </cell>
          <cell r="F32">
            <v>0.3</v>
          </cell>
          <cell r="G32">
            <v>0.3</v>
          </cell>
          <cell r="H32">
            <v>-5.3999999999999999E-2</v>
          </cell>
        </row>
        <row r="33">
          <cell r="B33" t="str">
            <v>7.4.b</v>
          </cell>
          <cell r="C33" t="str">
            <v xml:space="preserve">P.C.C. for R.C.C. for super structures in M20 </v>
          </cell>
          <cell r="I33">
            <v>125.38124999999999</v>
          </cell>
          <cell r="J33" t="str">
            <v>cum</v>
          </cell>
          <cell r="K33">
            <v>6154.8131365578129</v>
          </cell>
          <cell r="L33">
            <v>771698.1645780392</v>
          </cell>
        </row>
        <row r="34">
          <cell r="C34" t="str">
            <v>Floor(U/S+Weir+D/S)</v>
          </cell>
          <cell r="D34">
            <v>1</v>
          </cell>
          <cell r="E34">
            <v>10.25</v>
          </cell>
          <cell r="F34">
            <v>13.5</v>
          </cell>
          <cell r="G34">
            <v>0.5</v>
          </cell>
          <cell r="H34">
            <v>69.1875</v>
          </cell>
        </row>
        <row r="35">
          <cell r="C35" t="str">
            <v>Weir</v>
          </cell>
          <cell r="D35">
            <v>1</v>
          </cell>
          <cell r="E35">
            <v>13.5</v>
          </cell>
          <cell r="F35">
            <v>2.375</v>
          </cell>
          <cell r="G35">
            <v>1.5</v>
          </cell>
          <cell r="H35">
            <v>48.09375</v>
          </cell>
        </row>
        <row r="36">
          <cell r="C36" t="str">
            <v>Deduction for openings</v>
          </cell>
          <cell r="H36">
            <v>0</v>
          </cell>
        </row>
        <row r="37">
          <cell r="C37" t="str">
            <v>U/S &amp; D/S Cutoff</v>
          </cell>
          <cell r="D37">
            <v>2</v>
          </cell>
          <cell r="E37">
            <v>13.5</v>
          </cell>
          <cell r="F37">
            <v>1</v>
          </cell>
          <cell r="G37">
            <v>0.3</v>
          </cell>
          <cell r="H37">
            <v>8.1</v>
          </cell>
        </row>
        <row r="38">
          <cell r="B38" t="str">
            <v>7.5</v>
          </cell>
          <cell r="C38" t="str">
            <v>Reinforcement work for R.C.C. work</v>
          </cell>
          <cell r="D38" t="str">
            <v>@100kg/cum</v>
          </cell>
          <cell r="H38">
            <v>14.688900000000002</v>
          </cell>
          <cell r="I38">
            <v>14.688900000000002</v>
          </cell>
          <cell r="J38" t="str">
            <v>mt</v>
          </cell>
          <cell r="K38">
            <v>39248.537514867188</v>
          </cell>
          <cell r="L38">
            <v>576517.84270213277</v>
          </cell>
        </row>
        <row r="39">
          <cell r="B39" t="str">
            <v>8.2.a</v>
          </cell>
          <cell r="C39" t="str">
            <v>Formwork for flooring and slab including materials</v>
          </cell>
          <cell r="I39">
            <v>204.73399999999998</v>
          </cell>
          <cell r="J39" t="str">
            <v>sqm</v>
          </cell>
          <cell r="K39">
            <v>241.29415</v>
          </cell>
          <cell r="L39">
            <v>49401.116506099999</v>
          </cell>
        </row>
        <row r="40">
          <cell r="C40" t="str">
            <v>Longer side floor(U/S+Weir+D/S)</v>
          </cell>
          <cell r="D40">
            <v>2</v>
          </cell>
          <cell r="E40">
            <v>10.25</v>
          </cell>
          <cell r="F40">
            <v>0.5</v>
          </cell>
          <cell r="H40">
            <v>10.25</v>
          </cell>
        </row>
        <row r="41">
          <cell r="C41" t="str">
            <v>Shorter side floor</v>
          </cell>
          <cell r="D41">
            <v>2</v>
          </cell>
          <cell r="E41">
            <v>13.5</v>
          </cell>
          <cell r="F41">
            <v>0.5</v>
          </cell>
          <cell r="H41">
            <v>13.5</v>
          </cell>
        </row>
        <row r="42">
          <cell r="C42" t="str">
            <v>Weir U/S</v>
          </cell>
          <cell r="D42">
            <v>1</v>
          </cell>
          <cell r="E42">
            <v>13.5</v>
          </cell>
          <cell r="F42">
            <v>2.12</v>
          </cell>
          <cell r="H42">
            <v>28.62</v>
          </cell>
        </row>
        <row r="43">
          <cell r="C43" t="str">
            <v>Weir D/S</v>
          </cell>
          <cell r="D43">
            <v>1</v>
          </cell>
          <cell r="E43">
            <v>13.5</v>
          </cell>
          <cell r="F43">
            <v>2.7</v>
          </cell>
          <cell r="H43">
            <v>36.450000000000003</v>
          </cell>
        </row>
        <row r="44">
          <cell r="C44" t="str">
            <v>Weir sides</v>
          </cell>
          <cell r="D44">
            <v>2</v>
          </cell>
          <cell r="E44">
            <v>2.38</v>
          </cell>
          <cell r="F44">
            <v>1.5</v>
          </cell>
          <cell r="H44">
            <v>7.14</v>
          </cell>
        </row>
        <row r="45">
          <cell r="C45" t="str">
            <v>Outer side Walls(Long) of Intake Chamber</v>
          </cell>
          <cell r="D45">
            <v>2</v>
          </cell>
          <cell r="E45">
            <v>9</v>
          </cell>
          <cell r="F45">
            <v>2.4900000000000002</v>
          </cell>
          <cell r="H45">
            <v>44.820000000000007</v>
          </cell>
        </row>
        <row r="46">
          <cell r="C46" t="str">
            <v>Inner side Walls(Long) of Intake Chamber</v>
          </cell>
          <cell r="D46">
            <v>2</v>
          </cell>
          <cell r="E46">
            <v>8.4</v>
          </cell>
          <cell r="F46">
            <v>2.4900000000000002</v>
          </cell>
          <cell r="H46">
            <v>41.832000000000008</v>
          </cell>
        </row>
        <row r="47">
          <cell r="C47" t="str">
            <v>Inner Side Wall-1(Short) of Intake Chamber</v>
          </cell>
          <cell r="D47">
            <v>1</v>
          </cell>
          <cell r="E47">
            <v>2.1</v>
          </cell>
          <cell r="F47">
            <v>2.4</v>
          </cell>
          <cell r="H47">
            <v>5.04</v>
          </cell>
        </row>
        <row r="48">
          <cell r="C48" t="str">
            <v>Outer Side Wall-1(Short) of Intake Chamber</v>
          </cell>
          <cell r="D48">
            <v>1</v>
          </cell>
          <cell r="E48">
            <v>1.5</v>
          </cell>
          <cell r="F48">
            <v>2.4</v>
          </cell>
          <cell r="H48">
            <v>3.5999999999999996</v>
          </cell>
        </row>
        <row r="49">
          <cell r="C49" t="str">
            <v>Inner Side Wall-2(Short) of Intake Chamber</v>
          </cell>
          <cell r="D49">
            <v>1</v>
          </cell>
          <cell r="E49">
            <v>2.1</v>
          </cell>
          <cell r="F49">
            <v>2.57</v>
          </cell>
          <cell r="H49">
            <v>5.3970000000000002</v>
          </cell>
        </row>
        <row r="50">
          <cell r="C50" t="str">
            <v>Outer Side Wall-2(Short) of Intake Chamber</v>
          </cell>
          <cell r="D50">
            <v>1</v>
          </cell>
          <cell r="E50">
            <v>1.5</v>
          </cell>
          <cell r="F50">
            <v>2.57</v>
          </cell>
          <cell r="H50">
            <v>3.8549999999999995</v>
          </cell>
        </row>
        <row r="51">
          <cell r="C51" t="str">
            <v>Weir</v>
          </cell>
          <cell r="D51">
            <v>2</v>
          </cell>
          <cell r="E51">
            <v>1.5</v>
          </cell>
          <cell r="F51">
            <v>2.0699999999999998</v>
          </cell>
          <cell r="H51">
            <v>6.2099999999999991</v>
          </cell>
        </row>
        <row r="52">
          <cell r="C52" t="str">
            <v>Deduction for openings</v>
          </cell>
          <cell r="H52">
            <v>0</v>
          </cell>
        </row>
        <row r="53">
          <cell r="C53" t="str">
            <v>Trash rack</v>
          </cell>
          <cell r="D53">
            <v>1</v>
          </cell>
          <cell r="E53">
            <v>3</v>
          </cell>
          <cell r="F53">
            <v>0.6</v>
          </cell>
          <cell r="H53">
            <v>-1.7999999999999998</v>
          </cell>
        </row>
        <row r="54">
          <cell r="C54" t="str">
            <v>Gate for flushing</v>
          </cell>
          <cell r="D54">
            <v>1</v>
          </cell>
          <cell r="E54">
            <v>0.6</v>
          </cell>
          <cell r="F54">
            <v>0.3</v>
          </cell>
          <cell r="H54">
            <v>-0.18</v>
          </cell>
        </row>
        <row r="55">
          <cell r="B55" t="str">
            <v>16.2.b</v>
          </cell>
          <cell r="C55" t="str">
            <v>3mx1mx1m size Gabion box fabrication, 10 and 7 SWG ( 80x100 hex)</v>
          </cell>
          <cell r="H55">
            <v>133.5</v>
          </cell>
          <cell r="I55">
            <v>133.5</v>
          </cell>
          <cell r="J55" t="str">
            <v>cum</v>
          </cell>
          <cell r="K55">
            <v>854.7643333333333</v>
          </cell>
          <cell r="L55">
            <v>114111.0385</v>
          </cell>
        </row>
        <row r="56">
          <cell r="C56" t="str">
            <v>U/S Gabion Apron-2</v>
          </cell>
          <cell r="D56">
            <v>1</v>
          </cell>
          <cell r="E56">
            <v>13.5</v>
          </cell>
          <cell r="F56">
            <v>1</v>
          </cell>
          <cell r="G56">
            <v>1</v>
          </cell>
          <cell r="H56">
            <v>13.5</v>
          </cell>
        </row>
        <row r="57">
          <cell r="C57" t="str">
            <v>D/S Gabion Apron-2</v>
          </cell>
          <cell r="D57">
            <v>1</v>
          </cell>
          <cell r="E57">
            <v>18</v>
          </cell>
          <cell r="F57">
            <v>1</v>
          </cell>
          <cell r="G57">
            <v>1</v>
          </cell>
          <cell r="H57">
            <v>18</v>
          </cell>
        </row>
        <row r="58">
          <cell r="C58" t="str">
            <v>Left bank Gabion protection</v>
          </cell>
          <cell r="D58">
            <v>2</v>
          </cell>
          <cell r="E58">
            <v>36</v>
          </cell>
          <cell r="F58">
            <v>1</v>
          </cell>
          <cell r="G58">
            <v>1</v>
          </cell>
          <cell r="H58">
            <v>72</v>
          </cell>
        </row>
        <row r="59">
          <cell r="C59" t="str">
            <v>Right bank Gabion protection U/S</v>
          </cell>
          <cell r="D59">
            <v>2</v>
          </cell>
          <cell r="E59">
            <v>12</v>
          </cell>
          <cell r="F59">
            <v>1</v>
          </cell>
          <cell r="G59">
            <v>1</v>
          </cell>
          <cell r="H59">
            <v>24</v>
          </cell>
        </row>
        <row r="60">
          <cell r="C60" t="str">
            <v>Right bank Gabion protection D/S</v>
          </cell>
          <cell r="D60">
            <v>1</v>
          </cell>
          <cell r="E60">
            <v>6</v>
          </cell>
          <cell r="F60">
            <v>1</v>
          </cell>
          <cell r="G60">
            <v>1</v>
          </cell>
          <cell r="H60">
            <v>6</v>
          </cell>
        </row>
        <row r="61">
          <cell r="B61" t="str">
            <v>16.2.d</v>
          </cell>
          <cell r="C61" t="str">
            <v>3mx1mx0.5m size Gabion box fabrication, 10 and 7 SWG ( 80x100 hex)</v>
          </cell>
          <cell r="H61">
            <v>15.75</v>
          </cell>
          <cell r="I61">
            <v>15.75</v>
          </cell>
          <cell r="J61" t="str">
            <v>cum</v>
          </cell>
          <cell r="K61">
            <v>1195.7393333333332</v>
          </cell>
          <cell r="L61">
            <v>18832.894499999999</v>
          </cell>
        </row>
        <row r="62">
          <cell r="C62" t="str">
            <v>U/S Gabion Apron-1</v>
          </cell>
          <cell r="D62">
            <v>1</v>
          </cell>
          <cell r="E62">
            <v>13.5</v>
          </cell>
          <cell r="F62">
            <v>1</v>
          </cell>
          <cell r="G62">
            <v>0.5</v>
          </cell>
          <cell r="H62">
            <v>6.75</v>
          </cell>
        </row>
        <row r="63">
          <cell r="C63" t="str">
            <v>D/S Gabion Apron-2</v>
          </cell>
          <cell r="D63">
            <v>1</v>
          </cell>
          <cell r="E63">
            <v>18</v>
          </cell>
          <cell r="F63">
            <v>1</v>
          </cell>
          <cell r="G63">
            <v>0.5</v>
          </cell>
          <cell r="H63">
            <v>9</v>
          </cell>
        </row>
        <row r="64">
          <cell r="B64">
            <v>16.11</v>
          </cell>
          <cell r="C64" t="str">
            <v>Filling of Gabion box with boulder</v>
          </cell>
          <cell r="H64">
            <v>149.25</v>
          </cell>
          <cell r="I64">
            <v>149.25</v>
          </cell>
          <cell r="J64" t="str">
            <v>cum</v>
          </cell>
          <cell r="K64">
            <v>974.35519562499996</v>
          </cell>
          <cell r="L64">
            <v>145422.51294703124</v>
          </cell>
        </row>
        <row r="65">
          <cell r="C65" t="str">
            <v>U/S Gabion Apron-2</v>
          </cell>
          <cell r="D65">
            <v>1</v>
          </cell>
          <cell r="E65">
            <v>13.5</v>
          </cell>
          <cell r="F65">
            <v>1</v>
          </cell>
          <cell r="G65">
            <v>1</v>
          </cell>
          <cell r="H65">
            <v>13.5</v>
          </cell>
        </row>
        <row r="66">
          <cell r="C66" t="str">
            <v>D/S Gabion Apron-2</v>
          </cell>
          <cell r="D66">
            <v>1</v>
          </cell>
          <cell r="E66">
            <v>18</v>
          </cell>
          <cell r="F66">
            <v>1</v>
          </cell>
          <cell r="G66">
            <v>1</v>
          </cell>
          <cell r="H66">
            <v>18</v>
          </cell>
        </row>
        <row r="67">
          <cell r="C67" t="str">
            <v>Left bank Gabion protection</v>
          </cell>
          <cell r="D67">
            <v>2</v>
          </cell>
          <cell r="E67">
            <v>36</v>
          </cell>
          <cell r="F67">
            <v>1</v>
          </cell>
          <cell r="G67">
            <v>1</v>
          </cell>
          <cell r="H67">
            <v>72</v>
          </cell>
        </row>
        <row r="68">
          <cell r="C68" t="str">
            <v>Right bank Gabion protection U/S</v>
          </cell>
          <cell r="D68">
            <v>2</v>
          </cell>
          <cell r="E68">
            <v>12</v>
          </cell>
          <cell r="F68">
            <v>1</v>
          </cell>
          <cell r="G68">
            <v>1</v>
          </cell>
          <cell r="H68">
            <v>24</v>
          </cell>
        </row>
        <row r="69">
          <cell r="C69" t="str">
            <v>Right bank Gabion protection D/S</v>
          </cell>
          <cell r="D69">
            <v>1</v>
          </cell>
          <cell r="E69">
            <v>6</v>
          </cell>
          <cell r="F69">
            <v>1</v>
          </cell>
          <cell r="G69">
            <v>1</v>
          </cell>
          <cell r="H69">
            <v>6</v>
          </cell>
        </row>
        <row r="70">
          <cell r="C70" t="str">
            <v>U/S Gabion Apron-1</v>
          </cell>
          <cell r="D70">
            <v>1</v>
          </cell>
          <cell r="E70">
            <v>13.5</v>
          </cell>
          <cell r="F70">
            <v>1</v>
          </cell>
          <cell r="G70">
            <v>0.5</v>
          </cell>
          <cell r="H70">
            <v>6.75</v>
          </cell>
        </row>
        <row r="71">
          <cell r="C71" t="str">
            <v>D/S Gabion Apron-2</v>
          </cell>
          <cell r="D71">
            <v>1</v>
          </cell>
          <cell r="E71">
            <v>18</v>
          </cell>
          <cell r="F71">
            <v>1</v>
          </cell>
          <cell r="G71">
            <v>0.5</v>
          </cell>
          <cell r="H71">
            <v>9</v>
          </cell>
        </row>
        <row r="72">
          <cell r="B72" t="str">
            <v>M-101</v>
          </cell>
          <cell r="C72" t="str">
            <v>MS Gate for Flushing</v>
          </cell>
          <cell r="I72">
            <v>1</v>
          </cell>
          <cell r="J72" t="str">
            <v>Job</v>
          </cell>
          <cell r="K72">
            <v>100000</v>
          </cell>
          <cell r="L72">
            <v>100000</v>
          </cell>
        </row>
        <row r="73">
          <cell r="B73" t="str">
            <v>M-102</v>
          </cell>
          <cell r="C73" t="str">
            <v>MS Plate for Trash rack</v>
          </cell>
          <cell r="I73">
            <v>1</v>
          </cell>
          <cell r="J73" t="str">
            <v>Job</v>
          </cell>
          <cell r="K73">
            <v>15000</v>
          </cell>
          <cell r="L73">
            <v>15000</v>
          </cell>
        </row>
        <row r="74">
          <cell r="B74" t="str">
            <v>M-103</v>
          </cell>
          <cell r="C74" t="str">
            <v>Stop log structure</v>
          </cell>
          <cell r="I74">
            <v>1</v>
          </cell>
          <cell r="J74" t="str">
            <v>Job</v>
          </cell>
          <cell r="K74">
            <v>5000</v>
          </cell>
          <cell r="L74">
            <v>5000</v>
          </cell>
        </row>
        <row r="75">
          <cell r="B75" t="str">
            <v>M-104</v>
          </cell>
          <cell r="C75" t="str">
            <v>Dewatering Cost</v>
          </cell>
          <cell r="I75">
            <v>1</v>
          </cell>
          <cell r="J75" t="str">
            <v>Job</v>
          </cell>
          <cell r="K75">
            <v>100000</v>
          </cell>
          <cell r="L75">
            <v>100000</v>
          </cell>
        </row>
      </sheetData>
      <sheetData sheetId="58" refreshError="1">
        <row r="47">
          <cell r="B47" t="str">
            <v>1.4</v>
          </cell>
          <cell r="C47" t="str">
            <v>Site Clearance in thin vegetation area</v>
          </cell>
          <cell r="I47">
            <v>1250</v>
          </cell>
          <cell r="J47" t="str">
            <v>sqm</v>
          </cell>
          <cell r="K47">
            <v>2.76</v>
          </cell>
          <cell r="L47">
            <v>3449.9999999999995</v>
          </cell>
        </row>
        <row r="48">
          <cell r="C48" t="str">
            <v>Site Clearance</v>
          </cell>
          <cell r="D48">
            <v>1</v>
          </cell>
          <cell r="E48">
            <v>10</v>
          </cell>
          <cell r="F48">
            <v>5</v>
          </cell>
          <cell r="H48">
            <v>1250</v>
          </cell>
        </row>
        <row r="49">
          <cell r="B49">
            <v>2.14</v>
          </cell>
          <cell r="C49" t="str">
            <v>E/W Excavation for foundation, drain, pipelines etc. in BM Soil</v>
          </cell>
          <cell r="I49">
            <v>90.702224999999999</v>
          </cell>
          <cell r="J49" t="str">
            <v>cum</v>
          </cell>
          <cell r="K49">
            <v>150.66839999999999</v>
          </cell>
          <cell r="L49">
            <v>13665.959117189999</v>
          </cell>
        </row>
        <row r="50">
          <cell r="C50" t="str">
            <v>Grit Chamber</v>
          </cell>
          <cell r="D50">
            <v>1</v>
          </cell>
          <cell r="E50">
            <v>7.85</v>
          </cell>
          <cell r="F50">
            <v>4.1399999999999997</v>
          </cell>
          <cell r="G50">
            <v>2.875</v>
          </cell>
          <cell r="H50">
            <v>93.434624999999997</v>
          </cell>
        </row>
        <row r="51">
          <cell r="C51" t="str">
            <v>Deduction : Sloping Portion</v>
          </cell>
          <cell r="D51">
            <v>-1</v>
          </cell>
          <cell r="E51">
            <v>0.6</v>
          </cell>
          <cell r="F51">
            <v>4.1399999999999997</v>
          </cell>
          <cell r="G51">
            <v>0.3</v>
          </cell>
          <cell r="H51">
            <v>-0.74519999999999986</v>
          </cell>
        </row>
        <row r="52">
          <cell r="D52">
            <v>-1</v>
          </cell>
          <cell r="E52">
            <v>0.8</v>
          </cell>
          <cell r="F52">
            <v>4.1399999999999997</v>
          </cell>
          <cell r="G52">
            <v>0.6</v>
          </cell>
          <cell r="H52">
            <v>-1.9871999999999996</v>
          </cell>
        </row>
        <row r="53">
          <cell r="B53">
            <v>11.16</v>
          </cell>
          <cell r="C53" t="str">
            <v xml:space="preserve">Stone soling with sand </v>
          </cell>
          <cell r="I53">
            <v>9.8749439999999975</v>
          </cell>
          <cell r="J53" t="str">
            <v>cum</v>
          </cell>
          <cell r="K53">
            <v>1371.1740676875002</v>
          </cell>
          <cell r="L53">
            <v>13540.267132666269</v>
          </cell>
        </row>
        <row r="54">
          <cell r="C54" t="str">
            <v>Base</v>
          </cell>
          <cell r="D54">
            <v>1</v>
          </cell>
          <cell r="E54">
            <v>8.5719999999999992</v>
          </cell>
          <cell r="F54">
            <v>3.84</v>
          </cell>
          <cell r="G54">
            <v>0.3</v>
          </cell>
          <cell r="H54">
            <v>9.8749439999999975</v>
          </cell>
        </row>
        <row r="55">
          <cell r="B55" t="str">
            <v>7.2.c</v>
          </cell>
          <cell r="C55" t="str">
            <v xml:space="preserve">P.C.C. for  foundation &amp; walls in M10 </v>
          </cell>
          <cell r="I55">
            <v>3.2916479999999999</v>
          </cell>
          <cell r="J55" t="str">
            <v>cum</v>
          </cell>
          <cell r="K55">
            <v>4334.2110718062495</v>
          </cell>
          <cell r="L55">
            <v>14266.697206088897</v>
          </cell>
        </row>
        <row r="56">
          <cell r="C56" t="str">
            <v>Base</v>
          </cell>
          <cell r="D56">
            <v>1</v>
          </cell>
          <cell r="E56">
            <v>8.5719999999999992</v>
          </cell>
          <cell r="F56">
            <v>3.84</v>
          </cell>
          <cell r="G56">
            <v>0.1</v>
          </cell>
          <cell r="H56">
            <v>3.2916479999999999</v>
          </cell>
        </row>
        <row r="57">
          <cell r="B57" t="str">
            <v>7.4.b</v>
          </cell>
          <cell r="C57" t="str">
            <v xml:space="preserve">P.C.C. for R.C.C. for super structures in M20 </v>
          </cell>
          <cell r="I57">
            <v>27.538793999999996</v>
          </cell>
          <cell r="J57" t="str">
            <v>cum</v>
          </cell>
          <cell r="K57">
            <v>6154.8131365578129</v>
          </cell>
          <cell r="L57">
            <v>169496.13107615945</v>
          </cell>
        </row>
        <row r="58">
          <cell r="C58" t="str">
            <v>Bed</v>
          </cell>
          <cell r="D58">
            <v>1</v>
          </cell>
          <cell r="E58">
            <v>8.5719999999999992</v>
          </cell>
          <cell r="F58">
            <v>3.84</v>
          </cell>
          <cell r="G58">
            <v>0.3</v>
          </cell>
          <cell r="H58">
            <v>9.8749439999999975</v>
          </cell>
        </row>
        <row r="59">
          <cell r="C59" t="str">
            <v>Long Wall</v>
          </cell>
          <cell r="D59">
            <v>3</v>
          </cell>
          <cell r="E59">
            <v>7.55</v>
          </cell>
          <cell r="F59">
            <v>0.3</v>
          </cell>
          <cell r="G59">
            <v>1.9</v>
          </cell>
          <cell r="H59">
            <v>12.910499999999999</v>
          </cell>
        </row>
        <row r="60">
          <cell r="C60" t="str">
            <v>Short Wall-1</v>
          </cell>
          <cell r="D60">
            <v>1</v>
          </cell>
          <cell r="E60">
            <v>3.24</v>
          </cell>
          <cell r="F60">
            <v>0.3</v>
          </cell>
          <cell r="G60">
            <v>1.6</v>
          </cell>
          <cell r="H60">
            <v>1.5552000000000001</v>
          </cell>
        </row>
        <row r="61">
          <cell r="C61" t="str">
            <v>Short Wall-2</v>
          </cell>
          <cell r="D61">
            <v>1</v>
          </cell>
          <cell r="E61">
            <v>3.24</v>
          </cell>
          <cell r="F61">
            <v>0.3</v>
          </cell>
          <cell r="G61">
            <v>2.2000000000000002</v>
          </cell>
          <cell r="H61">
            <v>2.1384000000000003</v>
          </cell>
        </row>
        <row r="62">
          <cell r="C62" t="str">
            <v>Short Wall-3</v>
          </cell>
          <cell r="D62">
            <v>1</v>
          </cell>
          <cell r="E62">
            <v>3.24</v>
          </cell>
          <cell r="F62">
            <v>0.15</v>
          </cell>
          <cell r="G62">
            <v>2.2000000000000002</v>
          </cell>
          <cell r="H62">
            <v>1.0692000000000002</v>
          </cell>
        </row>
        <row r="63">
          <cell r="C63" t="str">
            <v>Deduction Proportional Weir</v>
          </cell>
          <cell r="D63">
            <v>-2</v>
          </cell>
          <cell r="E63">
            <v>0.21</v>
          </cell>
          <cell r="F63">
            <v>0.15</v>
          </cell>
          <cell r="G63">
            <v>0.15</v>
          </cell>
          <cell r="H63">
            <v>-9.4500000000000001E-3</v>
          </cell>
        </row>
        <row r="64">
          <cell r="B64" t="str">
            <v>7.5</v>
          </cell>
          <cell r="C64" t="str">
            <v>Reinforcement work for R.C.C. work</v>
          </cell>
          <cell r="D64" t="str">
            <v>@100 kg/cum</v>
          </cell>
          <cell r="H64">
            <v>2.7538793999999998</v>
          </cell>
          <cell r="I64">
            <v>2.7538793999999998</v>
          </cell>
          <cell r="J64" t="str">
            <v>mt</v>
          </cell>
          <cell r="K64">
            <v>39248.537514867188</v>
          </cell>
          <cell r="L64">
            <v>108085.73894231993</v>
          </cell>
        </row>
        <row r="65">
          <cell r="B65" t="str">
            <v>8.2.a</v>
          </cell>
          <cell r="C65" t="str">
            <v>Formwork for flooring and slab including materials</v>
          </cell>
          <cell r="I65">
            <v>124.94999999999999</v>
          </cell>
          <cell r="J65" t="str">
            <v>sqm</v>
          </cell>
          <cell r="K65">
            <v>241.29415</v>
          </cell>
          <cell r="L65">
            <v>30149.704042499998</v>
          </cell>
        </row>
        <row r="66">
          <cell r="C66" t="str">
            <v>Long Wall</v>
          </cell>
          <cell r="D66">
            <v>6</v>
          </cell>
          <cell r="E66">
            <v>7.55</v>
          </cell>
          <cell r="F66">
            <v>1.9</v>
          </cell>
          <cell r="H66">
            <v>86.07</v>
          </cell>
        </row>
        <row r="67">
          <cell r="C67" t="str">
            <v>Short Wall-1</v>
          </cell>
          <cell r="D67">
            <v>2</v>
          </cell>
          <cell r="E67">
            <v>3.24</v>
          </cell>
          <cell r="F67">
            <v>1.6</v>
          </cell>
          <cell r="H67">
            <v>10.368000000000002</v>
          </cell>
        </row>
        <row r="68">
          <cell r="C68" t="str">
            <v>Short Wall-2</v>
          </cell>
          <cell r="D68">
            <v>2</v>
          </cell>
          <cell r="E68">
            <v>3.24</v>
          </cell>
          <cell r="F68">
            <v>2.2000000000000002</v>
          </cell>
          <cell r="H68">
            <v>14.256000000000002</v>
          </cell>
        </row>
        <row r="69">
          <cell r="C69" t="str">
            <v>Short Wall-3</v>
          </cell>
          <cell r="D69">
            <v>2</v>
          </cell>
          <cell r="E69">
            <v>3.24</v>
          </cell>
          <cell r="F69">
            <v>2.2000000000000002</v>
          </cell>
          <cell r="H69">
            <v>14.256000000000002</v>
          </cell>
        </row>
        <row r="70">
          <cell r="B70" t="str">
            <v>12.4.a</v>
          </cell>
          <cell r="C70" t="str">
            <v>20 mm plastering works in 1:3 cement sand mortar</v>
          </cell>
          <cell r="I70">
            <v>89.828279999999992</v>
          </cell>
          <cell r="J70" t="str">
            <v>sqm</v>
          </cell>
          <cell r="K70">
            <v>176.78511684939062</v>
          </cell>
          <cell r="L70">
            <v>15880.302976179777</v>
          </cell>
        </row>
        <row r="71">
          <cell r="C71" t="str">
            <v>Bed</v>
          </cell>
          <cell r="D71">
            <v>1</v>
          </cell>
          <cell r="E71">
            <v>8.5719999999999992</v>
          </cell>
          <cell r="F71">
            <v>3.24</v>
          </cell>
          <cell r="H71">
            <v>27.77328</v>
          </cell>
        </row>
        <row r="72">
          <cell r="C72" t="str">
            <v>Long Wall</v>
          </cell>
          <cell r="D72">
            <v>3</v>
          </cell>
          <cell r="E72">
            <v>7.55</v>
          </cell>
          <cell r="F72">
            <v>1.9</v>
          </cell>
          <cell r="H72">
            <v>43.034999999999997</v>
          </cell>
        </row>
        <row r="73">
          <cell r="C73" t="str">
            <v>Short Wall-1</v>
          </cell>
          <cell r="D73">
            <v>1</v>
          </cell>
          <cell r="E73">
            <v>3.24</v>
          </cell>
          <cell r="F73">
            <v>1.6</v>
          </cell>
          <cell r="H73">
            <v>5.1840000000000011</v>
          </cell>
        </row>
        <row r="74">
          <cell r="C74" t="str">
            <v>Short Wall-2</v>
          </cell>
          <cell r="D74">
            <v>1</v>
          </cell>
          <cell r="E74">
            <v>3.24</v>
          </cell>
          <cell r="F74">
            <v>2.2000000000000002</v>
          </cell>
          <cell r="H74">
            <v>7.128000000000001</v>
          </cell>
        </row>
        <row r="75">
          <cell r="C75" t="str">
            <v>Short Wall-3</v>
          </cell>
          <cell r="D75">
            <v>1</v>
          </cell>
          <cell r="E75">
            <v>3.24</v>
          </cell>
          <cell r="F75">
            <v>2.2000000000000002</v>
          </cell>
          <cell r="H75">
            <v>7.128000000000001</v>
          </cell>
        </row>
        <row r="76">
          <cell r="C76" t="str">
            <v>Proportional Weir Deduction</v>
          </cell>
          <cell r="D76">
            <v>-2</v>
          </cell>
          <cell r="E76">
            <v>0.21</v>
          </cell>
          <cell r="H76">
            <v>-0.42</v>
          </cell>
        </row>
        <row r="77">
          <cell r="B77" t="str">
            <v>M-105</v>
          </cell>
          <cell r="C77" t="str">
            <v xml:space="preserve">Railing Work with 50mm GI Post @ 1600 c/c and 2 horizontal 40mm GI Pipe  </v>
          </cell>
          <cell r="I77">
            <v>21.58</v>
          </cell>
          <cell r="J77" t="str">
            <v>rm</v>
          </cell>
          <cell r="K77">
            <v>1000</v>
          </cell>
          <cell r="L77">
            <v>21580</v>
          </cell>
        </row>
        <row r="78">
          <cell r="C78" t="str">
            <v>Long Wall</v>
          </cell>
          <cell r="D78">
            <v>2</v>
          </cell>
          <cell r="E78">
            <v>7.55</v>
          </cell>
          <cell r="G78">
            <v>1</v>
          </cell>
          <cell r="H78">
            <v>15.1</v>
          </cell>
        </row>
        <row r="79">
          <cell r="C79" t="str">
            <v>Short Wall</v>
          </cell>
          <cell r="D79">
            <v>2</v>
          </cell>
          <cell r="E79">
            <v>3.24</v>
          </cell>
          <cell r="G79">
            <v>1</v>
          </cell>
          <cell r="H79">
            <v>6.48</v>
          </cell>
        </row>
      </sheetData>
      <sheetData sheetId="59" refreshError="1">
        <row r="88">
          <cell r="B88" t="str">
            <v>1.4</v>
          </cell>
          <cell r="C88" t="str">
            <v>Site Clearance in thin vegetation area</v>
          </cell>
          <cell r="I88">
            <v>5625</v>
          </cell>
          <cell r="J88" t="str">
            <v>sqm</v>
          </cell>
          <cell r="K88">
            <v>2.76</v>
          </cell>
          <cell r="L88">
            <v>15524.999999999998</v>
          </cell>
        </row>
        <row r="89">
          <cell r="C89" t="str">
            <v>Site Clearance</v>
          </cell>
          <cell r="D89">
            <v>1</v>
          </cell>
          <cell r="E89">
            <v>15</v>
          </cell>
          <cell r="F89">
            <v>15</v>
          </cell>
          <cell r="H89">
            <v>5625</v>
          </cell>
        </row>
        <row r="90">
          <cell r="B90">
            <v>2.14</v>
          </cell>
          <cell r="C90" t="str">
            <v>E/W Excavation for foundation, drain, pipelines etc. in BM Soil</v>
          </cell>
          <cell r="I90">
            <v>207.0455</v>
          </cell>
          <cell r="J90" t="str">
            <v>cum</v>
          </cell>
          <cell r="K90">
            <v>150.66839999999999</v>
          </cell>
          <cell r="L90">
            <v>31195.2142122</v>
          </cell>
        </row>
        <row r="91">
          <cell r="C91" t="str">
            <v>Tank</v>
          </cell>
          <cell r="D91">
            <v>1</v>
          </cell>
          <cell r="E91">
            <v>13.1</v>
          </cell>
          <cell r="F91">
            <v>10.9</v>
          </cell>
          <cell r="G91">
            <v>1.45</v>
          </cell>
          <cell r="H91">
            <v>207.0455</v>
          </cell>
        </row>
        <row r="92">
          <cell r="B92">
            <v>11.16</v>
          </cell>
          <cell r="C92" t="str">
            <v xml:space="preserve">Stone soling with sand </v>
          </cell>
          <cell r="I92">
            <v>28.558</v>
          </cell>
          <cell r="J92" t="str">
            <v>cum</v>
          </cell>
          <cell r="K92">
            <v>1371.1740676875002</v>
          </cell>
          <cell r="L92">
            <v>39157.989025019626</v>
          </cell>
        </row>
        <row r="93">
          <cell r="C93" t="str">
            <v>Base</v>
          </cell>
          <cell r="D93">
            <v>1</v>
          </cell>
          <cell r="E93">
            <v>13.1</v>
          </cell>
          <cell r="F93">
            <v>10.9</v>
          </cell>
          <cell r="G93">
            <v>0.2</v>
          </cell>
          <cell r="H93">
            <v>28.558</v>
          </cell>
        </row>
        <row r="94">
          <cell r="B94" t="str">
            <v>7.2.c</v>
          </cell>
          <cell r="C94" t="str">
            <v xml:space="preserve">P.C.C. for  foundation &amp; walls in M10 </v>
          </cell>
          <cell r="I94">
            <v>10.6194375</v>
          </cell>
          <cell r="J94" t="str">
            <v>cum</v>
          </cell>
          <cell r="K94">
            <v>4334.2110718062495</v>
          </cell>
          <cell r="L94">
            <v>46026.883588854478</v>
          </cell>
        </row>
        <row r="95">
          <cell r="C95" t="str">
            <v>Base</v>
          </cell>
          <cell r="D95">
            <v>1</v>
          </cell>
          <cell r="E95">
            <v>13.05</v>
          </cell>
          <cell r="F95">
            <v>10.85</v>
          </cell>
          <cell r="G95">
            <v>7.4999999999999997E-2</v>
          </cell>
          <cell r="H95">
            <v>10.6194375</v>
          </cell>
        </row>
        <row r="96">
          <cell r="B96" t="str">
            <v>7.4.b</v>
          </cell>
          <cell r="C96" t="str">
            <v xml:space="preserve">P.C.C. for R.C.C. for super structures in M20 </v>
          </cell>
          <cell r="I96">
            <v>68.448250000000002</v>
          </cell>
          <cell r="J96" t="str">
            <v>cum</v>
          </cell>
          <cell r="K96">
            <v>6154.8131365578129</v>
          </cell>
          <cell r="L96">
            <v>421286.18827439332</v>
          </cell>
        </row>
        <row r="97">
          <cell r="C97" t="str">
            <v>Foundation</v>
          </cell>
          <cell r="D97">
            <v>1</v>
          </cell>
          <cell r="E97">
            <v>11.95</v>
          </cell>
          <cell r="F97">
            <v>10.9</v>
          </cell>
          <cell r="G97">
            <v>0.15</v>
          </cell>
          <cell r="H97">
            <v>19.538249999999998</v>
          </cell>
        </row>
        <row r="98">
          <cell r="C98" t="str">
            <v>Long Wall-1</v>
          </cell>
          <cell r="D98">
            <v>3</v>
          </cell>
          <cell r="E98">
            <v>12.75</v>
          </cell>
          <cell r="F98">
            <v>0.3</v>
          </cell>
          <cell r="G98">
            <v>1.45</v>
          </cell>
          <cell r="H98">
            <v>16.638749999999998</v>
          </cell>
        </row>
        <row r="99">
          <cell r="C99" t="str">
            <v>Short Wall - 1</v>
          </cell>
          <cell r="D99">
            <v>1</v>
          </cell>
          <cell r="E99">
            <v>10.9</v>
          </cell>
          <cell r="F99">
            <v>0.3</v>
          </cell>
          <cell r="G99">
            <v>4</v>
          </cell>
          <cell r="H99">
            <v>13.08</v>
          </cell>
        </row>
        <row r="100">
          <cell r="C100" t="str">
            <v>Short Wall - 2</v>
          </cell>
          <cell r="D100">
            <v>1</v>
          </cell>
          <cell r="E100">
            <v>10.9</v>
          </cell>
          <cell r="F100">
            <v>0.3</v>
          </cell>
          <cell r="G100">
            <v>1.45</v>
          </cell>
          <cell r="H100">
            <v>4.7415000000000003</v>
          </cell>
        </row>
        <row r="101">
          <cell r="C101" t="str">
            <v>Outer Channel</v>
          </cell>
        </row>
        <row r="102">
          <cell r="C102" t="str">
            <v>Bed</v>
          </cell>
          <cell r="D102">
            <v>1</v>
          </cell>
          <cell r="E102">
            <v>10.9</v>
          </cell>
          <cell r="F102">
            <v>0.65</v>
          </cell>
          <cell r="G102">
            <v>0.1</v>
          </cell>
          <cell r="H102">
            <v>0.70850000000000002</v>
          </cell>
        </row>
        <row r="103">
          <cell r="C103" t="str">
            <v>Walls</v>
          </cell>
          <cell r="D103">
            <v>2</v>
          </cell>
          <cell r="E103">
            <v>10.9</v>
          </cell>
          <cell r="F103">
            <v>0.1</v>
          </cell>
          <cell r="G103">
            <v>0.4</v>
          </cell>
          <cell r="H103">
            <v>0.87200000000000022</v>
          </cell>
        </row>
        <row r="104">
          <cell r="C104" t="str">
            <v>Inner Channel</v>
          </cell>
        </row>
        <row r="105">
          <cell r="C105" t="str">
            <v>Bed</v>
          </cell>
          <cell r="D105">
            <v>1</v>
          </cell>
          <cell r="E105">
            <v>10.9</v>
          </cell>
          <cell r="F105">
            <v>0.45</v>
          </cell>
          <cell r="G105">
            <v>0.15</v>
          </cell>
          <cell r="H105">
            <v>0.73575000000000013</v>
          </cell>
        </row>
        <row r="106">
          <cell r="C106" t="str">
            <v>Walls</v>
          </cell>
          <cell r="D106">
            <v>1</v>
          </cell>
          <cell r="E106">
            <v>10.9</v>
          </cell>
          <cell r="F106">
            <v>0.15</v>
          </cell>
          <cell r="G106">
            <v>1.05</v>
          </cell>
          <cell r="H106">
            <v>1.71675</v>
          </cell>
        </row>
        <row r="107">
          <cell r="C107" t="str">
            <v>Baffle Walls</v>
          </cell>
          <cell r="D107">
            <v>38</v>
          </cell>
          <cell r="E107">
            <v>4.3</v>
          </cell>
          <cell r="F107">
            <v>7.4999999999999997E-2</v>
          </cell>
          <cell r="G107">
            <v>0.85</v>
          </cell>
          <cell r="H107">
            <v>10.41675</v>
          </cell>
        </row>
        <row r="108">
          <cell r="B108" t="str">
            <v>7.5</v>
          </cell>
          <cell r="C108" t="str">
            <v>Reinforcement work for R.C.C. work</v>
          </cell>
          <cell r="D108" t="str">
            <v>@100 kg/cum</v>
          </cell>
          <cell r="H108">
            <v>6.8448250000000002</v>
          </cell>
          <cell r="I108">
            <v>6.8448250000000002</v>
          </cell>
          <cell r="J108" t="str">
            <v>mt</v>
          </cell>
          <cell r="K108">
            <v>39248.537514867188</v>
          </cell>
          <cell r="L108">
            <v>268649.37079520081</v>
          </cell>
        </row>
        <row r="109">
          <cell r="B109" t="str">
            <v>8.2.a</v>
          </cell>
          <cell r="C109" t="str">
            <v>Formwork for flooring and slab including materials</v>
          </cell>
          <cell r="I109">
            <v>366.13</v>
          </cell>
          <cell r="J109" t="str">
            <v>sqm</v>
          </cell>
          <cell r="K109">
            <v>241.29415</v>
          </cell>
          <cell r="L109">
            <v>88345.027139500002</v>
          </cell>
        </row>
        <row r="110">
          <cell r="C110" t="str">
            <v>Long Wall-1</v>
          </cell>
          <cell r="D110">
            <v>6</v>
          </cell>
          <cell r="E110">
            <v>12.75</v>
          </cell>
          <cell r="F110">
            <v>0.3</v>
          </cell>
          <cell r="H110">
            <v>22.95</v>
          </cell>
        </row>
        <row r="111">
          <cell r="C111" t="str">
            <v>Short Wall - 1</v>
          </cell>
          <cell r="D111">
            <v>2</v>
          </cell>
          <cell r="E111">
            <v>10.9</v>
          </cell>
          <cell r="F111">
            <v>0.3</v>
          </cell>
          <cell r="H111">
            <v>6.54</v>
          </cell>
        </row>
        <row r="112">
          <cell r="C112" t="str">
            <v>Short Wall - 2</v>
          </cell>
          <cell r="D112">
            <v>2</v>
          </cell>
          <cell r="E112">
            <v>10.9</v>
          </cell>
          <cell r="F112">
            <v>0.3</v>
          </cell>
          <cell r="H112">
            <v>6.54</v>
          </cell>
        </row>
        <row r="113">
          <cell r="C113" t="str">
            <v>Outer Channel</v>
          </cell>
        </row>
        <row r="114">
          <cell r="C114" t="str">
            <v>Bed</v>
          </cell>
          <cell r="D114">
            <v>1</v>
          </cell>
          <cell r="E114">
            <v>10.9</v>
          </cell>
          <cell r="F114">
            <v>0.65</v>
          </cell>
          <cell r="H114">
            <v>7.0850000000000009</v>
          </cell>
        </row>
        <row r="115">
          <cell r="C115" t="str">
            <v>Walls</v>
          </cell>
          <cell r="D115">
            <v>4</v>
          </cell>
          <cell r="E115">
            <v>10.9</v>
          </cell>
          <cell r="F115">
            <v>0.4</v>
          </cell>
          <cell r="H115">
            <v>17.440000000000001</v>
          </cell>
        </row>
        <row r="116">
          <cell r="C116" t="str">
            <v>Inner Channel</v>
          </cell>
        </row>
        <row r="117">
          <cell r="C117" t="str">
            <v>Bed</v>
          </cell>
          <cell r="D117">
            <v>1</v>
          </cell>
          <cell r="E117">
            <v>10.9</v>
          </cell>
          <cell r="F117">
            <v>0.45</v>
          </cell>
          <cell r="H117">
            <v>4.9050000000000002</v>
          </cell>
        </row>
        <row r="118">
          <cell r="C118" t="str">
            <v>Walls</v>
          </cell>
          <cell r="D118">
            <v>2</v>
          </cell>
          <cell r="E118">
            <v>10.9</v>
          </cell>
          <cell r="F118">
            <v>1.05</v>
          </cell>
          <cell r="H118">
            <v>22.89</v>
          </cell>
        </row>
        <row r="119">
          <cell r="C119" t="str">
            <v>Baffle Walls</v>
          </cell>
          <cell r="D119">
            <v>76</v>
          </cell>
          <cell r="E119">
            <v>4.3</v>
          </cell>
          <cell r="F119">
            <v>0.85</v>
          </cell>
          <cell r="H119">
            <v>277.77999999999997</v>
          </cell>
        </row>
        <row r="120">
          <cell r="B120" t="str">
            <v>12.4.a</v>
          </cell>
          <cell r="C120" t="str">
            <v>20 mm plastering works in 1:3 cement sand mortar</v>
          </cell>
          <cell r="I120">
            <v>493.09</v>
          </cell>
          <cell r="J120" t="str">
            <v>sqm</v>
          </cell>
          <cell r="K120">
            <v>176.78511684939062</v>
          </cell>
          <cell r="L120">
            <v>87170.973267266018</v>
          </cell>
        </row>
        <row r="121">
          <cell r="C121" t="str">
            <v>Long Wall-1</v>
          </cell>
          <cell r="D121">
            <v>1</v>
          </cell>
          <cell r="E121">
            <v>11.35</v>
          </cell>
          <cell r="F121">
            <v>10.3</v>
          </cell>
          <cell r="H121">
            <v>116.905</v>
          </cell>
        </row>
        <row r="122">
          <cell r="C122" t="str">
            <v>Short Wall - 1</v>
          </cell>
          <cell r="D122">
            <v>4</v>
          </cell>
          <cell r="E122">
            <v>12.75</v>
          </cell>
          <cell r="F122">
            <v>0.3</v>
          </cell>
          <cell r="H122">
            <v>15.299999999999999</v>
          </cell>
        </row>
        <row r="123">
          <cell r="C123" t="str">
            <v>Short Wall - 2</v>
          </cell>
          <cell r="D123">
            <v>1</v>
          </cell>
          <cell r="E123">
            <v>10.9</v>
          </cell>
          <cell r="F123">
            <v>0.3</v>
          </cell>
          <cell r="H123">
            <v>3.27</v>
          </cell>
        </row>
        <row r="124">
          <cell r="C124" t="str">
            <v>Outer Channel</v>
          </cell>
          <cell r="D124">
            <v>1</v>
          </cell>
          <cell r="E124">
            <v>10.9</v>
          </cell>
          <cell r="F124">
            <v>0.3</v>
          </cell>
          <cell r="H124">
            <v>3.27</v>
          </cell>
        </row>
        <row r="125">
          <cell r="C125" t="str">
            <v>Bed</v>
          </cell>
          <cell r="H125">
            <v>0</v>
          </cell>
        </row>
        <row r="126">
          <cell r="C126" t="str">
            <v>Walls</v>
          </cell>
          <cell r="D126">
            <v>2</v>
          </cell>
          <cell r="E126">
            <v>10.9</v>
          </cell>
          <cell r="F126">
            <v>0.65</v>
          </cell>
          <cell r="H126">
            <v>14.170000000000002</v>
          </cell>
        </row>
        <row r="127">
          <cell r="C127" t="str">
            <v>Inner Channel</v>
          </cell>
          <cell r="D127">
            <v>4</v>
          </cell>
          <cell r="E127">
            <v>10.9</v>
          </cell>
          <cell r="F127">
            <v>0.4</v>
          </cell>
          <cell r="H127">
            <v>17.440000000000001</v>
          </cell>
        </row>
        <row r="128">
          <cell r="C128" t="str">
            <v>Bed</v>
          </cell>
          <cell r="H128">
            <v>0</v>
          </cell>
        </row>
        <row r="129">
          <cell r="C129" t="str">
            <v>Walls</v>
          </cell>
          <cell r="D129">
            <v>2</v>
          </cell>
          <cell r="E129">
            <v>10.9</v>
          </cell>
          <cell r="F129">
            <v>0.45</v>
          </cell>
          <cell r="H129">
            <v>9.81</v>
          </cell>
        </row>
        <row r="130">
          <cell r="C130" t="str">
            <v>Baffle Walls</v>
          </cell>
          <cell r="D130">
            <v>2</v>
          </cell>
          <cell r="E130">
            <v>10.9</v>
          </cell>
          <cell r="F130">
            <v>1.05</v>
          </cell>
          <cell r="H130">
            <v>22.89</v>
          </cell>
        </row>
        <row r="131">
          <cell r="C131" t="str">
            <v>Efluent Chamber</v>
          </cell>
          <cell r="D131">
            <v>38</v>
          </cell>
          <cell r="E131">
            <v>4.3</v>
          </cell>
          <cell r="F131">
            <v>1.7749999999999999</v>
          </cell>
          <cell r="H131">
            <v>290.03499999999997</v>
          </cell>
        </row>
        <row r="132">
          <cell r="B132" t="str">
            <v>M-105</v>
          </cell>
          <cell r="C132" t="str">
            <v xml:space="preserve">Railing Work with 50mm GI Post @ 1600 c/c and 2 horizontal 40mm GI Pipe  </v>
          </cell>
          <cell r="I132">
            <v>48.6</v>
          </cell>
          <cell r="J132" t="str">
            <v>rm</v>
          </cell>
          <cell r="K132">
            <v>1000</v>
          </cell>
          <cell r="L132">
            <v>48600</v>
          </cell>
        </row>
        <row r="133">
          <cell r="C133" t="str">
            <v>Long Wall</v>
          </cell>
          <cell r="D133">
            <v>2</v>
          </cell>
          <cell r="E133">
            <v>12.45</v>
          </cell>
          <cell r="H133">
            <v>27.6</v>
          </cell>
        </row>
        <row r="134">
          <cell r="C134" t="str">
            <v>Short Wall</v>
          </cell>
          <cell r="D134">
            <v>2</v>
          </cell>
          <cell r="E134">
            <v>10.6</v>
          </cell>
          <cell r="H134">
            <v>21</v>
          </cell>
        </row>
        <row r="135">
          <cell r="K135" t="str">
            <v>Total</v>
          </cell>
          <cell r="L135">
            <v>1045956.6463024344</v>
          </cell>
        </row>
        <row r="139">
          <cell r="B139" t="str">
            <v>1.4</v>
          </cell>
          <cell r="C139" t="str">
            <v>Site Clearance in thin vegetation area</v>
          </cell>
          <cell r="I139">
            <v>7500</v>
          </cell>
          <cell r="J139" t="str">
            <v>sqm</v>
          </cell>
          <cell r="K139">
            <v>2.76</v>
          </cell>
          <cell r="L139">
            <v>20700</v>
          </cell>
        </row>
        <row r="140">
          <cell r="C140" t="str">
            <v>Site Clearance</v>
          </cell>
          <cell r="D140">
            <v>1</v>
          </cell>
          <cell r="E140">
            <v>20</v>
          </cell>
          <cell r="F140">
            <v>15</v>
          </cell>
          <cell r="H140">
            <v>7500</v>
          </cell>
        </row>
        <row r="141">
          <cell r="B141">
            <v>2.14</v>
          </cell>
          <cell r="C141" t="str">
            <v>E/W Excavation for foundation, drain, pipelines etc. in BM Soil</v>
          </cell>
          <cell r="I141">
            <v>47.570250000000001</v>
          </cell>
          <cell r="J141" t="str">
            <v>cum</v>
          </cell>
          <cell r="K141">
            <v>150.66839999999999</v>
          </cell>
          <cell r="L141">
            <v>7167.3334550999998</v>
          </cell>
        </row>
        <row r="142">
          <cell r="C142" t="str">
            <v>Tank</v>
          </cell>
          <cell r="D142">
            <v>1</v>
          </cell>
          <cell r="E142">
            <v>14.35</v>
          </cell>
          <cell r="F142">
            <v>11.05</v>
          </cell>
          <cell r="G142">
            <v>0.3</v>
          </cell>
          <cell r="H142">
            <v>47.570250000000001</v>
          </cell>
        </row>
        <row r="143">
          <cell r="B143">
            <v>11.16</v>
          </cell>
          <cell r="C143" t="str">
            <v xml:space="preserve">Stone soling with sand </v>
          </cell>
          <cell r="I143">
            <v>31.713500000000003</v>
          </cell>
          <cell r="J143" t="str">
            <v>cum</v>
          </cell>
          <cell r="K143">
            <v>1371.1740676875002</v>
          </cell>
          <cell r="L143">
            <v>43484.728795607538</v>
          </cell>
        </row>
        <row r="144">
          <cell r="C144" t="str">
            <v>Base</v>
          </cell>
          <cell r="D144">
            <v>1</v>
          </cell>
          <cell r="E144">
            <v>14.35</v>
          </cell>
          <cell r="F144">
            <v>11.05</v>
          </cell>
          <cell r="G144">
            <v>0.2</v>
          </cell>
          <cell r="H144">
            <v>31.713500000000003</v>
          </cell>
        </row>
        <row r="145">
          <cell r="B145" t="str">
            <v>7.2.c</v>
          </cell>
          <cell r="C145" t="str">
            <v xml:space="preserve">P.C.C. for  foundation &amp; walls in M10 </v>
          </cell>
          <cell r="I145">
            <v>11.8925625</v>
          </cell>
          <cell r="J145" t="str">
            <v>cum</v>
          </cell>
          <cell r="K145">
            <v>4334.2110718062495</v>
          </cell>
          <cell r="L145">
            <v>51544.87605964781</v>
          </cell>
        </row>
        <row r="146">
          <cell r="C146" t="str">
            <v>Base</v>
          </cell>
          <cell r="D146">
            <v>1</v>
          </cell>
          <cell r="E146">
            <v>14.35</v>
          </cell>
          <cell r="F146">
            <v>11.05</v>
          </cell>
          <cell r="G146">
            <v>7.4999999999999997E-2</v>
          </cell>
          <cell r="H146">
            <v>11.8925625</v>
          </cell>
        </row>
        <row r="147">
          <cell r="B147" t="str">
            <v>7.4.b</v>
          </cell>
          <cell r="C147" t="str">
            <v xml:space="preserve">P.C.C. for R.C.C. for super structures in M20 </v>
          </cell>
          <cell r="I147">
            <v>126.42710624999999</v>
          </cell>
          <cell r="J147" t="str">
            <v>cum</v>
          </cell>
          <cell r="K147">
            <v>6154.8131365578129</v>
          </cell>
          <cell r="L147">
            <v>778135.21436449036</v>
          </cell>
        </row>
        <row r="148">
          <cell r="C148" t="str">
            <v>Bed</v>
          </cell>
          <cell r="D148">
            <v>1</v>
          </cell>
          <cell r="E148">
            <v>14.045</v>
          </cell>
          <cell r="F148">
            <v>10.75</v>
          </cell>
          <cell r="G148">
            <v>0.3</v>
          </cell>
          <cell r="H148">
            <v>45.295124999999999</v>
          </cell>
        </row>
        <row r="149">
          <cell r="C149" t="str">
            <v>Long Wall-1</v>
          </cell>
          <cell r="D149">
            <v>2</v>
          </cell>
          <cell r="E149">
            <v>14.045</v>
          </cell>
          <cell r="F149">
            <v>0.25</v>
          </cell>
          <cell r="G149">
            <v>4.6950000000000003</v>
          </cell>
          <cell r="H149">
            <v>32.970637500000002</v>
          </cell>
        </row>
        <row r="150">
          <cell r="C150" t="str">
            <v>Long Wall-2</v>
          </cell>
          <cell r="D150">
            <v>1</v>
          </cell>
          <cell r="E150">
            <v>13.545</v>
          </cell>
          <cell r="F150">
            <v>0.25</v>
          </cell>
          <cell r="G150">
            <v>4.6950000000000003</v>
          </cell>
          <cell r="H150">
            <v>15.89844375</v>
          </cell>
        </row>
        <row r="151">
          <cell r="C151" t="str">
            <v>Short Wall - 1</v>
          </cell>
          <cell r="D151">
            <v>1</v>
          </cell>
          <cell r="E151">
            <v>10.25</v>
          </cell>
          <cell r="F151">
            <v>0.25</v>
          </cell>
          <cell r="G151">
            <v>5.0999999999999996</v>
          </cell>
          <cell r="H151">
            <v>13.06875</v>
          </cell>
        </row>
        <row r="152">
          <cell r="C152" t="str">
            <v>Short Wall - 2</v>
          </cell>
          <cell r="D152">
            <v>1</v>
          </cell>
          <cell r="E152">
            <v>10.25</v>
          </cell>
          <cell r="F152">
            <v>0.25</v>
          </cell>
          <cell r="G152">
            <v>4.452</v>
          </cell>
          <cell r="H152">
            <v>11.408250000000001</v>
          </cell>
        </row>
        <row r="153">
          <cell r="C153" t="str">
            <v>Influent Chamber</v>
          </cell>
        </row>
        <row r="154">
          <cell r="C154" t="str">
            <v>Outer Bed</v>
          </cell>
          <cell r="D154">
            <v>1</v>
          </cell>
          <cell r="E154">
            <v>10.25</v>
          </cell>
          <cell r="F154">
            <v>0.65</v>
          </cell>
          <cell r="G154">
            <v>0.1</v>
          </cell>
          <cell r="H154">
            <v>0.66625000000000001</v>
          </cell>
        </row>
        <row r="155">
          <cell r="C155" t="str">
            <v>Outer Channel Walls</v>
          </cell>
          <cell r="D155">
            <v>2</v>
          </cell>
          <cell r="E155">
            <v>10.25</v>
          </cell>
          <cell r="F155">
            <v>0.1</v>
          </cell>
          <cell r="G155">
            <v>0.4</v>
          </cell>
          <cell r="H155">
            <v>0.82000000000000017</v>
          </cell>
        </row>
        <row r="156">
          <cell r="C156" t="str">
            <v>Inner Bed</v>
          </cell>
          <cell r="D156">
            <v>1</v>
          </cell>
          <cell r="E156">
            <v>10.25</v>
          </cell>
          <cell r="F156">
            <v>0.45</v>
          </cell>
          <cell r="G156">
            <v>0.1</v>
          </cell>
          <cell r="H156">
            <v>0.46125000000000005</v>
          </cell>
        </row>
        <row r="157">
          <cell r="C157" t="str">
            <v>Inner Channel Walls</v>
          </cell>
          <cell r="D157">
            <v>1</v>
          </cell>
          <cell r="E157">
            <v>10.25</v>
          </cell>
          <cell r="F157">
            <v>0.15</v>
          </cell>
          <cell r="G157">
            <v>1.45</v>
          </cell>
          <cell r="H157">
            <v>2.2293750000000001</v>
          </cell>
        </row>
        <row r="158">
          <cell r="C158" t="str">
            <v>Efluent Chamber</v>
          </cell>
        </row>
        <row r="159">
          <cell r="C159" t="str">
            <v>Inner Bed</v>
          </cell>
          <cell r="D159">
            <v>1</v>
          </cell>
          <cell r="E159">
            <v>10.25</v>
          </cell>
          <cell r="F159">
            <v>1.4100000000000001</v>
          </cell>
          <cell r="G159">
            <v>0.1</v>
          </cell>
          <cell r="H159">
            <v>1.4452500000000001</v>
          </cell>
        </row>
        <row r="160">
          <cell r="C160" t="str">
            <v>Inner Channel Walls</v>
          </cell>
          <cell r="D160">
            <v>2</v>
          </cell>
          <cell r="E160">
            <v>10.25</v>
          </cell>
          <cell r="F160">
            <v>0.1</v>
          </cell>
          <cell r="G160">
            <v>0.42299999999999999</v>
          </cell>
          <cell r="H160">
            <v>0.86715000000000009</v>
          </cell>
        </row>
        <row r="161">
          <cell r="C161" t="str">
            <v>Outer Channel Walls</v>
          </cell>
          <cell r="D161">
            <v>1</v>
          </cell>
          <cell r="E161">
            <v>10.25</v>
          </cell>
          <cell r="F161">
            <v>0.1</v>
          </cell>
          <cell r="G161">
            <v>0.96499999999999997</v>
          </cell>
          <cell r="H161">
            <v>0.98912500000000003</v>
          </cell>
        </row>
        <row r="162">
          <cell r="C162" t="str">
            <v>Outer Channel Bed</v>
          </cell>
          <cell r="D162">
            <v>1</v>
          </cell>
          <cell r="E162">
            <v>10.25</v>
          </cell>
          <cell r="F162">
            <v>0.2</v>
          </cell>
          <cell r="G162">
            <v>0.15</v>
          </cell>
          <cell r="H162">
            <v>0.3075</v>
          </cell>
        </row>
        <row r="163">
          <cell r="B163" t="str">
            <v>7.5</v>
          </cell>
          <cell r="C163" t="str">
            <v>Reinforcement work for R.C.C. work</v>
          </cell>
          <cell r="D163" t="str">
            <v>@100 kg/cum</v>
          </cell>
          <cell r="H163">
            <v>12.642710624999999</v>
          </cell>
          <cell r="I163">
            <v>12.642710624999999</v>
          </cell>
          <cell r="J163" t="str">
            <v>mt</v>
          </cell>
          <cell r="K163">
            <v>39248.537514867188</v>
          </cell>
          <cell r="L163">
            <v>496207.90225492249</v>
          </cell>
        </row>
        <row r="164">
          <cell r="B164" t="str">
            <v>8.2.a</v>
          </cell>
          <cell r="C164" t="str">
            <v>Formwork for flooring and slab including materials</v>
          </cell>
          <cell r="I164">
            <v>689.59664999999995</v>
          </cell>
          <cell r="J164" t="str">
            <v>sqm</v>
          </cell>
          <cell r="K164">
            <v>241.29415</v>
          </cell>
          <cell r="L164">
            <v>166395.63750459749</v>
          </cell>
        </row>
        <row r="165">
          <cell r="C165" t="str">
            <v>Long Wall-1</v>
          </cell>
          <cell r="D165">
            <v>4</v>
          </cell>
          <cell r="E165">
            <v>14.045</v>
          </cell>
          <cell r="F165">
            <v>4.6950000000000003</v>
          </cell>
          <cell r="H165">
            <v>263.76510000000002</v>
          </cell>
        </row>
        <row r="166">
          <cell r="C166" t="str">
            <v>Long Wall-2</v>
          </cell>
          <cell r="D166">
            <v>2</v>
          </cell>
          <cell r="E166">
            <v>13.545</v>
          </cell>
          <cell r="F166">
            <v>4.6950000000000003</v>
          </cell>
          <cell r="H166">
            <v>127.18755</v>
          </cell>
        </row>
        <row r="167">
          <cell r="C167" t="str">
            <v>Short Wall - 1</v>
          </cell>
          <cell r="D167">
            <v>2</v>
          </cell>
          <cell r="E167">
            <v>10.25</v>
          </cell>
          <cell r="F167">
            <v>5.0999999999999996</v>
          </cell>
          <cell r="H167">
            <v>104.55</v>
          </cell>
        </row>
        <row r="168">
          <cell r="C168" t="str">
            <v>Short Wall - 2</v>
          </cell>
          <cell r="D168">
            <v>2</v>
          </cell>
          <cell r="E168">
            <v>10.25</v>
          </cell>
          <cell r="F168">
            <v>4.452</v>
          </cell>
          <cell r="H168">
            <v>91.266000000000005</v>
          </cell>
        </row>
        <row r="169">
          <cell r="C169" t="str">
            <v>Influent Chamber</v>
          </cell>
        </row>
        <row r="170">
          <cell r="C170" t="str">
            <v>Outer Bed</v>
          </cell>
          <cell r="D170">
            <v>1</v>
          </cell>
          <cell r="E170">
            <v>10.25</v>
          </cell>
          <cell r="F170">
            <v>0.65</v>
          </cell>
          <cell r="H170">
            <v>6.6625000000000005</v>
          </cell>
        </row>
        <row r="171">
          <cell r="C171" t="str">
            <v>Outer Channel Walls</v>
          </cell>
          <cell r="D171">
            <v>2</v>
          </cell>
          <cell r="E171">
            <v>10.25</v>
          </cell>
          <cell r="F171">
            <v>0.4</v>
          </cell>
          <cell r="H171">
            <v>8.2000000000000011</v>
          </cell>
        </row>
        <row r="172">
          <cell r="C172" t="str">
            <v>Inner Bed</v>
          </cell>
          <cell r="D172">
            <v>1</v>
          </cell>
          <cell r="E172">
            <v>10.25</v>
          </cell>
          <cell r="F172">
            <v>0.45</v>
          </cell>
          <cell r="H172">
            <v>4.6124999999999998</v>
          </cell>
        </row>
        <row r="173">
          <cell r="C173" t="str">
            <v>Inner Channel Walls</v>
          </cell>
          <cell r="D173">
            <v>2</v>
          </cell>
          <cell r="E173">
            <v>10.25</v>
          </cell>
          <cell r="F173">
            <v>1.45</v>
          </cell>
          <cell r="H173">
            <v>29.724999999999998</v>
          </cell>
        </row>
        <row r="174">
          <cell r="C174" t="str">
            <v>Efluent Chamber</v>
          </cell>
        </row>
        <row r="175">
          <cell r="C175" t="str">
            <v>Inner Bed</v>
          </cell>
          <cell r="D175">
            <v>1</v>
          </cell>
          <cell r="E175">
            <v>10.25</v>
          </cell>
          <cell r="F175">
            <v>1.41</v>
          </cell>
          <cell r="H175">
            <v>14.452499999999999</v>
          </cell>
        </row>
        <row r="176">
          <cell r="C176" t="str">
            <v>Inner Channel Walls</v>
          </cell>
          <cell r="D176">
            <v>4</v>
          </cell>
          <cell r="E176">
            <v>10.25</v>
          </cell>
          <cell r="F176">
            <v>0.42299999999999999</v>
          </cell>
          <cell r="H176">
            <v>17.343</v>
          </cell>
        </row>
        <row r="177">
          <cell r="C177" t="str">
            <v>Outer Channel Walls</v>
          </cell>
          <cell r="D177">
            <v>2</v>
          </cell>
          <cell r="E177">
            <v>10.25</v>
          </cell>
          <cell r="F177">
            <v>0.96499999999999997</v>
          </cell>
          <cell r="H177">
            <v>19.782499999999999</v>
          </cell>
        </row>
        <row r="178">
          <cell r="C178" t="str">
            <v>Outer Channel Bed</v>
          </cell>
          <cell r="D178">
            <v>1</v>
          </cell>
          <cell r="E178">
            <v>10.25</v>
          </cell>
          <cell r="F178">
            <v>0.2</v>
          </cell>
          <cell r="H178">
            <v>2.0500000000000003</v>
          </cell>
        </row>
        <row r="179">
          <cell r="B179" t="str">
            <v>12.4.a</v>
          </cell>
          <cell r="C179" t="str">
            <v>20 mm plastering works in 1:3 cement sand mortar</v>
          </cell>
          <cell r="I179">
            <v>583.17357499999991</v>
          </cell>
          <cell r="J179" t="str">
            <v>sqm</v>
          </cell>
          <cell r="K179">
            <v>176.78511684939062</v>
          </cell>
          <cell r="L179">
            <v>103096.40859985184</v>
          </cell>
        </row>
        <row r="180">
          <cell r="C180" t="str">
            <v>Bed</v>
          </cell>
          <cell r="D180">
            <v>1</v>
          </cell>
          <cell r="E180">
            <v>14.045</v>
          </cell>
          <cell r="F180">
            <v>10.75</v>
          </cell>
          <cell r="H180">
            <v>150.98374999999999</v>
          </cell>
        </row>
        <row r="181">
          <cell r="C181" t="str">
            <v>Long Wall-1</v>
          </cell>
          <cell r="D181">
            <v>2</v>
          </cell>
          <cell r="E181">
            <v>14.045</v>
          </cell>
          <cell r="F181">
            <v>4.6950000000000003</v>
          </cell>
          <cell r="H181">
            <v>131.88255000000001</v>
          </cell>
        </row>
        <row r="182">
          <cell r="C182" t="str">
            <v>Long Wall-2</v>
          </cell>
          <cell r="D182">
            <v>1</v>
          </cell>
          <cell r="E182">
            <v>13.545</v>
          </cell>
          <cell r="F182">
            <v>4.6950000000000003</v>
          </cell>
          <cell r="H182">
            <v>63.593775000000001</v>
          </cell>
        </row>
        <row r="183">
          <cell r="C183" t="str">
            <v>Short Wall - 1</v>
          </cell>
          <cell r="D183">
            <v>1</v>
          </cell>
          <cell r="E183">
            <v>10.25</v>
          </cell>
          <cell r="F183">
            <v>5.0999999999999996</v>
          </cell>
          <cell r="H183">
            <v>52.274999999999999</v>
          </cell>
        </row>
        <row r="184">
          <cell r="C184" t="str">
            <v>Short Wall - 2</v>
          </cell>
          <cell r="D184">
            <v>1</v>
          </cell>
          <cell r="E184">
            <v>10.25</v>
          </cell>
          <cell r="F184">
            <v>4.452</v>
          </cell>
          <cell r="H184">
            <v>45.633000000000003</v>
          </cell>
        </row>
        <row r="185">
          <cell r="C185" t="str">
            <v>Influent Chamber</v>
          </cell>
        </row>
        <row r="186">
          <cell r="C186" t="str">
            <v>Outer Bed</v>
          </cell>
          <cell r="D186">
            <v>2</v>
          </cell>
          <cell r="E186">
            <v>10.25</v>
          </cell>
          <cell r="F186">
            <v>0.65</v>
          </cell>
          <cell r="H186">
            <v>13.325000000000001</v>
          </cell>
        </row>
        <row r="187">
          <cell r="C187" t="str">
            <v>Outer Channel Walls</v>
          </cell>
          <cell r="D187">
            <v>4</v>
          </cell>
          <cell r="E187">
            <v>10.25</v>
          </cell>
          <cell r="F187">
            <v>0.4</v>
          </cell>
          <cell r="H187">
            <v>16.400000000000002</v>
          </cell>
        </row>
        <row r="188">
          <cell r="C188" t="str">
            <v>Inner Bed</v>
          </cell>
          <cell r="D188">
            <v>2</v>
          </cell>
          <cell r="E188">
            <v>10.25</v>
          </cell>
          <cell r="F188">
            <v>0.45</v>
          </cell>
          <cell r="H188">
            <v>9.2249999999999996</v>
          </cell>
        </row>
        <row r="189">
          <cell r="C189" t="str">
            <v>Inner Channel Walls</v>
          </cell>
          <cell r="D189">
            <v>2</v>
          </cell>
          <cell r="E189">
            <v>10.25</v>
          </cell>
          <cell r="F189">
            <v>1.45</v>
          </cell>
          <cell r="H189">
            <v>29.724999999999998</v>
          </cell>
        </row>
        <row r="190">
          <cell r="C190" t="str">
            <v>Efluent Chamber</v>
          </cell>
        </row>
        <row r="191">
          <cell r="C191" t="str">
            <v>Inner Bed</v>
          </cell>
          <cell r="D191">
            <v>2</v>
          </cell>
          <cell r="E191">
            <v>10.25</v>
          </cell>
          <cell r="F191">
            <v>1.41</v>
          </cell>
          <cell r="H191">
            <v>28.904999999999998</v>
          </cell>
        </row>
        <row r="192">
          <cell r="C192" t="str">
            <v>Inner Channel Walls</v>
          </cell>
          <cell r="D192">
            <v>4</v>
          </cell>
          <cell r="E192">
            <v>10.25</v>
          </cell>
          <cell r="F192">
            <v>0.42299999999999999</v>
          </cell>
          <cell r="H192">
            <v>17.343</v>
          </cell>
        </row>
        <row r="193">
          <cell r="C193" t="str">
            <v>Outer Channel Walls</v>
          </cell>
          <cell r="D193">
            <v>2</v>
          </cell>
          <cell r="E193">
            <v>10.25</v>
          </cell>
          <cell r="F193">
            <v>0.96499999999999997</v>
          </cell>
          <cell r="H193">
            <v>19.782499999999999</v>
          </cell>
        </row>
        <row r="194">
          <cell r="C194" t="str">
            <v>Outer Channel Bed</v>
          </cell>
          <cell r="D194">
            <v>2</v>
          </cell>
          <cell r="E194">
            <v>10.25</v>
          </cell>
          <cell r="F194">
            <v>0.2</v>
          </cell>
          <cell r="H194">
            <v>4.1000000000000005</v>
          </cell>
        </row>
        <row r="195">
          <cell r="B195" t="str">
            <v>M-105</v>
          </cell>
          <cell r="C195" t="str">
            <v xml:space="preserve">Railing Work with 50mm GI Post @ 1600 c/c and 2 horizontal 40mm GI Pipe  </v>
          </cell>
          <cell r="I195">
            <v>48.6</v>
          </cell>
          <cell r="J195" t="str">
            <v>rm</v>
          </cell>
          <cell r="K195">
            <v>1000</v>
          </cell>
          <cell r="L195">
            <v>48600</v>
          </cell>
        </row>
        <row r="196">
          <cell r="C196" t="str">
            <v>Long Wall</v>
          </cell>
          <cell r="D196">
            <v>2</v>
          </cell>
          <cell r="E196">
            <v>13.8</v>
          </cell>
          <cell r="G196">
            <v>1</v>
          </cell>
          <cell r="H196">
            <v>27.6</v>
          </cell>
        </row>
        <row r="197">
          <cell r="C197" t="str">
            <v>Short Wall</v>
          </cell>
          <cell r="D197">
            <v>2</v>
          </cell>
          <cell r="E197">
            <v>10.5</v>
          </cell>
          <cell r="G197">
            <v>1</v>
          </cell>
          <cell r="H197">
            <v>21</v>
          </cell>
        </row>
        <row r="202">
          <cell r="B202" t="str">
            <v>1.4</v>
          </cell>
          <cell r="C202" t="str">
            <v>Site Clearance in thin vegetation area</v>
          </cell>
          <cell r="I202">
            <v>15000</v>
          </cell>
          <cell r="J202" t="str">
            <v>sqm</v>
          </cell>
          <cell r="K202">
            <v>2.76</v>
          </cell>
          <cell r="L202">
            <v>41400</v>
          </cell>
        </row>
        <row r="203">
          <cell r="C203" t="str">
            <v>Site Clearance</v>
          </cell>
          <cell r="D203">
            <v>1</v>
          </cell>
          <cell r="E203">
            <v>30</v>
          </cell>
          <cell r="F203">
            <v>20</v>
          </cell>
          <cell r="H203">
            <v>15000</v>
          </cell>
        </row>
        <row r="204">
          <cell r="B204">
            <v>2.14</v>
          </cell>
          <cell r="C204" t="str">
            <v>E/W Excavation for foundation, drain, pipelines etc. in BM Soil</v>
          </cell>
          <cell r="I204">
            <v>1134.7049999999999</v>
          </cell>
          <cell r="J204" t="str">
            <v>cum</v>
          </cell>
          <cell r="K204">
            <v>150.66839999999999</v>
          </cell>
          <cell r="L204">
            <v>170964.18682199999</v>
          </cell>
        </row>
        <row r="205">
          <cell r="C205" t="str">
            <v>Tank</v>
          </cell>
          <cell r="D205">
            <v>1</v>
          </cell>
          <cell r="E205">
            <v>25.3</v>
          </cell>
          <cell r="F205">
            <v>13.8</v>
          </cell>
          <cell r="G205">
            <v>3.25</v>
          </cell>
          <cell r="H205">
            <v>1134.7049999999999</v>
          </cell>
        </row>
        <row r="206">
          <cell r="B206">
            <v>11.16</v>
          </cell>
          <cell r="C206" t="str">
            <v xml:space="preserve">Stone soling with sand </v>
          </cell>
          <cell r="I206">
            <v>69.828000000000003</v>
          </cell>
          <cell r="J206" t="str">
            <v>cum</v>
          </cell>
          <cell r="K206">
            <v>1371.1740676875002</v>
          </cell>
          <cell r="L206">
            <v>95746.342798482758</v>
          </cell>
        </row>
        <row r="207">
          <cell r="C207" t="str">
            <v>Base</v>
          </cell>
          <cell r="D207">
            <v>1</v>
          </cell>
          <cell r="E207">
            <v>25.3</v>
          </cell>
          <cell r="F207">
            <v>13.8</v>
          </cell>
          <cell r="G207">
            <v>0.2</v>
          </cell>
          <cell r="H207">
            <v>69.828000000000003</v>
          </cell>
        </row>
        <row r="208">
          <cell r="B208" t="str">
            <v>7.2.c</v>
          </cell>
          <cell r="C208" t="str">
            <v xml:space="preserve">P.C.C. for  foundation &amp; walls in M10 </v>
          </cell>
          <cell r="I208">
            <v>26.185499999999998</v>
          </cell>
          <cell r="J208" t="str">
            <v>cum</v>
          </cell>
          <cell r="K208">
            <v>4334.2110718062495</v>
          </cell>
          <cell r="L208">
            <v>113493.48402078253</v>
          </cell>
        </row>
        <row r="209">
          <cell r="C209" t="str">
            <v>Base</v>
          </cell>
          <cell r="D209">
            <v>1</v>
          </cell>
          <cell r="E209">
            <v>25.3</v>
          </cell>
          <cell r="F209">
            <v>13.8</v>
          </cell>
          <cell r="G209">
            <v>7.4999999999999997E-2</v>
          </cell>
          <cell r="H209">
            <v>26.185499999999998</v>
          </cell>
        </row>
        <row r="210">
          <cell r="B210" t="str">
            <v>7.4.b</v>
          </cell>
          <cell r="C210" t="str">
            <v xml:space="preserve">P.C.C. for R.C.C. for super structures in M20 </v>
          </cell>
          <cell r="I210">
            <v>298.863</v>
          </cell>
          <cell r="J210" t="str">
            <v>cum</v>
          </cell>
          <cell r="K210">
            <v>6154.8131365578129</v>
          </cell>
          <cell r="L210">
            <v>1839445.9184310776</v>
          </cell>
        </row>
        <row r="211">
          <cell r="C211" t="str">
            <v>Bed</v>
          </cell>
          <cell r="D211">
            <v>1</v>
          </cell>
          <cell r="E211">
            <v>25.3</v>
          </cell>
          <cell r="F211">
            <v>13.8</v>
          </cell>
          <cell r="G211">
            <v>0.3</v>
          </cell>
          <cell r="H211">
            <v>104.74199999999999</v>
          </cell>
        </row>
        <row r="212">
          <cell r="C212" t="str">
            <v>Long Wall</v>
          </cell>
          <cell r="D212">
            <v>2</v>
          </cell>
          <cell r="E212">
            <v>24.3</v>
          </cell>
          <cell r="F212">
            <v>0.3</v>
          </cell>
          <cell r="G212">
            <v>3.8</v>
          </cell>
          <cell r="H212">
            <v>55.403999999999996</v>
          </cell>
        </row>
        <row r="213">
          <cell r="C213" t="str">
            <v>Short Wall</v>
          </cell>
          <cell r="D213">
            <v>6</v>
          </cell>
          <cell r="E213">
            <v>12.200000000000001</v>
          </cell>
          <cell r="F213">
            <v>0.3</v>
          </cell>
          <cell r="G213">
            <v>3.8</v>
          </cell>
          <cell r="H213">
            <v>83.447999999999993</v>
          </cell>
        </row>
        <row r="214">
          <cell r="C214" t="str">
            <v xml:space="preserve">Perforated Wall </v>
          </cell>
          <cell r="D214">
            <v>20</v>
          </cell>
          <cell r="E214">
            <v>4.5</v>
          </cell>
          <cell r="F214">
            <v>0.15</v>
          </cell>
          <cell r="G214">
            <v>3.5</v>
          </cell>
          <cell r="H214">
            <v>47.250000000000007</v>
          </cell>
        </row>
        <row r="215">
          <cell r="C215" t="str">
            <v>Weir Wall</v>
          </cell>
          <cell r="D215">
            <v>2</v>
          </cell>
          <cell r="E215">
            <v>1.1000000000000001</v>
          </cell>
          <cell r="F215">
            <v>24.3</v>
          </cell>
          <cell r="G215">
            <v>0.15</v>
          </cell>
          <cell r="H215">
            <v>8.0190000000000001</v>
          </cell>
        </row>
        <row r="216">
          <cell r="B216" t="str">
            <v>7.5</v>
          </cell>
          <cell r="C216" t="str">
            <v>Reinforcement work for R.C.C. work</v>
          </cell>
          <cell r="D216" t="str">
            <v>@100 kg/cum</v>
          </cell>
          <cell r="H216">
            <v>29.886299999999999</v>
          </cell>
          <cell r="I216">
            <v>29.886299999999999</v>
          </cell>
          <cell r="J216" t="str">
            <v>mt</v>
          </cell>
          <cell r="K216">
            <v>39248.537514867188</v>
          </cell>
          <cell r="L216">
            <v>1172993.5667305752</v>
          </cell>
        </row>
        <row r="217">
          <cell r="B217" t="str">
            <v>8.2.a</v>
          </cell>
          <cell r="C217" t="str">
            <v>Formwork for flooring and slab including materials</v>
          </cell>
          <cell r="I217">
            <v>1662.6</v>
          </cell>
          <cell r="J217" t="str">
            <v>sqm</v>
          </cell>
          <cell r="K217">
            <v>241.29415</v>
          </cell>
          <cell r="L217">
            <v>401175.65378999995</v>
          </cell>
        </row>
        <row r="218">
          <cell r="C218" t="str">
            <v>Long Wall</v>
          </cell>
          <cell r="D218">
            <v>4</v>
          </cell>
          <cell r="E218">
            <v>24.3</v>
          </cell>
          <cell r="G218">
            <v>3.8</v>
          </cell>
          <cell r="H218">
            <v>369.36</v>
          </cell>
        </row>
        <row r="219">
          <cell r="C219" t="str">
            <v>Short Wall</v>
          </cell>
          <cell r="D219">
            <v>12</v>
          </cell>
          <cell r="E219">
            <v>12.2</v>
          </cell>
          <cell r="G219">
            <v>3.8</v>
          </cell>
          <cell r="H219">
            <v>556.31999999999994</v>
          </cell>
        </row>
        <row r="220">
          <cell r="C220" t="str">
            <v xml:space="preserve">Perforated Wall </v>
          </cell>
          <cell r="D220">
            <v>40</v>
          </cell>
          <cell r="E220">
            <v>4.5</v>
          </cell>
          <cell r="G220">
            <v>3.5</v>
          </cell>
          <cell r="H220">
            <v>630</v>
          </cell>
        </row>
        <row r="221">
          <cell r="C221" t="str">
            <v>Weir Wall</v>
          </cell>
          <cell r="D221">
            <v>4</v>
          </cell>
          <cell r="E221">
            <v>1.1000000000000001</v>
          </cell>
          <cell r="G221">
            <v>24.3</v>
          </cell>
          <cell r="H221">
            <v>106.92000000000002</v>
          </cell>
        </row>
        <row r="222">
          <cell r="B222" t="str">
            <v>12.4.a</v>
          </cell>
          <cell r="C222" t="str">
            <v>20 mm plastering works in 1:3 cement sand mortar</v>
          </cell>
          <cell r="I222">
            <v>1680.88</v>
          </cell>
          <cell r="J222" t="str">
            <v>sqm</v>
          </cell>
          <cell r="K222">
            <v>176.78511684939062</v>
          </cell>
          <cell r="L222">
            <v>297154.56720980373</v>
          </cell>
        </row>
        <row r="223">
          <cell r="C223" t="str">
            <v>Bed</v>
          </cell>
          <cell r="D223">
            <v>1</v>
          </cell>
          <cell r="E223">
            <v>25.3</v>
          </cell>
          <cell r="F223">
            <v>13.8</v>
          </cell>
          <cell r="H223">
            <v>349.14000000000004</v>
          </cell>
        </row>
        <row r="224">
          <cell r="C224" t="str">
            <v>Long Wall</v>
          </cell>
          <cell r="D224">
            <v>2</v>
          </cell>
          <cell r="E224">
            <v>24.3</v>
          </cell>
          <cell r="F224">
            <v>3.8</v>
          </cell>
          <cell r="H224">
            <v>184.68</v>
          </cell>
        </row>
        <row r="225">
          <cell r="C225" t="str">
            <v>Short Wall</v>
          </cell>
          <cell r="D225">
            <v>10</v>
          </cell>
          <cell r="E225">
            <v>12.2</v>
          </cell>
          <cell r="F225">
            <v>3.8</v>
          </cell>
          <cell r="H225">
            <v>463.59999999999991</v>
          </cell>
        </row>
        <row r="226">
          <cell r="C226" t="str">
            <v xml:space="preserve">Perforated Wall </v>
          </cell>
          <cell r="D226">
            <v>40</v>
          </cell>
          <cell r="E226">
            <v>4.5</v>
          </cell>
          <cell r="F226">
            <v>3.5</v>
          </cell>
          <cell r="H226">
            <v>630</v>
          </cell>
        </row>
        <row r="227">
          <cell r="C227" t="str">
            <v>Weir Wall</v>
          </cell>
          <cell r="D227">
            <v>2</v>
          </cell>
          <cell r="E227">
            <v>1.1000000000000001</v>
          </cell>
          <cell r="F227">
            <v>24.3</v>
          </cell>
          <cell r="H227">
            <v>53.460000000000008</v>
          </cell>
        </row>
        <row r="228">
          <cell r="B228" t="str">
            <v>M-105</v>
          </cell>
          <cell r="C228" t="str">
            <v xml:space="preserve">Railing Work with 50mm GI Post @ 1600 c/c and 2 horizontal 40mm GI Pipe  </v>
          </cell>
          <cell r="I228">
            <v>73</v>
          </cell>
          <cell r="J228" t="str">
            <v>rm</v>
          </cell>
          <cell r="K228">
            <v>1000</v>
          </cell>
          <cell r="L228">
            <v>73000</v>
          </cell>
        </row>
        <row r="229">
          <cell r="C229" t="str">
            <v>Long Wall</v>
          </cell>
          <cell r="D229">
            <v>2</v>
          </cell>
          <cell r="E229">
            <v>24</v>
          </cell>
          <cell r="H229">
            <v>48</v>
          </cell>
        </row>
        <row r="230">
          <cell r="C230" t="str">
            <v>Short Wall</v>
          </cell>
          <cell r="D230">
            <v>2</v>
          </cell>
          <cell r="E230">
            <v>12.5</v>
          </cell>
          <cell r="H230">
            <v>25</v>
          </cell>
        </row>
        <row r="231">
          <cell r="B231" t="str">
            <v>M-108</v>
          </cell>
          <cell r="C231" t="str">
            <v>20-40mm river gravel filter filling work</v>
          </cell>
          <cell r="I231">
            <v>393.75</v>
          </cell>
          <cell r="J231" t="str">
            <v>cum</v>
          </cell>
          <cell r="K231">
            <v>2000</v>
          </cell>
          <cell r="L231">
            <v>787500</v>
          </cell>
        </row>
        <row r="232">
          <cell r="D232">
            <v>5</v>
          </cell>
          <cell r="E232">
            <v>5</v>
          </cell>
          <cell r="F232">
            <v>4.5</v>
          </cell>
          <cell r="G232">
            <v>3.5</v>
          </cell>
          <cell r="H232">
            <v>393.75</v>
          </cell>
        </row>
        <row r="233">
          <cell r="B233" t="str">
            <v>M-109</v>
          </cell>
          <cell r="C233" t="str">
            <v>10-20mm river gravel filter filling work</v>
          </cell>
          <cell r="I233">
            <v>236.25</v>
          </cell>
          <cell r="J233" t="str">
            <v>cum</v>
          </cell>
          <cell r="K233">
            <v>2500</v>
          </cell>
          <cell r="L233">
            <v>590625</v>
          </cell>
        </row>
        <row r="234">
          <cell r="D234">
            <v>5</v>
          </cell>
          <cell r="E234">
            <v>3</v>
          </cell>
          <cell r="F234">
            <v>4.5</v>
          </cell>
          <cell r="G234">
            <v>3.5</v>
          </cell>
          <cell r="H234">
            <v>236.25</v>
          </cell>
        </row>
        <row r="235">
          <cell r="B235" t="str">
            <v>M-110</v>
          </cell>
          <cell r="C235" t="str">
            <v>4-10mm river gravel filter filling work</v>
          </cell>
          <cell r="I235">
            <v>157.5</v>
          </cell>
          <cell r="J235" t="str">
            <v>cum</v>
          </cell>
          <cell r="K235">
            <v>3000</v>
          </cell>
          <cell r="L235">
            <v>472500</v>
          </cell>
        </row>
        <row r="236">
          <cell r="D236">
            <v>5</v>
          </cell>
          <cell r="E236">
            <v>2</v>
          </cell>
          <cell r="F236">
            <v>4.5</v>
          </cell>
          <cell r="G236">
            <v>3.5</v>
          </cell>
          <cell r="H236">
            <v>157.5</v>
          </cell>
        </row>
        <row r="237">
          <cell r="B237" t="str">
            <v>M-111</v>
          </cell>
          <cell r="C237" t="str">
            <v>MS U-Notch</v>
          </cell>
          <cell r="I237">
            <v>1</v>
          </cell>
          <cell r="J237" t="str">
            <v>job</v>
          </cell>
          <cell r="K237">
            <v>100000</v>
          </cell>
          <cell r="L237">
            <v>100000</v>
          </cell>
        </row>
        <row r="242">
          <cell r="B242" t="str">
            <v>1.1.b</v>
          </cell>
          <cell r="C242" t="str">
            <v>Cutting of Trees (21-60 cm dia.)</v>
          </cell>
          <cell r="D242">
            <v>40</v>
          </cell>
          <cell r="H242">
            <v>40</v>
          </cell>
          <cell r="I242">
            <v>40</v>
          </cell>
          <cell r="J242" t="str">
            <v>no</v>
          </cell>
          <cell r="K242">
            <v>35.880000000000003</v>
          </cell>
          <cell r="L242">
            <v>1435.2</v>
          </cell>
        </row>
        <row r="243">
          <cell r="B243" t="str">
            <v>1.2.b</v>
          </cell>
          <cell r="C243" t="str">
            <v>Removal of Tree roots (21-60 cm dia.)</v>
          </cell>
          <cell r="D243">
            <v>40</v>
          </cell>
          <cell r="H243">
            <v>40</v>
          </cell>
          <cell r="I243">
            <v>40</v>
          </cell>
          <cell r="J243" t="str">
            <v>no</v>
          </cell>
          <cell r="K243">
            <v>48.760000000000005</v>
          </cell>
          <cell r="L243">
            <v>1950.4</v>
          </cell>
        </row>
        <row r="244">
          <cell r="B244" t="str">
            <v>1.4</v>
          </cell>
          <cell r="C244" t="str">
            <v>Site Clearance in thin vegetation area</v>
          </cell>
          <cell r="D244">
            <v>1</v>
          </cell>
          <cell r="E244">
            <v>90</v>
          </cell>
          <cell r="F244">
            <v>75</v>
          </cell>
          <cell r="H244">
            <v>6750</v>
          </cell>
          <cell r="I244">
            <v>6750</v>
          </cell>
          <cell r="J244" t="str">
            <v>sqm</v>
          </cell>
          <cell r="K244">
            <v>2.76</v>
          </cell>
          <cell r="L244">
            <v>18630</v>
          </cell>
        </row>
        <row r="245">
          <cell r="B245">
            <v>2.14</v>
          </cell>
          <cell r="C245" t="str">
            <v>E/W Excavation for foundation, drain, pipelines etc. in BM Soil</v>
          </cell>
          <cell r="H245">
            <v>471.36078682760183</v>
          </cell>
          <cell r="I245">
            <v>471.36078682760183</v>
          </cell>
          <cell r="J245" t="str">
            <v>cum</v>
          </cell>
          <cell r="K245">
            <v>150.66839999999999</v>
          </cell>
          <cell r="L245">
            <v>71019.175574055844</v>
          </cell>
        </row>
        <row r="246">
          <cell r="C246" t="str">
            <v>Reservoir(50 cum)</v>
          </cell>
          <cell r="D246">
            <v>1</v>
          </cell>
          <cell r="E246">
            <v>5</v>
          </cell>
          <cell r="G246">
            <v>2.5</v>
          </cell>
          <cell r="H246">
            <v>17.562036827601816</v>
          </cell>
        </row>
        <row r="247">
          <cell r="C247" t="str">
            <v>Fencing post</v>
          </cell>
          <cell r="D247">
            <v>163</v>
          </cell>
          <cell r="E247">
            <v>0.3</v>
          </cell>
          <cell r="F247">
            <v>0.3</v>
          </cell>
          <cell r="G247">
            <v>0.65</v>
          </cell>
          <cell r="H247">
            <v>9.535499999999999</v>
          </cell>
        </row>
        <row r="248">
          <cell r="C248" t="str">
            <v>Gate</v>
          </cell>
          <cell r="D248">
            <v>2</v>
          </cell>
          <cell r="E248">
            <v>0.45</v>
          </cell>
          <cell r="F248">
            <v>0.45</v>
          </cell>
          <cell r="G248">
            <v>0.65</v>
          </cell>
          <cell r="H248">
            <v>0.26325000000000004</v>
          </cell>
        </row>
        <row r="249">
          <cell r="C249" t="str">
            <v>Retaining Wall</v>
          </cell>
          <cell r="D249">
            <v>1</v>
          </cell>
          <cell r="E249">
            <v>64</v>
          </cell>
          <cell r="F249">
            <v>2</v>
          </cell>
          <cell r="G249">
            <v>3</v>
          </cell>
          <cell r="H249">
            <v>384</v>
          </cell>
        </row>
        <row r="250">
          <cell r="C250" t="str">
            <v>Guard house</v>
          </cell>
          <cell r="D250">
            <v>1</v>
          </cell>
          <cell r="E250">
            <v>10</v>
          </cell>
          <cell r="F250">
            <v>6</v>
          </cell>
          <cell r="G250">
            <v>1</v>
          </cell>
          <cell r="H250">
            <v>60</v>
          </cell>
        </row>
        <row r="251">
          <cell r="B251">
            <v>11.16</v>
          </cell>
          <cell r="C251" t="str">
            <v xml:space="preserve">Stone soling with sand </v>
          </cell>
          <cell r="H251">
            <v>20.501249999999995</v>
          </cell>
          <cell r="I251">
            <v>20.501249999999995</v>
          </cell>
          <cell r="J251" t="str">
            <v>cum</v>
          </cell>
          <cell r="K251">
            <v>1371.1740676875002</v>
          </cell>
          <cell r="L251">
            <v>28110.782355178355</v>
          </cell>
        </row>
        <row r="252">
          <cell r="C252" t="str">
            <v>Fencing post</v>
          </cell>
          <cell r="D252">
            <v>163</v>
          </cell>
          <cell r="E252">
            <v>0.3</v>
          </cell>
          <cell r="F252">
            <v>0.3</v>
          </cell>
          <cell r="G252">
            <v>0.15</v>
          </cell>
          <cell r="H252">
            <v>2.2004999999999995</v>
          </cell>
        </row>
        <row r="253">
          <cell r="C253" t="str">
            <v>Retaining Wall</v>
          </cell>
          <cell r="D253">
            <v>1</v>
          </cell>
          <cell r="E253">
            <v>64</v>
          </cell>
          <cell r="F253">
            <v>1.9</v>
          </cell>
          <cell r="G253">
            <v>0.15</v>
          </cell>
          <cell r="H253">
            <v>18.239999999999998</v>
          </cell>
        </row>
        <row r="254">
          <cell r="C254" t="str">
            <v>Gate</v>
          </cell>
          <cell r="D254">
            <v>2</v>
          </cell>
          <cell r="E254">
            <v>0.45</v>
          </cell>
          <cell r="F254">
            <v>0.45</v>
          </cell>
          <cell r="G254">
            <v>0.15</v>
          </cell>
          <cell r="H254">
            <v>6.0749999999999998E-2</v>
          </cell>
        </row>
        <row r="255">
          <cell r="B255" t="str">
            <v>6.1.b</v>
          </cell>
          <cell r="C255" t="str">
            <v>Rubble masonry works in 1:4 cement mortar</v>
          </cell>
          <cell r="H255">
            <v>225.70949999999999</v>
          </cell>
          <cell r="I255">
            <v>225.70949999999999</v>
          </cell>
          <cell r="J255" t="str">
            <v>cum</v>
          </cell>
          <cell r="K255">
            <v>3062.1631243026563</v>
          </cell>
          <cell r="L255">
            <v>691159.30770479038</v>
          </cell>
        </row>
        <row r="256">
          <cell r="C256" t="str">
            <v>Retaining Wall</v>
          </cell>
          <cell r="D256">
            <v>1</v>
          </cell>
          <cell r="E256">
            <v>64</v>
          </cell>
          <cell r="F256">
            <v>1.1499999999999999</v>
          </cell>
          <cell r="G256">
            <v>3</v>
          </cell>
          <cell r="H256">
            <v>220.79999999999998</v>
          </cell>
        </row>
        <row r="257">
          <cell r="C257" t="str">
            <v>Gate base</v>
          </cell>
          <cell r="D257">
            <v>2</v>
          </cell>
          <cell r="E257">
            <v>0.45</v>
          </cell>
          <cell r="F257">
            <v>0.45</v>
          </cell>
          <cell r="G257">
            <v>0.5</v>
          </cell>
          <cell r="H257">
            <v>0.20250000000000001</v>
          </cell>
        </row>
        <row r="258">
          <cell r="C258" t="str">
            <v>Gate upper</v>
          </cell>
          <cell r="D258">
            <v>2</v>
          </cell>
          <cell r="E258">
            <v>0.3</v>
          </cell>
          <cell r="F258">
            <v>0.3</v>
          </cell>
          <cell r="G258">
            <v>1.7</v>
          </cell>
          <cell r="H258">
            <v>0.30599999999999999</v>
          </cell>
        </row>
        <row r="259">
          <cell r="C259" t="str">
            <v>Post upper</v>
          </cell>
          <cell r="D259">
            <v>163</v>
          </cell>
          <cell r="E259">
            <v>0.3</v>
          </cell>
          <cell r="F259">
            <v>0.3</v>
          </cell>
          <cell r="G259">
            <v>0.3</v>
          </cell>
          <cell r="H259">
            <v>4.4009999999999989</v>
          </cell>
        </row>
        <row r="260">
          <cell r="B260" t="str">
            <v>7.2.c</v>
          </cell>
          <cell r="C260" t="str">
            <v xml:space="preserve">P.C.C. for  foundation &amp; walls in M10 </v>
          </cell>
          <cell r="H260">
            <v>16.454999999999998</v>
          </cell>
          <cell r="I260">
            <v>16.454999999999998</v>
          </cell>
          <cell r="J260" t="str">
            <v>cum</v>
          </cell>
          <cell r="K260">
            <v>4334.2110718062495</v>
          </cell>
          <cell r="L260">
            <v>71319.443186571822</v>
          </cell>
        </row>
        <row r="261">
          <cell r="C261" t="str">
            <v>Retaining Wall</v>
          </cell>
          <cell r="D261">
            <v>1</v>
          </cell>
          <cell r="E261">
            <v>64</v>
          </cell>
          <cell r="F261">
            <v>1.9</v>
          </cell>
          <cell r="G261">
            <v>7.4999999999999997E-2</v>
          </cell>
          <cell r="H261">
            <v>9.1199999999999992</v>
          </cell>
        </row>
        <row r="262">
          <cell r="C262" t="str">
            <v>Fencing post</v>
          </cell>
          <cell r="D262">
            <v>163</v>
          </cell>
          <cell r="E262">
            <v>0.3</v>
          </cell>
          <cell r="F262">
            <v>0.3</v>
          </cell>
          <cell r="G262">
            <v>0.5</v>
          </cell>
          <cell r="H262">
            <v>7.3349999999999991</v>
          </cell>
        </row>
        <row r="263">
          <cell r="B263" t="str">
            <v>M-112</v>
          </cell>
          <cell r="C263" t="str">
            <v>Barbed Wire</v>
          </cell>
          <cell r="H263">
            <v>524.79999999999995</v>
          </cell>
          <cell r="I263">
            <v>524.79999999999995</v>
          </cell>
          <cell r="J263" t="str">
            <v>kg</v>
          </cell>
          <cell r="K263">
            <v>65</v>
          </cell>
          <cell r="L263">
            <v>34112</v>
          </cell>
        </row>
        <row r="264">
          <cell r="C264" t="str">
            <v>Straight</v>
          </cell>
          <cell r="D264">
            <v>1148</v>
          </cell>
          <cell r="E264">
            <v>2</v>
          </cell>
          <cell r="H264">
            <v>367.36</v>
          </cell>
        </row>
        <row r="265">
          <cell r="C265" t="str">
            <v>Diagonal</v>
          </cell>
          <cell r="D265">
            <v>328</v>
          </cell>
          <cell r="E265">
            <v>3</v>
          </cell>
          <cell r="H265">
            <v>157.44</v>
          </cell>
        </row>
        <row r="266">
          <cell r="B266" t="str">
            <v>M-1</v>
          </cell>
          <cell r="C266" t="str">
            <v xml:space="preserve">Fabrication &amp; placing of Angle post </v>
          </cell>
          <cell r="D266">
            <v>165</v>
          </cell>
          <cell r="H266">
            <v>165</v>
          </cell>
          <cell r="I266">
            <v>165</v>
          </cell>
          <cell r="J266" t="str">
            <v>no</v>
          </cell>
          <cell r="K266">
            <v>315.2955</v>
          </cell>
          <cell r="L266">
            <v>52023.7575</v>
          </cell>
        </row>
        <row r="267">
          <cell r="B267" t="str">
            <v>M-2</v>
          </cell>
          <cell r="C267" t="str">
            <v>Fabrication &amp; placing of MS Grill gate</v>
          </cell>
          <cell r="D267">
            <v>1</v>
          </cell>
          <cell r="H267">
            <v>1</v>
          </cell>
          <cell r="I267">
            <v>1</v>
          </cell>
          <cell r="J267" t="str">
            <v>set</v>
          </cell>
          <cell r="K267">
            <v>2717.148815</v>
          </cell>
          <cell r="L267">
            <v>2717.148815</v>
          </cell>
        </row>
        <row r="268">
          <cell r="K268" t="str">
            <v>Total</v>
          </cell>
          <cell r="L268">
            <v>972477.21513559634</v>
          </cell>
        </row>
      </sheetData>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s"/>
      <sheetName val="Veh"/>
      <sheetName val="Summary of Rates"/>
      <sheetName val="Rate Analysis"/>
    </sheetNames>
    <sheetDataSet>
      <sheetData sheetId="0">
        <row r="38">
          <cell r="G38">
            <v>230</v>
          </cell>
        </row>
        <row r="56">
          <cell r="D56">
            <v>1770</v>
          </cell>
        </row>
        <row r="87">
          <cell r="D87">
            <v>800</v>
          </cell>
        </row>
      </sheetData>
      <sheetData sheetId="1"/>
      <sheetData sheetId="2"/>
      <sheetData sheetId="3"/>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ckup-Database"/>
      <sheetName val="Database"/>
      <sheetName val="MenuSheet"/>
      <sheetName val="Cash Flow"/>
      <sheetName val="REQUISITION"/>
      <sheetName val="Transportation"/>
      <sheetName val="Sailent Features"/>
      <sheetName val="Tools"/>
      <sheetName val="Component Cost-Structure"/>
      <sheetName val="Costing Nepali-water"/>
      <sheetName val="Summary of Cost-water"/>
      <sheetName val="Cost Details-Water"/>
      <sheetName val="Data Entry"/>
      <sheetName val="Material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1"/>
      <sheetName val="ProfileData"/>
      <sheetName val="PipeDesign"/>
      <sheetName val="PD-TMPLT"/>
      <sheetName val="DrawingControls"/>
      <sheetName val="Profile"/>
      <sheetName val="FlowDiagram"/>
      <sheetName val="PipeList"/>
      <sheetName val="PipeLineWork"/>
      <sheetName val="PFdata"/>
      <sheetName val="Features"/>
      <sheetName val="FitData"/>
      <sheetName val="Fittings"/>
      <sheetName val="T&amp;P"/>
      <sheetName val="Summary"/>
    </sheetNames>
    <sheetDataSet>
      <sheetData sheetId="0"/>
      <sheetData sheetId="1"/>
      <sheetData sheetId="2"/>
      <sheetData sheetId="3">
        <row r="25">
          <cell r="D25">
            <v>250</v>
          </cell>
        </row>
        <row r="26">
          <cell r="D26">
            <v>260</v>
          </cell>
        </row>
      </sheetData>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Rates"/>
      <sheetName val="Rates"/>
      <sheetName val="Rate Analysis"/>
    </sheetNames>
    <sheetDataSet>
      <sheetData sheetId="0" refreshError="1"/>
      <sheetData sheetId="1" refreshError="1">
        <row r="4">
          <cell r="D4">
            <v>350</v>
          </cell>
        </row>
        <row r="21">
          <cell r="G21">
            <v>82902.618000000002</v>
          </cell>
        </row>
      </sheetData>
      <sheetData sheetId="2"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sheetName val="Rate analysis"/>
    </sheetNames>
    <sheetDataSet>
      <sheetData sheetId="0">
        <row r="57">
          <cell r="D57">
            <v>249</v>
          </cell>
        </row>
        <row r="60">
          <cell r="D60">
            <v>1918.33</v>
          </cell>
        </row>
      </sheetData>
      <sheetData sheetId="1"/>
      <sheetData sheetId="2"/>
      <sheetData sheetId="3"/>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kk"/>
      <sheetName val="Rate analysis"/>
    </sheetNames>
    <sheetDataSet>
      <sheetData sheetId="0">
        <row r="19">
          <cell r="N19">
            <v>84.31</v>
          </cell>
        </row>
        <row r="20">
          <cell r="N20">
            <v>84.31</v>
          </cell>
        </row>
        <row r="21">
          <cell r="N21">
            <v>88.31</v>
          </cell>
        </row>
      </sheetData>
      <sheetData sheetId="1" refreshError="1"/>
      <sheetData sheetId="2" refreshError="1"/>
      <sheetData sheetId="3"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
      <sheetName val="T-RATE"/>
      <sheetName val="M-RATE"/>
      <sheetName val="URG CIVIL"/>
      <sheetName val="COST-EST"/>
      <sheetName val="Bill-EST"/>
      <sheetName val="Sani-Cost-est"/>
      <sheetName val="Sani-Bill-est"/>
      <sheetName val="Ele-COST-EST "/>
      <sheetName val="Ele-Bill-EST"/>
      <sheetName val="Fur-Cost-est"/>
      <sheetName val="Fur-Bill-est"/>
      <sheetName val="Sum-Cost"/>
      <sheetName val="Boq"/>
      <sheetName val="Sum -Cost"/>
      <sheetName val="Sum -bILL"/>
      <sheetName val="Sum-Bi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Equipment"/>
      <sheetName val="Lab Establishment"/>
      <sheetName val="Lab Equipment"/>
      <sheetName val="Running Cost "/>
      <sheetName val="Furniture for Accomodation"/>
      <sheetName val="Furniture Office &amp; lab"/>
      <sheetName val="Vehicle_Cost"/>
      <sheetName val="Labour Rates_BB"/>
      <sheetName val="Dayworks"/>
      <sheetName val="Support staff wage"/>
      <sheetName val="Equipment Rates"/>
      <sheetName val="Material_Tax"/>
      <sheetName val="Material collection equipment"/>
      <sheetName val="Haulage dist"/>
      <sheetName val="Haulage items"/>
      <sheetName val="Transport Cost final"/>
      <sheetName val="Transport_Cost_F"/>
      <sheetName val="Qtty  for Storm Drain "/>
      <sheetName val="Rate Analysis"/>
      <sheetName val="Insurance"/>
      <sheetName val="Summary_Sheet_M"/>
      <sheetName val="PS"/>
      <sheetName val="Qtty Summary"/>
      <sheetName val="BoQ BB-01"/>
      <sheetName val="Sum-BB-01"/>
      <sheetName val="Road Qty"/>
      <sheetName val="Neighbourhood"/>
      <sheetName val="Neigh Qtty"/>
      <sheetName val="Cover Slab Qtty"/>
      <sheetName val="Inlet detail"/>
    </sheetNames>
    <sheetDataSet>
      <sheetData sheetId="0"/>
      <sheetData sheetId="1"/>
      <sheetData sheetId="2"/>
      <sheetData sheetId="3">
        <row r="27">
          <cell r="C27">
            <v>64000</v>
          </cell>
        </row>
      </sheetData>
      <sheetData sheetId="4"/>
      <sheetData sheetId="5">
        <row r="75">
          <cell r="J75">
            <v>971865</v>
          </cell>
        </row>
      </sheetData>
      <sheetData sheetId="6"/>
      <sheetData sheetId="7">
        <row r="9">
          <cell r="E9">
            <v>350</v>
          </cell>
        </row>
      </sheetData>
      <sheetData sheetId="8">
        <row r="9">
          <cell r="C9" t="str">
            <v xml:space="preserve">Work shall be excuted as Dayworks only under the written instructions of the Engineer. </v>
          </cell>
        </row>
      </sheetData>
      <sheetData sheetId="9"/>
      <sheetData sheetId="10">
        <row r="10">
          <cell r="D10">
            <v>800</v>
          </cell>
        </row>
      </sheetData>
      <sheetData sheetId="11"/>
      <sheetData sheetId="12"/>
      <sheetData sheetId="13">
        <row r="9">
          <cell r="K9">
            <v>8.6</v>
          </cell>
        </row>
      </sheetData>
      <sheetData sheetId="14"/>
      <sheetData sheetId="15"/>
      <sheetData sheetId="16">
        <row r="10">
          <cell r="D10">
            <v>12</v>
          </cell>
        </row>
        <row r="41">
          <cell r="D41">
            <v>2083.33</v>
          </cell>
        </row>
      </sheetData>
      <sheetData sheetId="17"/>
      <sheetData sheetId="18">
        <row r="560">
          <cell r="O560">
            <v>31000</v>
          </cell>
        </row>
      </sheetData>
      <sheetData sheetId="19">
        <row r="13">
          <cell r="D13">
            <v>101809.49999999997</v>
          </cell>
        </row>
      </sheetData>
      <sheetData sheetId="20">
        <row r="11">
          <cell r="E11">
            <v>1656000</v>
          </cell>
        </row>
      </sheetData>
      <sheetData sheetId="21"/>
      <sheetData sheetId="22"/>
      <sheetData sheetId="23"/>
      <sheetData sheetId="24"/>
      <sheetData sheetId="25"/>
      <sheetData sheetId="26"/>
      <sheetData sheetId="27"/>
      <sheetData sheetId="28"/>
      <sheetData sheetId="29"/>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 Pro Cost"/>
      <sheetName val="S-COST3"/>
      <sheetName val="MAT"/>
      <sheetName val="T-RATE"/>
      <sheetName val="M-RATE"/>
      <sheetName val="URG CIVIL"/>
      <sheetName val="UR PLJ"/>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eration"/>
      <sheetName val="all-trans"/>
      <sheetName val="Coll-all-trans"/>
      <sheetName val="mtrls-cost"/>
      <sheetName val="Rate"/>
      <sheetName val="Analysis"/>
      <sheetName val="21Trp"/>
      <sheetName val="haul"/>
      <sheetName val="mCost"/>
    </sheetNames>
    <sheetDataSet>
      <sheetData sheetId="0"/>
      <sheetData sheetId="1"/>
      <sheetData sheetId="2"/>
      <sheetData sheetId="3"/>
      <sheetData sheetId="4">
        <row r="15">
          <cell r="C15">
            <v>145</v>
          </cell>
        </row>
        <row r="16">
          <cell r="C16">
            <v>135</v>
          </cell>
        </row>
        <row r="56">
          <cell r="C56">
            <v>441.54</v>
          </cell>
        </row>
      </sheetData>
      <sheetData sheetId="5"/>
      <sheetData sheetId="6" refreshError="1"/>
      <sheetData sheetId="7" refreshError="1"/>
      <sheetData sheetId="8"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301"/>
      <sheetName val="Ta304"/>
      <sheetName val="Ta403"/>
    </sheetNames>
    <sheetDataSet>
      <sheetData sheetId="0" refreshError="1">
        <row r="7">
          <cell r="I7">
            <v>2238</v>
          </cell>
        </row>
      </sheetData>
      <sheetData sheetId="1" refreshError="1"/>
      <sheetData sheetId="2" refreshError="1">
        <row r="8">
          <cell r="J8">
            <v>39413.199999999997</v>
          </cell>
        </row>
      </sheetData>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_Birendranagar"/>
      <sheetName val="Breakdown_Material"/>
      <sheetName val="BOQ_WUSC"/>
      <sheetName val="BOQ"/>
      <sheetName val="Sheet1"/>
      <sheetName val="TOC"/>
      <sheetName val="Cost Extract"/>
      <sheetName val="Summary of Cost"/>
      <sheetName val="F_Pipesdetails"/>
      <sheetName val="F_Pipes"/>
      <sheetName val="TRANS_dist_pipework_Contractor"/>
      <sheetName val="Earhwork_pipe_WUC"/>
      <sheetName val="F_TransPL"/>
      <sheetName val="Pipecosttrans"/>
      <sheetName val="F_Pipecostdist"/>
      <sheetName val="Pipelaycost"/>
      <sheetName val="F_SA_1APL"/>
      <sheetName val="F_SA_1BPL"/>
      <sheetName val="RVT_FENCING"/>
      <sheetName val="RVT_20"/>
      <sheetName val="RVT_50"/>
      <sheetName val="RVT_125"/>
      <sheetName val="RVT_200"/>
      <sheetName val="F_SA_2PL"/>
      <sheetName val="F_SA_3APL"/>
      <sheetName val="F_SA_3BPL"/>
      <sheetName val="F_SA_4PL"/>
      <sheetName val="F_SA_5PL"/>
      <sheetName val="F_SA_6PL"/>
      <sheetName val="F_SA_7PL"/>
      <sheetName val="F_SA_8PL"/>
      <sheetName val="F_SA_9PL"/>
      <sheetName val="F_SA_10PL"/>
      <sheetName val="F_AppTrack"/>
      <sheetName val="Major Cross"/>
      <sheetName val="SCross"/>
      <sheetName val="F_RVT_All"/>
      <sheetName val="sum_F_RVT_ALL"/>
      <sheetName val="F_Box"/>
      <sheetName val="F_Box Sum"/>
      <sheetName val="F_Guard House"/>
      <sheetName val="F_Public Toilet"/>
      <sheetName val="Misc"/>
      <sheetName val="Mitigation"/>
      <sheetName val="F_Drain"/>
      <sheetName val="F_Piperate"/>
      <sheetName val="LabMatRate"/>
      <sheetName val="RateAnalysis"/>
      <sheetName val="TruckAna"/>
      <sheetName val="F_treatment NRQ"/>
      <sheetName val="PipeCostComp"/>
      <sheetName val="SCrossData"/>
      <sheetName val="Summary of Pipe Work"/>
      <sheetName val="F_Earth Work"/>
      <sheetName val="LocalMat"/>
      <sheetName val="F_Office building"/>
      <sheetName val="SumRate"/>
      <sheetName val="F_Intake"/>
      <sheetName val="F_Grit Chamber"/>
      <sheetName val="F_Treat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ow r="6">
          <cell r="B6" t="str">
            <v>H16/10</v>
          </cell>
          <cell r="C6">
            <v>11.6</v>
          </cell>
          <cell r="D6">
            <v>9.1999999999999998E-2</v>
          </cell>
          <cell r="E6">
            <v>7.0000000000000007E-2</v>
          </cell>
          <cell r="F6">
            <v>0.2</v>
          </cell>
          <cell r="G6">
            <v>0.20226749999999982</v>
          </cell>
          <cell r="H6">
            <v>5.8127842499999985E-2</v>
          </cell>
          <cell r="I6">
            <v>7.9115934197999991</v>
          </cell>
          <cell r="J6">
            <v>7.9697212622999993</v>
          </cell>
        </row>
        <row r="7">
          <cell r="B7" t="str">
            <v>H20/10</v>
          </cell>
          <cell r="C7">
            <v>14.9</v>
          </cell>
          <cell r="D7">
            <v>0.13400000000000001</v>
          </cell>
          <cell r="E7">
            <v>0.1</v>
          </cell>
          <cell r="F7">
            <v>0.2</v>
          </cell>
          <cell r="G7">
            <v>0.20226749999999982</v>
          </cell>
          <cell r="H7">
            <v>8.4664466249999987E-2</v>
          </cell>
          <cell r="I7">
            <v>11.302276314</v>
          </cell>
          <cell r="J7">
            <v>11.386940780250001</v>
          </cell>
        </row>
        <row r="8">
          <cell r="B8" t="str">
            <v>H25/10</v>
          </cell>
          <cell r="C8">
            <v>18.899999999999999</v>
          </cell>
          <cell r="D8">
            <v>0.20200000000000001</v>
          </cell>
          <cell r="E8">
            <v>0.16</v>
          </cell>
          <cell r="F8">
            <v>0.2</v>
          </cell>
          <cell r="G8">
            <v>0.20226749999999982</v>
          </cell>
          <cell r="H8">
            <v>0.12762852375</v>
          </cell>
          <cell r="I8">
            <v>18.083642102399999</v>
          </cell>
          <cell r="J8">
            <v>18.21127062615</v>
          </cell>
        </row>
        <row r="9">
          <cell r="B9" t="str">
            <v>H32/6</v>
          </cell>
          <cell r="C9">
            <v>26.9</v>
          </cell>
          <cell r="D9">
            <v>0.22</v>
          </cell>
          <cell r="E9">
            <v>0.17</v>
          </cell>
          <cell r="F9">
            <v>0.2</v>
          </cell>
          <cell r="G9">
            <v>0.20226749999999982</v>
          </cell>
          <cell r="H9">
            <v>0.13900136249999998</v>
          </cell>
          <cell r="I9">
            <v>19.213869733799999</v>
          </cell>
          <cell r="J9">
            <v>19.352871096299999</v>
          </cell>
        </row>
        <row r="10">
          <cell r="B10" t="str">
            <v>H32/10</v>
          </cell>
          <cell r="C10">
            <v>24.1</v>
          </cell>
          <cell r="D10">
            <v>0.33400000000000002</v>
          </cell>
          <cell r="E10">
            <v>0.26</v>
          </cell>
          <cell r="F10">
            <v>0.2</v>
          </cell>
          <cell r="G10">
            <v>0.20226749999999982</v>
          </cell>
          <cell r="H10">
            <v>0.21102934124999997</v>
          </cell>
          <cell r="I10">
            <v>29.385918416399996</v>
          </cell>
          <cell r="J10">
            <v>29.596947757649996</v>
          </cell>
        </row>
        <row r="11">
          <cell r="B11" t="str">
            <v>H40/4</v>
          </cell>
          <cell r="C11">
            <v>35.6</v>
          </cell>
          <cell r="D11">
            <v>0.251</v>
          </cell>
          <cell r="E11">
            <v>0.20080000000000003</v>
          </cell>
          <cell r="F11">
            <v>0.2</v>
          </cell>
          <cell r="G11">
            <v>0.20226749999999982</v>
          </cell>
          <cell r="H11">
            <v>0.15858791812499995</v>
          </cell>
          <cell r="I11">
            <v>22.694970838511999</v>
          </cell>
          <cell r="J11">
            <v>22.853558756637</v>
          </cell>
        </row>
        <row r="12">
          <cell r="B12" t="str">
            <v>H40/6</v>
          </cell>
          <cell r="C12">
            <v>33.700000000000003</v>
          </cell>
          <cell r="D12">
            <v>0.35</v>
          </cell>
          <cell r="E12">
            <v>0.28000000000000003</v>
          </cell>
          <cell r="F12">
            <v>0.2</v>
          </cell>
          <cell r="G12">
            <v>0.20226749999999982</v>
          </cell>
          <cell r="H12">
            <v>0.22113853124999994</v>
          </cell>
          <cell r="I12">
            <v>31.646373679199996</v>
          </cell>
          <cell r="J12">
            <v>31.867512210449995</v>
          </cell>
        </row>
        <row r="13">
          <cell r="B13" t="str">
            <v>H40/10</v>
          </cell>
          <cell r="C13">
            <v>30.3</v>
          </cell>
          <cell r="D13">
            <v>0.51400000000000001</v>
          </cell>
          <cell r="E13">
            <v>0.4</v>
          </cell>
          <cell r="F13">
            <v>0.2</v>
          </cell>
          <cell r="G13">
            <v>0.20226749999999982</v>
          </cell>
          <cell r="H13">
            <v>0.32475772874999992</v>
          </cell>
          <cell r="I13">
            <v>45.209105256000001</v>
          </cell>
          <cell r="J13">
            <v>45.533862984750002</v>
          </cell>
        </row>
        <row r="14">
          <cell r="B14" t="str">
            <v>H50/4</v>
          </cell>
          <cell r="C14">
            <v>44.7</v>
          </cell>
          <cell r="D14">
            <v>0.378</v>
          </cell>
          <cell r="E14">
            <v>0.29988929889298893</v>
          </cell>
          <cell r="F14">
            <v>0.2</v>
          </cell>
          <cell r="G14">
            <v>0.20226749999999982</v>
          </cell>
          <cell r="H14">
            <v>0.23882961374999995</v>
          </cell>
          <cell r="I14">
            <v>33.894317197002948</v>
          </cell>
          <cell r="J14">
            <v>34.133146810752947</v>
          </cell>
        </row>
        <row r="15">
          <cell r="B15" t="str">
            <v>H50/6</v>
          </cell>
          <cell r="C15">
            <v>42.2</v>
          </cell>
          <cell r="D15">
            <v>0.54200000000000004</v>
          </cell>
          <cell r="E15">
            <v>0.43</v>
          </cell>
          <cell r="F15">
            <v>0.2</v>
          </cell>
          <cell r="G15">
            <v>0.20226749999999982</v>
          </cell>
          <cell r="H15">
            <v>0.34244881124999998</v>
          </cell>
          <cell r="I15">
            <v>48.599788150199991</v>
          </cell>
          <cell r="J15">
            <v>48.942236961449993</v>
          </cell>
        </row>
        <row r="16">
          <cell r="B16" t="str">
            <v>H50/10</v>
          </cell>
          <cell r="C16">
            <v>38</v>
          </cell>
          <cell r="D16">
            <v>0.79600000000000004</v>
          </cell>
          <cell r="E16">
            <v>0.63</v>
          </cell>
          <cell r="F16">
            <v>0.2</v>
          </cell>
          <cell r="G16">
            <v>0.20226749999999982</v>
          </cell>
          <cell r="H16">
            <v>0.50293220249999993</v>
          </cell>
          <cell r="I16">
            <v>71.204340778199992</v>
          </cell>
          <cell r="J16">
            <v>71.707272980699997</v>
          </cell>
        </row>
        <row r="17">
          <cell r="B17" t="str">
            <v>H63/4</v>
          </cell>
          <cell r="C17">
            <v>56.5</v>
          </cell>
          <cell r="D17">
            <v>0.58499999999999996</v>
          </cell>
          <cell r="E17">
            <v>0.46</v>
          </cell>
          <cell r="F17">
            <v>0.2</v>
          </cell>
          <cell r="G17">
            <v>0.20226749999999982</v>
          </cell>
          <cell r="H17">
            <v>0.3696172593749999</v>
          </cell>
          <cell r="I17">
            <v>51.990471044400003</v>
          </cell>
          <cell r="J17">
            <v>52.360088303775001</v>
          </cell>
        </row>
        <row r="18">
          <cell r="B18" t="str">
            <v>H63/6</v>
          </cell>
          <cell r="C18">
            <v>53.3</v>
          </cell>
          <cell r="D18">
            <v>0.85</v>
          </cell>
          <cell r="E18">
            <v>0.67</v>
          </cell>
          <cell r="F18">
            <v>0.2</v>
          </cell>
          <cell r="G18">
            <v>0.20226749999999982</v>
          </cell>
          <cell r="H18">
            <v>0.53705071874999988</v>
          </cell>
          <cell r="I18">
            <v>75.725251303799993</v>
          </cell>
          <cell r="J18">
            <v>76.262302022549989</v>
          </cell>
        </row>
        <row r="19">
          <cell r="B19" t="str">
            <v>H63/10</v>
          </cell>
          <cell r="C19">
            <v>47.8</v>
          </cell>
          <cell r="D19">
            <v>1.2689999999999999</v>
          </cell>
          <cell r="E19">
            <v>1</v>
          </cell>
          <cell r="F19">
            <v>0.2</v>
          </cell>
          <cell r="G19">
            <v>0.20226749999999982</v>
          </cell>
          <cell r="H19">
            <v>0.80178513187499978</v>
          </cell>
          <cell r="I19">
            <v>113.02276313999998</v>
          </cell>
          <cell r="J19">
            <v>113.82454827187497</v>
          </cell>
        </row>
        <row r="20">
          <cell r="B20" t="str">
            <v>H75/4</v>
          </cell>
          <cell r="C20">
            <v>67.099999999999994</v>
          </cell>
          <cell r="D20">
            <v>0.84599999999999997</v>
          </cell>
          <cell r="E20">
            <v>0.66</v>
          </cell>
          <cell r="F20">
            <v>0.2</v>
          </cell>
          <cell r="G20">
            <v>0.20226749999999982</v>
          </cell>
          <cell r="H20">
            <v>0.53452342124999985</v>
          </cell>
          <cell r="I20">
            <v>74.595023672399989</v>
          </cell>
          <cell r="J20">
            <v>75.12954709364999</v>
          </cell>
        </row>
        <row r="21">
          <cell r="B21" t="str">
            <v>H75/6</v>
          </cell>
          <cell r="C21">
            <v>63.6</v>
          </cell>
          <cell r="D21">
            <v>1.1910000000000001</v>
          </cell>
          <cell r="E21">
            <v>0.94</v>
          </cell>
          <cell r="F21">
            <v>0.2</v>
          </cell>
          <cell r="G21">
            <v>0.20226749999999982</v>
          </cell>
          <cell r="H21">
            <v>0.7525028306249999</v>
          </cell>
          <cell r="I21">
            <v>106.24139735159999</v>
          </cell>
          <cell r="J21">
            <v>106.99390018222499</v>
          </cell>
        </row>
        <row r="22">
          <cell r="B22" t="str">
            <v>H75/10</v>
          </cell>
          <cell r="C22">
            <v>57.1</v>
          </cell>
          <cell r="D22">
            <v>1.782</v>
          </cell>
          <cell r="E22">
            <v>1.406448362720403</v>
          </cell>
          <cell r="F22">
            <v>0.2</v>
          </cell>
          <cell r="G22">
            <v>0.20226749999999982</v>
          </cell>
          <cell r="H22">
            <v>1.1259110362499998</v>
          </cell>
          <cell r="I22">
            <v>158.96068016838888</v>
          </cell>
          <cell r="J22">
            <v>160.08659120463886</v>
          </cell>
        </row>
        <row r="23">
          <cell r="B23" t="str">
            <v>H90/4</v>
          </cell>
          <cell r="C23">
            <v>80.5</v>
          </cell>
          <cell r="D23">
            <v>1.22</v>
          </cell>
          <cell r="E23">
            <v>0.96</v>
          </cell>
          <cell r="F23">
            <v>0.2</v>
          </cell>
          <cell r="G23">
            <v>0.20226749999999982</v>
          </cell>
          <cell r="H23">
            <v>0.77082573749999983</v>
          </cell>
          <cell r="I23">
            <v>108.50185261439998</v>
          </cell>
          <cell r="J23">
            <v>109.27267835189998</v>
          </cell>
        </row>
        <row r="24">
          <cell r="B24" t="str">
            <v>H90/6</v>
          </cell>
          <cell r="C24">
            <v>76.3</v>
          </cell>
          <cell r="D24">
            <v>1.7150000000000001</v>
          </cell>
          <cell r="E24">
            <v>1.36</v>
          </cell>
          <cell r="F24">
            <v>0.2</v>
          </cell>
          <cell r="G24">
            <v>0.20226749999999982</v>
          </cell>
          <cell r="H24">
            <v>1.0835788031249998</v>
          </cell>
          <cell r="I24">
            <v>153.71095787039999</v>
          </cell>
          <cell r="J24">
            <v>154.79453667352499</v>
          </cell>
        </row>
        <row r="25">
          <cell r="B25" t="str">
            <v>H90/10</v>
          </cell>
          <cell r="C25">
            <v>68.5</v>
          </cell>
          <cell r="D25">
            <v>2.5680000000000001</v>
          </cell>
          <cell r="E25">
            <v>2.02</v>
          </cell>
          <cell r="F25">
            <v>0.2</v>
          </cell>
          <cell r="G25">
            <v>0.20226749999999982</v>
          </cell>
          <cell r="H25">
            <v>1.6225249949999996</v>
          </cell>
          <cell r="I25">
            <v>228.30598154279997</v>
          </cell>
          <cell r="J25">
            <v>229.92850653779996</v>
          </cell>
        </row>
        <row r="26">
          <cell r="B26" t="str">
            <v>H110/4</v>
          </cell>
          <cell r="C26">
            <v>98.7</v>
          </cell>
          <cell r="D26">
            <v>1.7030000000000001</v>
          </cell>
          <cell r="E26">
            <v>1.4</v>
          </cell>
          <cell r="F26">
            <v>0.2</v>
          </cell>
          <cell r="G26">
            <v>0.20226749999999982</v>
          </cell>
          <cell r="H26">
            <v>1.0759969106249998</v>
          </cell>
          <cell r="I26">
            <v>158.23186839599998</v>
          </cell>
          <cell r="J26">
            <v>159.30786530662499</v>
          </cell>
        </row>
        <row r="27">
          <cell r="B27" t="str">
            <v>H110/6</v>
          </cell>
          <cell r="C27">
            <v>93.4</v>
          </cell>
          <cell r="D27">
            <v>2.5449999999999999</v>
          </cell>
          <cell r="E27">
            <v>2</v>
          </cell>
          <cell r="F27">
            <v>0.2</v>
          </cell>
          <cell r="G27">
            <v>0.20226749999999982</v>
          </cell>
          <cell r="H27">
            <v>1.6079930343749995</v>
          </cell>
          <cell r="I27">
            <v>226.04552627999996</v>
          </cell>
          <cell r="J27">
            <v>227.65351931437496</v>
          </cell>
        </row>
        <row r="28">
          <cell r="B28" t="str">
            <v>H110/10</v>
          </cell>
          <cell r="C28">
            <v>83.7</v>
          </cell>
          <cell r="D28">
            <v>3.8010000000000002</v>
          </cell>
          <cell r="E28">
            <v>3.02</v>
          </cell>
          <cell r="F28">
            <v>0.2</v>
          </cell>
          <cell r="G28">
            <v>0.20226749999999982</v>
          </cell>
          <cell r="H28">
            <v>2.4015644493749995</v>
          </cell>
          <cell r="I28">
            <v>341.32874468279994</v>
          </cell>
          <cell r="J28">
            <v>343.73030913217491</v>
          </cell>
        </row>
        <row r="29">
          <cell r="B29" t="str">
            <v>H125/4</v>
          </cell>
          <cell r="C29">
            <v>112.2</v>
          </cell>
          <cell r="D29">
            <v>2.2890000000000001</v>
          </cell>
          <cell r="E29">
            <v>1.8</v>
          </cell>
          <cell r="F29">
            <v>0.2</v>
          </cell>
          <cell r="G29">
            <v>0.20226749999999982</v>
          </cell>
          <cell r="H29">
            <v>1.4462459943749999</v>
          </cell>
          <cell r="I29">
            <v>203.440973652</v>
          </cell>
          <cell r="J29">
            <v>204.887219646375</v>
          </cell>
        </row>
        <row r="30">
          <cell r="B30" t="str">
            <v>H125/6</v>
          </cell>
          <cell r="C30">
            <v>106.1</v>
          </cell>
          <cell r="D30">
            <v>3.2930000000000001</v>
          </cell>
          <cell r="E30">
            <v>2.5895150720838793</v>
          </cell>
          <cell r="F30">
            <v>0.2</v>
          </cell>
          <cell r="G30">
            <v>0.20226749999999982</v>
          </cell>
          <cell r="H30">
            <v>2.0805976668749997</v>
          </cell>
          <cell r="I30">
            <v>292.67414863959624</v>
          </cell>
          <cell r="J30">
            <v>294.75474630647125</v>
          </cell>
        </row>
        <row r="31">
          <cell r="B31" t="str">
            <v>H125/10</v>
          </cell>
          <cell r="C31">
            <v>95.1</v>
          </cell>
          <cell r="D31">
            <v>4.9619999999999997</v>
          </cell>
          <cell r="E31">
            <v>3.9019659239842723</v>
          </cell>
          <cell r="F31">
            <v>0.2</v>
          </cell>
          <cell r="G31">
            <v>0.20226749999999982</v>
          </cell>
          <cell r="H31">
            <v>3.1351125487499991</v>
          </cell>
          <cell r="I31">
            <v>441.01097040682555</v>
          </cell>
          <cell r="J31">
            <v>444.14608295557554</v>
          </cell>
        </row>
        <row r="32">
          <cell r="B32" t="str">
            <v>H140/4</v>
          </cell>
          <cell r="C32">
            <v>125.5</v>
          </cell>
          <cell r="D32">
            <v>2.9009999999999998</v>
          </cell>
          <cell r="E32">
            <v>2.2799999999999998</v>
          </cell>
          <cell r="F32">
            <v>0.2</v>
          </cell>
          <cell r="G32">
            <v>0.20226749999999982</v>
          </cell>
          <cell r="H32">
            <v>1.8329225118749994</v>
          </cell>
          <cell r="I32">
            <v>257.69189995919993</v>
          </cell>
          <cell r="J32">
            <v>259.52482247107491</v>
          </cell>
        </row>
        <row r="33">
          <cell r="B33" t="str">
            <v>H140/6</v>
          </cell>
          <cell r="C33">
            <v>119</v>
          </cell>
          <cell r="D33">
            <v>4.1500000000000004</v>
          </cell>
          <cell r="E33">
            <v>3.23</v>
          </cell>
          <cell r="F33">
            <v>0.2</v>
          </cell>
          <cell r="G33">
            <v>0.20226749999999982</v>
          </cell>
          <cell r="H33">
            <v>2.6220711562499996</v>
          </cell>
          <cell r="I33">
            <v>365.06352494219993</v>
          </cell>
          <cell r="J33">
            <v>367.68559609844993</v>
          </cell>
        </row>
        <row r="34">
          <cell r="B34" t="str">
            <v>H140/10</v>
          </cell>
          <cell r="C34">
            <v>106.6</v>
          </cell>
          <cell r="D34">
            <v>6.2089999999999996</v>
          </cell>
          <cell r="E34">
            <v>4.8325469879518064</v>
          </cell>
          <cell r="F34">
            <v>0.2</v>
          </cell>
          <cell r="G34">
            <v>0.20226749999999982</v>
          </cell>
          <cell r="H34">
            <v>3.9229975443749989</v>
          </cell>
          <cell r="I34">
            <v>546.18781358219735</v>
          </cell>
          <cell r="J34">
            <v>550.11081112657234</v>
          </cell>
        </row>
        <row r="35">
          <cell r="B35" t="str">
            <v>H160/4</v>
          </cell>
          <cell r="C35">
            <v>143.4</v>
          </cell>
          <cell r="D35">
            <v>3.7730000000000001</v>
          </cell>
          <cell r="E35">
            <v>2.99</v>
          </cell>
          <cell r="F35">
            <v>0.2</v>
          </cell>
          <cell r="G35">
            <v>0.20226749999999982</v>
          </cell>
          <cell r="H35">
            <v>2.3838733668749996</v>
          </cell>
          <cell r="I35">
            <v>337.93806178859995</v>
          </cell>
          <cell r="J35">
            <v>340.32193515547493</v>
          </cell>
        </row>
        <row r="36">
          <cell r="B36" t="str">
            <v>H160/6</v>
          </cell>
          <cell r="C36">
            <v>136</v>
          </cell>
          <cell r="D36">
            <v>5.3550000000000004</v>
          </cell>
          <cell r="E36">
            <v>4.2436920222634518</v>
          </cell>
          <cell r="F36">
            <v>0.2</v>
          </cell>
          <cell r="G36">
            <v>0.20226749999999982</v>
          </cell>
          <cell r="H36">
            <v>3.3834195281249992</v>
          </cell>
          <cell r="I36">
            <v>479.63379827138965</v>
          </cell>
          <cell r="J36">
            <v>483.01721779951464</v>
          </cell>
        </row>
        <row r="37">
          <cell r="B37" t="str">
            <v>H160/10</v>
          </cell>
          <cell r="C37">
            <v>122</v>
          </cell>
          <cell r="D37">
            <v>8.0790000000000006</v>
          </cell>
          <cell r="E37">
            <v>6.4023880201431229</v>
          </cell>
          <cell r="F37">
            <v>0.2</v>
          </cell>
          <cell r="G37">
            <v>0.20226749999999982</v>
          </cell>
          <cell r="H37">
            <v>5.1045091256249995</v>
          </cell>
          <cell r="I37">
            <v>723.61558473100956</v>
          </cell>
          <cell r="J37">
            <v>728.72009385663455</v>
          </cell>
        </row>
        <row r="38">
          <cell r="B38" t="str">
            <v>H180/4</v>
          </cell>
          <cell r="C38">
            <v>161.5</v>
          </cell>
          <cell r="D38">
            <v>4.7619999999999996</v>
          </cell>
          <cell r="E38">
            <v>3.75</v>
          </cell>
          <cell r="F38">
            <v>0.2</v>
          </cell>
          <cell r="G38">
            <v>0.20226749999999982</v>
          </cell>
          <cell r="H38">
            <v>3.008747673749999</v>
          </cell>
          <cell r="I38">
            <v>423.83536177499997</v>
          </cell>
          <cell r="J38">
            <v>426.84410944874998</v>
          </cell>
        </row>
        <row r="39">
          <cell r="B39" t="str">
            <v>H180/6</v>
          </cell>
          <cell r="C39">
            <v>153.19999999999999</v>
          </cell>
          <cell r="D39">
            <v>6.8</v>
          </cell>
          <cell r="E39">
            <v>5.354892902141958</v>
          </cell>
          <cell r="F39">
            <v>0.2</v>
          </cell>
          <cell r="G39">
            <v>0.20226749999999982</v>
          </cell>
          <cell r="H39">
            <v>4.296405749999999</v>
          </cell>
          <cell r="I39">
            <v>605.22479211885764</v>
          </cell>
          <cell r="J39">
            <v>609.5211978688576</v>
          </cell>
        </row>
        <row r="40">
          <cell r="B40" t="str">
            <v>H180/10</v>
          </cell>
          <cell r="C40">
            <v>137.1</v>
          </cell>
          <cell r="D40">
            <v>10.256</v>
          </cell>
          <cell r="E40">
            <v>8.0764384712305759</v>
          </cell>
          <cell r="F40">
            <v>0.2</v>
          </cell>
          <cell r="G40">
            <v>0.20226749999999982</v>
          </cell>
          <cell r="H40">
            <v>6.4799907899999987</v>
          </cell>
          <cell r="I40">
            <v>912.82139234867702</v>
          </cell>
          <cell r="J40">
            <v>919.30138313867701</v>
          </cell>
        </row>
        <row r="41">
          <cell r="B41" t="str">
            <v>H200/4</v>
          </cell>
          <cell r="C41">
            <v>179.4</v>
          </cell>
          <cell r="D41">
            <v>5.89</v>
          </cell>
          <cell r="E41">
            <v>4.6399999999999997</v>
          </cell>
          <cell r="F41">
            <v>0.2</v>
          </cell>
          <cell r="G41">
            <v>0.20226749999999982</v>
          </cell>
          <cell r="H41">
            <v>3.7214455687499988</v>
          </cell>
          <cell r="I41">
            <v>524.42562096959989</v>
          </cell>
          <cell r="J41">
            <v>528.14706653834992</v>
          </cell>
        </row>
        <row r="42">
          <cell r="B42" t="str">
            <v>H200/6</v>
          </cell>
          <cell r="C42">
            <v>169.9</v>
          </cell>
          <cell r="D42">
            <v>8.391</v>
          </cell>
          <cell r="E42">
            <v>6.61</v>
          </cell>
          <cell r="F42">
            <v>0.2</v>
          </cell>
          <cell r="G42">
            <v>0.20226749999999982</v>
          </cell>
          <cell r="H42">
            <v>5.301638330624999</v>
          </cell>
          <cell r="I42">
            <v>747.08046435539995</v>
          </cell>
          <cell r="J42">
            <v>752.38210268602495</v>
          </cell>
        </row>
        <row r="43">
          <cell r="B43" t="str">
            <v>H200/10</v>
          </cell>
          <cell r="C43">
            <v>152.5</v>
          </cell>
          <cell r="D43">
            <v>12.62</v>
          </cell>
          <cell r="E43">
            <v>9.9413895840781787</v>
          </cell>
          <cell r="F43">
            <v>0.2</v>
          </cell>
          <cell r="G43">
            <v>0.20226749999999982</v>
          </cell>
          <cell r="H43">
            <v>7.9736236124999973</v>
          </cell>
          <cell r="I43">
            <v>1123.6033202437309</v>
          </cell>
          <cell r="J43">
            <v>1131.5769438562309</v>
          </cell>
        </row>
        <row r="44">
          <cell r="B44" t="str">
            <v>H225/4</v>
          </cell>
          <cell r="C44">
            <v>201.9</v>
          </cell>
          <cell r="D44">
            <v>7.4450000000000003</v>
          </cell>
          <cell r="E44">
            <v>5.85</v>
          </cell>
          <cell r="F44">
            <v>0.2</v>
          </cell>
          <cell r="G44">
            <v>0.20226749999999982</v>
          </cell>
          <cell r="H44">
            <v>4.7039324718749986</v>
          </cell>
          <cell r="I44">
            <v>661.18316436899988</v>
          </cell>
          <cell r="J44">
            <v>665.88709684087485</v>
          </cell>
        </row>
        <row r="45">
          <cell r="B45" t="str">
            <v>H225/6</v>
          </cell>
          <cell r="C45">
            <v>191.4</v>
          </cell>
          <cell r="D45">
            <v>10.544</v>
          </cell>
          <cell r="E45">
            <v>8.2850772330423101</v>
          </cell>
          <cell r="F45">
            <v>0.2</v>
          </cell>
          <cell r="G45">
            <v>0.20226749999999982</v>
          </cell>
          <cell r="H45">
            <v>6.6619562099999996</v>
          </cell>
          <cell r="I45">
            <v>936.40232170674744</v>
          </cell>
          <cell r="J45">
            <v>943.06427791674741</v>
          </cell>
        </row>
        <row r="46">
          <cell r="B46" t="str">
            <v>H225/10</v>
          </cell>
          <cell r="C46">
            <v>171.5</v>
          </cell>
          <cell r="D46">
            <v>16.013999999999999</v>
          </cell>
          <cell r="E46">
            <v>12.583196776359971</v>
          </cell>
          <cell r="F46">
            <v>0.2</v>
          </cell>
          <cell r="G46">
            <v>0.20226749999999982</v>
          </cell>
          <cell r="H46">
            <v>10.118035541249998</v>
          </cell>
          <cell r="I46">
            <v>1422.1876687985443</v>
          </cell>
          <cell r="J46">
            <v>1432.3057043397944</v>
          </cell>
        </row>
        <row r="47">
          <cell r="B47" t="str">
            <v>H250/4</v>
          </cell>
          <cell r="C47">
            <v>224.3</v>
          </cell>
          <cell r="D47">
            <v>9.1869999999999994</v>
          </cell>
          <cell r="E47">
            <v>7.24</v>
          </cell>
          <cell r="F47">
            <v>0.2</v>
          </cell>
          <cell r="G47">
            <v>0.20226749999999982</v>
          </cell>
          <cell r="H47">
            <v>5.8045705331249984</v>
          </cell>
          <cell r="I47">
            <v>818.2848051336</v>
          </cell>
          <cell r="J47">
            <v>824.089375666725</v>
          </cell>
        </row>
        <row r="48">
          <cell r="B48" t="str">
            <v>H250/6</v>
          </cell>
          <cell r="C48">
            <v>212.6</v>
          </cell>
          <cell r="D48">
            <v>13.041</v>
          </cell>
          <cell r="E48">
            <v>10.2772221617503</v>
          </cell>
          <cell r="F48">
            <v>0.2</v>
          </cell>
          <cell r="G48">
            <v>0.20226749999999982</v>
          </cell>
          <cell r="H48">
            <v>8.2396216743749982</v>
          </cell>
          <cell r="I48">
            <v>1161.5600461246629</v>
          </cell>
          <cell r="J48">
            <v>1169.7996677990379</v>
          </cell>
        </row>
        <row r="49">
          <cell r="B49" t="str">
            <v>H250/10</v>
          </cell>
          <cell r="C49">
            <v>190.6</v>
          </cell>
          <cell r="D49">
            <v>19.757000000000001</v>
          </cell>
          <cell r="E49">
            <v>15.569900946990314</v>
          </cell>
          <cell r="F49">
            <v>0.2</v>
          </cell>
          <cell r="G49">
            <v>0.20226749999999982</v>
          </cell>
          <cell r="H49">
            <v>12.482954176874998</v>
          </cell>
          <cell r="I49">
            <v>1759.7532268449474</v>
          </cell>
          <cell r="J49">
            <v>1772.2361810218224</v>
          </cell>
        </row>
        <row r="50">
          <cell r="B50" t="str">
            <v>H280/4</v>
          </cell>
          <cell r="C50">
            <v>251.4</v>
          </cell>
          <cell r="D50">
            <v>11.455</v>
          </cell>
          <cell r="E50">
            <v>9.02</v>
          </cell>
          <cell r="F50">
            <v>0.2</v>
          </cell>
          <cell r="G50">
            <v>0.20226749999999982</v>
          </cell>
          <cell r="H50">
            <v>7.2375482156249982</v>
          </cell>
          <cell r="I50">
            <v>1019.4653235227998</v>
          </cell>
          <cell r="J50">
            <v>1026.7028717384248</v>
          </cell>
        </row>
        <row r="51">
          <cell r="B51" t="str">
            <v>H280/6</v>
          </cell>
          <cell r="C51">
            <v>238.2</v>
          </cell>
          <cell r="D51">
            <v>16.327000000000002</v>
          </cell>
          <cell r="E51">
            <v>12.856354430379747</v>
          </cell>
          <cell r="F51">
            <v>0.2</v>
          </cell>
          <cell r="G51">
            <v>0.20226749999999982</v>
          </cell>
          <cell r="H51">
            <v>10.315796570624999</v>
          </cell>
          <cell r="I51">
            <v>1453.0607016286995</v>
          </cell>
          <cell r="J51">
            <v>1463.3764981993245</v>
          </cell>
        </row>
        <row r="52">
          <cell r="B52" t="str">
            <v>H280/10</v>
          </cell>
          <cell r="C52">
            <v>213.6</v>
          </cell>
          <cell r="D52">
            <v>24.707999999999998</v>
          </cell>
          <cell r="E52">
            <v>19.455797468354429</v>
          </cell>
          <cell r="F52">
            <v>0.2</v>
          </cell>
          <cell r="G52">
            <v>0.20226749999999982</v>
          </cell>
          <cell r="H52">
            <v>15.611116657499995</v>
          </cell>
          <cell r="I52">
            <v>2198.9479889656341</v>
          </cell>
          <cell r="J52">
            <v>2214.5591056231342</v>
          </cell>
        </row>
        <row r="53">
          <cell r="B53" t="str">
            <v>H315/4</v>
          </cell>
          <cell r="C53">
            <v>282.8</v>
          </cell>
          <cell r="D53">
            <v>14.507999999999999</v>
          </cell>
          <cell r="E53">
            <v>11.424020951549542</v>
          </cell>
          <cell r="F53">
            <v>0.2</v>
          </cell>
          <cell r="G53">
            <v>0.20226749999999982</v>
          </cell>
          <cell r="H53">
            <v>9.1665080324999977</v>
          </cell>
          <cell r="I53">
            <v>1291.1744141133813</v>
          </cell>
          <cell r="J53">
            <v>1300.3409221458812</v>
          </cell>
        </row>
        <row r="54">
          <cell r="B54" t="str">
            <v>H315/6</v>
          </cell>
          <cell r="C54">
            <v>267.89999999999998</v>
          </cell>
          <cell r="D54">
            <v>20.690999999999999</v>
          </cell>
          <cell r="E54">
            <v>16.292694893059799</v>
          </cell>
          <cell r="F54">
            <v>0.2</v>
          </cell>
          <cell r="G54">
            <v>0.20226749999999982</v>
          </cell>
          <cell r="H54">
            <v>13.073078143124995</v>
          </cell>
          <cell r="I54">
            <v>1841.4453958105851</v>
          </cell>
          <cell r="J54">
            <v>1854.5184739537101</v>
          </cell>
        </row>
        <row r="55">
          <cell r="B55" t="str">
            <v>H315/10</v>
          </cell>
          <cell r="C55">
            <v>240.4</v>
          </cell>
          <cell r="D55">
            <v>31.16</v>
          </cell>
          <cell r="E55">
            <v>24.536289829768663</v>
          </cell>
          <cell r="F55">
            <v>0.2</v>
          </cell>
          <cell r="G55">
            <v>0.20226749999999982</v>
          </cell>
          <cell r="H55">
            <v>19.687647524999996</v>
          </cell>
          <cell r="I55">
            <v>2773.1592737643341</v>
          </cell>
          <cell r="J55">
            <v>2792.8469212893342</v>
          </cell>
        </row>
        <row r="56">
          <cell r="B56" t="str">
            <v>H350/4</v>
          </cell>
          <cell r="C56">
            <v>318.8</v>
          </cell>
          <cell r="D56">
            <v>18.382000000000001</v>
          </cell>
          <cell r="E56">
            <v>14.474521169794851</v>
          </cell>
          <cell r="F56">
            <v>0.2</v>
          </cell>
          <cell r="G56">
            <v>0.20226749999999982</v>
          </cell>
          <cell r="H56">
            <v>11.614195661249997</v>
          </cell>
          <cell r="I56">
            <v>1635.9503777386387</v>
          </cell>
          <cell r="J56">
            <v>1647.5645733998888</v>
          </cell>
        </row>
        <row r="57">
          <cell r="B57" t="str">
            <v>H350/6</v>
          </cell>
          <cell r="C57">
            <v>302</v>
          </cell>
          <cell r="D57">
            <v>26.242999999999999</v>
          </cell>
          <cell r="E57">
            <v>20.664501091226537</v>
          </cell>
          <cell r="F57">
            <v>0.2</v>
          </cell>
          <cell r="G57">
            <v>0.20226749999999982</v>
          </cell>
          <cell r="H57">
            <v>16.580967073124995</v>
          </cell>
          <cell r="I57">
            <v>2335.5590122399681</v>
          </cell>
          <cell r="J57">
            <v>2352.1399793130931</v>
          </cell>
        </row>
        <row r="58">
          <cell r="B58" t="str">
            <v>H350/10</v>
          </cell>
          <cell r="C58">
            <v>271</v>
          </cell>
          <cell r="D58">
            <v>39.634999999999998</v>
          </cell>
          <cell r="E58">
            <v>31.209751200349192</v>
          </cell>
          <cell r="F58">
            <v>0.2</v>
          </cell>
          <cell r="G58">
            <v>0.20226749999999982</v>
          </cell>
          <cell r="H58">
            <v>25.042359103124994</v>
          </cell>
          <cell r="I58">
            <v>3527.4123175753971</v>
          </cell>
          <cell r="J58">
            <v>3552.454676678522</v>
          </cell>
        </row>
        <row r="59">
          <cell r="B59" t="str">
            <v>H400/4</v>
          </cell>
          <cell r="C59">
            <v>359.2</v>
          </cell>
          <cell r="D59">
            <v>23.341999999999999</v>
          </cell>
          <cell r="E59">
            <v>18.380169358358796</v>
          </cell>
          <cell r="F59">
            <v>0.2</v>
          </cell>
          <cell r="G59">
            <v>0.20226749999999982</v>
          </cell>
          <cell r="H59">
            <v>14.748044561249996</v>
          </cell>
          <cell r="I59">
            <v>2077.3775278628718</v>
          </cell>
          <cell r="J59">
            <v>2092.1255724241219</v>
          </cell>
        </row>
        <row r="60">
          <cell r="B60" t="str">
            <v>H400/6</v>
          </cell>
          <cell r="C60">
            <v>340.3</v>
          </cell>
          <cell r="D60">
            <v>33.308999999999997</v>
          </cell>
          <cell r="E60">
            <v>26.22847490178961</v>
          </cell>
          <cell r="F60">
            <v>0.2</v>
          </cell>
          <cell r="G60">
            <v>0.20226749999999982</v>
          </cell>
          <cell r="H60">
            <v>21.045438106874993</v>
          </cell>
          <cell r="I60">
            <v>2964.4147063484015</v>
          </cell>
          <cell r="J60">
            <v>2985.4601444552763</v>
          </cell>
        </row>
        <row r="61">
          <cell r="B61" t="str">
            <v>H400/10</v>
          </cell>
          <cell r="C61">
            <v>305.3</v>
          </cell>
          <cell r="D61">
            <v>50.344000000000001</v>
          </cell>
          <cell r="E61">
            <v>39.642329113924049</v>
          </cell>
          <cell r="F61">
            <v>0.2</v>
          </cell>
          <cell r="G61">
            <v>0.20226749999999982</v>
          </cell>
          <cell r="H61">
            <v>31.808566334999991</v>
          </cell>
          <cell r="I61">
            <v>4480.4855737609632</v>
          </cell>
          <cell r="J61">
            <v>4512.2941400959635</v>
          </cell>
        </row>
        <row r="62">
          <cell r="B62" t="str">
            <v>H440/4</v>
          </cell>
          <cell r="C62">
            <v>404.2</v>
          </cell>
          <cell r="D62">
            <v>29.251000000000001</v>
          </cell>
          <cell r="E62">
            <v>23.033087734613709</v>
          </cell>
          <cell r="F62">
            <v>0.2</v>
          </cell>
          <cell r="G62">
            <v>0.20226749999999982</v>
          </cell>
          <cell r="H62">
            <v>18.481494793124998</v>
          </cell>
          <cell r="I62">
            <v>2603.2632194120843</v>
          </cell>
          <cell r="J62">
            <v>2621.7447142052092</v>
          </cell>
        </row>
        <row r="63">
          <cell r="B63" t="str">
            <v>H440/6</v>
          </cell>
          <cell r="C63">
            <v>383</v>
          </cell>
          <cell r="D63">
            <v>42.064999999999998</v>
          </cell>
          <cell r="E63">
            <v>33.123203841117416</v>
          </cell>
          <cell r="F63">
            <v>0.2</v>
          </cell>
          <cell r="G63">
            <v>0.20226749999999982</v>
          </cell>
          <cell r="H63">
            <v>26.577692334374994</v>
          </cell>
          <cell r="I63">
            <v>3743.6760221725513</v>
          </cell>
          <cell r="J63">
            <v>3770.2537145069264</v>
          </cell>
        </row>
        <row r="64">
          <cell r="B64" t="str">
            <v>H440/10</v>
          </cell>
          <cell r="C64">
            <v>343.7</v>
          </cell>
          <cell r="D64">
            <v>63.597999999999999</v>
          </cell>
          <cell r="E64">
            <v>50.078914011348758</v>
          </cell>
          <cell r="F64">
            <v>0.2</v>
          </cell>
          <cell r="G64">
            <v>0.20226749999999982</v>
          </cell>
          <cell r="H64">
            <v>40.182766601249988</v>
          </cell>
          <cell r="I64">
            <v>5660.0572366130964</v>
          </cell>
          <cell r="J64">
            <v>5700.240003214346</v>
          </cell>
        </row>
        <row r="65">
          <cell r="B65" t="str">
            <v>H500/4</v>
          </cell>
          <cell r="C65">
            <v>449.1</v>
          </cell>
          <cell r="D65">
            <v>36.405999999999999</v>
          </cell>
          <cell r="E65">
            <v>28.667142732431252</v>
          </cell>
          <cell r="F65">
            <v>0.2</v>
          </cell>
          <cell r="G65">
            <v>0.20226749999999982</v>
          </cell>
          <cell r="H65">
            <v>23.002198196249992</v>
          </cell>
          <cell r="I65">
            <v>3240.0396829481492</v>
          </cell>
          <cell r="J65">
            <v>3263.0418811443992</v>
          </cell>
        </row>
        <row r="66">
          <cell r="B66" t="str">
            <v>H500/6</v>
          </cell>
          <cell r="C66">
            <v>425.6</v>
          </cell>
          <cell r="D66">
            <v>51.9</v>
          </cell>
          <cell r="E66">
            <v>40.867568747271932</v>
          </cell>
          <cell r="F66">
            <v>0.2</v>
          </cell>
          <cell r="G66">
            <v>0.20226749999999982</v>
          </cell>
          <cell r="H66">
            <v>32.791685062499994</v>
          </cell>
          <cell r="I66">
            <v>4618.9655426305817</v>
          </cell>
          <cell r="J66">
            <v>4651.7572276930814</v>
          </cell>
        </row>
        <row r="67">
          <cell r="B67" t="str">
            <v>H500/10</v>
          </cell>
          <cell r="C67">
            <v>381.5</v>
          </cell>
          <cell r="D67">
            <v>78.795000000000002</v>
          </cell>
          <cell r="E67">
            <v>62.045473592317769</v>
          </cell>
          <cell r="F67">
            <v>0.2</v>
          </cell>
          <cell r="G67">
            <v>0.20226749999999982</v>
          </cell>
          <cell r="H67">
            <v>49.784601628124996</v>
          </cell>
          <cell r="I67">
            <v>7012.5508657336559</v>
          </cell>
          <cell r="J67">
            <v>7062.3354673617805</v>
          </cell>
        </row>
      </sheetData>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of cost"/>
      <sheetName val="CIVIL"/>
      <sheetName val="Grit Chamber (old)"/>
      <sheetName val="SIntake I-A"/>
      <sheetName val="AV"/>
      <sheetName val="WO"/>
      <sheetName val="Fe-res 14 m3"/>
      <sheetName val="BPT"/>
      <sheetName val="Tap"/>
      <sheetName val="Barbed-A"/>
      <sheetName val="Barbed-B"/>
      <sheetName val="GI-V-BOX"/>
      <sheetName val="VC"/>
      <sheetName val="Earthwork"/>
      <sheetName val="Pipe L &amp; J"/>
      <sheetName val="Material &amp; Equipment"/>
      <sheetName val="P-Qnt-Ext"/>
      <sheetName val="P-Qnt-Ext-Rev"/>
      <sheetName val="Pipes"/>
      <sheetName val="Fittings"/>
      <sheetName val="T&amp;P"/>
      <sheetName val="RATE ANA"/>
      <sheetName val="Analysis of Transportaion "/>
      <sheetName val="Manual Haul Rate"/>
      <sheetName val="M-RATE"/>
      <sheetName val="District Rate"/>
      <sheetName val="URG CIVIL"/>
      <sheetName val="Transportation"/>
      <sheetName val="DI"/>
      <sheetName val="DI fittings"/>
      <sheetName val="GI"/>
      <sheetName val="GI fittings"/>
      <sheetName val="HDPE"/>
      <sheetName val="Pipe Cost"/>
      <sheetName val="AL (old)"/>
      <sheetName val="G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ctrical BOQ"/>
      <sheetName val="Electrical BOQ-Combine"/>
      <sheetName val="Cummulative  (2)"/>
      <sheetName val="Summary Total"/>
      <sheetName val="Summary "/>
      <sheetName val="General Item"/>
      <sheetName val="Day work"/>
      <sheetName val="Cost Site Development"/>
      <sheetName val="Analysis of rates"/>
      <sheetName val="Cost Site Development (2)"/>
      <sheetName val="cost_SD_SDB and PT"/>
      <sheetName val="Cost Guard House"/>
      <sheetName val="cost office Bldg"/>
      <sheetName val="Electrical Rate Analysis"/>
      <sheetName val="Cost Generator House"/>
      <sheetName val="Tubewell_Mehelkuna"/>
      <sheetName val="Tubewell_Botechaur"/>
      <sheetName val="Cost_Borehole Platform"/>
      <sheetName val="cost sumpwell N"/>
      <sheetName val="MGF_Mehelkuna"/>
      <sheetName val="MGF_Botechaur"/>
      <sheetName val="Cost Aeration Tower"/>
      <sheetName val="Electrical Cost Estimates"/>
      <sheetName val="cost fitting"/>
      <sheetName val="Intake Spring Cost"/>
      <sheetName val="Intake Stream Cost "/>
      <sheetName val="cost Collection Chamber"/>
      <sheetName val="cost BPT+Collection Chamber"/>
      <sheetName val="Cost Sedimentation tank(Rimkho)"/>
      <sheetName val="Cost Sedimetation tank (Sattle)"/>
      <sheetName val="Cost Sedimentation Tan (Mulpani"/>
      <sheetName val="Sheet1"/>
      <sheetName val="cost BPC"/>
      <sheetName val="Cost Sludge Dry Bed "/>
      <sheetName val="costclorinationunit"/>
      <sheetName val="Cost Sedimen Tank_Mehelkuna"/>
      <sheetName val="Cost Sedimentation tank_Botecha"/>
      <sheetName val="Cost Slow sad Filter_Mehelkuna"/>
      <sheetName val="Cost Stair Cascade Aerator "/>
      <sheetName val="Cost Roughing Filter "/>
      <sheetName val="cost genera opera"/>
      <sheetName val="BOQ"/>
      <sheetName val="Cost Guard House old"/>
      <sheetName val="CostofficeBldg-Old "/>
      <sheetName val="Cost SSF-Rim khol"/>
      <sheetName val="Cost SSF-Sattale (2)"/>
      <sheetName val="Cost SSF-Mulpani"/>
      <sheetName val="Cost Sedimentation tank(Chakle)"/>
      <sheetName val="Cost Sedimentation tank (Dhung)"/>
      <sheetName val="Cost Sedimentation tank(DhanmI)"/>
      <sheetName val="Cost Sedimentation tank(Dha2&amp;3)"/>
      <sheetName val="Cost Sedimentation tank(Sattal)"/>
      <sheetName val="Cost Sedimentation tank MulKhol"/>
      <sheetName val="Cost Sedimentation tank(Jyamur)"/>
      <sheetName val="Cost SSF-Chaklepatal"/>
      <sheetName val="Cost SSF-Dhunga Bisaune"/>
      <sheetName val="Cost SSF-Dhamuda I"/>
      <sheetName val="Treatment Plant(Softener) "/>
      <sheetName val="Cost SSF-Dhanmuda2&amp;3"/>
      <sheetName val="Cost SSF-Sattale"/>
      <sheetName val="Cost SSF-MulKhola"/>
      <sheetName val="Cost SSF-Jyamure"/>
      <sheetName val="Cost RVT 5m3"/>
      <sheetName val="Cost RVT 10m3"/>
      <sheetName val="Cost RVT 15m3 "/>
      <sheetName val="Cost RVT 20m3"/>
      <sheetName val="Cost RVT 30m3"/>
      <sheetName val="Cost RVT 40m3"/>
      <sheetName val="Cost RVT 70m3"/>
      <sheetName val="Cost Slow sand Filter_Botechaur"/>
      <sheetName val="Cost RVT 300m3"/>
      <sheetName val="Cost RVT 100m3"/>
      <sheetName val="Cost RVT 50m3"/>
      <sheetName val="Cost RVT 120m3 "/>
      <sheetName val="Cost RVT 140m3"/>
      <sheetName val="Cost RVT 80m3"/>
      <sheetName val="costvc"/>
      <sheetName val="Cost_Valve Box"/>
      <sheetName val="costhc"/>
      <sheetName val="costpl"/>
      <sheetName val="costplj"/>
      <sheetName val="costplar"/>
      <sheetName val="cost firehydrant"/>
      <sheetName val="costpipes"/>
      <sheetName val="costt&amp;p"/>
      <sheetName val="O&amp;Mcost"/>
      <sheetName val="cost side drain"/>
      <sheetName val="cost apron"/>
      <sheetName val="cost m600"/>
      <sheetName val="cost m450"/>
      <sheetName val="cost septic 15"/>
      <sheetName val="cost soak15"/>
      <sheetName val="Cost RVT 170m3"/>
      <sheetName val="Cost Exsting RVT"/>
      <sheetName val="costroaddism"/>
      <sheetName val="Fittings summary"/>
      <sheetName val="cost s100"/>
      <sheetName val="PT Cost"/>
      <sheetName val="costelectroelectrical"/>
      <sheetName val="cost public toilet"/>
      <sheetName val="Pipe Cost"/>
      <sheetName val="GI fittings"/>
      <sheetName val="DI fittings"/>
      <sheetName val="Summary_Electromechanical"/>
      <sheetName val="Transmission Line_Mehelkuna"/>
      <sheetName val="Pump-Cost_Mehelkuna"/>
      <sheetName val="Transmission Line_Botechaur"/>
      <sheetName val="Sheet4"/>
      <sheetName val="Fittings_Tatopani"/>
      <sheetName val="Fittings_Nakkale"/>
      <sheetName val="summary_Pipe Fittings"/>
      <sheetName val="cummulative"/>
      <sheetName val="Pump-Cost_Botechaur"/>
      <sheetName val="costelcetrompump"/>
      <sheetName val="public toilet Qty (2)"/>
      <sheetName val="cost septic 100"/>
      <sheetName val="cost soak100"/>
      <sheetName val="cost sitedev  pt"/>
      <sheetName val="Costsldying "/>
      <sheetName val="SDB cost sitedev "/>
      <sheetName val="cost SDB soak"/>
      <sheetName val="site development"/>
      <sheetName val=" Quantityguard house"/>
      <sheetName val="Qty.Office Bldg"/>
      <sheetName val="QtyOfficeBldg"/>
      <sheetName val="Cost Site Development SDB"/>
      <sheetName val="Qty Site Development SDB"/>
      <sheetName val="Qty site development (2)"/>
      <sheetName val="Qty_SD_SDB and PT"/>
      <sheetName val="Generaror Operator"/>
      <sheetName val="Qty Sludge Dry Bed "/>
      <sheetName val="Intake &amp;Trans Improvement"/>
      <sheetName val="Slow Sand Filter-Mulkhola (2)"/>
      <sheetName val="Slow Sand Filter-Rim khola"/>
      <sheetName val="Slow Sand Filter-Mulpani"/>
      <sheetName val="Slow Sand Filter-Sattle"/>
      <sheetName val="Qty Sedimentation tank(Mulkhol)"/>
      <sheetName val="Qty Sedimentation tank (Rimkho)"/>
      <sheetName val="Qty Sedimentation tank(Sattle)"/>
      <sheetName val="Qty Sedimentation tank(Mulpani)"/>
      <sheetName val="Qty Sedimentation tank(Chaklep)"/>
      <sheetName val="Qty Sedimentation tank (Dhunga)"/>
      <sheetName val="Qty Sedimentation tank(DhanmuI)"/>
      <sheetName val="Qty Sedimentation tank(Dhan2&amp;3)"/>
      <sheetName val="Qty Sedimentation tank(Sattale)"/>
      <sheetName val="Qty Sedimentation tankMulKhola"/>
      <sheetName val="Qty Sedimentation tank(Jyamure)"/>
      <sheetName val="Slow Sand Filter-Chaklepatal"/>
      <sheetName val="Roughning Filter1 "/>
      <sheetName val="Slow Sand Filter-Dhunga Bisaune"/>
      <sheetName val="Slow Sand Filter-Dhanmuda I"/>
      <sheetName val="Slow Sand Filter-Dhanmuda2&amp;3"/>
      <sheetName val="Slow Sand Filter-Sattale"/>
      <sheetName val="Slow Sand Filter-Mulkhola"/>
      <sheetName val="Slow Sand Filter-Jyamure"/>
      <sheetName val="RVT 20m3"/>
      <sheetName val="GH Civil Quantity"/>
      <sheetName val="QtyOfficeBldgN"/>
      <sheetName val="Generator H Qty P"/>
      <sheetName val="Borehole Platform"/>
      <sheetName val="Sump Well N"/>
      <sheetName val="Qty Break Pressure Chamber"/>
      <sheetName val="Qty Intake Spring"/>
      <sheetName val="Qty Intake Stream"/>
      <sheetName val="Qty Collection Chamber"/>
      <sheetName val="chlorinationunit"/>
      <sheetName val="Qty Circular Cascade Aerator"/>
      <sheetName val="Qty Sedimen Tank_Mehelkuna"/>
      <sheetName val="Qty Sedimentation tank_Botechau"/>
      <sheetName val="Roughning Filter "/>
      <sheetName val="Qty RVT 5m3"/>
      <sheetName val="Qty RVT 10 m3"/>
      <sheetName val="Qty RVT 15 m3"/>
      <sheetName val="Qty RVT 30 m3"/>
      <sheetName val="Qty RVT 40m3 "/>
      <sheetName val="RVT 70m3"/>
      <sheetName val="Qty RVT 170m3"/>
      <sheetName val="Slow Sand Filter_Mehelkuna"/>
      <sheetName val="Slow Sand Filter_Botechaur"/>
      <sheetName val="Qty RVT 50m3"/>
      <sheetName val="Qty RVT 80m3"/>
      <sheetName val="Qty RVT 100m3"/>
      <sheetName val="cost SumpWell"/>
      <sheetName val="Sump Well"/>
      <sheetName val="Qty Existing RVT"/>
      <sheetName val="Qty RVT 120m3"/>
      <sheetName val="Qty RVT 140m3"/>
      <sheetName val="RVT 300m3"/>
      <sheetName val="Valve Chamber"/>
      <sheetName val="Qty_Valve Box"/>
      <sheetName val="house connection"/>
      <sheetName val="pipe laying &amp; joining"/>
      <sheetName val="Pipe Laying across roads_New"/>
      <sheetName val="PIPE LAYING ACROSS ROADS"/>
      <sheetName val="pipe laying"/>
      <sheetName val="qntty pipes (2)"/>
      <sheetName val="qntty pipes"/>
      <sheetName val="Qnt fire hydrant"/>
      <sheetName val="man 450 qntty"/>
      <sheetName val="man 600 qntty"/>
      <sheetName val="quantity side drain"/>
      <sheetName val="appron qntty"/>
      <sheetName val="septic tank for 15 users"/>
      <sheetName val="public toilet"/>
      <sheetName val="sitedev pt"/>
      <sheetName val="Soakpit 15"/>
      <sheetName val="Septic tank for 100 users"/>
      <sheetName val="SEPTIC100"/>
      <sheetName val="soak quntty 100 users"/>
      <sheetName val="QTySldying"/>
      <sheetName val="SDB sitedev "/>
      <sheetName val="SDB Soakpit "/>
      <sheetName val="Summary of Unit Rates"/>
      <sheetName val="Sheet2"/>
      <sheetName val="Mehelkuna Crossings"/>
      <sheetName val="Jarkatte Crossings"/>
      <sheetName val="Nakale Crossings"/>
      <sheetName val="Tatopani Crossings"/>
      <sheetName val="Botechaur Bazaar Crossings"/>
      <sheetName val="Botechaur Bhalu Khola Crossings"/>
      <sheetName val="rate"/>
      <sheetName val="BPT-Fittings"/>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6">
          <cell r="M6">
            <v>720</v>
          </cell>
        </row>
        <row r="7">
          <cell r="M7">
            <v>575</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ow r="18">
          <cell r="M18">
            <v>166.36641750000001</v>
          </cell>
        </row>
      </sheetData>
      <sheetData sheetId="102">
        <row r="35">
          <cell r="N35">
            <v>5617.0168750000003</v>
          </cell>
        </row>
      </sheetData>
      <sheetData sheetId="103" refreshError="1"/>
      <sheetData sheetId="104" refreshError="1"/>
      <sheetData sheetId="105">
        <row r="4">
          <cell r="K4">
            <v>4</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of Transportaion"/>
      <sheetName val="T-RATE"/>
      <sheetName val="Manual Haul Rate"/>
      <sheetName val="M-RATE"/>
      <sheetName val="URG CIVIL"/>
      <sheetName val="MAT"/>
      <sheetName val="DI PIPE"/>
      <sheetName val=" DI fittings"/>
      <sheetName val="GI"/>
      <sheetName val="GI fittings"/>
      <sheetName val="HDPE"/>
      <sheetName val="District Rate"/>
    </sheetNames>
    <sheetDataSet>
      <sheetData sheetId="0"/>
      <sheetData sheetId="1" refreshError="1"/>
      <sheetData sheetId="2" refreshError="1"/>
      <sheetData sheetId="3">
        <row r="118">
          <cell r="K118">
            <v>27.946465</v>
          </cell>
        </row>
      </sheetData>
      <sheetData sheetId="4"/>
      <sheetData sheetId="5" refreshError="1"/>
      <sheetData sheetId="6" refreshError="1"/>
      <sheetData sheetId="7" refreshError="1"/>
      <sheetData sheetId="8" refreshError="1"/>
      <sheetData sheetId="9" refreshError="1"/>
      <sheetData sheetId="10" refreshError="1"/>
      <sheetData sheetId="11">
        <row r="17">
          <cell r="C17">
            <v>175</v>
          </cell>
        </row>
      </sheetData>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2.1.1"/>
      <sheetName val="3.2.1.2"/>
      <sheetName val="3.2.1.3"/>
      <sheetName val="3.2.1.4"/>
      <sheetName val="3.2.1.5"/>
      <sheetName val="3.2.1.6"/>
      <sheetName val="3.2.1.7"/>
      <sheetName val="3.2.1.8"/>
      <sheetName val="3.2.1.9"/>
      <sheetName val="3.2.1.10"/>
      <sheetName val="3.2.1.11"/>
      <sheetName val="3.2.1.12"/>
      <sheetName val="3.2.1.13"/>
      <sheetName val="3.2.1.14"/>
      <sheetName val="3.2.1.15"/>
      <sheetName val="3.2.1.16"/>
      <sheetName val="3.2.1.17 "/>
      <sheetName val="3.2.1.18"/>
      <sheetName val="3.2.1.19"/>
      <sheetName val="3.2.1.20"/>
      <sheetName val="3.2.1.21"/>
      <sheetName val="3.2.1.22"/>
      <sheetName val="3.2.1.23"/>
      <sheetName val="3.2.1.24"/>
      <sheetName val="3.2.1.25"/>
      <sheetName val="3.2.1.26"/>
      <sheetName val="3.2.1.27"/>
      <sheetName val="3.2.1.28"/>
      <sheetName val="3.2.1.29"/>
      <sheetName val="3.2.1"/>
      <sheetName val="2.2.1"/>
      <sheetName val="2.2.1.1"/>
      <sheetName val="2.2.1.2"/>
      <sheetName val="2.2.1.3"/>
      <sheetName val="2.2.1.4"/>
      <sheetName val="2.2.1.5"/>
      <sheetName val="2.2.1.6"/>
      <sheetName val="2.2.1.7"/>
      <sheetName val="2.2.1.8"/>
      <sheetName val="2.2.1.9"/>
      <sheetName val="2.2.1.10"/>
      <sheetName val="2.2.1.11"/>
      <sheetName val="2.2.1.12"/>
      <sheetName val="2.2.1.13"/>
      <sheetName val="2.2.1.14"/>
      <sheetName val="2.2.1.15"/>
      <sheetName val="2.2.1.16"/>
      <sheetName val="2.2.1.17"/>
      <sheetName val="2.2.1.18"/>
      <sheetName val="2.2.1.19"/>
      <sheetName val="2.2.1.20"/>
      <sheetName val="2.2.1.21"/>
      <sheetName val="2.2.1.22"/>
      <sheetName val="2.2.1.23"/>
      <sheetName val="2.2.1.24"/>
      <sheetName val="2.2.11.25"/>
      <sheetName val="2.2.1.26"/>
      <sheetName val="2.2.1.27"/>
      <sheetName val="2.2.1.28"/>
      <sheetName val="2.2.1.29"/>
      <sheetName val="BWF B Qty"/>
      <sheetName val="BWF B Cost"/>
      <sheetName val="BWF A Qty"/>
      <sheetName val="BWF A Cost"/>
      <sheetName val="3.2.1.31"/>
      <sheetName val="3.2.1.32"/>
      <sheetName val="2.2.1.31"/>
      <sheetName val="2.2.1.32"/>
      <sheetName val="42.2.1.29"/>
      <sheetName val="3.2.1.17"/>
      <sheetName val="3.2.1.30"/>
      <sheetName val="2.2.1.25"/>
      <sheetName val="2.2.1.30"/>
      <sheetName val="3.2.1.33"/>
      <sheetName val="3.2.1.34"/>
      <sheetName val="3.2.1.35"/>
      <sheetName val="3.2.1.36"/>
      <sheetName val="3.2.1.37"/>
      <sheetName val="3.2.1.38"/>
      <sheetName val="3.2.1.41"/>
      <sheetName val="3.2.1.42"/>
      <sheetName val="3.2.1.44"/>
      <sheetName val="3.2.1.45"/>
      <sheetName val="3.2.1.46"/>
      <sheetName val="2.2.1.33"/>
      <sheetName val="2.2.1.34"/>
      <sheetName val="2.2.1.35"/>
      <sheetName val="2.2.1.36"/>
      <sheetName val="2.2.1.37"/>
      <sheetName val="2.2.1.38"/>
      <sheetName val="2.2.1.41"/>
      <sheetName val="2.2.1.42"/>
      <sheetName val="2.2.1.44"/>
      <sheetName val="2.2.1.45"/>
      <sheetName val="2.2.1.46"/>
      <sheetName val="3.2.1.39"/>
      <sheetName val="3.2.1.40"/>
      <sheetName val="3.2.1.43"/>
      <sheetName val="2.2.1.39"/>
      <sheetName val="2.2.1.40"/>
      <sheetName val="2.2.1.43"/>
      <sheetName val="2.2.3"/>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SOFTWEL"/>
      <sheetName val="HL-Data"/>
      <sheetName val="Water Demand"/>
      <sheetName val="RT Sizing"/>
      <sheetName val="RVT Size"/>
      <sheetName val="Abney"/>
      <sheetName val="Survey"/>
      <sheetName val="RT Sizing 20 yrs"/>
      <sheetName val="PD-CW-Sample"/>
      <sheetName val="Pipe_estimate"/>
      <sheetName val="Itterate"/>
    </sheetNames>
    <sheetDataSet>
      <sheetData sheetId="0"/>
      <sheetData sheetId="1">
        <row r="7">
          <cell r="S7">
            <v>26</v>
          </cell>
          <cell r="T7">
            <v>11.6</v>
          </cell>
          <cell r="U7">
            <v>3.5</v>
          </cell>
          <cell r="V7">
            <v>0.9</v>
          </cell>
        </row>
        <row r="8">
          <cell r="S8">
            <v>30</v>
          </cell>
          <cell r="T8">
            <v>14.9</v>
          </cell>
          <cell r="U8">
            <v>3.5</v>
          </cell>
          <cell r="V8">
            <v>0.9</v>
          </cell>
        </row>
        <row r="9">
          <cell r="S9">
            <v>35</v>
          </cell>
          <cell r="T9">
            <v>18.899999999999999</v>
          </cell>
          <cell r="U9">
            <v>3.5</v>
          </cell>
          <cell r="V9">
            <v>0.8</v>
          </cell>
        </row>
        <row r="10">
          <cell r="S10">
            <v>38</v>
          </cell>
          <cell r="T10">
            <v>26.9</v>
          </cell>
          <cell r="U10">
            <v>3.5</v>
          </cell>
          <cell r="V10">
            <v>0.5</v>
          </cell>
        </row>
        <row r="11">
          <cell r="S11">
            <v>42</v>
          </cell>
          <cell r="T11">
            <v>23.8</v>
          </cell>
          <cell r="U11">
            <v>3.5</v>
          </cell>
          <cell r="V11">
            <v>0.5</v>
          </cell>
        </row>
        <row r="12">
          <cell r="S12">
            <v>44</v>
          </cell>
          <cell r="T12">
            <v>35.6</v>
          </cell>
          <cell r="U12">
            <v>3.5</v>
          </cell>
          <cell r="V12">
            <v>0.5</v>
          </cell>
        </row>
        <row r="13">
          <cell r="S13">
            <v>46</v>
          </cell>
          <cell r="T13">
            <v>33.700000000000003</v>
          </cell>
          <cell r="U13">
            <v>3.5</v>
          </cell>
          <cell r="V13">
            <v>0.5</v>
          </cell>
        </row>
        <row r="14">
          <cell r="S14">
            <v>50</v>
          </cell>
          <cell r="T14">
            <v>30.3</v>
          </cell>
          <cell r="U14">
            <v>3.5</v>
          </cell>
          <cell r="V14">
            <v>0.5</v>
          </cell>
        </row>
        <row r="15">
          <cell r="S15">
            <v>54</v>
          </cell>
          <cell r="T15">
            <v>44.7</v>
          </cell>
          <cell r="U15">
            <v>2.1</v>
          </cell>
          <cell r="V15">
            <v>0.4</v>
          </cell>
        </row>
        <row r="16">
          <cell r="S16">
            <v>56</v>
          </cell>
          <cell r="T16">
            <v>42.2</v>
          </cell>
          <cell r="U16">
            <v>2.1</v>
          </cell>
          <cell r="V16">
            <v>0.4</v>
          </cell>
        </row>
        <row r="17">
          <cell r="S17">
            <v>60</v>
          </cell>
          <cell r="T17">
            <v>38</v>
          </cell>
          <cell r="U17">
            <v>2.1</v>
          </cell>
          <cell r="V17">
            <v>0.4</v>
          </cell>
        </row>
        <row r="18">
          <cell r="S18">
            <v>67</v>
          </cell>
          <cell r="T18">
            <v>56.5</v>
          </cell>
          <cell r="U18">
            <v>1.2</v>
          </cell>
          <cell r="V18">
            <v>0.3</v>
          </cell>
        </row>
        <row r="19">
          <cell r="S19">
            <v>69</v>
          </cell>
          <cell r="T19">
            <v>53.3</v>
          </cell>
          <cell r="U19">
            <v>1.2</v>
          </cell>
          <cell r="V19">
            <v>0.3</v>
          </cell>
        </row>
        <row r="20">
          <cell r="S20">
            <v>73</v>
          </cell>
          <cell r="T20">
            <v>47.8</v>
          </cell>
          <cell r="U20">
            <v>1.2</v>
          </cell>
          <cell r="V20">
            <v>0.3</v>
          </cell>
        </row>
        <row r="21">
          <cell r="S21">
            <v>79</v>
          </cell>
          <cell r="T21">
            <v>67.099999999999994</v>
          </cell>
          <cell r="U21">
            <v>0.9</v>
          </cell>
          <cell r="V21">
            <v>0.2</v>
          </cell>
        </row>
        <row r="22">
          <cell r="S22">
            <v>81</v>
          </cell>
          <cell r="T22">
            <v>63.6</v>
          </cell>
          <cell r="U22">
            <v>0.9</v>
          </cell>
          <cell r="V22">
            <v>0.2</v>
          </cell>
        </row>
        <row r="23">
          <cell r="S23">
            <v>85</v>
          </cell>
          <cell r="T23">
            <v>57.1</v>
          </cell>
          <cell r="U23">
            <v>0.9</v>
          </cell>
          <cell r="V23">
            <v>0.2</v>
          </cell>
        </row>
        <row r="24">
          <cell r="S24">
            <v>94</v>
          </cell>
          <cell r="T24">
            <v>80.5</v>
          </cell>
          <cell r="U24">
            <v>0.6</v>
          </cell>
          <cell r="V24">
            <v>0</v>
          </cell>
        </row>
        <row r="25">
          <cell r="S25">
            <v>96</v>
          </cell>
          <cell r="T25">
            <v>76.3</v>
          </cell>
          <cell r="U25">
            <v>0.6</v>
          </cell>
          <cell r="V25">
            <v>0</v>
          </cell>
        </row>
        <row r="26">
          <cell r="S26">
            <v>100</v>
          </cell>
          <cell r="T26">
            <v>68.5</v>
          </cell>
          <cell r="U26">
            <v>0.6</v>
          </cell>
          <cell r="V26">
            <v>0</v>
          </cell>
        </row>
        <row r="27">
          <cell r="S27">
            <v>114</v>
          </cell>
          <cell r="T27">
            <v>99.2</v>
          </cell>
          <cell r="U27">
            <v>0.6</v>
          </cell>
          <cell r="V27">
            <v>0</v>
          </cell>
        </row>
        <row r="28">
          <cell r="S28">
            <v>116</v>
          </cell>
          <cell r="T28">
            <v>95</v>
          </cell>
          <cell r="U28">
            <v>0.6</v>
          </cell>
          <cell r="V28">
            <v>0</v>
          </cell>
        </row>
        <row r="29">
          <cell r="S29">
            <v>120</v>
          </cell>
          <cell r="T29">
            <v>87.2</v>
          </cell>
          <cell r="U29">
            <v>0.6</v>
          </cell>
          <cell r="V29">
            <v>0</v>
          </cell>
        </row>
      </sheetData>
      <sheetData sheetId="2"/>
      <sheetData sheetId="3"/>
      <sheetData sheetId="4"/>
      <sheetData sheetId="5"/>
      <sheetData sheetId="6"/>
      <sheetData sheetId="7"/>
      <sheetData sheetId="8"/>
      <sheetData sheetId="9">
        <row r="16">
          <cell r="AO16">
            <v>57</v>
          </cell>
        </row>
        <row r="17">
          <cell r="AO17">
            <v>55</v>
          </cell>
        </row>
        <row r="19">
          <cell r="AO19">
            <v>39</v>
          </cell>
        </row>
        <row r="20">
          <cell r="AO20">
            <v>35</v>
          </cell>
        </row>
        <row r="21">
          <cell r="AO21">
            <v>26</v>
          </cell>
        </row>
        <row r="22">
          <cell r="AO22">
            <v>40</v>
          </cell>
        </row>
        <row r="24">
          <cell r="AO24">
            <v>36</v>
          </cell>
        </row>
        <row r="26">
          <cell r="AO26">
            <v>66</v>
          </cell>
        </row>
        <row r="27">
          <cell r="AO27">
            <v>37</v>
          </cell>
        </row>
        <row r="29">
          <cell r="AO29">
            <v>22</v>
          </cell>
        </row>
        <row r="30">
          <cell r="AO30">
            <v>116</v>
          </cell>
        </row>
        <row r="31">
          <cell r="AO31">
            <v>0</v>
          </cell>
        </row>
        <row r="32">
          <cell r="AO32">
            <v>34</v>
          </cell>
        </row>
        <row r="34">
          <cell r="AO34">
            <v>50</v>
          </cell>
        </row>
        <row r="35">
          <cell r="AO35">
            <v>53</v>
          </cell>
        </row>
        <row r="36">
          <cell r="AO36">
            <v>99</v>
          </cell>
        </row>
        <row r="37">
          <cell r="AO37">
            <v>0</v>
          </cell>
        </row>
        <row r="38">
          <cell r="AO38">
            <v>83</v>
          </cell>
        </row>
        <row r="39">
          <cell r="AO39">
            <v>50</v>
          </cell>
        </row>
        <row r="40">
          <cell r="AO40">
            <v>55</v>
          </cell>
        </row>
        <row r="41">
          <cell r="AO41">
            <v>69</v>
          </cell>
        </row>
        <row r="43">
          <cell r="AO43">
            <v>34</v>
          </cell>
        </row>
        <row r="44">
          <cell r="AO44">
            <v>35</v>
          </cell>
        </row>
        <row r="45">
          <cell r="AO45">
            <v>0</v>
          </cell>
        </row>
        <row r="46">
          <cell r="AO46">
            <v>50</v>
          </cell>
        </row>
        <row r="47">
          <cell r="AO47">
            <v>55</v>
          </cell>
        </row>
        <row r="48">
          <cell r="AO48">
            <v>37</v>
          </cell>
        </row>
        <row r="49">
          <cell r="AO49">
            <v>66</v>
          </cell>
        </row>
        <row r="51">
          <cell r="AO51">
            <v>40</v>
          </cell>
        </row>
        <row r="52">
          <cell r="AO52">
            <v>0</v>
          </cell>
        </row>
        <row r="53">
          <cell r="AO53">
            <v>50</v>
          </cell>
        </row>
        <row r="54">
          <cell r="AO54">
            <v>43</v>
          </cell>
        </row>
        <row r="55">
          <cell r="AO55">
            <v>44</v>
          </cell>
        </row>
        <row r="56">
          <cell r="AO56">
            <v>55</v>
          </cell>
        </row>
        <row r="58">
          <cell r="AO58">
            <v>40</v>
          </cell>
        </row>
        <row r="60">
          <cell r="AO60">
            <v>41</v>
          </cell>
        </row>
        <row r="61">
          <cell r="AO61">
            <v>23</v>
          </cell>
        </row>
        <row r="63">
          <cell r="AO63">
            <v>29</v>
          </cell>
        </row>
        <row r="65">
          <cell r="AO65">
            <v>46</v>
          </cell>
        </row>
        <row r="66">
          <cell r="AO66">
            <v>36</v>
          </cell>
        </row>
        <row r="67">
          <cell r="AO67">
            <v>41</v>
          </cell>
        </row>
        <row r="69">
          <cell r="AO69">
            <v>41</v>
          </cell>
        </row>
        <row r="70">
          <cell r="AO70">
            <v>0</v>
          </cell>
        </row>
        <row r="71">
          <cell r="AO71">
            <v>39</v>
          </cell>
        </row>
        <row r="72">
          <cell r="AO72" t="e">
            <v>#REF!</v>
          </cell>
        </row>
        <row r="73">
          <cell r="AO73">
            <v>0</v>
          </cell>
        </row>
        <row r="74">
          <cell r="AO74">
            <v>0</v>
          </cell>
        </row>
      </sheetData>
      <sheetData sheetId="10"/>
      <sheetData sheetId="11"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RR-BC"/>
      <sheetName val="ERR-CAL"/>
      <sheetName val="SCREEN"/>
      <sheetName val="TOC"/>
      <sheetName val="DATA INPUT"/>
      <sheetName val="General Information"/>
      <sheetName val="Board-Approval"/>
      <sheetName val="TAC-sheet"/>
      <sheetName val="Board sheet"/>
      <sheetName val="Financial Proposal-1"/>
      <sheetName val="Financial Proposal-2"/>
      <sheetName val="SC-Proposal-A"/>
      <sheetName val="SC-Proposal-B"/>
      <sheetName val="Scheme Summary"/>
      <sheetName val="Hardware Cost Proposal-2"/>
      <sheetName val="Hardware Cost Proposal-1"/>
      <sheetName val="WS-Summary"/>
      <sheetName val="Cost-A&am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itigation"/>
      <sheetName val="Summary of Cost"/>
      <sheetName val="F_Intake"/>
      <sheetName val="F_treatment"/>
      <sheetName val="Connection"/>
      <sheetName val="F_VBox"/>
      <sheetName val="F_CChamber"/>
      <sheetName val="F_WVC"/>
      <sheetName val="F_AVC"/>
      <sheetName val="F_Pipes"/>
      <sheetName val="F_Pipesdetails"/>
      <sheetName val="F_Drain"/>
      <sheetName val="PipeCostComp"/>
      <sheetName val="Pipecosttrans"/>
      <sheetName val="F_Pipecostdist"/>
      <sheetName val="Pipelaycost"/>
      <sheetName val="F_Piperate"/>
      <sheetName val="F_RVT_All"/>
      <sheetName val="F_AppTrack"/>
      <sheetName val="F_Office building"/>
      <sheetName val="F_Guard House"/>
      <sheetName val="F_Public Toilet"/>
      <sheetName val="SCross"/>
      <sheetName val="Major Crossing Pipe marker"/>
      <sheetName val="RVT_FENCING"/>
      <sheetName val="RVT_20"/>
      <sheetName val="RVT_50"/>
      <sheetName val="RVT_125"/>
      <sheetName val="RVT_200"/>
      <sheetName val="SCrossData"/>
      <sheetName val="F_Earth Work"/>
      <sheetName val="Summary of Pipe Work"/>
      <sheetName val="F_TransPL"/>
      <sheetName val="F_SA_1APL"/>
      <sheetName val="F_SA_1BPL"/>
      <sheetName val="F_SA_2PL"/>
      <sheetName val="F_SA_3APL"/>
      <sheetName val="F_SA_3BPL"/>
      <sheetName val="F_SA_4PL"/>
      <sheetName val="F_SA_5PL"/>
      <sheetName val="F_SA_6PL"/>
      <sheetName val="F_SA_7PL"/>
      <sheetName val="F_SA_8PL"/>
      <sheetName val="F_SA_9PL"/>
      <sheetName val="F_SA_10PL"/>
      <sheetName val="SumRate"/>
      <sheetName val="RateAnalysis"/>
      <sheetName val="LabMatRate"/>
      <sheetName val="LocalMat"/>
      <sheetName val="TruckAn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117">
          <cell r="L117">
            <v>557.57665604760166</v>
          </cell>
        </row>
      </sheetData>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Page"/>
      <sheetName val="update Rate"/>
      <sheetName val="Other analysis"/>
      <sheetName val="Update Descrip"/>
      <sheetName val="Table of Content"/>
    </sheetNames>
    <sheetDataSet>
      <sheetData sheetId="0" refreshError="1"/>
      <sheetData sheetId="1" refreshError="1">
        <row r="6">
          <cell r="E6">
            <v>250</v>
          </cell>
        </row>
        <row r="57">
          <cell r="E57">
            <v>2.5</v>
          </cell>
        </row>
      </sheetData>
      <sheetData sheetId="2" refreshError="1"/>
      <sheetData sheetId="3" refreshError="1"/>
      <sheetData sheetId="4"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pdate Rate"/>
      <sheetName val="Update Descrip"/>
      <sheetName val="Table of Content"/>
      <sheetName val="Update Descrip (Final)"/>
    </sheetNames>
    <sheetDataSet>
      <sheetData sheetId="0">
        <row r="6">
          <cell r="E6">
            <v>245</v>
          </cell>
        </row>
        <row r="93">
          <cell r="E93">
            <v>194.27</v>
          </cell>
        </row>
      </sheetData>
      <sheetData sheetId="1"/>
      <sheetData sheetId="2"/>
      <sheetData sheetId="3"/>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_ANL"/>
    </sheetNames>
    <sheetDataSet>
      <sheetData sheetId="0"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8"/>
      <sheetName val="Dmand 7"/>
      <sheetName val="Dmand 6"/>
      <sheetName val="Dmand 5"/>
      <sheetName val="Dmand 4"/>
      <sheetName val="Dmand 3"/>
      <sheetName val="Dmand 2"/>
      <sheetName val="Dmand 1"/>
      <sheetName val="PD-TMPLT"/>
      <sheetName val="ProfileData"/>
      <sheetName val="PipeDesign"/>
      <sheetName val="PLOT"/>
      <sheetName val="Profile"/>
      <sheetName val="FlowDiagram"/>
      <sheetName val="PipeList"/>
      <sheetName val="PipeLineWork"/>
      <sheetName val="Features"/>
      <sheetName val="T&amp;P"/>
      <sheetName val="Summary"/>
      <sheetName val="Design"/>
    </sheetNames>
    <sheetDataSet>
      <sheetData sheetId="0"/>
      <sheetData sheetId="1"/>
      <sheetData sheetId="2"/>
      <sheetData sheetId="3">
        <row r="37">
          <cell r="D37">
            <v>211</v>
          </cell>
        </row>
      </sheetData>
      <sheetData sheetId="4">
        <row r="17">
          <cell r="D17">
            <v>28</v>
          </cell>
        </row>
      </sheetData>
      <sheetData sheetId="5">
        <row r="25">
          <cell r="D25">
            <v>149</v>
          </cell>
        </row>
      </sheetData>
      <sheetData sheetId="6">
        <row r="20">
          <cell r="D20">
            <v>45</v>
          </cell>
        </row>
      </sheetData>
      <sheetData sheetId="7">
        <row r="19">
          <cell r="D19">
            <v>56</v>
          </cell>
        </row>
      </sheetData>
      <sheetData sheetId="8"/>
      <sheetData sheetId="9"/>
      <sheetData sheetId="10"/>
      <sheetData sheetId="11" refreshError="1"/>
      <sheetData sheetId="12">
        <row r="102">
          <cell r="B102" t="str">
            <v>TRANSMISSION  LINE</v>
          </cell>
        </row>
        <row r="131">
          <cell r="B131" t="str">
            <v>TRANSMISSION  LINE</v>
          </cell>
          <cell r="D131">
            <v>1150</v>
          </cell>
          <cell r="M131" t="str">
            <v>OD</v>
          </cell>
          <cell r="T131" t="str">
            <v>SOIL</v>
          </cell>
        </row>
        <row r="132">
          <cell r="A132">
            <v>1</v>
          </cell>
          <cell r="B132" t="str">
            <v>S2</v>
          </cell>
          <cell r="C132" t="str">
            <v>P3</v>
          </cell>
          <cell r="D132">
            <v>125</v>
          </cell>
          <cell r="E132">
            <v>0.2</v>
          </cell>
          <cell r="F132">
            <v>1255</v>
          </cell>
          <cell r="G132">
            <v>1253</v>
          </cell>
          <cell r="H132">
            <v>1255</v>
          </cell>
          <cell r="I132">
            <v>1255</v>
          </cell>
          <cell r="J132">
            <v>2</v>
          </cell>
          <cell r="K132">
            <v>2</v>
          </cell>
          <cell r="L132">
            <v>2</v>
          </cell>
          <cell r="M132">
            <v>32</v>
          </cell>
          <cell r="N132">
            <v>6</v>
          </cell>
          <cell r="O132">
            <v>26.9</v>
          </cell>
          <cell r="P132">
            <v>1.105</v>
          </cell>
          <cell r="Q132">
            <v>0.89500000000000002</v>
          </cell>
          <cell r="R132">
            <v>0.35177160976970273</v>
          </cell>
          <cell r="S132">
            <v>1253.895</v>
          </cell>
          <cell r="T132" t="str">
            <v>OS</v>
          </cell>
          <cell r="W132" t="str">
            <v>326</v>
          </cell>
          <cell r="X132">
            <v>3.4260788835871997E-2</v>
          </cell>
          <cell r="Y132">
            <v>0.99931261443628849</v>
          </cell>
          <cell r="Z132">
            <v>0.12</v>
          </cell>
          <cell r="AA132">
            <v>7223.4017578664152</v>
          </cell>
        </row>
        <row r="133">
          <cell r="A133">
            <v>2</v>
          </cell>
          <cell r="B133" t="str">
            <v>P3</v>
          </cell>
          <cell r="C133" t="str">
            <v>P4</v>
          </cell>
          <cell r="D133">
            <v>90</v>
          </cell>
          <cell r="E133">
            <v>0.2</v>
          </cell>
          <cell r="F133">
            <v>1253</v>
          </cell>
          <cell r="G133">
            <v>1251</v>
          </cell>
          <cell r="H133">
            <v>1255</v>
          </cell>
          <cell r="I133">
            <v>1253.895</v>
          </cell>
          <cell r="J133">
            <v>2</v>
          </cell>
          <cell r="K133">
            <v>4</v>
          </cell>
          <cell r="L133">
            <v>2.8949999999999818</v>
          </cell>
          <cell r="M133">
            <v>32</v>
          </cell>
          <cell r="N133">
            <v>6</v>
          </cell>
          <cell r="O133">
            <v>26.9</v>
          </cell>
          <cell r="P133">
            <v>0.79500000000000004</v>
          </cell>
          <cell r="Q133">
            <v>2.0999999999999819</v>
          </cell>
          <cell r="R133">
            <v>0.35177160976970273</v>
          </cell>
          <cell r="S133">
            <v>1253.0999999999999</v>
          </cell>
          <cell r="T133" t="str">
            <v>OS</v>
          </cell>
          <cell r="W133" t="str">
            <v>326</v>
          </cell>
          <cell r="X133">
            <v>3.4259200569521753E-2</v>
          </cell>
          <cell r="Y133">
            <v>0.99928594935241666</v>
          </cell>
          <cell r="Z133">
            <v>0.12</v>
          </cell>
          <cell r="AA133">
            <v>7223.4017578664152</v>
          </cell>
        </row>
        <row r="134">
          <cell r="A134">
            <v>3</v>
          </cell>
          <cell r="B134" t="str">
            <v>P4</v>
          </cell>
          <cell r="C134" t="str">
            <v>P5</v>
          </cell>
          <cell r="D134">
            <v>210</v>
          </cell>
          <cell r="E134">
            <v>0.2</v>
          </cell>
          <cell r="F134">
            <v>1251</v>
          </cell>
          <cell r="G134">
            <v>1245</v>
          </cell>
          <cell r="H134">
            <v>1255</v>
          </cell>
          <cell r="I134">
            <v>1253.0999999999999</v>
          </cell>
          <cell r="J134">
            <v>6</v>
          </cell>
          <cell r="K134">
            <v>10</v>
          </cell>
          <cell r="L134">
            <v>8.0999999999999091</v>
          </cell>
          <cell r="M134">
            <v>32</v>
          </cell>
          <cell r="N134">
            <v>6</v>
          </cell>
          <cell r="O134">
            <v>26.9</v>
          </cell>
          <cell r="P134">
            <v>1.8260000000000001</v>
          </cell>
          <cell r="Q134">
            <v>6.2739999999999085</v>
          </cell>
          <cell r="R134">
            <v>0.35177160976970273</v>
          </cell>
          <cell r="S134">
            <v>1251.2739999999999</v>
          </cell>
          <cell r="T134" t="str">
            <v>OS</v>
          </cell>
          <cell r="W134" t="str">
            <v>326</v>
          </cell>
          <cell r="X134">
            <v>3.3709965976109452E-2</v>
          </cell>
          <cell r="Y134">
            <v>0.99988113347983398</v>
          </cell>
          <cell r="AA134">
            <v>7223.4017578664152</v>
          </cell>
        </row>
        <row r="135">
          <cell r="A135">
            <v>4</v>
          </cell>
          <cell r="B135" t="str">
            <v>P5</v>
          </cell>
          <cell r="C135" t="str">
            <v>P6</v>
          </cell>
          <cell r="D135">
            <v>190</v>
          </cell>
          <cell r="E135">
            <v>0.2</v>
          </cell>
          <cell r="F135">
            <v>1245</v>
          </cell>
          <cell r="G135">
            <v>1244</v>
          </cell>
          <cell r="H135">
            <v>1255</v>
          </cell>
          <cell r="I135">
            <v>1251.2739999999999</v>
          </cell>
          <cell r="J135">
            <v>1</v>
          </cell>
          <cell r="K135">
            <v>11</v>
          </cell>
          <cell r="L135">
            <v>7.2739999999998872</v>
          </cell>
          <cell r="M135">
            <v>32</v>
          </cell>
          <cell r="N135">
            <v>6</v>
          </cell>
          <cell r="O135">
            <v>26.9</v>
          </cell>
          <cell r="P135">
            <v>1.6519999999999999</v>
          </cell>
          <cell r="Q135">
            <v>5.6219999999998871</v>
          </cell>
          <cell r="R135">
            <v>0.35177160976970273</v>
          </cell>
          <cell r="S135">
            <v>1249.6219999999998</v>
          </cell>
          <cell r="T135" t="str">
            <v>OS</v>
          </cell>
          <cell r="W135" t="str">
            <v>326</v>
          </cell>
          <cell r="X135">
            <v>3.3709965976109452E-2</v>
          </cell>
          <cell r="Y135">
            <v>0.99988113347983398</v>
          </cell>
          <cell r="AA135">
            <v>7223.4017578664152</v>
          </cell>
        </row>
        <row r="136">
          <cell r="A136">
            <v>5</v>
          </cell>
          <cell r="B136" t="str">
            <v>P6</v>
          </cell>
          <cell r="C136" t="str">
            <v>P7</v>
          </cell>
          <cell r="D136">
            <v>125</v>
          </cell>
          <cell r="E136">
            <v>0.2</v>
          </cell>
          <cell r="F136">
            <v>1244</v>
          </cell>
          <cell r="G136">
            <v>1241</v>
          </cell>
          <cell r="H136">
            <v>1255</v>
          </cell>
          <cell r="I136">
            <v>1249.6219999999998</v>
          </cell>
          <cell r="J136">
            <v>3</v>
          </cell>
          <cell r="K136">
            <v>14</v>
          </cell>
          <cell r="L136">
            <v>8.6219999999998436</v>
          </cell>
          <cell r="M136">
            <v>32</v>
          </cell>
          <cell r="N136">
            <v>6</v>
          </cell>
          <cell r="O136">
            <v>26.9</v>
          </cell>
          <cell r="P136">
            <v>1.087</v>
          </cell>
          <cell r="Q136">
            <v>7.5349999999998438</v>
          </cell>
          <cell r="R136">
            <v>0.35177160976970273</v>
          </cell>
          <cell r="S136">
            <v>1248.5349999999999</v>
          </cell>
          <cell r="T136" t="str">
            <v>OS</v>
          </cell>
          <cell r="W136" t="str">
            <v>326</v>
          </cell>
          <cell r="X136">
            <v>3.3709965976109452E-2</v>
          </cell>
          <cell r="Y136">
            <v>0.99988113347983398</v>
          </cell>
          <cell r="AA136">
            <v>7223.4017578664152</v>
          </cell>
        </row>
        <row r="137">
          <cell r="A137">
            <v>6</v>
          </cell>
          <cell r="B137" t="str">
            <v>P7</v>
          </cell>
          <cell r="C137" t="str">
            <v>P8</v>
          </cell>
          <cell r="D137">
            <v>150</v>
          </cell>
          <cell r="E137">
            <v>0.2</v>
          </cell>
          <cell r="F137">
            <v>1241</v>
          </cell>
          <cell r="G137">
            <v>1238</v>
          </cell>
          <cell r="H137">
            <v>1255</v>
          </cell>
          <cell r="I137">
            <v>1248.5349999999999</v>
          </cell>
          <cell r="J137">
            <v>3</v>
          </cell>
          <cell r="K137">
            <v>17</v>
          </cell>
          <cell r="L137">
            <v>10.534999999999854</v>
          </cell>
          <cell r="M137">
            <v>32</v>
          </cell>
          <cell r="N137">
            <v>6</v>
          </cell>
          <cell r="O137">
            <v>26.9</v>
          </cell>
          <cell r="P137">
            <v>1.304</v>
          </cell>
          <cell r="Q137">
            <v>9.2309999999998542</v>
          </cell>
          <cell r="R137">
            <v>0.35177160976970273</v>
          </cell>
          <cell r="S137">
            <v>1247.2309999999998</v>
          </cell>
          <cell r="T137" t="str">
            <v>OS</v>
          </cell>
          <cell r="W137" t="str">
            <v>326</v>
          </cell>
          <cell r="X137">
            <v>3.3709965976109452E-2</v>
          </cell>
          <cell r="Y137">
            <v>0.99988113347983398</v>
          </cell>
          <cell r="AA137">
            <v>7223.4017578664152</v>
          </cell>
        </row>
        <row r="138">
          <cell r="A138">
            <v>7</v>
          </cell>
          <cell r="B138" t="str">
            <v>P8</v>
          </cell>
          <cell r="C138" t="str">
            <v>P9</v>
          </cell>
          <cell r="D138">
            <v>100</v>
          </cell>
          <cell r="E138">
            <v>0.2</v>
          </cell>
          <cell r="F138">
            <v>1238</v>
          </cell>
          <cell r="G138">
            <v>1238</v>
          </cell>
          <cell r="H138">
            <v>1255</v>
          </cell>
          <cell r="I138">
            <v>1247.2309999999998</v>
          </cell>
          <cell r="J138">
            <v>0</v>
          </cell>
          <cell r="K138">
            <v>17</v>
          </cell>
          <cell r="L138">
            <v>9.2309999999997672</v>
          </cell>
          <cell r="M138">
            <v>32</v>
          </cell>
          <cell r="N138">
            <v>6</v>
          </cell>
          <cell r="O138">
            <v>26.9</v>
          </cell>
          <cell r="P138">
            <v>0.86899999999999999</v>
          </cell>
          <cell r="Q138">
            <v>8.3619999999997674</v>
          </cell>
          <cell r="R138">
            <v>0.35177160976970273</v>
          </cell>
          <cell r="S138">
            <v>1246.3619999999999</v>
          </cell>
          <cell r="T138" t="str">
            <v>OS</v>
          </cell>
          <cell r="W138" t="str">
            <v>326</v>
          </cell>
          <cell r="X138">
            <v>3.3709965976109452E-2</v>
          </cell>
          <cell r="Y138">
            <v>0.99988113347983398</v>
          </cell>
          <cell r="AA138">
            <v>7223.4017578664152</v>
          </cell>
        </row>
        <row r="139">
          <cell r="A139">
            <v>8</v>
          </cell>
          <cell r="B139" t="str">
            <v>P9</v>
          </cell>
          <cell r="C139" t="str">
            <v>RT</v>
          </cell>
          <cell r="D139">
            <v>160</v>
          </cell>
          <cell r="E139">
            <v>0.2</v>
          </cell>
          <cell r="F139">
            <v>1238</v>
          </cell>
          <cell r="G139">
            <v>1237</v>
          </cell>
          <cell r="H139">
            <v>1255</v>
          </cell>
          <cell r="I139">
            <v>1246.3619999999999</v>
          </cell>
          <cell r="J139">
            <v>1</v>
          </cell>
          <cell r="K139">
            <v>18</v>
          </cell>
          <cell r="L139">
            <v>9.3619999999998527</v>
          </cell>
          <cell r="M139">
            <v>32</v>
          </cell>
          <cell r="N139">
            <v>6</v>
          </cell>
          <cell r="O139">
            <v>26.9</v>
          </cell>
          <cell r="P139">
            <v>1.391</v>
          </cell>
          <cell r="Q139">
            <v>7.9709999999998526</v>
          </cell>
          <cell r="R139">
            <v>0.35177160976970273</v>
          </cell>
          <cell r="S139">
            <v>1244.9709999999998</v>
          </cell>
          <cell r="T139" t="str">
            <v>OS</v>
          </cell>
          <cell r="W139" t="str">
            <v>326</v>
          </cell>
          <cell r="X139">
            <v>3.3709965976109452E-2</v>
          </cell>
          <cell r="Y139">
            <v>0.99988113347983398</v>
          </cell>
          <cell r="AA139">
            <v>7223.4017578664152</v>
          </cell>
        </row>
        <row r="141">
          <cell r="B141" t="str">
            <v>DISTRIBUTION  LINE</v>
          </cell>
          <cell r="D141">
            <v>1767</v>
          </cell>
          <cell r="M141" t="str">
            <v>OD</v>
          </cell>
          <cell r="T141" t="str">
            <v>SOIL</v>
          </cell>
        </row>
        <row r="142">
          <cell r="A142">
            <v>9</v>
          </cell>
          <cell r="B142" t="str">
            <v>RT</v>
          </cell>
          <cell r="C142" t="str">
            <v>P10</v>
          </cell>
          <cell r="D142">
            <v>55</v>
          </cell>
          <cell r="E142">
            <v>0.4</v>
          </cell>
          <cell r="F142">
            <v>1237</v>
          </cell>
          <cell r="G142">
            <v>1226</v>
          </cell>
          <cell r="H142">
            <v>1237</v>
          </cell>
          <cell r="I142">
            <v>1237</v>
          </cell>
          <cell r="J142">
            <v>11</v>
          </cell>
          <cell r="K142">
            <v>11</v>
          </cell>
          <cell r="L142">
            <v>11</v>
          </cell>
          <cell r="M142">
            <v>32</v>
          </cell>
          <cell r="N142">
            <v>6</v>
          </cell>
          <cell r="O142">
            <v>26.9</v>
          </cell>
          <cell r="P142">
            <v>1.631</v>
          </cell>
          <cell r="Q142">
            <v>9.3689999999999998</v>
          </cell>
          <cell r="R142">
            <v>0.70354321953940546</v>
          </cell>
          <cell r="S142">
            <v>1235.3689999999999</v>
          </cell>
          <cell r="T142" t="str">
            <v>OS</v>
          </cell>
          <cell r="W142" t="str">
            <v>326</v>
          </cell>
          <cell r="X142">
            <v>2.8737573774563593E-2</v>
          </cell>
          <cell r="Y142">
            <v>0.99973940783397219</v>
          </cell>
          <cell r="Z142">
            <v>0.1</v>
          </cell>
          <cell r="AA142">
            <v>14446.80351573283</v>
          </cell>
        </row>
        <row r="143">
          <cell r="A143">
            <v>10</v>
          </cell>
          <cell r="B143" t="str">
            <v>P10</v>
          </cell>
          <cell r="C143" t="str">
            <v>P11</v>
          </cell>
          <cell r="D143">
            <v>195</v>
          </cell>
          <cell r="E143">
            <v>0.1</v>
          </cell>
          <cell r="F143">
            <v>1226</v>
          </cell>
          <cell r="G143">
            <v>1223</v>
          </cell>
          <cell r="H143">
            <v>1237</v>
          </cell>
          <cell r="I143">
            <v>1235.3689999999999</v>
          </cell>
          <cell r="J143">
            <v>3</v>
          </cell>
          <cell r="K143">
            <v>14</v>
          </cell>
          <cell r="L143">
            <v>12.368999999999915</v>
          </cell>
          <cell r="M143">
            <v>25</v>
          </cell>
          <cell r="N143">
            <v>10</v>
          </cell>
          <cell r="O143">
            <v>18.899999999999999</v>
          </cell>
          <cell r="P143">
            <v>2.766</v>
          </cell>
          <cell r="Q143">
            <v>9.6029999999999145</v>
          </cell>
          <cell r="R143">
            <v>0.35629665259294896</v>
          </cell>
          <cell r="S143">
            <v>1232.6029999999998</v>
          </cell>
          <cell r="T143" t="str">
            <v>OS</v>
          </cell>
          <cell r="W143" t="str">
            <v>2510</v>
          </cell>
          <cell r="X143">
            <v>3.7667835086417252E-2</v>
          </cell>
          <cell r="Y143">
            <v>0.99964078343162721</v>
          </cell>
          <cell r="Z143">
            <v>0.1</v>
          </cell>
          <cell r="AA143">
            <v>5140.463155730331</v>
          </cell>
        </row>
        <row r="145">
          <cell r="A145">
            <v>11</v>
          </cell>
          <cell r="B145" t="str">
            <v>P10</v>
          </cell>
          <cell r="C145" t="str">
            <v>P12</v>
          </cell>
          <cell r="D145">
            <v>126</v>
          </cell>
          <cell r="E145">
            <v>0.2</v>
          </cell>
          <cell r="F145">
            <v>1226</v>
          </cell>
          <cell r="G145">
            <v>1215</v>
          </cell>
          <cell r="H145">
            <v>1237</v>
          </cell>
          <cell r="I145">
            <v>1235.3689999999999</v>
          </cell>
          <cell r="J145">
            <v>11</v>
          </cell>
          <cell r="K145">
            <v>22</v>
          </cell>
          <cell r="L145">
            <v>20.368999999999915</v>
          </cell>
          <cell r="M145">
            <v>25</v>
          </cell>
          <cell r="N145">
            <v>10</v>
          </cell>
          <cell r="O145">
            <v>18.899999999999999</v>
          </cell>
          <cell r="P145">
            <v>5.9720000000000004</v>
          </cell>
          <cell r="Q145">
            <v>14.396999999999913</v>
          </cell>
          <cell r="R145">
            <v>0.71259330518589792</v>
          </cell>
          <cell r="S145">
            <v>1229.3969999999999</v>
          </cell>
          <cell r="T145" t="str">
            <v>OS</v>
          </cell>
          <cell r="W145" t="str">
            <v>2510</v>
          </cell>
          <cell r="X145">
            <v>3.1464164415120163E-2</v>
          </cell>
          <cell r="Y145">
            <v>0.99984155638438243</v>
          </cell>
          <cell r="Z145">
            <v>0.1</v>
          </cell>
          <cell r="AA145">
            <v>10280.926311460662</v>
          </cell>
        </row>
        <row r="146">
          <cell r="A146">
            <v>12</v>
          </cell>
          <cell r="B146" t="str">
            <v>P12</v>
          </cell>
          <cell r="C146" t="str">
            <v>P13</v>
          </cell>
          <cell r="D146">
            <v>75</v>
          </cell>
          <cell r="E146">
            <v>0.1</v>
          </cell>
          <cell r="F146">
            <v>1215</v>
          </cell>
          <cell r="G146">
            <v>1205</v>
          </cell>
          <cell r="H146">
            <v>1237</v>
          </cell>
          <cell r="I146">
            <v>1229.3969999999999</v>
          </cell>
          <cell r="J146">
            <v>10</v>
          </cell>
          <cell r="K146">
            <v>32</v>
          </cell>
          <cell r="L146">
            <v>24.396999999999935</v>
          </cell>
          <cell r="M146">
            <v>20</v>
          </cell>
          <cell r="N146">
            <v>10</v>
          </cell>
          <cell r="O146">
            <v>14.9</v>
          </cell>
          <cell r="P146">
            <v>3.294</v>
          </cell>
          <cell r="Q146">
            <v>21.102999999999934</v>
          </cell>
          <cell r="R146">
            <v>0.57327475011363127</v>
          </cell>
          <cell r="S146">
            <v>1226.1029999999998</v>
          </cell>
          <cell r="T146" t="str">
            <v>OS</v>
          </cell>
          <cell r="W146" t="str">
            <v>2010</v>
          </cell>
          <cell r="X146">
            <v>3.5521363165356264E-2</v>
          </cell>
          <cell r="Y146">
            <v>0.99998888481952097</v>
          </cell>
          <cell r="Z146">
            <v>0.1</v>
          </cell>
          <cell r="AA146">
            <v>6520.4532646512262</v>
          </cell>
        </row>
        <row r="148">
          <cell r="A148">
            <v>13</v>
          </cell>
          <cell r="B148" t="str">
            <v>RT</v>
          </cell>
          <cell r="C148" t="str">
            <v>P14</v>
          </cell>
          <cell r="D148">
            <v>66</v>
          </cell>
          <cell r="E148">
            <v>0.6</v>
          </cell>
          <cell r="F148">
            <v>1237</v>
          </cell>
          <cell r="G148">
            <v>1228</v>
          </cell>
          <cell r="H148">
            <v>1237</v>
          </cell>
          <cell r="I148">
            <v>1237</v>
          </cell>
          <cell r="J148">
            <v>9</v>
          </cell>
          <cell r="K148">
            <v>9</v>
          </cell>
          <cell r="L148">
            <v>9</v>
          </cell>
          <cell r="M148">
            <v>40</v>
          </cell>
          <cell r="N148">
            <v>4</v>
          </cell>
          <cell r="O148">
            <v>35.6</v>
          </cell>
          <cell r="P148">
            <v>1.0469999999999999</v>
          </cell>
          <cell r="Q148">
            <v>7.9530000000000003</v>
          </cell>
          <cell r="R148">
            <v>0.60254100148052925</v>
          </cell>
          <cell r="S148">
            <v>1235.953</v>
          </cell>
          <cell r="T148" t="str">
            <v>OS</v>
          </cell>
          <cell r="W148" t="str">
            <v>404</v>
          </cell>
          <cell r="X148">
            <v>2.7746625132469352E-2</v>
          </cell>
          <cell r="Y148">
            <v>0.9999952663243491</v>
          </cell>
          <cell r="Z148">
            <v>0.1</v>
          </cell>
          <cell r="AA148">
            <v>16374.396681455604</v>
          </cell>
        </row>
        <row r="149">
          <cell r="A149">
            <v>14</v>
          </cell>
          <cell r="B149" t="str">
            <v>P14</v>
          </cell>
          <cell r="C149" t="str">
            <v>P15</v>
          </cell>
          <cell r="D149">
            <v>50</v>
          </cell>
          <cell r="E149">
            <v>0.5</v>
          </cell>
          <cell r="F149">
            <v>1228</v>
          </cell>
          <cell r="G149">
            <v>1219</v>
          </cell>
          <cell r="H149">
            <v>1237</v>
          </cell>
          <cell r="I149">
            <v>1235.953</v>
          </cell>
          <cell r="J149">
            <v>9</v>
          </cell>
          <cell r="K149">
            <v>18</v>
          </cell>
          <cell r="L149">
            <v>16.952999999999975</v>
          </cell>
          <cell r="M149">
            <v>32</v>
          </cell>
          <cell r="N149">
            <v>6</v>
          </cell>
          <cell r="O149">
            <v>26.9</v>
          </cell>
          <cell r="P149">
            <v>2.2000000000000002</v>
          </cell>
          <cell r="Q149">
            <v>14.752999999999975</v>
          </cell>
          <cell r="R149">
            <v>0.87942902442425674</v>
          </cell>
          <cell r="S149">
            <v>1233.7529999999999</v>
          </cell>
          <cell r="T149" t="str">
            <v>OS</v>
          </cell>
          <cell r="W149" t="str">
            <v>326</v>
          </cell>
          <cell r="X149">
            <v>2.7300311074221779E-2</v>
          </cell>
          <cell r="Y149">
            <v>0.99999070959468295</v>
          </cell>
          <cell r="Z149">
            <v>0.1</v>
          </cell>
          <cell r="AA149">
            <v>18058.504394666033</v>
          </cell>
        </row>
        <row r="150">
          <cell r="A150">
            <v>15</v>
          </cell>
          <cell r="B150" t="str">
            <v>P15</v>
          </cell>
          <cell r="C150" t="str">
            <v>P16</v>
          </cell>
          <cell r="D150">
            <v>100</v>
          </cell>
          <cell r="E150">
            <v>0.4</v>
          </cell>
          <cell r="F150">
            <v>1219</v>
          </cell>
          <cell r="G150">
            <v>1203</v>
          </cell>
          <cell r="H150">
            <v>1237</v>
          </cell>
          <cell r="I150">
            <v>1233.7529999999999</v>
          </cell>
          <cell r="J150">
            <v>16</v>
          </cell>
          <cell r="K150">
            <v>34</v>
          </cell>
          <cell r="L150">
            <v>30.752999999999929</v>
          </cell>
          <cell r="M150">
            <v>25</v>
          </cell>
          <cell r="N150">
            <v>10</v>
          </cell>
          <cell r="O150">
            <v>18.899999999999999</v>
          </cell>
          <cell r="P150">
            <v>16.161000000000001</v>
          </cell>
          <cell r="Q150">
            <v>14.591999999999928</v>
          </cell>
          <cell r="R150">
            <v>1.4251866103717958</v>
          </cell>
          <cell r="S150">
            <v>1217.5919999999999</v>
          </cell>
          <cell r="T150" t="str">
            <v>OS</v>
          </cell>
          <cell r="W150" t="str">
            <v>2510</v>
          </cell>
          <cell r="X150">
            <v>2.6821502267045674E-2</v>
          </cell>
          <cell r="Y150">
            <v>0.99947465097703669</v>
          </cell>
          <cell r="Z150">
            <v>0.1</v>
          </cell>
          <cell r="AA150">
            <v>20561.852622921324</v>
          </cell>
        </row>
        <row r="151">
          <cell r="A151">
            <v>16</v>
          </cell>
          <cell r="B151" t="str">
            <v>P16</v>
          </cell>
          <cell r="C151" t="str">
            <v>P17</v>
          </cell>
          <cell r="D151">
            <v>100</v>
          </cell>
          <cell r="E151">
            <v>0.3</v>
          </cell>
          <cell r="F151">
            <v>1203</v>
          </cell>
          <cell r="G151">
            <v>1188</v>
          </cell>
          <cell r="H151">
            <v>1237</v>
          </cell>
          <cell r="I151">
            <v>1217.5919999999999</v>
          </cell>
          <cell r="J151">
            <v>15</v>
          </cell>
          <cell r="K151">
            <v>49</v>
          </cell>
          <cell r="L151">
            <v>29.591999999999871</v>
          </cell>
          <cell r="M151">
            <v>25</v>
          </cell>
          <cell r="N151">
            <v>10</v>
          </cell>
          <cell r="O151">
            <v>18.899999999999999</v>
          </cell>
          <cell r="P151">
            <v>9.6929999999999996</v>
          </cell>
          <cell r="Q151">
            <v>19.898999999999873</v>
          </cell>
          <cell r="R151">
            <v>1.0688899577788469</v>
          </cell>
          <cell r="S151">
            <v>1207.8989999999999</v>
          </cell>
          <cell r="T151" t="str">
            <v>OS</v>
          </cell>
          <cell r="W151" t="str">
            <v>2510</v>
          </cell>
          <cell r="X151">
            <v>2.8599021824137739E-2</v>
          </cell>
          <cell r="Y151">
            <v>0.99994973623885985</v>
          </cell>
          <cell r="Z151">
            <v>0.1</v>
          </cell>
          <cell r="AA151">
            <v>15421.389467190995</v>
          </cell>
        </row>
        <row r="152">
          <cell r="A152">
            <v>17</v>
          </cell>
          <cell r="B152" t="str">
            <v>P17</v>
          </cell>
          <cell r="C152" t="str">
            <v>P18</v>
          </cell>
          <cell r="D152">
            <v>56</v>
          </cell>
          <cell r="E152">
            <v>0.2</v>
          </cell>
          <cell r="F152">
            <v>1288</v>
          </cell>
          <cell r="G152">
            <v>1179</v>
          </cell>
          <cell r="H152">
            <v>1237</v>
          </cell>
          <cell r="I152">
            <v>1207.8989999999999</v>
          </cell>
          <cell r="J152">
            <v>109</v>
          </cell>
          <cell r="K152">
            <v>58</v>
          </cell>
          <cell r="L152">
            <v>28.898999999999887</v>
          </cell>
          <cell r="M152">
            <v>20</v>
          </cell>
          <cell r="N152">
            <v>10</v>
          </cell>
          <cell r="O152">
            <v>14.9</v>
          </cell>
          <cell r="P152">
            <v>8.2989999999999995</v>
          </cell>
          <cell r="Q152">
            <v>20.599999999999888</v>
          </cell>
          <cell r="R152">
            <v>1.1465495002272625</v>
          </cell>
          <cell r="S152">
            <v>1199.5999999999999</v>
          </cell>
          <cell r="T152" t="str">
            <v>OS</v>
          </cell>
          <cell r="W152" t="str">
            <v>2010</v>
          </cell>
          <cell r="X152">
            <v>2.9960143455673036E-2</v>
          </cell>
          <cell r="Y152">
            <v>0.99986468139548001</v>
          </cell>
          <cell r="Z152">
            <v>0.1</v>
          </cell>
          <cell r="AA152">
            <v>13040.906529302452</v>
          </cell>
        </row>
        <row r="153">
          <cell r="A153">
            <v>18</v>
          </cell>
          <cell r="B153" t="str">
            <v>P18</v>
          </cell>
          <cell r="C153" t="str">
            <v>P19</v>
          </cell>
          <cell r="D153">
            <v>110</v>
          </cell>
          <cell r="E153">
            <v>0.1</v>
          </cell>
          <cell r="F153">
            <v>1179</v>
          </cell>
          <cell r="G153">
            <v>1166</v>
          </cell>
          <cell r="H153">
            <v>1237</v>
          </cell>
          <cell r="I153">
            <v>1199.5999999999999</v>
          </cell>
          <cell r="J153">
            <v>13</v>
          </cell>
          <cell r="K153">
            <v>71</v>
          </cell>
          <cell r="L153">
            <v>33.599999999999909</v>
          </cell>
          <cell r="M153">
            <v>20</v>
          </cell>
          <cell r="N153">
            <v>10</v>
          </cell>
          <cell r="O153">
            <v>14.9</v>
          </cell>
          <cell r="P153">
            <v>4.8319999999999999</v>
          </cell>
          <cell r="Q153">
            <v>28.767999999999908</v>
          </cell>
          <cell r="R153">
            <v>0.57327475011363127</v>
          </cell>
          <cell r="S153">
            <v>1194.7679999999998</v>
          </cell>
          <cell r="T153" t="str">
            <v>OS</v>
          </cell>
          <cell r="W153" t="str">
            <v>2010</v>
          </cell>
          <cell r="X153">
            <v>3.5521363165356264E-2</v>
          </cell>
          <cell r="Y153">
            <v>0.99998888481952097</v>
          </cell>
          <cell r="Z153">
            <v>0.1</v>
          </cell>
          <cell r="AA153">
            <v>6520.4532646512262</v>
          </cell>
        </row>
        <row r="155">
          <cell r="A155">
            <v>19</v>
          </cell>
          <cell r="B155" t="str">
            <v>O</v>
          </cell>
          <cell r="C155">
            <v>0</v>
          </cell>
          <cell r="D155">
            <v>810</v>
          </cell>
          <cell r="E155">
            <v>0</v>
          </cell>
          <cell r="F155">
            <v>0</v>
          </cell>
          <cell r="G155">
            <v>0</v>
          </cell>
          <cell r="H155" t="e">
            <v>#N/A</v>
          </cell>
          <cell r="I155" t="e">
            <v>#N/A</v>
          </cell>
          <cell r="J155">
            <v>0</v>
          </cell>
          <cell r="L155" t="e">
            <v>#N/A</v>
          </cell>
          <cell r="M155">
            <v>20</v>
          </cell>
          <cell r="N155">
            <v>10</v>
          </cell>
          <cell r="O155">
            <v>14.9</v>
          </cell>
          <cell r="P155">
            <v>0</v>
          </cell>
          <cell r="Q155" t="e">
            <v>#N/A</v>
          </cell>
          <cell r="R155">
            <v>0</v>
          </cell>
          <cell r="S155" t="e">
            <v>#N/A</v>
          </cell>
          <cell r="T155" t="str">
            <v>US</v>
          </cell>
          <cell r="W155" t="str">
            <v>2010</v>
          </cell>
          <cell r="X155">
            <v>2.417299060949454E-2</v>
          </cell>
          <cell r="Y155" t="e">
            <v>#DIV/0!</v>
          </cell>
          <cell r="Z155">
            <v>0.1</v>
          </cell>
          <cell r="AA155">
            <v>0</v>
          </cell>
        </row>
        <row r="156">
          <cell r="A156">
            <v>20</v>
          </cell>
          <cell r="B156">
            <v>0</v>
          </cell>
          <cell r="C156">
            <v>0</v>
          </cell>
          <cell r="D156">
            <v>24</v>
          </cell>
          <cell r="E156">
            <v>0</v>
          </cell>
          <cell r="F156">
            <v>0</v>
          </cell>
          <cell r="G156">
            <v>0</v>
          </cell>
          <cell r="H156" t="e">
            <v>#N/A</v>
          </cell>
          <cell r="I156" t="e">
            <v>#N/A</v>
          </cell>
          <cell r="J156">
            <v>0</v>
          </cell>
          <cell r="L156" t="e">
            <v>#N/A</v>
          </cell>
          <cell r="M156">
            <v>1.5</v>
          </cell>
          <cell r="N156" t="str">
            <v>MC</v>
          </cell>
          <cell r="O156">
            <v>38.1</v>
          </cell>
          <cell r="P156">
            <v>0</v>
          </cell>
          <cell r="Q156" t="e">
            <v>#N/A</v>
          </cell>
          <cell r="R156">
            <v>0</v>
          </cell>
          <cell r="S156" t="e">
            <v>#N/A</v>
          </cell>
          <cell r="T156" t="str">
            <v>US</v>
          </cell>
          <cell r="W156" t="str">
            <v>1.5MC</v>
          </cell>
          <cell r="X156">
            <v>0.02</v>
          </cell>
          <cell r="Y156" t="e">
            <v>#DIV/0!</v>
          </cell>
          <cell r="Z156">
            <v>1</v>
          </cell>
          <cell r="AA156">
            <v>0</v>
          </cell>
        </row>
        <row r="159">
          <cell r="B159" t="str">
            <v>TRANSMISSION  LINE</v>
          </cell>
          <cell r="D159">
            <v>560</v>
          </cell>
          <cell r="M159" t="str">
            <v>OD</v>
          </cell>
          <cell r="T159" t="str">
            <v>SOIL</v>
          </cell>
        </row>
        <row r="160">
          <cell r="A160">
            <v>1</v>
          </cell>
          <cell r="B160" t="str">
            <v>S</v>
          </cell>
          <cell r="C160" t="str">
            <v>P1</v>
          </cell>
          <cell r="D160">
            <v>80</v>
          </cell>
          <cell r="E160">
            <v>0.1</v>
          </cell>
          <cell r="F160">
            <v>1224</v>
          </cell>
          <cell r="G160">
            <v>1216</v>
          </cell>
          <cell r="H160">
            <v>1224</v>
          </cell>
          <cell r="I160">
            <v>1224</v>
          </cell>
          <cell r="J160">
            <v>8</v>
          </cell>
          <cell r="K160">
            <v>8</v>
          </cell>
          <cell r="L160">
            <v>8</v>
          </cell>
          <cell r="M160">
            <v>25</v>
          </cell>
          <cell r="N160">
            <v>10</v>
          </cell>
          <cell r="O160">
            <v>18.899999999999999</v>
          </cell>
          <cell r="P160">
            <v>1.139</v>
          </cell>
          <cell r="Q160">
            <v>6.8609999999999998</v>
          </cell>
          <cell r="R160">
            <v>0.35629665259294896</v>
          </cell>
          <cell r="S160">
            <v>1222.8610000000001</v>
          </cell>
          <cell r="T160" t="str">
            <v>OS</v>
          </cell>
          <cell r="W160" t="str">
            <v>2510</v>
          </cell>
          <cell r="X160">
            <v>3.7803150953547041E-2</v>
          </cell>
          <cell r="Y160">
            <v>0.99991128607119384</v>
          </cell>
          <cell r="Z160">
            <v>0.12</v>
          </cell>
          <cell r="AA160">
            <v>5140.463155730331</v>
          </cell>
        </row>
        <row r="161">
          <cell r="A161">
            <v>2</v>
          </cell>
          <cell r="B161" t="str">
            <v>P1</v>
          </cell>
          <cell r="C161" t="str">
            <v>P2</v>
          </cell>
          <cell r="D161">
            <v>80</v>
          </cell>
          <cell r="E161">
            <v>0.1</v>
          </cell>
          <cell r="F161">
            <v>1216</v>
          </cell>
          <cell r="G161">
            <v>1215</v>
          </cell>
          <cell r="H161">
            <v>1224</v>
          </cell>
          <cell r="I161">
            <v>1222.8610000000001</v>
          </cell>
          <cell r="J161">
            <v>1</v>
          </cell>
          <cell r="K161">
            <v>9</v>
          </cell>
          <cell r="L161">
            <v>7.8610000000001037</v>
          </cell>
          <cell r="M161">
            <v>25</v>
          </cell>
          <cell r="N161">
            <v>10</v>
          </cell>
          <cell r="O161">
            <v>18.899999999999999</v>
          </cell>
          <cell r="P161">
            <v>1.1379999999999999</v>
          </cell>
          <cell r="Q161">
            <v>6.7230000000001038</v>
          </cell>
          <cell r="R161">
            <v>0.35629665259294896</v>
          </cell>
          <cell r="S161">
            <v>1221.7230000000002</v>
          </cell>
          <cell r="T161" t="str">
            <v>OS</v>
          </cell>
          <cell r="W161" t="str">
            <v>2510</v>
          </cell>
          <cell r="X161">
            <v>3.7773172255874302E-2</v>
          </cell>
          <cell r="Y161">
            <v>0.99945205143417692</v>
          </cell>
          <cell r="Z161">
            <v>0.12</v>
          </cell>
          <cell r="AA161">
            <v>5140.463155730331</v>
          </cell>
        </row>
        <row r="162">
          <cell r="A162">
            <v>3</v>
          </cell>
          <cell r="B162" t="str">
            <v>P2</v>
          </cell>
          <cell r="C162" t="str">
            <v>P3</v>
          </cell>
          <cell r="D162">
            <v>100</v>
          </cell>
          <cell r="E162">
            <v>0.1</v>
          </cell>
          <cell r="F162">
            <v>1215</v>
          </cell>
          <cell r="G162">
            <v>1214</v>
          </cell>
          <cell r="H162">
            <v>1224</v>
          </cell>
          <cell r="I162">
            <v>1221.7230000000002</v>
          </cell>
          <cell r="J162">
            <v>1</v>
          </cell>
          <cell r="K162">
            <v>10</v>
          </cell>
          <cell r="L162">
            <v>7.7230000000001837</v>
          </cell>
          <cell r="M162">
            <v>25</v>
          </cell>
          <cell r="N162">
            <v>10</v>
          </cell>
          <cell r="O162">
            <v>18.899999999999999</v>
          </cell>
          <cell r="P162">
            <v>1.4219999999999999</v>
          </cell>
          <cell r="Q162">
            <v>6.301000000000184</v>
          </cell>
          <cell r="R162">
            <v>0.35629665259294896</v>
          </cell>
          <cell r="S162">
            <v>1220.3010000000002</v>
          </cell>
          <cell r="T162" t="str">
            <v>OS</v>
          </cell>
          <cell r="W162" t="str">
            <v>2510</v>
          </cell>
          <cell r="X162">
            <v>3.7773172255874302E-2</v>
          </cell>
          <cell r="Y162">
            <v>0.99945205143417692</v>
          </cell>
          <cell r="Z162">
            <v>0.12</v>
          </cell>
          <cell r="AA162">
            <v>5140.463155730331</v>
          </cell>
        </row>
        <row r="163">
          <cell r="A163">
            <v>4</v>
          </cell>
          <cell r="B163" t="str">
            <v>P3</v>
          </cell>
          <cell r="C163" t="str">
            <v>P4</v>
          </cell>
          <cell r="D163">
            <v>150</v>
          </cell>
          <cell r="E163">
            <v>0.1</v>
          </cell>
          <cell r="F163">
            <v>1214</v>
          </cell>
          <cell r="G163">
            <v>1212</v>
          </cell>
          <cell r="H163">
            <v>1224</v>
          </cell>
          <cell r="I163">
            <v>1220.3010000000002</v>
          </cell>
          <cell r="J163">
            <v>2</v>
          </cell>
          <cell r="K163">
            <v>12</v>
          </cell>
          <cell r="L163">
            <v>8.3010000000001583</v>
          </cell>
          <cell r="M163">
            <v>25</v>
          </cell>
          <cell r="N163">
            <v>10</v>
          </cell>
          <cell r="O163">
            <v>18.899999999999999</v>
          </cell>
          <cell r="P163">
            <v>2.1339999999999999</v>
          </cell>
          <cell r="Q163">
            <v>6.1670000000001579</v>
          </cell>
          <cell r="R163">
            <v>0.35629665259294896</v>
          </cell>
          <cell r="S163">
            <v>1218.1670000000001</v>
          </cell>
          <cell r="T163" t="str">
            <v>OS</v>
          </cell>
          <cell r="W163" t="str">
            <v>2510</v>
          </cell>
          <cell r="X163">
            <v>3.7773172255874302E-2</v>
          </cell>
          <cell r="Y163">
            <v>0.99945205143417692</v>
          </cell>
          <cell r="Z163">
            <v>0.12</v>
          </cell>
          <cell r="AA163">
            <v>5140.463155730331</v>
          </cell>
        </row>
        <row r="164">
          <cell r="A164">
            <v>5</v>
          </cell>
          <cell r="B164" t="str">
            <v>P4</v>
          </cell>
          <cell r="C164" t="str">
            <v>P5</v>
          </cell>
          <cell r="D164">
            <v>75</v>
          </cell>
          <cell r="E164">
            <v>0.1</v>
          </cell>
          <cell r="F164">
            <v>1212</v>
          </cell>
          <cell r="G164">
            <v>1211</v>
          </cell>
          <cell r="H164">
            <v>1224</v>
          </cell>
          <cell r="I164">
            <v>1218.1670000000001</v>
          </cell>
          <cell r="J164">
            <v>1</v>
          </cell>
          <cell r="K164">
            <v>13</v>
          </cell>
          <cell r="L164">
            <v>7.1670000000001437</v>
          </cell>
          <cell r="M164">
            <v>25</v>
          </cell>
          <cell r="N164">
            <v>10</v>
          </cell>
          <cell r="O164">
            <v>18.899999999999999</v>
          </cell>
          <cell r="P164">
            <v>1.0669999999999999</v>
          </cell>
          <cell r="Q164">
            <v>6.1000000000001435</v>
          </cell>
          <cell r="R164">
            <v>0.35629665259294896</v>
          </cell>
          <cell r="S164">
            <v>1217.1000000000001</v>
          </cell>
          <cell r="T164" t="str">
            <v>OS</v>
          </cell>
          <cell r="W164" t="str">
            <v>2510</v>
          </cell>
          <cell r="X164">
            <v>3.7773172255874302E-2</v>
          </cell>
          <cell r="Y164">
            <v>0.99945205143417692</v>
          </cell>
          <cell r="Z164">
            <v>0.12</v>
          </cell>
          <cell r="AA164">
            <v>5140.463155730331</v>
          </cell>
        </row>
        <row r="165">
          <cell r="A165">
            <v>6</v>
          </cell>
          <cell r="B165" t="str">
            <v>P5</v>
          </cell>
          <cell r="C165" t="str">
            <v>RT</v>
          </cell>
          <cell r="D165">
            <v>75</v>
          </cell>
          <cell r="E165">
            <v>0.1</v>
          </cell>
          <cell r="F165">
            <v>1211</v>
          </cell>
          <cell r="G165">
            <v>1201</v>
          </cell>
          <cell r="H165">
            <v>1224</v>
          </cell>
          <cell r="I165">
            <v>1217.1000000000001</v>
          </cell>
          <cell r="J165">
            <v>10</v>
          </cell>
          <cell r="K165">
            <v>23</v>
          </cell>
          <cell r="L165">
            <v>16.100000000000136</v>
          </cell>
          <cell r="M165">
            <v>20</v>
          </cell>
          <cell r="N165">
            <v>10</v>
          </cell>
          <cell r="O165">
            <v>14.9</v>
          </cell>
          <cell r="P165">
            <v>3.3079999999999998</v>
          </cell>
          <cell r="Q165">
            <v>12.792000000000137</v>
          </cell>
          <cell r="R165">
            <v>0.57327475011363127</v>
          </cell>
          <cell r="S165">
            <v>1213.7920000000001</v>
          </cell>
          <cell r="T165" t="str">
            <v>OS</v>
          </cell>
          <cell r="W165" t="str">
            <v>2010</v>
          </cell>
          <cell r="X165">
            <v>3.5665048794955807E-2</v>
          </cell>
          <cell r="Y165">
            <v>0.99965418708174736</v>
          </cell>
          <cell r="Z165">
            <v>0.12</v>
          </cell>
          <cell r="AA165">
            <v>6520.4532646512262</v>
          </cell>
        </row>
        <row r="167">
          <cell r="B167" t="str">
            <v>DISTRIBUTION  LINE</v>
          </cell>
          <cell r="D167">
            <v>467</v>
          </cell>
          <cell r="M167" t="str">
            <v>OD</v>
          </cell>
          <cell r="T167" t="str">
            <v>SOIL</v>
          </cell>
        </row>
        <row r="168">
          <cell r="A168">
            <v>7</v>
          </cell>
          <cell r="B168" t="str">
            <v>RT</v>
          </cell>
          <cell r="C168" t="str">
            <v>P6</v>
          </cell>
          <cell r="D168">
            <v>50</v>
          </cell>
          <cell r="E168">
            <v>0.2</v>
          </cell>
          <cell r="F168">
            <v>1201</v>
          </cell>
          <cell r="G168">
            <v>1182</v>
          </cell>
          <cell r="H168">
            <v>1201</v>
          </cell>
          <cell r="I168">
            <v>1201</v>
          </cell>
          <cell r="J168">
            <v>19</v>
          </cell>
          <cell r="K168">
            <v>19</v>
          </cell>
          <cell r="L168">
            <v>19</v>
          </cell>
          <cell r="M168">
            <v>25</v>
          </cell>
          <cell r="N168">
            <v>10</v>
          </cell>
          <cell r="O168">
            <v>18.899999999999999</v>
          </cell>
          <cell r="P168">
            <v>2.37</v>
          </cell>
          <cell r="Q168">
            <v>16.63</v>
          </cell>
          <cell r="R168">
            <v>0.71259330518589792</v>
          </cell>
          <cell r="S168">
            <v>1198.6300000000001</v>
          </cell>
          <cell r="T168" t="str">
            <v>OS</v>
          </cell>
          <cell r="W168" t="str">
            <v>2510</v>
          </cell>
          <cell r="X168">
            <v>3.1464164415120163E-2</v>
          </cell>
          <cell r="Y168">
            <v>0.99984155638438243</v>
          </cell>
          <cell r="Z168">
            <v>0.1</v>
          </cell>
          <cell r="AA168">
            <v>10280.926311460662</v>
          </cell>
        </row>
        <row r="169">
          <cell r="A169">
            <v>8</v>
          </cell>
          <cell r="B169" t="str">
            <v>P6</v>
          </cell>
          <cell r="C169" t="str">
            <v>P7</v>
          </cell>
          <cell r="D169">
            <v>50</v>
          </cell>
          <cell r="E169">
            <v>0.2</v>
          </cell>
          <cell r="F169">
            <v>1182</v>
          </cell>
          <cell r="G169">
            <v>1180</v>
          </cell>
          <cell r="H169">
            <v>1201</v>
          </cell>
          <cell r="I169">
            <v>1198.6300000000001</v>
          </cell>
          <cell r="J169">
            <v>2</v>
          </cell>
          <cell r="K169">
            <v>21</v>
          </cell>
          <cell r="L169">
            <v>18.630000000000109</v>
          </cell>
          <cell r="M169">
            <v>25</v>
          </cell>
          <cell r="N169">
            <v>10</v>
          </cell>
          <cell r="O169">
            <v>18.899999999999999</v>
          </cell>
          <cell r="P169">
            <v>2.3690000000000002</v>
          </cell>
          <cell r="Q169">
            <v>16.261000000000109</v>
          </cell>
          <cell r="R169">
            <v>0.71259330518589792</v>
          </cell>
          <cell r="S169">
            <v>1196.2610000000002</v>
          </cell>
          <cell r="T169" t="str">
            <v>OS</v>
          </cell>
          <cell r="W169" t="str">
            <v>2510</v>
          </cell>
          <cell r="X169">
            <v>3.1457545768106415E-2</v>
          </cell>
          <cell r="Y169">
            <v>0.99972171021310519</v>
          </cell>
          <cell r="Z169">
            <v>0.1</v>
          </cell>
          <cell r="AA169">
            <v>10280.926311460662</v>
          </cell>
        </row>
        <row r="170">
          <cell r="A170">
            <v>9</v>
          </cell>
          <cell r="B170" t="str">
            <v>P7</v>
          </cell>
          <cell r="C170" t="str">
            <v>P8</v>
          </cell>
          <cell r="D170">
            <v>50</v>
          </cell>
          <cell r="E170">
            <v>0.2</v>
          </cell>
          <cell r="F170">
            <v>1180</v>
          </cell>
          <cell r="G170">
            <v>1179</v>
          </cell>
          <cell r="H170">
            <v>1201</v>
          </cell>
          <cell r="I170">
            <v>1196.2610000000002</v>
          </cell>
          <cell r="J170">
            <v>1</v>
          </cell>
          <cell r="K170">
            <v>22</v>
          </cell>
          <cell r="L170">
            <v>17.261000000000195</v>
          </cell>
          <cell r="M170">
            <v>20</v>
          </cell>
          <cell r="N170">
            <v>10</v>
          </cell>
          <cell r="O170">
            <v>14.9</v>
          </cell>
          <cell r="P170">
            <v>7.4080000000000004</v>
          </cell>
          <cell r="Q170">
            <v>9.8530000000001934</v>
          </cell>
          <cell r="R170">
            <v>1.1465495002272625</v>
          </cell>
          <cell r="S170">
            <v>1188.8530000000003</v>
          </cell>
          <cell r="T170" t="str">
            <v>OS</v>
          </cell>
          <cell r="W170" t="str">
            <v>2010</v>
          </cell>
          <cell r="X170">
            <v>2.9954393295766595E-2</v>
          </cell>
          <cell r="Y170">
            <v>0.99975632207413423</v>
          </cell>
          <cell r="Z170">
            <v>0.1</v>
          </cell>
          <cell r="AA170">
            <v>13040.906529302452</v>
          </cell>
        </row>
        <row r="171">
          <cell r="A171">
            <v>10</v>
          </cell>
          <cell r="B171" t="str">
            <v>P8</v>
          </cell>
          <cell r="C171" t="str">
            <v>P9</v>
          </cell>
          <cell r="D171">
            <v>155</v>
          </cell>
          <cell r="E171">
            <v>0.1</v>
          </cell>
          <cell r="F171">
            <v>1179</v>
          </cell>
          <cell r="G171">
            <v>1174</v>
          </cell>
          <cell r="H171">
            <v>1201</v>
          </cell>
          <cell r="I171">
            <v>1188.8530000000003</v>
          </cell>
          <cell r="J171">
            <v>5</v>
          </cell>
          <cell r="K171">
            <v>27</v>
          </cell>
          <cell r="L171">
            <v>14.853000000000293</v>
          </cell>
          <cell r="M171">
            <v>20</v>
          </cell>
          <cell r="N171">
            <v>10</v>
          </cell>
          <cell r="O171">
            <v>14.9</v>
          </cell>
          <cell r="P171">
            <v>6.8090000000000002</v>
          </cell>
          <cell r="Q171">
            <v>8.0440000000002918</v>
          </cell>
          <cell r="R171">
            <v>0.57327475011363127</v>
          </cell>
          <cell r="S171">
            <v>1182.0440000000003</v>
          </cell>
          <cell r="T171" t="str">
            <v>OS</v>
          </cell>
          <cell r="W171" t="str">
            <v>2010</v>
          </cell>
          <cell r="X171">
            <v>3.5521363165356264E-2</v>
          </cell>
          <cell r="Y171">
            <v>0.99998888481952097</v>
          </cell>
          <cell r="Z171">
            <v>0.1</v>
          </cell>
          <cell r="AA171">
            <v>6520.4532646512262</v>
          </cell>
        </row>
        <row r="173">
          <cell r="A173">
            <v>11</v>
          </cell>
          <cell r="B173" t="str">
            <v>O</v>
          </cell>
          <cell r="C173">
            <v>0</v>
          </cell>
          <cell r="D173">
            <v>150</v>
          </cell>
          <cell r="E173">
            <v>0</v>
          </cell>
          <cell r="F173">
            <v>0</v>
          </cell>
          <cell r="G173">
            <v>0</v>
          </cell>
          <cell r="H173" t="e">
            <v>#N/A</v>
          </cell>
          <cell r="I173" t="e">
            <v>#N/A</v>
          </cell>
          <cell r="J173">
            <v>0</v>
          </cell>
          <cell r="L173" t="e">
            <v>#N/A</v>
          </cell>
          <cell r="M173">
            <v>20</v>
          </cell>
          <cell r="N173">
            <v>10</v>
          </cell>
          <cell r="O173">
            <v>14.9</v>
          </cell>
          <cell r="P173">
            <v>0</v>
          </cell>
          <cell r="Q173" t="e">
            <v>#N/A</v>
          </cell>
          <cell r="R173">
            <v>0</v>
          </cell>
          <cell r="S173" t="e">
            <v>#N/A</v>
          </cell>
          <cell r="T173" t="str">
            <v>US</v>
          </cell>
          <cell r="W173" t="str">
            <v>2010</v>
          </cell>
          <cell r="X173">
            <v>2.417299060949454E-2</v>
          </cell>
          <cell r="Y173" t="e">
            <v>#DIV/0!</v>
          </cell>
          <cell r="Z173">
            <v>0.1</v>
          </cell>
          <cell r="AA173">
            <v>0</v>
          </cell>
        </row>
        <row r="174">
          <cell r="A174">
            <v>12</v>
          </cell>
          <cell r="B174">
            <v>0</v>
          </cell>
          <cell r="C174">
            <v>0</v>
          </cell>
          <cell r="D174">
            <v>12</v>
          </cell>
          <cell r="E174">
            <v>0</v>
          </cell>
          <cell r="F174">
            <v>0</v>
          </cell>
          <cell r="G174">
            <v>0</v>
          </cell>
          <cell r="H174" t="e">
            <v>#N/A</v>
          </cell>
          <cell r="I174" t="e">
            <v>#N/A</v>
          </cell>
          <cell r="J174">
            <v>0</v>
          </cell>
          <cell r="L174" t="e">
            <v>#N/A</v>
          </cell>
          <cell r="M174">
            <v>1</v>
          </cell>
          <cell r="N174" t="str">
            <v>MC</v>
          </cell>
          <cell r="O174">
            <v>25.4</v>
          </cell>
          <cell r="P174">
            <v>0</v>
          </cell>
          <cell r="Q174" t="e">
            <v>#N/A</v>
          </cell>
          <cell r="R174">
            <v>0</v>
          </cell>
          <cell r="S174" t="e">
            <v>#N/A</v>
          </cell>
          <cell r="T174" t="str">
            <v>US</v>
          </cell>
          <cell r="W174" t="str">
            <v>1MC</v>
          </cell>
          <cell r="X174">
            <v>0.02</v>
          </cell>
          <cell r="Y174" t="e">
            <v>#DIV/0!</v>
          </cell>
          <cell r="Z174">
            <v>1</v>
          </cell>
          <cell r="AA174">
            <v>0</v>
          </cell>
        </row>
        <row r="177">
          <cell r="B177" t="str">
            <v>TRANSMISSION  LINE</v>
          </cell>
          <cell r="D177">
            <v>1168</v>
          </cell>
          <cell r="M177" t="str">
            <v>OD</v>
          </cell>
          <cell r="T177" t="str">
            <v>SOIL</v>
          </cell>
        </row>
        <row r="178">
          <cell r="A178">
            <v>1</v>
          </cell>
          <cell r="B178" t="str">
            <v>S</v>
          </cell>
          <cell r="C178" t="str">
            <v>P1</v>
          </cell>
          <cell r="D178">
            <v>138</v>
          </cell>
          <cell r="E178">
            <v>0.3</v>
          </cell>
          <cell r="F178">
            <v>1370</v>
          </cell>
          <cell r="G178">
            <v>1350</v>
          </cell>
          <cell r="H178">
            <v>1370</v>
          </cell>
          <cell r="I178">
            <v>1370</v>
          </cell>
          <cell r="J178">
            <v>20</v>
          </cell>
          <cell r="K178">
            <v>20</v>
          </cell>
          <cell r="L178">
            <v>20</v>
          </cell>
          <cell r="M178">
            <v>32</v>
          </cell>
          <cell r="N178">
            <v>6</v>
          </cell>
          <cell r="O178">
            <v>26.9</v>
          </cell>
          <cell r="P178">
            <v>2.4769999999999999</v>
          </cell>
          <cell r="Q178">
            <v>17.523</v>
          </cell>
          <cell r="R178">
            <v>0.52765741465455407</v>
          </cell>
          <cell r="S178">
            <v>1367.5229999999999</v>
          </cell>
          <cell r="T178" t="str">
            <v>OS</v>
          </cell>
          <cell r="W178" t="str">
            <v>326</v>
          </cell>
          <cell r="X178">
            <v>3.0931581092964573E-2</v>
          </cell>
          <cell r="Y178">
            <v>0.99977997545656727</v>
          </cell>
          <cell r="Z178">
            <v>0.12</v>
          </cell>
          <cell r="AA178">
            <v>10835.102636799622</v>
          </cell>
        </row>
        <row r="179">
          <cell r="A179">
            <v>2</v>
          </cell>
          <cell r="B179" t="str">
            <v>P1</v>
          </cell>
          <cell r="C179" t="str">
            <v>P2</v>
          </cell>
          <cell r="D179">
            <v>112</v>
          </cell>
          <cell r="E179">
            <v>0.3</v>
          </cell>
          <cell r="F179">
            <v>1350</v>
          </cell>
          <cell r="G179">
            <v>1341</v>
          </cell>
          <cell r="H179">
            <v>1370</v>
          </cell>
          <cell r="I179">
            <v>1367.5229999999999</v>
          </cell>
          <cell r="J179">
            <v>9</v>
          </cell>
          <cell r="K179">
            <v>29</v>
          </cell>
          <cell r="L179">
            <v>26.522999999999911</v>
          </cell>
          <cell r="M179">
            <v>32</v>
          </cell>
          <cell r="N179">
            <v>6</v>
          </cell>
          <cell r="O179">
            <v>26.9</v>
          </cell>
          <cell r="P179">
            <v>1.468</v>
          </cell>
          <cell r="Q179">
            <v>25.054999999999911</v>
          </cell>
          <cell r="R179">
            <v>0.52765741465455407</v>
          </cell>
          <cell r="S179">
            <v>1366.0549999999998</v>
          </cell>
          <cell r="T179" t="str">
            <v>OS</v>
          </cell>
          <cell r="W179" t="str">
            <v>326</v>
          </cell>
          <cell r="X179">
            <v>2.2592245817976753E-2</v>
          </cell>
          <cell r="Y179">
            <v>0.84536932132114229</v>
          </cell>
          <cell r="AA179">
            <v>10835.102636799622</v>
          </cell>
        </row>
        <row r="180">
          <cell r="A180">
            <v>3</v>
          </cell>
          <cell r="B180" t="str">
            <v>P2</v>
          </cell>
          <cell r="C180" t="str">
            <v>P3</v>
          </cell>
          <cell r="D180">
            <v>105</v>
          </cell>
          <cell r="E180">
            <v>0.3</v>
          </cell>
          <cell r="F180">
            <v>1341</v>
          </cell>
          <cell r="G180">
            <v>1339</v>
          </cell>
          <cell r="H180">
            <v>1370</v>
          </cell>
          <cell r="I180">
            <v>1366.0549999999998</v>
          </cell>
          <cell r="J180">
            <v>2</v>
          </cell>
          <cell r="K180">
            <v>31</v>
          </cell>
          <cell r="L180">
            <v>27.054999999999836</v>
          </cell>
          <cell r="M180">
            <v>32</v>
          </cell>
          <cell r="N180">
            <v>6</v>
          </cell>
          <cell r="O180">
            <v>26.9</v>
          </cell>
          <cell r="P180">
            <v>1.377</v>
          </cell>
          <cell r="Q180">
            <v>25.677999999999837</v>
          </cell>
          <cell r="R180">
            <v>0.52765741465455407</v>
          </cell>
          <cell r="S180">
            <v>1364.6779999999999</v>
          </cell>
          <cell r="T180" t="str">
            <v>OS</v>
          </cell>
          <cell r="W180" t="str">
            <v>326</v>
          </cell>
          <cell r="X180">
            <v>2.2592245817976753E-2</v>
          </cell>
          <cell r="Y180">
            <v>0.84536932132114229</v>
          </cell>
          <cell r="AA180">
            <v>10835.102636799622</v>
          </cell>
        </row>
        <row r="181">
          <cell r="A181">
            <v>4</v>
          </cell>
          <cell r="B181" t="str">
            <v>P3</v>
          </cell>
          <cell r="C181" t="str">
            <v>P4</v>
          </cell>
          <cell r="D181">
            <v>150</v>
          </cell>
          <cell r="E181">
            <v>0.3</v>
          </cell>
          <cell r="F181">
            <v>1339</v>
          </cell>
          <cell r="G181">
            <v>1329</v>
          </cell>
          <cell r="H181">
            <v>1370</v>
          </cell>
          <cell r="I181">
            <v>1364.6779999999999</v>
          </cell>
          <cell r="J181">
            <v>10</v>
          </cell>
          <cell r="K181">
            <v>41</v>
          </cell>
          <cell r="L181">
            <v>35.677999999999884</v>
          </cell>
          <cell r="M181">
            <v>32</v>
          </cell>
          <cell r="N181">
            <v>6</v>
          </cell>
          <cell r="O181">
            <v>26.9</v>
          </cell>
          <cell r="P181">
            <v>1.9670000000000001</v>
          </cell>
          <cell r="Q181">
            <v>33.710999999999885</v>
          </cell>
          <cell r="R181">
            <v>0.52765741465455407</v>
          </cell>
          <cell r="S181">
            <v>1362.7109999999998</v>
          </cell>
          <cell r="T181" t="str">
            <v>OS</v>
          </cell>
          <cell r="W181" t="str">
            <v>326</v>
          </cell>
          <cell r="X181">
            <v>2.2592245817976753E-2</v>
          </cell>
          <cell r="Y181">
            <v>0.84536932132114229</v>
          </cell>
          <cell r="AA181">
            <v>10835.102636799622</v>
          </cell>
        </row>
        <row r="182">
          <cell r="A182">
            <v>5</v>
          </cell>
          <cell r="B182" t="str">
            <v>P4</v>
          </cell>
          <cell r="C182" t="str">
            <v>P5</v>
          </cell>
          <cell r="D182">
            <v>90</v>
          </cell>
          <cell r="E182">
            <v>0.3</v>
          </cell>
          <cell r="F182">
            <v>1329</v>
          </cell>
          <cell r="G182">
            <v>1321</v>
          </cell>
          <cell r="H182">
            <v>1370</v>
          </cell>
          <cell r="I182">
            <v>1362.7109999999998</v>
          </cell>
          <cell r="J182">
            <v>8</v>
          </cell>
          <cell r="K182">
            <v>49</v>
          </cell>
          <cell r="L182">
            <v>41.710999999999785</v>
          </cell>
          <cell r="M182">
            <v>32</v>
          </cell>
          <cell r="N182">
            <v>6</v>
          </cell>
          <cell r="O182">
            <v>26.9</v>
          </cell>
          <cell r="P182">
            <v>1.18</v>
          </cell>
          <cell r="Q182">
            <v>40.530999999999786</v>
          </cell>
          <cell r="R182">
            <v>0.52765741465455407</v>
          </cell>
          <cell r="S182">
            <v>1361.5309999999997</v>
          </cell>
          <cell r="T182" t="str">
            <v>OS</v>
          </cell>
          <cell r="W182" t="str">
            <v>326</v>
          </cell>
          <cell r="X182">
            <v>2.2592245817976753E-2</v>
          </cell>
          <cell r="Y182">
            <v>0.84536932132114229</v>
          </cell>
          <cell r="AA182">
            <v>10835.102636799622</v>
          </cell>
        </row>
        <row r="183">
          <cell r="A183">
            <v>6</v>
          </cell>
          <cell r="B183" t="str">
            <v>P5</v>
          </cell>
          <cell r="C183" t="str">
            <v>P6</v>
          </cell>
          <cell r="D183">
            <v>129</v>
          </cell>
          <cell r="E183">
            <v>0.3</v>
          </cell>
          <cell r="F183">
            <v>1321</v>
          </cell>
          <cell r="G183">
            <v>1317</v>
          </cell>
          <cell r="H183">
            <v>1370</v>
          </cell>
          <cell r="I183">
            <v>1361.5309999999997</v>
          </cell>
          <cell r="J183">
            <v>4</v>
          </cell>
          <cell r="K183">
            <v>53</v>
          </cell>
          <cell r="L183">
            <v>44.530999999999722</v>
          </cell>
          <cell r="M183">
            <v>32</v>
          </cell>
          <cell r="N183">
            <v>6</v>
          </cell>
          <cell r="O183">
            <v>26.9</v>
          </cell>
          <cell r="P183">
            <v>1.6910000000000001</v>
          </cell>
          <cell r="Q183">
            <v>42.839999999999719</v>
          </cell>
          <cell r="R183">
            <v>0.52765741465455407</v>
          </cell>
          <cell r="S183">
            <v>1359.8399999999997</v>
          </cell>
          <cell r="T183" t="str">
            <v>OS</v>
          </cell>
          <cell r="W183" t="str">
            <v>326</v>
          </cell>
          <cell r="X183">
            <v>2.2592245817976753E-2</v>
          </cell>
          <cell r="Y183">
            <v>0.84536932132114229</v>
          </cell>
          <cell r="AA183">
            <v>10835.102636799622</v>
          </cell>
        </row>
        <row r="184">
          <cell r="A184">
            <v>7</v>
          </cell>
          <cell r="B184" t="str">
            <v>P6</v>
          </cell>
          <cell r="C184" t="str">
            <v>P7</v>
          </cell>
          <cell r="D184">
            <v>116</v>
          </cell>
          <cell r="E184">
            <v>0.3</v>
          </cell>
          <cell r="F184">
            <v>1317</v>
          </cell>
          <cell r="G184">
            <v>1316</v>
          </cell>
          <cell r="H184">
            <v>1370</v>
          </cell>
          <cell r="I184">
            <v>1359.8399999999997</v>
          </cell>
          <cell r="J184">
            <v>1</v>
          </cell>
          <cell r="K184">
            <v>54</v>
          </cell>
          <cell r="L184">
            <v>43.839999999999691</v>
          </cell>
          <cell r="M184">
            <v>25</v>
          </cell>
          <cell r="N184">
            <v>10</v>
          </cell>
          <cell r="O184">
            <v>18.899999999999999</v>
          </cell>
          <cell r="P184">
            <v>11.318</v>
          </cell>
          <cell r="Q184">
            <v>32.521999999999693</v>
          </cell>
          <cell r="R184">
            <v>1.0688899577788469</v>
          </cell>
          <cell r="S184">
            <v>1348.5219999999997</v>
          </cell>
          <cell r="T184" t="str">
            <v>OS</v>
          </cell>
          <cell r="W184" t="str">
            <v>2510</v>
          </cell>
          <cell r="X184">
            <v>2.8787559690786422E-2</v>
          </cell>
          <cell r="Y184">
            <v>0.99988685904109498</v>
          </cell>
          <cell r="Z184">
            <v>0.12</v>
          </cell>
          <cell r="AA184">
            <v>15421.389467190995</v>
          </cell>
        </row>
        <row r="185">
          <cell r="A185">
            <v>8</v>
          </cell>
          <cell r="B185" t="str">
            <v>P7</v>
          </cell>
          <cell r="C185" t="str">
            <v>P8</v>
          </cell>
          <cell r="D185">
            <v>148</v>
          </cell>
          <cell r="E185">
            <v>0.3</v>
          </cell>
          <cell r="F185">
            <v>1316</v>
          </cell>
          <cell r="G185">
            <v>1314</v>
          </cell>
          <cell r="H185">
            <v>1370</v>
          </cell>
          <cell r="I185">
            <v>1348.5219999999997</v>
          </cell>
          <cell r="J185">
            <v>2</v>
          </cell>
          <cell r="K185">
            <v>56</v>
          </cell>
          <cell r="L185">
            <v>34.521999999999707</v>
          </cell>
          <cell r="M185">
            <v>25</v>
          </cell>
          <cell r="N185">
            <v>10</v>
          </cell>
          <cell r="O185">
            <v>18.899999999999999</v>
          </cell>
          <cell r="P185">
            <v>14.44</v>
          </cell>
          <cell r="Q185">
            <v>20.081999999999709</v>
          </cell>
          <cell r="R185">
            <v>1.0688899577788469</v>
          </cell>
          <cell r="S185">
            <v>1334.0819999999997</v>
          </cell>
          <cell r="T185" t="str">
            <v>OS</v>
          </cell>
          <cell r="W185" t="str">
            <v>2510</v>
          </cell>
          <cell r="X185">
            <v>2.8787559690786422E-2</v>
          </cell>
          <cell r="Y185">
            <v>0.99988685904109498</v>
          </cell>
          <cell r="Z185">
            <v>0.12</v>
          </cell>
          <cell r="AA185">
            <v>15421.389467190995</v>
          </cell>
        </row>
        <row r="186">
          <cell r="A186">
            <v>9</v>
          </cell>
          <cell r="B186" t="str">
            <v>P8</v>
          </cell>
          <cell r="C186" t="str">
            <v>P9</v>
          </cell>
          <cell r="D186">
            <v>150</v>
          </cell>
          <cell r="E186">
            <v>0.3</v>
          </cell>
          <cell r="F186">
            <v>1314</v>
          </cell>
          <cell r="G186">
            <v>1313</v>
          </cell>
          <cell r="H186">
            <v>1370</v>
          </cell>
          <cell r="I186">
            <v>1334.0819999999997</v>
          </cell>
          <cell r="J186">
            <v>1</v>
          </cell>
          <cell r="K186">
            <v>57</v>
          </cell>
          <cell r="L186">
            <v>21.081999999999653</v>
          </cell>
          <cell r="M186">
            <v>25</v>
          </cell>
          <cell r="N186">
            <v>10</v>
          </cell>
          <cell r="O186">
            <v>18.899999999999999</v>
          </cell>
          <cell r="P186">
            <v>14.635</v>
          </cell>
          <cell r="Q186">
            <v>6.4469999999996528</v>
          </cell>
          <cell r="R186">
            <v>1.0688899577788469</v>
          </cell>
          <cell r="S186">
            <v>1319.4469999999997</v>
          </cell>
          <cell r="T186" t="str">
            <v>OS</v>
          </cell>
          <cell r="W186" t="str">
            <v>2510</v>
          </cell>
          <cell r="X186">
            <v>2.8787559690786422E-2</v>
          </cell>
          <cell r="Y186">
            <v>0.99988685904109498</v>
          </cell>
          <cell r="Z186">
            <v>0.12</v>
          </cell>
          <cell r="AA186">
            <v>15421.389467190995</v>
          </cell>
        </row>
        <row r="187">
          <cell r="A187">
            <v>10</v>
          </cell>
          <cell r="B187" t="str">
            <v>P9</v>
          </cell>
          <cell r="C187" t="str">
            <v>RT</v>
          </cell>
          <cell r="D187">
            <v>30</v>
          </cell>
          <cell r="E187">
            <v>0.3</v>
          </cell>
          <cell r="F187">
            <v>1313</v>
          </cell>
          <cell r="G187">
            <v>1308</v>
          </cell>
          <cell r="H187">
            <v>1370</v>
          </cell>
          <cell r="I187">
            <v>1319.4469999999997</v>
          </cell>
          <cell r="J187">
            <v>5</v>
          </cell>
          <cell r="K187">
            <v>62</v>
          </cell>
          <cell r="L187">
            <v>11.446999999999662</v>
          </cell>
          <cell r="M187">
            <v>25</v>
          </cell>
          <cell r="N187">
            <v>10</v>
          </cell>
          <cell r="O187">
            <v>18.899999999999999</v>
          </cell>
          <cell r="P187">
            <v>2.927</v>
          </cell>
          <cell r="Q187">
            <v>8.5199999999996621</v>
          </cell>
          <cell r="R187">
            <v>1.0688899577788469</v>
          </cell>
          <cell r="S187">
            <v>1316.5199999999998</v>
          </cell>
          <cell r="T187" t="str">
            <v>OS</v>
          </cell>
          <cell r="W187" t="str">
            <v>2510</v>
          </cell>
          <cell r="X187">
            <v>2.8787559690786422E-2</v>
          </cell>
          <cell r="Y187">
            <v>0.99988685904109498</v>
          </cell>
          <cell r="Z187">
            <v>0.12</v>
          </cell>
          <cell r="AA187">
            <v>15421.389467190995</v>
          </cell>
        </row>
        <row r="189">
          <cell r="B189" t="str">
            <v>DISTRIBUTION  LINE</v>
          </cell>
          <cell r="D189">
            <v>3461</v>
          </cell>
          <cell r="M189" t="str">
            <v>OD</v>
          </cell>
          <cell r="T189" t="str">
            <v>SOIL</v>
          </cell>
        </row>
        <row r="190">
          <cell r="A190">
            <v>11</v>
          </cell>
          <cell r="B190" t="str">
            <v>RT</v>
          </cell>
          <cell r="C190" t="str">
            <v>P10</v>
          </cell>
          <cell r="D190">
            <v>100</v>
          </cell>
          <cell r="E190">
            <v>2.2000000000000002</v>
          </cell>
          <cell r="F190">
            <v>1308</v>
          </cell>
          <cell r="G190">
            <v>1304</v>
          </cell>
          <cell r="H190">
            <v>1308</v>
          </cell>
          <cell r="I190">
            <v>1308</v>
          </cell>
          <cell r="J190">
            <v>4</v>
          </cell>
          <cell r="K190">
            <v>4</v>
          </cell>
          <cell r="L190">
            <v>4</v>
          </cell>
          <cell r="M190">
            <v>63</v>
          </cell>
          <cell r="N190">
            <v>4</v>
          </cell>
          <cell r="O190">
            <v>56.5</v>
          </cell>
          <cell r="P190">
            <v>1.845</v>
          </cell>
          <cell r="Q190">
            <v>2.1550000000000002</v>
          </cell>
          <cell r="R190">
            <v>0.8771242853786515</v>
          </cell>
          <cell r="S190">
            <v>1306.155</v>
          </cell>
          <cell r="T190" t="str">
            <v>OS</v>
          </cell>
          <cell r="W190" t="str">
            <v>634</v>
          </cell>
          <cell r="X190">
            <v>2.417299060949454E-2</v>
          </cell>
          <cell r="Y190">
            <v>1.0478597251952269</v>
          </cell>
          <cell r="AA190">
            <v>37830.169560224283</v>
          </cell>
        </row>
        <row r="191">
          <cell r="A191">
            <v>12</v>
          </cell>
          <cell r="B191" t="str">
            <v>P10</v>
          </cell>
          <cell r="C191" t="str">
            <v>P11</v>
          </cell>
          <cell r="D191">
            <v>50</v>
          </cell>
          <cell r="E191">
            <v>2.1</v>
          </cell>
          <cell r="F191">
            <v>1304</v>
          </cell>
          <cell r="G191">
            <v>1295</v>
          </cell>
          <cell r="H191">
            <v>1308</v>
          </cell>
          <cell r="I191">
            <v>1306.155</v>
          </cell>
          <cell r="J191">
            <v>9</v>
          </cell>
          <cell r="K191">
            <v>13</v>
          </cell>
          <cell r="L191">
            <v>11.154999999999973</v>
          </cell>
          <cell r="M191">
            <v>63</v>
          </cell>
          <cell r="N191">
            <v>4</v>
          </cell>
          <cell r="O191">
            <v>56.5</v>
          </cell>
          <cell r="P191">
            <v>0.8</v>
          </cell>
          <cell r="Q191">
            <v>10.354999999999972</v>
          </cell>
          <cell r="R191">
            <v>0.8372549996796218</v>
          </cell>
          <cell r="S191">
            <v>1305.355</v>
          </cell>
          <cell r="T191" t="str">
            <v>OS</v>
          </cell>
          <cell r="W191" t="str">
            <v>634</v>
          </cell>
          <cell r="X191">
            <v>2.2991397624416311E-2</v>
          </cell>
          <cell r="Y191">
            <v>0.99942924547603273</v>
          </cell>
          <cell r="Z191">
            <v>0.1</v>
          </cell>
          <cell r="AA191">
            <v>36110.616398395905</v>
          </cell>
        </row>
        <row r="192">
          <cell r="A192">
            <v>13</v>
          </cell>
          <cell r="B192" t="str">
            <v>P11</v>
          </cell>
          <cell r="C192" t="str">
            <v>P12</v>
          </cell>
          <cell r="D192">
            <v>100</v>
          </cell>
          <cell r="E192">
            <v>2.1</v>
          </cell>
          <cell r="F192">
            <v>1295</v>
          </cell>
          <cell r="G192">
            <v>1290</v>
          </cell>
          <cell r="H192">
            <v>1308</v>
          </cell>
          <cell r="I192">
            <v>1305.355</v>
          </cell>
          <cell r="J192">
            <v>5</v>
          </cell>
          <cell r="K192">
            <v>18</v>
          </cell>
          <cell r="L192">
            <v>15.355000000000018</v>
          </cell>
          <cell r="M192">
            <v>63</v>
          </cell>
          <cell r="N192">
            <v>4</v>
          </cell>
          <cell r="O192">
            <v>56.5</v>
          </cell>
          <cell r="P192">
            <v>1.599</v>
          </cell>
          <cell r="Q192">
            <v>13.756000000000018</v>
          </cell>
          <cell r="R192">
            <v>0.8372549996796218</v>
          </cell>
          <cell r="S192">
            <v>1303.7560000000001</v>
          </cell>
          <cell r="T192" t="str">
            <v>OS</v>
          </cell>
          <cell r="W192" t="str">
            <v>634</v>
          </cell>
          <cell r="X192">
            <v>2.2991397624416311E-2</v>
          </cell>
          <cell r="Y192">
            <v>0.99942924547603273</v>
          </cell>
          <cell r="Z192">
            <v>0.1</v>
          </cell>
          <cell r="AA192">
            <v>36110.616398395905</v>
          </cell>
        </row>
        <row r="193">
          <cell r="A193">
            <v>14</v>
          </cell>
          <cell r="B193" t="str">
            <v>P12</v>
          </cell>
          <cell r="C193" t="str">
            <v>P13</v>
          </cell>
          <cell r="D193">
            <v>61</v>
          </cell>
          <cell r="E193">
            <v>0.3</v>
          </cell>
          <cell r="F193">
            <v>1290</v>
          </cell>
          <cell r="G193">
            <v>1276</v>
          </cell>
          <cell r="H193">
            <v>1308</v>
          </cell>
          <cell r="I193">
            <v>1303.7560000000001</v>
          </cell>
          <cell r="J193">
            <v>14</v>
          </cell>
          <cell r="K193">
            <v>32</v>
          </cell>
          <cell r="L193">
            <v>27.756000000000085</v>
          </cell>
          <cell r="M193">
            <v>32</v>
          </cell>
          <cell r="N193">
            <v>6</v>
          </cell>
          <cell r="O193">
            <v>26.9</v>
          </cell>
          <cell r="P193">
            <v>1.091</v>
          </cell>
          <cell r="Q193">
            <v>26.665000000000084</v>
          </cell>
          <cell r="R193">
            <v>0.52765741465455407</v>
          </cell>
          <cell r="S193">
            <v>1302.6650000000002</v>
          </cell>
          <cell r="T193" t="str">
            <v>OS</v>
          </cell>
          <cell r="W193" t="str">
            <v>326</v>
          </cell>
          <cell r="X193">
            <v>3.081607415762173E-2</v>
          </cell>
          <cell r="Y193">
            <v>0.99979259641784701</v>
          </cell>
          <cell r="Z193">
            <v>0.1</v>
          </cell>
          <cell r="AA193">
            <v>10835.102636799622</v>
          </cell>
        </row>
        <row r="194">
          <cell r="A194">
            <v>15</v>
          </cell>
          <cell r="B194" t="str">
            <v>P13</v>
          </cell>
          <cell r="C194" t="str">
            <v>P14</v>
          </cell>
          <cell r="D194">
            <v>143</v>
          </cell>
          <cell r="E194">
            <v>0.2</v>
          </cell>
          <cell r="F194">
            <v>1276</v>
          </cell>
          <cell r="G194">
            <v>1271</v>
          </cell>
          <cell r="H194">
            <v>1308</v>
          </cell>
          <cell r="I194">
            <v>1302.6650000000002</v>
          </cell>
          <cell r="J194">
            <v>5</v>
          </cell>
          <cell r="K194">
            <v>37</v>
          </cell>
          <cell r="L194">
            <v>31.665000000000191</v>
          </cell>
          <cell r="M194">
            <v>25</v>
          </cell>
          <cell r="N194">
            <v>10</v>
          </cell>
          <cell r="O194">
            <v>18.899999999999999</v>
          </cell>
          <cell r="P194">
            <v>6.7759999999999998</v>
          </cell>
          <cell r="Q194">
            <v>24.889000000000191</v>
          </cell>
          <cell r="R194">
            <v>0.71259330518589792</v>
          </cell>
          <cell r="S194">
            <v>1295.8890000000001</v>
          </cell>
          <cell r="T194" t="str">
            <v>OS</v>
          </cell>
          <cell r="W194" t="str">
            <v>2510</v>
          </cell>
          <cell r="X194">
            <v>3.1459548503322797E-2</v>
          </cell>
          <cell r="Y194">
            <v>0.99975797562722624</v>
          </cell>
          <cell r="Z194">
            <v>0.1</v>
          </cell>
          <cell r="AA194">
            <v>10280.926311460662</v>
          </cell>
        </row>
        <row r="195">
          <cell r="A195">
            <v>16</v>
          </cell>
          <cell r="B195" t="str">
            <v>P14</v>
          </cell>
          <cell r="C195" t="str">
            <v>P15</v>
          </cell>
          <cell r="D195">
            <v>50</v>
          </cell>
          <cell r="E195">
            <v>0.1</v>
          </cell>
          <cell r="F195">
            <v>1271</v>
          </cell>
          <cell r="G195">
            <v>1262</v>
          </cell>
          <cell r="H195">
            <v>1308</v>
          </cell>
          <cell r="I195">
            <v>1295.8890000000001</v>
          </cell>
          <cell r="J195">
            <v>9</v>
          </cell>
          <cell r="K195">
            <v>46</v>
          </cell>
          <cell r="L195">
            <v>33.889000000000124</v>
          </cell>
          <cell r="M195">
            <v>20</v>
          </cell>
          <cell r="N195">
            <v>10</v>
          </cell>
          <cell r="O195">
            <v>14.9</v>
          </cell>
          <cell r="P195">
            <v>2.1960000000000002</v>
          </cell>
          <cell r="Q195">
            <v>31.693000000000122</v>
          </cell>
          <cell r="R195">
            <v>0.57327475011363127</v>
          </cell>
          <cell r="S195">
            <v>1293.6930000000002</v>
          </cell>
          <cell r="T195" t="str">
            <v>OS</v>
          </cell>
          <cell r="W195" t="str">
            <v>2010</v>
          </cell>
          <cell r="X195">
            <v>3.5521363165356264E-2</v>
          </cell>
          <cell r="Y195">
            <v>0.99998888481952097</v>
          </cell>
          <cell r="Z195">
            <v>0.1</v>
          </cell>
          <cell r="AA195">
            <v>6520.4532646512262</v>
          </cell>
        </row>
        <row r="197">
          <cell r="A197">
            <v>17</v>
          </cell>
          <cell r="B197" t="str">
            <v>P12</v>
          </cell>
          <cell r="C197" t="str">
            <v>P16</v>
          </cell>
          <cell r="D197">
            <v>100</v>
          </cell>
          <cell r="E197">
            <v>1.7</v>
          </cell>
          <cell r="F197">
            <v>1290</v>
          </cell>
          <cell r="G197">
            <v>1284</v>
          </cell>
          <cell r="H197">
            <v>1308</v>
          </cell>
          <cell r="I197">
            <v>1303.7560000000001</v>
          </cell>
          <cell r="J197">
            <v>6</v>
          </cell>
          <cell r="K197">
            <v>24</v>
          </cell>
          <cell r="L197">
            <v>19.756000000000085</v>
          </cell>
          <cell r="M197">
            <v>50</v>
          </cell>
          <cell r="N197">
            <v>4</v>
          </cell>
          <cell r="O197">
            <v>44.7</v>
          </cell>
          <cell r="P197">
            <v>3.387</v>
          </cell>
          <cell r="Q197">
            <v>16.369000000000085</v>
          </cell>
          <cell r="R197">
            <v>1.0828523057701922</v>
          </cell>
          <cell r="S197">
            <v>1300.3690000000001</v>
          </cell>
          <cell r="T197" t="str">
            <v>OS</v>
          </cell>
          <cell r="W197" t="str">
            <v>504</v>
          </cell>
          <cell r="X197">
            <v>2.3030195974254802E-2</v>
          </cell>
          <cell r="Y197">
            <v>0.99979243620631975</v>
          </cell>
          <cell r="Z197">
            <v>0.1</v>
          </cell>
          <cell r="AA197">
            <v>36949.235166356935</v>
          </cell>
        </row>
        <row r="198">
          <cell r="A198">
            <v>18</v>
          </cell>
          <cell r="B198" t="str">
            <v>P16</v>
          </cell>
          <cell r="C198" t="str">
            <v>P17</v>
          </cell>
          <cell r="D198">
            <v>100</v>
          </cell>
          <cell r="E198">
            <v>1.6</v>
          </cell>
          <cell r="F198">
            <v>1284</v>
          </cell>
          <cell r="G198">
            <v>1283</v>
          </cell>
          <cell r="H198">
            <v>1308</v>
          </cell>
          <cell r="I198">
            <v>1300.3690000000001</v>
          </cell>
          <cell r="J198">
            <v>1</v>
          </cell>
          <cell r="K198">
            <v>25</v>
          </cell>
          <cell r="L198">
            <v>17.369000000000142</v>
          </cell>
          <cell r="M198">
            <v>50</v>
          </cell>
          <cell r="N198">
            <v>4</v>
          </cell>
          <cell r="O198">
            <v>44.7</v>
          </cell>
          <cell r="P198">
            <v>3.0350000000000001</v>
          </cell>
          <cell r="Q198">
            <v>14.334000000000142</v>
          </cell>
          <cell r="R198">
            <v>1.0191551113131221</v>
          </cell>
          <cell r="S198">
            <v>1297.3340000000001</v>
          </cell>
          <cell r="T198" t="str">
            <v>OS</v>
          </cell>
          <cell r="W198" t="str">
            <v>504</v>
          </cell>
          <cell r="X198">
            <v>2.3296786518050994E-2</v>
          </cell>
          <cell r="Y198">
            <v>0.99913305007517905</v>
          </cell>
          <cell r="Z198">
            <v>0.1</v>
          </cell>
          <cell r="AA198">
            <v>34775.75074480653</v>
          </cell>
        </row>
        <row r="199">
          <cell r="A199">
            <v>19</v>
          </cell>
          <cell r="B199" t="str">
            <v>P17</v>
          </cell>
          <cell r="C199" t="str">
            <v>P18</v>
          </cell>
          <cell r="D199">
            <v>100</v>
          </cell>
          <cell r="E199">
            <v>1.5</v>
          </cell>
          <cell r="F199">
            <v>1283</v>
          </cell>
          <cell r="G199">
            <v>1281</v>
          </cell>
          <cell r="H199">
            <v>1308</v>
          </cell>
          <cell r="I199">
            <v>1297.3340000000001</v>
          </cell>
          <cell r="J199">
            <v>2</v>
          </cell>
          <cell r="K199">
            <v>27</v>
          </cell>
          <cell r="L199">
            <v>16.33400000000006</v>
          </cell>
          <cell r="M199">
            <v>50</v>
          </cell>
          <cell r="N199">
            <v>4</v>
          </cell>
          <cell r="O199">
            <v>44.7</v>
          </cell>
          <cell r="P199">
            <v>2.7080000000000002</v>
          </cell>
          <cell r="Q199">
            <v>13.62600000000006</v>
          </cell>
          <cell r="R199">
            <v>0.95545791685605197</v>
          </cell>
          <cell r="S199">
            <v>1294.626</v>
          </cell>
          <cell r="T199" t="str">
            <v>OS</v>
          </cell>
          <cell r="W199" t="str">
            <v>504</v>
          </cell>
          <cell r="X199">
            <v>2.3653307409441916E-2</v>
          </cell>
          <cell r="Y199">
            <v>0.99998302530545713</v>
          </cell>
          <cell r="Z199">
            <v>0.1</v>
          </cell>
          <cell r="AA199">
            <v>32602.266323256124</v>
          </cell>
        </row>
        <row r="200">
          <cell r="A200">
            <v>20</v>
          </cell>
          <cell r="B200" t="str">
            <v>P18</v>
          </cell>
          <cell r="C200" t="str">
            <v>P19</v>
          </cell>
          <cell r="D200">
            <v>50</v>
          </cell>
          <cell r="E200">
            <v>1.4</v>
          </cell>
          <cell r="F200">
            <v>1281</v>
          </cell>
          <cell r="G200">
            <v>1277</v>
          </cell>
          <cell r="H200">
            <v>1308</v>
          </cell>
          <cell r="I200">
            <v>1294.626</v>
          </cell>
          <cell r="J200">
            <v>4</v>
          </cell>
          <cell r="K200">
            <v>31</v>
          </cell>
          <cell r="L200">
            <v>17.625999999999976</v>
          </cell>
          <cell r="M200">
            <v>50</v>
          </cell>
          <cell r="N200">
            <v>4</v>
          </cell>
          <cell r="O200">
            <v>44.7</v>
          </cell>
          <cell r="P200">
            <v>1.1970000000000001</v>
          </cell>
          <cell r="Q200">
            <v>16.428999999999977</v>
          </cell>
          <cell r="R200">
            <v>0.89176072239898185</v>
          </cell>
          <cell r="S200">
            <v>1293.4290000000001</v>
          </cell>
          <cell r="T200" t="str">
            <v>OS</v>
          </cell>
          <cell r="W200" t="str">
            <v>504</v>
          </cell>
          <cell r="X200">
            <v>2.4005195836726671E-2</v>
          </cell>
          <cell r="Y200">
            <v>0.99997214087179853</v>
          </cell>
          <cell r="Z200">
            <v>0.1</v>
          </cell>
          <cell r="AA200">
            <v>30428.781901705719</v>
          </cell>
        </row>
        <row r="201">
          <cell r="A201">
            <v>21</v>
          </cell>
          <cell r="B201" t="str">
            <v>P19</v>
          </cell>
          <cell r="C201" t="str">
            <v>P20</v>
          </cell>
          <cell r="D201">
            <v>32</v>
          </cell>
          <cell r="E201">
            <v>0.3</v>
          </cell>
          <cell r="F201">
            <v>1277</v>
          </cell>
          <cell r="G201">
            <v>1271</v>
          </cell>
          <cell r="H201">
            <v>1308</v>
          </cell>
          <cell r="I201">
            <v>1293.4290000000001</v>
          </cell>
          <cell r="J201">
            <v>6</v>
          </cell>
          <cell r="K201">
            <v>37</v>
          </cell>
          <cell r="L201">
            <v>22.429000000000087</v>
          </cell>
          <cell r="M201">
            <v>32</v>
          </cell>
          <cell r="N201">
            <v>6</v>
          </cell>
          <cell r="O201">
            <v>26.9</v>
          </cell>
          <cell r="P201">
            <v>0.57199999999999995</v>
          </cell>
          <cell r="Q201">
            <v>21.857000000000088</v>
          </cell>
          <cell r="R201">
            <v>0.52765741465455407</v>
          </cell>
          <cell r="S201">
            <v>1292.8570000000002</v>
          </cell>
          <cell r="T201" t="str">
            <v>OS</v>
          </cell>
          <cell r="W201" t="str">
            <v>326</v>
          </cell>
          <cell r="X201">
            <v>3.081607415762173E-2</v>
          </cell>
          <cell r="Y201">
            <v>0.99979259641784701</v>
          </cell>
          <cell r="Z201">
            <v>0.1</v>
          </cell>
          <cell r="AA201">
            <v>10835.102636799622</v>
          </cell>
        </row>
        <row r="202">
          <cell r="A202">
            <v>22</v>
          </cell>
          <cell r="B202" t="str">
            <v>P20</v>
          </cell>
          <cell r="C202" t="str">
            <v>P21</v>
          </cell>
          <cell r="D202">
            <v>150</v>
          </cell>
          <cell r="E202">
            <v>0.3</v>
          </cell>
          <cell r="F202">
            <v>1271</v>
          </cell>
          <cell r="G202">
            <v>1225</v>
          </cell>
          <cell r="H202">
            <v>1308</v>
          </cell>
          <cell r="I202">
            <v>1292.8570000000002</v>
          </cell>
          <cell r="J202">
            <v>46</v>
          </cell>
          <cell r="K202">
            <v>83</v>
          </cell>
          <cell r="L202">
            <v>67.857000000000198</v>
          </cell>
          <cell r="M202">
            <v>25</v>
          </cell>
          <cell r="N202">
            <v>10</v>
          </cell>
          <cell r="O202">
            <v>18.899999999999999</v>
          </cell>
          <cell r="P202">
            <v>14.539</v>
          </cell>
          <cell r="Q202">
            <v>53.318000000000197</v>
          </cell>
          <cell r="R202">
            <v>1.0688899577788469</v>
          </cell>
          <cell r="S202">
            <v>1278.3180000000002</v>
          </cell>
          <cell r="T202" t="str">
            <v>OS</v>
          </cell>
          <cell r="W202" t="str">
            <v>2510</v>
          </cell>
          <cell r="X202">
            <v>2.8599021824137739E-2</v>
          </cell>
          <cell r="Y202">
            <v>0.99994973623885985</v>
          </cell>
          <cell r="Z202">
            <v>0.1</v>
          </cell>
          <cell r="AA202">
            <v>15421.389467190995</v>
          </cell>
        </row>
        <row r="203">
          <cell r="A203">
            <v>23</v>
          </cell>
          <cell r="B203" t="str">
            <v>P21</v>
          </cell>
          <cell r="C203" t="str">
            <v>P22</v>
          </cell>
          <cell r="D203">
            <v>195</v>
          </cell>
          <cell r="E203">
            <v>0.2</v>
          </cell>
          <cell r="F203">
            <v>1225</v>
          </cell>
          <cell r="G203">
            <v>1175</v>
          </cell>
          <cell r="H203">
            <v>1308</v>
          </cell>
          <cell r="I203">
            <v>1278.3180000000002</v>
          </cell>
          <cell r="J203">
            <v>50</v>
          </cell>
          <cell r="K203">
            <v>133</v>
          </cell>
          <cell r="L203">
            <v>103.31800000000021</v>
          </cell>
          <cell r="M203">
            <v>20</v>
          </cell>
          <cell r="N203">
            <v>10</v>
          </cell>
          <cell r="O203">
            <v>14.9</v>
          </cell>
          <cell r="P203">
            <v>27.792000000000002</v>
          </cell>
          <cell r="Q203">
            <v>75.526000000000209</v>
          </cell>
          <cell r="R203">
            <v>1.1465495002272625</v>
          </cell>
          <cell r="S203">
            <v>1250.5260000000003</v>
          </cell>
          <cell r="T203" t="str">
            <v>OS</v>
          </cell>
          <cell r="W203" t="str">
            <v>2010</v>
          </cell>
          <cell r="X203">
            <v>2.8813254805086001E-2</v>
          </cell>
          <cell r="Y203">
            <v>0.9999421930317216</v>
          </cell>
          <cell r="AA203">
            <v>13040.906529302452</v>
          </cell>
        </row>
        <row r="204">
          <cell r="A204">
            <v>24</v>
          </cell>
          <cell r="B204" t="str">
            <v>P22</v>
          </cell>
          <cell r="C204" t="str">
            <v>P23</v>
          </cell>
          <cell r="D204">
            <v>112</v>
          </cell>
          <cell r="E204">
            <v>0.2</v>
          </cell>
          <cell r="F204">
            <v>1175</v>
          </cell>
          <cell r="G204">
            <v>1152</v>
          </cell>
          <cell r="H204">
            <v>1308</v>
          </cell>
          <cell r="I204">
            <v>1250.5260000000003</v>
          </cell>
          <cell r="J204">
            <v>23</v>
          </cell>
          <cell r="K204">
            <v>156</v>
          </cell>
          <cell r="L204">
            <v>98.526000000000295</v>
          </cell>
          <cell r="M204">
            <v>20</v>
          </cell>
          <cell r="N204">
            <v>10</v>
          </cell>
          <cell r="O204">
            <v>14.9</v>
          </cell>
          <cell r="P204">
            <v>15.962999999999999</v>
          </cell>
          <cell r="Q204">
            <v>82.563000000000301</v>
          </cell>
          <cell r="R204">
            <v>1.1465495002272625</v>
          </cell>
          <cell r="S204">
            <v>1234.5630000000003</v>
          </cell>
          <cell r="T204" t="str">
            <v>OS</v>
          </cell>
          <cell r="W204" t="str">
            <v>2010</v>
          </cell>
          <cell r="X204">
            <v>2.8813254805086001E-2</v>
          </cell>
          <cell r="Y204">
            <v>0.9999421930317216</v>
          </cell>
          <cell r="AA204">
            <v>13040.906529302452</v>
          </cell>
        </row>
        <row r="205">
          <cell r="A205">
            <v>25</v>
          </cell>
          <cell r="B205" t="str">
            <v>P23</v>
          </cell>
          <cell r="C205" t="str">
            <v>P24</v>
          </cell>
          <cell r="D205">
            <v>100</v>
          </cell>
          <cell r="E205">
            <v>0.2</v>
          </cell>
          <cell r="F205">
            <v>1152</v>
          </cell>
          <cell r="G205">
            <v>1136</v>
          </cell>
          <cell r="H205">
            <v>1308</v>
          </cell>
          <cell r="I205">
            <v>1234.5630000000003</v>
          </cell>
          <cell r="J205">
            <v>16</v>
          </cell>
          <cell r="K205">
            <v>172</v>
          </cell>
          <cell r="L205">
            <v>98.563000000000329</v>
          </cell>
          <cell r="M205">
            <v>20</v>
          </cell>
          <cell r="N205">
            <v>10</v>
          </cell>
          <cell r="O205">
            <v>14.9</v>
          </cell>
          <cell r="P205">
            <v>14.252000000000001</v>
          </cell>
          <cell r="Q205">
            <v>84.311000000000334</v>
          </cell>
          <cell r="R205">
            <v>1.1465495002272625</v>
          </cell>
          <cell r="S205">
            <v>1220.3110000000004</v>
          </cell>
          <cell r="T205" t="str">
            <v>OS</v>
          </cell>
          <cell r="W205" t="str">
            <v>2010</v>
          </cell>
          <cell r="X205">
            <v>2.8813254805086001E-2</v>
          </cell>
          <cell r="Y205">
            <v>0.9999421930317216</v>
          </cell>
          <cell r="AA205">
            <v>13040.906529302452</v>
          </cell>
        </row>
        <row r="206">
          <cell r="A206">
            <v>26</v>
          </cell>
          <cell r="B206" t="str">
            <v>P24</v>
          </cell>
          <cell r="C206" t="str">
            <v>P25</v>
          </cell>
          <cell r="D206">
            <v>50</v>
          </cell>
          <cell r="E206">
            <v>0.1</v>
          </cell>
          <cell r="F206">
            <v>1136</v>
          </cell>
          <cell r="G206">
            <v>1134</v>
          </cell>
          <cell r="H206">
            <v>1308</v>
          </cell>
          <cell r="I206">
            <v>1220.3110000000004</v>
          </cell>
          <cell r="J206">
            <v>2</v>
          </cell>
          <cell r="K206">
            <v>174</v>
          </cell>
          <cell r="L206">
            <v>86.311000000000377</v>
          </cell>
          <cell r="M206">
            <v>20</v>
          </cell>
          <cell r="N206">
            <v>10</v>
          </cell>
          <cell r="O206">
            <v>14.9</v>
          </cell>
          <cell r="P206">
            <v>2.1419999999999999</v>
          </cell>
          <cell r="Q206">
            <v>84.169000000000381</v>
          </cell>
          <cell r="R206">
            <v>0.57327475011363127</v>
          </cell>
          <cell r="S206">
            <v>1218.1690000000003</v>
          </cell>
          <cell r="T206" t="str">
            <v>OS</v>
          </cell>
          <cell r="W206" t="str">
            <v>2010</v>
          </cell>
          <cell r="X206">
            <v>3.4641391945740146E-2</v>
          </cell>
          <cell r="Y206">
            <v>0.99925233830855209</v>
          </cell>
          <cell r="AA206">
            <v>6520.4532646512262</v>
          </cell>
        </row>
        <row r="208">
          <cell r="A208">
            <v>27</v>
          </cell>
          <cell r="B208" t="str">
            <v>P19</v>
          </cell>
          <cell r="C208" t="str">
            <v>P26</v>
          </cell>
          <cell r="D208">
            <v>50</v>
          </cell>
          <cell r="E208">
            <v>1</v>
          </cell>
          <cell r="F208">
            <v>1277</v>
          </cell>
          <cell r="G208">
            <v>1266</v>
          </cell>
          <cell r="H208">
            <v>1308</v>
          </cell>
          <cell r="I208">
            <v>1293.4290000000001</v>
          </cell>
          <cell r="J208">
            <v>11</v>
          </cell>
          <cell r="K208">
            <v>42</v>
          </cell>
          <cell r="L208">
            <v>27.429000000000087</v>
          </cell>
          <cell r="M208">
            <v>40</v>
          </cell>
          <cell r="N208">
            <v>6</v>
          </cell>
          <cell r="O208">
            <v>33.700000000000003</v>
          </cell>
          <cell r="P208">
            <v>2.5569999999999999</v>
          </cell>
          <cell r="Q208">
            <v>24.872000000000089</v>
          </cell>
          <cell r="R208">
            <v>1.1206643298147139</v>
          </cell>
          <cell r="S208">
            <v>1290.8720000000001</v>
          </cell>
          <cell r="T208" t="str">
            <v>OS</v>
          </cell>
          <cell r="W208" t="str">
            <v>406</v>
          </cell>
          <cell r="X208">
            <v>2.4474276191418794E-2</v>
          </cell>
          <cell r="Y208">
            <v>0.999996172486045</v>
          </cell>
          <cell r="Z208">
            <v>0.1</v>
          </cell>
          <cell r="AA208">
            <v>28829.303751722029</v>
          </cell>
        </row>
        <row r="209">
          <cell r="A209">
            <v>28</v>
          </cell>
          <cell r="B209" t="str">
            <v>P26</v>
          </cell>
          <cell r="C209" t="str">
            <v>P27</v>
          </cell>
          <cell r="D209">
            <v>90</v>
          </cell>
          <cell r="E209">
            <v>0.3</v>
          </cell>
          <cell r="F209">
            <v>1266</v>
          </cell>
          <cell r="G209">
            <v>1256</v>
          </cell>
          <cell r="H209">
            <v>1308</v>
          </cell>
          <cell r="I209">
            <v>1290.8720000000001</v>
          </cell>
          <cell r="J209">
            <v>10</v>
          </cell>
          <cell r="K209">
            <v>52</v>
          </cell>
          <cell r="L209">
            <v>34.872000000000071</v>
          </cell>
          <cell r="M209">
            <v>32</v>
          </cell>
          <cell r="N209">
            <v>6</v>
          </cell>
          <cell r="O209">
            <v>26.9</v>
          </cell>
          <cell r="P209">
            <v>1.609</v>
          </cell>
          <cell r="Q209">
            <v>33.263000000000069</v>
          </cell>
          <cell r="R209">
            <v>0.52765741465455407</v>
          </cell>
          <cell r="S209">
            <v>1289.2630000000001</v>
          </cell>
          <cell r="T209" t="str">
            <v>OS</v>
          </cell>
          <cell r="W209" t="str">
            <v>326</v>
          </cell>
          <cell r="X209">
            <v>3.081607415762173E-2</v>
          </cell>
          <cell r="Y209">
            <v>0.99979259641784701</v>
          </cell>
          <cell r="Z209">
            <v>0.1</v>
          </cell>
          <cell r="AA209">
            <v>10835.102636799622</v>
          </cell>
        </row>
        <row r="210">
          <cell r="A210">
            <v>29</v>
          </cell>
          <cell r="B210" t="str">
            <v>P27</v>
          </cell>
          <cell r="C210" t="str">
            <v>P28</v>
          </cell>
          <cell r="D210">
            <v>50</v>
          </cell>
          <cell r="E210">
            <v>0.2</v>
          </cell>
          <cell r="F210">
            <v>1256</v>
          </cell>
          <cell r="G210">
            <v>1236</v>
          </cell>
          <cell r="H210">
            <v>1308</v>
          </cell>
          <cell r="I210">
            <v>1289.2630000000001</v>
          </cell>
          <cell r="J210">
            <v>20</v>
          </cell>
          <cell r="K210">
            <v>72</v>
          </cell>
          <cell r="L210">
            <v>53.263000000000147</v>
          </cell>
          <cell r="M210">
            <v>25</v>
          </cell>
          <cell r="N210">
            <v>10</v>
          </cell>
          <cell r="O210">
            <v>18.899999999999999</v>
          </cell>
          <cell r="P210">
            <v>2.3690000000000002</v>
          </cell>
          <cell r="Q210">
            <v>50.894000000000148</v>
          </cell>
          <cell r="R210">
            <v>0.71259330518589792</v>
          </cell>
          <cell r="S210">
            <v>1286.8940000000002</v>
          </cell>
          <cell r="T210" t="str">
            <v>OS</v>
          </cell>
          <cell r="W210" t="str">
            <v>2510</v>
          </cell>
          <cell r="X210">
            <v>3.1457545768106415E-2</v>
          </cell>
          <cell r="Y210">
            <v>0.99972171021310519</v>
          </cell>
          <cell r="Z210">
            <v>0.1</v>
          </cell>
          <cell r="AA210">
            <v>10280.926311460662</v>
          </cell>
        </row>
        <row r="211">
          <cell r="A211">
            <v>30</v>
          </cell>
          <cell r="B211" t="str">
            <v>P28</v>
          </cell>
          <cell r="C211" t="str">
            <v>P29</v>
          </cell>
          <cell r="D211">
            <v>170</v>
          </cell>
          <cell r="E211">
            <v>0.1</v>
          </cell>
          <cell r="F211">
            <v>1236</v>
          </cell>
          <cell r="G211">
            <v>1223</v>
          </cell>
          <cell r="H211">
            <v>1308</v>
          </cell>
          <cell r="I211">
            <v>1286.8940000000002</v>
          </cell>
          <cell r="J211">
            <v>13</v>
          </cell>
          <cell r="K211">
            <v>85</v>
          </cell>
          <cell r="L211">
            <v>63.894000000000233</v>
          </cell>
          <cell r="M211">
            <v>20</v>
          </cell>
          <cell r="N211">
            <v>10</v>
          </cell>
          <cell r="O211">
            <v>14.9</v>
          </cell>
          <cell r="P211">
            <v>7.4669999999999996</v>
          </cell>
          <cell r="Q211">
            <v>56.427000000000234</v>
          </cell>
          <cell r="R211">
            <v>0.57327475011363127</v>
          </cell>
          <cell r="S211">
            <v>1279.4270000000001</v>
          </cell>
          <cell r="T211" t="str">
            <v>OS</v>
          </cell>
          <cell r="W211" t="str">
            <v>2010</v>
          </cell>
          <cell r="X211">
            <v>3.5521363165356264E-2</v>
          </cell>
          <cell r="Y211">
            <v>0.99998888481952097</v>
          </cell>
          <cell r="Z211">
            <v>0.1</v>
          </cell>
          <cell r="AA211">
            <v>6520.4532646512262</v>
          </cell>
        </row>
        <row r="213">
          <cell r="A213">
            <v>31</v>
          </cell>
          <cell r="B213" t="str">
            <v>P26</v>
          </cell>
          <cell r="C213" t="str">
            <v>P30</v>
          </cell>
          <cell r="D213">
            <v>50</v>
          </cell>
          <cell r="E213">
            <v>0.7</v>
          </cell>
          <cell r="F213">
            <v>1266</v>
          </cell>
          <cell r="G213">
            <v>1257</v>
          </cell>
          <cell r="H213">
            <v>1308</v>
          </cell>
          <cell r="I213">
            <v>1290.8720000000001</v>
          </cell>
          <cell r="J213">
            <v>9</v>
          </cell>
          <cell r="K213">
            <v>51</v>
          </cell>
          <cell r="L213">
            <v>33.872000000000071</v>
          </cell>
          <cell r="M213">
            <v>40</v>
          </cell>
          <cell r="N213">
            <v>6</v>
          </cell>
          <cell r="O213">
            <v>33.700000000000003</v>
          </cell>
          <cell r="P213">
            <v>1.353</v>
          </cell>
          <cell r="Q213">
            <v>32.519000000000069</v>
          </cell>
          <cell r="R213">
            <v>0.78446503087029973</v>
          </cell>
          <cell r="S213">
            <v>1289.519</v>
          </cell>
          <cell r="T213" t="str">
            <v>OS</v>
          </cell>
          <cell r="W213" t="str">
            <v>406</v>
          </cell>
          <cell r="X213">
            <v>2.6426847484456978E-2</v>
          </cell>
          <cell r="Y213">
            <v>0.99911089921495955</v>
          </cell>
          <cell r="Z213">
            <v>0.1</v>
          </cell>
          <cell r="AA213">
            <v>20180.512626205418</v>
          </cell>
        </row>
        <row r="214">
          <cell r="A214">
            <v>32</v>
          </cell>
          <cell r="B214" t="str">
            <v>P30</v>
          </cell>
          <cell r="C214" t="str">
            <v>P31</v>
          </cell>
          <cell r="D214">
            <v>50</v>
          </cell>
          <cell r="E214">
            <v>0.6</v>
          </cell>
          <cell r="F214">
            <v>1257</v>
          </cell>
          <cell r="G214">
            <v>1238</v>
          </cell>
          <cell r="H214">
            <v>1308</v>
          </cell>
          <cell r="I214">
            <v>1289.519</v>
          </cell>
          <cell r="J214">
            <v>19</v>
          </cell>
          <cell r="K214">
            <v>70</v>
          </cell>
          <cell r="L214">
            <v>51.519000000000005</v>
          </cell>
          <cell r="M214">
            <v>32</v>
          </cell>
          <cell r="N214">
            <v>10</v>
          </cell>
          <cell r="O214">
            <v>24.1</v>
          </cell>
          <cell r="P214">
            <v>5.1639999999999997</v>
          </cell>
          <cell r="Q214">
            <v>46.355000000000004</v>
          </cell>
          <cell r="R214">
            <v>1.3147782642109529</v>
          </cell>
          <cell r="S214">
            <v>1284.355</v>
          </cell>
          <cell r="T214" t="str">
            <v>OS</v>
          </cell>
          <cell r="W214" t="str">
            <v>3210</v>
          </cell>
          <cell r="X214">
            <v>2.5683242395867743E-2</v>
          </cell>
          <cell r="Y214">
            <v>0.99982317085826178</v>
          </cell>
          <cell r="Z214">
            <v>0.1</v>
          </cell>
          <cell r="AA214">
            <v>24187.905471361806</v>
          </cell>
        </row>
        <row r="215">
          <cell r="A215">
            <v>33</v>
          </cell>
          <cell r="B215" t="str">
            <v>P31</v>
          </cell>
          <cell r="C215" t="str">
            <v>P32</v>
          </cell>
          <cell r="D215">
            <v>100</v>
          </cell>
          <cell r="E215">
            <v>0.2</v>
          </cell>
          <cell r="F215">
            <v>1238</v>
          </cell>
          <cell r="G215">
            <v>1207</v>
          </cell>
          <cell r="H215">
            <v>1308</v>
          </cell>
          <cell r="I215">
            <v>1284.355</v>
          </cell>
          <cell r="J215">
            <v>31</v>
          </cell>
          <cell r="K215">
            <v>101</v>
          </cell>
          <cell r="L215">
            <v>77.355000000000018</v>
          </cell>
          <cell r="M215">
            <v>20</v>
          </cell>
          <cell r="N215">
            <v>10</v>
          </cell>
          <cell r="O215">
            <v>14.9</v>
          </cell>
          <cell r="P215">
            <v>14.244</v>
          </cell>
          <cell r="Q215">
            <v>63.111000000000018</v>
          </cell>
          <cell r="R215">
            <v>1.1465495002272625</v>
          </cell>
          <cell r="S215">
            <v>1270.1110000000001</v>
          </cell>
          <cell r="T215" t="str">
            <v>OS</v>
          </cell>
          <cell r="W215" t="str">
            <v>2010</v>
          </cell>
          <cell r="X215">
            <v>2.8795651748527707E-2</v>
          </cell>
          <cell r="Y215">
            <v>0.99959165828703456</v>
          </cell>
          <cell r="AA215">
            <v>13040.906529302452</v>
          </cell>
        </row>
        <row r="216">
          <cell r="A216">
            <v>34</v>
          </cell>
          <cell r="B216" t="str">
            <v>P32</v>
          </cell>
          <cell r="C216" t="str">
            <v>P33</v>
          </cell>
          <cell r="D216">
            <v>105</v>
          </cell>
          <cell r="E216">
            <v>0.1</v>
          </cell>
          <cell r="F216">
            <v>1207</v>
          </cell>
          <cell r="G216">
            <v>1205</v>
          </cell>
          <cell r="H216">
            <v>1308</v>
          </cell>
          <cell r="I216">
            <v>1270.1110000000001</v>
          </cell>
          <cell r="J216">
            <v>2</v>
          </cell>
          <cell r="K216">
            <v>103</v>
          </cell>
          <cell r="L216">
            <v>65.111000000000104</v>
          </cell>
          <cell r="M216">
            <v>20</v>
          </cell>
          <cell r="N216">
            <v>10</v>
          </cell>
          <cell r="O216">
            <v>14.9</v>
          </cell>
          <cell r="P216">
            <v>4.4980000000000002</v>
          </cell>
          <cell r="Q216">
            <v>60.613000000000106</v>
          </cell>
          <cell r="R216">
            <v>0.57327475011363127</v>
          </cell>
          <cell r="S216">
            <v>1265.6130000000001</v>
          </cell>
          <cell r="T216" t="str">
            <v>OS</v>
          </cell>
          <cell r="W216" t="str">
            <v>2010</v>
          </cell>
          <cell r="X216">
            <v>3.4641391945740146E-2</v>
          </cell>
          <cell r="Y216">
            <v>0.99925233830855209</v>
          </cell>
          <cell r="AA216">
            <v>6520.4532646512262</v>
          </cell>
        </row>
        <row r="218">
          <cell r="A218">
            <v>35</v>
          </cell>
          <cell r="B218" t="str">
            <v>P31</v>
          </cell>
          <cell r="C218" t="str">
            <v>P34</v>
          </cell>
          <cell r="D218">
            <v>25</v>
          </cell>
          <cell r="E218">
            <v>0.3</v>
          </cell>
          <cell r="F218">
            <v>1238</v>
          </cell>
          <cell r="G218">
            <v>1237</v>
          </cell>
          <cell r="H218">
            <v>1308</v>
          </cell>
          <cell r="I218">
            <v>1284.355</v>
          </cell>
          <cell r="J218">
            <v>1</v>
          </cell>
          <cell r="K218">
            <v>71</v>
          </cell>
          <cell r="L218">
            <v>47.355000000000018</v>
          </cell>
          <cell r="M218">
            <v>25</v>
          </cell>
          <cell r="N218">
            <v>10</v>
          </cell>
          <cell r="O218">
            <v>18.899999999999999</v>
          </cell>
          <cell r="P218">
            <v>2.423</v>
          </cell>
          <cell r="Q218">
            <v>44.932000000000016</v>
          </cell>
          <cell r="R218">
            <v>1.0688899577788469</v>
          </cell>
          <cell r="S218">
            <v>1281.932</v>
          </cell>
          <cell r="T218" t="str">
            <v>OS</v>
          </cell>
          <cell r="W218" t="str">
            <v>2510</v>
          </cell>
          <cell r="X218">
            <v>2.8600697042516787E-2</v>
          </cell>
          <cell r="Y218">
            <v>0.99998276794389918</v>
          </cell>
          <cell r="Z218">
            <v>0.1</v>
          </cell>
          <cell r="AA218">
            <v>15421.389467190995</v>
          </cell>
        </row>
        <row r="219">
          <cell r="A219">
            <v>36</v>
          </cell>
          <cell r="B219" t="str">
            <v>P34</v>
          </cell>
          <cell r="C219" t="str">
            <v>P35</v>
          </cell>
          <cell r="D219">
            <v>50</v>
          </cell>
          <cell r="E219">
            <v>0.2</v>
          </cell>
          <cell r="F219">
            <v>1237</v>
          </cell>
          <cell r="G219">
            <v>1235</v>
          </cell>
          <cell r="H219">
            <v>1308</v>
          </cell>
          <cell r="I219">
            <v>1281.932</v>
          </cell>
          <cell r="J219">
            <v>2</v>
          </cell>
          <cell r="K219">
            <v>73</v>
          </cell>
          <cell r="L219">
            <v>46.932000000000016</v>
          </cell>
          <cell r="M219">
            <v>20</v>
          </cell>
          <cell r="N219">
            <v>10</v>
          </cell>
          <cell r="O219">
            <v>14.9</v>
          </cell>
          <cell r="P219">
            <v>7.41</v>
          </cell>
          <cell r="Q219">
            <v>39.52200000000002</v>
          </cell>
          <cell r="R219">
            <v>1.1465495002272625</v>
          </cell>
          <cell r="S219">
            <v>1274.5219999999999</v>
          </cell>
          <cell r="T219" t="str">
            <v>OS</v>
          </cell>
          <cell r="W219" t="str">
            <v>2010</v>
          </cell>
          <cell r="X219">
            <v>2.9960143455673036E-2</v>
          </cell>
          <cell r="Y219">
            <v>0.99986468139548001</v>
          </cell>
          <cell r="Z219">
            <v>0.1</v>
          </cell>
          <cell r="AA219">
            <v>13040.906529302452</v>
          </cell>
        </row>
        <row r="220">
          <cell r="A220">
            <v>37</v>
          </cell>
          <cell r="B220" t="str">
            <v>P35</v>
          </cell>
          <cell r="C220" t="str">
            <v>P36</v>
          </cell>
          <cell r="D220">
            <v>70</v>
          </cell>
          <cell r="E220">
            <v>0.1</v>
          </cell>
          <cell r="F220">
            <v>1235</v>
          </cell>
          <cell r="G220">
            <v>1233</v>
          </cell>
          <cell r="H220">
            <v>1308</v>
          </cell>
          <cell r="I220">
            <v>1274.5219999999999</v>
          </cell>
          <cell r="J220">
            <v>2</v>
          </cell>
          <cell r="K220">
            <v>75</v>
          </cell>
          <cell r="L220">
            <v>41.521999999999935</v>
          </cell>
          <cell r="M220">
            <v>20</v>
          </cell>
          <cell r="N220">
            <v>10</v>
          </cell>
          <cell r="O220">
            <v>14.9</v>
          </cell>
          <cell r="P220">
            <v>3.0750000000000002</v>
          </cell>
          <cell r="Q220">
            <v>38.446999999999932</v>
          </cell>
          <cell r="R220">
            <v>0.57327475011363127</v>
          </cell>
          <cell r="S220">
            <v>1271.4469999999999</v>
          </cell>
          <cell r="T220" t="str">
            <v>OS</v>
          </cell>
          <cell r="W220" t="str">
            <v>2010</v>
          </cell>
          <cell r="X220">
            <v>3.5521363165356264E-2</v>
          </cell>
          <cell r="Y220">
            <v>0.99998888481952097</v>
          </cell>
          <cell r="Z220">
            <v>0.1</v>
          </cell>
          <cell r="AA220">
            <v>6520.4532646512262</v>
          </cell>
        </row>
        <row r="222">
          <cell r="A222">
            <v>38</v>
          </cell>
          <cell r="B222" t="str">
            <v>O</v>
          </cell>
          <cell r="C222">
            <v>0</v>
          </cell>
          <cell r="D222">
            <v>1110</v>
          </cell>
          <cell r="E222">
            <v>0</v>
          </cell>
          <cell r="F222">
            <v>0</v>
          </cell>
          <cell r="G222">
            <v>0</v>
          </cell>
          <cell r="H222" t="e">
            <v>#N/A</v>
          </cell>
          <cell r="I222" t="e">
            <v>#N/A</v>
          </cell>
          <cell r="J222">
            <v>0</v>
          </cell>
          <cell r="L222" t="e">
            <v>#N/A</v>
          </cell>
          <cell r="M222">
            <v>20</v>
          </cell>
          <cell r="N222">
            <v>10</v>
          </cell>
          <cell r="O222">
            <v>14.9</v>
          </cell>
          <cell r="P222">
            <v>0</v>
          </cell>
          <cell r="Q222" t="e">
            <v>#N/A</v>
          </cell>
          <cell r="R222">
            <v>0</v>
          </cell>
          <cell r="S222" t="e">
            <v>#N/A</v>
          </cell>
          <cell r="T222" t="str">
            <v>US</v>
          </cell>
          <cell r="W222" t="str">
            <v>2010</v>
          </cell>
          <cell r="X222">
            <v>2.417299060949454E-2</v>
          </cell>
          <cell r="Y222" t="e">
            <v>#DIV/0!</v>
          </cell>
          <cell r="Z222">
            <v>0.1</v>
          </cell>
          <cell r="AA222">
            <v>0</v>
          </cell>
        </row>
        <row r="223">
          <cell r="A223">
            <v>39</v>
          </cell>
          <cell r="B223">
            <v>0</v>
          </cell>
          <cell r="C223">
            <v>0</v>
          </cell>
          <cell r="D223">
            <v>48</v>
          </cell>
          <cell r="E223">
            <v>0</v>
          </cell>
          <cell r="F223">
            <v>0</v>
          </cell>
          <cell r="G223">
            <v>0</v>
          </cell>
          <cell r="H223" t="e">
            <v>#N/A</v>
          </cell>
          <cell r="I223" t="e">
            <v>#N/A</v>
          </cell>
          <cell r="J223">
            <v>0</v>
          </cell>
          <cell r="L223" t="e">
            <v>#N/A</v>
          </cell>
          <cell r="M223">
            <v>2</v>
          </cell>
          <cell r="N223" t="str">
            <v>MC</v>
          </cell>
          <cell r="O223">
            <v>50.8</v>
          </cell>
          <cell r="P223">
            <v>0</v>
          </cell>
          <cell r="Q223" t="e">
            <v>#N/A</v>
          </cell>
          <cell r="R223">
            <v>0</v>
          </cell>
          <cell r="S223" t="e">
            <v>#N/A</v>
          </cell>
          <cell r="T223" t="str">
            <v>US</v>
          </cell>
          <cell r="W223" t="str">
            <v>2MC</v>
          </cell>
          <cell r="X223">
            <v>0.02</v>
          </cell>
          <cell r="Y223" t="e">
            <v>#DIV/0!</v>
          </cell>
          <cell r="Z223">
            <v>1</v>
          </cell>
          <cell r="AA223">
            <v>0</v>
          </cell>
        </row>
        <row r="226">
          <cell r="B226" t="str">
            <v>TRANSMISSION  LINE</v>
          </cell>
          <cell r="D226">
            <v>150</v>
          </cell>
          <cell r="M226" t="str">
            <v>OD</v>
          </cell>
          <cell r="T226" t="str">
            <v>SOIL</v>
          </cell>
        </row>
        <row r="227">
          <cell r="A227">
            <v>1</v>
          </cell>
          <cell r="B227" t="str">
            <v>S</v>
          </cell>
          <cell r="C227" t="str">
            <v>P1</v>
          </cell>
          <cell r="D227">
            <v>65</v>
          </cell>
          <cell r="E227">
            <v>0.1</v>
          </cell>
          <cell r="F227">
            <v>1394</v>
          </cell>
          <cell r="G227">
            <v>1388</v>
          </cell>
          <cell r="H227">
            <v>1394</v>
          </cell>
          <cell r="I227">
            <v>1394</v>
          </cell>
          <cell r="J227">
            <v>6</v>
          </cell>
          <cell r="K227">
            <v>6</v>
          </cell>
          <cell r="L227">
            <v>6</v>
          </cell>
          <cell r="M227">
            <v>25</v>
          </cell>
          <cell r="N227">
            <v>10</v>
          </cell>
          <cell r="O227">
            <v>18.899999999999999</v>
          </cell>
          <cell r="P227">
            <v>0.92500000000000004</v>
          </cell>
          <cell r="Q227">
            <v>5.0750000000000002</v>
          </cell>
          <cell r="R227">
            <v>0.35629665259294896</v>
          </cell>
          <cell r="S227">
            <v>1393.075</v>
          </cell>
          <cell r="T227" t="str">
            <v>OS</v>
          </cell>
          <cell r="W227" t="str">
            <v>2510</v>
          </cell>
          <cell r="X227">
            <v>3.7803150953547041E-2</v>
          </cell>
          <cell r="Y227">
            <v>0.99991128607119384</v>
          </cell>
          <cell r="Z227">
            <v>0.12</v>
          </cell>
          <cell r="AA227">
            <v>5140.463155730331</v>
          </cell>
        </row>
        <row r="228">
          <cell r="A228">
            <v>2</v>
          </cell>
          <cell r="B228" t="str">
            <v>P1</v>
          </cell>
          <cell r="C228" t="str">
            <v>RT</v>
          </cell>
          <cell r="D228">
            <v>85</v>
          </cell>
          <cell r="E228">
            <v>0.1</v>
          </cell>
          <cell r="F228">
            <v>1388</v>
          </cell>
          <cell r="G228">
            <v>1367</v>
          </cell>
          <cell r="H228">
            <v>1394</v>
          </cell>
          <cell r="I228">
            <v>1393.075</v>
          </cell>
          <cell r="J228">
            <v>21</v>
          </cell>
          <cell r="K228">
            <v>27</v>
          </cell>
          <cell r="L228">
            <v>26.075000000000045</v>
          </cell>
          <cell r="M228">
            <v>20</v>
          </cell>
          <cell r="N228">
            <v>10</v>
          </cell>
          <cell r="O228">
            <v>14.9</v>
          </cell>
          <cell r="P228">
            <v>3.7490000000000001</v>
          </cell>
          <cell r="Q228">
            <v>22.326000000000047</v>
          </cell>
          <cell r="R228">
            <v>0.57327475011363127</v>
          </cell>
          <cell r="S228">
            <v>1389.326</v>
          </cell>
          <cell r="T228" t="str">
            <v>OS</v>
          </cell>
          <cell r="W228" t="str">
            <v>2010</v>
          </cell>
          <cell r="X228">
            <v>3.5668476610953515E-2</v>
          </cell>
          <cell r="Y228">
            <v>0.9997093472032047</v>
          </cell>
          <cell r="Z228">
            <v>0.12</v>
          </cell>
          <cell r="AA228">
            <v>6520.4532646512262</v>
          </cell>
        </row>
        <row r="230">
          <cell r="B230" t="str">
            <v>DISTRIBUTION  LINE</v>
          </cell>
          <cell r="D230">
            <v>412</v>
          </cell>
          <cell r="M230" t="str">
            <v>OD</v>
          </cell>
          <cell r="T230" t="str">
            <v>SOIL</v>
          </cell>
        </row>
        <row r="231">
          <cell r="A231">
            <v>3</v>
          </cell>
          <cell r="B231" t="str">
            <v>RT</v>
          </cell>
          <cell r="C231" t="str">
            <v>P3</v>
          </cell>
          <cell r="D231">
            <v>96</v>
          </cell>
          <cell r="E231">
            <v>0.2</v>
          </cell>
          <cell r="F231">
            <v>1367</v>
          </cell>
          <cell r="G231">
            <v>1365</v>
          </cell>
          <cell r="H231">
            <v>1367</v>
          </cell>
          <cell r="I231">
            <v>1367</v>
          </cell>
          <cell r="J231">
            <v>2</v>
          </cell>
          <cell r="K231">
            <v>2</v>
          </cell>
          <cell r="L231">
            <v>2</v>
          </cell>
          <cell r="M231">
            <v>32</v>
          </cell>
          <cell r="N231">
            <v>6</v>
          </cell>
          <cell r="O231">
            <v>26.9</v>
          </cell>
          <cell r="P231">
            <v>0.84599999999999997</v>
          </cell>
          <cell r="Q231">
            <v>1.1539999999999999</v>
          </cell>
          <cell r="R231">
            <v>0.35177160976970273</v>
          </cell>
          <cell r="S231">
            <v>1366.154</v>
          </cell>
          <cell r="T231" t="str">
            <v>OS</v>
          </cell>
          <cell r="W231" t="str">
            <v>326</v>
          </cell>
          <cell r="X231">
            <v>3.4160877243683316E-2</v>
          </cell>
          <cell r="Y231">
            <v>0.99925478917242649</v>
          </cell>
          <cell r="Z231">
            <v>0.1</v>
          </cell>
          <cell r="AA231">
            <v>7223.4017578664152</v>
          </cell>
        </row>
        <row r="232">
          <cell r="A232">
            <v>4</v>
          </cell>
          <cell r="B232" t="str">
            <v>P3</v>
          </cell>
          <cell r="C232" t="str">
            <v>P4</v>
          </cell>
          <cell r="D232">
            <v>56</v>
          </cell>
          <cell r="E232">
            <v>0.2</v>
          </cell>
          <cell r="F232">
            <v>1365</v>
          </cell>
          <cell r="G232">
            <v>1362</v>
          </cell>
          <cell r="H232">
            <v>1367</v>
          </cell>
          <cell r="I232">
            <v>1366.154</v>
          </cell>
          <cell r="J232">
            <v>3</v>
          </cell>
          <cell r="K232">
            <v>5</v>
          </cell>
          <cell r="L232">
            <v>4.1539999999999964</v>
          </cell>
          <cell r="M232">
            <v>32</v>
          </cell>
          <cell r="N232">
            <v>6</v>
          </cell>
          <cell r="O232">
            <v>26.9</v>
          </cell>
          <cell r="P232">
            <v>0.49299999999999999</v>
          </cell>
          <cell r="Q232">
            <v>3.6609999999999965</v>
          </cell>
          <cell r="R232">
            <v>0.35177160976970273</v>
          </cell>
          <cell r="S232">
            <v>1365.6610000000001</v>
          </cell>
          <cell r="T232" t="str">
            <v>OS</v>
          </cell>
          <cell r="W232" t="str">
            <v>326</v>
          </cell>
          <cell r="X232">
            <v>3.4160643643610683E-2</v>
          </cell>
          <cell r="Y232">
            <v>0.99925085154394844</v>
          </cell>
          <cell r="Z232">
            <v>0.1</v>
          </cell>
          <cell r="AA232">
            <v>7223.4017578664152</v>
          </cell>
        </row>
        <row r="233">
          <cell r="A233">
            <v>5</v>
          </cell>
          <cell r="B233" t="str">
            <v>P4</v>
          </cell>
          <cell r="C233" t="str">
            <v>P5</v>
          </cell>
          <cell r="D233">
            <v>50</v>
          </cell>
          <cell r="E233">
            <v>0.1</v>
          </cell>
          <cell r="F233">
            <v>1362</v>
          </cell>
          <cell r="G233">
            <v>1348</v>
          </cell>
          <cell r="H233">
            <v>1367</v>
          </cell>
          <cell r="I233">
            <v>1365.6610000000001</v>
          </cell>
          <cell r="J233">
            <v>14</v>
          </cell>
          <cell r="K233">
            <v>19</v>
          </cell>
          <cell r="L233">
            <v>17.661000000000058</v>
          </cell>
          <cell r="M233">
            <v>25</v>
          </cell>
          <cell r="N233">
            <v>10</v>
          </cell>
          <cell r="O233">
            <v>18.899999999999999</v>
          </cell>
          <cell r="P233">
            <v>0.70899999999999996</v>
          </cell>
          <cell r="Q233">
            <v>16.952000000000059</v>
          </cell>
          <cell r="R233">
            <v>0.35629665259294896</v>
          </cell>
          <cell r="S233">
            <v>1364.952</v>
          </cell>
          <cell r="T233" t="str">
            <v>OS</v>
          </cell>
          <cell r="W233" t="str">
            <v>2510</v>
          </cell>
          <cell r="X233">
            <v>3.7667835086417252E-2</v>
          </cell>
          <cell r="Y233">
            <v>0.99964078343162721</v>
          </cell>
          <cell r="Z233">
            <v>0.1</v>
          </cell>
          <cell r="AA233">
            <v>5140.463155730331</v>
          </cell>
        </row>
        <row r="235">
          <cell r="A235">
            <v>6</v>
          </cell>
          <cell r="B235" t="str">
            <v>O</v>
          </cell>
          <cell r="C235">
            <v>0</v>
          </cell>
          <cell r="D235">
            <v>180</v>
          </cell>
          <cell r="E235">
            <v>0</v>
          </cell>
          <cell r="F235">
            <v>0</v>
          </cell>
          <cell r="G235">
            <v>0</v>
          </cell>
          <cell r="H235" t="e">
            <v>#N/A</v>
          </cell>
          <cell r="I235" t="e">
            <v>#N/A</v>
          </cell>
          <cell r="J235">
            <v>0</v>
          </cell>
          <cell r="L235" t="e">
            <v>#N/A</v>
          </cell>
          <cell r="M235">
            <v>20</v>
          </cell>
          <cell r="N235">
            <v>10</v>
          </cell>
          <cell r="O235">
            <v>14.9</v>
          </cell>
          <cell r="P235">
            <v>0</v>
          </cell>
          <cell r="Q235" t="e">
            <v>#N/A</v>
          </cell>
          <cell r="R235">
            <v>0</v>
          </cell>
          <cell r="S235" t="e">
            <v>#N/A</v>
          </cell>
          <cell r="T235" t="str">
            <v>US</v>
          </cell>
          <cell r="W235" t="str">
            <v>2010</v>
          </cell>
          <cell r="X235">
            <v>2.417299060949454E-2</v>
          </cell>
          <cell r="Y235" t="e">
            <v>#DIV/0!</v>
          </cell>
          <cell r="Z235">
            <v>0.1</v>
          </cell>
          <cell r="AA235">
            <v>0</v>
          </cell>
        </row>
        <row r="236">
          <cell r="A236">
            <v>7</v>
          </cell>
          <cell r="B236">
            <v>0</v>
          </cell>
          <cell r="C236">
            <v>0</v>
          </cell>
          <cell r="D236">
            <v>30</v>
          </cell>
          <cell r="E236">
            <v>0</v>
          </cell>
          <cell r="F236">
            <v>0</v>
          </cell>
          <cell r="G236">
            <v>0</v>
          </cell>
          <cell r="H236" t="e">
            <v>#N/A</v>
          </cell>
          <cell r="I236" t="e">
            <v>#N/A</v>
          </cell>
          <cell r="J236">
            <v>0</v>
          </cell>
          <cell r="L236" t="e">
            <v>#N/A</v>
          </cell>
          <cell r="M236">
            <v>0.5</v>
          </cell>
          <cell r="N236" t="str">
            <v>MC</v>
          </cell>
          <cell r="O236">
            <v>14.4</v>
          </cell>
          <cell r="P236">
            <v>0</v>
          </cell>
          <cell r="Q236" t="e">
            <v>#N/A</v>
          </cell>
          <cell r="R236">
            <v>0</v>
          </cell>
          <cell r="S236" t="e">
            <v>#N/A</v>
          </cell>
          <cell r="T236" t="str">
            <v>US</v>
          </cell>
          <cell r="W236" t="str">
            <v>0.5MC</v>
          </cell>
          <cell r="X236">
            <v>0.02</v>
          </cell>
          <cell r="Y236" t="e">
            <v>#DIV/0!</v>
          </cell>
          <cell r="Z236">
            <v>1</v>
          </cell>
          <cell r="AA236">
            <v>0</v>
          </cell>
        </row>
      </sheetData>
      <sheetData sheetId="13" refreshError="1"/>
      <sheetData sheetId="14" refreshError="1"/>
      <sheetData sheetId="15" refreshError="1"/>
      <sheetData sheetId="16"/>
      <sheetData sheetId="17"/>
      <sheetData sheetId="18"/>
      <sheetData sheetId="19" refreshError="1"/>
      <sheetData sheetId="20"/>
      <sheetData sheetId="21"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1"/>
      <sheetName val="ProfileData"/>
      <sheetName val="PipeDesign"/>
      <sheetName val="PD-TMPLT"/>
      <sheetName val="DrawingControls"/>
      <sheetName val="Profile"/>
      <sheetName val="FlowDiagram"/>
      <sheetName val="PipeList"/>
      <sheetName val="PipeLineWork"/>
      <sheetName val="PFdata"/>
      <sheetName val="Features"/>
      <sheetName val="FitData"/>
      <sheetName val="Fittings"/>
      <sheetName val="T&amp;P"/>
      <sheetName val="Summar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Cost Extract"/>
      <sheetName val="Summary of Cost"/>
      <sheetName val="C_Summary"/>
      <sheetName val="C_Summary1"/>
      <sheetName val="C_Summary2"/>
      <sheetName val="C_INT(Kerunga)"/>
      <sheetName val="C_Dist_Irr"/>
      <sheetName val="C_Trans"/>
      <sheetName val="C_Treat_bound"/>
      <sheetName val="C_Sedi36"/>
      <sheetName val="C_HRF36"/>
      <sheetName val="C_SSF36"/>
      <sheetName val="C_HRF5"/>
      <sheetName val="C_SSF5"/>
      <sheetName val="C_Distri"/>
      <sheetName val="C_R_400"/>
      <sheetName val="C_R_150"/>
      <sheetName val="C_VC"/>
      <sheetName val="C_CC"/>
      <sheetName val="C_Guard"/>
      <sheetName val="C_SurDrain"/>
      <sheetName val="C_Pub_Toi"/>
      <sheetName val="C_Misc"/>
      <sheetName val="Q_Dist_Irr"/>
      <sheetName val="Q_INT(Kerunga)"/>
      <sheetName val="CQ_EW"/>
      <sheetName val="Q_Trans"/>
      <sheetName val="Q_Treat bound"/>
      <sheetName val="Q_Sedi"/>
      <sheetName val="Q_HRF36"/>
      <sheetName val="Q_SSF36"/>
      <sheetName val="Q_HRF5"/>
      <sheetName val="Q_SSF5"/>
      <sheetName val="Q_PipeDetail"/>
      <sheetName val="Q_Distri"/>
      <sheetName val="Q_R_400"/>
      <sheetName val="Q_R_150"/>
      <sheetName val="Q_VC"/>
      <sheetName val="Q_CC"/>
      <sheetName val="Q_Guard"/>
      <sheetName val="QC_Fittings"/>
      <sheetName val="Q_SurDrain"/>
      <sheetName val="Q_Pub_Toi"/>
      <sheetName val="Q Misc"/>
      <sheetName val="RateAnalysis"/>
      <sheetName val="F_Drain"/>
      <sheetName val="SumRate"/>
      <sheetName val="F_Piperate"/>
      <sheetName val="TruckAna"/>
      <sheetName val="Q_Summary"/>
      <sheetName val="C_SCross"/>
      <sheetName val="Q_SCross"/>
      <sheetName val="LabMatR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row r="8">
          <cell r="C8" t="str">
            <v>SITE PREPARATION WORK</v>
          </cell>
        </row>
        <row r="9">
          <cell r="A9" t="str">
            <v>1.1.a</v>
          </cell>
          <cell r="B9" t="str">
            <v>1-1(a)</v>
          </cell>
          <cell r="C9" t="str">
            <v>Cutting of Trees including cutting of branches and hauling to 15 m distance (12-30 cm dia.)</v>
          </cell>
          <cell r="D9" t="str">
            <v>Cutting of Trees (12-30 cm dia.)</v>
          </cell>
          <cell r="E9" t="str">
            <v>No</v>
          </cell>
          <cell r="F9">
            <v>13.455000000000002</v>
          </cell>
          <cell r="G9">
            <v>0</v>
          </cell>
          <cell r="H9">
            <v>13.455</v>
          </cell>
          <cell r="I9">
            <v>0</v>
          </cell>
          <cell r="J9">
            <v>0</v>
          </cell>
        </row>
        <row r="10">
          <cell r="A10" t="str">
            <v>1.1.b</v>
          </cell>
          <cell r="B10" t="str">
            <v>1-1(b)</v>
          </cell>
          <cell r="C10" t="str">
            <v>Cutting of Trees including cutting of branches and hauling to 15 m distance (21-60 cm dia.)</v>
          </cell>
          <cell r="D10" t="str">
            <v>Cutting of Trees (21-60 cm dia.)</v>
          </cell>
          <cell r="E10" t="str">
            <v>No</v>
          </cell>
          <cell r="F10">
            <v>40.365000000000002</v>
          </cell>
          <cell r="G10">
            <v>0</v>
          </cell>
          <cell r="H10">
            <v>40.365000000000002</v>
          </cell>
          <cell r="I10">
            <v>0</v>
          </cell>
          <cell r="J10">
            <v>0</v>
          </cell>
        </row>
        <row r="11">
          <cell r="A11" t="str">
            <v>1.1.c</v>
          </cell>
          <cell r="B11" t="str">
            <v>1-1(c)</v>
          </cell>
          <cell r="C11" t="str">
            <v>Cutting of Trees including cutting of branches and hauling to 15 m distance (61-90 cm dia.)</v>
          </cell>
          <cell r="D11" t="str">
            <v>Cutting of Trees (61-90 cm dia.)</v>
          </cell>
          <cell r="E11" t="str">
            <v>No</v>
          </cell>
          <cell r="F11">
            <v>101.43</v>
          </cell>
          <cell r="G11">
            <v>0</v>
          </cell>
          <cell r="H11">
            <v>101.42999999999999</v>
          </cell>
          <cell r="I11">
            <v>0</v>
          </cell>
          <cell r="J11">
            <v>0</v>
          </cell>
        </row>
        <row r="12">
          <cell r="A12" t="str">
            <v>1.1.d</v>
          </cell>
          <cell r="B12" t="str">
            <v>1-1(d)</v>
          </cell>
          <cell r="C12" t="str">
            <v>Cutting of Trees including cutting of branches and hauling to 15 m distance (91-120 cm dia.)</v>
          </cell>
          <cell r="D12" t="str">
            <v>Cutting of Trees (91-120 cm dia.)</v>
          </cell>
          <cell r="E12" t="str">
            <v>No</v>
          </cell>
          <cell r="F12">
            <v>101.43</v>
          </cell>
          <cell r="G12">
            <v>0</v>
          </cell>
          <cell r="H12">
            <v>101.42999999999999</v>
          </cell>
          <cell r="I12">
            <v>0</v>
          </cell>
          <cell r="J12">
            <v>0</v>
          </cell>
        </row>
        <row r="13">
          <cell r="A13" t="str">
            <v>1.1.e</v>
          </cell>
          <cell r="B13" t="str">
            <v>1-1(e)</v>
          </cell>
          <cell r="C13" t="str">
            <v>Cutting of Trees including cutting of branches and hauling to 15 m distance (121-180 cm dia.)</v>
          </cell>
          <cell r="D13" t="str">
            <v>Cutting of Trees (121-180 cm dia.)</v>
          </cell>
          <cell r="E13" t="str">
            <v>No</v>
          </cell>
          <cell r="F13">
            <v>414</v>
          </cell>
          <cell r="G13">
            <v>0</v>
          </cell>
          <cell r="H13">
            <v>413.99999999999994</v>
          </cell>
          <cell r="I13">
            <v>0</v>
          </cell>
          <cell r="J13">
            <v>0</v>
          </cell>
        </row>
        <row r="14">
          <cell r="A14" t="str">
            <v>1.1.f</v>
          </cell>
          <cell r="B14" t="str">
            <v>1-1(f)</v>
          </cell>
          <cell r="C14" t="str">
            <v>Cutting of Trees including cutting of branches and hauling to 15 m distance (181-240 cm dia.)</v>
          </cell>
          <cell r="D14" t="str">
            <v>Cutting of Trees (181-240 cm dia.)</v>
          </cell>
          <cell r="E14" t="str">
            <v>No</v>
          </cell>
          <cell r="F14">
            <v>414</v>
          </cell>
          <cell r="G14">
            <v>0</v>
          </cell>
          <cell r="H14">
            <v>413.99999999999994</v>
          </cell>
          <cell r="I14">
            <v>0</v>
          </cell>
          <cell r="J14">
            <v>0</v>
          </cell>
        </row>
        <row r="15">
          <cell r="A15" t="str">
            <v>1.1.g</v>
          </cell>
          <cell r="B15" t="str">
            <v>1-1(g)</v>
          </cell>
          <cell r="C15" t="str">
            <v>Cutting of Trees including cutting of branches and hauling to 15 m distance (241-300 cm dia.)</v>
          </cell>
          <cell r="D15" t="str">
            <v>Cutting of Trees (241-300 cm dia.)</v>
          </cell>
          <cell r="E15" t="str">
            <v>No</v>
          </cell>
          <cell r="F15">
            <v>1076.4000000000001</v>
          </cell>
          <cell r="G15">
            <v>0</v>
          </cell>
          <cell r="H15">
            <v>1076.3999999999999</v>
          </cell>
          <cell r="I15">
            <v>0</v>
          </cell>
          <cell r="J15">
            <v>0</v>
          </cell>
        </row>
        <row r="16">
          <cell r="A16" t="str">
            <v>1.1.h</v>
          </cell>
          <cell r="B16" t="str">
            <v>1-1(h)</v>
          </cell>
          <cell r="C16" t="str">
            <v>Cutting of Trees including cutting of branches and hauling to 15 m distance (301- cm dia.)</v>
          </cell>
          <cell r="D16" t="str">
            <v>Cutting of Trees (301- cm dia.)</v>
          </cell>
          <cell r="E16" t="str">
            <v>No</v>
          </cell>
          <cell r="F16">
            <v>4312.8450000000003</v>
          </cell>
          <cell r="G16">
            <v>0</v>
          </cell>
          <cell r="H16">
            <v>4312.8450000000003</v>
          </cell>
          <cell r="I16">
            <v>0</v>
          </cell>
          <cell r="J16">
            <v>0</v>
          </cell>
        </row>
        <row r="17">
          <cell r="A17" t="str">
            <v>1.2.a</v>
          </cell>
          <cell r="B17" t="str">
            <v>1-2(a)</v>
          </cell>
          <cell r="C17" t="str">
            <v>Removal of Tree roots and hauling to 15 m distance (12-30 cm dia.)</v>
          </cell>
          <cell r="D17" t="str">
            <v>Removal of Tree roots (12-30 cm dia.)</v>
          </cell>
          <cell r="E17" t="str">
            <v>No</v>
          </cell>
          <cell r="F17">
            <v>41.4</v>
          </cell>
          <cell r="G17">
            <v>0</v>
          </cell>
          <cell r="H17">
            <v>41.4</v>
          </cell>
          <cell r="I17">
            <v>0</v>
          </cell>
          <cell r="J17">
            <v>0</v>
          </cell>
        </row>
        <row r="18">
          <cell r="A18" t="str">
            <v>1.2.b</v>
          </cell>
          <cell r="B18" t="str">
            <v>1-2(b)</v>
          </cell>
          <cell r="C18" t="str">
            <v>Removal of Tree roots and hauling to 15 m distance (21-60 cm dia.)</v>
          </cell>
          <cell r="D18" t="str">
            <v>Removal of Tree roots (21-60 cm dia.)</v>
          </cell>
          <cell r="E18" t="str">
            <v>No</v>
          </cell>
          <cell r="F18">
            <v>54.855000000000004</v>
          </cell>
          <cell r="G18">
            <v>0</v>
          </cell>
          <cell r="H18">
            <v>54.854999999999997</v>
          </cell>
          <cell r="I18">
            <v>0</v>
          </cell>
          <cell r="J18">
            <v>0</v>
          </cell>
        </row>
        <row r="19">
          <cell r="A19" t="str">
            <v>1.2.c</v>
          </cell>
          <cell r="B19" t="str">
            <v>1-2(c)</v>
          </cell>
          <cell r="C19" t="str">
            <v>Removal of Tree roots and hauling to 15 m distance (61-90 cm dia.)</v>
          </cell>
          <cell r="D19" t="str">
            <v>Removal of Tree roots (61-90 cm dia.)</v>
          </cell>
          <cell r="E19" t="str">
            <v>No</v>
          </cell>
          <cell r="F19">
            <v>260.82</v>
          </cell>
          <cell r="G19">
            <v>0</v>
          </cell>
          <cell r="H19">
            <v>260.82</v>
          </cell>
          <cell r="I19">
            <v>0</v>
          </cell>
          <cell r="J19">
            <v>0</v>
          </cell>
        </row>
        <row r="20">
          <cell r="A20" t="str">
            <v>1.2.d</v>
          </cell>
          <cell r="B20" t="str">
            <v>1-2(d)</v>
          </cell>
          <cell r="C20" t="str">
            <v>Removal of Tree roots and hauling to 15 m distance (91-120 cm dia.)</v>
          </cell>
          <cell r="D20" t="str">
            <v>Removal of Tree roots (91-120 cm dia.)</v>
          </cell>
          <cell r="E20" t="str">
            <v>No</v>
          </cell>
          <cell r="F20">
            <v>260.82</v>
          </cell>
          <cell r="G20">
            <v>0</v>
          </cell>
          <cell r="H20">
            <v>260.82</v>
          </cell>
          <cell r="I20">
            <v>0</v>
          </cell>
          <cell r="J20">
            <v>0</v>
          </cell>
        </row>
        <row r="21">
          <cell r="A21" t="str">
            <v>1.2.e</v>
          </cell>
          <cell r="B21" t="str">
            <v>1-2(e)</v>
          </cell>
          <cell r="C21" t="str">
            <v>Removal of Tree roots and hauling to 15 m distance (121-180 cm dia.)</v>
          </cell>
          <cell r="D21" t="str">
            <v>Removal of Tree roots (121-180 cm dia.)</v>
          </cell>
          <cell r="E21" t="str">
            <v>No</v>
          </cell>
          <cell r="F21">
            <v>1242</v>
          </cell>
          <cell r="G21">
            <v>0</v>
          </cell>
          <cell r="H21">
            <v>1242</v>
          </cell>
          <cell r="I21">
            <v>0</v>
          </cell>
          <cell r="J21">
            <v>0</v>
          </cell>
        </row>
        <row r="22">
          <cell r="A22" t="str">
            <v>1.2.f</v>
          </cell>
          <cell r="B22" t="str">
            <v>1-2(f)</v>
          </cell>
          <cell r="C22" t="str">
            <v>Removal of Tree roots and hauling to 15 m distance (181-240 cm dia.)</v>
          </cell>
          <cell r="D22" t="str">
            <v>Removal of Tree roots (181-240 cm dia.)</v>
          </cell>
          <cell r="E22" t="str">
            <v>No</v>
          </cell>
          <cell r="F22">
            <v>1242</v>
          </cell>
          <cell r="G22">
            <v>0</v>
          </cell>
          <cell r="H22">
            <v>1242</v>
          </cell>
          <cell r="I22">
            <v>0</v>
          </cell>
          <cell r="J22">
            <v>0</v>
          </cell>
        </row>
        <row r="23">
          <cell r="A23" t="str">
            <v>1.2.g</v>
          </cell>
          <cell r="B23" t="str">
            <v>1-2(g)</v>
          </cell>
          <cell r="C23" t="str">
            <v>Removal of Tree roots and hauling to 15 m distance (241-300 cm dia.)</v>
          </cell>
          <cell r="D23" t="str">
            <v>Removal of Tree roots (241-300 cm dia.)</v>
          </cell>
          <cell r="E23" t="str">
            <v>No</v>
          </cell>
          <cell r="F23">
            <v>3063.6</v>
          </cell>
          <cell r="G23">
            <v>0</v>
          </cell>
          <cell r="H23">
            <v>3063.6</v>
          </cell>
          <cell r="I23">
            <v>0</v>
          </cell>
          <cell r="J23">
            <v>0</v>
          </cell>
        </row>
        <row r="24">
          <cell r="A24" t="str">
            <v>1.3</v>
          </cell>
          <cell r="B24" t="str">
            <v>1-3</v>
          </cell>
          <cell r="C24" t="str">
            <v>Cutting thick vegetation, grubbing their roots and disposal 25m far from the construction site [Vegetation circumference &lt;=30 cm and density &gt;15Nos/100 sqm)]</v>
          </cell>
          <cell r="D24" t="str">
            <v>Site Clearance in thick vegetation area</v>
          </cell>
          <cell r="E24" t="str">
            <v>sqm</v>
          </cell>
          <cell r="F24">
            <v>4.1400000000000006</v>
          </cell>
          <cell r="G24">
            <v>0</v>
          </cell>
          <cell r="H24">
            <v>4.1399999999999997</v>
          </cell>
          <cell r="I24">
            <v>0</v>
          </cell>
          <cell r="J24">
            <v>0</v>
          </cell>
        </row>
        <row r="25">
          <cell r="A25" t="str">
            <v>1.4</v>
          </cell>
          <cell r="B25" t="str">
            <v>1-4</v>
          </cell>
          <cell r="C25" t="str">
            <v>Cutting thin vegetation, grubbing their roots and disposal 25m far from the construction site [Vegetation dia &lt;=30 cm and density &gt;15Nos/100 sqm)]</v>
          </cell>
          <cell r="D25" t="str">
            <v>Site Clearance in thin vegetation area</v>
          </cell>
          <cell r="E25" t="str">
            <v>sqm</v>
          </cell>
          <cell r="F25">
            <v>3.1049999999999995</v>
          </cell>
          <cell r="G25">
            <v>0</v>
          </cell>
          <cell r="H25">
            <v>3.1049999999999995</v>
          </cell>
          <cell r="I25">
            <v>0</v>
          </cell>
          <cell r="J25">
            <v>0</v>
          </cell>
        </row>
        <row r="26">
          <cell r="A26" t="str">
            <v>1.8</v>
          </cell>
          <cell r="B26" t="str">
            <v>1-8</v>
          </cell>
          <cell r="C26" t="str">
            <v>Excavation and removal of top soil and hualing outside the construction area</v>
          </cell>
          <cell r="D26" t="str">
            <v xml:space="preserve">Top soil removal </v>
          </cell>
          <cell r="E26" t="str">
            <v>sqm</v>
          </cell>
          <cell r="F26">
            <v>16.560000000000002</v>
          </cell>
          <cell r="G26">
            <v>0</v>
          </cell>
          <cell r="H26">
            <v>16.559999999999999</v>
          </cell>
          <cell r="I26">
            <v>0</v>
          </cell>
          <cell r="J26">
            <v>0</v>
          </cell>
        </row>
        <row r="27">
          <cell r="A27" t="str">
            <v>1.9</v>
          </cell>
          <cell r="B27" t="str">
            <v>1-9+1-10</v>
          </cell>
          <cell r="C27" t="str">
            <v>Spreading dressing and  light compaction of top soil, including hauling from outside the construction area</v>
          </cell>
          <cell r="D27" t="str">
            <v xml:space="preserve">Top soil spreading </v>
          </cell>
          <cell r="E27" t="str">
            <v>sqm</v>
          </cell>
          <cell r="F27">
            <v>4.1400000000000006</v>
          </cell>
          <cell r="G27">
            <v>0</v>
          </cell>
          <cell r="H27">
            <v>4.1399999999999997</v>
          </cell>
          <cell r="I27">
            <v>0</v>
          </cell>
          <cell r="J27">
            <v>0</v>
          </cell>
        </row>
        <row r="29">
          <cell r="C29" t="str">
            <v>EARTH WORK IN EXCAVATION AND FILLING</v>
          </cell>
        </row>
        <row r="30">
          <cell r="A30">
            <v>2.1</v>
          </cell>
          <cell r="B30" t="str">
            <v>2-1</v>
          </cell>
          <cell r="C30" t="str">
            <v xml:space="preserve">Earthwork in excavation [Soft clay &amp; silty soils] including disposal up to 10 m lead and 1.5 m lift </v>
          </cell>
          <cell r="D30" t="str">
            <v>E/W excavation in soft clay and silty soil</v>
          </cell>
          <cell r="E30" t="str">
            <v>cum</v>
          </cell>
          <cell r="F30">
            <v>74.623499999999979</v>
          </cell>
          <cell r="G30">
            <v>0</v>
          </cell>
          <cell r="H30">
            <v>72.449999999999989</v>
          </cell>
          <cell r="I30">
            <v>0</v>
          </cell>
          <cell r="J30">
            <v>2.1734999999999993</v>
          </cell>
        </row>
        <row r="31">
          <cell r="A31">
            <v>2.2000000000000002</v>
          </cell>
          <cell r="B31" t="str">
            <v>2-2</v>
          </cell>
          <cell r="C31" t="str">
            <v xml:space="preserve">Earthwork in excavation [Hard clay &amp; soil mixed with soft moorum stones (up to 30 cm size)] including disposal up to 10 m lead and 1.5 m lift </v>
          </cell>
          <cell r="D31" t="str">
            <v>E/W excavation in hard clay</v>
          </cell>
          <cell r="E31" t="str">
            <v>cum</v>
          </cell>
          <cell r="F31">
            <v>85.283999999999992</v>
          </cell>
          <cell r="G31">
            <v>0</v>
          </cell>
          <cell r="H31">
            <v>82.8</v>
          </cell>
          <cell r="I31">
            <v>0</v>
          </cell>
          <cell r="J31">
            <v>2.484</v>
          </cell>
        </row>
        <row r="32">
          <cell r="A32">
            <v>2.2999999999999998</v>
          </cell>
          <cell r="B32" t="str">
            <v>2-3</v>
          </cell>
          <cell r="C32" t="str">
            <v>Removal of stones and disposal ( up to 10 m lead &amp; 1 m lift )</v>
          </cell>
          <cell r="D32" t="str">
            <v>Removal of stone</v>
          </cell>
          <cell r="E32" t="str">
            <v>cum</v>
          </cell>
          <cell r="F32">
            <v>106.605</v>
          </cell>
          <cell r="G32">
            <v>0</v>
          </cell>
          <cell r="H32">
            <v>103.49999999999999</v>
          </cell>
          <cell r="I32">
            <v>0</v>
          </cell>
          <cell r="J32">
            <v>3.1049999999999995</v>
          </cell>
        </row>
        <row r="33">
          <cell r="A33">
            <v>2.4</v>
          </cell>
          <cell r="B33" t="str">
            <v>2-4</v>
          </cell>
          <cell r="C33" t="str">
            <v xml:space="preserve">Earthwork in excavation [Medium rocks without blasting] including disposal up to 10 m lead and 1.5 m lift </v>
          </cell>
          <cell r="D33" t="str">
            <v>E/W excavation in med. Rock w/o blasting</v>
          </cell>
          <cell r="E33" t="str">
            <v>cum</v>
          </cell>
          <cell r="F33">
            <v>319.81500000000005</v>
          </cell>
          <cell r="G33">
            <v>0</v>
          </cell>
          <cell r="H33">
            <v>310.5</v>
          </cell>
          <cell r="I33">
            <v>0</v>
          </cell>
          <cell r="J33">
            <v>9.3149999999999995</v>
          </cell>
        </row>
        <row r="34">
          <cell r="A34">
            <v>2.5</v>
          </cell>
          <cell r="B34" t="str">
            <v>2-5</v>
          </cell>
          <cell r="C34" t="str">
            <v xml:space="preserve">Earthwork in excavation [Medium rocks with drilling and blasting] including disposal up to 10 m lead and 1.5 m lift </v>
          </cell>
          <cell r="D34" t="str">
            <v>E/W excavation in med. Rock with blasting</v>
          </cell>
          <cell r="E34" t="str">
            <v>cum</v>
          </cell>
          <cell r="F34">
            <v>263.34712500000001</v>
          </cell>
          <cell r="G34">
            <v>9.4874999999999989</v>
          </cell>
          <cell r="H34">
            <v>206.99999999999997</v>
          </cell>
          <cell r="I34">
            <v>0</v>
          </cell>
          <cell r="J34">
            <v>46.859625000000001</v>
          </cell>
        </row>
        <row r="35">
          <cell r="A35" t="str">
            <v>2.6.a</v>
          </cell>
          <cell r="B35" t="str">
            <v>2-6(a)</v>
          </cell>
          <cell r="C35" t="str">
            <v>Earthwork in excavation [Hard rocks without blasting] including disposal up to 10 m lead and 1.5 m lift (without chiseling)</v>
          </cell>
          <cell r="D35" t="str">
            <v>E/W excavation in hard Rock w/o blasting and w/o chiseling</v>
          </cell>
          <cell r="E35" t="str">
            <v>cum</v>
          </cell>
          <cell r="F35">
            <v>533.02499999999998</v>
          </cell>
          <cell r="G35">
            <v>0</v>
          </cell>
          <cell r="H35">
            <v>517.5</v>
          </cell>
          <cell r="I35">
            <v>0</v>
          </cell>
          <cell r="J35">
            <v>15.524999999999999</v>
          </cell>
        </row>
        <row r="36">
          <cell r="A36" t="str">
            <v>2.6.b</v>
          </cell>
          <cell r="B36" t="str">
            <v>2-6(b)</v>
          </cell>
          <cell r="C36" t="str">
            <v>Earthwork in excavation [Hard rocks without blasting] including disposal up to 10 m lead and 1.5 m lift (with chiseling)</v>
          </cell>
          <cell r="D36" t="str">
            <v>E/W excavation in hard Rock w/o blasting and with chiseling</v>
          </cell>
          <cell r="E36" t="str">
            <v>cum</v>
          </cell>
          <cell r="F36">
            <v>2579.8410000000003</v>
          </cell>
          <cell r="G36">
            <v>0</v>
          </cell>
          <cell r="H36">
            <v>2504.6999999999998</v>
          </cell>
          <cell r="I36">
            <v>0</v>
          </cell>
          <cell r="J36">
            <v>75.140999999999991</v>
          </cell>
        </row>
        <row r="37">
          <cell r="A37">
            <v>2.7</v>
          </cell>
          <cell r="B37" t="str">
            <v>2-7</v>
          </cell>
          <cell r="C37" t="str">
            <v>Earthwork in excavation [Hard rocks with drilling and blasting] including disposal up to 10 m lead and 1.5 m lift</v>
          </cell>
          <cell r="D37" t="str">
            <v>E/W excavation in hard Rock with blasting</v>
          </cell>
          <cell r="E37" t="str">
            <v>cum</v>
          </cell>
          <cell r="F37">
            <v>195.316</v>
          </cell>
          <cell r="G37">
            <v>37.949999999999996</v>
          </cell>
          <cell r="H37">
            <v>103.49999999999999</v>
          </cell>
          <cell r="I37">
            <v>0</v>
          </cell>
          <cell r="J37">
            <v>53.865999999999993</v>
          </cell>
        </row>
        <row r="38">
          <cell r="A38">
            <v>2.8</v>
          </cell>
          <cell r="B38" t="str">
            <v>2-8</v>
          </cell>
          <cell r="C38" t="str">
            <v>Breaking of boulders by drilling &amp; blasting, disposal up to 10m lead &amp; 1.5m lift )</v>
          </cell>
          <cell r="D38" t="str">
            <v>Breaking boulder by drilling and blasting</v>
          </cell>
          <cell r="E38" t="str">
            <v>cum</v>
          </cell>
          <cell r="F38">
            <v>395.01637499999998</v>
          </cell>
          <cell r="G38">
            <v>9.4874999999999989</v>
          </cell>
          <cell r="H38">
            <v>346.72499999999997</v>
          </cell>
          <cell r="I38">
            <v>0</v>
          </cell>
          <cell r="J38">
            <v>38.803874999999998</v>
          </cell>
        </row>
        <row r="39">
          <cell r="A39">
            <v>2.9</v>
          </cell>
          <cell r="B39" t="str">
            <v>2-9</v>
          </cell>
          <cell r="C39" t="str">
            <v>Excavation for pit on soft soils, disposal ( up to 10m lead &amp; 1.5m lift )</v>
          </cell>
          <cell r="D39" t="str">
            <v>E/W Excavation of soft soil</v>
          </cell>
          <cell r="E39" t="str">
            <v>cum</v>
          </cell>
          <cell r="F39">
            <v>106.605</v>
          </cell>
          <cell r="G39">
            <v>0</v>
          </cell>
          <cell r="H39">
            <v>103.49999999999999</v>
          </cell>
          <cell r="I39">
            <v>0</v>
          </cell>
          <cell r="J39">
            <v>3.1049999999999995</v>
          </cell>
        </row>
        <row r="40">
          <cell r="A40" t="str">
            <v>2.10</v>
          </cell>
          <cell r="B40" t="str">
            <v>2-10</v>
          </cell>
          <cell r="C40" t="str">
            <v>Excavation for pit in fractured and soft rocks, disposal ( up to 10m lead and 1.5m lift )</v>
          </cell>
          <cell r="D40" t="str">
            <v>E/W Excavation of fractured and soft rock</v>
          </cell>
          <cell r="E40" t="str">
            <v>cum</v>
          </cell>
          <cell r="F40">
            <v>266.51249999999999</v>
          </cell>
          <cell r="G40">
            <v>0</v>
          </cell>
          <cell r="H40">
            <v>258.75</v>
          </cell>
          <cell r="I40">
            <v>0</v>
          </cell>
          <cell r="J40">
            <v>7.7624999999999993</v>
          </cell>
        </row>
        <row r="41">
          <cell r="A41" t="str">
            <v>2.11</v>
          </cell>
          <cell r="B41" t="str">
            <v>2-11</v>
          </cell>
          <cell r="C41" t="str">
            <v>Excavation for pit in medium rocks using blasting, disposal ( up to 10m lead and 1.5m lift )</v>
          </cell>
          <cell r="D41" t="str">
            <v>E/W Excavation of med. Rock with blasting</v>
          </cell>
          <cell r="E41" t="str">
            <v>cum</v>
          </cell>
          <cell r="F41">
            <v>369.95212499999997</v>
          </cell>
          <cell r="G41">
            <v>9.4874999999999989</v>
          </cell>
          <cell r="H41">
            <v>310.5</v>
          </cell>
          <cell r="I41">
            <v>0</v>
          </cell>
          <cell r="J41">
            <v>49.964625000000005</v>
          </cell>
        </row>
        <row r="42">
          <cell r="A42">
            <v>2.12</v>
          </cell>
          <cell r="B42" t="str">
            <v>2-12</v>
          </cell>
          <cell r="C42" t="str">
            <v>Excavation for ditch in hard soil with disposal (up to 10m lead and 1.5 m lift)</v>
          </cell>
          <cell r="D42" t="str">
            <v>E/W Excavation for ditch in hard soil</v>
          </cell>
          <cell r="E42" t="str">
            <v>cum</v>
          </cell>
          <cell r="F42">
            <v>133.25624999999999</v>
          </cell>
          <cell r="G42">
            <v>0</v>
          </cell>
          <cell r="H42">
            <v>129.375</v>
          </cell>
          <cell r="I42">
            <v>0</v>
          </cell>
          <cell r="J42">
            <v>3.8812499999999996</v>
          </cell>
        </row>
        <row r="43">
          <cell r="A43">
            <v>2.13</v>
          </cell>
          <cell r="B43" t="str">
            <v>2-13</v>
          </cell>
          <cell r="C43" t="str">
            <v xml:space="preserve">Excavation for trench in hard rocks with drilling &amp; blasting with disposal (up to 10m lead and 1.5 m lift) </v>
          </cell>
          <cell r="D43" t="str">
            <v>E/W Excavation for ditch in hard rock with blasting</v>
          </cell>
          <cell r="E43" t="str">
            <v>cum</v>
          </cell>
          <cell r="F43">
            <v>539.11712499999999</v>
          </cell>
          <cell r="G43">
            <v>9.4874999999999989</v>
          </cell>
          <cell r="H43">
            <v>465.74999999999994</v>
          </cell>
          <cell r="I43">
            <v>0</v>
          </cell>
          <cell r="J43">
            <v>63.879624999999997</v>
          </cell>
        </row>
        <row r="44">
          <cell r="A44">
            <v>2.14</v>
          </cell>
          <cell r="B44" t="str">
            <v>2-14</v>
          </cell>
          <cell r="C44" t="str">
            <v>Excavation for foundation, drain, pipelines etc. in boulder mixed soils with disposal (up to 10m lead and 1.5 m lift)</v>
          </cell>
          <cell r="D44" t="str">
            <v>E/W Excavation for foundation, drain, pipelines etc. in BM Soil</v>
          </cell>
          <cell r="E44" t="str">
            <v>cum</v>
          </cell>
          <cell r="F44">
            <v>169.50194999999999</v>
          </cell>
          <cell r="G44">
            <v>0</v>
          </cell>
          <cell r="H44">
            <v>164.56499999999997</v>
          </cell>
          <cell r="I44">
            <v>0</v>
          </cell>
          <cell r="J44">
            <v>4.9369499999999986</v>
          </cell>
        </row>
        <row r="45">
          <cell r="A45" t="str">
            <v>2.15.a</v>
          </cell>
          <cell r="B45" t="str">
            <v>2-15(a)</v>
          </cell>
          <cell r="C45" t="str">
            <v xml:space="preserve">Excavation for foundation, drain, pipelines etc. in soft moorum rocks with disposal (up to 10m lead and 1.5 m lift) </v>
          </cell>
          <cell r="D45" t="str">
            <v>E/W Excavation for foundation, drain, pipelines etc. in soft rock</v>
          </cell>
          <cell r="E45" t="str">
            <v>cum</v>
          </cell>
          <cell r="F45">
            <v>319.81500000000005</v>
          </cell>
          <cell r="G45">
            <v>0</v>
          </cell>
          <cell r="H45">
            <v>310.5</v>
          </cell>
          <cell r="I45">
            <v>0</v>
          </cell>
          <cell r="J45">
            <v>9.3149999999999995</v>
          </cell>
        </row>
        <row r="46">
          <cell r="A46" t="str">
            <v>2.15.b</v>
          </cell>
          <cell r="B46" t="str">
            <v>2-15(b)</v>
          </cell>
          <cell r="C46" t="str">
            <v xml:space="preserve">Excavation for foundation, drain, pipelines etc. in hard rock without blasting with disposal (up to 10m lead and 1.5 m lift) </v>
          </cell>
          <cell r="D46" t="str">
            <v>E/W Excavation for foundation, drain, pipelines etc. in hard rock w/o blasting</v>
          </cell>
          <cell r="E46" t="str">
            <v>cum</v>
          </cell>
          <cell r="F46">
            <v>479.72249999999997</v>
          </cell>
          <cell r="G46">
            <v>0</v>
          </cell>
          <cell r="H46">
            <v>465.74999999999994</v>
          </cell>
          <cell r="I46">
            <v>0</v>
          </cell>
          <cell r="J46">
            <v>13.9725</v>
          </cell>
        </row>
        <row r="47">
          <cell r="A47" t="str">
            <v>2.17.a</v>
          </cell>
          <cell r="B47" t="str">
            <v>2-17(a)</v>
          </cell>
          <cell r="C47" t="str">
            <v xml:space="preserve">Excavation for box cutting in soft soil including disposal up to 10m lead &amp; 1.5m lift. </v>
          </cell>
          <cell r="D47" t="str">
            <v>E/W Excavation for box cutting in soft soil</v>
          </cell>
          <cell r="E47" t="str">
            <v>cum</v>
          </cell>
          <cell r="F47">
            <v>83.151899999999998</v>
          </cell>
          <cell r="G47">
            <v>0</v>
          </cell>
          <cell r="H47">
            <v>80.73</v>
          </cell>
          <cell r="I47">
            <v>0</v>
          </cell>
          <cell r="J47">
            <v>2.4218999999999995</v>
          </cell>
        </row>
        <row r="48">
          <cell r="A48" t="str">
            <v>2.17.b</v>
          </cell>
          <cell r="B48" t="str">
            <v>2-17(b)</v>
          </cell>
          <cell r="C48" t="str">
            <v xml:space="preserve">Excavation for box cutting in hard soil including disposal up to 10m lead &amp; 1.5m lift. </v>
          </cell>
          <cell r="D48" t="str">
            <v>E/W Excavation for box cutting in hard soil</v>
          </cell>
          <cell r="E48" t="str">
            <v>cum</v>
          </cell>
          <cell r="F48">
            <v>100.20869999999999</v>
          </cell>
          <cell r="G48">
            <v>0</v>
          </cell>
          <cell r="H48">
            <v>97.289999999999992</v>
          </cell>
          <cell r="I48">
            <v>0</v>
          </cell>
          <cell r="J48">
            <v>2.9186999999999994</v>
          </cell>
        </row>
        <row r="49">
          <cell r="A49" t="str">
            <v>2.18</v>
          </cell>
          <cell r="B49" t="str">
            <v>2-18</v>
          </cell>
          <cell r="C49" t="str">
            <v>Dry foundation box cutting in soft moorum rocks, disposal ( up to 10m lead and 1.5m lift)</v>
          </cell>
          <cell r="D49" t="str">
            <v>E/W Excavation for box cutting in soft rock</v>
          </cell>
          <cell r="E49" t="str">
            <v>cum</v>
          </cell>
          <cell r="F49">
            <v>213.21</v>
          </cell>
          <cell r="G49">
            <v>0</v>
          </cell>
          <cell r="H49">
            <v>206.99999999999997</v>
          </cell>
          <cell r="I49">
            <v>0</v>
          </cell>
          <cell r="J49">
            <v>6.2099999999999991</v>
          </cell>
        </row>
        <row r="50">
          <cell r="A50" t="str">
            <v>2.19</v>
          </cell>
          <cell r="B50" t="str">
            <v>2-19</v>
          </cell>
          <cell r="C50" t="str">
            <v>Box cutting in medium rocks including disposal up to 10m lead and 1.5m lift</v>
          </cell>
          <cell r="D50" t="str">
            <v>E/W Excavation for box cutting in med. rock</v>
          </cell>
          <cell r="E50" t="str">
            <v>cum</v>
          </cell>
          <cell r="F50">
            <v>266.51249999999999</v>
          </cell>
          <cell r="G50">
            <v>0</v>
          </cell>
          <cell r="H50">
            <v>258.75</v>
          </cell>
          <cell r="I50">
            <v>0</v>
          </cell>
          <cell r="J50">
            <v>7.7624999999999993</v>
          </cell>
        </row>
        <row r="51">
          <cell r="A51" t="str">
            <v>2.20</v>
          </cell>
          <cell r="B51" t="str">
            <v>2-20</v>
          </cell>
          <cell r="C51" t="str">
            <v>Dry foundation excavation in hard gravel mixed soils ( dia of  gravel  &gt; 10cm ) with disposal up to 10m lead and 1.5m lift</v>
          </cell>
          <cell r="D51" t="str">
            <v>Foundation excavation for foundation in hard gravel (&gt;10cm) mixed soil</v>
          </cell>
          <cell r="E51" t="str">
            <v>cum</v>
          </cell>
          <cell r="F51">
            <v>180.16244999999998</v>
          </cell>
          <cell r="G51">
            <v>0</v>
          </cell>
          <cell r="H51">
            <v>174.91499999999999</v>
          </cell>
          <cell r="I51">
            <v>0</v>
          </cell>
          <cell r="J51">
            <v>5.2474499999999988</v>
          </cell>
        </row>
        <row r="52">
          <cell r="A52" t="str">
            <v>2.21</v>
          </cell>
          <cell r="B52" t="str">
            <v>2-21</v>
          </cell>
          <cell r="C52" t="str">
            <v>Dry foundation excavation in hard gravel mixed soils ( dia of  gravel  &lt; 10cm ) with disposal up to 10m lead and 1.5m lift</v>
          </cell>
          <cell r="D52" t="str">
            <v>Foundation excavation for foundation in hard gravel (&lt;10cm) mixed soil</v>
          </cell>
          <cell r="E52" t="str">
            <v>cum</v>
          </cell>
          <cell r="F52">
            <v>144.9828</v>
          </cell>
          <cell r="G52">
            <v>0</v>
          </cell>
          <cell r="H52">
            <v>140.76</v>
          </cell>
          <cell r="I52">
            <v>0</v>
          </cell>
          <cell r="J52">
            <v>4.2227999999999994</v>
          </cell>
        </row>
        <row r="53">
          <cell r="A53" t="str">
            <v>2.22</v>
          </cell>
          <cell r="B53" t="str">
            <v>2-22</v>
          </cell>
          <cell r="C53" t="str">
            <v>Foundation excavation under shallow water depth in hard gravel mixed soil ( dia of gravel &gt;10cm ) with disposal up to 10m lead and 1.5m lift</v>
          </cell>
          <cell r="D53" t="str">
            <v>Foundation excavation under shallow water for foundation in hard gravel (&gt;10cm) mixed soil</v>
          </cell>
          <cell r="E53" t="str">
            <v>cum</v>
          </cell>
          <cell r="F53">
            <v>266.51249999999999</v>
          </cell>
          <cell r="G53">
            <v>0</v>
          </cell>
          <cell r="H53">
            <v>258.75</v>
          </cell>
          <cell r="I53">
            <v>0</v>
          </cell>
          <cell r="J53">
            <v>7.7624999999999993</v>
          </cell>
        </row>
        <row r="54">
          <cell r="A54" t="str">
            <v>2.23</v>
          </cell>
          <cell r="B54" t="str">
            <v>2-23</v>
          </cell>
          <cell r="C54" t="str">
            <v>Foundation excavation under shallow water depth in hard gravel mixed soil ( dia of gravel &lt;10cm ) with disposal up to 10m lead and 1.5m lift</v>
          </cell>
          <cell r="D54" t="str">
            <v>Foundation excavation under shallow water for foundation in hard gravel (&lt;10cm) mixed soil</v>
          </cell>
          <cell r="E54" t="str">
            <v>cum</v>
          </cell>
          <cell r="F54">
            <v>245.19149999999996</v>
          </cell>
          <cell r="G54">
            <v>0</v>
          </cell>
          <cell r="H54">
            <v>238.04999999999995</v>
          </cell>
          <cell r="I54">
            <v>0</v>
          </cell>
          <cell r="J54">
            <v>7.141499999999998</v>
          </cell>
        </row>
        <row r="55">
          <cell r="A55" t="str">
            <v>2.24(a)</v>
          </cell>
          <cell r="B55" t="str">
            <v>2-24(a)</v>
          </cell>
          <cell r="C55" t="str">
            <v>Foundation excavation under water in boulder and gravel mixed soil including disposal up to 10m lead (1m deep excavation &amp; 4m lift)</v>
          </cell>
          <cell r="D55" t="str">
            <v>Foundation excavation under 1m deep water for foundation in GBM Soil</v>
          </cell>
          <cell r="E55" t="str">
            <v>cum</v>
          </cell>
          <cell r="F55">
            <v>374.18354999999997</v>
          </cell>
          <cell r="G55">
            <v>0</v>
          </cell>
          <cell r="H55">
            <v>363.28499999999997</v>
          </cell>
          <cell r="I55">
            <v>0</v>
          </cell>
          <cell r="J55">
            <v>10.898549999999997</v>
          </cell>
        </row>
        <row r="56">
          <cell r="A56" t="str">
            <v>2.24(a)</v>
          </cell>
          <cell r="B56" t="str">
            <v>2-24(b)</v>
          </cell>
          <cell r="C56" t="str">
            <v>Foundation excavation under water in boulder and gravel mixed soil including disposal up to 10m lead (2m deep excavation &amp; 4m lift)</v>
          </cell>
          <cell r="D56" t="str">
            <v>Foundation excavation under 2m deep water for foundation in GBM Soil</v>
          </cell>
          <cell r="E56" t="str">
            <v>cum</v>
          </cell>
          <cell r="F56">
            <v>374.18354999999997</v>
          </cell>
          <cell r="G56">
            <v>0</v>
          </cell>
          <cell r="H56">
            <v>363.28499999999997</v>
          </cell>
          <cell r="I56">
            <v>0</v>
          </cell>
          <cell r="J56">
            <v>10.898549999999997</v>
          </cell>
        </row>
        <row r="57">
          <cell r="A57" t="str">
            <v>2.24(c)</v>
          </cell>
          <cell r="B57" t="str">
            <v>2-24(c)</v>
          </cell>
          <cell r="C57" t="str">
            <v>Foundation excavation under water in boulder and gravel mixed soil including disposal up to 10m lead (3m deep excavation &amp; 4m lift)</v>
          </cell>
          <cell r="D57" t="str">
            <v>Foundation excavation under 3m deep water for foundation in GBM Soil</v>
          </cell>
          <cell r="E57" t="str">
            <v>cum</v>
          </cell>
          <cell r="F57">
            <v>394.43850000000003</v>
          </cell>
          <cell r="G57">
            <v>0</v>
          </cell>
          <cell r="H57">
            <v>382.95</v>
          </cell>
          <cell r="I57">
            <v>0</v>
          </cell>
          <cell r="J57">
            <v>11.4885</v>
          </cell>
        </row>
        <row r="58">
          <cell r="A58" t="str">
            <v>2.24(d)</v>
          </cell>
          <cell r="B58" t="str">
            <v>2-24(d)</v>
          </cell>
          <cell r="C58" t="str">
            <v>Foundation excavation under water in boulder and gravel mixed soil including disposal up to 10m lead (4m deep excavation &amp; 4m lift)</v>
          </cell>
          <cell r="D58" t="str">
            <v>Foundation excavation under 4m deep water for foundation in GBM Soil</v>
          </cell>
          <cell r="E58" t="str">
            <v>cum</v>
          </cell>
          <cell r="F58">
            <v>405.09899999999999</v>
          </cell>
          <cell r="G58">
            <v>0</v>
          </cell>
          <cell r="H58">
            <v>393.29999999999995</v>
          </cell>
          <cell r="I58">
            <v>0</v>
          </cell>
          <cell r="J58">
            <v>11.798999999999999</v>
          </cell>
        </row>
        <row r="59">
          <cell r="A59" t="str">
            <v>2.24(e)</v>
          </cell>
          <cell r="B59" t="str">
            <v>2-24(e)</v>
          </cell>
          <cell r="C59" t="str">
            <v>Foundation excavation under water in boulder and gravel mixed soil including disposal up to 10m lead (5m deep excavation &amp; 7.5m lift)</v>
          </cell>
          <cell r="D59" t="str">
            <v>Foundation excavation under 5m deep water for foundation in GBM Soil</v>
          </cell>
          <cell r="E59" t="str">
            <v>cum</v>
          </cell>
          <cell r="F59">
            <v>447.74099999999999</v>
          </cell>
          <cell r="G59">
            <v>0</v>
          </cell>
          <cell r="H59">
            <v>434.7</v>
          </cell>
          <cell r="I59">
            <v>0</v>
          </cell>
          <cell r="J59">
            <v>13.040999999999999</v>
          </cell>
        </row>
        <row r="60">
          <cell r="A60" t="str">
            <v>2.24(f)</v>
          </cell>
          <cell r="B60" t="str">
            <v>2-24(f)</v>
          </cell>
          <cell r="C60" t="str">
            <v>Foundation excavation under water in boulder and gravel mixed soil including disposal up to 10m lead (6m deep excavation &amp; 7.5m lift)</v>
          </cell>
          <cell r="D60" t="str">
            <v>Foundation excavation under 6m deep water for foundation in GBM Soil</v>
          </cell>
          <cell r="E60" t="str">
            <v>cum</v>
          </cell>
          <cell r="F60">
            <v>458.4015</v>
          </cell>
          <cell r="G60">
            <v>0</v>
          </cell>
          <cell r="H60">
            <v>445.04999999999995</v>
          </cell>
          <cell r="I60">
            <v>0</v>
          </cell>
          <cell r="J60">
            <v>13.351499999999998</v>
          </cell>
        </row>
        <row r="61">
          <cell r="A61" t="str">
            <v>2.25.a</v>
          </cell>
          <cell r="B61" t="str">
            <v>2-25(a)</v>
          </cell>
          <cell r="C61" t="str">
            <v>Filling with ordinary soils in 15cm thick layers and hand compaction with sprinkling water (haulage distance 10m)</v>
          </cell>
          <cell r="D61" t="str">
            <v>Filling with ordinary soils with compaction and sprinkling of water</v>
          </cell>
          <cell r="E61" t="str">
            <v>cum</v>
          </cell>
          <cell r="F61">
            <v>53.302500000000002</v>
          </cell>
          <cell r="G61">
            <v>0</v>
          </cell>
          <cell r="H61">
            <v>51.749999999999993</v>
          </cell>
          <cell r="I61">
            <v>0</v>
          </cell>
          <cell r="J61">
            <v>1.5524999999999998</v>
          </cell>
        </row>
        <row r="62">
          <cell r="A62" t="str">
            <v>2.25.b</v>
          </cell>
          <cell r="B62" t="str">
            <v>2-25(b)</v>
          </cell>
          <cell r="C62" t="str">
            <v xml:space="preserve">Filling with ordinary soils in 15cm thick layers and hand compaction without sprinkling water (haulage distance 10m ) </v>
          </cell>
          <cell r="D62" t="str">
            <v xml:space="preserve">Filling with ordinary soils with compaction </v>
          </cell>
          <cell r="E62" t="str">
            <v>cum</v>
          </cell>
          <cell r="F62">
            <v>26.651250000000001</v>
          </cell>
          <cell r="G62">
            <v>0</v>
          </cell>
          <cell r="H62">
            <v>25.874999999999996</v>
          </cell>
          <cell r="I62">
            <v>0</v>
          </cell>
          <cell r="J62">
            <v>0.77624999999999988</v>
          </cell>
        </row>
        <row r="63">
          <cell r="A63" t="str">
            <v>2.26</v>
          </cell>
          <cell r="B63" t="str">
            <v>2-26</v>
          </cell>
          <cell r="C63" t="str">
            <v>Filling of stones in 40cm thick layers, sprinkling water and hand compaction ( haulage distance 10m )</v>
          </cell>
          <cell r="D63" t="str">
            <v>Stone filling</v>
          </cell>
          <cell r="E63" t="str">
            <v>cum</v>
          </cell>
          <cell r="F63">
            <v>106.605</v>
          </cell>
          <cell r="G63">
            <v>0</v>
          </cell>
          <cell r="H63">
            <v>103.49999999999999</v>
          </cell>
          <cell r="I63">
            <v>0</v>
          </cell>
          <cell r="J63">
            <v>3.1049999999999995</v>
          </cell>
        </row>
        <row r="64">
          <cell r="A64" t="str">
            <v>2.29</v>
          </cell>
          <cell r="B64" t="str">
            <v>2-29</v>
          </cell>
          <cell r="C64" t="str">
            <v>Foundation excavation in ordinary soils under shallow water depth ( 10m lead &amp; 1.5m lift )</v>
          </cell>
          <cell r="D64" t="str">
            <v>Foundation excavation under shallow water for foundation in ordinary soil</v>
          </cell>
          <cell r="E64" t="str">
            <v>cum</v>
          </cell>
          <cell r="F64">
            <v>239.86124999999998</v>
          </cell>
          <cell r="G64">
            <v>0</v>
          </cell>
          <cell r="H64">
            <v>232.87499999999997</v>
          </cell>
          <cell r="I64">
            <v>0</v>
          </cell>
          <cell r="J64">
            <v>6.9862500000000001</v>
          </cell>
        </row>
        <row r="65">
          <cell r="A65" t="str">
            <v>2.30</v>
          </cell>
          <cell r="B65" t="str">
            <v>2-30</v>
          </cell>
          <cell r="C65" t="str">
            <v>Foundation excavation in soft rocks under shallow water depth ( 10m lead &amp; 1.5m lift )</v>
          </cell>
          <cell r="D65" t="str">
            <v>Foundation excavation under shallow water for foundation in soft rock</v>
          </cell>
          <cell r="E65" t="str">
            <v>cum</v>
          </cell>
          <cell r="F65">
            <v>354.99464999999998</v>
          </cell>
          <cell r="G65">
            <v>0</v>
          </cell>
          <cell r="H65">
            <v>344.65499999999997</v>
          </cell>
          <cell r="I65">
            <v>0</v>
          </cell>
          <cell r="J65">
            <v>10.339649999999999</v>
          </cell>
        </row>
        <row r="66">
          <cell r="A66" t="str">
            <v>2.31</v>
          </cell>
          <cell r="B66" t="str">
            <v>2-31</v>
          </cell>
          <cell r="C66" t="str">
            <v>Excavation of foundation in hard rocks under shallow water depth using drilling &amp; blasting, disposal ( up to 10m lead &amp; 1.5m lift )</v>
          </cell>
          <cell r="D66" t="str">
            <v>Foundation excavation under shallow water for foundation in hard rock with blasting</v>
          </cell>
          <cell r="E66" t="str">
            <v>cum</v>
          </cell>
          <cell r="F66">
            <v>815.15679999999998</v>
          </cell>
          <cell r="G66">
            <v>9.4874999999999989</v>
          </cell>
          <cell r="H66">
            <v>755.55</v>
          </cell>
          <cell r="I66">
            <v>0</v>
          </cell>
          <cell r="J66">
            <v>50.119299999999996</v>
          </cell>
        </row>
        <row r="67">
          <cell r="A67" t="str">
            <v>2.39.a</v>
          </cell>
          <cell r="B67" t="str">
            <v>2-39(a)</v>
          </cell>
          <cell r="C67" t="str">
            <v>Filling soft soils in pipeline trenches in 20cm thick layers including hand compaction &amp; water sprinkling</v>
          </cell>
          <cell r="D67" t="str">
            <v>Filling soft soil in pipeline trench with compaction and sprinkling of water</v>
          </cell>
          <cell r="E67" t="str">
            <v>cum</v>
          </cell>
          <cell r="F67">
            <v>53.302500000000002</v>
          </cell>
          <cell r="G67">
            <v>0</v>
          </cell>
          <cell r="H67">
            <v>51.749999999999993</v>
          </cell>
          <cell r="I67">
            <v>0</v>
          </cell>
          <cell r="J67">
            <v>1.5524999999999998</v>
          </cell>
        </row>
        <row r="68">
          <cell r="A68" t="str">
            <v>2.39.b</v>
          </cell>
          <cell r="B68" t="str">
            <v>2-39(b)</v>
          </cell>
          <cell r="C68" t="str">
            <v>Filling medium soil in pipeline trenches in 20cm thick layers including hand compaction &amp; water sprinkling</v>
          </cell>
          <cell r="D68" t="str">
            <v>Filling med. soil in pipeline trench with compaction and sprinkling of water</v>
          </cell>
          <cell r="E68" t="str">
            <v>cum</v>
          </cell>
          <cell r="F68">
            <v>58.632750000000009</v>
          </cell>
          <cell r="G68">
            <v>0</v>
          </cell>
          <cell r="H68">
            <v>56.925000000000004</v>
          </cell>
          <cell r="I68">
            <v>0</v>
          </cell>
          <cell r="J68">
            <v>1.7077499999999999</v>
          </cell>
        </row>
        <row r="69">
          <cell r="A69" t="str">
            <v>2.39.c</v>
          </cell>
          <cell r="B69" t="str">
            <v>2-39(c)</v>
          </cell>
          <cell r="C69" t="str">
            <v>Filling hard soils in pipeline trenches in 20cm thick layers including hand compaction &amp; water sprinkling</v>
          </cell>
          <cell r="D69" t="str">
            <v>Filling hard soil in pipeline trench with compaction and sprinkling of water</v>
          </cell>
          <cell r="E69" t="str">
            <v>cum</v>
          </cell>
          <cell r="F69">
            <v>67.161150000000006</v>
          </cell>
          <cell r="G69">
            <v>0</v>
          </cell>
          <cell r="H69">
            <v>65.204999999999998</v>
          </cell>
          <cell r="I69">
            <v>0</v>
          </cell>
          <cell r="J69">
            <v>1.9561499999999998</v>
          </cell>
        </row>
        <row r="70">
          <cell r="A70" t="str">
            <v>2.39.d</v>
          </cell>
          <cell r="B70" t="str">
            <v>2-39(d)</v>
          </cell>
          <cell r="C70" t="str">
            <v>Filling gravel boulder mixed soil in pipeline trenches in 20cm thick layers including hand compaction &amp; water sprinkling</v>
          </cell>
          <cell r="D70" t="str">
            <v>Filling GBM soil in pipeline trench with compaction and sprinkling of water</v>
          </cell>
          <cell r="E70" t="str">
            <v>cum</v>
          </cell>
          <cell r="F70">
            <v>63.962999999999994</v>
          </cell>
          <cell r="G70">
            <v>0</v>
          </cell>
          <cell r="H70">
            <v>62.099999999999994</v>
          </cell>
          <cell r="I70">
            <v>0</v>
          </cell>
          <cell r="J70">
            <v>1.8629999999999998</v>
          </cell>
        </row>
        <row r="71">
          <cell r="A71" t="str">
            <v>2.39.e</v>
          </cell>
          <cell r="B71" t="str">
            <v>2-39(e)</v>
          </cell>
          <cell r="C71" t="str">
            <v>Filling medium rocks in pipeline trenches in 20cm thick layers including hand compaction &amp; water sprinkling</v>
          </cell>
          <cell r="D71" t="str">
            <v>Filling medi. rock in pipeline trench with compaction and sprinkling of water</v>
          </cell>
          <cell r="E71" t="str">
            <v>cum</v>
          </cell>
          <cell r="F71">
            <v>117.26550000000002</v>
          </cell>
          <cell r="G71">
            <v>0</v>
          </cell>
          <cell r="H71">
            <v>113.85000000000001</v>
          </cell>
          <cell r="I71">
            <v>0</v>
          </cell>
          <cell r="J71">
            <v>3.4154999999999998</v>
          </cell>
        </row>
        <row r="72">
          <cell r="A72" t="str">
            <v>2.39.f</v>
          </cell>
          <cell r="B72" t="str">
            <v>2-39(f)</v>
          </cell>
          <cell r="C72" t="str">
            <v>Filling hard rocks in trenches</v>
          </cell>
          <cell r="D72" t="str">
            <v>Filling hard rocks in trenches</v>
          </cell>
          <cell r="E72" t="str">
            <v>cum</v>
          </cell>
          <cell r="F72">
            <v>749.76549999999997</v>
          </cell>
          <cell r="G72">
            <v>0</v>
          </cell>
          <cell r="H72">
            <v>113.85000000000001</v>
          </cell>
          <cell r="I72">
            <v>632.5</v>
          </cell>
          <cell r="J72">
            <v>3.4154999999999998</v>
          </cell>
        </row>
        <row r="73">
          <cell r="A73" t="str">
            <v>2.42</v>
          </cell>
          <cell r="B73" t="str">
            <v>2-42</v>
          </cell>
          <cell r="C73" t="str">
            <v>Sand filling works including water sprinkling &amp; hand compaction (excluding sand)</v>
          </cell>
          <cell r="D73" t="str">
            <v>Sand filling in pipeline trench with compaction and sprinkling of water</v>
          </cell>
          <cell r="E73" t="str">
            <v>cum</v>
          </cell>
          <cell r="F73">
            <v>580.62350000000004</v>
          </cell>
          <cell r="G73">
            <v>0</v>
          </cell>
          <cell r="H73">
            <v>72.449999999999989</v>
          </cell>
          <cell r="I73">
            <v>506</v>
          </cell>
          <cell r="J73">
            <v>2.1734999999999993</v>
          </cell>
        </row>
        <row r="75">
          <cell r="C75" t="str">
            <v>BRICK MASONRY WORKS</v>
          </cell>
        </row>
        <row r="76">
          <cell r="A76" t="str">
            <v>5.1.a.1</v>
          </cell>
          <cell r="B76" t="str">
            <v>5-1(a)1</v>
          </cell>
          <cell r="C76" t="str">
            <v>Machine made brick masonry works in 1:3 cement sand mortar along with supplying bricks, making cement mortar &amp; construction of brick walls including haulage distance up to 30m</v>
          </cell>
          <cell r="D76" t="str">
            <v xml:space="preserve">Machine made brick masonry works in 1:3 cement sand mortar </v>
          </cell>
          <cell r="E76" t="str">
            <v>cum</v>
          </cell>
          <cell r="F76">
            <v>1587.8886363636364</v>
          </cell>
          <cell r="G76">
            <v>284.625</v>
          </cell>
          <cell r="H76">
            <v>227.70000000000002</v>
          </cell>
          <cell r="I76">
            <v>124.19999999999999</v>
          </cell>
          <cell r="J76">
            <v>951.36363636363626</v>
          </cell>
        </row>
        <row r="77">
          <cell r="A77" t="str">
            <v>5.1.a.2</v>
          </cell>
          <cell r="B77" t="str">
            <v>5-1(a)2</v>
          </cell>
          <cell r="C77" t="str">
            <v>Machine made brick masonry works in 1:4 cement sand mortar along with supplying bricks, making cement mortar &amp; construction of brick walls including haulage distance up to 30m</v>
          </cell>
          <cell r="D77" t="str">
            <v xml:space="preserve">Machine made brick masonry works in 1:4 cement sand mortar </v>
          </cell>
          <cell r="E77" t="str">
            <v>cum</v>
          </cell>
          <cell r="F77">
            <v>1368.3431818181821</v>
          </cell>
          <cell r="G77">
            <v>284.625</v>
          </cell>
          <cell r="H77">
            <v>227.70000000000002</v>
          </cell>
          <cell r="I77">
            <v>124.19999999999999</v>
          </cell>
          <cell r="J77">
            <v>731.81818181818176</v>
          </cell>
        </row>
        <row r="78">
          <cell r="A78" t="str">
            <v>5.1.a.3</v>
          </cell>
          <cell r="B78" t="str">
            <v>5-1(a)3</v>
          </cell>
          <cell r="C78" t="str">
            <v>Machine made brick masonry works in 1:6 cement sand mortar along with supplying bricks, making cement mortar &amp; construction of brick walls including haulage distance up to 30m</v>
          </cell>
          <cell r="D78" t="str">
            <v xml:space="preserve">Machine made brick masonry works in 1:6 cement sand mortar </v>
          </cell>
          <cell r="E78" t="str">
            <v>cum</v>
          </cell>
          <cell r="F78">
            <v>1295.1613636363634</v>
          </cell>
          <cell r="G78">
            <v>284.625</v>
          </cell>
          <cell r="H78">
            <v>227.70000000000002</v>
          </cell>
          <cell r="I78">
            <v>124.19999999999999</v>
          </cell>
          <cell r="J78">
            <v>658.63636363636351</v>
          </cell>
        </row>
        <row r="79">
          <cell r="A79" t="str">
            <v>5.1.b.1</v>
          </cell>
          <cell r="B79" t="str">
            <v>5-1(b)1</v>
          </cell>
          <cell r="C79" t="str">
            <v>Local first class brick masonry works in 1:3 cement sand mortar along with supplying bricks, making cement mortar &amp; construction of brick walls including haulage distance up to 30m</v>
          </cell>
          <cell r="D79" t="str">
            <v xml:space="preserve">Local first class brick masonry works in 1:3 cement sand mortar </v>
          </cell>
          <cell r="E79" t="str">
            <v>cum</v>
          </cell>
          <cell r="F79">
            <v>3391.0886363636359</v>
          </cell>
          <cell r="G79">
            <v>284.625</v>
          </cell>
          <cell r="H79">
            <v>227.70000000000002</v>
          </cell>
          <cell r="I79">
            <v>1927.3999999999999</v>
          </cell>
          <cell r="J79">
            <v>951.36363636363626</v>
          </cell>
        </row>
        <row r="80">
          <cell r="A80" t="str">
            <v>5.1.b.2</v>
          </cell>
          <cell r="B80" t="str">
            <v>5-1(b)2</v>
          </cell>
          <cell r="C80" t="str">
            <v>Local first class brick masonry works in 1:4 cement sand mortar along with supplying bricks, making cement mortar &amp; construction of brick walls including haulage distance up to 30m</v>
          </cell>
          <cell r="D80" t="str">
            <v xml:space="preserve">Local first class brick masonry works in 1:4 cement sand mortar </v>
          </cell>
          <cell r="E80" t="str">
            <v>cum</v>
          </cell>
          <cell r="F80">
            <v>3176.1431818181818</v>
          </cell>
          <cell r="G80">
            <v>284.625</v>
          </cell>
          <cell r="H80">
            <v>227.70000000000002</v>
          </cell>
          <cell r="I80">
            <v>1931.9999999999998</v>
          </cell>
          <cell r="J80">
            <v>731.81818181818176</v>
          </cell>
        </row>
        <row r="81">
          <cell r="A81" t="str">
            <v>5.1.b.3</v>
          </cell>
          <cell r="B81" t="str">
            <v>5-1(b)3</v>
          </cell>
          <cell r="C81" t="str">
            <v>Local first class brick masonry works in 1:6 cement sand mortar along with supplying bricks, making cement mortar &amp; construction of brick walls including haulage distance up to 30m</v>
          </cell>
          <cell r="D81" t="str">
            <v xml:space="preserve">Local first class brick masonry works in 1:6 cement sand mortar </v>
          </cell>
          <cell r="E81" t="str">
            <v>cum</v>
          </cell>
          <cell r="F81">
            <v>2965.7977272727271</v>
          </cell>
          <cell r="G81">
            <v>284.625</v>
          </cell>
          <cell r="H81">
            <v>227.70000000000002</v>
          </cell>
          <cell r="I81">
            <v>1941.1999999999998</v>
          </cell>
          <cell r="J81">
            <v>512.27272727272725</v>
          </cell>
        </row>
        <row r="82">
          <cell r="A82" t="str">
            <v>5.1.b.4</v>
          </cell>
          <cell r="B82" t="str">
            <v>5-1(b)4</v>
          </cell>
          <cell r="C82" t="str">
            <v>Local first class brick masonry works in 1:1:2 lime surkhi sand mortar along with supplying bricks, making cement mortar &amp; construction of brick walls including haulage distance up to 30m</v>
          </cell>
          <cell r="D82" t="str">
            <v>Local first class brick masonry works in 1:1:2 lime surkhi sand mortar</v>
          </cell>
          <cell r="E82" t="str">
            <v>cum</v>
          </cell>
          <cell r="F82">
            <v>3187.6620000000003</v>
          </cell>
          <cell r="G82">
            <v>284.625</v>
          </cell>
          <cell r="H82">
            <v>227.70000000000002</v>
          </cell>
          <cell r="I82">
            <v>2675.337</v>
          </cell>
          <cell r="J82">
            <v>0</v>
          </cell>
        </row>
        <row r="83">
          <cell r="A83" t="str">
            <v>5.1.b.5</v>
          </cell>
          <cell r="B83" t="str">
            <v>5-1(b)5</v>
          </cell>
          <cell r="C83" t="str">
            <v>Local first class brick masonry works in 1:2 lime surkhi mortar along with supplying bricks, making cement mortar &amp; construction of brick walls including haulage distance up to 30m</v>
          </cell>
          <cell r="D83" t="str">
            <v xml:space="preserve">Local first class brick masonry works in 1:2 lime surkhi mortar </v>
          </cell>
          <cell r="E83" t="str">
            <v>cum</v>
          </cell>
          <cell r="F83">
            <v>3125.9990000000003</v>
          </cell>
          <cell r="G83">
            <v>284.625</v>
          </cell>
          <cell r="H83">
            <v>227.70000000000002</v>
          </cell>
          <cell r="I83">
            <v>2613.674</v>
          </cell>
          <cell r="J83">
            <v>0</v>
          </cell>
        </row>
        <row r="84">
          <cell r="A84" t="str">
            <v>5.1.b.6</v>
          </cell>
          <cell r="B84" t="str">
            <v>5-1(b)6</v>
          </cell>
          <cell r="C84" t="str">
            <v>Local first class brick masonry works in mud mortar along with supplying bricks, making cement mortar &amp; construction of brick walls including haulage distance up to 30m</v>
          </cell>
          <cell r="D84" t="str">
            <v xml:space="preserve">Local first class brick masonry works in mud mortar </v>
          </cell>
          <cell r="E84" t="str">
            <v>cum</v>
          </cell>
          <cell r="F84">
            <v>2229.2750000000001</v>
          </cell>
          <cell r="G84">
            <v>189.74999999999997</v>
          </cell>
          <cell r="H84">
            <v>175.95</v>
          </cell>
          <cell r="I84">
            <v>1863.5749999999998</v>
          </cell>
          <cell r="J84">
            <v>0</v>
          </cell>
        </row>
        <row r="86">
          <cell r="C86" t="str">
            <v>RUBBLE MASONRY WORKS</v>
          </cell>
        </row>
        <row r="87">
          <cell r="A87" t="str">
            <v>6.1.a</v>
          </cell>
          <cell r="B87" t="str">
            <v>6-1(a)</v>
          </cell>
          <cell r="C87" t="str">
            <v>Rubble masonry works in 1:3 cement mortar including supply of hard stone blocks, preparing cement mortar and construction of wall up to 5m high ( haulage distance up to 10m )</v>
          </cell>
          <cell r="D87" t="str">
            <v>Rubble masonry works in 1:3 cement mortar</v>
          </cell>
          <cell r="E87" t="str">
            <v>cum</v>
          </cell>
          <cell r="F87">
            <v>3047.5522727272728</v>
          </cell>
          <cell r="G87">
            <v>284.625</v>
          </cell>
          <cell r="H87">
            <v>517.5</v>
          </cell>
          <cell r="I87">
            <v>825.69999999999993</v>
          </cell>
          <cell r="J87">
            <v>1419.7272727272725</v>
          </cell>
        </row>
        <row r="88">
          <cell r="A88" t="str">
            <v>6.1.b</v>
          </cell>
          <cell r="B88" t="str">
            <v>6-1(b)</v>
          </cell>
          <cell r="C88" t="str">
            <v>Rubble masonry works in 1:4 cement mortar including supply of hard stone blocks, preparing cement mortar and construction of wall up to 5m high ( haulage distance up to 10m )</v>
          </cell>
          <cell r="D88" t="str">
            <v>Rubble masonry works in 1:4 cement mortar</v>
          </cell>
          <cell r="E88" t="str">
            <v>cum</v>
          </cell>
          <cell r="F88">
            <v>2805.2159090909095</v>
          </cell>
          <cell r="G88">
            <v>284.625</v>
          </cell>
          <cell r="H88">
            <v>517.5</v>
          </cell>
          <cell r="I88">
            <v>839.49999999999989</v>
          </cell>
          <cell r="J88">
            <v>1163.590909090909</v>
          </cell>
        </row>
        <row r="89">
          <cell r="A89" t="str">
            <v>6.1.c</v>
          </cell>
          <cell r="B89" t="str">
            <v>6-1(c)</v>
          </cell>
          <cell r="C89" t="str">
            <v>Rubble masonry works in 1:6 cement mortar including supply of hard stone blocks, preparing cement mortar and construction of wall up to 5m high ( haulage distance up to 10m )</v>
          </cell>
          <cell r="D89" t="str">
            <v>Rubble masonry works in 1:6 cement mortar</v>
          </cell>
          <cell r="E89" t="str">
            <v>cum</v>
          </cell>
          <cell r="F89">
            <v>2403.5522727272728</v>
          </cell>
          <cell r="G89">
            <v>284.625</v>
          </cell>
          <cell r="H89">
            <v>517.5</v>
          </cell>
          <cell r="I89">
            <v>825.69999999999993</v>
          </cell>
          <cell r="J89">
            <v>775.72727272727263</v>
          </cell>
        </row>
        <row r="90">
          <cell r="A90" t="str">
            <v>6.2.a</v>
          </cell>
          <cell r="B90" t="str">
            <v>6-2(a)</v>
          </cell>
          <cell r="C90" t="str">
            <v>Dry rubble masonry works including supply of hard stone blocks, preparing cement mortar and construction of wall up to 5m high ( haulage distance up to 10m)</v>
          </cell>
          <cell r="D90" t="str">
            <v>Dry rubble masonry works</v>
          </cell>
          <cell r="E90" t="str">
            <v>cum</v>
          </cell>
          <cell r="F90">
            <v>1029.25</v>
          </cell>
          <cell r="G90">
            <v>189.74999999999997</v>
          </cell>
          <cell r="H90">
            <v>206.99999999999997</v>
          </cell>
          <cell r="I90">
            <v>632.5</v>
          </cell>
          <cell r="J90">
            <v>0</v>
          </cell>
        </row>
        <row r="91">
          <cell r="A91" t="str">
            <v>6.2.b</v>
          </cell>
          <cell r="B91" t="str">
            <v>6-2(b)</v>
          </cell>
          <cell r="C91" t="str">
            <v>Rubble masonry works in mud mortar including supply of hard stone blocks, preparing cement mortar and construction of wall up to 5m high ( haulage distance up to 10m)</v>
          </cell>
          <cell r="D91" t="str">
            <v>Rubble masonry works in mud mortar</v>
          </cell>
          <cell r="E91" t="str">
            <v>cum</v>
          </cell>
          <cell r="F91">
            <v>1115.5</v>
          </cell>
          <cell r="G91">
            <v>189.74999999999997</v>
          </cell>
          <cell r="H91">
            <v>232.87499999999997</v>
          </cell>
          <cell r="I91">
            <v>692.875</v>
          </cell>
          <cell r="J91">
            <v>0</v>
          </cell>
        </row>
        <row r="92">
          <cell r="A92">
            <v>6.5</v>
          </cell>
          <cell r="B92" t="str">
            <v>6-5</v>
          </cell>
          <cell r="C92" t="str">
            <v>Filling by stones in the foundation and leveling including haulage distance up to 30m</v>
          </cell>
          <cell r="D92" t="str">
            <v>Stone filling in foundation</v>
          </cell>
          <cell r="E92" t="str">
            <v>cum</v>
          </cell>
          <cell r="F92">
            <v>845.25</v>
          </cell>
          <cell r="G92">
            <v>0</v>
          </cell>
          <cell r="H92">
            <v>155.25</v>
          </cell>
          <cell r="I92">
            <v>690</v>
          </cell>
          <cell r="J92">
            <v>0</v>
          </cell>
        </row>
        <row r="93">
          <cell r="A93" t="str">
            <v>6.6.a</v>
          </cell>
          <cell r="B93" t="str">
            <v>6-6(a)</v>
          </cell>
          <cell r="C93" t="str">
            <v>Stone masonry works inside ditch in 1:3 cement mortar including preparation of mortar hauling stones &amp; mortar up to 30m distance and construction of ditch</v>
          </cell>
          <cell r="D93" t="str">
            <v>Stone masonry works inside ditch in in 1:3 cement mortar</v>
          </cell>
          <cell r="E93" t="str">
            <v>cum</v>
          </cell>
          <cell r="F93">
            <v>2763.2043181818181</v>
          </cell>
          <cell r="G93">
            <v>271.34249999999997</v>
          </cell>
          <cell r="H93">
            <v>592.01999999999987</v>
          </cell>
          <cell r="I93">
            <v>780.16</v>
          </cell>
          <cell r="J93">
            <v>1119.681818181818</v>
          </cell>
        </row>
        <row r="94">
          <cell r="A94" t="str">
            <v>6.6.b</v>
          </cell>
          <cell r="B94" t="str">
            <v>6-6(b)</v>
          </cell>
          <cell r="C94" t="str">
            <v>Stone masonry works inside ditch in 1:6 cement mortar including preparation of mortar hauling stones &amp; mortar up to 30m distance and construction of ditch</v>
          </cell>
          <cell r="D94" t="str">
            <v>Stone masonry works inside ditch in in 1:6 cement mortar</v>
          </cell>
          <cell r="E94" t="str">
            <v>cum</v>
          </cell>
          <cell r="F94">
            <v>2185.4861363636364</v>
          </cell>
          <cell r="G94">
            <v>271.34249999999997</v>
          </cell>
          <cell r="H94">
            <v>592.01999999999987</v>
          </cell>
          <cell r="I94">
            <v>773.25999999999988</v>
          </cell>
          <cell r="J94">
            <v>548.86363636363626</v>
          </cell>
        </row>
        <row r="96">
          <cell r="C96" t="str">
            <v>CEMENT CONCRETE WORKS</v>
          </cell>
        </row>
        <row r="97">
          <cell r="A97" t="str">
            <v>7.1.a</v>
          </cell>
          <cell r="B97" t="str">
            <v>7-1(a)</v>
          </cell>
          <cell r="C97" t="str">
            <v>Plum concreting in M10 cement sand aggregate boulder mix for foundation, vertical faces, walls &amp; abutments including supply of material &amp; haulage distance up to 30m</v>
          </cell>
          <cell r="D97" t="str">
            <v xml:space="preserve">Plum concrete in M10 </v>
          </cell>
          <cell r="E97" t="str">
            <v>cum</v>
          </cell>
          <cell r="F97">
            <v>3220.46</v>
          </cell>
          <cell r="G97">
            <v>56.924999999999997</v>
          </cell>
          <cell r="H97">
            <v>413.99999999999994</v>
          </cell>
          <cell r="I97">
            <v>731.4</v>
          </cell>
          <cell r="J97">
            <v>2018.1349999999998</v>
          </cell>
        </row>
        <row r="98">
          <cell r="A98" t="str">
            <v>7.1.b</v>
          </cell>
          <cell r="B98" t="str">
            <v>7-1(b)</v>
          </cell>
          <cell r="C98" t="str">
            <v>Plum concreting in M15 cement sand aggregate boulder mix for foundation, vertical faces, walls &amp; abutments including supply of material &amp; haulage distance up to 30m</v>
          </cell>
          <cell r="D98" t="str">
            <v xml:space="preserve">Plum concreting in M15 </v>
          </cell>
          <cell r="E98" t="str">
            <v>cum</v>
          </cell>
          <cell r="F98">
            <v>3913.6381818181817</v>
          </cell>
          <cell r="G98">
            <v>56.924999999999997</v>
          </cell>
          <cell r="H98">
            <v>413.99999999999994</v>
          </cell>
          <cell r="I98">
            <v>692.75999999999988</v>
          </cell>
          <cell r="J98">
            <v>2749.9531818181817</v>
          </cell>
        </row>
        <row r="99">
          <cell r="A99" t="str">
            <v>7.2.a</v>
          </cell>
          <cell r="B99" t="str">
            <v>7-2(a)</v>
          </cell>
          <cell r="C99" t="str">
            <v>Concreting of foundations, vertical faces, walls in 1:5:10 cement sand aggregate mix including supply of materials and haulage distance up to 30m</v>
          </cell>
          <cell r="D99" t="str">
            <v xml:space="preserve">P.C.C. for  foundation &amp; walls in 1:5:10 </v>
          </cell>
          <cell r="E99" t="str">
            <v>cum</v>
          </cell>
          <cell r="F99">
            <v>2602.4761363636362</v>
          </cell>
          <cell r="G99">
            <v>189.74999999999997</v>
          </cell>
          <cell r="H99">
            <v>413.99999999999994</v>
          </cell>
          <cell r="I99">
            <v>645.4375</v>
          </cell>
          <cell r="J99">
            <v>1353.2886363636362</v>
          </cell>
        </row>
        <row r="100">
          <cell r="A100" t="str">
            <v>7.2.b</v>
          </cell>
          <cell r="B100" t="str">
            <v>7-2(b)</v>
          </cell>
          <cell r="C100" t="str">
            <v>Concreting of foundations, vertical faces, walls in 1:4:8 cement sand aggregate mix including supply of materials and haulage distance up to 30m</v>
          </cell>
          <cell r="D100" t="str">
            <v xml:space="preserve">P.C.C. for  foundation &amp; walls in 1:4:8 </v>
          </cell>
          <cell r="E100" t="str">
            <v>cum</v>
          </cell>
          <cell r="F100">
            <v>2895.2034090909087</v>
          </cell>
          <cell r="G100">
            <v>189.74999999999997</v>
          </cell>
          <cell r="H100">
            <v>413.99999999999994</v>
          </cell>
          <cell r="I100">
            <v>645.4375</v>
          </cell>
          <cell r="J100">
            <v>1646.015909090909</v>
          </cell>
        </row>
        <row r="101">
          <cell r="A101" t="str">
            <v>7.2.c</v>
          </cell>
          <cell r="B101" t="str">
            <v>7-2(c)</v>
          </cell>
          <cell r="C101" t="str">
            <v>Concreting of foundations, vertical faces, walls in M10 cement sand aggregate mix including supply of materials and haulage distance up to 30m</v>
          </cell>
          <cell r="D101" t="str">
            <v xml:space="preserve">P.C.C. for  foundation &amp; walls in M10 </v>
          </cell>
          <cell r="E101" t="str">
            <v>cum</v>
          </cell>
          <cell r="F101">
            <v>3261.1125000000002</v>
          </cell>
          <cell r="G101">
            <v>189.74999999999997</v>
          </cell>
          <cell r="H101">
            <v>413.99999999999994</v>
          </cell>
          <cell r="I101">
            <v>645.4375</v>
          </cell>
          <cell r="J101">
            <v>2011.9249999999995</v>
          </cell>
        </row>
        <row r="102">
          <cell r="A102" t="str">
            <v>7.2.d</v>
          </cell>
          <cell r="B102" t="str">
            <v>7-2(d)</v>
          </cell>
          <cell r="C102" t="str">
            <v>Concreting of foundations, vertical faces, walls in M15 cement sand aggregate mix including supply of materials and haulage distance up to 30m</v>
          </cell>
          <cell r="D102" t="str">
            <v xml:space="preserve">P.C.C. for  foundation &amp; walls in M15 </v>
          </cell>
          <cell r="E102" t="str">
            <v>cum</v>
          </cell>
          <cell r="F102">
            <v>3974.5881818181815</v>
          </cell>
          <cell r="G102">
            <v>189.74999999999997</v>
          </cell>
          <cell r="H102">
            <v>413.99999999999994</v>
          </cell>
          <cell r="I102">
            <v>620.88499999999988</v>
          </cell>
          <cell r="J102">
            <v>2749.9531818181817</v>
          </cell>
        </row>
        <row r="103">
          <cell r="A103" t="str">
            <v>7.4.a</v>
          </cell>
          <cell r="B103" t="str">
            <v>7-4(a)</v>
          </cell>
          <cell r="C103" t="str">
            <v>Reinforced concreting works for super structures, deck slabs, beams in M15 cement sand aggregate mix  with supply of materials (excluding rebar) &amp; haulage dist. Up to 30m.</v>
          </cell>
          <cell r="D103" t="str">
            <v xml:space="preserve">P.C.C. for R.C.C. for super structures in M15 </v>
          </cell>
          <cell r="E103" t="str">
            <v>cum</v>
          </cell>
          <cell r="F103">
            <v>4247.1381818181817</v>
          </cell>
          <cell r="G103">
            <v>151.79999999999998</v>
          </cell>
          <cell r="H103">
            <v>724.5</v>
          </cell>
          <cell r="I103">
            <v>620.88499999999988</v>
          </cell>
          <cell r="J103">
            <v>2749.9531818181817</v>
          </cell>
        </row>
        <row r="104">
          <cell r="A104" t="str">
            <v>7.4.b</v>
          </cell>
          <cell r="B104" t="str">
            <v>7-4(b)</v>
          </cell>
          <cell r="C104" t="str">
            <v>Reinforced concreting works for super structures, deck slabs, beams in M20 cement sand aggregate mix  with supply of materials (excluding rebar) &amp; haulage dist. Up to 30m.</v>
          </cell>
          <cell r="D104" t="str">
            <v xml:space="preserve">P.C.C. for R.C.C. for super structures in M20 </v>
          </cell>
          <cell r="E104" t="str">
            <v>cum</v>
          </cell>
          <cell r="F104">
            <v>4891.8177272727271</v>
          </cell>
          <cell r="G104">
            <v>151.79999999999998</v>
          </cell>
          <cell r="H104">
            <v>724.5</v>
          </cell>
          <cell r="I104">
            <v>686.31999999999994</v>
          </cell>
          <cell r="J104">
            <v>3329.1977272727272</v>
          </cell>
        </row>
        <row r="105">
          <cell r="A105" t="str">
            <v>7.4.c</v>
          </cell>
          <cell r="B105" t="str">
            <v>7-4(c)</v>
          </cell>
          <cell r="C105" t="str">
            <v>Reinforced concreting works for super structures, deck slabs, beams in 1:1:2 cement sand aggregate mix  with supply of materials (excluding rebar) &amp; haulage dist. Up to 30m.</v>
          </cell>
          <cell r="D105" t="str">
            <v>P.C.C. for R.C.C. for super structures in M25</v>
          </cell>
          <cell r="E105" t="str">
            <v>cum</v>
          </cell>
          <cell r="F105">
            <v>6423.0009090909089</v>
          </cell>
          <cell r="G105">
            <v>151.79999999999998</v>
          </cell>
          <cell r="H105">
            <v>724.5</v>
          </cell>
          <cell r="I105">
            <v>680.68499999999995</v>
          </cell>
          <cell r="J105">
            <v>4866.0159090909092</v>
          </cell>
        </row>
        <row r="106">
          <cell r="A106" t="str">
            <v>7.5</v>
          </cell>
          <cell r="B106" t="str">
            <v>7-5</v>
          </cell>
          <cell r="C106" t="str">
            <v>Cutting , bending , placing and binding of reinforcement steel bars for R.C.C. works including haulage distance of 30m</v>
          </cell>
          <cell r="D106" t="str">
            <v>Reinforcement work for R.C.C. work</v>
          </cell>
          <cell r="E106" t="str">
            <v>mt</v>
          </cell>
          <cell r="F106">
            <v>42399.454545454551</v>
          </cell>
          <cell r="G106">
            <v>2277</v>
          </cell>
          <cell r="H106">
            <v>1242</v>
          </cell>
          <cell r="I106">
            <v>0</v>
          </cell>
          <cell r="J106">
            <v>38880.454545454544</v>
          </cell>
        </row>
        <row r="108">
          <cell r="C108" t="str">
            <v>FORM WORKS</v>
          </cell>
        </row>
        <row r="109">
          <cell r="A109" t="str">
            <v>8.1.a</v>
          </cell>
          <cell r="B109" t="str">
            <v>8-1(a)</v>
          </cell>
          <cell r="C109" t="str">
            <v>Making wooden forms including selection of material, measuring, cutting , fixing, nailing as per specified drawings and hauling up to 30m and placing in position. [Simple standard forms, each form&lt; 1sqm]</v>
          </cell>
          <cell r="D109" t="str">
            <v>Simple standard formwork of size &lt;1 sqm excluding materials</v>
          </cell>
          <cell r="E109" t="str">
            <v>sqm</v>
          </cell>
          <cell r="F109">
            <v>76.59</v>
          </cell>
          <cell r="G109">
            <v>42.124499999999998</v>
          </cell>
          <cell r="H109">
            <v>34.465499999999999</v>
          </cell>
          <cell r="I109">
            <v>0</v>
          </cell>
          <cell r="J109">
            <v>0</v>
          </cell>
        </row>
        <row r="110">
          <cell r="A110" t="str">
            <v>8.1.b</v>
          </cell>
          <cell r="B110" t="str">
            <v>8-1(b)</v>
          </cell>
          <cell r="C110" t="str">
            <v>Making wooden forms including selection of material, measuring, cutting , fixing, nailing as per specified drawings and hauling up to 30m and placing in position. [Simple standard forms, each form&lt; 2sqm]</v>
          </cell>
          <cell r="D110" t="str">
            <v>Simple standard formwork of size &lt;2 sqm excluding materials</v>
          </cell>
          <cell r="E110" t="str">
            <v>sqm</v>
          </cell>
          <cell r="F110">
            <v>62.652000000000001</v>
          </cell>
          <cell r="G110">
            <v>34.458599999999997</v>
          </cell>
          <cell r="H110">
            <v>28.1934</v>
          </cell>
          <cell r="I110">
            <v>0</v>
          </cell>
          <cell r="J110">
            <v>0</v>
          </cell>
        </row>
        <row r="111">
          <cell r="A111" t="str">
            <v>8.1.c</v>
          </cell>
          <cell r="B111" t="str">
            <v>8-1(c)</v>
          </cell>
          <cell r="C111" t="str">
            <v>Making wooden forms including selection of material, measuring, cutting , fixing, nailing as per specified drawings and hauling up to 30m and placing in position. [Standard forms, each form&lt; 1sqm]</v>
          </cell>
          <cell r="D111" t="str">
            <v>Standard formwork of size &lt;1 sqm excluding materials</v>
          </cell>
          <cell r="E111" t="str">
            <v>sqm</v>
          </cell>
          <cell r="F111">
            <v>54.637650000000001</v>
          </cell>
          <cell r="G111">
            <v>30.0564</v>
          </cell>
          <cell r="H111">
            <v>24.581249999999997</v>
          </cell>
          <cell r="I111">
            <v>0</v>
          </cell>
          <cell r="J111">
            <v>0</v>
          </cell>
        </row>
        <row r="112">
          <cell r="A112" t="str">
            <v>8.1.d</v>
          </cell>
          <cell r="B112" t="str">
            <v>8-1(d)</v>
          </cell>
          <cell r="C112" t="str">
            <v>Making wooden forms including selection of material, measuring, cutting , fixing, nailing as per specified drawings and hauling up to 30m and placing in position. [Standard forms, each form&gt; 1sqm]</v>
          </cell>
          <cell r="D112" t="str">
            <v>Standard formwork of size &gt;1 sqm excluding materials</v>
          </cell>
          <cell r="E112" t="str">
            <v>sqm</v>
          </cell>
          <cell r="F112">
            <v>43.745999999999995</v>
          </cell>
          <cell r="G112">
            <v>24.060299999999998</v>
          </cell>
          <cell r="H112">
            <v>19.685699999999997</v>
          </cell>
          <cell r="I112">
            <v>0</v>
          </cell>
          <cell r="J112">
            <v>0</v>
          </cell>
        </row>
        <row r="113">
          <cell r="A113" t="str">
            <v>8.2.a</v>
          </cell>
          <cell r="B113" t="str">
            <v>8-2(a)</v>
          </cell>
          <cell r="C113" t="str">
            <v>Making wooden forms for beam, column and slab including supply &amp; selection of material, fixing, nailing, placing separators, dismantling forms and hauling up to 30m distance</v>
          </cell>
          <cell r="D113" t="str">
            <v>Formwork for flooring and slab including materials</v>
          </cell>
          <cell r="E113" t="str">
            <v>sqm</v>
          </cell>
          <cell r="F113">
            <v>176.88150000000002</v>
          </cell>
          <cell r="G113">
            <v>32.636999999999993</v>
          </cell>
          <cell r="H113">
            <v>26.599499999999995</v>
          </cell>
          <cell r="I113">
            <v>105.85749999999999</v>
          </cell>
          <cell r="J113">
            <v>11.7875</v>
          </cell>
        </row>
        <row r="114">
          <cell r="A114" t="str">
            <v>8.2.b</v>
          </cell>
          <cell r="B114" t="str">
            <v>8-2(b)</v>
          </cell>
          <cell r="C114" t="str">
            <v>Making wooden forms for vertical surface, wall etc. (4m high &amp; up to 0.5 m wide) including supply &amp; selection of material, fixing, nailing, placing separators, dismantling forms and hauling up to 30m distance</v>
          </cell>
          <cell r="D114" t="str">
            <v>Formwork for wall (4 m height and 0.5 m wide) including materials</v>
          </cell>
          <cell r="E114" t="str">
            <v>sqm</v>
          </cell>
          <cell r="F114">
            <v>166.70399999999998</v>
          </cell>
          <cell r="G114">
            <v>27.323999999999995</v>
          </cell>
          <cell r="H114">
            <v>21.734999999999999</v>
          </cell>
          <cell r="I114">
            <v>105.85749999999999</v>
          </cell>
          <cell r="J114">
            <v>11.7875</v>
          </cell>
        </row>
        <row r="115">
          <cell r="A115" t="str">
            <v>8.2.c</v>
          </cell>
          <cell r="B115" t="str">
            <v>8-2(c)</v>
          </cell>
          <cell r="C115" t="str">
            <v>Making wooden forms for vertical surface, wall etc. (4.5m high &amp; up to 0.5 m wide) including supply &amp; selection of material, fixing, nailing, placing separators, dismantling forms and hauling up to 30m distance</v>
          </cell>
          <cell r="D115" t="str">
            <v>Formwork for wall (4.5 m height and 0.5 m wide) including materials</v>
          </cell>
          <cell r="E115" t="str">
            <v>sqm</v>
          </cell>
          <cell r="F115">
            <v>245.22945000000001</v>
          </cell>
          <cell r="G115">
            <v>60.530249999999995</v>
          </cell>
          <cell r="H115">
            <v>32.084999999999994</v>
          </cell>
          <cell r="I115">
            <v>137.85625000000002</v>
          </cell>
          <cell r="J115">
            <v>14.757949999999999</v>
          </cell>
        </row>
        <row r="116">
          <cell r="A116" t="str">
            <v>8.2.d</v>
          </cell>
          <cell r="B116" t="str">
            <v>8-2(d)</v>
          </cell>
          <cell r="C116" t="str">
            <v>Making wooden forms for vertical surface, wall etc. (5-10m high &amp; up to 0.5 m wide) including supply &amp; selection of material, fixing, nailing, placing separators, dismantling forms and hauling up to 30m distance</v>
          </cell>
          <cell r="D116" t="str">
            <v>Formwork for wall (5 to 10 m height and 0.5 m wide) including materials</v>
          </cell>
          <cell r="E116" t="str">
            <v>sqm</v>
          </cell>
          <cell r="F116">
            <v>506.22769999999997</v>
          </cell>
          <cell r="G116">
            <v>98.480249999999998</v>
          </cell>
          <cell r="H116">
            <v>77.625</v>
          </cell>
          <cell r="I116">
            <v>297.44749999999993</v>
          </cell>
          <cell r="J116">
            <v>32.674949999999995</v>
          </cell>
        </row>
        <row r="117">
          <cell r="A117" t="str">
            <v>8.2.e</v>
          </cell>
          <cell r="B117" t="str">
            <v>8-2(e)</v>
          </cell>
          <cell r="C117" t="str">
            <v>Making wooden forms for vertical surface, wall etc. (5m high &amp; up to 0.5-1.0 m wide) including supply &amp; selection of material, fixing, nailing, placing separators, dismantling forms and hauling up to 30m distance</v>
          </cell>
          <cell r="D117" t="str">
            <v>Formwork for wall (5 m height and 0.5 to 1 m wide) including materials</v>
          </cell>
          <cell r="E117" t="str">
            <v>sqm</v>
          </cell>
          <cell r="F117">
            <v>137.82750000000001</v>
          </cell>
          <cell r="G117">
            <v>40.986000000000004</v>
          </cell>
          <cell r="H117">
            <v>33.533999999999999</v>
          </cell>
          <cell r="I117">
            <v>51.52</v>
          </cell>
          <cell r="J117">
            <v>11.7875</v>
          </cell>
        </row>
        <row r="118">
          <cell r="A118" t="str">
            <v>8.2.f</v>
          </cell>
          <cell r="B118" t="str">
            <v>8-2(f)</v>
          </cell>
          <cell r="C118" t="str">
            <v>Making wooden forms for vertical surface, wall etc. (5-10m high &amp; up to 0.5-1.0 m wide) including supply &amp; selection of material, fixing, nailing, placing separators, dismantling forms and hauling up to 30m distance</v>
          </cell>
          <cell r="D118" t="str">
            <v>Formwork for wall (5 m height and 0.5 to 1 m wide) including materials</v>
          </cell>
          <cell r="E118" t="str">
            <v>sqm</v>
          </cell>
          <cell r="F118">
            <v>477.57199999999995</v>
          </cell>
          <cell r="G118">
            <v>97.910999999999987</v>
          </cell>
          <cell r="H118">
            <v>79.073999999999998</v>
          </cell>
          <cell r="I118">
            <v>270.88249999999994</v>
          </cell>
          <cell r="J118">
            <v>29.704499999999999</v>
          </cell>
        </row>
        <row r="120">
          <cell r="C120" t="str">
            <v>WOOD WORKS</v>
          </cell>
        </row>
        <row r="121">
          <cell r="A121">
            <v>10.1</v>
          </cell>
          <cell r="B121" t="str">
            <v>10-1</v>
          </cell>
          <cell r="C121" t="str">
            <v>Fabrication and installation of Salwood frame for door and windows</v>
          </cell>
          <cell r="D121" t="str">
            <v>Salwood frame work for door and windows</v>
          </cell>
          <cell r="E121" t="str">
            <v>cum</v>
          </cell>
          <cell r="F121">
            <v>54528.86</v>
          </cell>
          <cell r="G121">
            <v>6451.4999999999991</v>
          </cell>
          <cell r="H121">
            <v>351.9</v>
          </cell>
          <cell r="I121">
            <v>46805</v>
          </cell>
          <cell r="J121">
            <v>920.45999999999992</v>
          </cell>
        </row>
        <row r="122">
          <cell r="A122">
            <v>10.199999999999999</v>
          </cell>
          <cell r="B122" t="str">
            <v>10-2</v>
          </cell>
          <cell r="C122" t="str">
            <v>Fabrication and installation of panel shutter in 38 x 75 mm salwood frame (based on shutter size 1.07 x 1.982 = 2.12 sqm)</v>
          </cell>
          <cell r="D122" t="str">
            <v>Panel shutter work in 38 x 75 mm salwood frame</v>
          </cell>
          <cell r="E122" t="str">
            <v>sqm</v>
          </cell>
          <cell r="F122">
            <v>3042.2924528301883</v>
          </cell>
          <cell r="G122">
            <v>895.0471698113206</v>
          </cell>
          <cell r="H122">
            <v>48.820754716981121</v>
          </cell>
          <cell r="I122">
            <v>1685.943396226415</v>
          </cell>
          <cell r="J122">
            <v>412.48113207547163</v>
          </cell>
        </row>
        <row r="123">
          <cell r="A123">
            <v>10.3</v>
          </cell>
          <cell r="B123" t="str">
            <v>10-3</v>
          </cell>
          <cell r="C123" t="str">
            <v>Fabrication and installation of glazed shutter with 4mm float glass in 38 x 75 mm salwood frame (based on shutter size 1.829 x 1.22 = 2.23sqm)</v>
          </cell>
          <cell r="D123" t="str">
            <v xml:space="preserve">Glazed shutter work with 4mm float glass in 38 x 75 mm salwood frame </v>
          </cell>
          <cell r="E123" t="str">
            <v>sqm</v>
          </cell>
          <cell r="F123">
            <v>2082.7521076233184</v>
          </cell>
          <cell r="G123">
            <v>765.8071748878923</v>
          </cell>
          <cell r="H123">
            <v>41.771300448430488</v>
          </cell>
          <cell r="I123">
            <v>934.95515695067252</v>
          </cell>
          <cell r="J123">
            <v>340.2184753363228</v>
          </cell>
        </row>
        <row r="124">
          <cell r="A124">
            <v>10.7</v>
          </cell>
          <cell r="B124" t="str">
            <v>10-7</v>
          </cell>
          <cell r="C124" t="str">
            <v>Fabrication and installation of Flush shutter with 4mm thick commercial plywood in both side in 38 x 75 mm salwood frame (based on shutter size 1.092 x 2.058 = 2.25sqm)</v>
          </cell>
          <cell r="D124" t="str">
            <v xml:space="preserve">Flush shutter work with 4mm plywood in both side in 38 x 75 mm salwood frame </v>
          </cell>
          <cell r="E124" t="str">
            <v>sqm</v>
          </cell>
          <cell r="F124">
            <v>1732.4622222222222</v>
          </cell>
          <cell r="G124">
            <v>590.33333333333337</v>
          </cell>
          <cell r="H124">
            <v>32.199999999999996</v>
          </cell>
          <cell r="I124">
            <v>891.99111111111097</v>
          </cell>
          <cell r="J124">
            <v>217.93777777777777</v>
          </cell>
        </row>
        <row r="125">
          <cell r="A125">
            <v>10.8</v>
          </cell>
          <cell r="B125" t="str">
            <v>10-8</v>
          </cell>
          <cell r="C125" t="str">
            <v>Fabrication and installation of Flush shutter with 3mm thick teakply on bothside in 38 x 75 mm salwood frame (based on shutter size 1.092 x 2.058 = 2.25sqm)</v>
          </cell>
          <cell r="D125" t="str">
            <v>Flush shutter with 3mm teakply on bothside in 38 x 75 mm salwood frame</v>
          </cell>
          <cell r="E125" t="str">
            <v>sqm</v>
          </cell>
          <cell r="F125">
            <v>1820.3988888888889</v>
          </cell>
          <cell r="G125">
            <v>590.33333333333337</v>
          </cell>
          <cell r="H125">
            <v>32.199999999999996</v>
          </cell>
          <cell r="I125">
            <v>654.32444444444445</v>
          </cell>
          <cell r="J125">
            <v>543.54111111111115</v>
          </cell>
        </row>
        <row r="126">
          <cell r="A126">
            <v>10.9</v>
          </cell>
          <cell r="B126" t="str">
            <v>10-9</v>
          </cell>
          <cell r="C126" t="str">
            <v>Fabrication and installation of Flush shutter with 18 gauge Aluminium sheet on bothside in 38 x 75 mm salwood frame (based on shutter size 1.092 x 2.058 = 2.25sqm)</v>
          </cell>
          <cell r="D126" t="str">
            <v>Flush shutter work with 18 gauge Aluminium sheet on bothside in 38 x 75 mm salwood frame</v>
          </cell>
          <cell r="E126" t="str">
            <v>sqm</v>
          </cell>
          <cell r="F126">
            <v>3301.8227555555559</v>
          </cell>
          <cell r="G126">
            <v>590.33333333333337</v>
          </cell>
          <cell r="H126">
            <v>32.199999999999996</v>
          </cell>
          <cell r="I126">
            <v>654.32444444444445</v>
          </cell>
          <cell r="J126">
            <v>2024.9649777777781</v>
          </cell>
        </row>
        <row r="127">
          <cell r="A127" t="str">
            <v>10.9.1</v>
          </cell>
          <cell r="B127" t="str">
            <v>10-9</v>
          </cell>
          <cell r="C127" t="str">
            <v>Fabrication and installation of Flush door with 18 gauge Aluminium sheet on oneside and 3mm plywood on otherside in 38 x 75 mm salwood frame (based on shutter size 1.092 x 2.058 = 2.25sqm)</v>
          </cell>
          <cell r="D127" t="str">
            <v>Flush door work with 18 gauge Aluminium sheet on oneside and 3mm plywood on otherside in 38 x 75 mm salwood frame</v>
          </cell>
          <cell r="E127" t="str">
            <v>sqm</v>
          </cell>
          <cell r="F127">
            <v>2564.4202666666665</v>
          </cell>
          <cell r="G127">
            <v>590.33333333333337</v>
          </cell>
          <cell r="H127">
            <v>32.199999999999996</v>
          </cell>
          <cell r="I127">
            <v>654.32444444444445</v>
          </cell>
          <cell r="J127">
            <v>1287.5624888888892</v>
          </cell>
        </row>
        <row r="128">
          <cell r="A128" t="str">
            <v>10.10</v>
          </cell>
          <cell r="B128" t="str">
            <v>10-10</v>
          </cell>
          <cell r="C128" t="str">
            <v>Fabrication and installation of shutter with 24 gauge G.I. mosquito net in 38 x 75 mm salwood frame (based on shutter size 1.092 x 2.058 = 2.25sqm)</v>
          </cell>
          <cell r="D128" t="str">
            <v>Meshed shutter work with 24 gauge G.I. mosquito net in 38 x 75 mm salwood frame</v>
          </cell>
          <cell r="E128" t="str">
            <v>sqm</v>
          </cell>
          <cell r="F128">
            <v>1274.0466666666669</v>
          </cell>
          <cell r="G128">
            <v>421.66666666666663</v>
          </cell>
          <cell r="H128">
            <v>22.999999999999996</v>
          </cell>
          <cell r="I128">
            <v>491.68888888888887</v>
          </cell>
          <cell r="J128">
            <v>337.69111111111101</v>
          </cell>
        </row>
        <row r="129">
          <cell r="A129" t="str">
            <v>10.11.a</v>
          </cell>
          <cell r="B129" t="str">
            <v>10-11</v>
          </cell>
          <cell r="C129" t="str">
            <v>Installation of 3mm Float glass in timber frame with Salwood bead</v>
          </cell>
          <cell r="D129" t="str">
            <v>Installation of 3mm Float glass in Salwood frame with Salwood bead for closed window</v>
          </cell>
          <cell r="E129" t="str">
            <v>sqm</v>
          </cell>
          <cell r="F129">
            <v>483.60547500000001</v>
          </cell>
          <cell r="G129">
            <v>11.385</v>
          </cell>
          <cell r="H129">
            <v>0.621</v>
          </cell>
          <cell r="I129">
            <v>62.084474999999998</v>
          </cell>
          <cell r="J129">
            <v>409.51499999999999</v>
          </cell>
        </row>
        <row r="130">
          <cell r="A130" t="str">
            <v>10.11.b</v>
          </cell>
          <cell r="B130" t="str">
            <v>10-11</v>
          </cell>
          <cell r="C130" t="str">
            <v>Installation of 4mm Float glass in timber frame with Salwood bead</v>
          </cell>
          <cell r="D130" t="str">
            <v>Installation of 4mm Float glass in Salwood frame with Salwood bead for closed window</v>
          </cell>
          <cell r="E130" t="str">
            <v>sqm</v>
          </cell>
          <cell r="F130">
            <v>483.60547500000001</v>
          </cell>
          <cell r="G130">
            <v>11.385</v>
          </cell>
          <cell r="H130">
            <v>0.621</v>
          </cell>
          <cell r="I130">
            <v>62.084474999999998</v>
          </cell>
          <cell r="J130">
            <v>409.51499999999999</v>
          </cell>
        </row>
        <row r="131">
          <cell r="A131" t="str">
            <v>10.11.c</v>
          </cell>
          <cell r="B131" t="str">
            <v>10-11</v>
          </cell>
          <cell r="C131" t="str">
            <v>Installation of 5mm Float glass in timber frame with Salwood bead</v>
          </cell>
          <cell r="D131" t="str">
            <v>Installation of 5mm Float glass in Salwood frame with Salwood bead for closed window</v>
          </cell>
          <cell r="E131" t="str">
            <v>sqm</v>
          </cell>
          <cell r="F131">
            <v>564.56547499999999</v>
          </cell>
          <cell r="G131">
            <v>11.385</v>
          </cell>
          <cell r="H131">
            <v>0.621</v>
          </cell>
          <cell r="I131">
            <v>62.084474999999998</v>
          </cell>
          <cell r="J131">
            <v>490.47499999999997</v>
          </cell>
        </row>
        <row r="132">
          <cell r="A132" t="str">
            <v>10.11.d</v>
          </cell>
          <cell r="B132" t="str">
            <v>10-11</v>
          </cell>
          <cell r="C132" t="str">
            <v>Installation of 6mm Float glass in timber frame with Salwood bead</v>
          </cell>
          <cell r="D132" t="str">
            <v>Installation of 6mm Float glass in Salwood frame with Salwood bead for closed window</v>
          </cell>
          <cell r="E132" t="str">
            <v>sqm</v>
          </cell>
          <cell r="F132">
            <v>645.52547500000003</v>
          </cell>
          <cell r="G132">
            <v>11.385</v>
          </cell>
          <cell r="H132">
            <v>0.621</v>
          </cell>
          <cell r="I132">
            <v>62.084474999999998</v>
          </cell>
          <cell r="J132">
            <v>571.43499999999995</v>
          </cell>
        </row>
        <row r="134">
          <cell r="C134" t="str">
            <v>FLOORING WORKS</v>
          </cell>
        </row>
        <row r="135">
          <cell r="A135" t="str">
            <v>11.1.a</v>
          </cell>
          <cell r="B135" t="str">
            <v>11-1(a)</v>
          </cell>
          <cell r="C135" t="str">
            <v>25 mm thick plain cement concrete work in M15 concrete mix in flooring work including materials, required form work, curing all complete works</v>
          </cell>
          <cell r="D135" t="str">
            <v>25 mm PCC in M15 concrete mix in flooring work</v>
          </cell>
          <cell r="E135" t="str">
            <v>sqm</v>
          </cell>
          <cell r="F135">
            <v>120.74163636363635</v>
          </cell>
          <cell r="G135">
            <v>20.872500000000002</v>
          </cell>
          <cell r="H135">
            <v>15.525</v>
          </cell>
          <cell r="I135">
            <v>18.480499999999999</v>
          </cell>
          <cell r="J135">
            <v>65.863636363636346</v>
          </cell>
        </row>
        <row r="136">
          <cell r="A136" t="str">
            <v>11.1.b</v>
          </cell>
          <cell r="B136" t="str">
            <v>11-1(b)</v>
          </cell>
          <cell r="C136" t="str">
            <v>38 mm thick plain cement concrete work in M15 concrete mix in flooring work including materials, required form work, curing all complete works</v>
          </cell>
          <cell r="D136" t="str">
            <v>38 mm PCC in M15 concrete mix in flooring work</v>
          </cell>
          <cell r="E136" t="str">
            <v>sqm</v>
          </cell>
          <cell r="F136">
            <v>168.12111363636365</v>
          </cell>
          <cell r="G136">
            <v>23.718749999999996</v>
          </cell>
          <cell r="H136">
            <v>20.699999999999996</v>
          </cell>
          <cell r="I136">
            <v>28.565999999999995</v>
          </cell>
          <cell r="J136">
            <v>95.136363636363626</v>
          </cell>
        </row>
        <row r="137">
          <cell r="A137" t="str">
            <v>11.1.c</v>
          </cell>
          <cell r="B137" t="str">
            <v>11-1(c)</v>
          </cell>
          <cell r="C137" t="str">
            <v>50 mm thick plain cement concrete work in M15 concrete mix in flooring work including materials, required form work, curing all complete works</v>
          </cell>
          <cell r="D137" t="str">
            <v>50 mm PCC in M15 concrete mix in flooring work</v>
          </cell>
          <cell r="E137" t="str">
            <v>sqm</v>
          </cell>
          <cell r="F137">
            <v>210.50384090909091</v>
          </cell>
          <cell r="G137">
            <v>23.718749999999996</v>
          </cell>
          <cell r="H137">
            <v>25.875</v>
          </cell>
          <cell r="I137">
            <v>36.500999999999991</v>
          </cell>
          <cell r="J137">
            <v>124.40909090909091</v>
          </cell>
        </row>
        <row r="138">
          <cell r="A138" t="str">
            <v>11.1.d</v>
          </cell>
          <cell r="B138" t="str">
            <v>11-1(d)</v>
          </cell>
          <cell r="C138" t="str">
            <v>75 mm thick plain cement concrete work in M15 concrete mix in flooring work including materials, required form work, curing all complete works</v>
          </cell>
          <cell r="D138" t="str">
            <v>75 mm PCC in M15 concrete mix in flooring work</v>
          </cell>
          <cell r="E138" t="str">
            <v>sqm</v>
          </cell>
          <cell r="F138">
            <v>298.99947727272729</v>
          </cell>
          <cell r="G138">
            <v>23.718749999999996</v>
          </cell>
          <cell r="H138">
            <v>31.05</v>
          </cell>
          <cell r="I138">
            <v>53.958000000000006</v>
          </cell>
          <cell r="J138">
            <v>190.27272727272725</v>
          </cell>
        </row>
        <row r="139">
          <cell r="A139">
            <v>11.4</v>
          </cell>
          <cell r="B139" t="str">
            <v>11-4</v>
          </cell>
          <cell r="C139" t="str">
            <v>20mm thick mosaic flooring with 12.5 thick cement plaster (1:2) base course and 6.5 mm thick marble chips white cement (1:1) surface course including rubbing and polishing</v>
          </cell>
          <cell r="D139" t="str">
            <v>20mm mosaic flooring with white cement in (1:1) over 12.5 thick cement plaster (1:2)</v>
          </cell>
          <cell r="E139" t="str">
            <v>sqm</v>
          </cell>
          <cell r="F139">
            <v>633.17684818181829</v>
          </cell>
          <cell r="G139">
            <v>66.412499999999994</v>
          </cell>
          <cell r="H139">
            <v>372.59999999999997</v>
          </cell>
          <cell r="I139">
            <v>5.6119999999999992</v>
          </cell>
          <cell r="J139">
            <v>188.55234818181816</v>
          </cell>
        </row>
        <row r="140">
          <cell r="A140" t="str">
            <v>11.6.1</v>
          </cell>
          <cell r="B140" t="str">
            <v>11-6</v>
          </cell>
          <cell r="C140" t="str">
            <v>20 mm thick marble flooring on 20mm thick 1:2 cement sand mortar including rubbing and polishing</v>
          </cell>
          <cell r="D140" t="str">
            <v>20 mm marble flooring on 20mm thick 1:2 mortar</v>
          </cell>
          <cell r="E140" t="str">
            <v>sqm</v>
          </cell>
          <cell r="F140">
            <v>305.72614090909093</v>
          </cell>
          <cell r="G140">
            <v>37.949999999999996</v>
          </cell>
          <cell r="H140">
            <v>62.1</v>
          </cell>
          <cell r="I140">
            <v>6.9</v>
          </cell>
          <cell r="J140">
            <v>198.77614090909088</v>
          </cell>
        </row>
        <row r="141">
          <cell r="A141" t="str">
            <v>11.6.2</v>
          </cell>
          <cell r="B141" t="str">
            <v>11-6</v>
          </cell>
          <cell r="C141" t="str">
            <v>25 mm thick Kota stone flooring on 20mm thick 1:4 cement sand mortar including rubbing and polishing</v>
          </cell>
          <cell r="D141" t="str">
            <v>25 mm Kota stone flooring on 20mm thick 1:4 mortar</v>
          </cell>
          <cell r="E141" t="str">
            <v>sqm</v>
          </cell>
          <cell r="F141">
            <v>1117.8511227272727</v>
          </cell>
          <cell r="G141">
            <v>37.949999999999996</v>
          </cell>
          <cell r="H141">
            <v>130.41</v>
          </cell>
          <cell r="I141">
            <v>10.119999999999999</v>
          </cell>
          <cell r="J141">
            <v>939.37112272727268</v>
          </cell>
        </row>
        <row r="142">
          <cell r="A142">
            <v>11.7</v>
          </cell>
          <cell r="B142" t="str">
            <v>11-7</v>
          </cell>
          <cell r="C142" t="str">
            <v>Porcelain glazed tiles overlay in 1:4 cement sand mortar</v>
          </cell>
          <cell r="D142" t="str">
            <v>Porcelain glazed tiles overlay in 1:4 cement sand mortar</v>
          </cell>
          <cell r="E142" t="str">
            <v>sqm</v>
          </cell>
          <cell r="F142">
            <v>1169.4133381818181</v>
          </cell>
          <cell r="G142">
            <v>246.67500000000001</v>
          </cell>
          <cell r="H142">
            <v>46.574999999999996</v>
          </cell>
          <cell r="I142">
            <v>6.9919999999999991</v>
          </cell>
          <cell r="J142">
            <v>869.1713381818181</v>
          </cell>
        </row>
        <row r="143">
          <cell r="A143" t="str">
            <v>11.7.1</v>
          </cell>
          <cell r="B143" t="str">
            <v>11-7</v>
          </cell>
          <cell r="C143" t="str">
            <v>Porcelain non-glazed tiles overlay in 1:4 cement sand mortar</v>
          </cell>
          <cell r="D143" t="str">
            <v>Porcelain non-glazed tiles overlay in 1:4 cement sand mortar</v>
          </cell>
          <cell r="E143" t="str">
            <v>sqm</v>
          </cell>
          <cell r="F143">
            <v>1169.4133381818181</v>
          </cell>
          <cell r="G143">
            <v>246.67500000000001</v>
          </cell>
          <cell r="H143">
            <v>46.574999999999996</v>
          </cell>
          <cell r="I143">
            <v>6.9919999999999991</v>
          </cell>
          <cell r="J143">
            <v>869.1713381818181</v>
          </cell>
        </row>
        <row r="144">
          <cell r="A144" t="str">
            <v>11.15.a</v>
          </cell>
          <cell r="B144" t="str">
            <v>11-15(a)</v>
          </cell>
          <cell r="C144" t="str">
            <v xml:space="preserve">Brick soling on flat with sand </v>
          </cell>
          <cell r="D144" t="str">
            <v xml:space="preserve">Brick soling on flat with sand </v>
          </cell>
          <cell r="E144" t="str">
            <v>sqm</v>
          </cell>
          <cell r="F144">
            <v>187.73750000000001</v>
          </cell>
          <cell r="G144">
            <v>9.4874999999999989</v>
          </cell>
          <cell r="H144">
            <v>10.349999999999998</v>
          </cell>
          <cell r="I144">
            <v>167.89999999999998</v>
          </cell>
          <cell r="J144">
            <v>0</v>
          </cell>
        </row>
        <row r="145">
          <cell r="A145" t="str">
            <v>11.15.b</v>
          </cell>
          <cell r="B145" t="str">
            <v>11-15(b)</v>
          </cell>
          <cell r="C145" t="str">
            <v xml:space="preserve">Brick soling on edge with sand </v>
          </cell>
          <cell r="D145" t="str">
            <v xml:space="preserve">Brick soling on edge with sand </v>
          </cell>
          <cell r="E145" t="str">
            <v>sqm</v>
          </cell>
          <cell r="F145">
            <v>326.77249999999998</v>
          </cell>
          <cell r="G145">
            <v>18.974999999999998</v>
          </cell>
          <cell r="H145">
            <v>33.637500000000003</v>
          </cell>
          <cell r="I145">
            <v>274.15999999999997</v>
          </cell>
          <cell r="J145">
            <v>0</v>
          </cell>
        </row>
        <row r="146">
          <cell r="A146">
            <v>11.16</v>
          </cell>
          <cell r="B146" t="str">
            <v>11-16</v>
          </cell>
          <cell r="C146" t="str">
            <v xml:space="preserve">Stone soling with sand </v>
          </cell>
          <cell r="D146" t="str">
            <v xml:space="preserve">Stone soling with sand </v>
          </cell>
          <cell r="E146" t="str">
            <v>cum</v>
          </cell>
          <cell r="F146">
            <v>1511.1</v>
          </cell>
          <cell r="G146">
            <v>189.74999999999997</v>
          </cell>
          <cell r="H146">
            <v>362.25</v>
          </cell>
          <cell r="I146">
            <v>959.09999999999991</v>
          </cell>
          <cell r="J146">
            <v>0</v>
          </cell>
        </row>
        <row r="147">
          <cell r="A147" t="str">
            <v>11.19.a</v>
          </cell>
          <cell r="B147" t="str">
            <v>11-19(a)</v>
          </cell>
          <cell r="C147" t="str">
            <v>Sand filling and compaction work with sprinkling of water</v>
          </cell>
          <cell r="D147" t="str">
            <v>Sand filling with compaction and sprinkling of water</v>
          </cell>
          <cell r="E147" t="str">
            <v>cum</v>
          </cell>
          <cell r="F147">
            <v>629.33749999999998</v>
          </cell>
          <cell r="G147">
            <v>123.33750000000001</v>
          </cell>
          <cell r="H147">
            <v>0</v>
          </cell>
          <cell r="I147">
            <v>506</v>
          </cell>
          <cell r="J147">
            <v>0</v>
          </cell>
        </row>
        <row r="148">
          <cell r="A148" t="str">
            <v>11.19.b</v>
          </cell>
          <cell r="B148" t="str">
            <v>11-19(b)</v>
          </cell>
          <cell r="C148" t="str">
            <v>Brick bats filling and compaction work with sprinkling of water</v>
          </cell>
          <cell r="D148" t="str">
            <v>Brick bats filling with compaction and sprinkling of water</v>
          </cell>
          <cell r="E148" t="str">
            <v>cum</v>
          </cell>
          <cell r="F148">
            <v>755.83749999999998</v>
          </cell>
          <cell r="G148">
            <v>123.33750000000001</v>
          </cell>
          <cell r="H148">
            <v>0</v>
          </cell>
          <cell r="I148">
            <v>632.49999999999989</v>
          </cell>
          <cell r="J148">
            <v>0</v>
          </cell>
        </row>
        <row r="150">
          <cell r="C150" t="str">
            <v>PLASTERING WORKS</v>
          </cell>
        </row>
        <row r="151">
          <cell r="A151" t="str">
            <v>12.1.a</v>
          </cell>
          <cell r="B151" t="str">
            <v>12-1(a)</v>
          </cell>
          <cell r="C151" t="str">
            <v>12.5 mm thick cement sand plastering works in 1:2 ration in walls and floor</v>
          </cell>
          <cell r="D151" t="str">
            <v>12.5 mm plastering works in 1:2 cement sand mortar</v>
          </cell>
          <cell r="E151" t="str">
            <v>sqm</v>
          </cell>
          <cell r="F151">
            <v>110.80563636363637</v>
          </cell>
          <cell r="G151">
            <v>22.77</v>
          </cell>
          <cell r="H151">
            <v>16.559999999999999</v>
          </cell>
          <cell r="I151">
            <v>5.6119999999999992</v>
          </cell>
          <cell r="J151">
            <v>65.863636363636346</v>
          </cell>
        </row>
        <row r="152">
          <cell r="A152" t="str">
            <v>12.1.b</v>
          </cell>
          <cell r="B152" t="str">
            <v>12-1(b)</v>
          </cell>
          <cell r="C152" t="str">
            <v>12.5 mm thick cement sand plastering works in 1:3 ration in walls and floor</v>
          </cell>
          <cell r="D152" t="str">
            <v>12.5 mm plastering works in 1:3 cement sand mortar</v>
          </cell>
          <cell r="E152" t="str">
            <v>sqm</v>
          </cell>
          <cell r="F152">
            <v>90.956636363636349</v>
          </cell>
          <cell r="G152">
            <v>22.77</v>
          </cell>
          <cell r="H152">
            <v>16.559999999999999</v>
          </cell>
          <cell r="I152">
            <v>5.8879999999999999</v>
          </cell>
          <cell r="J152">
            <v>45.73863636363636</v>
          </cell>
        </row>
        <row r="153">
          <cell r="A153" t="str">
            <v>12.1.c</v>
          </cell>
          <cell r="B153" t="str">
            <v>12-1(c)</v>
          </cell>
          <cell r="C153" t="str">
            <v>12.5 mm thick cement sand plastering works in 1:4 ration in walls and floor</v>
          </cell>
          <cell r="D153" t="str">
            <v>12.5 mm plastering works in 1:4 cement sand mortar</v>
          </cell>
          <cell r="E153" t="str">
            <v>sqm</v>
          </cell>
          <cell r="F153">
            <v>85.417818181818177</v>
          </cell>
          <cell r="G153">
            <v>22.77</v>
          </cell>
          <cell r="H153">
            <v>16.559999999999999</v>
          </cell>
          <cell r="I153">
            <v>6.7159999999999993</v>
          </cell>
          <cell r="J153">
            <v>39.371818181818178</v>
          </cell>
        </row>
        <row r="154">
          <cell r="A154" t="str">
            <v>12.1.d</v>
          </cell>
          <cell r="B154" t="str">
            <v>12-1(d)</v>
          </cell>
          <cell r="C154" t="str">
            <v>12.5 mm thick cement sand plastering works in 1:6 ration in walls and floor</v>
          </cell>
          <cell r="D154" t="str">
            <v>12.5 mm plastering works in 1:6 cement sand mortar</v>
          </cell>
          <cell r="E154" t="str">
            <v>sqm</v>
          </cell>
          <cell r="F154">
            <v>74.507454545454536</v>
          </cell>
          <cell r="G154">
            <v>22.77</v>
          </cell>
          <cell r="H154">
            <v>16.559999999999999</v>
          </cell>
          <cell r="I154">
            <v>7.2219999999999995</v>
          </cell>
          <cell r="J154">
            <v>27.95545454545454</v>
          </cell>
        </row>
        <row r="155">
          <cell r="A155" t="str">
            <v>12.4.a</v>
          </cell>
          <cell r="B155" t="str">
            <v>12-4(a)</v>
          </cell>
          <cell r="C155" t="str">
            <v>20 mm thick cement sand plastering works in 1:3 ration in walls and floor</v>
          </cell>
          <cell r="D155" t="str">
            <v>20 mm plastering works in 1:3 cement sand mortar</v>
          </cell>
          <cell r="E155" t="str">
            <v>sqm</v>
          </cell>
          <cell r="F155">
            <v>125.45454545454544</v>
          </cell>
          <cell r="G155">
            <v>26.565000000000001</v>
          </cell>
          <cell r="H155">
            <v>19.664999999999999</v>
          </cell>
          <cell r="I155">
            <v>8.9699999999999989</v>
          </cell>
          <cell r="J155">
            <v>70.254545454545436</v>
          </cell>
        </row>
        <row r="156">
          <cell r="A156" t="str">
            <v>12.4.b</v>
          </cell>
          <cell r="B156" t="str">
            <v>12-4(b)</v>
          </cell>
          <cell r="C156" t="str">
            <v>20 mm thick cement sand plastering works in 1:4 ration in walls and floor</v>
          </cell>
          <cell r="D156" t="str">
            <v>20 mm plastering works in 1:4 cement sand mortar</v>
          </cell>
          <cell r="E156" t="str">
            <v>sqm</v>
          </cell>
          <cell r="F156">
            <v>115.62727272727273</v>
          </cell>
          <cell r="G156">
            <v>26.565000000000001</v>
          </cell>
          <cell r="H156">
            <v>19.664999999999999</v>
          </cell>
          <cell r="I156">
            <v>10.119999999999999</v>
          </cell>
          <cell r="J156">
            <v>59.277272727272724</v>
          </cell>
        </row>
        <row r="157">
          <cell r="A157" t="str">
            <v>12.4.c</v>
          </cell>
          <cell r="B157" t="str">
            <v>12-4(c)</v>
          </cell>
          <cell r="C157" t="str">
            <v>20 mm thick cement sand plastering works in 1:6 ration in walls and floor</v>
          </cell>
          <cell r="D157" t="str">
            <v>20 mm plastering works in 1:6 cement sand mortar</v>
          </cell>
          <cell r="E157" t="str">
            <v>sqm</v>
          </cell>
          <cell r="F157">
            <v>98.753636363636346</v>
          </cell>
          <cell r="G157">
            <v>26.565000000000001</v>
          </cell>
          <cell r="H157">
            <v>19.664999999999999</v>
          </cell>
          <cell r="I157">
            <v>10.81</v>
          </cell>
          <cell r="J157">
            <v>41.713636363636354</v>
          </cell>
        </row>
        <row r="160">
          <cell r="C160" t="str">
            <v>PAINTING WORKS</v>
          </cell>
        </row>
        <row r="161">
          <cell r="A161" t="str">
            <v>13.3.a</v>
          </cell>
          <cell r="B161" t="str">
            <v>13-3(a)</v>
          </cell>
          <cell r="C161" t="str">
            <v>Laying base course for distemper paint</v>
          </cell>
          <cell r="D161" t="str">
            <v>Laying base course for distemper paint</v>
          </cell>
          <cell r="E161" t="str">
            <v>sqm</v>
          </cell>
          <cell r="F161">
            <v>17.364999999999998</v>
          </cell>
          <cell r="G161">
            <v>3.7949999999999995</v>
          </cell>
          <cell r="H161">
            <v>2.0699999999999998</v>
          </cell>
          <cell r="I161">
            <v>0</v>
          </cell>
          <cell r="J161">
            <v>11.5</v>
          </cell>
        </row>
        <row r="162">
          <cell r="A162" t="str">
            <v>13.3.b</v>
          </cell>
          <cell r="B162" t="str">
            <v>13-3(a)+(b)</v>
          </cell>
          <cell r="C162" t="str">
            <v>Laying base course and one coat of distemper paint</v>
          </cell>
          <cell r="D162" t="str">
            <v>Laying base course and one coat of distemper paint</v>
          </cell>
          <cell r="E162" t="str">
            <v>sqm</v>
          </cell>
          <cell r="F162">
            <v>32.573749999999997</v>
          </cell>
          <cell r="G162">
            <v>7.589999999999999</v>
          </cell>
          <cell r="H162">
            <v>4.1399999999999997</v>
          </cell>
          <cell r="I162">
            <v>0</v>
          </cell>
          <cell r="J162">
            <v>20.84375</v>
          </cell>
        </row>
        <row r="163">
          <cell r="A163" t="str">
            <v>13.3.c</v>
          </cell>
          <cell r="B163" t="str">
            <v>13-3(a)+(b)+©</v>
          </cell>
          <cell r="C163" t="str">
            <v>Laying base course and two coats of distemper paint</v>
          </cell>
          <cell r="D163" t="str">
            <v>Laying base course and two coats of distemper paint</v>
          </cell>
          <cell r="E163" t="str">
            <v>sqm</v>
          </cell>
          <cell r="F163">
            <v>32.573749999999997</v>
          </cell>
          <cell r="G163">
            <v>7.589999999999999</v>
          </cell>
          <cell r="H163">
            <v>4.1399999999999997</v>
          </cell>
          <cell r="I163">
            <v>0</v>
          </cell>
          <cell r="J163">
            <v>20.84375</v>
          </cell>
        </row>
        <row r="164">
          <cell r="A164" t="str">
            <v>13.4.a</v>
          </cell>
          <cell r="B164" t="str">
            <v>13-4(a)</v>
          </cell>
          <cell r="C164" t="str">
            <v>Laying one coat of water proof cement paint</v>
          </cell>
          <cell r="D164" t="str">
            <v>Laying one coat of water proof cement paint</v>
          </cell>
          <cell r="E164" t="str">
            <v>sqm</v>
          </cell>
          <cell r="F164">
            <v>22.235250000000001</v>
          </cell>
          <cell r="G164">
            <v>3.2257499999999997</v>
          </cell>
          <cell r="H164">
            <v>1.7594999999999998</v>
          </cell>
          <cell r="I164">
            <v>0</v>
          </cell>
          <cell r="J164">
            <v>17.249999999999996</v>
          </cell>
        </row>
        <row r="165">
          <cell r="A165" t="str">
            <v>13.4.b</v>
          </cell>
          <cell r="B165" t="str">
            <v>13-4(b)</v>
          </cell>
          <cell r="C165" t="str">
            <v>Laying two coat of water proof cement paint</v>
          </cell>
          <cell r="D165" t="str">
            <v>Laying two coat of water proof cement paint</v>
          </cell>
          <cell r="E165" t="str">
            <v>sqm</v>
          </cell>
          <cell r="F165">
            <v>42.55</v>
          </cell>
          <cell r="G165">
            <v>9.4874999999999989</v>
          </cell>
          <cell r="H165">
            <v>5.1749999999999998</v>
          </cell>
          <cell r="I165">
            <v>0</v>
          </cell>
          <cell r="J165">
            <v>27.887499999999999</v>
          </cell>
        </row>
        <row r="166">
          <cell r="A166" t="str">
            <v>13.5.a</v>
          </cell>
          <cell r="B166" t="str">
            <v>13-5(a)</v>
          </cell>
          <cell r="C166" t="str">
            <v>Laying primer course for enamel paint</v>
          </cell>
          <cell r="D166" t="str">
            <v>Laying primer course for enamel paint</v>
          </cell>
          <cell r="E166" t="str">
            <v>sqm</v>
          </cell>
          <cell r="F166">
            <v>24.633000000000003</v>
          </cell>
          <cell r="G166">
            <v>5.6924999999999999</v>
          </cell>
          <cell r="H166">
            <v>3.105</v>
          </cell>
          <cell r="I166">
            <v>0</v>
          </cell>
          <cell r="J166">
            <v>15.8355</v>
          </cell>
        </row>
        <row r="167">
          <cell r="A167" t="str">
            <v>13.5.b</v>
          </cell>
          <cell r="B167" t="str">
            <v>13-5(a)+(b)</v>
          </cell>
          <cell r="C167" t="str">
            <v>Laying primer course and one coat of readymade Ist grade enamel paint</v>
          </cell>
          <cell r="D167" t="str">
            <v>Laying primer course and one coat of enamel paint</v>
          </cell>
          <cell r="E167" t="str">
            <v>sqm</v>
          </cell>
          <cell r="F167">
            <v>58.443000000000005</v>
          </cell>
          <cell r="G167">
            <v>15.179999999999998</v>
          </cell>
          <cell r="H167">
            <v>5.1749999999999998</v>
          </cell>
          <cell r="I167">
            <v>0</v>
          </cell>
          <cell r="J167">
            <v>38.087999999999994</v>
          </cell>
        </row>
        <row r="168">
          <cell r="A168" t="str">
            <v>13.5.c</v>
          </cell>
          <cell r="B168" t="str">
            <v>13-5(a)+(b)+©</v>
          </cell>
          <cell r="C168" t="str">
            <v>Laying primer course and two coats of readymade Ist grade enamel paint</v>
          </cell>
          <cell r="D168" t="str">
            <v>Laying primer course and two coats of enamel paint</v>
          </cell>
          <cell r="E168" t="str">
            <v>sqm</v>
          </cell>
          <cell r="F168">
            <v>86.445499999999996</v>
          </cell>
          <cell r="G168">
            <v>22.77</v>
          </cell>
          <cell r="H168">
            <v>8.2799999999999994</v>
          </cell>
          <cell r="I168">
            <v>0</v>
          </cell>
          <cell r="J168">
            <v>55.395499999999991</v>
          </cell>
        </row>
        <row r="169">
          <cell r="A169" t="str">
            <v>13.5.a.1</v>
          </cell>
          <cell r="B169" t="str">
            <v>13-5(a)</v>
          </cell>
          <cell r="C169" t="str">
            <v>Laying cement primer for plastic emulsion</v>
          </cell>
          <cell r="D169" t="str">
            <v>Laying cement primer for plastic emulsion</v>
          </cell>
          <cell r="E169" t="str">
            <v>sqm</v>
          </cell>
          <cell r="F169">
            <v>24.633000000000003</v>
          </cell>
          <cell r="G169">
            <v>5.6924999999999999</v>
          </cell>
          <cell r="H169">
            <v>3.105</v>
          </cell>
          <cell r="I169">
            <v>0</v>
          </cell>
          <cell r="J169">
            <v>15.8355</v>
          </cell>
        </row>
        <row r="170">
          <cell r="A170" t="str">
            <v>13.5.b</v>
          </cell>
          <cell r="B170" t="str">
            <v>13-5(a)+(b)</v>
          </cell>
          <cell r="C170" t="str">
            <v>Laying cement primer and one coat of readymade Ist grade plastic emulsion</v>
          </cell>
          <cell r="D170" t="str">
            <v>Laying cement primer and one coat of plastic emulsion</v>
          </cell>
          <cell r="E170" t="str">
            <v>sqm</v>
          </cell>
          <cell r="F170">
            <v>58.443000000000005</v>
          </cell>
          <cell r="G170">
            <v>15.179999999999998</v>
          </cell>
          <cell r="H170">
            <v>5.1749999999999998</v>
          </cell>
          <cell r="I170">
            <v>0</v>
          </cell>
          <cell r="J170">
            <v>38.087999999999994</v>
          </cell>
        </row>
        <row r="171">
          <cell r="A171" t="str">
            <v>13.5.c.1</v>
          </cell>
          <cell r="B171" t="str">
            <v>13-5(a)+(b)+©</v>
          </cell>
          <cell r="C171" t="str">
            <v>Laying cement primer and two coats of readymade Ist grade plastic emulsion</v>
          </cell>
          <cell r="D171" t="str">
            <v>Laying cement primer and two coats of plastic emulsion</v>
          </cell>
          <cell r="E171" t="str">
            <v>sqm</v>
          </cell>
          <cell r="F171">
            <v>97.485499999999988</v>
          </cell>
          <cell r="G171">
            <v>22.77</v>
          </cell>
          <cell r="H171">
            <v>8.2799999999999994</v>
          </cell>
          <cell r="I171">
            <v>0</v>
          </cell>
          <cell r="J171">
            <v>66.43549999999999</v>
          </cell>
        </row>
        <row r="172">
          <cell r="A172" t="str">
            <v>13.8.a</v>
          </cell>
          <cell r="B172" t="str">
            <v>13-8(a)</v>
          </cell>
          <cell r="C172" t="str">
            <v>Laying one coat of boiled linseed oil</v>
          </cell>
          <cell r="D172" t="str">
            <v>Laying one coat of boiled linseed oil</v>
          </cell>
          <cell r="E172" t="str">
            <v>sqm</v>
          </cell>
          <cell r="F172">
            <v>10.695</v>
          </cell>
          <cell r="G172">
            <v>3.7949999999999995</v>
          </cell>
          <cell r="H172">
            <v>2.0699999999999998</v>
          </cell>
          <cell r="I172">
            <v>0</v>
          </cell>
          <cell r="J172">
            <v>4.8299999999999992</v>
          </cell>
        </row>
        <row r="173">
          <cell r="A173" t="str">
            <v>13.8.b</v>
          </cell>
          <cell r="B173" t="str">
            <v>13-8(a)+(b)</v>
          </cell>
          <cell r="C173" t="str">
            <v>Laying two coats of boiled linseed oil</v>
          </cell>
          <cell r="D173" t="str">
            <v>Laying two coats of boiled linseed oil</v>
          </cell>
          <cell r="E173" t="str">
            <v>sqm</v>
          </cell>
          <cell r="F173">
            <v>20.585000000000001</v>
          </cell>
          <cell r="G173">
            <v>7.589999999999999</v>
          </cell>
          <cell r="H173">
            <v>4.1399999999999997</v>
          </cell>
          <cell r="I173">
            <v>0</v>
          </cell>
          <cell r="J173">
            <v>8.8549999999999986</v>
          </cell>
        </row>
        <row r="174">
          <cell r="A174" t="str">
            <v>13.9.a</v>
          </cell>
          <cell r="B174" t="str">
            <v>13-9(a)</v>
          </cell>
          <cell r="C174" t="str">
            <v>Laying one coat of varnish</v>
          </cell>
          <cell r="D174" t="str">
            <v>Laying one coat of varnish</v>
          </cell>
          <cell r="E174" t="str">
            <v>sqm</v>
          </cell>
          <cell r="F174">
            <v>10.522500000000001</v>
          </cell>
          <cell r="G174">
            <v>5.6924999999999999</v>
          </cell>
          <cell r="H174">
            <v>2.0699999999999998</v>
          </cell>
          <cell r="I174">
            <v>0</v>
          </cell>
          <cell r="J174">
            <v>2.76</v>
          </cell>
        </row>
        <row r="175">
          <cell r="A175" t="str">
            <v>13.9.b</v>
          </cell>
          <cell r="B175" t="str">
            <v>13-9(a)+(b)</v>
          </cell>
          <cell r="C175" t="str">
            <v>Laying two coats of varnish</v>
          </cell>
          <cell r="D175" t="str">
            <v>Laying two coats of varnish</v>
          </cell>
          <cell r="E175" t="str">
            <v>sqm</v>
          </cell>
          <cell r="F175">
            <v>20.585000000000001</v>
          </cell>
          <cell r="G175">
            <v>11.385</v>
          </cell>
          <cell r="H175">
            <v>4.1399999999999997</v>
          </cell>
          <cell r="I175">
            <v>0</v>
          </cell>
          <cell r="J175">
            <v>5.0599999999999996</v>
          </cell>
        </row>
        <row r="176">
          <cell r="A176" t="str">
            <v>13.10.a</v>
          </cell>
          <cell r="B176" t="str">
            <v>13-10(a)</v>
          </cell>
          <cell r="C176" t="str">
            <v>Laying one coat of bitumen paint</v>
          </cell>
          <cell r="D176" t="str">
            <v>Laying one coat of bitumen paint</v>
          </cell>
          <cell r="E176" t="str">
            <v>sqm</v>
          </cell>
          <cell r="F176">
            <v>15.151249999999999</v>
          </cell>
          <cell r="G176">
            <v>2.8462499999999999</v>
          </cell>
          <cell r="H176">
            <v>1.0349999999999999</v>
          </cell>
          <cell r="I176">
            <v>0</v>
          </cell>
          <cell r="J176">
            <v>11.27</v>
          </cell>
        </row>
        <row r="177">
          <cell r="A177" t="str">
            <v>13.10.b</v>
          </cell>
          <cell r="B177" t="str">
            <v>13-10(a)+(b)</v>
          </cell>
          <cell r="C177" t="str">
            <v>Laying two coats of bitumen paint</v>
          </cell>
          <cell r="D177" t="str">
            <v>Laying two coats of bitumen paint</v>
          </cell>
          <cell r="E177" t="str">
            <v>sqm</v>
          </cell>
          <cell r="F177">
            <v>26.133749999999999</v>
          </cell>
          <cell r="G177">
            <v>4.7437499999999995</v>
          </cell>
          <cell r="H177">
            <v>2.0699999999999998</v>
          </cell>
          <cell r="I177">
            <v>0</v>
          </cell>
          <cell r="J177">
            <v>19.319999999999997</v>
          </cell>
        </row>
        <row r="178">
          <cell r="A178" t="str">
            <v>13.11.a</v>
          </cell>
          <cell r="B178" t="str">
            <v>13-11(a)</v>
          </cell>
          <cell r="C178" t="str">
            <v>Laying three coats pf Chapra polish</v>
          </cell>
          <cell r="D178" t="str">
            <v>Laying three coats pf Chapra polish</v>
          </cell>
          <cell r="E178" t="str">
            <v>sqm</v>
          </cell>
          <cell r="F178">
            <v>14.921250000000001</v>
          </cell>
          <cell r="G178">
            <v>2.8462499999999999</v>
          </cell>
          <cell r="H178">
            <v>1.0349999999999999</v>
          </cell>
          <cell r="I178">
            <v>0</v>
          </cell>
          <cell r="J178">
            <v>5.8650000000000002</v>
          </cell>
        </row>
        <row r="179">
          <cell r="A179" t="str">
            <v>13.12.a</v>
          </cell>
          <cell r="B179" t="str">
            <v>13-12(a)</v>
          </cell>
          <cell r="C179" t="str">
            <v>Laying one coat of cement paint over plastered surface</v>
          </cell>
          <cell r="D179" t="str">
            <v xml:space="preserve">Laying one coat of cement paint </v>
          </cell>
          <cell r="E179" t="str">
            <v>sqm</v>
          </cell>
          <cell r="F179">
            <v>27.513750000000002</v>
          </cell>
          <cell r="G179">
            <v>6.6412500000000003</v>
          </cell>
          <cell r="H179">
            <v>3.6225000000000001</v>
          </cell>
          <cell r="I179">
            <v>0</v>
          </cell>
          <cell r="J179">
            <v>17.249999999999996</v>
          </cell>
        </row>
        <row r="180">
          <cell r="A180" t="str">
            <v>13.12.b</v>
          </cell>
          <cell r="B180" t="str">
            <v>13-12(a)+(b)</v>
          </cell>
          <cell r="C180" t="str">
            <v>Laying two coats of cement paint over plastered surface</v>
          </cell>
          <cell r="D180" t="str">
            <v xml:space="preserve">Laying two coats of cement paint </v>
          </cell>
          <cell r="E180" t="str">
            <v>sqm</v>
          </cell>
          <cell r="F180">
            <v>47.811250000000001</v>
          </cell>
          <cell r="G180">
            <v>12.33375</v>
          </cell>
          <cell r="H180">
            <v>6.7275</v>
          </cell>
          <cell r="I180">
            <v>0</v>
          </cell>
          <cell r="J180">
            <v>28.75</v>
          </cell>
        </row>
        <row r="181">
          <cell r="C181" t="str">
            <v>CEMENT POINTING WORKS</v>
          </cell>
        </row>
        <row r="182">
          <cell r="A182" t="str">
            <v>14.2.a</v>
          </cell>
          <cell r="B182" t="str">
            <v>14-2(a)</v>
          </cell>
          <cell r="C182" t="str">
            <v>Cement Pointing works in 1:1 cement sand mortar for rubble masonry work</v>
          </cell>
          <cell r="D182" t="str">
            <v>Cement Pointing in rubble masonry work in  1:1 mortar</v>
          </cell>
          <cell r="E182" t="str">
            <v>sqm</v>
          </cell>
          <cell r="F182">
            <v>80.23027272727272</v>
          </cell>
          <cell r="G182">
            <v>18.974999999999998</v>
          </cell>
          <cell r="H182">
            <v>14.49</v>
          </cell>
          <cell r="I182">
            <v>1.9779999999999998</v>
          </cell>
          <cell r="J182">
            <v>44.787272727272722</v>
          </cell>
        </row>
        <row r="183">
          <cell r="A183" t="str">
            <v>14.2.b</v>
          </cell>
          <cell r="B183" t="str">
            <v>14-2(b)</v>
          </cell>
          <cell r="C183" t="str">
            <v>Cement Pointing works in 1:2 cement sand mortar for rubble masonry work</v>
          </cell>
          <cell r="D183" t="str">
            <v>Cement Pointing in rubble masonry work in  1:2 mortar</v>
          </cell>
          <cell r="E183" t="str">
            <v>sqm</v>
          </cell>
          <cell r="F183">
            <v>65.945181818181823</v>
          </cell>
          <cell r="G183">
            <v>18.974999999999998</v>
          </cell>
          <cell r="H183">
            <v>14.49</v>
          </cell>
          <cell r="I183">
            <v>2.6219999999999994</v>
          </cell>
          <cell r="J183">
            <v>29.858181818181812</v>
          </cell>
        </row>
        <row r="184">
          <cell r="A184" t="str">
            <v>14.2.c</v>
          </cell>
          <cell r="B184" t="str">
            <v>14-2(c)</v>
          </cell>
          <cell r="C184" t="str">
            <v>Cement Pointing works in 1:3 cement sand mortar for rubble masonry work</v>
          </cell>
          <cell r="D184" t="str">
            <v>Cement Pointing in rubble masonry work in  1:3 mortar</v>
          </cell>
          <cell r="E184" t="str">
            <v>sqm</v>
          </cell>
          <cell r="F184">
            <v>58.75663636363636</v>
          </cell>
          <cell r="G184">
            <v>18.974999999999998</v>
          </cell>
          <cell r="H184">
            <v>14.49</v>
          </cell>
          <cell r="I184">
            <v>2.8979999999999997</v>
          </cell>
          <cell r="J184">
            <v>22.393636363636361</v>
          </cell>
        </row>
        <row r="185">
          <cell r="A185" t="str">
            <v>14.6</v>
          </cell>
          <cell r="B185" t="str">
            <v>14-6</v>
          </cell>
          <cell r="C185" t="str">
            <v>Cement punning works in 1:1 cement sand mortar</v>
          </cell>
          <cell r="D185" t="str">
            <v>Cement punning works in 1:1 cement sand mortar</v>
          </cell>
          <cell r="E185" t="str">
            <v>sqm</v>
          </cell>
          <cell r="F185">
            <v>54.972090909090909</v>
          </cell>
          <cell r="G185">
            <v>18.974999999999998</v>
          </cell>
          <cell r="H185">
            <v>10.35</v>
          </cell>
          <cell r="I185">
            <v>1.0580000000000001</v>
          </cell>
          <cell r="J185">
            <v>24.589090909090906</v>
          </cell>
        </row>
        <row r="186">
          <cell r="C186" t="str">
            <v>GABION WORKS</v>
          </cell>
        </row>
        <row r="187">
          <cell r="A187" t="str">
            <v>16.1.a</v>
          </cell>
          <cell r="B187" t="str">
            <v>16-1(a)</v>
          </cell>
          <cell r="C187" t="str">
            <v>2mx1mx1m size Gabion box fabrication including cutting of wires, mesh wire 9 SWG, Selwage wire 6 SWG (mesh size 80x100 hexagonal)</v>
          </cell>
          <cell r="D187" t="str">
            <v>2mx1mx1m size Gabion box fabrication, 9 and 6 SWG ( 80x100 hex)</v>
          </cell>
          <cell r="E187" t="str">
            <v>cum</v>
          </cell>
          <cell r="F187">
            <v>757.19659090909067</v>
          </cell>
          <cell r="G187">
            <v>47.437499999999993</v>
          </cell>
          <cell r="H187">
            <v>10.35</v>
          </cell>
          <cell r="I187">
            <v>0</v>
          </cell>
          <cell r="J187">
            <v>699.40909090909065</v>
          </cell>
        </row>
        <row r="188">
          <cell r="A188" t="str">
            <v>16.1.b</v>
          </cell>
          <cell r="B188" t="str">
            <v>16-1(b)</v>
          </cell>
          <cell r="C188" t="str">
            <v>3mx1mx1m size Gabion box fabrication including cutting of wires, mesh wire 9 SWG, Selwage wire 6 SWG (mesh size 80x100 hexagonal)</v>
          </cell>
          <cell r="D188" t="str">
            <v>3mx1mx1m size Gabion box fabrication, 9 and 6 SWG ( 80x100 hex)</v>
          </cell>
          <cell r="E188" t="str">
            <v>cum</v>
          </cell>
          <cell r="F188">
            <v>723.56606060606043</v>
          </cell>
          <cell r="G188">
            <v>44.274999999999991</v>
          </cell>
          <cell r="H188">
            <v>9.66</v>
          </cell>
          <cell r="I188">
            <v>0</v>
          </cell>
          <cell r="J188">
            <v>669.63106060606037</v>
          </cell>
        </row>
        <row r="189">
          <cell r="A189" t="str">
            <v>16.1.c</v>
          </cell>
          <cell r="B189" t="str">
            <v>16-1(c)</v>
          </cell>
          <cell r="C189" t="str">
            <v>2mx1mx0.5m size Gabion box fabrication including cutting of wires, mesh wire 9 SWG, Selwage wire 6 SWG (mesh size 80x100 hexagonal)</v>
          </cell>
          <cell r="D189" t="str">
            <v>2mx1mx0.5m size Gabion box fabrication, 9 and 6 SWG ( 80x100 hex)</v>
          </cell>
          <cell r="E189" t="str">
            <v>cum</v>
          </cell>
          <cell r="F189">
            <v>1053.3320454545453</v>
          </cell>
          <cell r="G189">
            <v>66.41249999999998</v>
          </cell>
          <cell r="H189">
            <v>14.49</v>
          </cell>
          <cell r="I189">
            <v>0</v>
          </cell>
          <cell r="J189">
            <v>972.42954545454529</v>
          </cell>
        </row>
        <row r="190">
          <cell r="A190" t="str">
            <v>16.1.d</v>
          </cell>
          <cell r="B190" t="str">
            <v>16-1(d)</v>
          </cell>
          <cell r="C190" t="str">
            <v>3mx1mx0.5m size Gabion box fabrication including cutting of wires, mesh wire 9 SWG, Selwage wire 6 SWG (mesh size 80x100 hexagonal)</v>
          </cell>
          <cell r="D190" t="str">
            <v>3mx1mx0.5m size Gabion box fabrication, 9 and 6 SWG ( 80x100 hex)</v>
          </cell>
          <cell r="E190" t="str">
            <v>cum</v>
          </cell>
          <cell r="F190">
            <v>1013.7772727272725</v>
          </cell>
          <cell r="G190">
            <v>63.249999999999993</v>
          </cell>
          <cell r="H190">
            <v>13.799999999999999</v>
          </cell>
          <cell r="I190">
            <v>0</v>
          </cell>
          <cell r="J190">
            <v>936.72727272727252</v>
          </cell>
        </row>
        <row r="191">
          <cell r="A191" t="str">
            <v>16.1.e</v>
          </cell>
          <cell r="B191" t="str">
            <v>16-1(e)</v>
          </cell>
          <cell r="C191" t="str">
            <v>2mx1mx0.3m size Gabion box fabrication including cutting of wires, mesh wire 9 SWG, Selwage wire 6 SWG (mesh size 80x100 hexagonal)</v>
          </cell>
          <cell r="D191" t="str">
            <v>2mx1mx0.3m size Gabion box fabrication, 9 and 6 SWG ( 80x100 hex)</v>
          </cell>
          <cell r="E191" t="str">
            <v>cum</v>
          </cell>
          <cell r="F191">
            <v>1444.2344696969697</v>
          </cell>
          <cell r="G191">
            <v>91.712499999999991</v>
          </cell>
          <cell r="H191">
            <v>20.7</v>
          </cell>
          <cell r="I191">
            <v>0</v>
          </cell>
          <cell r="J191">
            <v>1331.8219696969695</v>
          </cell>
        </row>
        <row r="192">
          <cell r="A192" t="str">
            <v>16.1.f</v>
          </cell>
          <cell r="B192" t="str">
            <v>16-1(f)</v>
          </cell>
          <cell r="C192" t="str">
            <v>3mx1mx0.3m size Gabion box fabrication including cutting of wires, mesh wire 9 SWG, Selwage wire 6 SWG (mesh size 80x100 hexagonal)</v>
          </cell>
          <cell r="D192" t="str">
            <v>3mx1mx0.3m size Gabion box fabrication, 9 and 6 SWG ( 80x100 hex)</v>
          </cell>
          <cell r="E192" t="str">
            <v>cum</v>
          </cell>
          <cell r="F192">
            <v>1401.9661616161613</v>
          </cell>
          <cell r="G192">
            <v>88.549999999999983</v>
          </cell>
          <cell r="H192">
            <v>19.549999999999997</v>
          </cell>
          <cell r="I192">
            <v>0</v>
          </cell>
          <cell r="J192">
            <v>1293.8661616161614</v>
          </cell>
        </row>
        <row r="193">
          <cell r="A193" t="str">
            <v>16.2.a</v>
          </cell>
          <cell r="B193" t="str">
            <v>16-2(a)</v>
          </cell>
          <cell r="C193" t="str">
            <v>2mx1mx1m size Gabion box fabrication including cutting of wires, mesh wire 10 SWG, Selwage wire 7 SWG (mesh size 80x100 hexagonal)</v>
          </cell>
          <cell r="D193" t="str">
            <v>2mx1mx1m size Gabion box fabrication, 10 and 7 SWG ( 80x100 hex)</v>
          </cell>
          <cell r="E193" t="str">
            <v>cum</v>
          </cell>
          <cell r="F193">
            <v>596.1965909090909</v>
          </cell>
          <cell r="G193">
            <v>47.437499999999993</v>
          </cell>
          <cell r="H193">
            <v>10.35</v>
          </cell>
          <cell r="I193">
            <v>0</v>
          </cell>
          <cell r="J193">
            <v>538.40909090909076</v>
          </cell>
        </row>
        <row r="194">
          <cell r="A194" t="str">
            <v>16.2.b</v>
          </cell>
          <cell r="B194" t="str">
            <v>16-2(b)</v>
          </cell>
          <cell r="C194" t="str">
            <v>3mx1mx1m size Gabion box fabrication including cutting of wires, mesh wire 10 SWG, Selwage wire 7 SWG (mesh size 80x100 hexagonal)</v>
          </cell>
          <cell r="D194" t="str">
            <v>3mx1mx1m size Gabion box fabrication, 10 and 7 SWG ( 80x100 hex)</v>
          </cell>
          <cell r="E194" t="str">
            <v>cum</v>
          </cell>
          <cell r="F194">
            <v>586.036515151515</v>
          </cell>
          <cell r="G194">
            <v>44.274999999999991</v>
          </cell>
          <cell r="H194">
            <v>9.66</v>
          </cell>
          <cell r="I194">
            <v>0</v>
          </cell>
          <cell r="J194">
            <v>532.10151515151506</v>
          </cell>
        </row>
        <row r="195">
          <cell r="A195" t="str">
            <v>16.2.c</v>
          </cell>
          <cell r="B195" t="str">
            <v>16-2(c)</v>
          </cell>
          <cell r="C195" t="str">
            <v>2mx1mx0.5m size Gabion box fabrication including cutting of wires, mesh wire 10 SWG, Selwage wire 7 SWG (mesh size 80x100 hexagonal)</v>
          </cell>
          <cell r="D195" t="str">
            <v>2mx1mx0.5m size Gabion box fabrication, 10 and 7 SWG ( 80x100 hex)</v>
          </cell>
          <cell r="E195" t="str">
            <v>cum</v>
          </cell>
          <cell r="F195">
            <v>854.74795454545438</v>
          </cell>
          <cell r="G195">
            <v>66.41249999999998</v>
          </cell>
          <cell r="H195">
            <v>14.49</v>
          </cell>
          <cell r="I195">
            <v>0</v>
          </cell>
          <cell r="J195">
            <v>773.84545454545434</v>
          </cell>
        </row>
        <row r="196">
          <cell r="A196" t="str">
            <v>16.2.d</v>
          </cell>
          <cell r="B196" t="str">
            <v>16-2(d)</v>
          </cell>
          <cell r="C196" t="str">
            <v>3mx1mx0.5m size Gabion box fabrication including cutting of wires, mesh wire 10 SWG, Selwage wire 7 SWG (mesh size 80x100 hexagonal)</v>
          </cell>
          <cell r="D196" t="str">
            <v>3mx1mx0.5m size Gabion box fabrication, 10 and 7 SWG ( 80x100 hex)</v>
          </cell>
          <cell r="E196" t="str">
            <v>cum</v>
          </cell>
          <cell r="F196">
            <v>822.24999999999989</v>
          </cell>
          <cell r="G196">
            <v>63.249999999999993</v>
          </cell>
          <cell r="H196">
            <v>13.799999999999999</v>
          </cell>
          <cell r="I196">
            <v>0</v>
          </cell>
          <cell r="J196">
            <v>745.19999999999982</v>
          </cell>
        </row>
        <row r="197">
          <cell r="A197" t="str">
            <v>16.2.e</v>
          </cell>
          <cell r="B197" t="str">
            <v>16-2(e)</v>
          </cell>
          <cell r="C197" t="str">
            <v>2mx1mx0.3m size Gabion box fabrication including cutting of wires, mesh wire 10 SWG, Selwage wire 7 SWG (mesh size 80x100 hexagonal)</v>
          </cell>
          <cell r="D197" t="str">
            <v>2mx1mx0.3m size Gabion box fabrication, 10 and 7 SWG ( 80x100 hex)</v>
          </cell>
          <cell r="E197" t="str">
            <v>cum</v>
          </cell>
          <cell r="F197">
            <v>1174.8556818181817</v>
          </cell>
          <cell r="G197">
            <v>91.712499999999991</v>
          </cell>
          <cell r="H197">
            <v>20.7</v>
          </cell>
          <cell r="I197">
            <v>0</v>
          </cell>
          <cell r="J197">
            <v>1062.4431818181815</v>
          </cell>
        </row>
        <row r="198">
          <cell r="A198" t="str">
            <v>16.2.f</v>
          </cell>
          <cell r="B198" t="str">
            <v>16-2(f)</v>
          </cell>
          <cell r="C198" t="str">
            <v>3mx1mx0.3m size Gabion box fabrication including cutting of wires, mesh wire 10 SWG, Selwage wire 7 SWG (mesh size 80x100 hexagonal)</v>
          </cell>
          <cell r="D198" t="str">
            <v>3mx1mx0.3m size Gabion box fabrication, 10 and 7 SWG ( 80x100 hex)</v>
          </cell>
          <cell r="E198" t="str">
            <v>cum</v>
          </cell>
          <cell r="F198">
            <v>1138.7439393939392</v>
          </cell>
          <cell r="G198">
            <v>88.549999999999983</v>
          </cell>
          <cell r="H198">
            <v>19.549999999999997</v>
          </cell>
          <cell r="I198">
            <v>0</v>
          </cell>
          <cell r="J198">
            <v>1030.643939393939</v>
          </cell>
        </row>
        <row r="199">
          <cell r="A199" t="str">
            <v>16.3.a</v>
          </cell>
          <cell r="B199" t="str">
            <v>16-3(a)</v>
          </cell>
          <cell r="C199" t="str">
            <v>2mx1mx1m size Gabion box fabrication including cutting of wires, mesh wire 11 SWG, Selwage wire 8 SWG (mesh size 80x100 hexagonal)</v>
          </cell>
          <cell r="D199" t="str">
            <v>2mx1mx1m size Gabion box fabrication, 11 and 8 SWG ( 80x100 hex)</v>
          </cell>
          <cell r="E199" t="str">
            <v>cum</v>
          </cell>
          <cell r="F199">
            <v>553.93409090909086</v>
          </cell>
          <cell r="G199">
            <v>47.437499999999993</v>
          </cell>
          <cell r="H199">
            <v>10.35</v>
          </cell>
          <cell r="I199">
            <v>0</v>
          </cell>
          <cell r="J199">
            <v>496.14659090909083</v>
          </cell>
        </row>
        <row r="200">
          <cell r="A200" t="str">
            <v>16.3.b</v>
          </cell>
          <cell r="B200" t="str">
            <v>16-3(b)</v>
          </cell>
          <cell r="C200" t="str">
            <v>3mx1mx1m size Gabion box fabrication including cutting of wires, mesh wire 11 SWG, Selwage wire 8 SWG (mesh size 80x100 hexagonal)</v>
          </cell>
          <cell r="D200" t="str">
            <v>3mx1mx1m size Gabion box fabrication, 11 and 8 SWG ( 80x100 hex)</v>
          </cell>
          <cell r="E200" t="str">
            <v>cum</v>
          </cell>
          <cell r="F200">
            <v>495.20393939393927</v>
          </cell>
          <cell r="G200">
            <v>44.274999999999991</v>
          </cell>
          <cell r="H200">
            <v>9.66</v>
          </cell>
          <cell r="I200">
            <v>0</v>
          </cell>
          <cell r="J200">
            <v>441.26893939393926</v>
          </cell>
        </row>
        <row r="201">
          <cell r="A201" t="str">
            <v>16.3.c</v>
          </cell>
          <cell r="B201" t="str">
            <v>16-3(c)</v>
          </cell>
          <cell r="C201" t="str">
            <v>2mx1mx0.5m size Gabion box fabrication including cutting of wires, mesh wire 11 SWG, Selwage wire 8 SWG (mesh size 80x100 hexagonal)</v>
          </cell>
          <cell r="D201" t="str">
            <v>2mx1mx0.5m size Gabion box fabrication, 11 and 8 SWG ( 80x100 hex)</v>
          </cell>
          <cell r="E201" t="str">
            <v>cum</v>
          </cell>
          <cell r="F201">
            <v>722.4456818181817</v>
          </cell>
          <cell r="G201">
            <v>66.41249999999998</v>
          </cell>
          <cell r="H201">
            <v>14.49</v>
          </cell>
          <cell r="I201">
            <v>0</v>
          </cell>
          <cell r="J201">
            <v>641.54318181818167</v>
          </cell>
        </row>
        <row r="202">
          <cell r="A202" t="str">
            <v>16.3.d</v>
          </cell>
          <cell r="B202" t="str">
            <v>16-3(d)</v>
          </cell>
          <cell r="C202" t="str">
            <v>3mx1mx0.5m size Gabion box fabrication including cutting of wires, mesh wire 11 SWG, Selwage wire 8 SWG (mesh size 80x100 hexagonal)</v>
          </cell>
          <cell r="D202" t="str">
            <v>3mx1mx0.5m size Gabion box fabrication, 11 and 8 SWG ( 80x100 hex)</v>
          </cell>
          <cell r="E202" t="str">
            <v>cum</v>
          </cell>
          <cell r="F202">
            <v>694.21666666666658</v>
          </cell>
          <cell r="G202">
            <v>63.249999999999993</v>
          </cell>
          <cell r="H202">
            <v>13.799999999999999</v>
          </cell>
          <cell r="I202">
            <v>0</v>
          </cell>
          <cell r="J202">
            <v>617.16666666666663</v>
          </cell>
        </row>
        <row r="203">
          <cell r="A203" t="str">
            <v>16.3.e</v>
          </cell>
          <cell r="B203" t="str">
            <v>16-3(e)</v>
          </cell>
          <cell r="C203" t="str">
            <v>2mx1mx0.3m size Gabion box fabrication including cutting of wires, mesh wire 11 SWG, Selwage wire 8 SWG (mesh size 80x100 hexagonal)</v>
          </cell>
          <cell r="D203" t="str">
            <v>2mx1mx0.3m size Gabion box fabrication, 11 and 8 SWG ( 80x100 hex)</v>
          </cell>
          <cell r="E203" t="str">
            <v>cum</v>
          </cell>
          <cell r="F203">
            <v>994.60189393939379</v>
          </cell>
          <cell r="G203">
            <v>91.712499999999991</v>
          </cell>
          <cell r="H203">
            <v>20.7</v>
          </cell>
          <cell r="I203">
            <v>0</v>
          </cell>
          <cell r="J203">
            <v>882.18939393939377</v>
          </cell>
        </row>
        <row r="204">
          <cell r="A204" t="str">
            <v>16.3.f</v>
          </cell>
          <cell r="B204" t="str">
            <v>16-3(f)</v>
          </cell>
          <cell r="C204" t="str">
            <v>3mx1mx0.3m size Gabion box fabrication including cutting of wires, mesh wire 11 SWG, Selwage wire 8 SWG (mesh size 80x100 hexagonal)</v>
          </cell>
          <cell r="D204" t="str">
            <v>3mx1mx0.3m size Gabion box fabrication, 11 and 8 SWG ( 80x100 hex)</v>
          </cell>
          <cell r="E204" t="str">
            <v>cum</v>
          </cell>
          <cell r="F204">
            <v>959.4484848484849</v>
          </cell>
          <cell r="G204">
            <v>88.549999999999983</v>
          </cell>
          <cell r="H204">
            <v>19.549999999999997</v>
          </cell>
          <cell r="I204">
            <v>0</v>
          </cell>
          <cell r="J204">
            <v>851.34848484848487</v>
          </cell>
        </row>
        <row r="205">
          <cell r="A205" t="str">
            <v>16.4.a</v>
          </cell>
          <cell r="B205" t="str">
            <v>16-4(a)</v>
          </cell>
          <cell r="C205" t="str">
            <v>2mx1mx1m size Gabion box fabrication including cutting of wires, mesh wire 9 SWG, Selwage wire 6 SWG (mesh size 100x120 hexagonal)</v>
          </cell>
          <cell r="D205" t="str">
            <v>2mx1mx1m size Gabion box fabrication, 9 and 6 SWG ( 100x120 hex)</v>
          </cell>
          <cell r="E205" t="str">
            <v>cum</v>
          </cell>
          <cell r="F205">
            <v>742.93920454545446</v>
          </cell>
          <cell r="G205">
            <v>42.693749999999994</v>
          </cell>
          <cell r="H205">
            <v>10.35</v>
          </cell>
          <cell r="I205">
            <v>0</v>
          </cell>
          <cell r="J205">
            <v>689.89545454545441</v>
          </cell>
        </row>
        <row r="206">
          <cell r="A206" t="str">
            <v>16.4.b</v>
          </cell>
          <cell r="B206" t="str">
            <v>16-4(b)</v>
          </cell>
          <cell r="C206" t="str">
            <v>3mx1mx1m size Gabion box fabrication including cutting of wires, mesh wire 9 SWG, Selwage wire 6 SWG (mesh size 100x120 hexagonal)</v>
          </cell>
          <cell r="D206" t="str">
            <v>3mx1mx1m size Gabion box fabrication, 9 and 6 SWG ( 100x120 hex)</v>
          </cell>
          <cell r="E206" t="str">
            <v>cum</v>
          </cell>
          <cell r="F206">
            <v>628.86356060606056</v>
          </cell>
          <cell r="G206">
            <v>39.847499999999997</v>
          </cell>
          <cell r="H206">
            <v>9.66</v>
          </cell>
          <cell r="I206">
            <v>0</v>
          </cell>
          <cell r="J206">
            <v>579.35606060606051</v>
          </cell>
        </row>
        <row r="207">
          <cell r="A207" t="str">
            <v>16.4.c</v>
          </cell>
          <cell r="B207" t="str">
            <v>16-4(c)</v>
          </cell>
          <cell r="C207" t="str">
            <v>2mx1mx0.5m size Gabion box fabrication including cutting of wires, mesh wire 9 SWG, Selwage wire 6 SWG (mesh size 100x120 hexagonal)</v>
          </cell>
          <cell r="D207" t="str">
            <v>2mx1mx0.5m size Gabion box fabrication, 9 and 6 SWG ( 100x120 hex)</v>
          </cell>
          <cell r="E207" t="str">
            <v>cum</v>
          </cell>
          <cell r="F207">
            <v>919.98954545454546</v>
          </cell>
          <cell r="G207">
            <v>60.72</v>
          </cell>
          <cell r="H207">
            <v>14.49</v>
          </cell>
          <cell r="I207">
            <v>0</v>
          </cell>
          <cell r="J207">
            <v>844.77954545454543</v>
          </cell>
        </row>
        <row r="208">
          <cell r="A208" t="str">
            <v>16.4.d</v>
          </cell>
          <cell r="B208" t="str">
            <v>16-4(d)</v>
          </cell>
          <cell r="C208" t="str">
            <v>3mx1mx0.5m size Gabion box fabrication including cutting of wires, mesh wire 9 SWG, Selwage wire 6 SWG (mesh size 100x120 hexagonal)</v>
          </cell>
          <cell r="D208" t="str">
            <v>3mx1mx0.5m size Gabion box fabrication, 9 and 6 SWG ( 100x120 hex)</v>
          </cell>
          <cell r="E208" t="str">
            <v>cum</v>
          </cell>
          <cell r="F208">
            <v>883.25227272727261</v>
          </cell>
          <cell r="G208">
            <v>56.924999999999997</v>
          </cell>
          <cell r="H208">
            <v>13.799999999999999</v>
          </cell>
          <cell r="I208">
            <v>0</v>
          </cell>
          <cell r="J208">
            <v>812.52727272727259</v>
          </cell>
        </row>
        <row r="209">
          <cell r="A209" t="str">
            <v>16.4.e</v>
          </cell>
          <cell r="B209" t="str">
            <v>16-4(e)</v>
          </cell>
          <cell r="C209" t="str">
            <v>2mx1mx0.3m size Gabion box fabrication including cutting of wires, mesh wire 9 SWG, Selwage wire 6 SWG (mesh size 100x120 hexagonal)</v>
          </cell>
          <cell r="D209" t="str">
            <v>2mx1mx0.3m size Gabion box fabrication, 9 and 6 SWG ( 100x120 hex)</v>
          </cell>
          <cell r="E209" t="str">
            <v>cum</v>
          </cell>
          <cell r="F209">
            <v>1262.2469696969697</v>
          </cell>
          <cell r="G209">
            <v>82.224999999999994</v>
          </cell>
          <cell r="H209">
            <v>20.7</v>
          </cell>
          <cell r="I209">
            <v>0</v>
          </cell>
          <cell r="J209">
            <v>1159.3219696969695</v>
          </cell>
        </row>
        <row r="210">
          <cell r="A210" t="str">
            <v>16.4.f</v>
          </cell>
          <cell r="B210" t="str">
            <v>16-4(f)</v>
          </cell>
          <cell r="C210" t="str">
            <v>3mx1mx0.3m size Gabion box fabrication including cutting of wires, mesh wire 9 SWG, Selwage wire 6 SWG (mesh size 100x120 hexagonal)</v>
          </cell>
          <cell r="D210" t="str">
            <v>3mx1mx0.3m size Gabion box fabrication, 9 and 6 SWG ( 100x120 hex)</v>
          </cell>
          <cell r="E210" t="str">
            <v>cum</v>
          </cell>
          <cell r="F210">
            <v>1220.8411616161616</v>
          </cell>
          <cell r="G210">
            <v>78.008333333333326</v>
          </cell>
          <cell r="H210">
            <v>19.549999999999997</v>
          </cell>
          <cell r="I210">
            <v>0</v>
          </cell>
          <cell r="J210">
            <v>1123.2828282828282</v>
          </cell>
        </row>
        <row r="211">
          <cell r="A211" t="str">
            <v>16.5.a</v>
          </cell>
          <cell r="B211" t="str">
            <v>16-5(a)</v>
          </cell>
          <cell r="C211" t="str">
            <v>2mx1mx1m size Gabion box fabrication including cutting of wires, mesh wire 10 SWG, Selwage wire 7 SWG (mesh size 100x120 hexagonal)</v>
          </cell>
          <cell r="D211" t="str">
            <v>2mx1mx1m size Gabion box fabrication, 10 and 7 SWG ( 100x120 hex)</v>
          </cell>
          <cell r="E211" t="str">
            <v>cum</v>
          </cell>
          <cell r="F211">
            <v>535.49488636363628</v>
          </cell>
          <cell r="G211">
            <v>42.693749999999994</v>
          </cell>
          <cell r="H211">
            <v>10.35</v>
          </cell>
          <cell r="I211">
            <v>0</v>
          </cell>
          <cell r="J211">
            <v>482.45113636363624</v>
          </cell>
        </row>
        <row r="212">
          <cell r="A212" t="str">
            <v>16.5.b</v>
          </cell>
          <cell r="B212" t="str">
            <v>16-5(b)</v>
          </cell>
          <cell r="C212" t="str">
            <v>3mx1mx1m size Gabion box fabrication including cutting of wires, mesh wire 10 SWG, Selwage wire 7 SWG (mesh size 100x120 hexagonal)</v>
          </cell>
          <cell r="D212" t="str">
            <v>3mx1mx1m size Gabion box fabrication, 10 and 7 SWG ( 100x120 hex)</v>
          </cell>
          <cell r="E212" t="str">
            <v>cum</v>
          </cell>
          <cell r="F212">
            <v>510.30901515151515</v>
          </cell>
          <cell r="G212">
            <v>39.847499999999997</v>
          </cell>
          <cell r="H212">
            <v>9.66</v>
          </cell>
          <cell r="I212">
            <v>0</v>
          </cell>
          <cell r="J212">
            <v>460.8015151515151</v>
          </cell>
        </row>
        <row r="213">
          <cell r="A213" t="str">
            <v>16.5.c</v>
          </cell>
          <cell r="B213" t="str">
            <v>16-5(c)</v>
          </cell>
          <cell r="C213" t="str">
            <v>2mx1mx0.5m size Gabion box fabrication including cutting of wires, mesh wire 10 SWG, Selwage wire 7 SWG (mesh size 100x120 hexagonal)</v>
          </cell>
          <cell r="D213" t="str">
            <v>2mx1mx0.5m size Gabion box fabrication, 10 and 7 SWG ( 100x120 hex)</v>
          </cell>
          <cell r="E213" t="str">
            <v>cum</v>
          </cell>
          <cell r="F213">
            <v>747.28045454545452</v>
          </cell>
          <cell r="G213">
            <v>60.72</v>
          </cell>
          <cell r="H213">
            <v>14.49</v>
          </cell>
          <cell r="I213">
            <v>0</v>
          </cell>
          <cell r="J213">
            <v>672.07045454545448</v>
          </cell>
        </row>
        <row r="214">
          <cell r="A214" t="str">
            <v>16.5.d</v>
          </cell>
          <cell r="B214" t="str">
            <v>16-5(d)</v>
          </cell>
          <cell r="C214" t="str">
            <v>3mx1mx0.5m size Gabion box fabrication including cutting of wires, mesh wire 10 SWG, Selwage wire 7 SWG (mesh size 100x120 hexagonal)</v>
          </cell>
          <cell r="D214" t="str">
            <v>3mx1mx0.5m size Gabion box fabrication, 10 and 7 SWG ( 100x120 hex)</v>
          </cell>
          <cell r="E214" t="str">
            <v>cum</v>
          </cell>
          <cell r="F214">
            <v>718.17499999999984</v>
          </cell>
          <cell r="G214">
            <v>56.924999999999997</v>
          </cell>
          <cell r="H214">
            <v>13.799999999999999</v>
          </cell>
          <cell r="I214">
            <v>0</v>
          </cell>
          <cell r="J214">
            <v>647.44999999999982</v>
          </cell>
        </row>
        <row r="215">
          <cell r="A215" t="str">
            <v>16.5.e</v>
          </cell>
          <cell r="B215" t="str">
            <v>16-5(e)</v>
          </cell>
          <cell r="C215" t="str">
            <v>2mx1mx0.3m size Gabion box fabrication including cutting of wires, mesh wire 10 SWG, Selwage wire 7 SWG (mesh size 100x120 hexagonal)</v>
          </cell>
          <cell r="D215" t="str">
            <v>2mx1mx0.3m size Gabion box fabrication, 10 and 7 SWG ( 100x120 hex)</v>
          </cell>
          <cell r="E215" t="str">
            <v>cum</v>
          </cell>
          <cell r="F215">
            <v>1030.2431818181817</v>
          </cell>
          <cell r="G215">
            <v>82.224999999999994</v>
          </cell>
          <cell r="H215">
            <v>20.7</v>
          </cell>
          <cell r="I215">
            <v>0</v>
          </cell>
          <cell r="J215">
            <v>927.31818181818176</v>
          </cell>
        </row>
        <row r="216">
          <cell r="A216" t="str">
            <v>16.5.f</v>
          </cell>
          <cell r="B216" t="str">
            <v>16-5(f)</v>
          </cell>
          <cell r="C216" t="str">
            <v>3mx1mx0.3m size Gabion box fabrication including cutting of wires, mesh wire 10 SWG, Selwage wire 7 SWG (mesh size 100x120 hexagonal)</v>
          </cell>
          <cell r="D216" t="str">
            <v>3mx1mx0.3m size Gabion box fabrication, 10 and 7 SWG ( 100x120 hex)</v>
          </cell>
          <cell r="E216" t="str">
            <v>cum</v>
          </cell>
          <cell r="F216">
            <v>994.03560606060591</v>
          </cell>
          <cell r="G216">
            <v>78.008333333333326</v>
          </cell>
          <cell r="H216">
            <v>19.549999999999997</v>
          </cell>
          <cell r="I216">
            <v>0</v>
          </cell>
          <cell r="J216">
            <v>896.47727272727263</v>
          </cell>
        </row>
        <row r="217">
          <cell r="A217" t="str">
            <v>16.6.a</v>
          </cell>
          <cell r="B217" t="str">
            <v>16-6(a)</v>
          </cell>
          <cell r="C217" t="str">
            <v>2mx1mx1m size Gabion box construction, placing at designated location, stretching, tying up with gabion wire and closing with 11 SWG gabion wire</v>
          </cell>
          <cell r="D217" t="str">
            <v>2mx1mx1m size Gabion box construction and tying up with 11 SWG GI wire</v>
          </cell>
          <cell r="E217" t="str">
            <v>cum</v>
          </cell>
          <cell r="F217">
            <v>40.537500000000001</v>
          </cell>
          <cell r="G217">
            <v>0</v>
          </cell>
          <cell r="H217">
            <v>20.7</v>
          </cell>
          <cell r="I217">
            <v>0</v>
          </cell>
          <cell r="J217">
            <v>19.837499999999995</v>
          </cell>
        </row>
        <row r="218">
          <cell r="A218" t="str">
            <v>16.6.b</v>
          </cell>
          <cell r="B218" t="str">
            <v>16-6(b)</v>
          </cell>
          <cell r="C218" t="str">
            <v>3mx1mx1m size Gabion box construction, placing at designated location, stretching, tying up with gabion wire and closing with 11 SWG gabion wire</v>
          </cell>
          <cell r="D218" t="str">
            <v>3mx1mx1m size Gabion box construction and tying up with 11 SWG GI wire</v>
          </cell>
          <cell r="E218" t="str">
            <v>cum</v>
          </cell>
          <cell r="F218">
            <v>39.1</v>
          </cell>
          <cell r="G218">
            <v>0</v>
          </cell>
          <cell r="H218">
            <v>20.7</v>
          </cell>
          <cell r="I218">
            <v>0</v>
          </cell>
          <cell r="J218">
            <v>18.399999999999995</v>
          </cell>
        </row>
        <row r="219">
          <cell r="A219" t="str">
            <v>16.6.c</v>
          </cell>
          <cell r="B219" t="str">
            <v>16-6(c)</v>
          </cell>
          <cell r="C219" t="str">
            <v>2mx1mx0.5m size Gabion box construction, placing at designated location, stretching, tying up with GI wire and closing with 11 SWG gabion wire</v>
          </cell>
          <cell r="D219" t="str">
            <v>2mx1mx0.5m size Gabion box construction and tying up with 11 SWG GI wire</v>
          </cell>
          <cell r="E219" t="str">
            <v>cum</v>
          </cell>
          <cell r="F219">
            <v>51.75</v>
          </cell>
          <cell r="G219">
            <v>0</v>
          </cell>
          <cell r="H219">
            <v>20.7</v>
          </cell>
          <cell r="I219">
            <v>0</v>
          </cell>
          <cell r="J219">
            <v>31.049999999999994</v>
          </cell>
        </row>
        <row r="220">
          <cell r="A220" t="str">
            <v>16.6.d</v>
          </cell>
          <cell r="B220" t="str">
            <v>16-6(d)</v>
          </cell>
          <cell r="C220" t="str">
            <v>3mx1mx0.5m size Gabion box construction, placing at designated location, stretching, tying up with GI wire and closing with 11 SWG gabion wire</v>
          </cell>
          <cell r="D220" t="str">
            <v>3mx1mx0.5m size Gabion box construction and tying up with 11 SWG GI wire</v>
          </cell>
          <cell r="E220" t="str">
            <v>cum</v>
          </cell>
          <cell r="F220">
            <v>48.3</v>
          </cell>
          <cell r="G220">
            <v>0</v>
          </cell>
          <cell r="H220">
            <v>20.7</v>
          </cell>
          <cell r="I220">
            <v>0</v>
          </cell>
          <cell r="J220">
            <v>27.599999999999994</v>
          </cell>
        </row>
        <row r="221">
          <cell r="A221" t="str">
            <v>16.6.e</v>
          </cell>
          <cell r="B221" t="str">
            <v>16-6(e)</v>
          </cell>
          <cell r="C221" t="str">
            <v>2mx1mx0.3m size Gabion box construction, placing at designated location, stretching, tying up with GI wire and closing with 11 SWG gabion wire</v>
          </cell>
          <cell r="D221" t="str">
            <v>2mx1mx0.3m size Gabion box construction and tying up with 11 SWG GI wire</v>
          </cell>
          <cell r="E221" t="str">
            <v>cum</v>
          </cell>
          <cell r="F221">
            <v>63.25</v>
          </cell>
          <cell r="G221">
            <v>0</v>
          </cell>
          <cell r="H221">
            <v>17.25</v>
          </cell>
          <cell r="I221">
            <v>0</v>
          </cell>
          <cell r="J221">
            <v>46</v>
          </cell>
        </row>
        <row r="222">
          <cell r="A222" t="str">
            <v>16.6.f</v>
          </cell>
          <cell r="B222" t="str">
            <v>16-6(f)</v>
          </cell>
          <cell r="C222" t="str">
            <v>3mx1mx0.3m size Gabion box construction, placing at designated location, stretching, tying up with GI wire and closing with 11 SWG gabion wire</v>
          </cell>
          <cell r="D222" t="str">
            <v>3mx1mx0.3m size Gabion box construction and tying up with 11 SWG GI wire</v>
          </cell>
          <cell r="E222" t="str">
            <v>cum</v>
          </cell>
          <cell r="F222">
            <v>62.86666666666666</v>
          </cell>
          <cell r="G222">
            <v>0</v>
          </cell>
          <cell r="H222">
            <v>20.7</v>
          </cell>
          <cell r="I222">
            <v>0</v>
          </cell>
          <cell r="J222">
            <v>42.166666666666657</v>
          </cell>
        </row>
        <row r="223">
          <cell r="A223">
            <v>16.11</v>
          </cell>
          <cell r="B223" t="str">
            <v>16-11</v>
          </cell>
          <cell r="C223" t="str">
            <v>Filling of Gabion box with boulder</v>
          </cell>
          <cell r="D223" t="str">
            <v>Filling of Gabion box with boulder</v>
          </cell>
          <cell r="E223" t="str">
            <v>cum</v>
          </cell>
          <cell r="F223">
            <v>684.25</v>
          </cell>
          <cell r="G223">
            <v>0</v>
          </cell>
          <cell r="H223">
            <v>51.749999999999993</v>
          </cell>
          <cell r="I223">
            <v>632.5</v>
          </cell>
          <cell r="J223">
            <v>0</v>
          </cell>
        </row>
        <row r="224">
          <cell r="C224" t="str">
            <v>PIPELINE WORKS</v>
          </cell>
        </row>
        <row r="225">
          <cell r="A225" t="str">
            <v>17.1.a</v>
          </cell>
          <cell r="B225" t="str">
            <v>17-1(a)</v>
          </cell>
          <cell r="C225" t="str">
            <v>150mm dia. R.C.C. Pipe laying work including 100m haulage including pipe and collar</v>
          </cell>
          <cell r="D225" t="str">
            <v xml:space="preserve">150mm dia. R.C.C. Pipe laying work </v>
          </cell>
          <cell r="E225" t="str">
            <v>m</v>
          </cell>
          <cell r="F225">
            <v>357.53957386363635</v>
          </cell>
          <cell r="G225">
            <v>17.7890625</v>
          </cell>
          <cell r="H225">
            <v>48.515624999999993</v>
          </cell>
          <cell r="I225">
            <v>275.68374999999997</v>
          </cell>
          <cell r="J225">
            <v>15.551136363636363</v>
          </cell>
        </row>
        <row r="226">
          <cell r="A226" t="str">
            <v>17.1.b</v>
          </cell>
          <cell r="B226" t="str">
            <v>17-1(b)</v>
          </cell>
          <cell r="C226" t="str">
            <v>200mm dia. R.C.C. Pipe laying work including 100m haulage including pipe and collar</v>
          </cell>
          <cell r="D226" t="str">
            <v xml:space="preserve">200mm dia. R.C.C. Pipe laying work </v>
          </cell>
          <cell r="E226" t="str">
            <v>m</v>
          </cell>
          <cell r="F226">
            <v>577.05170454545453</v>
          </cell>
          <cell r="G226">
            <v>23.718749999999996</v>
          </cell>
          <cell r="H226">
            <v>64.6875</v>
          </cell>
          <cell r="I226">
            <v>359.66249999999997</v>
          </cell>
          <cell r="J226">
            <v>128.98295454545453</v>
          </cell>
        </row>
        <row r="227">
          <cell r="A227" t="str">
            <v>17.1.c</v>
          </cell>
          <cell r="B227" t="str">
            <v>17-1(c)</v>
          </cell>
          <cell r="C227" t="str">
            <v>300mm dia. R.C.C. Pipe laying work including 100m haulage including pipe and collar</v>
          </cell>
          <cell r="D227" t="str">
            <v xml:space="preserve">300mm dia. R.C.C. Pipe laying work </v>
          </cell>
          <cell r="E227" t="str">
            <v>m</v>
          </cell>
          <cell r="F227">
            <v>921.02487215909082</v>
          </cell>
          <cell r="G227">
            <v>35.578125</v>
          </cell>
          <cell r="H227">
            <v>71.15625</v>
          </cell>
          <cell r="I227">
            <v>609.38140624999994</v>
          </cell>
          <cell r="J227">
            <v>204.90909090909088</v>
          </cell>
        </row>
        <row r="228">
          <cell r="A228" t="str">
            <v>17.1.d</v>
          </cell>
          <cell r="B228" t="str">
            <v>17-1(d)</v>
          </cell>
          <cell r="C228" t="str">
            <v>400mm dia. R.C.C. Pipe laying work including 100m haulage including pipe and collar</v>
          </cell>
          <cell r="D228" t="str">
            <v xml:space="preserve">400mm dia. R.C.C. Pipe laying work </v>
          </cell>
          <cell r="E228" t="str">
            <v>m</v>
          </cell>
          <cell r="F228">
            <v>989.13231534090903</v>
          </cell>
          <cell r="G228">
            <v>35.578125</v>
          </cell>
          <cell r="H228">
            <v>71.15625</v>
          </cell>
          <cell r="I228">
            <v>843.29140624999991</v>
          </cell>
          <cell r="J228">
            <v>39.106534090909079</v>
          </cell>
        </row>
        <row r="229">
          <cell r="A229" t="str">
            <v>17.1.e</v>
          </cell>
          <cell r="B229" t="str">
            <v>17-1(e)</v>
          </cell>
          <cell r="C229" t="str">
            <v>500mm dia. R.C.C. Pipe laying work including 100m haulage including pipe and collar</v>
          </cell>
          <cell r="D229" t="str">
            <v xml:space="preserve">500mm dia. R.C.C. Pipe laying work </v>
          </cell>
          <cell r="E229" t="str">
            <v>m</v>
          </cell>
          <cell r="F229">
            <v>1208.1037500000002</v>
          </cell>
          <cell r="G229">
            <v>47.437499999999993</v>
          </cell>
          <cell r="H229">
            <v>97.031249999999986</v>
          </cell>
          <cell r="I229">
            <v>1005.7756249999999</v>
          </cell>
          <cell r="J229">
            <v>57.859374999999993</v>
          </cell>
        </row>
        <row r="230">
          <cell r="A230" t="str">
            <v>17.1.f</v>
          </cell>
          <cell r="B230" t="str">
            <v>17-1(f)</v>
          </cell>
          <cell r="C230" t="str">
            <v>600mm dia. R.C.C. Pipe laying work including 100m haulage including pipe and collar</v>
          </cell>
          <cell r="D230" t="str">
            <v xml:space="preserve">600mm dia. R.C.C. Pipe laying work </v>
          </cell>
          <cell r="E230" t="str">
            <v>m</v>
          </cell>
          <cell r="F230">
            <v>1572.8935511363636</v>
          </cell>
          <cell r="G230">
            <v>53.367187499999993</v>
          </cell>
          <cell r="H230">
            <v>113.20312499999999</v>
          </cell>
          <cell r="I230">
            <v>1326.2806249999999</v>
          </cell>
          <cell r="J230">
            <v>80.042613636363626</v>
          </cell>
        </row>
        <row r="231">
          <cell r="A231" t="str">
            <v>17.1.g</v>
          </cell>
          <cell r="B231" t="str">
            <v>17-1(g)</v>
          </cell>
          <cell r="C231" t="str">
            <v>750mm dia. R.C.C. Pipe laying work including 100m haulage including pipe and collar</v>
          </cell>
          <cell r="D231" t="str">
            <v xml:space="preserve">750mm dia. R.C.C. Pipe laying work </v>
          </cell>
          <cell r="E231" t="str">
            <v>m</v>
          </cell>
          <cell r="F231">
            <v>2154.8817613636361</v>
          </cell>
          <cell r="G231">
            <v>59.296874999999993</v>
          </cell>
          <cell r="H231">
            <v>129.375</v>
          </cell>
          <cell r="I231">
            <v>1867.6431249999998</v>
          </cell>
          <cell r="J231">
            <v>98.566761363636346</v>
          </cell>
        </row>
        <row r="232">
          <cell r="A232" t="str">
            <v>17.1.h</v>
          </cell>
          <cell r="B232" t="str">
            <v>17-1(h)</v>
          </cell>
          <cell r="C232" t="str">
            <v>900mm dia. R.C.C. Pipe laying work including 100m haulage including pipe and collar</v>
          </cell>
          <cell r="D232" t="str">
            <v xml:space="preserve">900mm dia. R.C.C. Pipe laying work </v>
          </cell>
          <cell r="E232" t="str">
            <v>m</v>
          </cell>
          <cell r="F232">
            <v>2793.4813352272727</v>
          </cell>
          <cell r="G232">
            <v>65.2265625</v>
          </cell>
          <cell r="H232">
            <v>161.71875</v>
          </cell>
          <cell r="I232">
            <v>2449.9024999999997</v>
          </cell>
          <cell r="J232">
            <v>116.63352272727271</v>
          </cell>
        </row>
        <row r="233">
          <cell r="A233" t="str">
            <v>17.1.h'</v>
          </cell>
          <cell r="B233" t="str">
            <v>17-1(h)</v>
          </cell>
          <cell r="C233" t="str">
            <v>1000mm dia. R.C.C. Pipe laying work including 100m haulage including pipe and collar</v>
          </cell>
          <cell r="D233" t="str">
            <v xml:space="preserve">1000mm dia. R.C.C. Pipe laying work </v>
          </cell>
          <cell r="E233" t="str">
            <v>m</v>
          </cell>
          <cell r="F233">
            <v>3116.1713352272723</v>
          </cell>
          <cell r="G233">
            <v>65.2265625</v>
          </cell>
          <cell r="H233">
            <v>161.71875</v>
          </cell>
          <cell r="I233">
            <v>2772.5924999999997</v>
          </cell>
          <cell r="J233">
            <v>116.63352272727271</v>
          </cell>
        </row>
        <row r="234">
          <cell r="A234" t="str">
            <v>17.1.i</v>
          </cell>
          <cell r="B234" t="str">
            <v>17-1(i)</v>
          </cell>
          <cell r="C234" t="str">
            <v>1200mm dia. R.C.C. Pipe laying work including 100m haulage including pipe and collar</v>
          </cell>
          <cell r="D234" t="str">
            <v xml:space="preserve">1200mm dia. R.C.C. Pipe laying work </v>
          </cell>
          <cell r="E234" t="str">
            <v>m</v>
          </cell>
          <cell r="F234">
            <v>3788.2725</v>
          </cell>
          <cell r="G234">
            <v>71.15625</v>
          </cell>
          <cell r="H234">
            <v>242.57812499999997</v>
          </cell>
          <cell r="I234">
            <v>3331.1475</v>
          </cell>
          <cell r="J234">
            <v>143.39062499999997</v>
          </cell>
        </row>
        <row r="235">
          <cell r="C235" t="str">
            <v>Pipe Laying HDPE Pipe</v>
          </cell>
        </row>
        <row r="236">
          <cell r="A236" t="str">
            <v>17.2.a.1</v>
          </cell>
          <cell r="B236" t="str">
            <v>17-2(a)</v>
          </cell>
          <cell r="C236" t="str">
            <v>20mm dia. HDPE pipe laying works with butt-welded joint (excluding pipe)</v>
          </cell>
          <cell r="D236" t="str">
            <v>20/10 HDPE pipe laying works</v>
          </cell>
          <cell r="E236" t="str">
            <v>m</v>
          </cell>
          <cell r="F236">
            <v>0.51060000000000005</v>
          </cell>
          <cell r="G236">
            <v>0.17249999999999999</v>
          </cell>
          <cell r="H236">
            <v>0.3105</v>
          </cell>
          <cell r="I236">
            <v>0</v>
          </cell>
          <cell r="J236">
            <v>2.76E-2</v>
          </cell>
        </row>
        <row r="237">
          <cell r="A237" t="str">
            <v>17.2.a.2</v>
          </cell>
          <cell r="B237" t="str">
            <v>17-2(a)</v>
          </cell>
          <cell r="C237" t="str">
            <v>25mm dia. HDPE pipe laying works with butt-welded joint (excluding pipe)</v>
          </cell>
          <cell r="D237" t="str">
            <v xml:space="preserve">25/10 HDPE pipe laying works </v>
          </cell>
          <cell r="E237" t="str">
            <v>m</v>
          </cell>
          <cell r="F237">
            <v>0.51060000000000005</v>
          </cell>
          <cell r="G237">
            <v>0.17249999999999999</v>
          </cell>
          <cell r="H237">
            <v>0.3105</v>
          </cell>
          <cell r="I237">
            <v>0</v>
          </cell>
          <cell r="J237">
            <v>2.76E-2</v>
          </cell>
        </row>
        <row r="238">
          <cell r="A238" t="str">
            <v>17.2.a.3</v>
          </cell>
          <cell r="B238" t="str">
            <v>17-2(a)</v>
          </cell>
          <cell r="C238" t="str">
            <v>32mm dia. HDPE pipe laying works with butt-welded joint (excluding pipe)</v>
          </cell>
          <cell r="D238" t="str">
            <v xml:space="preserve">32/10 HDPE pipe laying works </v>
          </cell>
          <cell r="E238" t="str">
            <v>m</v>
          </cell>
          <cell r="F238">
            <v>0.61668750000000006</v>
          </cell>
          <cell r="G238">
            <v>0.17249999999999999</v>
          </cell>
          <cell r="H238">
            <v>0.41399999999999992</v>
          </cell>
          <cell r="I238">
            <v>0</v>
          </cell>
          <cell r="J238">
            <v>3.0187499999999996E-2</v>
          </cell>
        </row>
        <row r="239">
          <cell r="A239" t="str">
            <v>17.2.a.3.6</v>
          </cell>
          <cell r="B239" t="str">
            <v>17-2(a)</v>
          </cell>
          <cell r="C239" t="str">
            <v>32mm dia. HDPE pipe laying works with butt-welded joint (excluding pipe)</v>
          </cell>
          <cell r="D239" t="str">
            <v xml:space="preserve">32/6 HDPE pipe laying works </v>
          </cell>
          <cell r="E239" t="str">
            <v>m</v>
          </cell>
          <cell r="F239">
            <v>0.61668750000000006</v>
          </cell>
          <cell r="G239">
            <v>0.17249999999999999</v>
          </cell>
          <cell r="H239">
            <v>0.41399999999999992</v>
          </cell>
          <cell r="I239">
            <v>0</v>
          </cell>
          <cell r="J239">
            <v>3.0187499999999996E-2</v>
          </cell>
        </row>
        <row r="240">
          <cell r="A240" t="str">
            <v>17.2.a.4</v>
          </cell>
          <cell r="B240" t="str">
            <v>17-2(a)</v>
          </cell>
          <cell r="C240" t="str">
            <v>40mm dia. HDPE pipe laying works with butt-welded joint (excluding pipe)</v>
          </cell>
          <cell r="D240" t="str">
            <v xml:space="preserve">40/10 HDPE pipe laying works </v>
          </cell>
          <cell r="E240" t="str">
            <v>m</v>
          </cell>
          <cell r="F240">
            <v>0.76558950000000003</v>
          </cell>
          <cell r="G240">
            <v>0.25874999999999998</v>
          </cell>
          <cell r="H240">
            <v>0.46574999999999994</v>
          </cell>
          <cell r="I240">
            <v>0</v>
          </cell>
          <cell r="J240">
            <v>4.1089500000000001E-2</v>
          </cell>
        </row>
        <row r="241">
          <cell r="A241" t="str">
            <v>17.2.a.4.6</v>
          </cell>
          <cell r="B241" t="str">
            <v>17-2(a)</v>
          </cell>
          <cell r="C241" t="str">
            <v>40mm dia. HDPE pipe laying works with butt-welded joint (excluding pipe)</v>
          </cell>
          <cell r="D241" t="str">
            <v xml:space="preserve">40/6 HDPE pipe laying works </v>
          </cell>
          <cell r="E241" t="str">
            <v>m</v>
          </cell>
          <cell r="F241">
            <v>0.76558950000000003</v>
          </cell>
          <cell r="G241">
            <v>0.25874999999999998</v>
          </cell>
          <cell r="H241">
            <v>0.46574999999999994</v>
          </cell>
          <cell r="I241">
            <v>0</v>
          </cell>
          <cell r="J241">
            <v>4.1089500000000001E-2</v>
          </cell>
        </row>
        <row r="242">
          <cell r="A242" t="str">
            <v>17.2.a.5</v>
          </cell>
          <cell r="B242" t="str">
            <v>17-2(a)</v>
          </cell>
          <cell r="C242" t="str">
            <v>50mm dia. HDPE pipe laying works with butt-welded joint (excluding pipe)</v>
          </cell>
          <cell r="D242" t="str">
            <v xml:space="preserve">50/10 HDPE pipe laying works </v>
          </cell>
          <cell r="E242" t="str">
            <v>m</v>
          </cell>
          <cell r="F242">
            <v>0.76558950000000003</v>
          </cell>
          <cell r="G242">
            <v>0.25874999999999998</v>
          </cell>
          <cell r="H242">
            <v>0.46574999999999994</v>
          </cell>
          <cell r="I242">
            <v>0</v>
          </cell>
          <cell r="J242">
            <v>4.1089500000000001E-2</v>
          </cell>
        </row>
        <row r="243">
          <cell r="A243" t="str">
            <v>17.2.a.5.6</v>
          </cell>
          <cell r="B243" t="str">
            <v>17-2(a)</v>
          </cell>
          <cell r="C243" t="str">
            <v>50mm dia. HDPE pipe laying works with butt-welded joint (excluding pipe)</v>
          </cell>
          <cell r="D243" t="str">
            <v xml:space="preserve">50/6 HDPE pipe laying works </v>
          </cell>
          <cell r="E243" t="str">
            <v>m</v>
          </cell>
          <cell r="F243">
            <v>0.76558950000000003</v>
          </cell>
          <cell r="G243">
            <v>0.25874999999999998</v>
          </cell>
          <cell r="H243">
            <v>0.46574999999999994</v>
          </cell>
          <cell r="I243">
            <v>0</v>
          </cell>
          <cell r="J243">
            <v>4.1089500000000001E-2</v>
          </cell>
        </row>
        <row r="244">
          <cell r="A244" t="str">
            <v>17.2.b.1</v>
          </cell>
          <cell r="B244" t="str">
            <v>17-2(b)</v>
          </cell>
          <cell r="C244" t="str">
            <v>63mm dia. HDPE pipe laying works with butt-welded joint (excluding pipe)</v>
          </cell>
          <cell r="D244" t="str">
            <v xml:space="preserve">63/10 HDPE pipe laying works </v>
          </cell>
          <cell r="E244" t="str">
            <v>m</v>
          </cell>
          <cell r="F244">
            <v>11.113599999999998</v>
          </cell>
          <cell r="G244">
            <v>3.45</v>
          </cell>
          <cell r="H244">
            <v>6.21</v>
          </cell>
          <cell r="I244">
            <v>0</v>
          </cell>
          <cell r="J244">
            <v>1.4535999999999998</v>
          </cell>
        </row>
        <row r="245">
          <cell r="A245" t="str">
            <v>17.2.b.1.6</v>
          </cell>
          <cell r="B245" t="str">
            <v>17-2(b)</v>
          </cell>
          <cell r="C245" t="str">
            <v>63mm dia. HDPE pipe laying works with butt-welded joint (excluding pipe)</v>
          </cell>
          <cell r="D245" t="str">
            <v xml:space="preserve">63/6 HDPE pipe laying works </v>
          </cell>
          <cell r="E245" t="str">
            <v>m</v>
          </cell>
          <cell r="F245">
            <v>11.113599999999998</v>
          </cell>
          <cell r="G245">
            <v>3.45</v>
          </cell>
          <cell r="H245">
            <v>6.21</v>
          </cell>
          <cell r="I245">
            <v>0</v>
          </cell>
          <cell r="J245">
            <v>1.4535999999999998</v>
          </cell>
        </row>
        <row r="246">
          <cell r="A246" t="str">
            <v>17.2.b.1.4</v>
          </cell>
          <cell r="B246" t="str">
            <v>17-2(b)</v>
          </cell>
          <cell r="C246" t="str">
            <v>63mm dia. HDPE pipe laying works with butt-welded joint (excluding pipe)</v>
          </cell>
          <cell r="D246" t="str">
            <v xml:space="preserve">63/4 HDPE pipe laying works </v>
          </cell>
          <cell r="E246" t="str">
            <v>m</v>
          </cell>
          <cell r="F246">
            <v>11.113599999999998</v>
          </cell>
          <cell r="G246">
            <v>3.45</v>
          </cell>
          <cell r="H246">
            <v>6.21</v>
          </cell>
          <cell r="I246">
            <v>0</v>
          </cell>
          <cell r="J246">
            <v>1.4535999999999998</v>
          </cell>
        </row>
        <row r="247">
          <cell r="A247" t="str">
            <v>17.2.b.2</v>
          </cell>
          <cell r="B247" t="str">
            <v>17-2(b)</v>
          </cell>
          <cell r="C247" t="str">
            <v>75mm dia. HDPE pipe laying works with butt-welded joint (excluding pipe)</v>
          </cell>
          <cell r="D247" t="str">
            <v xml:space="preserve">75/10 HDPE pipe laying works </v>
          </cell>
          <cell r="E247" t="str">
            <v>m</v>
          </cell>
          <cell r="F247">
            <v>11.113599999999998</v>
          </cell>
          <cell r="G247">
            <v>3.45</v>
          </cell>
          <cell r="H247">
            <v>6.21</v>
          </cell>
          <cell r="I247">
            <v>0</v>
          </cell>
          <cell r="J247">
            <v>1.4535999999999998</v>
          </cell>
        </row>
        <row r="248">
          <cell r="A248" t="str">
            <v>17.2.b.2.6</v>
          </cell>
          <cell r="B248" t="str">
            <v>17-2(b)</v>
          </cell>
          <cell r="C248" t="str">
            <v>75mm dia. HDPE pipe laying works with butt-welded joint (excluding pipe)</v>
          </cell>
          <cell r="D248" t="str">
            <v xml:space="preserve">75/6 HDPE pipe laying works </v>
          </cell>
          <cell r="E248" t="str">
            <v>m</v>
          </cell>
          <cell r="F248">
            <v>11.113599999999998</v>
          </cell>
          <cell r="G248">
            <v>3.45</v>
          </cell>
          <cell r="H248">
            <v>6.21</v>
          </cell>
          <cell r="I248">
            <v>0</v>
          </cell>
          <cell r="J248">
            <v>1.4535999999999998</v>
          </cell>
        </row>
        <row r="249">
          <cell r="A249" t="str">
            <v>17.2.b.2.4</v>
          </cell>
          <cell r="B249" t="str">
            <v>17-2(b)</v>
          </cell>
          <cell r="C249" t="str">
            <v>75mm dia. HDPE pipe laying works with butt-welded joint (excluding pipe)</v>
          </cell>
          <cell r="D249" t="str">
            <v xml:space="preserve">75/4 HDPE pipe laying works </v>
          </cell>
          <cell r="E249" t="str">
            <v>m</v>
          </cell>
          <cell r="F249">
            <v>11.113599999999998</v>
          </cell>
          <cell r="G249">
            <v>3.45</v>
          </cell>
          <cell r="H249">
            <v>6.21</v>
          </cell>
          <cell r="I249">
            <v>0</v>
          </cell>
          <cell r="J249">
            <v>1.4535999999999998</v>
          </cell>
        </row>
        <row r="250">
          <cell r="A250" t="str">
            <v>17.2.b.3</v>
          </cell>
          <cell r="B250" t="str">
            <v>17-2(b)</v>
          </cell>
          <cell r="C250" t="str">
            <v>90mm dia. HDPE pipe laying works with butt-welded joint (excluding pipe)</v>
          </cell>
          <cell r="D250" t="str">
            <v xml:space="preserve">90/10 HDPE pipe laying works </v>
          </cell>
          <cell r="E250" t="str">
            <v>m</v>
          </cell>
          <cell r="F250">
            <v>11.688599999999999</v>
          </cell>
          <cell r="G250">
            <v>3.45</v>
          </cell>
          <cell r="H250">
            <v>6.21</v>
          </cell>
          <cell r="I250">
            <v>0</v>
          </cell>
          <cell r="J250">
            <v>2.0286</v>
          </cell>
        </row>
        <row r="251">
          <cell r="A251" t="str">
            <v>17.2.b.3.6</v>
          </cell>
          <cell r="B251" t="str">
            <v>17-2(b)</v>
          </cell>
          <cell r="C251" t="str">
            <v>90mm dia. HDPE pipe laying works with butt-welded joint (excluding pipe)</v>
          </cell>
          <cell r="D251" t="str">
            <v xml:space="preserve">90/6 HDPE pipe laying works </v>
          </cell>
          <cell r="E251" t="str">
            <v>m</v>
          </cell>
          <cell r="F251">
            <v>11.688599999999999</v>
          </cell>
          <cell r="G251">
            <v>3.45</v>
          </cell>
          <cell r="H251">
            <v>6.21</v>
          </cell>
          <cell r="I251">
            <v>0</v>
          </cell>
          <cell r="J251">
            <v>2.0286</v>
          </cell>
        </row>
        <row r="252">
          <cell r="A252" t="str">
            <v>17.2.b.3.4</v>
          </cell>
          <cell r="B252" t="str">
            <v>17-2(b)</v>
          </cell>
          <cell r="C252" t="str">
            <v>90mm dia. HDPE pipe laying works with butt-welded joint (excluding pipe)</v>
          </cell>
          <cell r="D252" t="str">
            <v xml:space="preserve">90/4 HDPE pipe laying works </v>
          </cell>
          <cell r="E252" t="str">
            <v>m</v>
          </cell>
          <cell r="F252">
            <v>11.688599999999999</v>
          </cell>
          <cell r="G252">
            <v>3.45</v>
          </cell>
          <cell r="H252">
            <v>6.21</v>
          </cell>
          <cell r="I252">
            <v>0</v>
          </cell>
          <cell r="J252">
            <v>2.0286</v>
          </cell>
        </row>
        <row r="253">
          <cell r="A253" t="str">
            <v>17.2.b.4</v>
          </cell>
          <cell r="B253" t="str">
            <v>17-2(b)</v>
          </cell>
          <cell r="C253" t="str">
            <v>110mm dia. HDPE pipe laying works with butt-welded joint (excluding pipe)</v>
          </cell>
          <cell r="D253" t="str">
            <v xml:space="preserve">110/10 HDPE pipe laying works </v>
          </cell>
          <cell r="E253" t="str">
            <v>m</v>
          </cell>
          <cell r="F253">
            <v>17.198250000000002</v>
          </cell>
          <cell r="G253">
            <v>5.1749999999999998</v>
          </cell>
          <cell r="H253">
            <v>9.3149999999999995</v>
          </cell>
          <cell r="I253">
            <v>0</v>
          </cell>
          <cell r="J253">
            <v>2.70825</v>
          </cell>
        </row>
        <row r="254">
          <cell r="A254" t="str">
            <v>17.2.b.4.6</v>
          </cell>
          <cell r="B254" t="str">
            <v>17-2(b)</v>
          </cell>
          <cell r="C254" t="str">
            <v>110mm dia. HDPE pipe laying works with butt-welded joint (excluding pipe)</v>
          </cell>
          <cell r="D254" t="str">
            <v xml:space="preserve">110/6 HDPE pipe laying works </v>
          </cell>
          <cell r="E254" t="str">
            <v>m</v>
          </cell>
          <cell r="F254">
            <v>17.198250000000002</v>
          </cell>
          <cell r="G254">
            <v>5.1749999999999998</v>
          </cell>
          <cell r="H254">
            <v>9.3149999999999995</v>
          </cell>
          <cell r="I254">
            <v>0</v>
          </cell>
          <cell r="J254">
            <v>2.70825</v>
          </cell>
        </row>
        <row r="255">
          <cell r="A255" t="str">
            <v>17.2.b.4.4</v>
          </cell>
          <cell r="B255" t="str">
            <v>17-2(b)</v>
          </cell>
          <cell r="C255" t="str">
            <v>110mm dia. HDPE pipe laying works with butt-welded joint (excluding pipe)</v>
          </cell>
          <cell r="D255" t="str">
            <v xml:space="preserve">110/4 HDPE pipe laying works </v>
          </cell>
          <cell r="E255" t="str">
            <v>m</v>
          </cell>
          <cell r="F255">
            <v>17.198250000000002</v>
          </cell>
          <cell r="G255">
            <v>5.1749999999999998</v>
          </cell>
          <cell r="H255">
            <v>9.3149999999999995</v>
          </cell>
          <cell r="I255">
            <v>0</v>
          </cell>
          <cell r="J255">
            <v>2.70825</v>
          </cell>
        </row>
        <row r="256">
          <cell r="A256" t="str">
            <v>17.2.b.5</v>
          </cell>
          <cell r="B256" t="str">
            <v>17-2(b)</v>
          </cell>
          <cell r="C256" t="str">
            <v>125mm dia. HDPE pipe laying works with butt-welded joint (excluding pipe)</v>
          </cell>
          <cell r="D256" t="str">
            <v xml:space="preserve">125/10 HDPE pipe laying works </v>
          </cell>
          <cell r="E256" t="str">
            <v>m</v>
          </cell>
          <cell r="F256">
            <v>17.198250000000002</v>
          </cell>
          <cell r="G256">
            <v>5.1749999999999998</v>
          </cell>
          <cell r="H256">
            <v>9.3149999999999995</v>
          </cell>
          <cell r="I256">
            <v>0</v>
          </cell>
          <cell r="J256">
            <v>2.70825</v>
          </cell>
        </row>
        <row r="257">
          <cell r="A257" t="str">
            <v>17.2.b.5.6</v>
          </cell>
          <cell r="B257" t="str">
            <v>17-2(b)</v>
          </cell>
          <cell r="C257" t="str">
            <v>125mm dia. HDPE pipe laying works with butt-welded joint (excluding pipe)</v>
          </cell>
          <cell r="D257" t="str">
            <v xml:space="preserve">125/6 HDPE pipe laying works </v>
          </cell>
          <cell r="E257" t="str">
            <v>m</v>
          </cell>
          <cell r="F257">
            <v>17.198250000000002</v>
          </cell>
          <cell r="G257">
            <v>5.1749999999999998</v>
          </cell>
          <cell r="H257">
            <v>9.3149999999999995</v>
          </cell>
          <cell r="I257">
            <v>0</v>
          </cell>
          <cell r="J257">
            <v>2.70825</v>
          </cell>
        </row>
        <row r="258">
          <cell r="A258" t="str">
            <v>17.2.b.5.4</v>
          </cell>
          <cell r="B258" t="str">
            <v>17-2(b)</v>
          </cell>
          <cell r="C258" t="str">
            <v>125mm dia. HDPE pipe laying works with butt-welded joint (excluding pipe)</v>
          </cell>
          <cell r="D258" t="str">
            <v xml:space="preserve">125/4 HDPE pipe laying works </v>
          </cell>
          <cell r="E258" t="str">
            <v>m</v>
          </cell>
          <cell r="F258">
            <v>17.198250000000002</v>
          </cell>
          <cell r="G258">
            <v>5.1749999999999998</v>
          </cell>
          <cell r="H258">
            <v>9.3149999999999995</v>
          </cell>
          <cell r="I258">
            <v>0</v>
          </cell>
          <cell r="J258">
            <v>2.70825</v>
          </cell>
        </row>
        <row r="259">
          <cell r="A259" t="str">
            <v>17.2.b.6</v>
          </cell>
          <cell r="B259" t="str">
            <v>17-2(b)</v>
          </cell>
          <cell r="C259" t="str">
            <v>140mm dia. HDPE pipe laying works with butt-welded joint (excluding pipe)</v>
          </cell>
          <cell r="D259" t="str">
            <v xml:space="preserve">140/10 HDPE pipe laying works </v>
          </cell>
          <cell r="E259" t="str">
            <v>m</v>
          </cell>
          <cell r="F259">
            <v>23.344999999999999</v>
          </cell>
          <cell r="G259">
            <v>6.9</v>
          </cell>
          <cell r="H259">
            <v>12.42</v>
          </cell>
          <cell r="I259">
            <v>0</v>
          </cell>
          <cell r="J259">
            <v>4.0249999999999995</v>
          </cell>
        </row>
        <row r="260">
          <cell r="A260" t="str">
            <v>17.2.b.6.6</v>
          </cell>
          <cell r="B260" t="str">
            <v>17-2(b)</v>
          </cell>
          <cell r="C260" t="str">
            <v>140mm dia. HDPE pipe laying works with butt-welded joint (excluding pipe)</v>
          </cell>
          <cell r="D260" t="str">
            <v xml:space="preserve">140/6 HDPE pipe laying works </v>
          </cell>
          <cell r="E260" t="str">
            <v>m</v>
          </cell>
          <cell r="F260">
            <v>23.344999999999999</v>
          </cell>
          <cell r="G260">
            <v>6.9</v>
          </cell>
          <cell r="H260">
            <v>12.42</v>
          </cell>
          <cell r="I260">
            <v>0</v>
          </cell>
          <cell r="J260">
            <v>4.0249999999999995</v>
          </cell>
        </row>
        <row r="261">
          <cell r="A261" t="str">
            <v>17.2.b.6.4</v>
          </cell>
          <cell r="B261" t="str">
            <v>17-2(b)</v>
          </cell>
          <cell r="C261" t="str">
            <v>140mm dia. HDPE pipe laying works with butt-welded joint (excluding pipe)</v>
          </cell>
          <cell r="D261" t="str">
            <v xml:space="preserve">140/4 HDPE pipe laying works </v>
          </cell>
          <cell r="E261" t="str">
            <v>m</v>
          </cell>
          <cell r="F261">
            <v>23.344999999999999</v>
          </cell>
          <cell r="G261">
            <v>6.9</v>
          </cell>
          <cell r="H261">
            <v>12.42</v>
          </cell>
          <cell r="I261">
            <v>0</v>
          </cell>
          <cell r="J261">
            <v>4.0249999999999995</v>
          </cell>
        </row>
        <row r="262">
          <cell r="A262" t="str">
            <v>17.2.b.7</v>
          </cell>
          <cell r="B262" t="str">
            <v>17-2(b)</v>
          </cell>
          <cell r="C262" t="str">
            <v>160mm dia. HDPE pipe laying works with butt-welded joint (excluding pipe)</v>
          </cell>
          <cell r="D262" t="str">
            <v xml:space="preserve">160/10 HDPE pipe laying works </v>
          </cell>
          <cell r="E262" t="str">
            <v>m</v>
          </cell>
          <cell r="F262">
            <v>23.344999999999999</v>
          </cell>
          <cell r="G262">
            <v>6.9</v>
          </cell>
          <cell r="H262">
            <v>12.42</v>
          </cell>
          <cell r="I262">
            <v>0</v>
          </cell>
          <cell r="J262">
            <v>4.0249999999999995</v>
          </cell>
        </row>
        <row r="263">
          <cell r="A263" t="str">
            <v>17.2.b.7.6</v>
          </cell>
          <cell r="B263" t="str">
            <v>17-2(b)</v>
          </cell>
          <cell r="C263" t="str">
            <v>160mm dia. HDPE pipe laying works with butt-welded joint (excluding pipe)</v>
          </cell>
          <cell r="D263" t="str">
            <v xml:space="preserve">160/6 HDPE pipe laying works </v>
          </cell>
          <cell r="E263" t="str">
            <v>m</v>
          </cell>
          <cell r="F263">
            <v>23.344999999999999</v>
          </cell>
          <cell r="G263">
            <v>6.9</v>
          </cell>
          <cell r="H263">
            <v>12.42</v>
          </cell>
          <cell r="I263">
            <v>0</v>
          </cell>
          <cell r="J263">
            <v>4.0249999999999995</v>
          </cell>
        </row>
        <row r="264">
          <cell r="A264" t="str">
            <v>17.2.b.7.4</v>
          </cell>
          <cell r="B264" t="str">
            <v>17-2(b)</v>
          </cell>
          <cell r="C264" t="str">
            <v>160mm dia. HDPE pipe laying works with butt-welded joint (excluding pipe)</v>
          </cell>
          <cell r="D264" t="str">
            <v xml:space="preserve">160/4 HDPE pipe laying works </v>
          </cell>
          <cell r="E264" t="str">
            <v>m</v>
          </cell>
          <cell r="F264">
            <v>23.344999999999999</v>
          </cell>
          <cell r="G264">
            <v>6.9</v>
          </cell>
          <cell r="H264">
            <v>12.42</v>
          </cell>
          <cell r="I264">
            <v>0</v>
          </cell>
          <cell r="J264">
            <v>4.0249999999999995</v>
          </cell>
        </row>
        <row r="265">
          <cell r="A265" t="str">
            <v>17.2.b.8</v>
          </cell>
          <cell r="B265" t="str">
            <v>17-2(b)</v>
          </cell>
          <cell r="C265" t="str">
            <v>180mm dia. HDPE pipe laying works with butt-welded joint (excluding pipe)</v>
          </cell>
          <cell r="D265" t="str">
            <v xml:space="preserve">180/10 HDPE pipe laying works </v>
          </cell>
          <cell r="E265" t="str">
            <v>m</v>
          </cell>
          <cell r="F265">
            <v>23.344999999999999</v>
          </cell>
          <cell r="G265">
            <v>6.9</v>
          </cell>
          <cell r="H265">
            <v>12.42</v>
          </cell>
          <cell r="I265">
            <v>0</v>
          </cell>
          <cell r="J265">
            <v>4.0249999999999995</v>
          </cell>
        </row>
        <row r="266">
          <cell r="A266" t="str">
            <v>17.2.b.8.6</v>
          </cell>
          <cell r="B266" t="str">
            <v>17-2(b)</v>
          </cell>
          <cell r="C266" t="str">
            <v>180mm dia. HDPE pipe laying works with butt-welded joint (excluding pipe)</v>
          </cell>
          <cell r="D266" t="str">
            <v xml:space="preserve">180/6 HDPE pipe laying works </v>
          </cell>
          <cell r="E266" t="str">
            <v>m</v>
          </cell>
          <cell r="F266">
            <v>23.344999999999999</v>
          </cell>
          <cell r="G266">
            <v>6.9</v>
          </cell>
          <cell r="H266">
            <v>12.42</v>
          </cell>
          <cell r="I266">
            <v>0</v>
          </cell>
          <cell r="J266">
            <v>4.0249999999999995</v>
          </cell>
        </row>
        <row r="267">
          <cell r="A267" t="str">
            <v>17.2.b.8.4</v>
          </cell>
          <cell r="B267" t="str">
            <v>17-2(b)</v>
          </cell>
          <cell r="C267" t="str">
            <v>180mm dia. HDPE pipe laying works with butt-welded joint (excluding pipe)</v>
          </cell>
          <cell r="D267" t="str">
            <v xml:space="preserve">180/4 HDPE pipe laying works </v>
          </cell>
          <cell r="E267" t="str">
            <v>m</v>
          </cell>
          <cell r="F267">
            <v>23.344999999999999</v>
          </cell>
          <cell r="G267">
            <v>6.9</v>
          </cell>
          <cell r="H267">
            <v>12.42</v>
          </cell>
          <cell r="I267">
            <v>0</v>
          </cell>
          <cell r="J267">
            <v>4.0249999999999995</v>
          </cell>
        </row>
        <row r="268">
          <cell r="A268" t="str">
            <v>17.2.b.9</v>
          </cell>
          <cell r="B268" t="str">
            <v>17-2(b)</v>
          </cell>
          <cell r="C268" t="str">
            <v>200mm dia. HDPE pipe laying works with butt-welded joint (excluding pipe)</v>
          </cell>
          <cell r="D268" t="str">
            <v xml:space="preserve">200/10 HDPE pipe laying works </v>
          </cell>
          <cell r="E268" t="str">
            <v>m</v>
          </cell>
          <cell r="F268">
            <v>23.344999999999999</v>
          </cell>
          <cell r="G268">
            <v>6.9</v>
          </cell>
          <cell r="H268">
            <v>12.42</v>
          </cell>
          <cell r="I268">
            <v>0</v>
          </cell>
          <cell r="J268">
            <v>4.0249999999999995</v>
          </cell>
        </row>
        <row r="269">
          <cell r="A269" t="str">
            <v>17.2.b.9.6</v>
          </cell>
          <cell r="B269" t="str">
            <v>17-2(b)</v>
          </cell>
          <cell r="C269" t="str">
            <v>200mm dia. HDPE pipe laying works with butt-welded joint (excluding pipe)</v>
          </cell>
          <cell r="D269" t="str">
            <v xml:space="preserve">200/6 HDPE pipe laying works </v>
          </cell>
          <cell r="E269" t="str">
            <v>m</v>
          </cell>
          <cell r="F269">
            <v>23.344999999999999</v>
          </cell>
          <cell r="G269">
            <v>6.9</v>
          </cell>
          <cell r="H269">
            <v>12.42</v>
          </cell>
          <cell r="I269">
            <v>0</v>
          </cell>
          <cell r="J269">
            <v>4.0249999999999995</v>
          </cell>
        </row>
        <row r="270">
          <cell r="A270" t="str">
            <v>17.2.b.9.4</v>
          </cell>
          <cell r="B270" t="str">
            <v>17-2(b)</v>
          </cell>
          <cell r="C270" t="str">
            <v>200mm dia. HDPE pipe laying works with butt-welded joint (excluding pipe)</v>
          </cell>
          <cell r="D270" t="str">
            <v xml:space="preserve">200/4 HDPE pipe laying works </v>
          </cell>
          <cell r="E270" t="str">
            <v>m</v>
          </cell>
          <cell r="F270">
            <v>23.344999999999999</v>
          </cell>
          <cell r="G270">
            <v>6.9</v>
          </cell>
          <cell r="H270">
            <v>12.42</v>
          </cell>
          <cell r="I270">
            <v>0</v>
          </cell>
          <cell r="J270">
            <v>4.0249999999999995</v>
          </cell>
        </row>
        <row r="271">
          <cell r="A271" t="str">
            <v>17.2.b.10</v>
          </cell>
          <cell r="B271" t="str">
            <v>17-2(b)</v>
          </cell>
          <cell r="C271" t="str">
            <v>225mm dia. HDPE pipe laying works with butt-welded joint (excluding pipe)</v>
          </cell>
          <cell r="D271" t="str">
            <v xml:space="preserve">225/10 HDPE pipe laying works </v>
          </cell>
          <cell r="E271" t="str">
            <v>m</v>
          </cell>
          <cell r="F271">
            <v>23.344999999999999</v>
          </cell>
          <cell r="G271">
            <v>6.9</v>
          </cell>
          <cell r="H271">
            <v>12.42</v>
          </cell>
          <cell r="I271">
            <v>0</v>
          </cell>
          <cell r="J271">
            <v>4.0249999999999995</v>
          </cell>
        </row>
        <row r="272">
          <cell r="A272" t="str">
            <v>17.2.b.10.6</v>
          </cell>
          <cell r="B272" t="str">
            <v>17-2(b)</v>
          </cell>
          <cell r="C272" t="str">
            <v>225mm dia. HDPE pipe laying works with butt-welded joint (excluding pipe)</v>
          </cell>
          <cell r="D272" t="str">
            <v xml:space="preserve">225/6 HDPE pipe laying works </v>
          </cell>
          <cell r="E272" t="str">
            <v>m</v>
          </cell>
          <cell r="F272">
            <v>23.344999999999999</v>
          </cell>
          <cell r="G272">
            <v>6.9</v>
          </cell>
          <cell r="H272">
            <v>12.42</v>
          </cell>
          <cell r="I272">
            <v>0</v>
          </cell>
          <cell r="J272">
            <v>4.0249999999999995</v>
          </cell>
        </row>
        <row r="273">
          <cell r="A273" t="str">
            <v>17.2.b.10.4</v>
          </cell>
          <cell r="B273" t="str">
            <v>17-2(b)</v>
          </cell>
          <cell r="C273" t="str">
            <v>225mm dia. HDPE pipe laying works with butt-welded joint (excluding pipe)</v>
          </cell>
          <cell r="D273" t="str">
            <v xml:space="preserve">225/4 HDPE pipe laying works </v>
          </cell>
          <cell r="E273" t="str">
            <v>m</v>
          </cell>
          <cell r="F273">
            <v>23.344999999999999</v>
          </cell>
          <cell r="G273">
            <v>6.9</v>
          </cell>
          <cell r="H273">
            <v>12.42</v>
          </cell>
          <cell r="I273">
            <v>0</v>
          </cell>
          <cell r="J273">
            <v>4.0249999999999995</v>
          </cell>
        </row>
        <row r="274">
          <cell r="A274" t="str">
            <v>17.2.b.11</v>
          </cell>
          <cell r="B274" t="str">
            <v>17-2(b)</v>
          </cell>
          <cell r="C274" t="str">
            <v>250mm dia. HDPE pipe laying works with butt-welded joint (excluding pipe)</v>
          </cell>
          <cell r="D274" t="str">
            <v xml:space="preserve">250/10 HDPE pipe laying works </v>
          </cell>
          <cell r="E274" t="str">
            <v>m</v>
          </cell>
          <cell r="F274">
            <v>23.344999999999999</v>
          </cell>
          <cell r="G274">
            <v>6.9</v>
          </cell>
          <cell r="H274">
            <v>12.42</v>
          </cell>
          <cell r="I274">
            <v>0</v>
          </cell>
          <cell r="J274">
            <v>4.0249999999999995</v>
          </cell>
        </row>
        <row r="275">
          <cell r="A275" t="str">
            <v>17.2.b.11.6</v>
          </cell>
          <cell r="B275" t="str">
            <v>17-2(b)</v>
          </cell>
          <cell r="C275" t="str">
            <v>250mm dia. HDPE pipe laying works with butt-welded joint (excluding pipe)</v>
          </cell>
          <cell r="D275" t="str">
            <v xml:space="preserve">250/6 HDPE pipe laying works </v>
          </cell>
          <cell r="E275" t="str">
            <v>m</v>
          </cell>
          <cell r="F275">
            <v>23.344999999999999</v>
          </cell>
          <cell r="G275">
            <v>6.9</v>
          </cell>
          <cell r="H275">
            <v>12.42</v>
          </cell>
          <cell r="I275">
            <v>0</v>
          </cell>
          <cell r="J275">
            <v>4.0249999999999995</v>
          </cell>
        </row>
        <row r="276">
          <cell r="A276" t="str">
            <v>17.2.b.11.4</v>
          </cell>
          <cell r="B276" t="str">
            <v>17-2(b)</v>
          </cell>
          <cell r="C276" t="str">
            <v>250mm dia. HDPE pipe laying works with butt-welded joint (excluding pipe)</v>
          </cell>
          <cell r="D276" t="str">
            <v xml:space="preserve">250/4 HDPE pipe laying works </v>
          </cell>
          <cell r="E276" t="str">
            <v>m</v>
          </cell>
          <cell r="F276">
            <v>23.344999999999999</v>
          </cell>
          <cell r="G276">
            <v>6.9</v>
          </cell>
          <cell r="H276">
            <v>12.42</v>
          </cell>
          <cell r="I276">
            <v>0</v>
          </cell>
          <cell r="J276">
            <v>4.0249999999999995</v>
          </cell>
        </row>
        <row r="277">
          <cell r="A277" t="str">
            <v>17.2.b.12</v>
          </cell>
          <cell r="B277" t="str">
            <v>17-2(b)</v>
          </cell>
          <cell r="C277" t="str">
            <v>280mm dia. HDPE pipe laying works with butt-welded joint (excluding pipe)</v>
          </cell>
          <cell r="D277" t="str">
            <v xml:space="preserve">280/10 HDPE pipe laying works </v>
          </cell>
          <cell r="E277" t="str">
            <v>m</v>
          </cell>
          <cell r="F277">
            <v>23.344999999999999</v>
          </cell>
          <cell r="G277">
            <v>6.9</v>
          </cell>
          <cell r="H277">
            <v>12.42</v>
          </cell>
          <cell r="I277">
            <v>0</v>
          </cell>
          <cell r="J277">
            <v>4.0249999999999995</v>
          </cell>
        </row>
        <row r="278">
          <cell r="A278" t="str">
            <v>17.2.b.12.6</v>
          </cell>
          <cell r="B278" t="str">
            <v>17-2(b)</v>
          </cell>
          <cell r="C278" t="str">
            <v>280mm dia. HDPE pipe laying works with butt-welded joint (excluding pipe)</v>
          </cell>
          <cell r="D278" t="str">
            <v xml:space="preserve">280/6 HDPE pipe laying works </v>
          </cell>
          <cell r="E278" t="str">
            <v>m</v>
          </cell>
          <cell r="F278">
            <v>23.344999999999999</v>
          </cell>
          <cell r="G278">
            <v>6.9</v>
          </cell>
          <cell r="H278">
            <v>12.42</v>
          </cell>
          <cell r="I278">
            <v>0</v>
          </cell>
          <cell r="J278">
            <v>4.0249999999999995</v>
          </cell>
        </row>
        <row r="279">
          <cell r="A279" t="str">
            <v>17.2.b.12.4</v>
          </cell>
          <cell r="B279" t="str">
            <v>17-2(b)</v>
          </cell>
          <cell r="C279" t="str">
            <v>280mm dia. HDPE pipe laying works with butt-welded joint (excluding pipe)</v>
          </cell>
          <cell r="D279" t="str">
            <v xml:space="preserve">280/4 HDPE pipe laying works </v>
          </cell>
          <cell r="E279" t="str">
            <v>m</v>
          </cell>
          <cell r="F279">
            <v>23.344999999999999</v>
          </cell>
          <cell r="G279">
            <v>6.9</v>
          </cell>
          <cell r="H279">
            <v>12.42</v>
          </cell>
          <cell r="I279">
            <v>0</v>
          </cell>
          <cell r="J279">
            <v>4.0249999999999995</v>
          </cell>
        </row>
        <row r="280">
          <cell r="A280" t="str">
            <v>17.2.b.13</v>
          </cell>
          <cell r="B280" t="str">
            <v>17-2(b)</v>
          </cell>
          <cell r="C280" t="str">
            <v>315mm dia. HDPE pipe laying works with butt-welded joint (excluding pipe)</v>
          </cell>
          <cell r="D280" t="str">
            <v xml:space="preserve">315/10 HDPE pipe laying works </v>
          </cell>
          <cell r="E280" t="str">
            <v>m</v>
          </cell>
          <cell r="F280">
            <v>23.344999999999999</v>
          </cell>
          <cell r="G280">
            <v>6.9</v>
          </cell>
          <cell r="H280">
            <v>12.42</v>
          </cell>
          <cell r="I280">
            <v>0</v>
          </cell>
          <cell r="J280">
            <v>4.0249999999999995</v>
          </cell>
        </row>
        <row r="281">
          <cell r="A281" t="str">
            <v>17.2.b.13.6</v>
          </cell>
          <cell r="B281" t="str">
            <v>17-2(b)</v>
          </cell>
          <cell r="C281" t="str">
            <v>315mm dia. HDPE pipe laying works with butt-welded joint (excluding pipe)</v>
          </cell>
          <cell r="D281" t="str">
            <v xml:space="preserve">315/6 HDPE pipe laying works </v>
          </cell>
          <cell r="E281" t="str">
            <v>m</v>
          </cell>
          <cell r="F281">
            <v>23.344999999999999</v>
          </cell>
          <cell r="G281">
            <v>6.9</v>
          </cell>
          <cell r="H281">
            <v>12.42</v>
          </cell>
          <cell r="I281">
            <v>0</v>
          </cell>
          <cell r="J281">
            <v>4.0249999999999995</v>
          </cell>
        </row>
        <row r="282">
          <cell r="A282" t="str">
            <v>17.2.b.13.4</v>
          </cell>
          <cell r="B282" t="str">
            <v>17-2(b)</v>
          </cell>
          <cell r="C282" t="str">
            <v>315mm dia. HDPE pipe laying works with butt-welded joint (excluding pipe)</v>
          </cell>
          <cell r="D282" t="str">
            <v xml:space="preserve">315/4 HDPE pipe laying works </v>
          </cell>
          <cell r="E282" t="str">
            <v>m</v>
          </cell>
          <cell r="F282">
            <v>23.344999999999999</v>
          </cell>
          <cell r="G282">
            <v>6.9</v>
          </cell>
          <cell r="H282">
            <v>12.42</v>
          </cell>
          <cell r="I282">
            <v>0</v>
          </cell>
          <cell r="J282">
            <v>4.0249999999999995</v>
          </cell>
        </row>
        <row r="283">
          <cell r="A283" t="str">
            <v>17.4.a.1.1</v>
          </cell>
          <cell r="B283" t="str">
            <v>17-4(a)1</v>
          </cell>
          <cell r="C283" t="str">
            <v>13mm dia. GI pipe laying works with socket, union or flange joint including 500m carriage (excluding pipe)</v>
          </cell>
          <cell r="D283" t="str">
            <v xml:space="preserve">13mm dia. GI pipe laying works </v>
          </cell>
          <cell r="E283" t="str">
            <v>m</v>
          </cell>
          <cell r="F283">
            <v>10.910625000000001</v>
          </cell>
          <cell r="G283">
            <v>2.875</v>
          </cell>
          <cell r="H283">
            <v>6.8999999999999995</v>
          </cell>
          <cell r="I283">
            <v>0</v>
          </cell>
          <cell r="J283">
            <v>1.1356249999999999</v>
          </cell>
        </row>
        <row r="284">
          <cell r="A284" t="str">
            <v>17.4.a.1.1.a</v>
          </cell>
          <cell r="B284" t="str">
            <v>17-4(a)1</v>
          </cell>
          <cell r="C284" t="str">
            <v>13mm dia. GI pipe laying works with socket, union or flange joint including 500m carriage (including pipe)</v>
          </cell>
          <cell r="D284" t="str">
            <v>13mm dia. GI pipe laying works (with pipe)</v>
          </cell>
          <cell r="E284" t="str">
            <v>m</v>
          </cell>
          <cell r="F284">
            <v>94.340669987666644</v>
          </cell>
          <cell r="G284">
            <v>2.875</v>
          </cell>
          <cell r="H284">
            <v>6.8999999999999995</v>
          </cell>
          <cell r="I284">
            <v>0</v>
          </cell>
          <cell r="J284">
            <v>84.565669987666652</v>
          </cell>
        </row>
        <row r="285">
          <cell r="A285" t="str">
            <v>17.4.a.1.2</v>
          </cell>
          <cell r="B285" t="str">
            <v>17-4(a)1</v>
          </cell>
          <cell r="C285" t="str">
            <v>20mm dia. GI pipe laying works with socket, union or flange joint including 500m carriage (excluding pipe)</v>
          </cell>
          <cell r="D285" t="str">
            <v xml:space="preserve">20mm dia. GI pipe laying works </v>
          </cell>
          <cell r="E285" t="str">
            <v>m</v>
          </cell>
          <cell r="F285">
            <v>13.269141749691666</v>
          </cell>
          <cell r="G285">
            <v>2.875</v>
          </cell>
          <cell r="H285">
            <v>6.8999999999999995</v>
          </cell>
          <cell r="I285">
            <v>0</v>
          </cell>
          <cell r="J285">
            <v>3.494141749691666</v>
          </cell>
        </row>
        <row r="286">
          <cell r="A286" t="str">
            <v>17.4.a.1.2.a</v>
          </cell>
          <cell r="B286" t="str">
            <v>17-4(a)1</v>
          </cell>
          <cell r="C286" t="str">
            <v>20mm dia. GI pipe laying works with socket, union or flange joint including 500m carriage (including pipe)</v>
          </cell>
          <cell r="D286" t="str">
            <v>20mm dia. GI pipe laying works (with Pipe)</v>
          </cell>
          <cell r="E286" t="str">
            <v>m</v>
          </cell>
          <cell r="F286">
            <v>119.26817323170062</v>
          </cell>
          <cell r="G286">
            <v>2.875</v>
          </cell>
          <cell r="H286">
            <v>6.8999999999999995</v>
          </cell>
          <cell r="I286">
            <v>0</v>
          </cell>
          <cell r="J286">
            <v>109.49317323170062</v>
          </cell>
        </row>
        <row r="287">
          <cell r="A287" t="str">
            <v>17.4.a.2.1</v>
          </cell>
          <cell r="B287" t="str">
            <v>17-4(a)2</v>
          </cell>
          <cell r="C287" t="str">
            <v>25mm dia. GI pipe laying works with socket, union or flange joint including 500m carriage (excluding pipe)</v>
          </cell>
          <cell r="D287" t="str">
            <v>25mm dia. GI pipe laying works</v>
          </cell>
          <cell r="E287" t="str">
            <v>m</v>
          </cell>
          <cell r="F287">
            <v>17.730454330792515</v>
          </cell>
          <cell r="G287">
            <v>2.875</v>
          </cell>
          <cell r="H287">
            <v>10.35</v>
          </cell>
          <cell r="I287">
            <v>0</v>
          </cell>
          <cell r="J287">
            <v>4.5054543307925163</v>
          </cell>
        </row>
        <row r="288">
          <cell r="A288" t="str">
            <v>17.4.a.2.1.a</v>
          </cell>
          <cell r="B288" t="str">
            <v>17-4(a)2</v>
          </cell>
          <cell r="C288" t="str">
            <v>25mm dia. GI pipe laying works with socket, union or flange joint including 500m carriage (including pipe)</v>
          </cell>
          <cell r="D288" t="str">
            <v>25mm dia. GI pipe laying works (with Pipe)</v>
          </cell>
          <cell r="E288" t="str">
            <v>m</v>
          </cell>
          <cell r="F288">
            <v>181.92106835378002</v>
          </cell>
          <cell r="G288">
            <v>2.875</v>
          </cell>
          <cell r="H288">
            <v>10.35</v>
          </cell>
          <cell r="I288">
            <v>0</v>
          </cell>
          <cell r="J288">
            <v>168.69606835378002</v>
          </cell>
        </row>
        <row r="289">
          <cell r="A289" t="str">
            <v>17.4.a.2.2</v>
          </cell>
          <cell r="B289" t="str">
            <v>17-4(a)2</v>
          </cell>
          <cell r="C289" t="str">
            <v>32mm dia. GI pipe laying works with socket, union or flange joint including 500m carriage (excluding pipe)</v>
          </cell>
          <cell r="D289" t="str">
            <v>32mm dia. GI pipe laying works</v>
          </cell>
          <cell r="E289" t="str">
            <v>m</v>
          </cell>
          <cell r="F289">
            <v>19.296776708844501</v>
          </cell>
          <cell r="G289">
            <v>2.875</v>
          </cell>
          <cell r="H289">
            <v>10.35</v>
          </cell>
          <cell r="I289">
            <v>0</v>
          </cell>
          <cell r="J289">
            <v>6.0717767088445003</v>
          </cell>
        </row>
        <row r="290">
          <cell r="A290" t="str">
            <v>17.4.a.3.1</v>
          </cell>
          <cell r="B290" t="str">
            <v>17-4(a)3</v>
          </cell>
          <cell r="C290" t="str">
            <v>40mm dia. GI pipe laying works with socket, union or flange joint including 500m carriage (excluding pipe)</v>
          </cell>
          <cell r="D290" t="str">
            <v>40mm dia. GI pipe laying works</v>
          </cell>
          <cell r="E290" t="str">
            <v>m</v>
          </cell>
          <cell r="F290">
            <v>20.204062500000003</v>
          </cell>
          <cell r="G290">
            <v>4.3125</v>
          </cell>
          <cell r="H290">
            <v>13.799999999999999</v>
          </cell>
          <cell r="I290">
            <v>0</v>
          </cell>
          <cell r="J290">
            <v>2.0915624999999998</v>
          </cell>
        </row>
        <row r="291">
          <cell r="A291" t="str">
            <v>17.4.a.3.2</v>
          </cell>
          <cell r="B291" t="str">
            <v>17-4(a)3</v>
          </cell>
          <cell r="C291" t="str">
            <v>50mm dia. GI pipe laying works with socket, union or flange joint including 500m carriage (excluding pipe)</v>
          </cell>
          <cell r="D291" t="str">
            <v>50mm dia. GI pipe laying works</v>
          </cell>
          <cell r="E291" t="str">
            <v>m</v>
          </cell>
          <cell r="F291">
            <v>20.204062500000003</v>
          </cell>
          <cell r="G291">
            <v>4.3125</v>
          </cell>
          <cell r="H291">
            <v>13.799999999999999</v>
          </cell>
          <cell r="I291">
            <v>0</v>
          </cell>
          <cell r="J291">
            <v>2.0915624999999998</v>
          </cell>
        </row>
        <row r="292">
          <cell r="A292" t="str">
            <v>17.4.a.4.1</v>
          </cell>
          <cell r="B292" t="str">
            <v>17-4(a)4</v>
          </cell>
          <cell r="C292" t="str">
            <v>63mm dia. GI pipe laying works with socket, union or flange joint including 500m carriage (excluding pipe)</v>
          </cell>
          <cell r="D292" t="str">
            <v>63mm dia. GI pipe laying works</v>
          </cell>
          <cell r="E292" t="str">
            <v>m</v>
          </cell>
          <cell r="F292">
            <v>27.233437499999997</v>
          </cell>
          <cell r="G292">
            <v>7.1874999999999991</v>
          </cell>
          <cell r="H292">
            <v>17.25</v>
          </cell>
          <cell r="I292">
            <v>0</v>
          </cell>
          <cell r="J292">
            <v>2.7959375</v>
          </cell>
        </row>
        <row r="293">
          <cell r="A293" t="str">
            <v>17.4.a.4.2</v>
          </cell>
          <cell r="B293" t="str">
            <v>17-4(a)4</v>
          </cell>
          <cell r="C293" t="str">
            <v>75mm dia. GI pipe laying works with socket, union or flange joint including 500m carriage (excluding pipe)</v>
          </cell>
          <cell r="D293" t="str">
            <v>75mm dia. GI pipe laying works</v>
          </cell>
          <cell r="E293" t="str">
            <v>m</v>
          </cell>
          <cell r="F293">
            <v>27.233437499999997</v>
          </cell>
          <cell r="G293">
            <v>7.1874999999999991</v>
          </cell>
          <cell r="H293">
            <v>17.25</v>
          </cell>
          <cell r="I293">
            <v>0</v>
          </cell>
          <cell r="J293">
            <v>2.7959375</v>
          </cell>
        </row>
        <row r="294">
          <cell r="A294" t="str">
            <v>17.4.a.5</v>
          </cell>
          <cell r="B294" t="str">
            <v>17-4(a)5</v>
          </cell>
          <cell r="C294" t="str">
            <v>100mm dia. GI pipe laying works with socket, union or flange joint including 500m carriage (excluding pipe)</v>
          </cell>
          <cell r="D294" t="str">
            <v>100mm dia. GI pipe laying works</v>
          </cell>
          <cell r="E294" t="str">
            <v>m</v>
          </cell>
          <cell r="F294">
            <v>34.262812500000003</v>
          </cell>
          <cell r="G294">
            <v>10.0625</v>
          </cell>
          <cell r="H294">
            <v>20.7</v>
          </cell>
          <cell r="I294">
            <v>0</v>
          </cell>
          <cell r="J294">
            <v>3.5003124999999997</v>
          </cell>
        </row>
        <row r="295">
          <cell r="A295" t="str">
            <v>17.4.a.6</v>
          </cell>
          <cell r="B295" t="str">
            <v>17-4(a)6</v>
          </cell>
          <cell r="C295" t="str">
            <v>125mm dia. GI pipe laying works with socket, union or flange joint including 500m carriage (excluding pipe)</v>
          </cell>
          <cell r="D295" t="str">
            <v>125mm dia. GI pipe laying works</v>
          </cell>
          <cell r="E295" t="str">
            <v>m</v>
          </cell>
          <cell r="F295">
            <v>41.615625000000001</v>
          </cell>
          <cell r="G295">
            <v>11.5</v>
          </cell>
          <cell r="H295">
            <v>25.874999999999996</v>
          </cell>
          <cell r="I295">
            <v>0</v>
          </cell>
          <cell r="J295">
            <v>4.2406249999999996</v>
          </cell>
        </row>
        <row r="296">
          <cell r="A296" t="str">
            <v>17.4.a.6.1</v>
          </cell>
          <cell r="B296" t="str">
            <v>17-4(a)6</v>
          </cell>
          <cell r="C296" t="str">
            <v>150mm dia. GI pipe laying works with socket, union or flange joint including 500m carriage (excluding pipe) [data based on that for 125mm pipe]</v>
          </cell>
          <cell r="D296" t="str">
            <v>150mm dia. GI pipe laying works</v>
          </cell>
          <cell r="E296" t="str">
            <v>m</v>
          </cell>
          <cell r="F296">
            <v>50.585625</v>
          </cell>
          <cell r="G296">
            <v>14.374999999999998</v>
          </cell>
          <cell r="H296">
            <v>31.049999999999997</v>
          </cell>
          <cell r="I296">
            <v>0</v>
          </cell>
          <cell r="J296">
            <v>5.1606249999999996</v>
          </cell>
        </row>
        <row r="297">
          <cell r="A297" t="str">
            <v>Rate for Ductile Iron Pipe Laying</v>
          </cell>
        </row>
        <row r="298">
          <cell r="A298">
            <v>18.100000000000001</v>
          </cell>
          <cell r="B298" t="str">
            <v>18-1</v>
          </cell>
          <cell r="C298" t="str">
            <v xml:space="preserve">80mm dia. DI pipe laying works with double flanged socket, or flange joint including 500m carriage (excluding pipe) </v>
          </cell>
          <cell r="D298" t="str">
            <v xml:space="preserve">80mm dia DI pipe laying works </v>
          </cell>
          <cell r="E298" t="str">
            <v>m</v>
          </cell>
          <cell r="F298">
            <v>40.850156249999998</v>
          </cell>
          <cell r="G298">
            <v>10.781249999999998</v>
          </cell>
          <cell r="H298">
            <v>25.875</v>
          </cell>
          <cell r="I298">
            <v>0</v>
          </cell>
          <cell r="J298">
            <v>4.1939062499999995</v>
          </cell>
        </row>
        <row r="299">
          <cell r="A299">
            <v>18.2</v>
          </cell>
          <cell r="B299" t="str">
            <v>18-2</v>
          </cell>
          <cell r="C299" t="str">
            <v xml:space="preserve">100mm dia. DI pipe laying works with double flanged socket, or flange joint including 500m carriage (excluding pipe) </v>
          </cell>
          <cell r="D299" t="str">
            <v xml:space="preserve">100mm dia DI pipe laying works </v>
          </cell>
          <cell r="E299" t="str">
            <v>m</v>
          </cell>
          <cell r="F299">
            <v>51.394218750000007</v>
          </cell>
          <cell r="G299">
            <v>15.09375</v>
          </cell>
          <cell r="H299">
            <v>31.049999999999997</v>
          </cell>
          <cell r="I299">
            <v>0</v>
          </cell>
          <cell r="J299">
            <v>5.2504687499999996</v>
          </cell>
        </row>
        <row r="300">
          <cell r="A300">
            <v>18.3</v>
          </cell>
          <cell r="B300" t="str">
            <v>18-3</v>
          </cell>
          <cell r="C300" t="str">
            <v xml:space="preserve">150mm dia. DI pipe laying works with double flanged socket, or flange joint including 500m carriage (excluding pipe) </v>
          </cell>
          <cell r="D300" t="str">
            <v xml:space="preserve">150mm dia DI pipe laying works </v>
          </cell>
          <cell r="E300" t="str">
            <v>m</v>
          </cell>
          <cell r="F300">
            <v>75.878437500000004</v>
          </cell>
          <cell r="G300">
            <v>21.562499999999996</v>
          </cell>
          <cell r="H300">
            <v>46.574999999999996</v>
          </cell>
          <cell r="I300">
            <v>0</v>
          </cell>
          <cell r="J300">
            <v>7.7409374999999994</v>
          </cell>
        </row>
        <row r="301">
          <cell r="A301">
            <v>18.399999999999999</v>
          </cell>
          <cell r="B301" t="str">
            <v>18-4</v>
          </cell>
          <cell r="C301" t="str">
            <v xml:space="preserve">200mm dia. DI pipe laying works with double flanged socket, or flange joint including 500m carriage (excluding pipe) </v>
          </cell>
          <cell r="D301" t="str">
            <v xml:space="preserve">200mm dia DI pipe laying works </v>
          </cell>
          <cell r="E301" t="str">
            <v>m</v>
          </cell>
          <cell r="F301">
            <v>151.75687500000001</v>
          </cell>
          <cell r="G301">
            <v>43.124999999999993</v>
          </cell>
          <cell r="H301">
            <v>93.149999999999991</v>
          </cell>
          <cell r="I301">
            <v>0</v>
          </cell>
          <cell r="J301">
            <v>15.481874999999999</v>
          </cell>
        </row>
        <row r="302">
          <cell r="A302">
            <v>18.5</v>
          </cell>
          <cell r="B302" t="str">
            <v>18-5</v>
          </cell>
          <cell r="C302" t="str">
            <v>250mm dia. DI pipe laying works with fouble flanged socket,  or flange joint including 500m carriage (excluding pipe)</v>
          </cell>
          <cell r="D302" t="str">
            <v>250mm dia DI pipe laying works</v>
          </cell>
          <cell r="E302" t="str">
            <v>m</v>
          </cell>
          <cell r="F302">
            <v>303.51375000000002</v>
          </cell>
          <cell r="G302">
            <v>86.249999999999986</v>
          </cell>
          <cell r="H302">
            <v>186.29999999999998</v>
          </cell>
          <cell r="I302">
            <v>0</v>
          </cell>
          <cell r="J302">
            <v>30.963749999999997</v>
          </cell>
        </row>
        <row r="303">
          <cell r="A303">
            <v>18.600000000000001</v>
          </cell>
          <cell r="B303" t="str">
            <v>18-6</v>
          </cell>
          <cell r="C303" t="str">
            <v>300mm dia. DI pipe laying works with fouble flanged socket,  or flange joint including 500m carriage (excluding pipe)</v>
          </cell>
          <cell r="D303" t="str">
            <v>300mm dia DI pipe laying works</v>
          </cell>
          <cell r="E303" t="str">
            <v>m</v>
          </cell>
          <cell r="F303">
            <v>101.17125</v>
          </cell>
          <cell r="G303">
            <v>28.749999999999996</v>
          </cell>
          <cell r="H303">
            <v>62.099999999999994</v>
          </cell>
          <cell r="I303">
            <v>0</v>
          </cell>
          <cell r="J303">
            <v>10.321249999999999</v>
          </cell>
        </row>
        <row r="304">
          <cell r="C304" t="str">
            <v>MISCELLANEOUS WORKS</v>
          </cell>
        </row>
        <row r="305">
          <cell r="A305" t="str">
            <v>M-1</v>
          </cell>
          <cell r="C305" t="str">
            <v>Fabrication of Angle post (MS 50x50x4 2.3m high)</v>
          </cell>
          <cell r="D305" t="str">
            <v xml:space="preserve">Fabrication &amp; placing of Angle post </v>
          </cell>
          <cell r="E305" t="str">
            <v>No</v>
          </cell>
          <cell r="F305">
            <v>317.91749999999996</v>
          </cell>
          <cell r="G305">
            <v>36.052500000000002</v>
          </cell>
          <cell r="H305">
            <v>19.664999999999999</v>
          </cell>
          <cell r="I305">
            <v>0</v>
          </cell>
          <cell r="J305">
            <v>262.2</v>
          </cell>
        </row>
        <row r="306">
          <cell r="A306" t="str">
            <v>M-2</v>
          </cell>
          <cell r="C306" t="str">
            <v>Fabrication of MS Grill gate 1.2mx 1.5m</v>
          </cell>
          <cell r="D306" t="str">
            <v>Fabrication &amp; placing of MS Grill gate</v>
          </cell>
          <cell r="E306" t="str">
            <v>set</v>
          </cell>
          <cell r="F306">
            <v>1693.9212500000001</v>
          </cell>
          <cell r="G306">
            <v>8.1592499999999983</v>
          </cell>
          <cell r="H306">
            <v>4.450499999999999</v>
          </cell>
          <cell r="I306">
            <v>0</v>
          </cell>
          <cell r="J306">
            <v>1681.3114999999998</v>
          </cell>
        </row>
        <row r="307">
          <cell r="A307" t="str">
            <v>M-3</v>
          </cell>
          <cell r="C307" t="str">
            <v>Fabrication of MS Grill for windows including 2 coats of enamel paint over one coat of metal primer</v>
          </cell>
          <cell r="D307" t="str">
            <v>Fabrication of MS Grill for Windows</v>
          </cell>
          <cell r="E307" t="str">
            <v>Kg.</v>
          </cell>
          <cell r="F307">
            <v>51.75</v>
          </cell>
          <cell r="G307">
            <v>5.1749999999999998</v>
          </cell>
          <cell r="H307">
            <v>10.35</v>
          </cell>
          <cell r="I307">
            <v>0</v>
          </cell>
          <cell r="J307">
            <v>36.224999999999994</v>
          </cell>
        </row>
        <row r="308">
          <cell r="A308" t="str">
            <v>M-4</v>
          </cell>
          <cell r="C308" t="str">
            <v>Railing Wooden Guide (section : 100 x 150mm) including 3 coats of chapra polish</v>
          </cell>
          <cell r="D308" t="str">
            <v>Railing Wooden Guide (Section : 100 x 150mm)</v>
          </cell>
          <cell r="E308" t="str">
            <v>Rm</v>
          </cell>
          <cell r="F308">
            <v>670.20562500000005</v>
          </cell>
          <cell r="G308">
            <v>173.62125</v>
          </cell>
          <cell r="H308">
            <v>30.144374999999997</v>
          </cell>
          <cell r="I308">
            <v>455.4</v>
          </cell>
          <cell r="J308">
            <v>11.040000000000001</v>
          </cell>
        </row>
        <row r="309">
          <cell r="A309" t="str">
            <v>M-5</v>
          </cell>
          <cell r="C309" t="str">
            <v>Staircase Railing Works of 20mm Square Pipe of 14 gauge including 2 coats of enamel paint over one coat of metal primer for Windows</v>
          </cell>
          <cell r="D309" t="str">
            <v>Staircase Railing Works of 20mm Square Pipe of 14 gauge</v>
          </cell>
          <cell r="E309" t="str">
            <v>Kg.</v>
          </cell>
          <cell r="F309">
            <v>0</v>
          </cell>
          <cell r="G309">
            <v>0</v>
          </cell>
          <cell r="H309">
            <v>0</v>
          </cell>
          <cell r="I309">
            <v>0</v>
          </cell>
          <cell r="J309">
            <v>0</v>
          </cell>
        </row>
        <row r="310">
          <cell r="A310" t="str">
            <v>M-6</v>
          </cell>
          <cell r="C310" t="str">
            <v>Making plastered pattern of approved design on 20mm th. Plaster</v>
          </cell>
          <cell r="D310" t="str">
            <v>Plaster with Pattern</v>
          </cell>
          <cell r="E310" t="str">
            <v>Sqm</v>
          </cell>
          <cell r="F310">
            <v>283.71670909090915</v>
          </cell>
          <cell r="G310">
            <v>53.13</v>
          </cell>
          <cell r="H310">
            <v>39.33</v>
          </cell>
          <cell r="I310">
            <v>5.7407999999999992</v>
          </cell>
          <cell r="J310">
            <v>185.51590909090908</v>
          </cell>
        </row>
        <row r="311">
          <cell r="A311" t="str">
            <v>M-7</v>
          </cell>
          <cell r="C311" t="str">
            <v>20mm Gate Valve with fitting</v>
          </cell>
          <cell r="D311" t="str">
            <v>20mm Gate Valve with fitting</v>
          </cell>
          <cell r="E311" t="str">
            <v>Nos.</v>
          </cell>
          <cell r="F311">
            <v>250</v>
          </cell>
          <cell r="J311">
            <v>250</v>
          </cell>
        </row>
        <row r="312">
          <cell r="A312" t="str">
            <v>M-7-1</v>
          </cell>
          <cell r="C312" t="str">
            <v>25mm Gate Valve with fitting</v>
          </cell>
          <cell r="D312" t="str">
            <v>25mm Gate Valve with fitting</v>
          </cell>
          <cell r="E312" t="str">
            <v>Nos.</v>
          </cell>
          <cell r="F312">
            <v>400</v>
          </cell>
          <cell r="J312">
            <v>400</v>
          </cell>
        </row>
        <row r="313">
          <cell r="A313" t="str">
            <v>M-8</v>
          </cell>
          <cell r="C313" t="str">
            <v>Chrome Plate (CP) 15mm taps</v>
          </cell>
          <cell r="D313" t="str">
            <v>Chrome Plate (CP) 15mm taps</v>
          </cell>
          <cell r="E313" t="str">
            <v>Nos,</v>
          </cell>
          <cell r="F313">
            <v>250</v>
          </cell>
          <cell r="J313">
            <v>250</v>
          </cell>
        </row>
        <row r="314">
          <cell r="A314" t="str">
            <v>M-9</v>
          </cell>
          <cell r="C314" t="str">
            <v>Glazed Indian Type WC Set</v>
          </cell>
          <cell r="D314" t="str">
            <v>Glazed Indian Type WC Set</v>
          </cell>
          <cell r="E314" t="str">
            <v>Nos.</v>
          </cell>
          <cell r="F314">
            <v>750</v>
          </cell>
          <cell r="J314">
            <v>750</v>
          </cell>
        </row>
        <row r="315">
          <cell r="A315" t="str">
            <v>M-10</v>
          </cell>
          <cell r="C315" t="str">
            <v>Inspection Chamber having internal dimension 450x450x450 with RCC Cover</v>
          </cell>
          <cell r="D315" t="str">
            <v>Inspection Chamber</v>
          </cell>
          <cell r="E315" t="str">
            <v>Nos</v>
          </cell>
          <cell r="F315">
            <v>1030.683126340909</v>
          </cell>
          <cell r="G315">
            <v>206.13662526818177</v>
          </cell>
          <cell r="H315">
            <v>206.13662526818177</v>
          </cell>
          <cell r="I315">
            <v>309.2049379022726</v>
          </cell>
          <cell r="J315">
            <v>309.2049379022726</v>
          </cell>
        </row>
        <row r="316">
          <cell r="A316" t="str">
            <v>M-12</v>
          </cell>
          <cell r="C316" t="str">
            <v>PVC Pipe 100mm</v>
          </cell>
          <cell r="D316" t="str">
            <v>PVC Pipe 100mm</v>
          </cell>
          <cell r="E316" t="str">
            <v>Rm</v>
          </cell>
          <cell r="F316">
            <v>100</v>
          </cell>
          <cell r="G316">
            <v>0</v>
          </cell>
          <cell r="H316">
            <v>0</v>
          </cell>
          <cell r="I316">
            <v>0</v>
          </cell>
          <cell r="J316">
            <v>100</v>
          </cell>
        </row>
        <row r="317">
          <cell r="A317" t="str">
            <v>M-13</v>
          </cell>
          <cell r="C317" t="str">
            <v>PVC Pipe 75mm</v>
          </cell>
          <cell r="D317" t="str">
            <v>PVC Pipe 75mm</v>
          </cell>
          <cell r="E317" t="str">
            <v>Rm</v>
          </cell>
          <cell r="F317">
            <v>75</v>
          </cell>
          <cell r="G317">
            <v>0</v>
          </cell>
          <cell r="H317">
            <v>0</v>
          </cell>
          <cell r="I317">
            <v>0</v>
          </cell>
          <cell r="J317">
            <v>75</v>
          </cell>
        </row>
        <row r="318">
          <cell r="A318" t="str">
            <v>M-14</v>
          </cell>
          <cell r="C318" t="str">
            <v>PVC Pipe 50mm</v>
          </cell>
          <cell r="D318" t="str">
            <v>PVC Pipe 50mm</v>
          </cell>
          <cell r="E318" t="str">
            <v>Rm</v>
          </cell>
          <cell r="F318">
            <v>50</v>
          </cell>
          <cell r="G318">
            <v>0</v>
          </cell>
          <cell r="H318">
            <v>0</v>
          </cell>
          <cell r="I318">
            <v>0</v>
          </cell>
          <cell r="J318">
            <v>50</v>
          </cell>
        </row>
        <row r="319">
          <cell r="A319" t="str">
            <v>M-15</v>
          </cell>
          <cell r="C319" t="str">
            <v>Supply and Fixation of RCC Jali for Ventitation</v>
          </cell>
          <cell r="D319" t="str">
            <v>Supply and Fixation of RCC Jali for Ventitation</v>
          </cell>
          <cell r="E319" t="str">
            <v>Sqm</v>
          </cell>
          <cell r="F319">
            <v>862.5</v>
          </cell>
          <cell r="G319">
            <v>172.5</v>
          </cell>
          <cell r="H319">
            <v>172.5</v>
          </cell>
          <cell r="I319">
            <v>258.75</v>
          </cell>
          <cell r="J319">
            <v>258.75</v>
          </cell>
        </row>
        <row r="320">
          <cell r="A320" t="str">
            <v>M-16</v>
          </cell>
          <cell r="C320" t="str">
            <v>Supply and Fixation of Stainless Steel Plate</v>
          </cell>
          <cell r="D320" t="str">
            <v>Supply and Fixation of Stainless Steel Plate</v>
          </cell>
          <cell r="E320" t="str">
            <v>Sqm</v>
          </cell>
          <cell r="F320">
            <v>6512.9449838187702</v>
          </cell>
          <cell r="G320">
            <v>229.99999999999997</v>
          </cell>
          <cell r="H320">
            <v>229.99999999999997</v>
          </cell>
          <cell r="I320">
            <v>1839.9999999999998</v>
          </cell>
          <cell r="J320">
            <v>6512.9449838187702</v>
          </cell>
        </row>
        <row r="321">
          <cell r="A321" t="str">
            <v>M-17</v>
          </cell>
          <cell r="C321" t="str">
            <v>H Connection of PVC pipe 100mm</v>
          </cell>
          <cell r="D321" t="str">
            <v>H Connection of PVC pipe 100mm</v>
          </cell>
          <cell r="E321" t="str">
            <v>Nos.</v>
          </cell>
          <cell r="F321">
            <v>230</v>
          </cell>
          <cell r="G321">
            <v>57.499999999999993</v>
          </cell>
          <cell r="H321">
            <v>57.499999999999993</v>
          </cell>
          <cell r="I321">
            <v>459.99999999999994</v>
          </cell>
          <cell r="J321">
            <v>230</v>
          </cell>
        </row>
        <row r="322">
          <cell r="A322" t="str">
            <v>M-18</v>
          </cell>
          <cell r="C322" t="str">
            <v>Stainless Steel Sink</v>
          </cell>
          <cell r="D322" t="str">
            <v>Stainless Steel Sink</v>
          </cell>
          <cell r="E322" t="str">
            <v>Nos.</v>
          </cell>
          <cell r="F322">
            <v>3013</v>
          </cell>
          <cell r="G322">
            <v>301.29999999999995</v>
          </cell>
          <cell r="H322">
            <v>301.29999999999995</v>
          </cell>
          <cell r="I322">
            <v>0</v>
          </cell>
          <cell r="J322">
            <v>2410.3999999999996</v>
          </cell>
        </row>
        <row r="323">
          <cell r="A323" t="str">
            <v>M-21</v>
          </cell>
          <cell r="C323" t="str">
            <v>Formwork for Ferro-Cement</v>
          </cell>
          <cell r="D323" t="str">
            <v>Formwork for Ferro-Cement</v>
          </cell>
          <cell r="E323" t="str">
            <v>sqm</v>
          </cell>
          <cell r="F323">
            <v>94.614256811437826</v>
          </cell>
          <cell r="G323">
            <v>31.684718100890208</v>
          </cell>
          <cell r="H323">
            <v>21.219314809819259</v>
          </cell>
          <cell r="I323">
            <v>0</v>
          </cell>
          <cell r="J323">
            <v>41.710223900728344</v>
          </cell>
        </row>
        <row r="324">
          <cell r="A324" t="str">
            <v>M-22</v>
          </cell>
          <cell r="C324" t="str">
            <v>Steel bar binding for Ferro-Cement work</v>
          </cell>
          <cell r="D324" t="str">
            <v>Steel bar binding for Ferro-Cement work</v>
          </cell>
          <cell r="E324" t="str">
            <v>sqm</v>
          </cell>
          <cell r="F324">
            <v>156.00135049639866</v>
          </cell>
          <cell r="G324">
            <v>47.437499999999993</v>
          </cell>
          <cell r="H324">
            <v>8.5880620985010694</v>
          </cell>
          <cell r="I324">
            <v>0</v>
          </cell>
          <cell r="J324">
            <v>99.975788397897603</v>
          </cell>
        </row>
        <row r="325">
          <cell r="A325" t="str">
            <v>M-23</v>
          </cell>
          <cell r="C325" t="str">
            <v>600 mm circular metal manhole cover for Ferro-Cement tank as per standard details</v>
          </cell>
          <cell r="D325" t="str">
            <v xml:space="preserve">600 mm circular metal manhole </v>
          </cell>
          <cell r="E325" t="str">
            <v>No</v>
          </cell>
          <cell r="F325">
            <v>1500</v>
          </cell>
          <cell r="G325" t="e">
            <v>#N/A</v>
          </cell>
          <cell r="H325" t="e">
            <v>#N/A</v>
          </cell>
          <cell r="I325" t="e">
            <v>#N/A</v>
          </cell>
          <cell r="J325" t="e">
            <v>#N/A</v>
          </cell>
        </row>
        <row r="326">
          <cell r="A326" t="str">
            <v>M-24</v>
          </cell>
          <cell r="C326" t="str">
            <v xml:space="preserve">Railing Work with 50mm GI Post @ 1600 c/c and 2 horizontal 40mm GI Pipe  </v>
          </cell>
          <cell r="D326" t="str">
            <v xml:space="preserve">Railing Work with 50mm GI Post @ 1600 c/c and 2 horizontal 40mm GI Pipe  </v>
          </cell>
          <cell r="E326" t="str">
            <v>rm</v>
          </cell>
          <cell r="F326">
            <v>1000</v>
          </cell>
          <cell r="G326">
            <v>50</v>
          </cell>
          <cell r="H326">
            <v>150</v>
          </cell>
          <cell r="J326">
            <v>800</v>
          </cell>
        </row>
        <row r="328">
          <cell r="A328" t="str">
            <v>M-101</v>
          </cell>
          <cell r="C328" t="str">
            <v>MS Gate for Flushing</v>
          </cell>
          <cell r="D328" t="str">
            <v>MS Gate for Flushing</v>
          </cell>
          <cell r="E328" t="str">
            <v>Job</v>
          </cell>
          <cell r="F328">
            <v>100000</v>
          </cell>
          <cell r="G328" t="e">
            <v>#N/A</v>
          </cell>
          <cell r="H328" t="e">
            <v>#N/A</v>
          </cell>
          <cell r="I328" t="e">
            <v>#N/A</v>
          </cell>
          <cell r="J328" t="e">
            <v>#N/A</v>
          </cell>
        </row>
        <row r="329">
          <cell r="A329" t="str">
            <v>M-102</v>
          </cell>
          <cell r="C329" t="str">
            <v>MS Plate for Trash rack</v>
          </cell>
          <cell r="D329" t="str">
            <v>MS Plate for Trash rack</v>
          </cell>
          <cell r="E329" t="str">
            <v>Job</v>
          </cell>
          <cell r="F329">
            <v>15000</v>
          </cell>
          <cell r="G329" t="e">
            <v>#N/A</v>
          </cell>
          <cell r="H329" t="e">
            <v>#N/A</v>
          </cell>
          <cell r="I329" t="e">
            <v>#N/A</v>
          </cell>
          <cell r="J329" t="e">
            <v>#N/A</v>
          </cell>
        </row>
        <row r="330">
          <cell r="A330" t="str">
            <v>M-103</v>
          </cell>
          <cell r="C330" t="str">
            <v>Stop log structure</v>
          </cell>
          <cell r="D330" t="str">
            <v>Stop log structure</v>
          </cell>
          <cell r="E330" t="str">
            <v>Job</v>
          </cell>
          <cell r="F330">
            <v>5000</v>
          </cell>
          <cell r="G330" t="e">
            <v>#N/A</v>
          </cell>
          <cell r="H330" t="e">
            <v>#N/A</v>
          </cell>
          <cell r="I330" t="e">
            <v>#N/A</v>
          </cell>
          <cell r="J330" t="e">
            <v>#N/A</v>
          </cell>
        </row>
        <row r="331">
          <cell r="A331" t="str">
            <v>M-104</v>
          </cell>
          <cell r="C331" t="str">
            <v>Dewatering Cost</v>
          </cell>
          <cell r="D331" t="str">
            <v>Dewatering Cost</v>
          </cell>
          <cell r="E331" t="str">
            <v>Job</v>
          </cell>
          <cell r="F331">
            <v>100000</v>
          </cell>
          <cell r="G331" t="e">
            <v>#N/A</v>
          </cell>
          <cell r="H331" t="e">
            <v>#N/A</v>
          </cell>
          <cell r="I331" t="e">
            <v>#N/A</v>
          </cell>
          <cell r="J331" t="e">
            <v>#N/A</v>
          </cell>
        </row>
        <row r="332">
          <cell r="A332" t="str">
            <v>M-105</v>
          </cell>
          <cell r="C332" t="str">
            <v xml:space="preserve">Railing Work with 50mm GI Post @ 1600 c/c and 2 horizontal 40mm GI Pipe  </v>
          </cell>
          <cell r="D332" t="str">
            <v xml:space="preserve">Railing Work with 50mm GI Post @ 1600 c/c and 2 horizontal 40mm GI Pipe  </v>
          </cell>
          <cell r="E332" t="str">
            <v>rm</v>
          </cell>
          <cell r="F332">
            <v>1000</v>
          </cell>
          <cell r="G332">
            <v>100</v>
          </cell>
          <cell r="H332">
            <v>100</v>
          </cell>
          <cell r="J332">
            <v>800</v>
          </cell>
        </row>
        <row r="333">
          <cell r="A333" t="str">
            <v>M-106</v>
          </cell>
          <cell r="C333" t="str">
            <v>Paddle Wheel set</v>
          </cell>
          <cell r="D333" t="str">
            <v>Paddle Wheel set</v>
          </cell>
          <cell r="E333" t="str">
            <v>No</v>
          </cell>
          <cell r="F333">
            <v>10000</v>
          </cell>
          <cell r="G333" t="e">
            <v>#N/A</v>
          </cell>
          <cell r="H333" t="e">
            <v>#N/A</v>
          </cell>
          <cell r="I333" t="e">
            <v>#N/A</v>
          </cell>
          <cell r="J333" t="e">
            <v>#N/A</v>
          </cell>
        </row>
        <row r="334">
          <cell r="A334" t="str">
            <v>M-107</v>
          </cell>
          <cell r="C334" t="str">
            <v>Electric Motor for Flash Mixer</v>
          </cell>
          <cell r="D334" t="str">
            <v>Electric Motor for Flash Mixer</v>
          </cell>
          <cell r="E334" t="str">
            <v>No</v>
          </cell>
          <cell r="F334">
            <v>8000</v>
          </cell>
          <cell r="G334" t="e">
            <v>#N/A</v>
          </cell>
          <cell r="H334" t="e">
            <v>#N/A</v>
          </cell>
          <cell r="I334" t="e">
            <v>#N/A</v>
          </cell>
          <cell r="J334" t="e">
            <v>#N/A</v>
          </cell>
        </row>
        <row r="335">
          <cell r="A335" t="str">
            <v>RVT_Site</v>
          </cell>
          <cell r="C335" t="str">
            <v>Site Development Work</v>
          </cell>
          <cell r="D335" t="str">
            <v>Site Development Work</v>
          </cell>
          <cell r="E335" t="str">
            <v>PS</v>
          </cell>
          <cell r="F335">
            <v>500000</v>
          </cell>
          <cell r="G335">
            <v>100000</v>
          </cell>
          <cell r="H335">
            <v>100000</v>
          </cell>
          <cell r="I335">
            <v>150000</v>
          </cell>
          <cell r="J335">
            <v>150000</v>
          </cell>
        </row>
        <row r="336">
          <cell r="A336" t="str">
            <v>TreatMisc</v>
          </cell>
          <cell r="C336" t="str">
            <v>Treatment Plant Site Development and Miscellaneous Items</v>
          </cell>
          <cell r="D336" t="str">
            <v>Treatment Plant Site Development and Miscellaneous Items</v>
          </cell>
          <cell r="E336" t="str">
            <v>LS</v>
          </cell>
          <cell r="F336">
            <v>1000000</v>
          </cell>
          <cell r="G336">
            <v>200000</v>
          </cell>
          <cell r="H336">
            <v>200000</v>
          </cell>
          <cell r="I336">
            <v>300000</v>
          </cell>
          <cell r="J336">
            <v>300000</v>
          </cell>
        </row>
        <row r="337">
          <cell r="A337" t="str">
            <v>Misc-Canal</v>
          </cell>
          <cell r="C337" t="str">
            <v>Dismantling Work for canal</v>
          </cell>
          <cell r="D337" t="str">
            <v>Dismantling  of canal for construction of diversion system</v>
          </cell>
          <cell r="E337" t="str">
            <v>LS</v>
          </cell>
          <cell r="F337">
            <v>10000</v>
          </cell>
          <cell r="G337">
            <v>2500</v>
          </cell>
          <cell r="H337">
            <v>2500</v>
          </cell>
          <cell r="I337">
            <v>5000</v>
          </cell>
        </row>
        <row r="338">
          <cell r="A338" t="str">
            <v>Misc-Trash</v>
          </cell>
          <cell r="C338" t="str">
            <v>Trash Racks</v>
          </cell>
          <cell r="D338" t="str">
            <v>Supply, fabrication and installation of Trash Rack</v>
          </cell>
          <cell r="E338" t="str">
            <v>LS</v>
          </cell>
          <cell r="F338">
            <v>2500</v>
          </cell>
          <cell r="G338">
            <v>125</v>
          </cell>
          <cell r="H338">
            <v>375</v>
          </cell>
          <cell r="J338">
            <v>2000</v>
          </cell>
        </row>
        <row r="339">
          <cell r="A339" t="str">
            <v>M-108</v>
          </cell>
          <cell r="C339" t="str">
            <v>20-100mm river gravel filter filling work</v>
          </cell>
          <cell r="D339" t="str">
            <v>20-100mm river gravel filter filling work</v>
          </cell>
          <cell r="E339" t="str">
            <v>Cum</v>
          </cell>
          <cell r="F339">
            <v>500</v>
          </cell>
          <cell r="G339">
            <v>125</v>
          </cell>
          <cell r="H339">
            <v>125</v>
          </cell>
          <cell r="I339">
            <v>250</v>
          </cell>
        </row>
        <row r="340">
          <cell r="A340" t="str">
            <v>M-109</v>
          </cell>
          <cell r="C340" t="str">
            <v>10-20mm river gravel filter filling work</v>
          </cell>
          <cell r="D340" t="str">
            <v>10-20mm river gravel filter filling work</v>
          </cell>
          <cell r="E340" t="str">
            <v>Cum</v>
          </cell>
          <cell r="F340">
            <v>1000</v>
          </cell>
          <cell r="G340">
            <v>250</v>
          </cell>
          <cell r="H340">
            <v>250</v>
          </cell>
          <cell r="I340">
            <v>500</v>
          </cell>
        </row>
        <row r="341">
          <cell r="A341" t="str">
            <v>M-110</v>
          </cell>
          <cell r="C341" t="str">
            <v>4-10mm river gravel filter filling work</v>
          </cell>
          <cell r="D341" t="str">
            <v>4-10mm river gravel filter filling work</v>
          </cell>
          <cell r="E341" t="str">
            <v>Cum</v>
          </cell>
          <cell r="F341">
            <v>1200</v>
          </cell>
          <cell r="G341">
            <v>300</v>
          </cell>
          <cell r="H341">
            <v>300</v>
          </cell>
          <cell r="I341">
            <v>600</v>
          </cell>
        </row>
        <row r="342">
          <cell r="A342" t="str">
            <v>M-111</v>
          </cell>
          <cell r="C342" t="str">
            <v>MS U-Notch</v>
          </cell>
          <cell r="D342" t="str">
            <v>MS U-Notch</v>
          </cell>
          <cell r="E342" t="str">
            <v>Job</v>
          </cell>
          <cell r="F342">
            <v>100000</v>
          </cell>
          <cell r="G342" t="e">
            <v>#N/A</v>
          </cell>
          <cell r="H342" t="e">
            <v>#N/A</v>
          </cell>
          <cell r="I342" t="e">
            <v>#N/A</v>
          </cell>
          <cell r="J342" t="e">
            <v>#N/A</v>
          </cell>
        </row>
        <row r="343">
          <cell r="A343" t="str">
            <v>M-112</v>
          </cell>
          <cell r="C343" t="str">
            <v>Barbed Wire</v>
          </cell>
          <cell r="D343" t="str">
            <v>Barbed Wire Fencing Work</v>
          </cell>
          <cell r="E343" t="str">
            <v>Kg.</v>
          </cell>
          <cell r="F343">
            <v>65</v>
          </cell>
          <cell r="G343">
            <v>6.5</v>
          </cell>
          <cell r="H343">
            <v>6.5</v>
          </cell>
          <cell r="J343">
            <v>52</v>
          </cell>
        </row>
        <row r="344">
          <cell r="A344" t="str">
            <v>PRC</v>
          </cell>
          <cell r="C344" t="str">
            <v>Pipe Removal and Transportation Cost</v>
          </cell>
          <cell r="D344" t="str">
            <v>Pipe Removal and Transportation Cost</v>
          </cell>
          <cell r="E344" t="str">
            <v>LS</v>
          </cell>
          <cell r="F344">
            <v>25000</v>
          </cell>
          <cell r="H344">
            <v>25000</v>
          </cell>
        </row>
        <row r="345">
          <cell r="A345" t="str">
            <v>PerfPipe</v>
          </cell>
          <cell r="C345" t="str">
            <v>200/6 HDPE Pipe with Perforation @7.5cm c/c for half the circumferance</v>
          </cell>
          <cell r="D345" t="str">
            <v>200/6 HDPE Pipe with Perforation @7.5cm c/c for half the circumferance</v>
          </cell>
          <cell r="E345" t="str">
            <v>m</v>
          </cell>
          <cell r="F345">
            <v>1070.9967272727272</v>
          </cell>
          <cell r="G345">
            <v>53.549836363636359</v>
          </cell>
          <cell r="J345">
            <v>1017.4468909090908</v>
          </cell>
        </row>
        <row r="346">
          <cell r="A346" t="str">
            <v>BlindPipe</v>
          </cell>
          <cell r="C346" t="str">
            <v>225/6 HDPE Blind Pipe</v>
          </cell>
          <cell r="D346" t="str">
            <v>225/6 HDPE Blind Pipe</v>
          </cell>
          <cell r="E346" t="str">
            <v>m</v>
          </cell>
          <cell r="F346">
            <v>1233.6480000000001</v>
          </cell>
          <cell r="G346">
            <v>61.682400000000008</v>
          </cell>
          <cell r="J346">
            <v>1171.9656</v>
          </cell>
        </row>
        <row r="347">
          <cell r="A347" t="str">
            <v>Ter1000</v>
          </cell>
          <cell r="C347" t="str">
            <v>Supply and Laying of GeoTextile</v>
          </cell>
          <cell r="D347" t="str">
            <v>Supply and Laying of GeoTextile (Terram 1000 Equivalent)</v>
          </cell>
          <cell r="E347" t="str">
            <v>sqm</v>
          </cell>
          <cell r="F347">
            <v>50</v>
          </cell>
          <cell r="G347">
            <v>2.5</v>
          </cell>
          <cell r="J347">
            <v>47.5</v>
          </cell>
        </row>
        <row r="349">
          <cell r="A349" t="str">
            <v>M-115</v>
          </cell>
          <cell r="C349" t="str">
            <v>Brass Plate</v>
          </cell>
          <cell r="D349" t="str">
            <v>Brass Plate</v>
          </cell>
          <cell r="E349" t="str">
            <v>No</v>
          </cell>
          <cell r="F349">
            <v>100</v>
          </cell>
          <cell r="G349" t="e">
            <v>#N/A</v>
          </cell>
          <cell r="H349" t="e">
            <v>#N/A</v>
          </cell>
          <cell r="I349" t="e">
            <v>#N/A</v>
          </cell>
          <cell r="J349" t="e">
            <v>#N/A</v>
          </cell>
        </row>
        <row r="350">
          <cell r="A350" t="str">
            <v>VB</v>
          </cell>
          <cell r="C350" t="str">
            <v>Supply and Installation of Valve Box</v>
          </cell>
          <cell r="D350" t="str">
            <v>Supply and Installation of Valve Box</v>
          </cell>
          <cell r="E350" t="str">
            <v>No</v>
          </cell>
          <cell r="F350">
            <v>2500</v>
          </cell>
          <cell r="G350">
            <v>125</v>
          </cell>
          <cell r="H350">
            <v>125</v>
          </cell>
          <cell r="J350">
            <v>2250</v>
          </cell>
        </row>
        <row r="351">
          <cell r="A351" t="str">
            <v>M-117</v>
          </cell>
          <cell r="C351" t="str">
            <v>Supply and Installation ofFire Hydrant</v>
          </cell>
          <cell r="D351" t="str">
            <v>Supply and Installation ofFire Hydrant</v>
          </cell>
          <cell r="E351" t="str">
            <v>No</v>
          </cell>
          <cell r="F351">
            <v>15000</v>
          </cell>
          <cell r="G351">
            <v>750</v>
          </cell>
          <cell r="H351">
            <v>750</v>
          </cell>
          <cell r="J351">
            <v>13500</v>
          </cell>
        </row>
        <row r="352">
          <cell r="A352" t="str">
            <v>M-118</v>
          </cell>
          <cell r="C352" t="str">
            <v>Supply and Installation of CI Manhole</v>
          </cell>
          <cell r="D352" t="str">
            <v>Supply and Installation of CI Manhole</v>
          </cell>
          <cell r="E352" t="str">
            <v>No</v>
          </cell>
          <cell r="F352">
            <v>8000</v>
          </cell>
          <cell r="J352">
            <v>8000</v>
          </cell>
        </row>
        <row r="353">
          <cell r="A353" t="str">
            <v>M-119</v>
          </cell>
          <cell r="C353" t="str">
            <v>20-40mm river gravel filter filling work</v>
          </cell>
          <cell r="D353" t="str">
            <v>20-40mm river gravel filter filling work</v>
          </cell>
          <cell r="E353" t="str">
            <v>cum</v>
          </cell>
          <cell r="F353">
            <v>1200</v>
          </cell>
          <cell r="H353">
            <v>240</v>
          </cell>
          <cell r="I353">
            <v>960</v>
          </cell>
        </row>
        <row r="354">
          <cell r="A354" t="str">
            <v>M-120</v>
          </cell>
          <cell r="C354" t="str">
            <v>10-20mm river gravel filter filling work</v>
          </cell>
          <cell r="D354" t="str">
            <v>10-20mm river gravel filter filling work</v>
          </cell>
          <cell r="E354" t="str">
            <v>cum</v>
          </cell>
          <cell r="F354">
            <v>1500</v>
          </cell>
          <cell r="H354">
            <v>300</v>
          </cell>
          <cell r="I354">
            <v>1200</v>
          </cell>
        </row>
        <row r="355">
          <cell r="A355" t="str">
            <v>M-121</v>
          </cell>
          <cell r="C355" t="str">
            <v>4-10mm river gravel filter filling work</v>
          </cell>
          <cell r="D355" t="str">
            <v>4-10mm river gravel filter filling work</v>
          </cell>
          <cell r="E355" t="str">
            <v>cum</v>
          </cell>
          <cell r="F355">
            <v>1800</v>
          </cell>
          <cell r="H355">
            <v>360</v>
          </cell>
          <cell r="I355">
            <v>1440</v>
          </cell>
        </row>
        <row r="356">
          <cell r="A356" t="str">
            <v>M-122</v>
          </cell>
          <cell r="C356" t="str">
            <v>MS U-Notch</v>
          </cell>
          <cell r="D356" t="str">
            <v>MS U-Notch</v>
          </cell>
          <cell r="E356" t="str">
            <v>No</v>
          </cell>
          <cell r="G356" t="e">
            <v>#N/A</v>
          </cell>
          <cell r="H356" t="e">
            <v>#N/A</v>
          </cell>
          <cell r="I356" t="e">
            <v>#N/A</v>
          </cell>
          <cell r="J356" t="e">
            <v>#N/A</v>
          </cell>
        </row>
        <row r="357">
          <cell r="A357" t="str">
            <v>M-123</v>
          </cell>
          <cell r="C357" t="str">
            <v>Filter Sand</v>
          </cell>
          <cell r="D357" t="str">
            <v>Filter Sand</v>
          </cell>
          <cell r="E357" t="str">
            <v>cum</v>
          </cell>
          <cell r="F357">
            <v>1500</v>
          </cell>
          <cell r="H357">
            <v>300</v>
          </cell>
          <cell r="I357">
            <v>1200</v>
          </cell>
        </row>
        <row r="358">
          <cell r="A358" t="str">
            <v>M-124</v>
          </cell>
          <cell r="C358" t="str">
            <v>Perforated Slab</v>
          </cell>
          <cell r="D358" t="str">
            <v>Perforated Slab</v>
          </cell>
          <cell r="E358" t="str">
            <v>cum</v>
          </cell>
          <cell r="F358">
            <v>4891.8177272727271</v>
          </cell>
          <cell r="G358">
            <v>151.79999999999998</v>
          </cell>
          <cell r="H358">
            <v>724.5</v>
          </cell>
          <cell r="I358">
            <v>686.31999999999994</v>
          </cell>
          <cell r="J358">
            <v>3329.1977272727272</v>
          </cell>
        </row>
        <row r="359">
          <cell r="A359" t="str">
            <v>M-125</v>
          </cell>
          <cell r="C359" t="str">
            <v>Aluminium Anodised Door Frame and Shutter including fixtures</v>
          </cell>
          <cell r="D359" t="str">
            <v>Aluminium Anodised Door Frame and Shutter including fixtures</v>
          </cell>
          <cell r="E359" t="str">
            <v>sqm</v>
          </cell>
          <cell r="F359">
            <v>7100</v>
          </cell>
          <cell r="G359">
            <v>355</v>
          </cell>
          <cell r="H359">
            <v>355</v>
          </cell>
          <cell r="J359">
            <v>6390</v>
          </cell>
        </row>
        <row r="360">
          <cell r="A360" t="str">
            <v>M-126</v>
          </cell>
          <cell r="C360" t="str">
            <v>Aluminium Anodised Window  Frame and Sliding Shutter including fixtures</v>
          </cell>
          <cell r="D360" t="str">
            <v>Aluminium Anodised Window  Frame and Sliding Shutter including fixtures</v>
          </cell>
          <cell r="E360" t="str">
            <v>sqm</v>
          </cell>
          <cell r="F360">
            <v>5200</v>
          </cell>
          <cell r="G360">
            <v>260</v>
          </cell>
          <cell r="H360">
            <v>260</v>
          </cell>
          <cell r="J360">
            <v>4680</v>
          </cell>
        </row>
        <row r="361">
          <cell r="A361" t="str">
            <v>M-127</v>
          </cell>
          <cell r="C361" t="str">
            <v>Water Proofing Treatment( Dischtament DS)</v>
          </cell>
          <cell r="D361" t="str">
            <v>Water Proofing Treatment( Dischtament DS)</v>
          </cell>
          <cell r="E361" t="str">
            <v>sqm</v>
          </cell>
          <cell r="F361">
            <v>451</v>
          </cell>
          <cell r="G361">
            <v>22.55</v>
          </cell>
          <cell r="H361">
            <v>22.55</v>
          </cell>
          <cell r="J361">
            <v>405.90000000000003</v>
          </cell>
        </row>
        <row r="362">
          <cell r="A362" t="str">
            <v>E-1</v>
          </cell>
          <cell r="C362" t="str">
            <v>Supply, installation and commissioning  of Main Distribution Board (MDB) wall mounting concealed type, dust and vermin proofmade of 16 SWG mildsteel sheet cubical with double covercovering the MCB with the locking arrangement as perdrawing and specificati</v>
          </cell>
          <cell r="D362" t="str">
            <v>Supply, installation and commissioning  of Main Distribution Board (MDB) wall mounting concealed type, dust and vermin proofmade of 16 SWG mildsteel sheet cubical with double covercovering the MCB with the locking arrangement as perdrawing and specificati</v>
          </cell>
          <cell r="E362" t="str">
            <v>No</v>
          </cell>
          <cell r="F362">
            <v>3936</v>
          </cell>
          <cell r="G362">
            <v>196.8</v>
          </cell>
          <cell r="H362">
            <v>393.6</v>
          </cell>
          <cell r="J362">
            <v>3345.6</v>
          </cell>
        </row>
        <row r="363">
          <cell r="A363" t="str">
            <v>E-2</v>
          </cell>
          <cell r="C363" t="str">
            <v>Supply and installation of light point wiring from DB tovarious points with 2 Nos of 3/22 PVC insulated copper wirethrough 20 mm internal dia HDPE conduit concealed via junction box as per drawing and specification including the cost of switch and metal b</v>
          </cell>
          <cell r="D363" t="str">
            <v xml:space="preserve">Supply and installation of light point wiring from DB tovarious points with 2 Nos of 3/22 PVC insulated copper wire through 20 mm internal dia HDPE conduit concealed via junction box as per drawing and specification including the cost of switch and metal </v>
          </cell>
          <cell r="E363" t="str">
            <v>No</v>
          </cell>
          <cell r="F363">
            <v>3936</v>
          </cell>
          <cell r="G363">
            <v>196.8</v>
          </cell>
          <cell r="H363">
            <v>393.6</v>
          </cell>
          <cell r="J363">
            <v>3345.6</v>
          </cell>
        </row>
        <row r="364">
          <cell r="A364" t="str">
            <v>E-3</v>
          </cell>
          <cell r="C364" t="str">
            <v>Supply and installation of  3 pin (15 A) socket point wiring with2 Nos of7/22 + 1No of 1/18 pvc insulated copper wires through 20 mm internal diaHDPE conduit concealed from SDB to various points as per drawing and specification including the cost of Switc</v>
          </cell>
          <cell r="D364" t="str">
            <v>Supply and installation of  3 pin (15 A) socket point including wiring all complete as per drawing and specification</v>
          </cell>
          <cell r="E364" t="str">
            <v>No</v>
          </cell>
          <cell r="F364">
            <v>3936</v>
          </cell>
          <cell r="G364">
            <v>196.8</v>
          </cell>
          <cell r="H364">
            <v>393.6</v>
          </cell>
          <cell r="J364">
            <v>3345.6</v>
          </cell>
        </row>
        <row r="365">
          <cell r="A365" t="str">
            <v>E-4</v>
          </cell>
          <cell r="C365" t="str">
            <v>Supply and installation of  2 pin ( 5 A)socket point wiring with2 Nos of3/20 pvc insulated copper wires through 20 mm internal dia HDPE conduit concealed from SDB to various points as per drawing and specification including the cost of Switch socket and m</v>
          </cell>
          <cell r="D365" t="str">
            <v>Supply and installation of  2 pin (5 A) socket point including wiring all complete as per drawing and specification</v>
          </cell>
          <cell r="E365" t="str">
            <v>No</v>
          </cell>
          <cell r="F365">
            <v>3936</v>
          </cell>
          <cell r="G365">
            <v>196.8</v>
          </cell>
          <cell r="H365">
            <v>393.6</v>
          </cell>
          <cell r="J365">
            <v>3345.6</v>
          </cell>
        </row>
        <row r="366">
          <cell r="A366" t="str">
            <v>E-5</v>
          </cell>
          <cell r="C366" t="str">
            <v>Supply and installation of 9'' sweep  exhaust fan as per drawing andspecification including GI sheet boxing.</v>
          </cell>
          <cell r="D366" t="str">
            <v>Supply and installation of 9'' sweep  exhaust fan as per drawing andspecification including GI sheet boxing.</v>
          </cell>
          <cell r="E366" t="str">
            <v>No</v>
          </cell>
          <cell r="F366">
            <v>3936</v>
          </cell>
          <cell r="G366">
            <v>196.8</v>
          </cell>
          <cell r="H366">
            <v>393.6</v>
          </cell>
          <cell r="J366">
            <v>3345.6</v>
          </cell>
        </row>
        <row r="367">
          <cell r="A367" t="str">
            <v>E-6</v>
          </cell>
          <cell r="C367" t="str">
            <v>Supply and installation of 42'' sweep  ceiling fan as per drawing andspecification including GI sheet boxing.</v>
          </cell>
          <cell r="D367" t="str">
            <v>Supply and installation of 42'' sweep  ceiling fan as per drawing andspecification including GI sheet boxing.</v>
          </cell>
          <cell r="E367" t="str">
            <v>No</v>
          </cell>
          <cell r="F367">
            <v>3936</v>
          </cell>
          <cell r="G367">
            <v>196.8</v>
          </cell>
          <cell r="H367">
            <v>393.6</v>
          </cell>
          <cell r="J367">
            <v>3345.6</v>
          </cell>
        </row>
        <row r="368">
          <cell r="A368" t="str">
            <v>E-7</v>
          </cell>
          <cell r="C368" t="str">
            <v>Supply and installation of earth electrode made of 30cm x 30cm x 3mmcopper plate including 8 SWG bare copper wireconnection to DB's.</v>
          </cell>
          <cell r="D368" t="str">
            <v>Supply and installation of earth electrode made of 30cm x 30cm x 3mm copper plate including 8 SWG bare copper wire connection to DB's.</v>
          </cell>
          <cell r="E368" t="str">
            <v>Set</v>
          </cell>
          <cell r="F368">
            <v>3936</v>
          </cell>
          <cell r="G368">
            <v>196.8</v>
          </cell>
          <cell r="H368">
            <v>393.6</v>
          </cell>
          <cell r="J368">
            <v>3345.6</v>
          </cell>
        </row>
        <row r="369">
          <cell r="A369" t="str">
            <v>E-8</v>
          </cell>
          <cell r="C369" t="str">
            <v>Chieseling, laying conduits cables the main line distribution from MDB toFloor DB,s with 2 x 7/16 size cable in 20 mm HDPE consduit.</v>
          </cell>
          <cell r="D369" t="str">
            <v>Chieseling, laying conduits cables the main line distribution from MDB toFloor DB,s with 2 x 7/16 size cable in 20 mm HDPE consduit.</v>
          </cell>
          <cell r="E369" t="str">
            <v>Job</v>
          </cell>
          <cell r="F369">
            <v>3936</v>
          </cell>
          <cell r="G369">
            <v>196.8</v>
          </cell>
          <cell r="H369">
            <v>393.6</v>
          </cell>
          <cell r="J369">
            <v>3345.6</v>
          </cell>
        </row>
        <row r="370">
          <cell r="A370" t="str">
            <v>E-9</v>
          </cell>
          <cell r="C370" t="str">
            <v xml:space="preserve">Supply, installation and commissioning  of Main Distribution Board(MDB)wall mounting concealed type, dust and vermin proofmade of 16 SWG mildsteel sheet cubical with double covercovering the MCB with the lockingarrangement as perdrawing and specification </v>
          </cell>
          <cell r="D370" t="str">
            <v xml:space="preserve">Supply, installation and commissioning  of Main Distribution Board(MDB) </v>
          </cell>
          <cell r="E370" t="str">
            <v>No</v>
          </cell>
          <cell r="F370">
            <v>3936</v>
          </cell>
          <cell r="G370">
            <v>196.8</v>
          </cell>
          <cell r="H370">
            <v>393.6</v>
          </cell>
          <cell r="J370">
            <v>3345.6</v>
          </cell>
        </row>
        <row r="371">
          <cell r="A371" t="str">
            <v>F-1</v>
          </cell>
          <cell r="C371" t="str">
            <v>Made of 25x38mm MS angle and 3x18mm MS Strip with metal polish all complete</v>
          </cell>
          <cell r="D371" t="str">
            <v>Made of 25x38mm MS angle and 3x18mm MS Strip with metal polish all complete</v>
          </cell>
          <cell r="E371" t="str">
            <v>No</v>
          </cell>
          <cell r="F371">
            <v>3000</v>
          </cell>
          <cell r="G371">
            <v>300</v>
          </cell>
          <cell r="H371">
            <v>600</v>
          </cell>
          <cell r="I371">
            <v>1800</v>
          </cell>
          <cell r="J371">
            <v>300</v>
          </cell>
        </row>
        <row r="372">
          <cell r="A372" t="str">
            <v>F-2</v>
          </cell>
          <cell r="C372" t="str">
            <v>Made of 25x38mm MS angle and 3x18mm MS Strip with metal polish all complete</v>
          </cell>
          <cell r="D372" t="str">
            <v>Made of 25x38mm MS angle and 3x18mm MS Strip with metal polish all complete</v>
          </cell>
          <cell r="E372" t="str">
            <v>No</v>
          </cell>
          <cell r="F372">
            <v>3000</v>
          </cell>
          <cell r="G372">
            <v>300</v>
          </cell>
          <cell r="H372">
            <v>600</v>
          </cell>
          <cell r="I372">
            <v>1800</v>
          </cell>
          <cell r="J372">
            <v>300</v>
          </cell>
        </row>
        <row r="373">
          <cell r="A373" t="str">
            <v>F-3</v>
          </cell>
          <cell r="C373" t="str">
            <v>Made of sisam wood of 25x38mm section, dunlop at seat and back rest with rexin cover, having hand rest, 3 coats chapra polish all complete</v>
          </cell>
          <cell r="D373" t="str">
            <v>Made of sisam wood of 25x38mm section, dunlop at seat and back rest with rexin cover, having hand rest, 3 coats chapra polish all complete</v>
          </cell>
          <cell r="E373" t="str">
            <v>No</v>
          </cell>
          <cell r="F373">
            <v>1800</v>
          </cell>
          <cell r="G373">
            <v>180</v>
          </cell>
          <cell r="H373">
            <v>360</v>
          </cell>
          <cell r="I373">
            <v>1080</v>
          </cell>
          <cell r="J373">
            <v>180</v>
          </cell>
        </row>
        <row r="374">
          <cell r="A374" t="str">
            <v>F-4</v>
          </cell>
          <cell r="C374" t="str">
            <v>MS cupboard made of 20 gauge MS Sheet for Clothes Store : Godrej or Equivalent</v>
          </cell>
          <cell r="D374" t="str">
            <v>MS cupboard made of 20 gauge MS Sheet for Clothes Store : Godrej or Equivalent</v>
          </cell>
          <cell r="E374" t="str">
            <v>No</v>
          </cell>
          <cell r="F374">
            <v>9000</v>
          </cell>
          <cell r="G374">
            <v>900</v>
          </cell>
          <cell r="H374">
            <v>1800</v>
          </cell>
          <cell r="I374">
            <v>5400</v>
          </cell>
          <cell r="J374">
            <v>900</v>
          </cell>
        </row>
        <row r="375">
          <cell r="A375" t="str">
            <v>F-5</v>
          </cell>
          <cell r="C375" t="str">
            <v>Single Bed made of 50x75 salwood section</v>
          </cell>
          <cell r="D375" t="str">
            <v>Single Bed made of 50x75 salwood section</v>
          </cell>
          <cell r="E375" t="str">
            <v>No</v>
          </cell>
          <cell r="F375">
            <v>4500</v>
          </cell>
          <cell r="G375">
            <v>450</v>
          </cell>
          <cell r="H375">
            <v>900</v>
          </cell>
          <cell r="I375">
            <v>2700</v>
          </cell>
          <cell r="J375">
            <v>450</v>
          </cell>
        </row>
        <row r="376">
          <cell r="A376" t="str">
            <v>Lab-1</v>
          </cell>
          <cell r="C376" t="str">
            <v>Laboratory Equipment</v>
          </cell>
          <cell r="D376" t="str">
            <v>Laboratory Equipment</v>
          </cell>
          <cell r="E376" t="str">
            <v>Set</v>
          </cell>
          <cell r="F376">
            <v>318505</v>
          </cell>
          <cell r="G376" t="e">
            <v>#N/A</v>
          </cell>
          <cell r="H376" t="e">
            <v>#N/A</v>
          </cell>
          <cell r="I376" t="e">
            <v>#N/A</v>
          </cell>
          <cell r="J376" t="e">
            <v>#N/A</v>
          </cell>
        </row>
        <row r="377">
          <cell r="A377" t="str">
            <v>Lab-2</v>
          </cell>
          <cell r="C377" t="str">
            <v>Glassware</v>
          </cell>
          <cell r="D377" t="str">
            <v>Glassware</v>
          </cell>
          <cell r="E377" t="str">
            <v>Set</v>
          </cell>
          <cell r="F377">
            <v>110000</v>
          </cell>
          <cell r="G377" t="e">
            <v>#N/A</v>
          </cell>
          <cell r="H377" t="e">
            <v>#N/A</v>
          </cell>
          <cell r="I377" t="e">
            <v>#N/A</v>
          </cell>
          <cell r="J377" t="e">
            <v>#N/A</v>
          </cell>
        </row>
        <row r="378">
          <cell r="A378" t="str">
            <v>Lab-3</v>
          </cell>
          <cell r="C378" t="str">
            <v>Chemicals and Reagents</v>
          </cell>
          <cell r="D378" t="str">
            <v>Chemicals and Reagents</v>
          </cell>
          <cell r="E378" t="str">
            <v>Set</v>
          </cell>
          <cell r="F378">
            <v>44000</v>
          </cell>
          <cell r="G378" t="e">
            <v>#N/A</v>
          </cell>
          <cell r="H378" t="e">
            <v>#N/A</v>
          </cell>
          <cell r="I378" t="e">
            <v>#N/A</v>
          </cell>
          <cell r="J378" t="e">
            <v>#N/A</v>
          </cell>
        </row>
        <row r="379">
          <cell r="A379" t="str">
            <v>PS1</v>
          </cell>
          <cell r="C379" t="str">
            <v>Provisional Sum for unforseen works e.g. Road crossing, change of electrical poles etc.</v>
          </cell>
          <cell r="D379" t="str">
            <v>Provisional Sum for unforseen works e.g. Road crossing, change of electrical poles etc.</v>
          </cell>
          <cell r="E379" t="str">
            <v>Job</v>
          </cell>
          <cell r="F379">
            <v>300000</v>
          </cell>
          <cell r="G379">
            <v>60000</v>
          </cell>
          <cell r="H379">
            <v>60000</v>
          </cell>
          <cell r="I379">
            <v>60000</v>
          </cell>
          <cell r="J379">
            <v>120000</v>
          </cell>
        </row>
        <row r="380">
          <cell r="A380" t="str">
            <v>PMP</v>
          </cell>
          <cell r="C380" t="str">
            <v>Pipe Marker Post</v>
          </cell>
          <cell r="D380" t="str">
            <v>Pipe Marker Post</v>
          </cell>
          <cell r="E380" t="str">
            <v>No</v>
          </cell>
          <cell r="F380">
            <v>666.78567420000013</v>
          </cell>
          <cell r="G380">
            <v>66.678567420000022</v>
          </cell>
          <cell r="H380">
            <v>66.678567420000022</v>
          </cell>
          <cell r="I380">
            <v>333.39283710000007</v>
          </cell>
          <cell r="J380">
            <v>200.03570226000002</v>
          </cell>
        </row>
        <row r="381">
          <cell r="A381" t="str">
            <v>RA</v>
          </cell>
          <cell r="C381" t="str">
            <v>Rock Anchoring</v>
          </cell>
          <cell r="D381" t="str">
            <v>Rock Anchoring</v>
          </cell>
          <cell r="E381" t="str">
            <v>No</v>
          </cell>
          <cell r="F381" t="e">
            <v>#REF!</v>
          </cell>
          <cell r="G381" t="e">
            <v>#REF!</v>
          </cell>
          <cell r="H381" t="e">
            <v>#REF!</v>
          </cell>
          <cell r="I381" t="e">
            <v>#REF!</v>
          </cell>
          <cell r="J381" t="e">
            <v>#REF!</v>
          </cell>
        </row>
        <row r="382">
          <cell r="C382" t="str">
            <v>Pipe Cost at the Site</v>
          </cell>
        </row>
        <row r="383">
          <cell r="A383" t="str">
            <v>H-16/10</v>
          </cell>
          <cell r="C383" t="str">
            <v>PIPE HDPE-16/10</v>
          </cell>
          <cell r="D383" t="str">
            <v>PIPE HDPE-16/10</v>
          </cell>
          <cell r="E383" t="str">
            <v>m</v>
          </cell>
          <cell r="F383">
            <v>9.7854545454545452</v>
          </cell>
          <cell r="J383">
            <v>9.7854545454545452</v>
          </cell>
        </row>
        <row r="384">
          <cell r="A384" t="str">
            <v>H-20/10</v>
          </cell>
          <cell r="C384" t="str">
            <v>PIPE HDPE-20/10</v>
          </cell>
          <cell r="D384" t="str">
            <v>PIPE HDPE-20/10</v>
          </cell>
          <cell r="E384" t="str">
            <v>m</v>
          </cell>
          <cell r="F384">
            <v>14.252727272727274</v>
          </cell>
          <cell r="J384">
            <v>14.252727272727274</v>
          </cell>
        </row>
        <row r="385">
          <cell r="A385" t="str">
            <v>H-25/10</v>
          </cell>
          <cell r="C385" t="str">
            <v>PIPE HDPE-25/10</v>
          </cell>
          <cell r="D385" t="str">
            <v>PIPE HDPE-25/10</v>
          </cell>
          <cell r="E385" t="str">
            <v>m</v>
          </cell>
          <cell r="F385">
            <v>21.485454545454544</v>
          </cell>
          <cell r="J385">
            <v>21.485454545454544</v>
          </cell>
        </row>
        <row r="386">
          <cell r="A386" t="str">
            <v>H-32/6</v>
          </cell>
          <cell r="C386" t="str">
            <v>PIPE HDPE-32/6</v>
          </cell>
          <cell r="D386" t="str">
            <v>PIPE HDPE-32/6</v>
          </cell>
          <cell r="E386" t="str">
            <v>m</v>
          </cell>
          <cell r="F386">
            <v>23.4</v>
          </cell>
          <cell r="J386">
            <v>23.4</v>
          </cell>
        </row>
        <row r="387">
          <cell r="A387" t="str">
            <v>H-32/10</v>
          </cell>
          <cell r="C387" t="str">
            <v>PIPE HDPE-32/10</v>
          </cell>
          <cell r="D387" t="str">
            <v>PIPE HDPE-32/10</v>
          </cell>
          <cell r="E387" t="str">
            <v>m</v>
          </cell>
          <cell r="F387">
            <v>35.525454545454544</v>
          </cell>
          <cell r="J387">
            <v>35.525454545454544</v>
          </cell>
        </row>
        <row r="388">
          <cell r="A388" t="str">
            <v>H-40/4</v>
          </cell>
          <cell r="C388" t="str">
            <v>PIPE HDPE-40/4</v>
          </cell>
          <cell r="D388" t="str">
            <v>PIPE HDPE-40/4</v>
          </cell>
          <cell r="E388" t="str">
            <v>m</v>
          </cell>
          <cell r="F388">
            <v>26.697272727272725</v>
          </cell>
          <cell r="J388">
            <v>26.697272727272725</v>
          </cell>
        </row>
        <row r="389">
          <cell r="A389" t="str">
            <v>H-40/6</v>
          </cell>
          <cell r="C389" t="str">
            <v>PIPE HDPE-40/6</v>
          </cell>
          <cell r="D389" t="str">
            <v>PIPE HDPE-40/6</v>
          </cell>
          <cell r="E389" t="str">
            <v>m</v>
          </cell>
          <cell r="F389">
            <v>37.227272727272727</v>
          </cell>
          <cell r="J389">
            <v>37.227272727272727</v>
          </cell>
        </row>
        <row r="390">
          <cell r="A390" t="str">
            <v>H-40/10</v>
          </cell>
          <cell r="C390" t="str">
            <v>PIPE HDPE-40/10</v>
          </cell>
          <cell r="D390" t="str">
            <v>PIPE HDPE-40/10</v>
          </cell>
          <cell r="E390" t="str">
            <v>m</v>
          </cell>
          <cell r="F390">
            <v>54.670909090909092</v>
          </cell>
          <cell r="J390">
            <v>54.670909090909092</v>
          </cell>
        </row>
        <row r="391">
          <cell r="A391" t="str">
            <v>H-50/4</v>
          </cell>
          <cell r="C391" t="str">
            <v>PIPE HDPE-50/4</v>
          </cell>
          <cell r="D391" t="str">
            <v>PIPE HDPE-50/4</v>
          </cell>
          <cell r="E391" t="str">
            <v>m</v>
          </cell>
          <cell r="F391">
            <v>40.205454545454543</v>
          </cell>
          <cell r="J391">
            <v>40.205454545454543</v>
          </cell>
        </row>
        <row r="392">
          <cell r="A392" t="str">
            <v>H-50/6</v>
          </cell>
          <cell r="C392" t="str">
            <v>PIPE HDPE-50/6</v>
          </cell>
          <cell r="D392" t="str">
            <v>PIPE HDPE-50/6</v>
          </cell>
          <cell r="E392" t="str">
            <v>m</v>
          </cell>
          <cell r="F392">
            <v>57.649090909090908</v>
          </cell>
          <cell r="J392">
            <v>57.649090909090908</v>
          </cell>
        </row>
        <row r="393">
          <cell r="A393" t="str">
            <v>H-50/10</v>
          </cell>
          <cell r="C393" t="str">
            <v>PIPE HDPE-50/10</v>
          </cell>
          <cell r="D393" t="str">
            <v>PIPE HDPE-50/10</v>
          </cell>
          <cell r="E393" t="str">
            <v>m</v>
          </cell>
          <cell r="F393">
            <v>84.665454545454551</v>
          </cell>
          <cell r="J393">
            <v>84.665454545454551</v>
          </cell>
        </row>
        <row r="394">
          <cell r="A394" t="str">
            <v>H-63/4</v>
          </cell>
          <cell r="C394" t="str">
            <v>PIPE HDPE-63/4</v>
          </cell>
          <cell r="D394" t="str">
            <v>PIPE HDPE-63/4</v>
          </cell>
          <cell r="E394" t="str">
            <v>m</v>
          </cell>
          <cell r="F394">
            <v>62.222727272727269</v>
          </cell>
          <cell r="J394">
            <v>62.222727272727269</v>
          </cell>
        </row>
        <row r="395">
          <cell r="A395" t="str">
            <v>H-63/6</v>
          </cell>
          <cell r="C395" t="str">
            <v>PIPE HDPE-63/6</v>
          </cell>
          <cell r="D395" t="str">
            <v>PIPE HDPE-63/6</v>
          </cell>
          <cell r="E395" t="str">
            <v>m</v>
          </cell>
          <cell r="F395">
            <v>90.409090909090907</v>
          </cell>
          <cell r="J395">
            <v>90.409090909090907</v>
          </cell>
        </row>
        <row r="396">
          <cell r="A396" t="str">
            <v>H-63/10</v>
          </cell>
          <cell r="C396" t="str">
            <v>PIPE HDPE-63/10</v>
          </cell>
          <cell r="D396" t="str">
            <v>PIPE HDPE-63/10</v>
          </cell>
          <cell r="E396" t="str">
            <v>m</v>
          </cell>
          <cell r="F396">
            <v>134.97545454545454</v>
          </cell>
          <cell r="J396">
            <v>134.97545454545454</v>
          </cell>
        </row>
        <row r="397">
          <cell r="A397" t="str">
            <v>H-75/4</v>
          </cell>
          <cell r="C397" t="str">
            <v>PIPE HDPE-75/4</v>
          </cell>
          <cell r="D397" t="str">
            <v>PIPE HDPE-75/4</v>
          </cell>
          <cell r="E397" t="str">
            <v>m</v>
          </cell>
          <cell r="F397">
            <v>89.983636363636364</v>
          </cell>
          <cell r="J397">
            <v>89.983636363636364</v>
          </cell>
        </row>
        <row r="398">
          <cell r="A398" t="str">
            <v>H-75/6</v>
          </cell>
          <cell r="C398" t="str">
            <v>PIPE HDPE-75/6</v>
          </cell>
          <cell r="D398" t="str">
            <v>PIPE HDPE-75/6</v>
          </cell>
          <cell r="E398" t="str">
            <v>m</v>
          </cell>
          <cell r="F398">
            <v>126.67909090909092</v>
          </cell>
          <cell r="J398">
            <v>126.67909090909092</v>
          </cell>
        </row>
        <row r="399">
          <cell r="A399" t="str">
            <v>H-75/10</v>
          </cell>
          <cell r="C399" t="str">
            <v>PIPE HDPE-75/10</v>
          </cell>
          <cell r="D399" t="str">
            <v>PIPE HDPE-75/10</v>
          </cell>
          <cell r="E399" t="str">
            <v>m</v>
          </cell>
          <cell r="F399">
            <v>189.54</v>
          </cell>
          <cell r="J399">
            <v>189.54</v>
          </cell>
        </row>
        <row r="400">
          <cell r="A400" t="str">
            <v>H-90/4</v>
          </cell>
          <cell r="C400" t="str">
            <v>PIPE HDPE-90/4</v>
          </cell>
          <cell r="D400" t="str">
            <v>PIPE HDPE-90/4</v>
          </cell>
          <cell r="E400" t="str">
            <v>m</v>
          </cell>
          <cell r="F400">
            <v>129.76363636363635</v>
          </cell>
          <cell r="J400">
            <v>129.76363636363635</v>
          </cell>
        </row>
        <row r="401">
          <cell r="A401" t="str">
            <v>H-90/6</v>
          </cell>
          <cell r="C401" t="str">
            <v>PIPE HDPE-90/6</v>
          </cell>
          <cell r="D401" t="str">
            <v>PIPE HDPE-90/6</v>
          </cell>
          <cell r="E401" t="str">
            <v>m</v>
          </cell>
          <cell r="F401">
            <v>182.41363636363636</v>
          </cell>
          <cell r="J401">
            <v>182.41363636363636</v>
          </cell>
        </row>
        <row r="402">
          <cell r="A402" t="str">
            <v>H-90/10</v>
          </cell>
          <cell r="C402" t="str">
            <v>PIPE HDPE-90/10</v>
          </cell>
          <cell r="D402" t="str">
            <v>PIPE HDPE-90/10</v>
          </cell>
          <cell r="E402" t="str">
            <v>m</v>
          </cell>
          <cell r="F402">
            <v>273.14181818181817</v>
          </cell>
          <cell r="J402">
            <v>273.14181818181817</v>
          </cell>
        </row>
        <row r="403">
          <cell r="A403" t="str">
            <v>H-110/4</v>
          </cell>
          <cell r="C403" t="str">
            <v>PIPE HDPE-110/4</v>
          </cell>
          <cell r="D403" t="str">
            <v>PIPE HDPE-110/4</v>
          </cell>
          <cell r="E403" t="str">
            <v>m</v>
          </cell>
          <cell r="F403">
            <v>181.13727272727272</v>
          </cell>
          <cell r="J403">
            <v>181.13727272727272</v>
          </cell>
        </row>
        <row r="404">
          <cell r="A404" t="str">
            <v>H-110/6</v>
          </cell>
          <cell r="C404" t="str">
            <v>PIPE HDPE-110/6</v>
          </cell>
          <cell r="D404" t="str">
            <v>PIPE HDPE-110/6</v>
          </cell>
          <cell r="E404" t="str">
            <v>m</v>
          </cell>
          <cell r="F404">
            <v>270.69545454545454</v>
          </cell>
          <cell r="J404">
            <v>270.69545454545454</v>
          </cell>
        </row>
        <row r="405">
          <cell r="A405" t="str">
            <v>H-110/10</v>
          </cell>
          <cell r="C405" t="str">
            <v>PIPE HDPE-110/10</v>
          </cell>
          <cell r="D405" t="str">
            <v>PIPE HDPE-110/10</v>
          </cell>
          <cell r="E405" t="str">
            <v>m</v>
          </cell>
          <cell r="F405">
            <v>404.28818181818184</v>
          </cell>
          <cell r="J405">
            <v>404.28818181818184</v>
          </cell>
        </row>
        <row r="406">
          <cell r="A406" t="str">
            <v>H-125/4</v>
          </cell>
          <cell r="C406" t="str">
            <v>PIPE HDPE-125/4</v>
          </cell>
          <cell r="D406" t="str">
            <v>PIPE HDPE-125/4</v>
          </cell>
          <cell r="E406" t="str">
            <v>m</v>
          </cell>
          <cell r="F406">
            <v>243.46636363636364</v>
          </cell>
          <cell r="J406">
            <v>243.46636363636364</v>
          </cell>
        </row>
        <row r="407">
          <cell r="A407" t="str">
            <v>H-125/6</v>
          </cell>
          <cell r="C407" t="str">
            <v>PIPE HDPE-125/6</v>
          </cell>
          <cell r="D407" t="str">
            <v>PIPE HDPE-125/6</v>
          </cell>
          <cell r="E407" t="str">
            <v>m</v>
          </cell>
          <cell r="F407">
            <v>350.25545454545454</v>
          </cell>
          <cell r="J407">
            <v>350.25545454545454</v>
          </cell>
        </row>
        <row r="408">
          <cell r="A408" t="str">
            <v>H-125/10</v>
          </cell>
          <cell r="C408" t="str">
            <v>PIPE HDPE-125/10</v>
          </cell>
          <cell r="D408" t="str">
            <v>PIPE HDPE-125/10</v>
          </cell>
          <cell r="E408" t="str">
            <v>m</v>
          </cell>
          <cell r="F408">
            <v>527.77636363636361</v>
          </cell>
          <cell r="J408">
            <v>527.77636363636361</v>
          </cell>
        </row>
        <row r="409">
          <cell r="A409" t="str">
            <v>H-140/4</v>
          </cell>
          <cell r="C409" t="str">
            <v>PIPE HDPE-140/4</v>
          </cell>
          <cell r="D409" t="str">
            <v>PIPE HDPE-140/4</v>
          </cell>
          <cell r="E409" t="str">
            <v>m</v>
          </cell>
          <cell r="F409">
            <v>308.56090909090904</v>
          </cell>
          <cell r="J409">
            <v>308.56090909090904</v>
          </cell>
        </row>
        <row r="410">
          <cell r="A410" t="str">
            <v>H-140/6</v>
          </cell>
          <cell r="C410" t="str">
            <v>PIPE HDPE-140/6</v>
          </cell>
          <cell r="D410" t="str">
            <v>PIPE HDPE-140/6</v>
          </cell>
          <cell r="E410" t="str">
            <v>m</v>
          </cell>
          <cell r="F410">
            <v>441.40909090909093</v>
          </cell>
          <cell r="J410">
            <v>441.40909090909093</v>
          </cell>
        </row>
        <row r="411">
          <cell r="A411" t="str">
            <v>H-140/10</v>
          </cell>
          <cell r="C411" t="str">
            <v>PIPE HDPE-140/10</v>
          </cell>
          <cell r="D411" t="str">
            <v>PIPE HDPE-140/10</v>
          </cell>
          <cell r="E411" t="str">
            <v>m</v>
          </cell>
          <cell r="F411">
            <v>660.41181818181815</v>
          </cell>
          <cell r="J411">
            <v>660.41181818181815</v>
          </cell>
        </row>
        <row r="412">
          <cell r="A412" t="str">
            <v>H-160/4</v>
          </cell>
          <cell r="C412" t="str">
            <v>PIPE HDPE-160/4</v>
          </cell>
          <cell r="D412" t="str">
            <v>PIPE HDPE-160/4</v>
          </cell>
          <cell r="E412" t="str">
            <v>m</v>
          </cell>
          <cell r="F412">
            <v>401.31</v>
          </cell>
          <cell r="J412">
            <v>401.31</v>
          </cell>
        </row>
        <row r="413">
          <cell r="A413" t="str">
            <v>H-160/6</v>
          </cell>
          <cell r="C413" t="str">
            <v>PIPE HDPE-160/6</v>
          </cell>
          <cell r="D413" t="str">
            <v>PIPE HDPE-160/6</v>
          </cell>
          <cell r="E413" t="str">
            <v>m</v>
          </cell>
          <cell r="F413">
            <v>569.57727272727277</v>
          </cell>
          <cell r="J413">
            <v>569.57727272727277</v>
          </cell>
        </row>
        <row r="414">
          <cell r="A414" t="str">
            <v>H-160/10</v>
          </cell>
          <cell r="C414" t="str">
            <v>PIPE HDPE-160/10</v>
          </cell>
          <cell r="D414" t="str">
            <v>PIPE HDPE-160/10</v>
          </cell>
          <cell r="E414" t="str">
            <v>m</v>
          </cell>
          <cell r="F414">
            <v>859.31181818181824</v>
          </cell>
          <cell r="J414">
            <v>859.31181818181824</v>
          </cell>
        </row>
        <row r="415">
          <cell r="A415" t="str">
            <v>H-180/4</v>
          </cell>
          <cell r="C415" t="str">
            <v>PIPE HDPE-180/4</v>
          </cell>
          <cell r="D415" t="str">
            <v>PIPE HDPE-180/4</v>
          </cell>
          <cell r="E415" t="str">
            <v>m</v>
          </cell>
          <cell r="F415">
            <v>506.5036363636363</v>
          </cell>
          <cell r="J415">
            <v>506.5036363636363</v>
          </cell>
        </row>
        <row r="416">
          <cell r="A416" t="str">
            <v>H-180/6</v>
          </cell>
          <cell r="C416" t="str">
            <v>PIPE HDPE-180/6</v>
          </cell>
          <cell r="D416" t="str">
            <v>PIPE HDPE-180/6</v>
          </cell>
          <cell r="E416" t="str">
            <v>m</v>
          </cell>
          <cell r="F416">
            <v>723.27272727272725</v>
          </cell>
          <cell r="J416">
            <v>723.27272727272725</v>
          </cell>
        </row>
        <row r="417">
          <cell r="A417" t="str">
            <v>H-180/10</v>
          </cell>
          <cell r="C417" t="str">
            <v>PIPE HDPE-180/10</v>
          </cell>
          <cell r="D417" t="str">
            <v>PIPE HDPE-180/10</v>
          </cell>
          <cell r="E417" t="str">
            <v>m</v>
          </cell>
          <cell r="F417">
            <v>1090.8654545454544</v>
          </cell>
          <cell r="J417">
            <v>1090.8654545454544</v>
          </cell>
        </row>
        <row r="418">
          <cell r="A418" t="str">
            <v>H-200/4</v>
          </cell>
          <cell r="C418" t="str">
            <v>PIPE HDPE-200/4</v>
          </cell>
          <cell r="D418" t="str">
            <v>PIPE HDPE-200/4</v>
          </cell>
          <cell r="E418" t="str">
            <v>m</v>
          </cell>
          <cell r="F418">
            <v>626.48181818181808</v>
          </cell>
          <cell r="J418">
            <v>626.48181818181808</v>
          </cell>
        </row>
        <row r="419">
          <cell r="A419" t="str">
            <v>H-200/6</v>
          </cell>
          <cell r="C419" t="str">
            <v>PIPE HDPE-200/6</v>
          </cell>
          <cell r="D419" t="str">
            <v>PIPE HDPE-200/6</v>
          </cell>
          <cell r="E419" t="str">
            <v>m</v>
          </cell>
          <cell r="F419">
            <v>892.49727272727273</v>
          </cell>
          <cell r="J419">
            <v>892.49727272727273</v>
          </cell>
        </row>
        <row r="420">
          <cell r="A420" t="str">
            <v>H-200/10</v>
          </cell>
          <cell r="C420" t="str">
            <v>PIPE HDPE-200/10</v>
          </cell>
          <cell r="D420" t="str">
            <v>PIPE HDPE-200/10</v>
          </cell>
          <cell r="E420" t="str">
            <v>m</v>
          </cell>
          <cell r="F420">
            <v>1342.3090909090909</v>
          </cell>
          <cell r="J420">
            <v>1342.3090909090909</v>
          </cell>
        </row>
        <row r="421">
          <cell r="A421" t="str">
            <v>H-225/4</v>
          </cell>
          <cell r="C421" t="str">
            <v>PIPE HDPE-225/4</v>
          </cell>
          <cell r="D421" t="str">
            <v>PIPE HDPE-225/4</v>
          </cell>
          <cell r="E421" t="str">
            <v>m</v>
          </cell>
          <cell r="F421">
            <v>791.87727272727273</v>
          </cell>
          <cell r="J421">
            <v>791.87727272727273</v>
          </cell>
        </row>
        <row r="422">
          <cell r="A422" t="str">
            <v>H-225/6</v>
          </cell>
          <cell r="C422" t="str">
            <v>PIPE HDPE-225/6</v>
          </cell>
          <cell r="D422" t="str">
            <v>PIPE HDPE-225/6</v>
          </cell>
          <cell r="E422" t="str">
            <v>m</v>
          </cell>
          <cell r="F422">
            <v>1121.4981818181818</v>
          </cell>
          <cell r="J422">
            <v>1121.4981818181818</v>
          </cell>
        </row>
        <row r="423">
          <cell r="A423" t="str">
            <v>H-225/10</v>
          </cell>
          <cell r="C423" t="str">
            <v>PIPE HDPE-225/10</v>
          </cell>
          <cell r="D423" t="str">
            <v>PIPE HDPE-225/10</v>
          </cell>
          <cell r="E423" t="str">
            <v>m</v>
          </cell>
          <cell r="F423">
            <v>1703.3072727272727</v>
          </cell>
          <cell r="J423">
            <v>1703.3072727272727</v>
          </cell>
        </row>
        <row r="424">
          <cell r="A424" t="str">
            <v>H-250/4</v>
          </cell>
          <cell r="C424" t="str">
            <v>PIPE HDPE-250/4</v>
          </cell>
          <cell r="D424" t="str">
            <v>PIPE HDPE-250/4</v>
          </cell>
          <cell r="E424" t="str">
            <v>m</v>
          </cell>
          <cell r="F424">
            <v>977.16272727272712</v>
          </cell>
          <cell r="J424">
            <v>977.16272727272712</v>
          </cell>
        </row>
        <row r="425">
          <cell r="A425" t="str">
            <v>H-250/6</v>
          </cell>
          <cell r="C425" t="str">
            <v>PIPE HDPE-250/6</v>
          </cell>
          <cell r="D425" t="str">
            <v>PIPE HDPE-250/6</v>
          </cell>
          <cell r="E425" t="str">
            <v>m</v>
          </cell>
          <cell r="F425">
            <v>1387.0881818181817</v>
          </cell>
          <cell r="J425">
            <v>1387.0881818181817</v>
          </cell>
        </row>
        <row r="426">
          <cell r="A426" t="str">
            <v>H-250/10</v>
          </cell>
          <cell r="C426" t="str">
            <v>PIPE HDPE-250/10</v>
          </cell>
          <cell r="D426" t="str">
            <v>PIPE HDPE-250/10</v>
          </cell>
          <cell r="E426" t="str">
            <v>m</v>
          </cell>
          <cell r="F426">
            <v>2101.4263636363639</v>
          </cell>
          <cell r="J426">
            <v>2101.4263636363639</v>
          </cell>
        </row>
        <row r="427">
          <cell r="A427" t="str">
            <v>H-280/4</v>
          </cell>
          <cell r="C427" t="str">
            <v>PIPE HDPE-280/4</v>
          </cell>
          <cell r="D427" t="str">
            <v>PIPE HDPE-280/4</v>
          </cell>
          <cell r="E427" t="str">
            <v>m</v>
          </cell>
          <cell r="F427">
            <v>1218.3954545454544</v>
          </cell>
          <cell r="J427">
            <v>1218.3954545454544</v>
          </cell>
        </row>
        <row r="428">
          <cell r="A428" t="str">
            <v>H-280/6</v>
          </cell>
          <cell r="C428" t="str">
            <v>PIPE HDPE-280/6</v>
          </cell>
          <cell r="D428" t="str">
            <v>PIPE HDPE-280/6</v>
          </cell>
          <cell r="E428" t="str">
            <v>m</v>
          </cell>
          <cell r="F428">
            <v>1736.599090909091</v>
          </cell>
          <cell r="J428">
            <v>1736.599090909091</v>
          </cell>
        </row>
        <row r="429">
          <cell r="A429" t="str">
            <v>H-280/10</v>
          </cell>
          <cell r="C429" t="str">
            <v>PIPE HDPE-280/10</v>
          </cell>
          <cell r="D429" t="str">
            <v>PIPE HDPE-280/10</v>
          </cell>
          <cell r="E429" t="str">
            <v>m</v>
          </cell>
          <cell r="F429">
            <v>2628.0327272727268</v>
          </cell>
          <cell r="J429">
            <v>2628.0327272727268</v>
          </cell>
        </row>
        <row r="430">
          <cell r="A430" t="str">
            <v>H-315/4</v>
          </cell>
          <cell r="C430" t="str">
            <v>PIPE HDPE-315/4</v>
          </cell>
          <cell r="D430" t="str">
            <v>PIPE HDPE-315/4</v>
          </cell>
          <cell r="E430" t="str">
            <v>m</v>
          </cell>
          <cell r="F430">
            <v>1543.1236363636363</v>
          </cell>
          <cell r="J430">
            <v>1543.1236363636363</v>
          </cell>
        </row>
        <row r="431">
          <cell r="A431" t="str">
            <v>H-315/6</v>
          </cell>
          <cell r="C431" t="str">
            <v>PIPE HDPE-315/6</v>
          </cell>
          <cell r="D431" t="str">
            <v>PIPE HDPE-315/6</v>
          </cell>
          <cell r="E431" t="str">
            <v>m</v>
          </cell>
          <cell r="F431">
            <v>2200.77</v>
          </cell>
          <cell r="J431">
            <v>2200.77</v>
          </cell>
        </row>
        <row r="432">
          <cell r="A432" t="str">
            <v>H-315/10</v>
          </cell>
          <cell r="C432" t="str">
            <v>PIPE HDPE-315/10</v>
          </cell>
          <cell r="D432" t="str">
            <v>PIPE HDPE-315/10</v>
          </cell>
          <cell r="E432" t="str">
            <v>m</v>
          </cell>
          <cell r="F432">
            <v>3314.2909090909088</v>
          </cell>
          <cell r="J432">
            <v>3314.2909090909088</v>
          </cell>
        </row>
        <row r="433">
          <cell r="A433" t="str">
            <v>H-350/4</v>
          </cell>
          <cell r="C433" t="str">
            <v>PIPE HDPE-350/4</v>
          </cell>
          <cell r="D433" t="str">
            <v>PIPE HDPE-350/4</v>
          </cell>
          <cell r="E433" t="str">
            <v>m</v>
          </cell>
          <cell r="F433">
            <v>1955.1763636363637</v>
          </cell>
          <cell r="J433">
            <v>1955.1763636363637</v>
          </cell>
        </row>
        <row r="434">
          <cell r="A434" t="str">
            <v>H-350/6</v>
          </cell>
          <cell r="C434" t="str">
            <v>PIPE HDPE-350/6</v>
          </cell>
          <cell r="D434" t="str">
            <v>PIPE HDPE-350/6</v>
          </cell>
          <cell r="E434" t="str">
            <v>m</v>
          </cell>
          <cell r="F434">
            <v>2791.300909090909</v>
          </cell>
          <cell r="J434">
            <v>2791.300909090909</v>
          </cell>
        </row>
        <row r="435">
          <cell r="A435" t="str">
            <v>H-350/10</v>
          </cell>
          <cell r="C435" t="str">
            <v>PIPE HDPE-350/10</v>
          </cell>
          <cell r="D435" t="str">
            <v>PIPE HDPE-350/10</v>
          </cell>
          <cell r="E435" t="str">
            <v>m</v>
          </cell>
          <cell r="F435">
            <v>4215.7227272727268</v>
          </cell>
          <cell r="J435">
            <v>4215.7227272727268</v>
          </cell>
        </row>
        <row r="436">
          <cell r="A436" t="str">
            <v>H-400/4</v>
          </cell>
          <cell r="C436" t="str">
            <v>PIPE HDPE-400/4</v>
          </cell>
          <cell r="D436" t="str">
            <v>PIPE HDPE-400/4</v>
          </cell>
          <cell r="E436" t="str">
            <v>m</v>
          </cell>
          <cell r="F436">
            <v>2482.7399999999998</v>
          </cell>
          <cell r="J436">
            <v>2482.7399999999998</v>
          </cell>
        </row>
        <row r="437">
          <cell r="A437" t="str">
            <v>H-400/6</v>
          </cell>
          <cell r="C437" t="str">
            <v>PIPE HDPE-400/6</v>
          </cell>
          <cell r="D437" t="str">
            <v>PIPE HDPE-400/6</v>
          </cell>
          <cell r="E437" t="str">
            <v>m</v>
          </cell>
          <cell r="F437">
            <v>3542.8663636363631</v>
          </cell>
          <cell r="J437">
            <v>3542.8663636363631</v>
          </cell>
        </row>
        <row r="438">
          <cell r="A438" t="str">
            <v>H-400/10</v>
          </cell>
          <cell r="C438" t="str">
            <v>PIPE HDPE-400/10</v>
          </cell>
          <cell r="D438" t="str">
            <v>PIPE HDPE-400/10</v>
          </cell>
          <cell r="E438" t="str">
            <v>m</v>
          </cell>
          <cell r="F438">
            <v>5354.7709090909093</v>
          </cell>
          <cell r="J438">
            <v>5354.7709090909093</v>
          </cell>
        </row>
        <row r="439">
          <cell r="A439" t="str">
            <v>H-440/4</v>
          </cell>
          <cell r="C439" t="str">
            <v>PIPE HDPE-440/4</v>
          </cell>
          <cell r="D439" t="str">
            <v>PIPE HDPE-440/4</v>
          </cell>
          <cell r="E439" t="str">
            <v>m</v>
          </cell>
          <cell r="F439">
            <v>3111.2427272727273</v>
          </cell>
          <cell r="J439">
            <v>3111.2427272727273</v>
          </cell>
        </row>
        <row r="440">
          <cell r="A440" t="str">
            <v>H-440/6</v>
          </cell>
          <cell r="C440" t="str">
            <v>PIPE HDPE-440/6</v>
          </cell>
          <cell r="D440" t="str">
            <v>PIPE HDPE-440/6</v>
          </cell>
          <cell r="E440" t="str">
            <v>m</v>
          </cell>
          <cell r="F440">
            <v>4474.1863636363632</v>
          </cell>
          <cell r="J440">
            <v>4474.1863636363632</v>
          </cell>
        </row>
        <row r="441">
          <cell r="A441" t="str">
            <v>H-440/10</v>
          </cell>
          <cell r="C441" t="str">
            <v>PIPE HDPE-440/10</v>
          </cell>
          <cell r="D441" t="str">
            <v>PIPE HDPE-440/10</v>
          </cell>
          <cell r="E441" t="str">
            <v>m</v>
          </cell>
          <cell r="F441">
            <v>6764.5145454545454</v>
          </cell>
          <cell r="J441">
            <v>6764.5145454545454</v>
          </cell>
        </row>
        <row r="442">
          <cell r="A442" t="str">
            <v>H-500/4</v>
          </cell>
          <cell r="C442" t="str">
            <v>PIPE HDPE-500/4</v>
          </cell>
          <cell r="D442" t="str">
            <v>PIPE HDPE-500/4</v>
          </cell>
          <cell r="E442" t="str">
            <v>m</v>
          </cell>
          <cell r="F442">
            <v>3872.2745454545452</v>
          </cell>
          <cell r="J442">
            <v>3872.2745454545452</v>
          </cell>
        </row>
        <row r="443">
          <cell r="A443" t="str">
            <v>H-500/6</v>
          </cell>
          <cell r="C443" t="str">
            <v>PIPE HDPE-500/6</v>
          </cell>
          <cell r="D443" t="str">
            <v>PIPE HDPE-500/6</v>
          </cell>
          <cell r="E443" t="str">
            <v>m</v>
          </cell>
          <cell r="F443">
            <v>5520.272727272727</v>
          </cell>
          <cell r="J443">
            <v>5520.272727272727</v>
          </cell>
        </row>
        <row r="444">
          <cell r="A444" t="str">
            <v>H-500/10</v>
          </cell>
          <cell r="C444" t="str">
            <v>PIPE HDPE-500/10</v>
          </cell>
          <cell r="D444" t="str">
            <v>PIPE HDPE-500/10</v>
          </cell>
          <cell r="E444" t="str">
            <v>m</v>
          </cell>
          <cell r="F444">
            <v>8380.9227272727276</v>
          </cell>
          <cell r="J444">
            <v>8380.9227272727276</v>
          </cell>
        </row>
        <row r="445">
          <cell r="J445">
            <v>0</v>
          </cell>
        </row>
        <row r="446">
          <cell r="A446" t="str">
            <v>G-13</v>
          </cell>
          <cell r="C446" t="str">
            <v>PIPE GI-13</v>
          </cell>
          <cell r="D446" t="str">
            <v>PIPE GI-13</v>
          </cell>
          <cell r="E446" t="str">
            <v>m</v>
          </cell>
          <cell r="F446">
            <v>78.613479218659009</v>
          </cell>
          <cell r="J446">
            <v>78.613479218659009</v>
          </cell>
        </row>
        <row r="447">
          <cell r="A447" t="str">
            <v>G-20</v>
          </cell>
          <cell r="C447" t="str">
            <v>PIPE GI-20</v>
          </cell>
          <cell r="D447" t="str">
            <v>PIPE GI-20</v>
          </cell>
          <cell r="E447" t="str">
            <v>m</v>
          </cell>
          <cell r="F447">
            <v>101.7844703268085</v>
          </cell>
          <cell r="J447">
            <v>101.7844703268085</v>
          </cell>
        </row>
        <row r="448">
          <cell r="A448" t="str">
            <v>G-25</v>
          </cell>
          <cell r="C448" t="str">
            <v>PIPE GI-25</v>
          </cell>
          <cell r="D448" t="str">
            <v>PIPE GI-25</v>
          </cell>
          <cell r="E448" t="str">
            <v>m</v>
          </cell>
          <cell r="F448">
            <v>157.09909368156852</v>
          </cell>
          <cell r="J448">
            <v>157.09909368156852</v>
          </cell>
        </row>
        <row r="449">
          <cell r="A449" t="str">
            <v>G-32</v>
          </cell>
          <cell r="C449" t="str">
            <v>PIPE GI-32</v>
          </cell>
          <cell r="D449" t="str">
            <v>PIPE GI-32</v>
          </cell>
          <cell r="E449" t="str">
            <v>m</v>
          </cell>
          <cell r="F449">
            <v>202.34170710249651</v>
          </cell>
          <cell r="J449">
            <v>202.34170710249651</v>
          </cell>
        </row>
        <row r="450">
          <cell r="A450" t="str">
            <v>G-40</v>
          </cell>
          <cell r="C450" t="str">
            <v>PIPE GI-40</v>
          </cell>
          <cell r="D450" t="str">
            <v>PIPE GI-40</v>
          </cell>
          <cell r="E450" t="str">
            <v>m</v>
          </cell>
          <cell r="F450">
            <v>232.386748730367</v>
          </cell>
          <cell r="J450">
            <v>232.386748730367</v>
          </cell>
        </row>
        <row r="451">
          <cell r="A451" t="str">
            <v>G-50</v>
          </cell>
          <cell r="C451" t="str">
            <v>PIPE GI-50</v>
          </cell>
          <cell r="D451" t="str">
            <v>PIPE GI-50</v>
          </cell>
          <cell r="E451" t="str">
            <v>m</v>
          </cell>
          <cell r="F451">
            <v>329.75021263056948</v>
          </cell>
          <cell r="J451">
            <v>329.75021263056948</v>
          </cell>
        </row>
        <row r="452">
          <cell r="A452" t="str">
            <v>G-63</v>
          </cell>
          <cell r="C452" t="str">
            <v>PIPE GI-63</v>
          </cell>
          <cell r="D452" t="str">
            <v>PIPE GI-63</v>
          </cell>
          <cell r="E452" t="str">
            <v>m</v>
          </cell>
          <cell r="F452">
            <v>422.83238297122909</v>
          </cell>
          <cell r="J452">
            <v>422.83238297122909</v>
          </cell>
        </row>
        <row r="453">
          <cell r="A453" t="str">
            <v>G-75</v>
          </cell>
          <cell r="C453" t="str">
            <v>PIPE GI-75</v>
          </cell>
          <cell r="D453" t="str">
            <v>PIPE GI-75</v>
          </cell>
          <cell r="E453" t="str">
            <v>m</v>
          </cell>
          <cell r="F453">
            <v>551.01565611773447</v>
          </cell>
          <cell r="J453">
            <v>551.01565611773447</v>
          </cell>
        </row>
        <row r="454">
          <cell r="A454" t="str">
            <v>G-100</v>
          </cell>
          <cell r="C454" t="str">
            <v>PIPE GI-100</v>
          </cell>
          <cell r="D454" t="str">
            <v>PIPE GI-100</v>
          </cell>
          <cell r="E454" t="str">
            <v>m</v>
          </cell>
          <cell r="F454">
            <v>790.14859061207312</v>
          </cell>
          <cell r="J454">
            <v>790.14859061207312</v>
          </cell>
        </row>
        <row r="455">
          <cell r="A455" t="str">
            <v>G-150</v>
          </cell>
          <cell r="C455" t="str">
            <v>PIPE GI-150</v>
          </cell>
          <cell r="D455" t="str">
            <v>PIPE GI-150</v>
          </cell>
          <cell r="E455" t="str">
            <v>m</v>
          </cell>
          <cell r="F455">
            <v>1264.4927650250283</v>
          </cell>
          <cell r="J455">
            <v>1264.4927650250283</v>
          </cell>
        </row>
        <row r="456">
          <cell r="J456">
            <v>0</v>
          </cell>
        </row>
        <row r="457">
          <cell r="A457" t="str">
            <v>D-80</v>
          </cell>
          <cell r="C457" t="str">
            <v>PIPE DI-80</v>
          </cell>
          <cell r="D457" t="str">
            <v>PIPE DI-80</v>
          </cell>
          <cell r="E457" t="str">
            <v>m</v>
          </cell>
          <cell r="F457">
            <v>1283.1929912628748</v>
          </cell>
          <cell r="J457">
            <v>1283.1929912628748</v>
          </cell>
        </row>
        <row r="458">
          <cell r="A458" t="str">
            <v>D-100</v>
          </cell>
          <cell r="C458" t="str">
            <v>PIPE DI-100</v>
          </cell>
          <cell r="D458" t="str">
            <v>PIPE DI-100</v>
          </cell>
          <cell r="E458" t="str">
            <v>m</v>
          </cell>
          <cell r="F458">
            <v>1334.9524269369749</v>
          </cell>
          <cell r="J458">
            <v>1334.9524269369749</v>
          </cell>
        </row>
        <row r="459">
          <cell r="A459" t="str">
            <v>D-150</v>
          </cell>
          <cell r="C459" t="str">
            <v>PIPE DI-150</v>
          </cell>
          <cell r="D459" t="str">
            <v>PIPE DI-150</v>
          </cell>
          <cell r="E459" t="str">
            <v>m</v>
          </cell>
          <cell r="F459">
            <v>1676.4194402108997</v>
          </cell>
          <cell r="J459">
            <v>1676.4194402108997</v>
          </cell>
        </row>
        <row r="460">
          <cell r="A460" t="str">
            <v>D-200</v>
          </cell>
          <cell r="C460" t="str">
            <v>PIPE DI-200</v>
          </cell>
          <cell r="D460" t="str">
            <v>PIPE DI-200</v>
          </cell>
          <cell r="E460" t="str">
            <v>m</v>
          </cell>
          <cell r="F460">
            <v>1934.5886770506447</v>
          </cell>
          <cell r="J460">
            <v>1934.5886770506447</v>
          </cell>
        </row>
        <row r="461">
          <cell r="A461" t="str">
            <v>D-250</v>
          </cell>
          <cell r="C461" t="str">
            <v>PIPE DI-250</v>
          </cell>
          <cell r="D461" t="str">
            <v>PIPE DI-250</v>
          </cell>
          <cell r="E461" t="str">
            <v>m</v>
          </cell>
          <cell r="F461">
            <v>2542.1468368965898</v>
          </cell>
          <cell r="J461">
            <v>2542.1468368965898</v>
          </cell>
        </row>
        <row r="462">
          <cell r="A462" t="str">
            <v>D-300</v>
          </cell>
          <cell r="C462" t="str">
            <v>PIPE DI-300</v>
          </cell>
          <cell r="D462" t="str">
            <v>PIPE DI-300</v>
          </cell>
          <cell r="E462" t="str">
            <v>m</v>
          </cell>
          <cell r="F462">
            <v>3149.2679542504948</v>
          </cell>
          <cell r="J462">
            <v>3149.2679542504948</v>
          </cell>
        </row>
        <row r="463">
          <cell r="A463" t="str">
            <v>T&amp;P</v>
          </cell>
          <cell r="C463" t="str">
            <v>Tools and Plant</v>
          </cell>
          <cell r="D463" t="str">
            <v>Tools and Plant</v>
          </cell>
        </row>
        <row r="631">
          <cell r="G631" t="e">
            <v>#N/A</v>
          </cell>
          <cell r="H631" t="e">
            <v>#N/A</v>
          </cell>
          <cell r="I631" t="e">
            <v>#N/A</v>
          </cell>
          <cell r="J631" t="e">
            <v>#N/A</v>
          </cell>
        </row>
        <row r="632">
          <cell r="G632" t="e">
            <v>#N/A</v>
          </cell>
          <cell r="H632" t="e">
            <v>#N/A</v>
          </cell>
          <cell r="I632" t="e">
            <v>#N/A</v>
          </cell>
          <cell r="J632" t="e">
            <v>#N/A</v>
          </cell>
        </row>
        <row r="633">
          <cell r="G633" t="e">
            <v>#N/A</v>
          </cell>
          <cell r="H633" t="e">
            <v>#N/A</v>
          </cell>
          <cell r="I633" t="e">
            <v>#N/A</v>
          </cell>
          <cell r="J633" t="e">
            <v>#N/A</v>
          </cell>
        </row>
        <row r="634">
          <cell r="G634" t="e">
            <v>#N/A</v>
          </cell>
          <cell r="H634" t="e">
            <v>#N/A</v>
          </cell>
          <cell r="I634" t="e">
            <v>#N/A</v>
          </cell>
          <cell r="J634" t="e">
            <v>#N/A</v>
          </cell>
        </row>
        <row r="635">
          <cell r="G635" t="e">
            <v>#N/A</v>
          </cell>
          <cell r="H635" t="e">
            <v>#N/A</v>
          </cell>
          <cell r="I635" t="e">
            <v>#N/A</v>
          </cell>
          <cell r="J635" t="e">
            <v>#N/A</v>
          </cell>
        </row>
        <row r="636">
          <cell r="G636" t="e">
            <v>#N/A</v>
          </cell>
          <cell r="H636" t="e">
            <v>#N/A</v>
          </cell>
          <cell r="I636" t="e">
            <v>#N/A</v>
          </cell>
          <cell r="J636" t="e">
            <v>#N/A</v>
          </cell>
        </row>
        <row r="637">
          <cell r="G637" t="e">
            <v>#N/A</v>
          </cell>
          <cell r="H637" t="e">
            <v>#N/A</v>
          </cell>
          <cell r="I637" t="e">
            <v>#N/A</v>
          </cell>
          <cell r="J637" t="e">
            <v>#N/A</v>
          </cell>
        </row>
        <row r="638">
          <cell r="G638" t="e">
            <v>#N/A</v>
          </cell>
          <cell r="H638" t="e">
            <v>#N/A</v>
          </cell>
          <cell r="I638" t="e">
            <v>#N/A</v>
          </cell>
          <cell r="J638" t="e">
            <v>#N/A</v>
          </cell>
        </row>
        <row r="639">
          <cell r="G639" t="e">
            <v>#N/A</v>
          </cell>
          <cell r="H639" t="e">
            <v>#N/A</v>
          </cell>
          <cell r="I639" t="e">
            <v>#N/A</v>
          </cell>
          <cell r="J639" t="e">
            <v>#N/A</v>
          </cell>
        </row>
        <row r="640">
          <cell r="G640" t="e">
            <v>#N/A</v>
          </cell>
          <cell r="H640" t="e">
            <v>#N/A</v>
          </cell>
          <cell r="I640" t="e">
            <v>#N/A</v>
          </cell>
          <cell r="J640" t="e">
            <v>#N/A</v>
          </cell>
        </row>
        <row r="641">
          <cell r="G641" t="e">
            <v>#N/A</v>
          </cell>
          <cell r="H641" t="e">
            <v>#N/A</v>
          </cell>
          <cell r="I641" t="e">
            <v>#N/A</v>
          </cell>
          <cell r="J641" t="e">
            <v>#N/A</v>
          </cell>
        </row>
        <row r="642">
          <cell r="G642" t="e">
            <v>#N/A</v>
          </cell>
          <cell r="H642" t="e">
            <v>#N/A</v>
          </cell>
          <cell r="I642" t="e">
            <v>#N/A</v>
          </cell>
          <cell r="J642" t="e">
            <v>#N/A</v>
          </cell>
        </row>
        <row r="643">
          <cell r="G643" t="e">
            <v>#N/A</v>
          </cell>
          <cell r="H643" t="e">
            <v>#N/A</v>
          </cell>
          <cell r="I643" t="e">
            <v>#N/A</v>
          </cell>
          <cell r="J643" t="e">
            <v>#N/A</v>
          </cell>
        </row>
        <row r="644">
          <cell r="G644" t="e">
            <v>#N/A</v>
          </cell>
          <cell r="H644" t="e">
            <v>#N/A</v>
          </cell>
          <cell r="I644" t="e">
            <v>#N/A</v>
          </cell>
          <cell r="J644" t="e">
            <v>#N/A</v>
          </cell>
        </row>
        <row r="645">
          <cell r="G645" t="e">
            <v>#N/A</v>
          </cell>
          <cell r="H645" t="e">
            <v>#N/A</v>
          </cell>
          <cell r="I645" t="e">
            <v>#N/A</v>
          </cell>
          <cell r="J645" t="e">
            <v>#N/A</v>
          </cell>
        </row>
        <row r="646">
          <cell r="G646" t="e">
            <v>#N/A</v>
          </cell>
          <cell r="H646" t="e">
            <v>#N/A</v>
          </cell>
          <cell r="I646" t="e">
            <v>#N/A</v>
          </cell>
          <cell r="J646" t="e">
            <v>#N/A</v>
          </cell>
        </row>
        <row r="647">
          <cell r="G647" t="e">
            <v>#N/A</v>
          </cell>
          <cell r="H647" t="e">
            <v>#N/A</v>
          </cell>
          <cell r="I647" t="e">
            <v>#N/A</v>
          </cell>
          <cell r="J647" t="e">
            <v>#N/A</v>
          </cell>
        </row>
        <row r="648">
          <cell r="G648" t="e">
            <v>#N/A</v>
          </cell>
          <cell r="H648" t="e">
            <v>#N/A</v>
          </cell>
          <cell r="I648" t="e">
            <v>#N/A</v>
          </cell>
          <cell r="J648" t="e">
            <v>#N/A</v>
          </cell>
        </row>
        <row r="649">
          <cell r="G649" t="e">
            <v>#N/A</v>
          </cell>
          <cell r="H649" t="e">
            <v>#N/A</v>
          </cell>
          <cell r="I649" t="e">
            <v>#N/A</v>
          </cell>
          <cell r="J649" t="e">
            <v>#N/A</v>
          </cell>
        </row>
        <row r="650">
          <cell r="G650" t="e">
            <v>#N/A</v>
          </cell>
          <cell r="H650" t="e">
            <v>#N/A</v>
          </cell>
          <cell r="I650" t="e">
            <v>#N/A</v>
          </cell>
          <cell r="J650" t="e">
            <v>#N/A</v>
          </cell>
        </row>
        <row r="651">
          <cell r="G651" t="e">
            <v>#N/A</v>
          </cell>
          <cell r="H651" t="e">
            <v>#N/A</v>
          </cell>
          <cell r="I651" t="e">
            <v>#N/A</v>
          </cell>
          <cell r="J651" t="e">
            <v>#N/A</v>
          </cell>
        </row>
        <row r="652">
          <cell r="G652" t="e">
            <v>#N/A</v>
          </cell>
          <cell r="H652" t="e">
            <v>#N/A</v>
          </cell>
          <cell r="I652" t="e">
            <v>#N/A</v>
          </cell>
          <cell r="J652" t="e">
            <v>#N/A</v>
          </cell>
        </row>
        <row r="653">
          <cell r="G653" t="e">
            <v>#N/A</v>
          </cell>
          <cell r="H653" t="e">
            <v>#N/A</v>
          </cell>
          <cell r="I653" t="e">
            <v>#N/A</v>
          </cell>
          <cell r="J653" t="e">
            <v>#N/A</v>
          </cell>
        </row>
        <row r="654">
          <cell r="G654" t="e">
            <v>#N/A</v>
          </cell>
          <cell r="H654" t="e">
            <v>#N/A</v>
          </cell>
          <cell r="I654" t="e">
            <v>#N/A</v>
          </cell>
          <cell r="J654" t="e">
            <v>#N/A</v>
          </cell>
        </row>
        <row r="655">
          <cell r="G655" t="e">
            <v>#N/A</v>
          </cell>
          <cell r="H655" t="e">
            <v>#N/A</v>
          </cell>
          <cell r="I655" t="e">
            <v>#N/A</v>
          </cell>
          <cell r="J655" t="e">
            <v>#N/A</v>
          </cell>
        </row>
        <row r="656">
          <cell r="G656" t="e">
            <v>#N/A</v>
          </cell>
          <cell r="H656" t="e">
            <v>#N/A</v>
          </cell>
          <cell r="I656" t="e">
            <v>#N/A</v>
          </cell>
          <cell r="J656" t="e">
            <v>#N/A</v>
          </cell>
        </row>
        <row r="657">
          <cell r="G657" t="e">
            <v>#N/A</v>
          </cell>
          <cell r="H657" t="e">
            <v>#N/A</v>
          </cell>
          <cell r="I657" t="e">
            <v>#N/A</v>
          </cell>
          <cell r="J657" t="e">
            <v>#N/A</v>
          </cell>
        </row>
        <row r="658">
          <cell r="G658" t="e">
            <v>#N/A</v>
          </cell>
          <cell r="H658" t="e">
            <v>#N/A</v>
          </cell>
          <cell r="I658" t="e">
            <v>#N/A</v>
          </cell>
          <cell r="J658" t="e">
            <v>#N/A</v>
          </cell>
        </row>
        <row r="659">
          <cell r="G659" t="e">
            <v>#N/A</v>
          </cell>
          <cell r="H659" t="e">
            <v>#N/A</v>
          </cell>
          <cell r="I659" t="e">
            <v>#N/A</v>
          </cell>
          <cell r="J659" t="e">
            <v>#N/A</v>
          </cell>
        </row>
        <row r="660">
          <cell r="G660" t="e">
            <v>#N/A</v>
          </cell>
          <cell r="H660" t="e">
            <v>#N/A</v>
          </cell>
          <cell r="I660" t="e">
            <v>#N/A</v>
          </cell>
          <cell r="J660" t="e">
            <v>#N/A</v>
          </cell>
        </row>
        <row r="661">
          <cell r="G661" t="e">
            <v>#N/A</v>
          </cell>
          <cell r="H661" t="e">
            <v>#N/A</v>
          </cell>
          <cell r="I661" t="e">
            <v>#N/A</v>
          </cell>
          <cell r="J661" t="e">
            <v>#N/A</v>
          </cell>
        </row>
        <row r="662">
          <cell r="G662" t="e">
            <v>#N/A</v>
          </cell>
          <cell r="H662" t="e">
            <v>#N/A</v>
          </cell>
          <cell r="I662" t="e">
            <v>#N/A</v>
          </cell>
          <cell r="J662" t="e">
            <v>#N/A</v>
          </cell>
        </row>
        <row r="663">
          <cell r="G663" t="e">
            <v>#N/A</v>
          </cell>
          <cell r="H663" t="e">
            <v>#N/A</v>
          </cell>
          <cell r="I663" t="e">
            <v>#N/A</v>
          </cell>
          <cell r="J663" t="e">
            <v>#N/A</v>
          </cell>
        </row>
        <row r="664">
          <cell r="G664" t="e">
            <v>#N/A</v>
          </cell>
          <cell r="H664" t="e">
            <v>#N/A</v>
          </cell>
          <cell r="I664" t="e">
            <v>#N/A</v>
          </cell>
          <cell r="J664" t="e">
            <v>#N/A</v>
          </cell>
        </row>
        <row r="665">
          <cell r="G665" t="e">
            <v>#N/A</v>
          </cell>
          <cell r="H665" t="e">
            <v>#N/A</v>
          </cell>
          <cell r="I665" t="e">
            <v>#N/A</v>
          </cell>
          <cell r="J665" t="e">
            <v>#N/A</v>
          </cell>
        </row>
        <row r="666">
          <cell r="G666" t="e">
            <v>#N/A</v>
          </cell>
          <cell r="H666" t="e">
            <v>#N/A</v>
          </cell>
          <cell r="I666" t="e">
            <v>#N/A</v>
          </cell>
          <cell r="J666" t="e">
            <v>#N/A</v>
          </cell>
        </row>
        <row r="667">
          <cell r="G667" t="e">
            <v>#N/A</v>
          </cell>
          <cell r="H667" t="e">
            <v>#N/A</v>
          </cell>
          <cell r="I667" t="e">
            <v>#N/A</v>
          </cell>
          <cell r="J667" t="e">
            <v>#N/A</v>
          </cell>
        </row>
        <row r="668">
          <cell r="G668" t="e">
            <v>#N/A</v>
          </cell>
          <cell r="H668" t="e">
            <v>#N/A</v>
          </cell>
          <cell r="I668" t="e">
            <v>#N/A</v>
          </cell>
          <cell r="J668" t="e">
            <v>#N/A</v>
          </cell>
        </row>
        <row r="669">
          <cell r="G669" t="e">
            <v>#N/A</v>
          </cell>
          <cell r="H669" t="e">
            <v>#N/A</v>
          </cell>
          <cell r="I669" t="e">
            <v>#N/A</v>
          </cell>
          <cell r="J669" t="e">
            <v>#N/A</v>
          </cell>
        </row>
        <row r="670">
          <cell r="G670" t="e">
            <v>#N/A</v>
          </cell>
          <cell r="H670" t="e">
            <v>#N/A</v>
          </cell>
          <cell r="I670" t="e">
            <v>#N/A</v>
          </cell>
          <cell r="J670" t="e">
            <v>#N/A</v>
          </cell>
        </row>
        <row r="671">
          <cell r="G671" t="e">
            <v>#N/A</v>
          </cell>
          <cell r="H671" t="e">
            <v>#N/A</v>
          </cell>
          <cell r="I671" t="e">
            <v>#N/A</v>
          </cell>
          <cell r="J671" t="e">
            <v>#N/A</v>
          </cell>
        </row>
        <row r="672">
          <cell r="G672" t="e">
            <v>#N/A</v>
          </cell>
          <cell r="H672" t="e">
            <v>#N/A</v>
          </cell>
          <cell r="I672" t="e">
            <v>#N/A</v>
          </cell>
          <cell r="J672" t="e">
            <v>#N/A</v>
          </cell>
        </row>
        <row r="673">
          <cell r="G673" t="e">
            <v>#N/A</v>
          </cell>
          <cell r="H673" t="e">
            <v>#N/A</v>
          </cell>
          <cell r="I673" t="e">
            <v>#N/A</v>
          </cell>
          <cell r="J673" t="e">
            <v>#N/A</v>
          </cell>
        </row>
        <row r="674">
          <cell r="G674" t="e">
            <v>#N/A</v>
          </cell>
          <cell r="H674" t="e">
            <v>#N/A</v>
          </cell>
          <cell r="I674" t="e">
            <v>#N/A</v>
          </cell>
          <cell r="J674" t="e">
            <v>#N/A</v>
          </cell>
        </row>
        <row r="675">
          <cell r="G675" t="e">
            <v>#N/A</v>
          </cell>
          <cell r="H675" t="e">
            <v>#N/A</v>
          </cell>
          <cell r="I675" t="e">
            <v>#N/A</v>
          </cell>
          <cell r="J675" t="e">
            <v>#N/A</v>
          </cell>
        </row>
        <row r="676">
          <cell r="G676" t="e">
            <v>#N/A</v>
          </cell>
          <cell r="H676" t="e">
            <v>#N/A</v>
          </cell>
          <cell r="I676" t="e">
            <v>#N/A</v>
          </cell>
          <cell r="J676" t="e">
            <v>#N/A</v>
          </cell>
        </row>
        <row r="677">
          <cell r="G677" t="e">
            <v>#N/A</v>
          </cell>
          <cell r="H677" t="e">
            <v>#N/A</v>
          </cell>
          <cell r="I677" t="e">
            <v>#N/A</v>
          </cell>
          <cell r="J677" t="e">
            <v>#N/A</v>
          </cell>
        </row>
        <row r="678">
          <cell r="G678" t="e">
            <v>#N/A</v>
          </cell>
          <cell r="H678" t="e">
            <v>#N/A</v>
          </cell>
          <cell r="I678" t="e">
            <v>#N/A</v>
          </cell>
          <cell r="J678" t="e">
            <v>#N/A</v>
          </cell>
        </row>
        <row r="679">
          <cell r="G679" t="e">
            <v>#N/A</v>
          </cell>
          <cell r="H679" t="e">
            <v>#N/A</v>
          </cell>
          <cell r="I679" t="e">
            <v>#N/A</v>
          </cell>
          <cell r="J679" t="e">
            <v>#N/A</v>
          </cell>
        </row>
        <row r="680">
          <cell r="G680" t="e">
            <v>#N/A</v>
          </cell>
          <cell r="H680" t="e">
            <v>#N/A</v>
          </cell>
          <cell r="I680" t="e">
            <v>#N/A</v>
          </cell>
          <cell r="J680" t="e">
            <v>#N/A</v>
          </cell>
        </row>
        <row r="681">
          <cell r="G681" t="e">
            <v>#N/A</v>
          </cell>
          <cell r="H681" t="e">
            <v>#N/A</v>
          </cell>
          <cell r="I681" t="e">
            <v>#N/A</v>
          </cell>
          <cell r="J681" t="e">
            <v>#N/A</v>
          </cell>
        </row>
        <row r="682">
          <cell r="G682" t="e">
            <v>#N/A</v>
          </cell>
          <cell r="H682" t="e">
            <v>#N/A</v>
          </cell>
          <cell r="I682" t="e">
            <v>#N/A</v>
          </cell>
          <cell r="J682" t="e">
            <v>#N/A</v>
          </cell>
        </row>
        <row r="683">
          <cell r="G683" t="e">
            <v>#N/A</v>
          </cell>
          <cell r="H683" t="e">
            <v>#N/A</v>
          </cell>
          <cell r="I683" t="e">
            <v>#N/A</v>
          </cell>
          <cell r="J683" t="e">
            <v>#N/A</v>
          </cell>
        </row>
        <row r="684">
          <cell r="G684" t="e">
            <v>#N/A</v>
          </cell>
          <cell r="H684" t="e">
            <v>#N/A</v>
          </cell>
          <cell r="I684" t="e">
            <v>#N/A</v>
          </cell>
          <cell r="J684" t="e">
            <v>#N/A</v>
          </cell>
        </row>
        <row r="685">
          <cell r="G685" t="e">
            <v>#N/A</v>
          </cell>
          <cell r="H685" t="e">
            <v>#N/A</v>
          </cell>
          <cell r="I685" t="e">
            <v>#N/A</v>
          </cell>
          <cell r="J685" t="e">
            <v>#N/A</v>
          </cell>
        </row>
        <row r="686">
          <cell r="G686" t="e">
            <v>#N/A</v>
          </cell>
          <cell r="H686" t="e">
            <v>#N/A</v>
          </cell>
          <cell r="I686" t="e">
            <v>#N/A</v>
          </cell>
          <cell r="J686" t="e">
            <v>#N/A</v>
          </cell>
        </row>
        <row r="687">
          <cell r="G687" t="e">
            <v>#N/A</v>
          </cell>
          <cell r="H687" t="e">
            <v>#N/A</v>
          </cell>
          <cell r="I687" t="e">
            <v>#N/A</v>
          </cell>
          <cell r="J687" t="e">
            <v>#N/A</v>
          </cell>
        </row>
        <row r="688">
          <cell r="G688" t="e">
            <v>#N/A</v>
          </cell>
          <cell r="H688" t="e">
            <v>#N/A</v>
          </cell>
          <cell r="I688" t="e">
            <v>#N/A</v>
          </cell>
          <cell r="J688" t="e">
            <v>#N/A</v>
          </cell>
        </row>
        <row r="689">
          <cell r="G689" t="e">
            <v>#N/A</v>
          </cell>
          <cell r="H689" t="e">
            <v>#N/A</v>
          </cell>
          <cell r="I689" t="e">
            <v>#N/A</v>
          </cell>
          <cell r="J689" t="e">
            <v>#N/A</v>
          </cell>
        </row>
        <row r="690">
          <cell r="G690" t="e">
            <v>#N/A</v>
          </cell>
          <cell r="H690" t="e">
            <v>#N/A</v>
          </cell>
          <cell r="I690" t="e">
            <v>#N/A</v>
          </cell>
          <cell r="J690" t="e">
            <v>#N/A</v>
          </cell>
        </row>
        <row r="691">
          <cell r="G691" t="e">
            <v>#N/A</v>
          </cell>
          <cell r="H691" t="e">
            <v>#N/A</v>
          </cell>
          <cell r="I691" t="e">
            <v>#N/A</v>
          </cell>
          <cell r="J691" t="e">
            <v>#N/A</v>
          </cell>
        </row>
        <row r="692">
          <cell r="G692" t="e">
            <v>#N/A</v>
          </cell>
          <cell r="H692" t="e">
            <v>#N/A</v>
          </cell>
          <cell r="I692" t="e">
            <v>#N/A</v>
          </cell>
          <cell r="J692" t="e">
            <v>#N/A</v>
          </cell>
        </row>
        <row r="693">
          <cell r="G693" t="e">
            <v>#N/A</v>
          </cell>
          <cell r="H693" t="e">
            <v>#N/A</v>
          </cell>
          <cell r="I693" t="e">
            <v>#N/A</v>
          </cell>
          <cell r="J693" t="e">
            <v>#N/A</v>
          </cell>
        </row>
        <row r="694">
          <cell r="G694" t="e">
            <v>#N/A</v>
          </cell>
          <cell r="H694" t="e">
            <v>#N/A</v>
          </cell>
          <cell r="I694" t="e">
            <v>#N/A</v>
          </cell>
          <cell r="J694" t="e">
            <v>#N/A</v>
          </cell>
        </row>
        <row r="695">
          <cell r="G695" t="e">
            <v>#N/A</v>
          </cell>
          <cell r="H695" t="e">
            <v>#N/A</v>
          </cell>
          <cell r="I695" t="e">
            <v>#N/A</v>
          </cell>
          <cell r="J695" t="e">
            <v>#N/A</v>
          </cell>
        </row>
        <row r="696">
          <cell r="G696" t="e">
            <v>#N/A</v>
          </cell>
          <cell r="H696" t="e">
            <v>#N/A</v>
          </cell>
          <cell r="I696" t="e">
            <v>#N/A</v>
          </cell>
          <cell r="J696" t="e">
            <v>#N/A</v>
          </cell>
        </row>
        <row r="697">
          <cell r="G697" t="e">
            <v>#N/A</v>
          </cell>
          <cell r="H697" t="e">
            <v>#N/A</v>
          </cell>
          <cell r="I697" t="e">
            <v>#N/A</v>
          </cell>
          <cell r="J697" t="e">
            <v>#N/A</v>
          </cell>
        </row>
        <row r="698">
          <cell r="G698" t="e">
            <v>#N/A</v>
          </cell>
          <cell r="H698" t="e">
            <v>#N/A</v>
          </cell>
          <cell r="I698" t="e">
            <v>#N/A</v>
          </cell>
          <cell r="J698" t="e">
            <v>#N/A</v>
          </cell>
        </row>
        <row r="699">
          <cell r="G699" t="e">
            <v>#N/A</v>
          </cell>
          <cell r="H699" t="e">
            <v>#N/A</v>
          </cell>
          <cell r="I699" t="e">
            <v>#N/A</v>
          </cell>
          <cell r="J699" t="e">
            <v>#N/A</v>
          </cell>
        </row>
        <row r="700">
          <cell r="G700" t="e">
            <v>#N/A</v>
          </cell>
          <cell r="H700" t="e">
            <v>#N/A</v>
          </cell>
          <cell r="I700" t="e">
            <v>#N/A</v>
          </cell>
          <cell r="J700" t="e">
            <v>#N/A</v>
          </cell>
        </row>
        <row r="701">
          <cell r="G701" t="e">
            <v>#N/A</v>
          </cell>
          <cell r="H701" t="e">
            <v>#N/A</v>
          </cell>
          <cell r="I701" t="e">
            <v>#N/A</v>
          </cell>
          <cell r="J701" t="e">
            <v>#N/A</v>
          </cell>
        </row>
        <row r="702">
          <cell r="G702" t="e">
            <v>#N/A</v>
          </cell>
          <cell r="H702" t="e">
            <v>#N/A</v>
          </cell>
          <cell r="I702" t="e">
            <v>#N/A</v>
          </cell>
          <cell r="J702" t="e">
            <v>#N/A</v>
          </cell>
        </row>
        <row r="703">
          <cell r="G703" t="e">
            <v>#N/A</v>
          </cell>
          <cell r="H703" t="e">
            <v>#N/A</v>
          </cell>
          <cell r="I703" t="e">
            <v>#N/A</v>
          </cell>
          <cell r="J703" t="e">
            <v>#N/A</v>
          </cell>
        </row>
        <row r="704">
          <cell r="G704" t="e">
            <v>#N/A</v>
          </cell>
          <cell r="H704" t="e">
            <v>#N/A</v>
          </cell>
          <cell r="I704" t="e">
            <v>#N/A</v>
          </cell>
          <cell r="J704" t="e">
            <v>#N/A</v>
          </cell>
        </row>
        <row r="705">
          <cell r="G705" t="e">
            <v>#N/A</v>
          </cell>
          <cell r="H705" t="e">
            <v>#N/A</v>
          </cell>
          <cell r="I705" t="e">
            <v>#N/A</v>
          </cell>
          <cell r="J705" t="e">
            <v>#N/A</v>
          </cell>
        </row>
        <row r="706">
          <cell r="G706" t="e">
            <v>#N/A</v>
          </cell>
          <cell r="H706" t="e">
            <v>#N/A</v>
          </cell>
          <cell r="I706" t="e">
            <v>#N/A</v>
          </cell>
          <cell r="J706" t="e">
            <v>#N/A</v>
          </cell>
        </row>
        <row r="707">
          <cell r="G707" t="e">
            <v>#N/A</v>
          </cell>
          <cell r="H707" t="e">
            <v>#N/A</v>
          </cell>
          <cell r="I707" t="e">
            <v>#N/A</v>
          </cell>
          <cell r="J707" t="e">
            <v>#N/A</v>
          </cell>
        </row>
        <row r="708">
          <cell r="G708" t="e">
            <v>#N/A</v>
          </cell>
          <cell r="H708" t="e">
            <v>#N/A</v>
          </cell>
          <cell r="I708" t="e">
            <v>#N/A</v>
          </cell>
          <cell r="J708" t="e">
            <v>#N/A</v>
          </cell>
        </row>
        <row r="709">
          <cell r="G709" t="e">
            <v>#N/A</v>
          </cell>
          <cell r="H709" t="e">
            <v>#N/A</v>
          </cell>
          <cell r="I709" t="e">
            <v>#N/A</v>
          </cell>
          <cell r="J709" t="e">
            <v>#N/A</v>
          </cell>
        </row>
        <row r="710">
          <cell r="G710" t="e">
            <v>#N/A</v>
          </cell>
          <cell r="H710" t="e">
            <v>#N/A</v>
          </cell>
          <cell r="I710" t="e">
            <v>#N/A</v>
          </cell>
          <cell r="J710" t="e">
            <v>#N/A</v>
          </cell>
        </row>
        <row r="711">
          <cell r="G711" t="e">
            <v>#N/A</v>
          </cell>
          <cell r="H711" t="e">
            <v>#N/A</v>
          </cell>
          <cell r="I711" t="e">
            <v>#N/A</v>
          </cell>
          <cell r="J711" t="e">
            <v>#N/A</v>
          </cell>
        </row>
        <row r="712">
          <cell r="G712" t="e">
            <v>#N/A</v>
          </cell>
          <cell r="H712" t="e">
            <v>#N/A</v>
          </cell>
          <cell r="I712" t="e">
            <v>#N/A</v>
          </cell>
          <cell r="J712" t="e">
            <v>#N/A</v>
          </cell>
        </row>
        <row r="713">
          <cell r="G713" t="e">
            <v>#N/A</v>
          </cell>
          <cell r="H713" t="e">
            <v>#N/A</v>
          </cell>
          <cell r="I713" t="e">
            <v>#N/A</v>
          </cell>
          <cell r="J713" t="e">
            <v>#N/A</v>
          </cell>
        </row>
        <row r="714">
          <cell r="G714" t="e">
            <v>#N/A</v>
          </cell>
          <cell r="H714" t="e">
            <v>#N/A</v>
          </cell>
          <cell r="I714" t="e">
            <v>#N/A</v>
          </cell>
          <cell r="J714" t="e">
            <v>#N/A</v>
          </cell>
        </row>
        <row r="715">
          <cell r="G715" t="e">
            <v>#N/A</v>
          </cell>
          <cell r="H715" t="e">
            <v>#N/A</v>
          </cell>
          <cell r="I715" t="e">
            <v>#N/A</v>
          </cell>
          <cell r="J715" t="e">
            <v>#N/A</v>
          </cell>
        </row>
        <row r="716">
          <cell r="G716" t="e">
            <v>#N/A</v>
          </cell>
          <cell r="H716" t="e">
            <v>#N/A</v>
          </cell>
          <cell r="I716" t="e">
            <v>#N/A</v>
          </cell>
          <cell r="J716" t="e">
            <v>#N/A</v>
          </cell>
        </row>
        <row r="717">
          <cell r="G717" t="e">
            <v>#N/A</v>
          </cell>
          <cell r="H717" t="e">
            <v>#N/A</v>
          </cell>
          <cell r="I717" t="e">
            <v>#N/A</v>
          </cell>
          <cell r="J717" t="e">
            <v>#N/A</v>
          </cell>
        </row>
        <row r="718">
          <cell r="G718" t="e">
            <v>#N/A</v>
          </cell>
          <cell r="H718" t="e">
            <v>#N/A</v>
          </cell>
          <cell r="I718" t="e">
            <v>#N/A</v>
          </cell>
          <cell r="J718" t="e">
            <v>#N/A</v>
          </cell>
        </row>
        <row r="719">
          <cell r="G719" t="e">
            <v>#N/A</v>
          </cell>
          <cell r="H719" t="e">
            <v>#N/A</v>
          </cell>
          <cell r="I719" t="e">
            <v>#N/A</v>
          </cell>
          <cell r="J719" t="e">
            <v>#N/A</v>
          </cell>
        </row>
        <row r="720">
          <cell r="G720" t="e">
            <v>#N/A</v>
          </cell>
          <cell r="H720" t="e">
            <v>#N/A</v>
          </cell>
          <cell r="I720" t="e">
            <v>#N/A</v>
          </cell>
          <cell r="J720" t="e">
            <v>#N/A</v>
          </cell>
        </row>
        <row r="721">
          <cell r="G721" t="e">
            <v>#N/A</v>
          </cell>
          <cell r="H721" t="e">
            <v>#N/A</v>
          </cell>
          <cell r="I721" t="e">
            <v>#N/A</v>
          </cell>
          <cell r="J721" t="e">
            <v>#N/A</v>
          </cell>
        </row>
        <row r="722">
          <cell r="G722" t="e">
            <v>#N/A</v>
          </cell>
          <cell r="H722" t="e">
            <v>#N/A</v>
          </cell>
          <cell r="I722" t="e">
            <v>#N/A</v>
          </cell>
          <cell r="J722" t="e">
            <v>#N/A</v>
          </cell>
        </row>
        <row r="723">
          <cell r="G723" t="e">
            <v>#N/A</v>
          </cell>
          <cell r="H723" t="e">
            <v>#N/A</v>
          </cell>
          <cell r="I723" t="e">
            <v>#N/A</v>
          </cell>
          <cell r="J723" t="e">
            <v>#N/A</v>
          </cell>
        </row>
        <row r="724">
          <cell r="G724" t="e">
            <v>#N/A</v>
          </cell>
          <cell r="H724" t="e">
            <v>#N/A</v>
          </cell>
          <cell r="I724" t="e">
            <v>#N/A</v>
          </cell>
          <cell r="J724" t="e">
            <v>#N/A</v>
          </cell>
        </row>
        <row r="725">
          <cell r="G725" t="e">
            <v>#N/A</v>
          </cell>
          <cell r="H725" t="e">
            <v>#N/A</v>
          </cell>
          <cell r="I725" t="e">
            <v>#N/A</v>
          </cell>
          <cell r="J725" t="e">
            <v>#N/A</v>
          </cell>
        </row>
        <row r="726">
          <cell r="G726" t="e">
            <v>#N/A</v>
          </cell>
          <cell r="H726" t="e">
            <v>#N/A</v>
          </cell>
          <cell r="I726" t="e">
            <v>#N/A</v>
          </cell>
          <cell r="J726" t="e">
            <v>#N/A</v>
          </cell>
        </row>
        <row r="727">
          <cell r="G727" t="e">
            <v>#N/A</v>
          </cell>
          <cell r="H727" t="e">
            <v>#N/A</v>
          </cell>
          <cell r="I727" t="e">
            <v>#N/A</v>
          </cell>
          <cell r="J727" t="e">
            <v>#N/A</v>
          </cell>
        </row>
        <row r="728">
          <cell r="G728" t="e">
            <v>#N/A</v>
          </cell>
          <cell r="H728" t="e">
            <v>#N/A</v>
          </cell>
          <cell r="I728" t="e">
            <v>#N/A</v>
          </cell>
          <cell r="J728" t="e">
            <v>#N/A</v>
          </cell>
        </row>
        <row r="729">
          <cell r="G729" t="e">
            <v>#N/A</v>
          </cell>
          <cell r="H729" t="e">
            <v>#N/A</v>
          </cell>
          <cell r="I729" t="e">
            <v>#N/A</v>
          </cell>
          <cell r="J729" t="e">
            <v>#N/A</v>
          </cell>
        </row>
        <row r="730">
          <cell r="G730" t="e">
            <v>#N/A</v>
          </cell>
          <cell r="H730" t="e">
            <v>#N/A</v>
          </cell>
          <cell r="I730" t="e">
            <v>#N/A</v>
          </cell>
          <cell r="J730" t="e">
            <v>#N/A</v>
          </cell>
        </row>
        <row r="731">
          <cell r="G731" t="e">
            <v>#N/A</v>
          </cell>
          <cell r="H731" t="e">
            <v>#N/A</v>
          </cell>
          <cell r="I731" t="e">
            <v>#N/A</v>
          </cell>
          <cell r="J731" t="e">
            <v>#N/A</v>
          </cell>
        </row>
        <row r="732">
          <cell r="G732" t="e">
            <v>#N/A</v>
          </cell>
          <cell r="H732" t="e">
            <v>#N/A</v>
          </cell>
          <cell r="I732" t="e">
            <v>#N/A</v>
          </cell>
          <cell r="J732" t="e">
            <v>#N/A</v>
          </cell>
        </row>
        <row r="733">
          <cell r="G733" t="e">
            <v>#N/A</v>
          </cell>
          <cell r="H733" t="e">
            <v>#N/A</v>
          </cell>
          <cell r="I733" t="e">
            <v>#N/A</v>
          </cell>
          <cell r="J733" t="e">
            <v>#N/A</v>
          </cell>
        </row>
        <row r="734">
          <cell r="G734" t="e">
            <v>#N/A</v>
          </cell>
          <cell r="H734" t="e">
            <v>#N/A</v>
          </cell>
          <cell r="I734" t="e">
            <v>#N/A</v>
          </cell>
          <cell r="J734" t="e">
            <v>#N/A</v>
          </cell>
        </row>
        <row r="735">
          <cell r="G735" t="e">
            <v>#N/A</v>
          </cell>
          <cell r="H735" t="e">
            <v>#N/A</v>
          </cell>
          <cell r="I735" t="e">
            <v>#N/A</v>
          </cell>
          <cell r="J735" t="e">
            <v>#N/A</v>
          </cell>
        </row>
        <row r="736">
          <cell r="G736" t="e">
            <v>#N/A</v>
          </cell>
          <cell r="H736" t="e">
            <v>#N/A</v>
          </cell>
          <cell r="I736" t="e">
            <v>#N/A</v>
          </cell>
          <cell r="J736" t="e">
            <v>#N/A</v>
          </cell>
        </row>
        <row r="737">
          <cell r="G737" t="e">
            <v>#N/A</v>
          </cell>
          <cell r="H737" t="e">
            <v>#N/A</v>
          </cell>
          <cell r="I737" t="e">
            <v>#N/A</v>
          </cell>
          <cell r="J737" t="e">
            <v>#N/A</v>
          </cell>
        </row>
        <row r="738">
          <cell r="G738" t="e">
            <v>#N/A</v>
          </cell>
          <cell r="H738" t="e">
            <v>#N/A</v>
          </cell>
          <cell r="I738" t="e">
            <v>#N/A</v>
          </cell>
          <cell r="J738" t="e">
            <v>#N/A</v>
          </cell>
        </row>
        <row r="739">
          <cell r="G739" t="e">
            <v>#N/A</v>
          </cell>
          <cell r="H739" t="e">
            <v>#N/A</v>
          </cell>
          <cell r="I739" t="e">
            <v>#N/A</v>
          </cell>
          <cell r="J739" t="e">
            <v>#N/A</v>
          </cell>
        </row>
        <row r="740">
          <cell r="G740" t="e">
            <v>#N/A</v>
          </cell>
          <cell r="H740" t="e">
            <v>#N/A</v>
          </cell>
          <cell r="I740" t="e">
            <v>#N/A</v>
          </cell>
          <cell r="J740" t="e">
            <v>#N/A</v>
          </cell>
        </row>
      </sheetData>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of Cost"/>
      <sheetName val="Measurement"/>
      <sheetName val="RD-CutFill"/>
      <sheetName val="RD-MWRET"/>
      <sheetName val="Drain"/>
      <sheetName val="Rates"/>
      <sheetName val="Summary of Rates"/>
      <sheetName val="Rate Analysis"/>
      <sheetName val="Bar bending"/>
      <sheetName val="BoQ"/>
    </sheetNames>
    <sheetDataSet>
      <sheetData sheetId="0" refreshError="1"/>
      <sheetData sheetId="1" refreshError="1"/>
      <sheetData sheetId="2" refreshError="1"/>
      <sheetData sheetId="3" refreshError="1"/>
      <sheetData sheetId="4" refreshError="1"/>
      <sheetData sheetId="5" refreshError="1">
        <row r="3">
          <cell r="D3">
            <v>120</v>
          </cell>
        </row>
      </sheetData>
      <sheetData sheetId="6" refreshError="1"/>
      <sheetData sheetId="7" refreshError="1"/>
      <sheetData sheetId="8" refreshError="1"/>
      <sheetData sheetId="9"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oQ"/>
      <sheetName val="Abstract"/>
      <sheetName val="Detailed"/>
      <sheetName val="steel quantity"/>
      <sheetName val="Summary of Rates"/>
      <sheetName val="Rates"/>
      <sheetName val="Rate Analysis"/>
    </sheetNames>
    <sheetDataSet>
      <sheetData sheetId="0"/>
      <sheetData sheetId="1"/>
      <sheetData sheetId="2"/>
      <sheetData sheetId="3"/>
      <sheetData sheetId="4"/>
      <sheetData sheetId="5"/>
      <sheetData sheetId="6">
        <row r="95">
          <cell r="D95">
            <v>550</v>
          </cell>
        </row>
      </sheetData>
      <sheetData sheetId="7"/>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te"/>
      <sheetName val="Collection"/>
      <sheetName val="transportation kk"/>
      <sheetName val="Rate Analysis"/>
      <sheetName val="Summary of rates"/>
    </sheetNames>
    <sheetDataSet>
      <sheetData sheetId="0">
        <row r="41">
          <cell r="N41">
            <v>68</v>
          </cell>
        </row>
      </sheetData>
      <sheetData sheetId="1"/>
      <sheetData sheetId="2"/>
      <sheetData sheetId="3"/>
      <sheetData sheetId="4"/>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List"/>
      <sheetName val="Dmand 4"/>
      <sheetName val="Dmand 3"/>
      <sheetName val="Dmand 2"/>
      <sheetName val="Dmand 1"/>
      <sheetName val="ProfileData"/>
      <sheetName val="PipeDesign"/>
      <sheetName val="PD-TMPLT"/>
      <sheetName val="Plot"/>
      <sheetName val="Profile"/>
      <sheetName val="FlowDiagram"/>
      <sheetName val="PipeList"/>
      <sheetName val="PipeLineWork"/>
      <sheetName val="PFdata"/>
      <sheetName val="Features"/>
      <sheetName val="FitData"/>
      <sheetName val="Fittings"/>
      <sheetName val="T&amp;P"/>
      <sheetName val="Summary"/>
    </sheetNames>
    <sheetDataSet>
      <sheetData sheetId="0"/>
      <sheetData sheetId="1"/>
      <sheetData sheetId="2"/>
      <sheetData sheetId="3"/>
      <sheetData sheetId="4"/>
      <sheetData sheetId="5"/>
      <sheetData sheetId="6"/>
      <sheetData sheetId="7"/>
      <sheetData sheetId="8" refreshError="1"/>
      <sheetData sheetId="9" refreshError="1"/>
      <sheetData sheetId="10"/>
      <sheetData sheetId="11"/>
      <sheetData sheetId="12"/>
      <sheetData sheetId="13"/>
      <sheetData sheetId="14"/>
      <sheetData sheetId="15"/>
      <sheetData sheetId="16"/>
      <sheetData sheetId="17"/>
      <sheetData sheetId="18"/>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ervoir Tank"/>
    </sheetNames>
    <sheetDataSet>
      <sheetData sheetId="0"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SOFTWEL"/>
      <sheetName val="HL-Data"/>
      <sheetName val="Water Demand"/>
      <sheetName val="RT Sizing"/>
      <sheetName val="RVT Size"/>
      <sheetName val="Abney"/>
      <sheetName val="Survey"/>
      <sheetName val="RT Sizing 20 yrs"/>
      <sheetName val="PD-CW-Sample"/>
      <sheetName val="Pipe_estimate"/>
      <sheetName val="Itterate"/>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ow r="16">
          <cell r="AN16">
            <v>46</v>
          </cell>
          <cell r="AO16">
            <v>91</v>
          </cell>
        </row>
        <row r="17">
          <cell r="AN17">
            <v>46</v>
          </cell>
          <cell r="AO17">
            <v>73</v>
          </cell>
        </row>
        <row r="19">
          <cell r="AN19">
            <v>38</v>
          </cell>
          <cell r="AO19">
            <v>86</v>
          </cell>
        </row>
        <row r="21">
          <cell r="AN21">
            <v>38</v>
          </cell>
          <cell r="AO21">
            <v>57</v>
          </cell>
        </row>
        <row r="22">
          <cell r="AN22">
            <v>38</v>
          </cell>
          <cell r="AO22">
            <v>68</v>
          </cell>
        </row>
        <row r="23">
          <cell r="AN23">
            <v>38</v>
          </cell>
          <cell r="AO23">
            <v>201</v>
          </cell>
        </row>
        <row r="25">
          <cell r="AN25">
            <v>30</v>
          </cell>
          <cell r="AO25">
            <v>50</v>
          </cell>
        </row>
        <row r="27">
          <cell r="AN27">
            <v>30</v>
          </cell>
          <cell r="AO27">
            <v>210</v>
          </cell>
        </row>
        <row r="28">
          <cell r="AN28">
            <v>30</v>
          </cell>
          <cell r="AO28">
            <v>0</v>
          </cell>
        </row>
        <row r="30">
          <cell r="AN30">
            <v>30</v>
          </cell>
          <cell r="AO30">
            <v>79</v>
          </cell>
        </row>
        <row r="31">
          <cell r="AN31">
            <v>30</v>
          </cell>
          <cell r="AO31">
            <v>0</v>
          </cell>
        </row>
        <row r="32">
          <cell r="AN32">
            <v>30</v>
          </cell>
          <cell r="AO32">
            <v>61</v>
          </cell>
        </row>
        <row r="33">
          <cell r="AN33">
            <v>30</v>
          </cell>
          <cell r="AO33">
            <v>17</v>
          </cell>
        </row>
        <row r="35">
          <cell r="AN35">
            <v>30</v>
          </cell>
          <cell r="AO35">
            <v>15</v>
          </cell>
        </row>
        <row r="36">
          <cell r="AN36">
            <v>30</v>
          </cell>
          <cell r="AO36">
            <v>0</v>
          </cell>
        </row>
        <row r="37">
          <cell r="AN37">
            <v>30</v>
          </cell>
          <cell r="AO37">
            <v>44</v>
          </cell>
        </row>
        <row r="38">
          <cell r="AN38">
            <v>30</v>
          </cell>
          <cell r="AO38">
            <v>16</v>
          </cell>
        </row>
        <row r="39">
          <cell r="AN39">
            <v>30</v>
          </cell>
          <cell r="AO39">
            <v>12</v>
          </cell>
        </row>
        <row r="40">
          <cell r="AN40">
            <v>30</v>
          </cell>
          <cell r="AO40">
            <v>0</v>
          </cell>
        </row>
        <row r="41">
          <cell r="AN41">
            <v>30</v>
          </cell>
          <cell r="AO41">
            <v>47</v>
          </cell>
        </row>
        <row r="42">
          <cell r="AN42">
            <v>30</v>
          </cell>
          <cell r="AO42">
            <v>28</v>
          </cell>
        </row>
        <row r="44">
          <cell r="AN44">
            <v>30</v>
          </cell>
          <cell r="AO44">
            <v>19</v>
          </cell>
        </row>
        <row r="45">
          <cell r="AN45">
            <v>30</v>
          </cell>
          <cell r="AO45">
            <v>28</v>
          </cell>
        </row>
        <row r="46">
          <cell r="AN46">
            <v>30</v>
          </cell>
          <cell r="AO46">
            <v>13</v>
          </cell>
        </row>
        <row r="47">
          <cell r="AN47">
            <v>30</v>
          </cell>
          <cell r="AO47">
            <v>157</v>
          </cell>
        </row>
        <row r="48">
          <cell r="AN48">
            <v>30</v>
          </cell>
          <cell r="AO48">
            <v>21</v>
          </cell>
        </row>
        <row r="49">
          <cell r="AN49">
            <v>30</v>
          </cell>
          <cell r="AO49">
            <v>0</v>
          </cell>
        </row>
        <row r="50">
          <cell r="AN50">
            <v>30</v>
          </cell>
          <cell r="AO50">
            <v>20</v>
          </cell>
        </row>
        <row r="52">
          <cell r="AN52">
            <v>38</v>
          </cell>
          <cell r="AO52">
            <v>35</v>
          </cell>
        </row>
        <row r="53">
          <cell r="AN53">
            <v>38</v>
          </cell>
          <cell r="AO53">
            <v>0</v>
          </cell>
        </row>
        <row r="54">
          <cell r="AN54">
            <v>38</v>
          </cell>
          <cell r="AO54">
            <v>84</v>
          </cell>
        </row>
        <row r="55">
          <cell r="AN55">
            <v>38</v>
          </cell>
          <cell r="AO55">
            <v>109</v>
          </cell>
        </row>
        <row r="56">
          <cell r="AN56">
            <v>38</v>
          </cell>
          <cell r="AO56" t="e">
            <v>#REF!</v>
          </cell>
        </row>
        <row r="57">
          <cell r="AN57">
            <v>38</v>
          </cell>
          <cell r="AO57">
            <v>41</v>
          </cell>
        </row>
        <row r="59">
          <cell r="AN59">
            <v>30</v>
          </cell>
          <cell r="AO59">
            <v>156</v>
          </cell>
        </row>
        <row r="61">
          <cell r="AN61">
            <v>30</v>
          </cell>
          <cell r="AO61">
            <v>23</v>
          </cell>
        </row>
        <row r="62">
          <cell r="AN62">
            <v>30</v>
          </cell>
          <cell r="AO62">
            <v>0</v>
          </cell>
        </row>
        <row r="64">
          <cell r="AN64">
            <v>30</v>
          </cell>
          <cell r="AO64">
            <v>31</v>
          </cell>
        </row>
        <row r="66">
          <cell r="AN66">
            <v>30</v>
          </cell>
          <cell r="AO66">
            <v>11</v>
          </cell>
        </row>
        <row r="67">
          <cell r="AN67">
            <v>30</v>
          </cell>
          <cell r="AO67">
            <v>0</v>
          </cell>
        </row>
        <row r="68">
          <cell r="AN68">
            <v>30</v>
          </cell>
          <cell r="AO68">
            <v>325</v>
          </cell>
        </row>
        <row r="70">
          <cell r="AN70">
            <v>30</v>
          </cell>
          <cell r="AO70">
            <v>71</v>
          </cell>
        </row>
        <row r="71">
          <cell r="AN71">
            <v>30</v>
          </cell>
          <cell r="AO71">
            <v>58</v>
          </cell>
        </row>
        <row r="72">
          <cell r="AN72">
            <v>30</v>
          </cell>
          <cell r="AO72">
            <v>0</v>
          </cell>
        </row>
        <row r="73">
          <cell r="AN73">
            <v>30</v>
          </cell>
          <cell r="AO73">
            <v>293</v>
          </cell>
        </row>
        <row r="74">
          <cell r="AN74">
            <v>0</v>
          </cell>
          <cell r="AO74">
            <v>0</v>
          </cell>
        </row>
        <row r="75">
          <cell r="AN75">
            <v>0</v>
          </cell>
          <cell r="AO75">
            <v>0</v>
          </cell>
        </row>
      </sheetData>
      <sheetData sheetId="10" refreshError="1"/>
      <sheetData sheetId="11"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 val="SOFTWEL"/>
      <sheetName val="HL-Data"/>
      <sheetName val="Water Demand"/>
      <sheetName val="RT Sizing"/>
      <sheetName val="RVT Size"/>
      <sheetName val="Abney"/>
      <sheetName val="Survey"/>
      <sheetName val="RT Sizing 20 yrs"/>
      <sheetName val="PD-CW-Sample"/>
      <sheetName val="Pipe_estimate"/>
      <sheetName val="Itterate"/>
    </sheetNames>
    <sheetDataSet>
      <sheetData sheetId="0"/>
      <sheetData sheetId="1"/>
      <sheetData sheetId="2"/>
      <sheetData sheetId="3"/>
      <sheetData sheetId="4"/>
      <sheetData sheetId="5"/>
      <sheetData sheetId="6"/>
      <sheetData sheetId="7"/>
      <sheetData sheetId="8"/>
      <sheetData sheetId="9">
        <row r="16">
          <cell r="AN16">
            <v>46</v>
          </cell>
        </row>
        <row r="17">
          <cell r="AN17">
            <v>46</v>
          </cell>
        </row>
        <row r="19">
          <cell r="AN19">
            <v>38</v>
          </cell>
        </row>
        <row r="20">
          <cell r="AN20">
            <v>38</v>
          </cell>
        </row>
        <row r="21">
          <cell r="AN21">
            <v>38</v>
          </cell>
        </row>
        <row r="22">
          <cell r="AN22">
            <v>38</v>
          </cell>
        </row>
        <row r="24">
          <cell r="AN24">
            <v>30</v>
          </cell>
        </row>
        <row r="26">
          <cell r="AN26">
            <v>30</v>
          </cell>
        </row>
        <row r="27">
          <cell r="AN27">
            <v>30</v>
          </cell>
        </row>
        <row r="29">
          <cell r="AN29">
            <v>30</v>
          </cell>
        </row>
        <row r="30">
          <cell r="AN30">
            <v>30</v>
          </cell>
        </row>
        <row r="31">
          <cell r="AN31">
            <v>30</v>
          </cell>
        </row>
        <row r="32">
          <cell r="AN32">
            <v>30</v>
          </cell>
        </row>
        <row r="34">
          <cell r="AN34">
            <v>30</v>
          </cell>
        </row>
        <row r="35">
          <cell r="AN35">
            <v>30</v>
          </cell>
        </row>
        <row r="36">
          <cell r="AN36">
            <v>30</v>
          </cell>
        </row>
        <row r="37">
          <cell r="AN37">
            <v>30</v>
          </cell>
        </row>
        <row r="38">
          <cell r="AN38">
            <v>30</v>
          </cell>
        </row>
        <row r="39">
          <cell r="AN39">
            <v>30</v>
          </cell>
        </row>
        <row r="40">
          <cell r="AN40">
            <v>30</v>
          </cell>
        </row>
        <row r="41">
          <cell r="AN41">
            <v>30</v>
          </cell>
        </row>
        <row r="43">
          <cell r="AN43">
            <v>30</v>
          </cell>
        </row>
        <row r="44">
          <cell r="AN44">
            <v>30</v>
          </cell>
        </row>
        <row r="45">
          <cell r="AN45">
            <v>30</v>
          </cell>
        </row>
        <row r="46">
          <cell r="AN46">
            <v>30</v>
          </cell>
        </row>
        <row r="47">
          <cell r="AN47">
            <v>30</v>
          </cell>
        </row>
        <row r="48">
          <cell r="AN48">
            <v>30</v>
          </cell>
        </row>
        <row r="49">
          <cell r="AN49">
            <v>30</v>
          </cell>
        </row>
        <row r="51">
          <cell r="AN51">
            <v>38</v>
          </cell>
        </row>
        <row r="52">
          <cell r="AN52">
            <v>38</v>
          </cell>
        </row>
        <row r="53">
          <cell r="AN53">
            <v>38</v>
          </cell>
        </row>
        <row r="54">
          <cell r="AN54">
            <v>38</v>
          </cell>
        </row>
        <row r="55">
          <cell r="AN55">
            <v>38</v>
          </cell>
        </row>
        <row r="56">
          <cell r="AN56">
            <v>38</v>
          </cell>
        </row>
        <row r="58">
          <cell r="AN58">
            <v>30</v>
          </cell>
        </row>
        <row r="60">
          <cell r="AN60">
            <v>30</v>
          </cell>
        </row>
        <row r="61">
          <cell r="AN61">
            <v>30</v>
          </cell>
        </row>
        <row r="63">
          <cell r="AN63">
            <v>30</v>
          </cell>
        </row>
        <row r="65">
          <cell r="AN65">
            <v>30</v>
          </cell>
        </row>
        <row r="66">
          <cell r="AN66">
            <v>30</v>
          </cell>
        </row>
        <row r="67">
          <cell r="AN67">
            <v>30</v>
          </cell>
        </row>
        <row r="69">
          <cell r="AN69">
            <v>30</v>
          </cell>
        </row>
        <row r="70">
          <cell r="AN70">
            <v>30</v>
          </cell>
        </row>
        <row r="71">
          <cell r="AN71">
            <v>30</v>
          </cell>
        </row>
        <row r="72">
          <cell r="AN72">
            <v>30</v>
          </cell>
        </row>
        <row r="73">
          <cell r="AN73">
            <v>0</v>
          </cell>
        </row>
        <row r="74">
          <cell r="AN74">
            <v>0</v>
          </cell>
        </row>
      </sheetData>
      <sheetData sheetId="10"/>
      <sheetData sheetId="11"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ervices &amp; facilities"/>
      <sheetName val="site installation"/>
      <sheetName val="temp facility"/>
      <sheetName val="laboratory test"/>
      <sheetName val="submis contractor"/>
      <sheetName val="staff training"/>
      <sheetName val="Sheet1"/>
      <sheetName val="Repair &amp; maintenance"/>
      <sheetName val="Summary of BOQ"/>
      <sheetName val="BOQ Electrical"/>
      <sheetName val="Bill of Qty."/>
      <sheetName val="New Grand Summary"/>
      <sheetName val="Grand summary"/>
      <sheetName val="OFF BULDG"/>
      <sheetName val="SUMMARY"/>
      <sheetName val="BOQ General Item"/>
      <sheetName val="DAY WORKS"/>
      <sheetName val="Intake &amp; Trans Improvement Cost"/>
      <sheetName val="Tubewell Cost"/>
      <sheetName val="Cost B.Hole platform"/>
      <sheetName val="Cost NWSC RVT 600m3"/>
      <sheetName val="NWSC Reservoir 600m3   "/>
      <sheetName val="Cost 450 cum OHT"/>
      <sheetName val="COST PIPE (Trans)"/>
      <sheetName val="COST PIPE LAYNG &amp; JOINING(Trans"/>
      <sheetName val="COST PIPE LINE TRENCH (Trans)"/>
      <sheetName val="Pipe Trans Pumping cost"/>
      <sheetName val="Pipe Trans Pumping laying cost"/>
      <sheetName val="Pipe Trans Pumping Trench Cost"/>
      <sheetName val="COST PIPE"/>
      <sheetName val="COST PIPE LAYNG &amp; JOINING"/>
      <sheetName val="COST PIPE LINE TRENCH"/>
      <sheetName val="Cost Flocculator Sardu"/>
      <sheetName val="Cost Sedimentation"/>
      <sheetName val="Cost RSF"/>
      <sheetName val="Cost Site Development"/>
      <sheetName val="Cost Phusre RVT 500m3"/>
      <sheetName val="Cost Bijayapu RVT 600m3"/>
      <sheetName val="Cost Pindeswor RVT 900m3"/>
      <sheetName val="Cost Railway RVT 500m3"/>
      <sheetName val="cost Backwash oht200m3"/>
      <sheetName val="Cost Gr 200 Central Pump Stn"/>
      <sheetName val="Cost GR 50m3 Railway Pump Stn"/>
      <sheetName val="summary of costs"/>
      <sheetName val="tentative cost estimate 1 &amp; 2"/>
      <sheetName val="Cost Estimate 3"/>
      <sheetName val="cost estimate 4"/>
      <sheetName val="Dismental &amp; Reistatement cost"/>
      <sheetName val="COST Road &amp; River Crossing"/>
      <sheetName val="COST GENERATOR OPERATOR"/>
      <sheetName val="GEN OPERATOR ROOM Electrical"/>
      <sheetName val="Generator shed cost"/>
      <sheetName val="COST GAURD H"/>
      <sheetName val="Guard room Electrical"/>
      <sheetName val="COST HOUSE CONNECTION"/>
      <sheetName val="cost hole change"/>
      <sheetName val="COST FIRE HYDRANT"/>
      <sheetName val="COST OFF BULDG"/>
      <sheetName val="BPT cost"/>
      <sheetName val="Cost Fitting"/>
      <sheetName val="COST VALVE CHAMBER"/>
      <sheetName val="Cost Thrust Block"/>
      <sheetName val="Office Building"/>
      <sheetName val="P A Block Cost"/>
      <sheetName val="Pressure test of pipe"/>
      <sheetName val="Cost Flocculator Khardu"/>
      <sheetName val="COST TOOLS &amp; PLANT"/>
      <sheetName val="DOR equip List"/>
      <sheetName val="Sheet6"/>
      <sheetName val="HDPE"/>
      <sheetName val="Manual Haul Rate"/>
      <sheetName val="BPT Quantity"/>
      <sheetName val="CostRes.Fitin"/>
      <sheetName val="Res.Fitin"/>
      <sheetName val="AV cost"/>
      <sheetName val="AV"/>
      <sheetName val="WO cost"/>
      <sheetName val="WO"/>
      <sheetName val="BPT Fit cost"/>
      <sheetName val="BPT Fit"/>
      <sheetName val="Material density"/>
      <sheetName val="side drain"/>
      <sheetName val="cover"/>
      <sheetName val="Electro Mechanical Summary"/>
      <sheetName val="cost m450"/>
      <sheetName val="cost m600"/>
      <sheetName val="cost septic Tank 15"/>
      <sheetName val="cost soak15"/>
      <sheetName val="cost apron"/>
      <sheetName val="Enviromental mitigation"/>
      <sheetName val="Intake &amp;Trans Improvement"/>
      <sheetName val="Tube well"/>
      <sheetName val="Bore Hole Platform"/>
      <sheetName val="450 cum OHT"/>
      <sheetName val="PIPE (Trans)"/>
      <sheetName val="PIPE LAYING &amp; JOINING (Trans)"/>
      <sheetName val="PIPE TRENCH (Trans)"/>
      <sheetName val="Pipe Trans pumping "/>
      <sheetName val="Pipe Trans Pumping laying"/>
      <sheetName val="Pipe Trans Pumping Trench"/>
      <sheetName val="PIPE"/>
      <sheetName val="PIPE LAYING &amp; JOINING"/>
      <sheetName val="PIPE TRENCH"/>
      <sheetName val="Flocculator Sardu"/>
      <sheetName val="Sedimentation Tank"/>
      <sheetName val="RSF"/>
      <sheetName val="site development"/>
      <sheetName val="Phusre RVT 500m3"/>
      <sheetName val="Bijayapur RVT 600m3 "/>
      <sheetName val="Pindeshwor RVT 900m3  "/>
      <sheetName val="Railway 500m3 "/>
      <sheetName val="OHT200m3"/>
      <sheetName val="GR200m3 RAILWAY PUMPING STN"/>
      <sheetName val="GR 50m3 Khardu pumping stn"/>
      <sheetName val="Dismental &amp; Reistatement"/>
      <sheetName val="Road &amp; River Crossing"/>
      <sheetName val="GENERATOR OPERATOR"/>
      <sheetName val="Generator shed"/>
      <sheetName val="GAURD HC"/>
      <sheetName val="HOUSE CONNECTION"/>
      <sheetName val="hole Change"/>
      <sheetName val="FIRE HYDRANT"/>
      <sheetName val="BPT"/>
      <sheetName val="Valve Chamber"/>
      <sheetName val="Thrust Block"/>
      <sheetName val="P A Block"/>
      <sheetName val="Flocculator Khardu"/>
      <sheetName val="manhole 450 qntty"/>
      <sheetName val="manhole 600 qntty"/>
      <sheetName val="septic tank for 15 users"/>
      <sheetName val="Soakpit 15"/>
      <sheetName val="appron qntty"/>
      <sheetName val="Generator shed Data"/>
      <sheetName val="Summary Rate"/>
      <sheetName val="Civi Rate Analysis"/>
      <sheetName val="Pipe Rate Analysis"/>
      <sheetName val="Fitting Analysis"/>
      <sheetName val="H test &amp; S test"/>
      <sheetName val="sanatary analysis"/>
      <sheetName val="Rate Analysis Electrical"/>
      <sheetName val="Summary Rate (Trans)"/>
      <sheetName val="Civi Rate Analysis (Trans)"/>
      <sheetName val="Pipe Rate Analysis (Trans)"/>
      <sheetName val="Labour Rate"/>
      <sheetName val="Materials Rate"/>
      <sheetName val="DI"/>
      <sheetName val="GI fittings"/>
      <sheetName val="GI"/>
      <sheetName val="DI fittings"/>
      <sheetName val="sanatary analysis (Trans)"/>
      <sheetName val="cost side drain"/>
      <sheetName val="Separator"/>
      <sheetName val="TO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14">
          <cell r="D14">
            <v>101.935</v>
          </cell>
        </row>
      </sheetData>
      <sheetData sheetId="33">
        <row r="14">
          <cell r="D14">
            <v>241.57499999999999</v>
          </cell>
        </row>
      </sheetData>
      <sheetData sheetId="34">
        <row r="14">
          <cell r="D14">
            <v>295.8</v>
          </cell>
        </row>
      </sheetData>
      <sheetData sheetId="35"/>
      <sheetData sheetId="36"/>
      <sheetData sheetId="37">
        <row r="7">
          <cell r="F7">
            <v>29185.82</v>
          </cell>
        </row>
      </sheetData>
      <sheetData sheetId="38">
        <row r="7">
          <cell r="F7">
            <v>35502.97</v>
          </cell>
        </row>
      </sheetData>
      <sheetData sheetId="39">
        <row r="7">
          <cell r="F7">
            <v>25266.63</v>
          </cell>
        </row>
      </sheetData>
      <sheetData sheetId="40">
        <row r="6">
          <cell r="F6">
            <v>9318.9195489065278</v>
          </cell>
        </row>
      </sheetData>
      <sheetData sheetId="41">
        <row r="8">
          <cell r="F8">
            <v>15340.47</v>
          </cell>
        </row>
      </sheetData>
      <sheetData sheetId="42">
        <row r="7">
          <cell r="F7">
            <v>2075.0835229120689</v>
          </cell>
        </row>
      </sheetData>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ow r="16">
          <cell r="Q16">
            <v>3.76</v>
          </cell>
        </row>
        <row r="17">
          <cell r="Q17">
            <v>4.01</v>
          </cell>
        </row>
        <row r="19">
          <cell r="Q19">
            <v>4.05</v>
          </cell>
        </row>
        <row r="20">
          <cell r="Q20">
            <v>4.43</v>
          </cell>
        </row>
        <row r="24">
          <cell r="Q24">
            <v>44.88</v>
          </cell>
        </row>
        <row r="25">
          <cell r="Q25">
            <v>45.67</v>
          </cell>
        </row>
        <row r="29">
          <cell r="Q29">
            <v>45.52</v>
          </cell>
        </row>
        <row r="30">
          <cell r="Q30">
            <v>46.64</v>
          </cell>
        </row>
        <row r="34">
          <cell r="Q34">
            <v>46.52</v>
          </cell>
        </row>
        <row r="35">
          <cell r="Q35">
            <v>69.39</v>
          </cell>
        </row>
        <row r="39">
          <cell r="Q39">
            <v>70.91</v>
          </cell>
        </row>
        <row r="40">
          <cell r="Q40">
            <v>73.790000000000006</v>
          </cell>
        </row>
        <row r="44">
          <cell r="Q44">
            <v>72.63</v>
          </cell>
        </row>
        <row r="45">
          <cell r="Q45">
            <v>76.430000000000007</v>
          </cell>
        </row>
        <row r="49">
          <cell r="Q49">
            <v>97.16</v>
          </cell>
        </row>
        <row r="50">
          <cell r="Q50">
            <v>101.85</v>
          </cell>
        </row>
        <row r="54">
          <cell r="Q54">
            <v>99.91</v>
          </cell>
        </row>
        <row r="55">
          <cell r="Q55">
            <v>106.13</v>
          </cell>
        </row>
        <row r="59">
          <cell r="Q59">
            <v>105.91</v>
          </cell>
        </row>
        <row r="60">
          <cell r="Q60">
            <v>115.17</v>
          </cell>
        </row>
        <row r="64">
          <cell r="Q64">
            <v>153.31</v>
          </cell>
        </row>
        <row r="65">
          <cell r="Q65">
            <v>164.64</v>
          </cell>
        </row>
        <row r="69">
          <cell r="Q69">
            <v>159.09</v>
          </cell>
        </row>
        <row r="70">
          <cell r="Q70">
            <v>173.74</v>
          </cell>
        </row>
      </sheetData>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ow r="8">
          <cell r="G8">
            <v>237.78714795021139</v>
          </cell>
        </row>
      </sheetData>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row r="10">
          <cell r="B10">
            <v>1.9</v>
          </cell>
        </row>
      </sheetData>
      <sheetData sheetId="133">
        <row r="6">
          <cell r="D6">
            <v>75.260000000000005</v>
          </cell>
        </row>
      </sheetData>
      <sheetData sheetId="134"/>
      <sheetData sheetId="135"/>
      <sheetData sheetId="136"/>
      <sheetData sheetId="137"/>
      <sheetData sheetId="138"/>
      <sheetData sheetId="139"/>
      <sheetData sheetId="140"/>
      <sheetData sheetId="141"/>
      <sheetData sheetId="142"/>
      <sheetData sheetId="143"/>
      <sheetData sheetId="144">
        <row r="2503">
          <cell r="G2503">
            <v>450</v>
          </cell>
        </row>
      </sheetData>
      <sheetData sheetId="145"/>
      <sheetData sheetId="146">
        <row r="12">
          <cell r="M12">
            <v>22.380000000000003</v>
          </cell>
        </row>
      </sheetData>
      <sheetData sheetId="147"/>
      <sheetData sheetId="148">
        <row r="17">
          <cell r="N17">
            <v>5918.6399999999994</v>
          </cell>
        </row>
      </sheetData>
      <sheetData sheetId="149"/>
      <sheetData sheetId="150"/>
      <sheetData sheetId="151"/>
      <sheetData sheetId="152"/>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BOQ"/>
      <sheetName val="Part No. A General Item"/>
      <sheetName val="Part No. B1 Boring"/>
      <sheetName val="Part No.B2 EW"/>
      <sheetName val="Part No.B3 Stone Brick"/>
      <sheetName val="Part No.B4 ConcreteRebar"/>
      <sheetName val="Part No.B5 CementPlaster"/>
      <sheetName val="Part No.B6 Wood Work"/>
      <sheetName val="Part No.B7 SurfaceFinish"/>
      <sheetName val="Part No. C1 PipeSupply"/>
      <sheetName val="Part No. C2 PipeSupLay"/>
      <sheetName val="Part No. C3 Fittings"/>
      <sheetName val="Part No. D1 HT Transformer"/>
      <sheetName val="Part No. D2 Elect Building"/>
      <sheetName val="Part No. D3 Sub Pump"/>
      <sheetName val="Part No. D4 Metal Works"/>
      <sheetName val="Part No. D5 Treatment"/>
      <sheetName val="Part No. E Tool Equipment"/>
      <sheetName val="Part No. F Misc"/>
      <sheetName val="Part G Environ"/>
      <sheetName val="Part H Dayswork"/>
      <sheetName val="Part I WUSC"/>
      <sheetName val="All BOQ donot print Sunwal"/>
      <sheetName val="C (P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0">
          <cell r="B10" t="str">
            <v>A_1</v>
          </cell>
          <cell r="C10" t="str">
            <v>1.1.a</v>
          </cell>
          <cell r="D10">
            <v>1</v>
          </cell>
          <cell r="E10" t="str">
            <v>Provide and maintain cube testing facilities including moulds for the duration of the contract and preparation and testing of cubes, marking, curing, storing, and transport, to lab for tests and maintain full records (Equipment and moulds to remain in the</v>
          </cell>
          <cell r="F10" t="str">
            <v>Provide and maintain cube testing facilities including moulds for the duration of the contract and preparation and testing of cubes, marking, curing, storing, and transport, to lab for tests and maintain full records (Equipment and moulds to remain in the</v>
          </cell>
          <cell r="G10">
            <v>250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cell r="X10">
            <v>250</v>
          </cell>
          <cell r="Y10" t="str">
            <v>Nos</v>
          </cell>
          <cell r="Z10">
            <v>250</v>
          </cell>
          <cell r="AB10">
            <v>62500</v>
          </cell>
        </row>
        <row r="11">
          <cell r="B11" t="str">
            <v>A_2</v>
          </cell>
          <cell r="C11" t="str">
            <v>1.1.b</v>
          </cell>
          <cell r="D11">
            <v>2</v>
          </cell>
          <cell r="E11" t="str">
            <v>Provide photographs (color prints, sized 5x7, 24 numbers, each month) for inclusion in periodic progress reports (if digital photo provide photo in digital format as well) to the satisfaction of the engineer</v>
          </cell>
          <cell r="F11" t="str">
            <v>Provide photographs (color prints, sized 5x7, 24 numbers, each month) for inclusion in periodic progress reports (if digital photo provide photo in digital format as well) to the satisfaction of the engineer (Specification Clause 1.7)</v>
          </cell>
          <cell r="G11">
            <v>1</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0</v>
          </cell>
          <cell r="X11">
            <v>1</v>
          </cell>
          <cell r="Y11" t="str">
            <v>job</v>
          </cell>
          <cell r="Z11">
            <v>5000</v>
          </cell>
          <cell r="AB11">
            <v>5000</v>
          </cell>
        </row>
        <row r="12">
          <cell r="B12" t="str">
            <v>A_3</v>
          </cell>
          <cell r="C12" t="str">
            <v>1.1.c</v>
          </cell>
          <cell r="D12">
            <v>3</v>
          </cell>
          <cell r="E12" t="str">
            <v>Insurance for the loss of damage to works, plant, material, equipment, property and personal injury or death and as stipulated in contract</v>
          </cell>
          <cell r="F12" t="str">
            <v>Insurance for the loss of damage to works, plant, material, equipment, property and personal injury or death and as stipulated in contract (Specification Clause 1.10)</v>
          </cell>
          <cell r="G12">
            <v>1</v>
          </cell>
          <cell r="I12">
            <v>0</v>
          </cell>
          <cell r="J12">
            <v>0</v>
          </cell>
          <cell r="K12">
            <v>0</v>
          </cell>
          <cell r="L12">
            <v>0</v>
          </cell>
          <cell r="M12">
            <v>0</v>
          </cell>
          <cell r="N12">
            <v>0</v>
          </cell>
          <cell r="O12">
            <v>0</v>
          </cell>
          <cell r="P12">
            <v>0</v>
          </cell>
          <cell r="Q12">
            <v>0</v>
          </cell>
          <cell r="R12">
            <v>0</v>
          </cell>
          <cell r="S12">
            <v>0</v>
          </cell>
          <cell r="T12">
            <v>0</v>
          </cell>
          <cell r="U12">
            <v>0</v>
          </cell>
          <cell r="V12">
            <v>0</v>
          </cell>
          <cell r="W12">
            <v>0</v>
          </cell>
          <cell r="X12">
            <v>1</v>
          </cell>
          <cell r="Y12" t="str">
            <v>job</v>
          </cell>
          <cell r="Z12">
            <v>500000</v>
          </cell>
          <cell r="AB12">
            <v>500000</v>
          </cell>
        </row>
        <row r="13">
          <cell r="B13" t="str">
            <v>A_4</v>
          </cell>
          <cell r="C13" t="str">
            <v>1.1.d</v>
          </cell>
          <cell r="D13">
            <v>4</v>
          </cell>
          <cell r="E13" t="str">
            <v>Provide for payment for easement for the payment works and for crop compensation in the area of the payment works</v>
          </cell>
          <cell r="F13" t="str">
            <v>Provide for payment for easement like temporary way leaves, across cost and for for crop compensation in the area of the works (Specification Clause 1.5)</v>
          </cell>
          <cell r="G13" t="str">
            <v>PS</v>
          </cell>
          <cell r="I13">
            <v>0</v>
          </cell>
          <cell r="J13">
            <v>0</v>
          </cell>
          <cell r="K13">
            <v>0</v>
          </cell>
          <cell r="L13">
            <v>0</v>
          </cell>
          <cell r="M13">
            <v>0</v>
          </cell>
          <cell r="N13">
            <v>0</v>
          </cell>
          <cell r="O13">
            <v>0</v>
          </cell>
          <cell r="P13">
            <v>0</v>
          </cell>
          <cell r="Q13">
            <v>0</v>
          </cell>
          <cell r="R13">
            <v>0</v>
          </cell>
          <cell r="S13">
            <v>0</v>
          </cell>
          <cell r="T13">
            <v>0</v>
          </cell>
          <cell r="U13">
            <v>0</v>
          </cell>
          <cell r="V13">
            <v>0</v>
          </cell>
          <cell r="W13">
            <v>0</v>
          </cell>
          <cell r="X13" t="str">
            <v>PS</v>
          </cell>
          <cell r="Y13" t="str">
            <v>job</v>
          </cell>
          <cell r="Z13">
            <v>10000</v>
          </cell>
          <cell r="AB13">
            <v>10000</v>
          </cell>
        </row>
        <row r="14">
          <cell r="B14" t="str">
            <v>A_5</v>
          </cell>
          <cell r="C14" t="str">
            <v>1.4</v>
          </cell>
          <cell r="D14">
            <v>5</v>
          </cell>
          <cell r="E14" t="str">
            <v>Provide for all necessary cost of protection from damage to existing structure adjacent to the work including all necessary propping, shorting, under pinning and any compensation or costs of marking good any damages occurred during construct</v>
          </cell>
          <cell r="F14" t="str">
            <v>Provide for all necessary cost of protection from damage to existing structure adjacent to the work including all necessary propping, shorting, under pinning and any compensation or costs of marking good any damages occurred during construction (Specifica</v>
          </cell>
          <cell r="G14" t="str">
            <v>PS</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t="str">
            <v>PS</v>
          </cell>
          <cell r="Y14" t="str">
            <v>job</v>
          </cell>
          <cell r="Z14">
            <v>5000</v>
          </cell>
          <cell r="AB14">
            <v>5000</v>
          </cell>
        </row>
        <row r="15">
          <cell r="B15" t="str">
            <v>A_6</v>
          </cell>
          <cell r="D15">
            <v>6</v>
          </cell>
          <cell r="E15" t="str">
            <v>Provide payment to other statutory undertaken for diverting electricity, telecommunication, water supply, traffic control and vehicular access, and other service</v>
          </cell>
          <cell r="F15" t="str">
            <v>Provide payment to other statutory undertaken for diverting electricity, telecommunication, water supply, traffic control and vehicular access, and other services (Specification Clause 1.5)</v>
          </cell>
          <cell r="G15" t="str">
            <v>PS</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0</v>
          </cell>
          <cell r="X15" t="str">
            <v>PS</v>
          </cell>
          <cell r="Y15" t="str">
            <v>job</v>
          </cell>
          <cell r="Z15">
            <v>150000</v>
          </cell>
          <cell r="AB15">
            <v>150000</v>
          </cell>
        </row>
        <row r="16">
          <cell r="B16" t="str">
            <v>A_7</v>
          </cell>
          <cell r="D16">
            <v>7</v>
          </cell>
          <cell r="E16" t="str">
            <v>Compliance with the contract, not covered by BOQ</v>
          </cell>
          <cell r="F16" t="str">
            <v>Compliance with the contract, not covered by BOQ (As per COC)</v>
          </cell>
          <cell r="G16" t="str">
            <v>PS</v>
          </cell>
          <cell r="I16">
            <v>0</v>
          </cell>
          <cell r="J16">
            <v>0</v>
          </cell>
          <cell r="K16">
            <v>0</v>
          </cell>
          <cell r="L16">
            <v>0</v>
          </cell>
          <cell r="M16">
            <v>0</v>
          </cell>
          <cell r="N16">
            <v>0</v>
          </cell>
          <cell r="O16">
            <v>0</v>
          </cell>
          <cell r="P16">
            <v>0</v>
          </cell>
          <cell r="Q16">
            <v>0</v>
          </cell>
          <cell r="R16">
            <v>0</v>
          </cell>
          <cell r="S16">
            <v>0</v>
          </cell>
          <cell r="T16">
            <v>0</v>
          </cell>
          <cell r="U16">
            <v>0</v>
          </cell>
          <cell r="V16">
            <v>0</v>
          </cell>
          <cell r="W16">
            <v>0</v>
          </cell>
          <cell r="X16" t="str">
            <v>PS</v>
          </cell>
          <cell r="Y16" t="str">
            <v>job</v>
          </cell>
          <cell r="Z16">
            <v>150000</v>
          </cell>
          <cell r="AB16">
            <v>150000</v>
          </cell>
        </row>
        <row r="17">
          <cell r="B17" t="str">
            <v>A_8</v>
          </cell>
          <cell r="D17">
            <v>8</v>
          </cell>
          <cell r="E17" t="str">
            <v>Testing and commissioning of the whole water supply system and facilities as per condition of contract</v>
          </cell>
          <cell r="F17" t="str">
            <v>Testing and commissioning of the whole water supply system and facilities as per condition of contract  (As per COC)</v>
          </cell>
          <cell r="G17">
            <v>1</v>
          </cell>
          <cell r="I17">
            <v>0</v>
          </cell>
          <cell r="J17">
            <v>0</v>
          </cell>
          <cell r="K17">
            <v>0</v>
          </cell>
          <cell r="L17">
            <v>0</v>
          </cell>
          <cell r="M17">
            <v>0</v>
          </cell>
          <cell r="N17">
            <v>0</v>
          </cell>
          <cell r="O17">
            <v>0</v>
          </cell>
          <cell r="P17">
            <v>0</v>
          </cell>
          <cell r="Q17">
            <v>0</v>
          </cell>
          <cell r="R17">
            <v>0</v>
          </cell>
          <cell r="S17">
            <v>0</v>
          </cell>
          <cell r="T17">
            <v>0</v>
          </cell>
          <cell r="U17">
            <v>0</v>
          </cell>
          <cell r="V17">
            <v>0</v>
          </cell>
          <cell r="W17">
            <v>0</v>
          </cell>
          <cell r="X17">
            <v>1</v>
          </cell>
          <cell r="Y17" t="str">
            <v>job</v>
          </cell>
          <cell r="Z17">
            <v>100000</v>
          </cell>
          <cell r="AB17">
            <v>100000</v>
          </cell>
        </row>
        <row r="18">
          <cell r="D18" t="str">
            <v>B. Civil Work</v>
          </cell>
        </row>
        <row r="19">
          <cell r="C19">
            <v>2.12</v>
          </cell>
          <cell r="D19" t="str">
            <v>B1. Deep Tubewell Construction Work</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row>
        <row r="20">
          <cell r="B20" t="str">
            <v>B1_1</v>
          </cell>
          <cell r="C20">
            <v>2.14</v>
          </cell>
          <cell r="D20">
            <v>1</v>
          </cell>
          <cell r="E20" t="str">
            <v>Mobilization and Demobilization</v>
          </cell>
          <cell r="F20" t="str">
            <v xml:space="preserve">Mobilization of drilling machine, equipment, accessories and crew including the hire charge of truck and crane for lifting heavy loads and demobilizaion on completion of works (Specification Clause 6) </v>
          </cell>
          <cell r="H20">
            <v>2</v>
          </cell>
          <cell r="I20">
            <v>0</v>
          </cell>
          <cell r="J20">
            <v>0</v>
          </cell>
          <cell r="K20">
            <v>0</v>
          </cell>
          <cell r="L20">
            <v>0</v>
          </cell>
          <cell r="M20">
            <v>0</v>
          </cell>
          <cell r="N20">
            <v>0</v>
          </cell>
          <cell r="O20">
            <v>0</v>
          </cell>
          <cell r="P20">
            <v>0</v>
          </cell>
          <cell r="Q20">
            <v>0</v>
          </cell>
          <cell r="R20">
            <v>0</v>
          </cell>
          <cell r="S20">
            <v>0</v>
          </cell>
          <cell r="T20">
            <v>0</v>
          </cell>
          <cell r="U20">
            <v>0</v>
          </cell>
          <cell r="V20">
            <v>0</v>
          </cell>
          <cell r="W20">
            <v>0</v>
          </cell>
          <cell r="X20">
            <v>1</v>
          </cell>
          <cell r="Y20" t="str">
            <v>job</v>
          </cell>
          <cell r="Z20">
            <v>100000</v>
          </cell>
          <cell r="AB20">
            <v>200000</v>
          </cell>
        </row>
        <row r="21">
          <cell r="B21" t="str">
            <v>B1_2</v>
          </cell>
          <cell r="C21" t="str">
            <v>2.39.a</v>
          </cell>
          <cell r="D21">
            <v>2</v>
          </cell>
          <cell r="E21" t="str">
            <v>Camp and Rig Setting and Preparation of site for work</v>
          </cell>
          <cell r="F21" t="str">
            <v xml:space="preserve">Camp setting and rig setting up and preparation of mud pit work supply of all labour, materials, equipment, spareparts and other necessary for complete execution of the work with total transportation, including site clearance (Specification Clause 6) </v>
          </cell>
          <cell r="H21">
            <v>2</v>
          </cell>
          <cell r="I21">
            <v>0</v>
          </cell>
          <cell r="J21">
            <v>0</v>
          </cell>
          <cell r="K21">
            <v>0</v>
          </cell>
          <cell r="L21">
            <v>0</v>
          </cell>
          <cell r="M21">
            <v>0</v>
          </cell>
          <cell r="N21">
            <v>0</v>
          </cell>
          <cell r="O21">
            <v>0</v>
          </cell>
          <cell r="P21">
            <v>0</v>
          </cell>
          <cell r="Q21">
            <v>0</v>
          </cell>
          <cell r="R21">
            <v>0</v>
          </cell>
          <cell r="S21">
            <v>0</v>
          </cell>
          <cell r="T21">
            <v>0</v>
          </cell>
          <cell r="U21">
            <v>0</v>
          </cell>
          <cell r="V21">
            <v>0</v>
          </cell>
          <cell r="W21">
            <v>0</v>
          </cell>
          <cell r="X21">
            <v>1</v>
          </cell>
          <cell r="Y21" t="str">
            <v>job</v>
          </cell>
          <cell r="Z21">
            <v>10000</v>
          </cell>
          <cell r="AB21">
            <v>20000</v>
          </cell>
        </row>
        <row r="22">
          <cell r="B22" t="str">
            <v>B1_3</v>
          </cell>
          <cell r="D22">
            <v>3</v>
          </cell>
          <cell r="E22" t="str">
            <v>Vertical Electrical Sounding work</v>
          </cell>
          <cell r="F22" t="str">
            <v xml:space="preserve">Vertical electrical sounding works including supply of labour, materials, equipment and other encessary spare parts for complete execution of the works (Specification Clause 6) </v>
          </cell>
          <cell r="H22">
            <v>2</v>
          </cell>
          <cell r="I22">
            <v>0</v>
          </cell>
          <cell r="J22">
            <v>0</v>
          </cell>
          <cell r="K22">
            <v>0</v>
          </cell>
          <cell r="L22">
            <v>0</v>
          </cell>
          <cell r="M22">
            <v>0</v>
          </cell>
          <cell r="N22">
            <v>0</v>
          </cell>
          <cell r="O22">
            <v>0</v>
          </cell>
          <cell r="P22">
            <v>0</v>
          </cell>
          <cell r="Q22">
            <v>0</v>
          </cell>
          <cell r="R22">
            <v>0</v>
          </cell>
          <cell r="S22">
            <v>0</v>
          </cell>
          <cell r="T22">
            <v>0</v>
          </cell>
          <cell r="U22">
            <v>0</v>
          </cell>
          <cell r="V22">
            <v>0</v>
          </cell>
          <cell r="W22">
            <v>0</v>
          </cell>
          <cell r="X22">
            <v>1</v>
          </cell>
          <cell r="Y22" t="str">
            <v>job</v>
          </cell>
          <cell r="Z22">
            <v>35000</v>
          </cell>
          <cell r="AB22">
            <v>70000</v>
          </cell>
        </row>
        <row r="23">
          <cell r="B23" t="str">
            <v>B1_4</v>
          </cell>
          <cell r="C23" t="str">
            <v>2.39.f</v>
          </cell>
          <cell r="D23">
            <v>4</v>
          </cell>
          <cell r="E23" t="str">
            <v>Guide Pipe Works (550mm dia)</v>
          </cell>
          <cell r="F23" t="str">
            <v>Assembling centralizing and sinking of guide pipe work (pipe size 550mm/22 inch dia) to the depth of 10m including supply of labour, materials, equipment and all other necessary spare parts for the complete execution of the works  (Specification Clause 6)</v>
          </cell>
          <cell r="H23">
            <v>20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cell r="X23">
            <v>10</v>
          </cell>
          <cell r="Y23" t="str">
            <v>m</v>
          </cell>
          <cell r="Z23">
            <v>3824.8429999999998</v>
          </cell>
          <cell r="AB23">
            <v>76496.86</v>
          </cell>
        </row>
        <row r="24">
          <cell r="B24" t="str">
            <v>B1_5</v>
          </cell>
          <cell r="D24">
            <v>5</v>
          </cell>
          <cell r="E24" t="str">
            <v>Drilling of pilot hole by std bit ranging from 7 5/8" to 9 7/8" dia. for first 40m</v>
          </cell>
          <cell r="F24" t="str">
            <v>Drilling of pilot hole by standard bit ranging from 7.625" to 9.875" dia. in medium to hard formation from gorund level including supply of labour, materials, equipment and all other necessary spare parts for the complete execution of the works  (Specific</v>
          </cell>
          <cell r="H24">
            <v>360</v>
          </cell>
          <cell r="X24">
            <v>180</v>
          </cell>
          <cell r="Y24" t="str">
            <v>m</v>
          </cell>
          <cell r="Z24">
            <v>1066.7285000000002</v>
          </cell>
          <cell r="AB24">
            <v>384022.26</v>
          </cell>
        </row>
        <row r="25">
          <cell r="B25" t="str">
            <v>B1_12</v>
          </cell>
          <cell r="D25">
            <v>6</v>
          </cell>
          <cell r="E25" t="str">
            <v>Electrical Resistivity Logging Test Work</v>
          </cell>
          <cell r="F25" t="str">
            <v>Carry out electrical resistivity logging test work for ull depth of drilled boreholes as per specificaion including supply of labour, materials, equipment and all other necessary spare parts for the complete execution of the works  (Specification Clause 6</v>
          </cell>
          <cell r="H25">
            <v>2</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1</v>
          </cell>
          <cell r="Y25" t="str">
            <v>Job</v>
          </cell>
          <cell r="Z25">
            <v>13202</v>
          </cell>
          <cell r="AB25">
            <v>26404</v>
          </cell>
        </row>
        <row r="26">
          <cell r="B26" t="str">
            <v>B1_13</v>
          </cell>
          <cell r="C26" t="str">
            <v>7.4.b</v>
          </cell>
          <cell r="D26">
            <v>7</v>
          </cell>
          <cell r="E26" t="str">
            <v>Complete drilling for total Reaming work (at least two) by std bit above 9 7/8" and below 17 1/2" with drilling rig machine</v>
          </cell>
          <cell r="F26" t="str">
            <v>Complete drillingin medium to hard formation from ground level for total reaming work (at least two) by standard bit above 9.875" and below 17.5" including supply of labour, materials, equipment and all other necessary spare parts for the complete executi</v>
          </cell>
          <cell r="H26">
            <v>360</v>
          </cell>
          <cell r="I26">
            <v>0</v>
          </cell>
          <cell r="J26">
            <v>0</v>
          </cell>
          <cell r="K26">
            <v>0</v>
          </cell>
          <cell r="L26">
            <v>0</v>
          </cell>
          <cell r="M26">
            <v>0</v>
          </cell>
          <cell r="N26">
            <v>0</v>
          </cell>
          <cell r="O26">
            <v>0</v>
          </cell>
          <cell r="P26">
            <v>0</v>
          </cell>
          <cell r="Q26">
            <v>0</v>
          </cell>
          <cell r="R26">
            <v>0</v>
          </cell>
          <cell r="S26">
            <v>0</v>
          </cell>
          <cell r="T26">
            <v>0</v>
          </cell>
          <cell r="U26">
            <v>0</v>
          </cell>
          <cell r="V26">
            <v>0</v>
          </cell>
          <cell r="W26">
            <v>0</v>
          </cell>
          <cell r="X26">
            <v>180</v>
          </cell>
          <cell r="Y26" t="str">
            <v>m</v>
          </cell>
          <cell r="Z26">
            <v>1151.9665</v>
          </cell>
          <cell r="AB26">
            <v>414707.94</v>
          </cell>
        </row>
        <row r="27">
          <cell r="B27" t="str">
            <v>B1_20</v>
          </cell>
          <cell r="D27">
            <v>8</v>
          </cell>
          <cell r="E27" t="str">
            <v>Reconditioning of bore hole before lowering of pipe assembly 8-10" dia</v>
          </cell>
          <cell r="F27" t="str">
            <v xml:space="preserve">Reconditioning of bore hole work before lowering of pipe assembly 8-10" diameter including supply of labour, materials, equipment and all other necessary spare parts for the complete execution of the works  (Specification Clause 6)  </v>
          </cell>
          <cell r="H27">
            <v>360</v>
          </cell>
          <cell r="I27">
            <v>0</v>
          </cell>
          <cell r="J27">
            <v>0</v>
          </cell>
          <cell r="K27">
            <v>0</v>
          </cell>
          <cell r="L27">
            <v>0</v>
          </cell>
          <cell r="M27">
            <v>0</v>
          </cell>
          <cell r="N27">
            <v>0</v>
          </cell>
          <cell r="O27">
            <v>0</v>
          </cell>
          <cell r="P27">
            <v>0</v>
          </cell>
          <cell r="Q27">
            <v>0</v>
          </cell>
          <cell r="R27">
            <v>0</v>
          </cell>
          <cell r="S27">
            <v>0</v>
          </cell>
          <cell r="T27">
            <v>0</v>
          </cell>
          <cell r="U27">
            <v>0</v>
          </cell>
          <cell r="V27">
            <v>0</v>
          </cell>
          <cell r="W27">
            <v>0</v>
          </cell>
          <cell r="X27">
            <v>180</v>
          </cell>
          <cell r="Y27" t="str">
            <v>m</v>
          </cell>
          <cell r="Z27">
            <v>143.46250000000001</v>
          </cell>
          <cell r="AB27">
            <v>51646.5</v>
          </cell>
        </row>
        <row r="28">
          <cell r="B28" t="str">
            <v>B1_21</v>
          </cell>
          <cell r="D28">
            <v>9</v>
          </cell>
          <cell r="E28" t="str">
            <v>Lowering of pipe assembly of 8-10" dia to a depth of 180m</v>
          </cell>
          <cell r="F28" t="str">
            <v xml:space="preserve">Lowering of pipe assembly of 8-10" dia up to a depth of 180m  including supply of labour, materials, equipment and all other necessary spare parts for the complete execution of the works  (Specification Clause 6)  </v>
          </cell>
          <cell r="H28">
            <v>360</v>
          </cell>
          <cell r="I28">
            <v>0</v>
          </cell>
          <cell r="J28">
            <v>0</v>
          </cell>
          <cell r="K28">
            <v>0</v>
          </cell>
          <cell r="L28">
            <v>0</v>
          </cell>
          <cell r="M28">
            <v>0</v>
          </cell>
          <cell r="N28">
            <v>0</v>
          </cell>
          <cell r="O28">
            <v>0</v>
          </cell>
          <cell r="P28">
            <v>0</v>
          </cell>
          <cell r="Q28">
            <v>0</v>
          </cell>
          <cell r="R28">
            <v>0</v>
          </cell>
          <cell r="S28">
            <v>0</v>
          </cell>
          <cell r="T28">
            <v>0</v>
          </cell>
          <cell r="U28">
            <v>0</v>
          </cell>
          <cell r="V28">
            <v>0</v>
          </cell>
          <cell r="W28">
            <v>0</v>
          </cell>
          <cell r="X28">
            <v>180</v>
          </cell>
          <cell r="Y28" t="str">
            <v>m</v>
          </cell>
          <cell r="Z28">
            <v>679.03699999999992</v>
          </cell>
          <cell r="AB28">
            <v>244453.32</v>
          </cell>
        </row>
        <row r="29">
          <cell r="B29" t="str">
            <v>B1_22</v>
          </cell>
          <cell r="D29">
            <v>10</v>
          </cell>
          <cell r="E29" t="str">
            <v>Collection of lithological samples (at interval of 1.5m and at the change of strata)</v>
          </cell>
          <cell r="F29" t="str">
            <v xml:space="preserve">Collection of lithological samples at every 1.5m depth interval and at the change of strata including supply of labour, materials, equipment and all other necessary spare parts for the complete execution of the works  (Specification Clause 6)  </v>
          </cell>
          <cell r="H29">
            <v>2</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0</v>
          </cell>
          <cell r="X29">
            <v>1</v>
          </cell>
          <cell r="Y29" t="str">
            <v>well</v>
          </cell>
          <cell r="Z29">
            <v>15000</v>
          </cell>
          <cell r="AB29">
            <v>30000</v>
          </cell>
        </row>
        <row r="30">
          <cell r="B30" t="str">
            <v>B1_23</v>
          </cell>
          <cell r="D30">
            <v>11</v>
          </cell>
          <cell r="E30" t="str">
            <v>Supply and place approved size pea gravel (4-8mm) packing in a continuous operation</v>
          </cell>
          <cell r="F30" t="str">
            <v>Supply, placing and packing of approved size pea gravel (4-8mm) work in annular space of full depth of borehole including supply of labour, materials, equipment and all other necessary spare parts for the complete execution of the works  (Specification Cl</v>
          </cell>
          <cell r="H30">
            <v>68.92</v>
          </cell>
          <cell r="I30">
            <v>0</v>
          </cell>
          <cell r="J30">
            <v>0</v>
          </cell>
          <cell r="K30">
            <v>0</v>
          </cell>
          <cell r="L30">
            <v>0</v>
          </cell>
          <cell r="M30">
            <v>0</v>
          </cell>
          <cell r="N30">
            <v>0</v>
          </cell>
          <cell r="O30">
            <v>0</v>
          </cell>
          <cell r="P30">
            <v>0</v>
          </cell>
          <cell r="Q30">
            <v>0</v>
          </cell>
          <cell r="R30">
            <v>0</v>
          </cell>
          <cell r="S30">
            <v>0</v>
          </cell>
          <cell r="T30">
            <v>0</v>
          </cell>
          <cell r="U30">
            <v>0</v>
          </cell>
          <cell r="V30">
            <v>0</v>
          </cell>
          <cell r="W30">
            <v>0</v>
          </cell>
          <cell r="X30">
            <v>34.46</v>
          </cell>
          <cell r="Y30" t="str">
            <v>m3</v>
          </cell>
          <cell r="Z30">
            <v>1500</v>
          </cell>
          <cell r="AB30">
            <v>103380</v>
          </cell>
        </row>
        <row r="31">
          <cell r="B31" t="str">
            <v>B1_24</v>
          </cell>
          <cell r="D31">
            <v>12</v>
          </cell>
          <cell r="E31" t="str">
            <v>Cementation for sanitary protection and well support work</v>
          </cell>
          <cell r="F31" t="str">
            <v>Cementation for sanitary protection and well support work (up to 5m depth) by M20 cement concrete with pipe or iron bat as required including supply of labour, materials, equipment and all other necessary spare parts for the complete execution of the work</v>
          </cell>
          <cell r="H31">
            <v>7.4</v>
          </cell>
          <cell r="I31">
            <v>0</v>
          </cell>
          <cell r="J31">
            <v>0</v>
          </cell>
          <cell r="K31">
            <v>0</v>
          </cell>
          <cell r="L31">
            <v>0</v>
          </cell>
          <cell r="M31">
            <v>0</v>
          </cell>
          <cell r="N31">
            <v>0</v>
          </cell>
          <cell r="O31">
            <v>0</v>
          </cell>
          <cell r="P31">
            <v>0</v>
          </cell>
          <cell r="Q31">
            <v>0</v>
          </cell>
          <cell r="R31">
            <v>0</v>
          </cell>
          <cell r="S31">
            <v>0</v>
          </cell>
          <cell r="T31">
            <v>0</v>
          </cell>
          <cell r="U31">
            <v>0</v>
          </cell>
          <cell r="V31">
            <v>0</v>
          </cell>
          <cell r="W31">
            <v>0</v>
          </cell>
          <cell r="X31">
            <v>3.7</v>
          </cell>
          <cell r="Y31" t="str">
            <v>m3</v>
          </cell>
          <cell r="Z31">
            <v>2500</v>
          </cell>
          <cell r="AB31">
            <v>18500</v>
          </cell>
        </row>
        <row r="32">
          <cell r="B32" t="str">
            <v>B1_25</v>
          </cell>
          <cell r="C32">
            <v>11.16</v>
          </cell>
          <cell r="D32">
            <v>13</v>
          </cell>
          <cell r="E32" t="str">
            <v>Supply and install gravel top up 80mm dia GI pipe (M) and seal bore hole with cement</v>
          </cell>
          <cell r="F32" t="str">
            <v>Supply and installation of 80mm dia GI pipe (M) for gravel packing as per specification and instruction of site engineer including supply of labour, materials, equipment and all other necessary spare parts for the complete execution of the works  (Specifi</v>
          </cell>
          <cell r="H32">
            <v>10</v>
          </cell>
          <cell r="I32">
            <v>0</v>
          </cell>
          <cell r="J32">
            <v>0</v>
          </cell>
          <cell r="K32">
            <v>0</v>
          </cell>
          <cell r="L32">
            <v>0</v>
          </cell>
          <cell r="M32">
            <v>0</v>
          </cell>
          <cell r="N32">
            <v>0</v>
          </cell>
          <cell r="O32">
            <v>0</v>
          </cell>
          <cell r="P32">
            <v>0</v>
          </cell>
          <cell r="Q32">
            <v>0</v>
          </cell>
          <cell r="R32">
            <v>0</v>
          </cell>
          <cell r="S32">
            <v>0</v>
          </cell>
          <cell r="T32">
            <v>0</v>
          </cell>
          <cell r="U32">
            <v>0</v>
          </cell>
          <cell r="V32">
            <v>0</v>
          </cell>
          <cell r="W32">
            <v>0</v>
          </cell>
          <cell r="X32">
            <v>5</v>
          </cell>
          <cell r="Y32" t="str">
            <v>m</v>
          </cell>
          <cell r="Z32">
            <v>623.33000000000004</v>
          </cell>
          <cell r="AB32">
            <v>6233.3</v>
          </cell>
        </row>
        <row r="33">
          <cell r="B33" t="str">
            <v>B1_26</v>
          </cell>
          <cell r="D33">
            <v>14</v>
          </cell>
          <cell r="E33" t="str">
            <v>Supply and Installation of Pipes and accessories</v>
          </cell>
          <cell r="F33" t="str">
            <v>Supply and Installation work of following different sized mild steel ERW pipe and slotted pipes of thickness 7.0mm or above having beveled ends as per specification including supply of labour, materials, equipment and all other necessary spare parts for t</v>
          </cell>
          <cell r="H33">
            <v>0</v>
          </cell>
          <cell r="I33">
            <v>0</v>
          </cell>
          <cell r="J33">
            <v>0</v>
          </cell>
          <cell r="K33">
            <v>0</v>
          </cell>
          <cell r="L33">
            <v>0</v>
          </cell>
          <cell r="M33">
            <v>0</v>
          </cell>
          <cell r="N33">
            <v>0</v>
          </cell>
          <cell r="O33">
            <v>0</v>
          </cell>
          <cell r="P33">
            <v>0</v>
          </cell>
          <cell r="Q33">
            <v>0</v>
          </cell>
          <cell r="R33">
            <v>0</v>
          </cell>
          <cell r="S33">
            <v>0</v>
          </cell>
          <cell r="T33">
            <v>0</v>
          </cell>
          <cell r="U33">
            <v>0</v>
          </cell>
          <cell r="V33">
            <v>0</v>
          </cell>
          <cell r="W33">
            <v>0</v>
          </cell>
          <cell r="AB33">
            <v>0</v>
          </cell>
        </row>
        <row r="34">
          <cell r="B34" t="str">
            <v>B1_27</v>
          </cell>
          <cell r="E34" t="str">
            <v>250mm ND mild steel ERW housing pipe of thickness 7mm having male and female ends</v>
          </cell>
          <cell r="F34" t="str">
            <v xml:space="preserve">250mm ND mild steel ERW housing pipe </v>
          </cell>
          <cell r="H34">
            <v>140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cell r="X34">
            <v>70</v>
          </cell>
          <cell r="Y34" t="str">
            <v>m</v>
          </cell>
          <cell r="Z34">
            <v>5200</v>
          </cell>
          <cell r="AB34">
            <v>728000</v>
          </cell>
        </row>
        <row r="35">
          <cell r="B35" t="str">
            <v>B1_28</v>
          </cell>
          <cell r="E35" t="str">
            <v>200mm ND mild steel ERW housing pipe of thickness 7mm having male and female ends</v>
          </cell>
          <cell r="F35" t="str">
            <v>200mm ND mild steel ERW  pipe</v>
          </cell>
          <cell r="H35">
            <v>160</v>
          </cell>
          <cell r="I35">
            <v>0</v>
          </cell>
          <cell r="J35">
            <v>0</v>
          </cell>
          <cell r="K35">
            <v>0</v>
          </cell>
          <cell r="L35">
            <v>0</v>
          </cell>
          <cell r="M35">
            <v>0</v>
          </cell>
          <cell r="N35">
            <v>0</v>
          </cell>
          <cell r="O35">
            <v>0</v>
          </cell>
          <cell r="P35">
            <v>0</v>
          </cell>
          <cell r="Q35">
            <v>0</v>
          </cell>
          <cell r="R35">
            <v>0</v>
          </cell>
          <cell r="S35">
            <v>0</v>
          </cell>
          <cell r="T35">
            <v>0</v>
          </cell>
          <cell r="U35">
            <v>0</v>
          </cell>
          <cell r="V35">
            <v>0</v>
          </cell>
          <cell r="W35">
            <v>0</v>
          </cell>
          <cell r="X35">
            <v>80</v>
          </cell>
          <cell r="Y35" t="str">
            <v>m</v>
          </cell>
          <cell r="Z35">
            <v>4000</v>
          </cell>
          <cell r="AB35">
            <v>640000</v>
          </cell>
        </row>
        <row r="36">
          <cell r="B36" t="str">
            <v>B1_29</v>
          </cell>
          <cell r="C36" t="str">
            <v>12.4.a</v>
          </cell>
          <cell r="E36" t="str">
            <v>200mm ND mild steel slotted pipe of thickness heavy duty with slots 1.6mmx75mm and percentage opening minimum 15% having male and female ends</v>
          </cell>
          <cell r="F36" t="str">
            <v>200mm ND mild steel slotted pipe of thickness heavy duty with slots 1.6mmx75mm and percentage opening minimum 15% having male and female ends</v>
          </cell>
          <cell r="H36">
            <v>60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30</v>
          </cell>
          <cell r="Y36" t="str">
            <v>m</v>
          </cell>
          <cell r="Z36">
            <v>5200</v>
          </cell>
          <cell r="AB36">
            <v>312000</v>
          </cell>
        </row>
        <row r="37">
          <cell r="B37" t="str">
            <v>B1_30</v>
          </cell>
          <cell r="D37">
            <v>15</v>
          </cell>
          <cell r="E37" t="str">
            <v>Supply of 250mmx200mm dia MS reducer</v>
          </cell>
          <cell r="F37" t="str">
            <v>Supply and installation of 250mmx200mm dia MS reducer as per specification and instruction of site engineer including supply of labour, materials, equipment and all other necessary spare parts for the complete execution of the works  (Specification Clause</v>
          </cell>
          <cell r="H37">
            <v>2</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cell r="X37">
            <v>1</v>
          </cell>
          <cell r="Y37" t="str">
            <v>Nos</v>
          </cell>
          <cell r="Z37">
            <v>3500</v>
          </cell>
          <cell r="AB37">
            <v>7000</v>
          </cell>
        </row>
        <row r="38">
          <cell r="B38" t="str">
            <v>B1_31</v>
          </cell>
          <cell r="D38">
            <v>16</v>
          </cell>
          <cell r="E38" t="str">
            <v>Supply and Installation of well caps, cross bars, centralizers, bottom plug and other necessary accessories required for complete execution of borehole</v>
          </cell>
          <cell r="F38" t="str">
            <v xml:space="preserve">Supply and Installation of well caps, cross bars, centralizers, bottom plug and other necessary accessories required for complete execution of borehole as per specification and instruction of site engineer including supply of labour, materials, equipment </v>
          </cell>
          <cell r="H38">
            <v>2</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cell r="X38">
            <v>1</v>
          </cell>
          <cell r="Y38" t="str">
            <v>Job</v>
          </cell>
          <cell r="Z38">
            <v>35000</v>
          </cell>
          <cell r="AB38">
            <v>70000</v>
          </cell>
        </row>
        <row r="39">
          <cell r="B39" t="str">
            <v>B1_32</v>
          </cell>
          <cell r="D39">
            <v>17</v>
          </cell>
          <cell r="E39" t="str">
            <v>Well development by drilling rig machine for well size of 10" dia (Back washing and inner washing)</v>
          </cell>
          <cell r="F39" t="str">
            <v>Well development by drilling rig machine for well size up to 10" dia (back washing and inner washing) as per specification including supply of labour, materials, equipment and all other necessary spare parts for the complete execution of the works  (Speci</v>
          </cell>
          <cell r="H39">
            <v>360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0</v>
          </cell>
          <cell r="X39">
            <v>180</v>
          </cell>
          <cell r="Y39" t="str">
            <v>m</v>
          </cell>
          <cell r="Z39">
            <v>273.32</v>
          </cell>
          <cell r="AB39">
            <v>98395.199999999997</v>
          </cell>
        </row>
        <row r="40">
          <cell r="B40" t="str">
            <v>B1_33</v>
          </cell>
          <cell r="D40">
            <v>18</v>
          </cell>
          <cell r="E40" t="str">
            <v>Well development by drilling rig machine for well size of 10" dia (water jetting)</v>
          </cell>
          <cell r="F40" t="str">
            <v>Well development by drilling rig machine for well size up to 10" dia (water jetting) as per specification including supply of labour, materials, equipment and all other necessary spare parts for the complete execution of the works  (Specification Clause 6</v>
          </cell>
          <cell r="H40">
            <v>360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180</v>
          </cell>
          <cell r="Y40" t="str">
            <v>m</v>
          </cell>
          <cell r="Z40">
            <v>125.66</v>
          </cell>
          <cell r="AB40">
            <v>45237.599999999999</v>
          </cell>
        </row>
        <row r="41">
          <cell r="B41" t="str">
            <v>B1_34</v>
          </cell>
          <cell r="D41">
            <v>19</v>
          </cell>
          <cell r="E41" t="str">
            <v>Well development by compressor machine for well size of 10" dia</v>
          </cell>
          <cell r="F41" t="str">
            <v xml:space="preserve">Well development by Compressor machine for well size up to 10" dia as per specification including supply of labour, materials, equipment and all other necessary spare parts for the complete execution of the works  (Specification Clause 6.4.5)  </v>
          </cell>
          <cell r="H41">
            <v>2</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1</v>
          </cell>
          <cell r="Y41" t="str">
            <v>well</v>
          </cell>
          <cell r="Z41">
            <v>50309.05</v>
          </cell>
          <cell r="AB41">
            <v>100618.1</v>
          </cell>
        </row>
        <row r="42">
          <cell r="B42" t="str">
            <v>B1_35</v>
          </cell>
          <cell r="D42">
            <v>20</v>
          </cell>
          <cell r="E42" t="str">
            <v>Well development by pump 10" dia</v>
          </cell>
          <cell r="F42" t="str">
            <v xml:space="preserve">Well development by water pump for  well size up to 10" dia as per specification including supply of labour, materials, equipment and all other necessary spare parts for the complete execution of the works  (Specification Clause 6.4.5)  </v>
          </cell>
          <cell r="H42">
            <v>2</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cell r="X42">
            <v>1</v>
          </cell>
          <cell r="Y42" t="str">
            <v>well</v>
          </cell>
          <cell r="Z42">
            <v>46161</v>
          </cell>
          <cell r="AB42">
            <v>92322</v>
          </cell>
        </row>
        <row r="43">
          <cell r="B43" t="str">
            <v>B1_36</v>
          </cell>
          <cell r="C43" t="str">
            <v>16.5.a</v>
          </cell>
          <cell r="D43">
            <v>21</v>
          </cell>
          <cell r="E43" t="str">
            <v>Time draw down pump test for seep tubewell</v>
          </cell>
          <cell r="F43" t="str">
            <v xml:space="preserve">Time draw down test as per specification including supply of labour, materials, equipment and all other necessary spare parts for the complete execution of the works  (Specification Clause 6.4.6)  </v>
          </cell>
          <cell r="H43">
            <v>2</v>
          </cell>
          <cell r="I43">
            <v>0</v>
          </cell>
          <cell r="J43">
            <v>0</v>
          </cell>
          <cell r="K43">
            <v>0</v>
          </cell>
          <cell r="L43">
            <v>0</v>
          </cell>
          <cell r="M43">
            <v>0</v>
          </cell>
          <cell r="N43">
            <v>0</v>
          </cell>
          <cell r="O43">
            <v>0</v>
          </cell>
          <cell r="P43">
            <v>0</v>
          </cell>
          <cell r="Q43">
            <v>0</v>
          </cell>
          <cell r="R43">
            <v>0</v>
          </cell>
          <cell r="S43">
            <v>0</v>
          </cell>
          <cell r="T43">
            <v>0</v>
          </cell>
          <cell r="U43">
            <v>0</v>
          </cell>
          <cell r="V43">
            <v>0</v>
          </cell>
          <cell r="W43">
            <v>0</v>
          </cell>
          <cell r="X43">
            <v>1</v>
          </cell>
          <cell r="Y43" t="str">
            <v>well</v>
          </cell>
          <cell r="Z43">
            <v>32740.5</v>
          </cell>
          <cell r="AB43">
            <v>65481</v>
          </cell>
        </row>
        <row r="44">
          <cell r="B44" t="str">
            <v>B1_37</v>
          </cell>
          <cell r="C44" t="str">
            <v>16.5.b</v>
          </cell>
          <cell r="D44">
            <v>22</v>
          </cell>
          <cell r="E44" t="str">
            <v>Step draw down pump test for deep tubewell (well test)</v>
          </cell>
          <cell r="F44" t="str">
            <v xml:space="preserve">Step draw down test at least for 4 steps as per specification including supply of labour, materials, equipment and all other necessary spare parts for the complete execution of the works  (Specification Clause 6.4.6)  </v>
          </cell>
          <cell r="H44">
            <v>2</v>
          </cell>
          <cell r="I44">
            <v>0</v>
          </cell>
          <cell r="J44">
            <v>0</v>
          </cell>
          <cell r="K44">
            <v>0</v>
          </cell>
          <cell r="L44">
            <v>0</v>
          </cell>
          <cell r="M44">
            <v>0</v>
          </cell>
          <cell r="N44">
            <v>0</v>
          </cell>
          <cell r="O44">
            <v>0</v>
          </cell>
          <cell r="P44">
            <v>0</v>
          </cell>
          <cell r="Q44">
            <v>0</v>
          </cell>
          <cell r="R44">
            <v>0</v>
          </cell>
          <cell r="S44">
            <v>0</v>
          </cell>
          <cell r="T44">
            <v>0</v>
          </cell>
          <cell r="U44">
            <v>0</v>
          </cell>
          <cell r="V44">
            <v>0</v>
          </cell>
          <cell r="W44">
            <v>0</v>
          </cell>
          <cell r="X44">
            <v>1</v>
          </cell>
          <cell r="Y44" t="str">
            <v>well</v>
          </cell>
          <cell r="Z44">
            <v>33614.5</v>
          </cell>
          <cell r="AB44">
            <v>67229</v>
          </cell>
        </row>
        <row r="45">
          <cell r="B45" t="str">
            <v>B1_38</v>
          </cell>
          <cell r="C45" t="str">
            <v>16.5.d</v>
          </cell>
          <cell r="D45">
            <v>23</v>
          </cell>
          <cell r="E45" t="str">
            <v>Recovery test for Deep tubewell</v>
          </cell>
          <cell r="F45" t="str">
            <v xml:space="preserve">Pumping by suitable pump (150mm dia.) for recovery test for 12 hours as per specification including supply of labour, materials, equipment and all other necessary spare parts for the complete execution of the works  (Specification Clause 6.4.6)  </v>
          </cell>
          <cell r="H45">
            <v>2</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1</v>
          </cell>
          <cell r="Y45" t="str">
            <v>well</v>
          </cell>
          <cell r="Z45">
            <v>8027</v>
          </cell>
          <cell r="AB45">
            <v>16054</v>
          </cell>
        </row>
        <row r="46">
          <cell r="B46" t="str">
            <v>B1_39</v>
          </cell>
          <cell r="D46">
            <v>24</v>
          </cell>
          <cell r="E46" t="str">
            <v>Conducting water quality test and disinfection work</v>
          </cell>
          <cell r="F46" t="str">
            <v xml:space="preserve">Conducting water quality test and disinfection of well as per specification and instruction of site engineer including supply of labour, materials, equipment and all other necessary spare parts for the complete execution of the works </v>
          </cell>
          <cell r="H46">
            <v>2</v>
          </cell>
          <cell r="I46">
            <v>0</v>
          </cell>
          <cell r="J46">
            <v>0</v>
          </cell>
          <cell r="K46">
            <v>0</v>
          </cell>
          <cell r="L46">
            <v>0</v>
          </cell>
          <cell r="M46">
            <v>0</v>
          </cell>
          <cell r="N46">
            <v>0</v>
          </cell>
          <cell r="O46">
            <v>0</v>
          </cell>
          <cell r="P46">
            <v>0</v>
          </cell>
          <cell r="Q46">
            <v>0</v>
          </cell>
          <cell r="R46">
            <v>0</v>
          </cell>
          <cell r="S46">
            <v>0</v>
          </cell>
          <cell r="T46">
            <v>0</v>
          </cell>
          <cell r="U46">
            <v>0</v>
          </cell>
          <cell r="V46">
            <v>0</v>
          </cell>
          <cell r="W46">
            <v>0</v>
          </cell>
          <cell r="X46">
            <v>1</v>
          </cell>
          <cell r="Y46" t="str">
            <v>well</v>
          </cell>
          <cell r="Z46">
            <v>10000</v>
          </cell>
          <cell r="AB46">
            <v>20000</v>
          </cell>
        </row>
        <row r="47">
          <cell r="B47" t="str">
            <v>B1_40</v>
          </cell>
          <cell r="C47">
            <v>16.11</v>
          </cell>
          <cell r="D47">
            <v>25</v>
          </cell>
          <cell r="E47" t="str">
            <v>Preparation of report and submission (3 copies)</v>
          </cell>
          <cell r="F47" t="str">
            <v>Prepation and submission of well completion report (3 Copies each for a well) with pumping test data analysis, resistivity test and water quality analysis  as per specification and instruction of site engineer including supply of labour, materials, equipm</v>
          </cell>
          <cell r="H47">
            <v>2</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cell r="X47">
            <v>1</v>
          </cell>
          <cell r="Y47" t="str">
            <v>job</v>
          </cell>
          <cell r="Z47">
            <v>5000</v>
          </cell>
          <cell r="AB47">
            <v>10000</v>
          </cell>
        </row>
        <row r="48">
          <cell r="D48" t="str">
            <v>B2. Earth Work and Sand filling Work</v>
          </cell>
        </row>
        <row r="49">
          <cell r="B49" t="str">
            <v>B2_1</v>
          </cell>
          <cell r="C49" t="str">
            <v>H-75/6</v>
          </cell>
          <cell r="D49" t="str">
            <v>g</v>
          </cell>
          <cell r="E49" t="str">
            <v>Site Clearance in thin vegetation area</v>
          </cell>
          <cell r="F49" t="str">
            <v>Cutting vegetation, grubbing their roots and disposal from the construction site as directed by the Engineer and as per Clause 2.1 and other relevant Clauses of the Specification</v>
          </cell>
          <cell r="I49">
            <v>0</v>
          </cell>
          <cell r="J49">
            <v>0</v>
          </cell>
          <cell r="K49">
            <v>12</v>
          </cell>
          <cell r="L49">
            <v>0</v>
          </cell>
          <cell r="M49">
            <v>3211.25</v>
          </cell>
          <cell r="N49">
            <v>93.73</v>
          </cell>
          <cell r="O49">
            <v>93.73</v>
          </cell>
          <cell r="P49">
            <v>177.6</v>
          </cell>
          <cell r="Q49">
            <v>0</v>
          </cell>
          <cell r="R49">
            <v>53.04</v>
          </cell>
          <cell r="S49">
            <v>128.90625</v>
          </cell>
          <cell r="T49">
            <v>200</v>
          </cell>
          <cell r="U49">
            <v>0</v>
          </cell>
          <cell r="V49">
            <v>0</v>
          </cell>
          <cell r="W49">
            <v>122.8275</v>
          </cell>
          <cell r="X49">
            <v>4093.0837499999998</v>
          </cell>
          <cell r="Y49" t="str">
            <v>sqm</v>
          </cell>
          <cell r="Z49">
            <v>3.79</v>
          </cell>
          <cell r="AB49">
            <v>15512.79</v>
          </cell>
        </row>
        <row r="50">
          <cell r="B50" t="str">
            <v>B2_2</v>
          </cell>
          <cell r="C50" t="str">
            <v>H-90/4</v>
          </cell>
          <cell r="D50" t="str">
            <v>h</v>
          </cell>
          <cell r="E50" t="str">
            <v>E/W Excavation for foundation, drain, pipelines etc. in BM Soil</v>
          </cell>
          <cell r="F50" t="str">
            <v>Earthwork in Excavation work in foundation, tranmission pipeline trench in all materials and disposal of surplus materials to the specified site as directed by the Engineer and including dewatering and as per Clause 2.2 and other clause of the Specificati</v>
          </cell>
          <cell r="I50">
            <v>0</v>
          </cell>
          <cell r="J50">
            <v>0</v>
          </cell>
          <cell r="K50">
            <v>14.647500000000001</v>
          </cell>
          <cell r="L50">
            <v>438.75</v>
          </cell>
          <cell r="M50">
            <v>3643.9171992845882</v>
          </cell>
          <cell r="N50">
            <v>31.624500000000001</v>
          </cell>
          <cell r="O50">
            <v>40.459499999999998</v>
          </cell>
          <cell r="P50">
            <v>113.6</v>
          </cell>
          <cell r="Q50">
            <v>0</v>
          </cell>
          <cell r="R50">
            <v>239.49</v>
          </cell>
          <cell r="S50">
            <v>333.81562499999995</v>
          </cell>
          <cell r="T50">
            <v>150.96</v>
          </cell>
          <cell r="U50">
            <v>0</v>
          </cell>
          <cell r="V50">
            <v>0</v>
          </cell>
          <cell r="W50">
            <v>289.30227773119492</v>
          </cell>
          <cell r="X50">
            <v>5296.5666020157832</v>
          </cell>
          <cell r="Y50" t="str">
            <v>cum</v>
          </cell>
          <cell r="Z50">
            <v>207.16</v>
          </cell>
          <cell r="AB50">
            <v>1097236.74</v>
          </cell>
        </row>
        <row r="51">
          <cell r="B51" t="str">
            <v>B2_6</v>
          </cell>
          <cell r="D51" t="str">
            <v>ar</v>
          </cell>
          <cell r="E51" t="str">
            <v>E/W Excavation for ditch in hard soil</v>
          </cell>
          <cell r="F51" t="str">
            <v xml:space="preserve">Earthwork in Excavation work in distribution pipeline trench all materials and disposal of surplus materials to the specified site as directed by the Engineer and including dewatering and as per Clause 2.2 and other clause of the Specification. </v>
          </cell>
          <cell r="I51">
            <v>0</v>
          </cell>
          <cell r="J51">
            <v>0</v>
          </cell>
          <cell r="K51">
            <v>0</v>
          </cell>
          <cell r="L51">
            <v>0</v>
          </cell>
          <cell r="M51">
            <v>0</v>
          </cell>
          <cell r="N51">
            <v>0</v>
          </cell>
          <cell r="O51">
            <v>0</v>
          </cell>
          <cell r="P51">
            <v>0</v>
          </cell>
          <cell r="Q51">
            <v>22336.544999999998</v>
          </cell>
          <cell r="R51">
            <v>0</v>
          </cell>
          <cell r="S51">
            <v>0</v>
          </cell>
          <cell r="T51">
            <v>0</v>
          </cell>
          <cell r="U51">
            <v>0</v>
          </cell>
          <cell r="V51">
            <v>0</v>
          </cell>
          <cell r="W51">
            <v>0</v>
          </cell>
          <cell r="X51">
            <v>22336.544999999998</v>
          </cell>
          <cell r="Y51" t="str">
            <v>cum</v>
          </cell>
          <cell r="Z51">
            <v>162.86000000000001</v>
          </cell>
          <cell r="AB51">
            <v>3637729.72</v>
          </cell>
        </row>
        <row r="52">
          <cell r="B52" t="str">
            <v>B2_3</v>
          </cell>
          <cell r="C52" t="str">
            <v>H-160/4</v>
          </cell>
          <cell r="D52" t="str">
            <v>o</v>
          </cell>
          <cell r="E52" t="str">
            <v>Filling soft soil in pipeline trench with compaction and sprinkling of water</v>
          </cell>
          <cell r="F52" t="str">
            <v xml:space="preserve">Earth filling work in pipeline (including supply and transportation of materials if not available at site) in 15cm thick layer by layer with water sprinkling and compaction as per Clause 2.2, 3 and other clause of the Specification and as directed by the </v>
          </cell>
          <cell r="I52">
            <v>0</v>
          </cell>
          <cell r="J52">
            <v>0</v>
          </cell>
          <cell r="K52">
            <v>0</v>
          </cell>
          <cell r="L52">
            <v>438.75</v>
          </cell>
          <cell r="M52">
            <v>0</v>
          </cell>
          <cell r="N52">
            <v>0</v>
          </cell>
          <cell r="O52">
            <v>0</v>
          </cell>
          <cell r="P52">
            <v>0</v>
          </cell>
          <cell r="Q52">
            <v>22336.544999999998</v>
          </cell>
          <cell r="R52">
            <v>0</v>
          </cell>
          <cell r="S52">
            <v>0</v>
          </cell>
          <cell r="T52">
            <v>0</v>
          </cell>
          <cell r="U52">
            <v>0</v>
          </cell>
          <cell r="V52">
            <v>0</v>
          </cell>
          <cell r="W52">
            <v>0</v>
          </cell>
          <cell r="X52">
            <v>22775.294999999998</v>
          </cell>
          <cell r="Y52" t="str">
            <v>cum</v>
          </cell>
          <cell r="Z52">
            <v>65.14</v>
          </cell>
          <cell r="AB52">
            <v>1483582.72</v>
          </cell>
        </row>
        <row r="53">
          <cell r="B53" t="str">
            <v>B2_4</v>
          </cell>
          <cell r="D53" t="str">
            <v>d</v>
          </cell>
          <cell r="E53" t="str">
            <v>Filling with ordinary soils with compaction and sprinkling of water</v>
          </cell>
          <cell r="F53" t="str">
            <v>Earth filling work in room, foundation (including supply and transportation of materials if not available at site) in 15cm thick layer by layer with water sprinkling and compaction as per Clause 2.2, 3 and other clause of the Specification and as directed</v>
          </cell>
          <cell r="I53">
            <v>0</v>
          </cell>
          <cell r="J53">
            <v>0</v>
          </cell>
          <cell r="K53">
            <v>0</v>
          </cell>
          <cell r="L53">
            <v>0</v>
          </cell>
          <cell r="M53">
            <v>0</v>
          </cell>
          <cell r="N53">
            <v>42.979218750000001</v>
          </cell>
          <cell r="O53">
            <v>46.413281249999997</v>
          </cell>
          <cell r="P53">
            <v>0</v>
          </cell>
          <cell r="Q53">
            <v>0</v>
          </cell>
          <cell r="R53">
            <v>0</v>
          </cell>
          <cell r="S53">
            <v>0</v>
          </cell>
          <cell r="T53">
            <v>0</v>
          </cell>
          <cell r="U53">
            <v>0</v>
          </cell>
          <cell r="V53">
            <v>0</v>
          </cell>
          <cell r="W53">
            <v>51.015302280449191</v>
          </cell>
          <cell r="X53">
            <v>140.40780228044918</v>
          </cell>
          <cell r="Y53" t="str">
            <v>cum</v>
          </cell>
          <cell r="Z53">
            <v>65.14</v>
          </cell>
          <cell r="AB53">
            <v>9146.16</v>
          </cell>
        </row>
        <row r="54">
          <cell r="B54" t="str">
            <v>B2_5</v>
          </cell>
          <cell r="D54" t="str">
            <v>e</v>
          </cell>
          <cell r="E54" t="str">
            <v>Sand filling in pipeline trench with compaction and sprinkling of water</v>
          </cell>
          <cell r="F54" t="str">
            <v>Sand filling in the trench and rooms with compaction and sprinkling of water as  per specification and as directed by the Engineer</v>
          </cell>
          <cell r="I54">
            <v>0</v>
          </cell>
          <cell r="J54">
            <v>0</v>
          </cell>
          <cell r="K54">
            <v>0</v>
          </cell>
          <cell r="L54">
            <v>0</v>
          </cell>
          <cell r="M54">
            <v>0</v>
          </cell>
          <cell r="N54">
            <v>8.9841562499999998</v>
          </cell>
          <cell r="O54">
            <v>8.8237500000000004</v>
          </cell>
          <cell r="P54">
            <v>0</v>
          </cell>
          <cell r="Q54">
            <v>0</v>
          </cell>
          <cell r="R54">
            <v>0</v>
          </cell>
          <cell r="S54">
            <v>0</v>
          </cell>
          <cell r="T54">
            <v>0</v>
          </cell>
          <cell r="U54">
            <v>0</v>
          </cell>
          <cell r="V54">
            <v>0</v>
          </cell>
          <cell r="W54">
            <v>9.2486304999999991</v>
          </cell>
          <cell r="X54">
            <v>27.056536749999999</v>
          </cell>
          <cell r="Y54" t="str">
            <v>cum</v>
          </cell>
          <cell r="Z54">
            <v>508.65</v>
          </cell>
          <cell r="AB54">
            <v>13762.31</v>
          </cell>
        </row>
        <row r="55">
          <cell r="D55" t="str">
            <v xml:space="preserve">B3 Stone, Brick and Gabion Work </v>
          </cell>
          <cell r="X55">
            <v>0</v>
          </cell>
        </row>
        <row r="56">
          <cell r="B56" t="str">
            <v>B3_1</v>
          </cell>
          <cell r="C56" t="str">
            <v>H-90/6</v>
          </cell>
          <cell r="D56" t="str">
            <v>i</v>
          </cell>
          <cell r="E56" t="str">
            <v xml:space="preserve">Stone soling with sand </v>
          </cell>
          <cell r="F56" t="str">
            <v>Stone soling work on sand bed and filling with chips or spalls in voids as per specification and as directed by the Engineer</v>
          </cell>
          <cell r="I56">
            <v>0</v>
          </cell>
          <cell r="J56">
            <v>0</v>
          </cell>
          <cell r="K56">
            <v>4.0709999999999997</v>
          </cell>
          <cell r="L56">
            <v>0</v>
          </cell>
          <cell r="M56">
            <v>76.774815679322813</v>
          </cell>
          <cell r="N56">
            <v>0</v>
          </cell>
          <cell r="O56">
            <v>0</v>
          </cell>
          <cell r="P56">
            <v>28.4</v>
          </cell>
          <cell r="Q56">
            <v>0</v>
          </cell>
          <cell r="R56">
            <v>17.82</v>
          </cell>
          <cell r="S56">
            <v>30.346875000000001</v>
          </cell>
          <cell r="T56">
            <v>0</v>
          </cell>
          <cell r="U56">
            <v>0</v>
          </cell>
          <cell r="V56">
            <v>0</v>
          </cell>
          <cell r="W56">
            <v>0</v>
          </cell>
          <cell r="X56">
            <v>157.41269067932282</v>
          </cell>
          <cell r="Y56" t="str">
            <v>cum</v>
          </cell>
          <cell r="Z56">
            <v>1551.69</v>
          </cell>
          <cell r="AB56">
            <v>244255.7</v>
          </cell>
        </row>
        <row r="57">
          <cell r="B57" t="str">
            <v>B3_2</v>
          </cell>
          <cell r="C57" t="str">
            <v>H-225/4</v>
          </cell>
          <cell r="D57" t="str">
            <v>s</v>
          </cell>
          <cell r="E57" t="str">
            <v>Rubble masonry works in 1:4 cement mortar</v>
          </cell>
          <cell r="F57" t="str">
            <v>Random rubble masonry work for Surface Drain Work in Cement sand mortar (1:4) including supply of materials, scaffolding, curing as per specification as per Clause 2.2 and other related clause of the Specification and as directed by the Engineer</v>
          </cell>
          <cell r="I57">
            <v>0</v>
          </cell>
          <cell r="J57">
            <v>0</v>
          </cell>
          <cell r="K57">
            <v>0</v>
          </cell>
          <cell r="L57">
            <v>0</v>
          </cell>
          <cell r="M57">
            <v>138</v>
          </cell>
          <cell r="N57">
            <v>0</v>
          </cell>
          <cell r="O57">
            <v>0</v>
          </cell>
          <cell r="P57">
            <v>0</v>
          </cell>
          <cell r="Q57">
            <v>0</v>
          </cell>
          <cell r="R57">
            <v>0</v>
          </cell>
          <cell r="S57">
            <v>0</v>
          </cell>
          <cell r="T57">
            <v>0</v>
          </cell>
          <cell r="U57">
            <v>0</v>
          </cell>
          <cell r="V57">
            <v>0</v>
          </cell>
          <cell r="W57">
            <v>0</v>
          </cell>
          <cell r="X57">
            <v>138</v>
          </cell>
          <cell r="Y57" t="str">
            <v>cum</v>
          </cell>
          <cell r="Z57">
            <v>2898.23</v>
          </cell>
          <cell r="AB57">
            <v>399955.74</v>
          </cell>
        </row>
        <row r="58">
          <cell r="B58" t="str">
            <v>B3_3</v>
          </cell>
          <cell r="D58" t="str">
            <v>f</v>
          </cell>
          <cell r="E58" t="str">
            <v xml:space="preserve">Brick soling on edge with sand </v>
          </cell>
          <cell r="F58" t="str">
            <v>Brick soling on edge with sand bedding as per clause 4.1 and other related clause of the Specification and as directed by the Engineer.</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t="str">
            <v>sqm</v>
          </cell>
          <cell r="Z58">
            <v>347.5</v>
          </cell>
          <cell r="AB58">
            <v>0</v>
          </cell>
        </row>
        <row r="59">
          <cell r="B59" t="str">
            <v>B3_4</v>
          </cell>
          <cell r="D59" t="str">
            <v>g</v>
          </cell>
          <cell r="E59" t="str">
            <v xml:space="preserve">Local first class brick masonry works in 1:6 cement sand mortar </v>
          </cell>
          <cell r="F59" t="str">
            <v>Local first class brick masonry works with supply of all materials in 1:6 cement sand mortar including scaffolding as  per Clause 4.1 and other relevant clause of the Specification and as directed by the Engineer</v>
          </cell>
          <cell r="I59">
            <v>0</v>
          </cell>
          <cell r="J59">
            <v>0</v>
          </cell>
          <cell r="K59">
            <v>0</v>
          </cell>
          <cell r="L59">
            <v>0</v>
          </cell>
          <cell r="M59">
            <v>0</v>
          </cell>
          <cell r="N59">
            <v>29.276828124999998</v>
          </cell>
          <cell r="O59">
            <v>34.224046874999999</v>
          </cell>
          <cell r="P59">
            <v>0</v>
          </cell>
          <cell r="Q59">
            <v>0</v>
          </cell>
          <cell r="R59">
            <v>0</v>
          </cell>
          <cell r="S59">
            <v>0</v>
          </cell>
          <cell r="T59">
            <v>0</v>
          </cell>
          <cell r="U59">
            <v>0</v>
          </cell>
          <cell r="V59">
            <v>0</v>
          </cell>
          <cell r="W59">
            <v>12.370021073509811</v>
          </cell>
          <cell r="X59">
            <v>75.870896073509812</v>
          </cell>
          <cell r="Y59" t="str">
            <v>cum</v>
          </cell>
          <cell r="Z59">
            <v>3141.8</v>
          </cell>
          <cell r="AB59">
            <v>238371.18</v>
          </cell>
        </row>
        <row r="60">
          <cell r="B60" t="str">
            <v>B3_5</v>
          </cell>
          <cell r="E60" t="str">
            <v xml:space="preserve">Brick soling on flat with sand </v>
          </cell>
          <cell r="F60" t="str">
            <v>Brick soling on flat with sand bedding as per clause 4.1 and other related clause of the Specification and as directed by the Engineer.</v>
          </cell>
          <cell r="I60">
            <v>0</v>
          </cell>
          <cell r="J60">
            <v>0</v>
          </cell>
          <cell r="K60">
            <v>0</v>
          </cell>
          <cell r="L60">
            <v>0</v>
          </cell>
          <cell r="M60">
            <v>0</v>
          </cell>
          <cell r="N60">
            <v>112.791875</v>
          </cell>
          <cell r="O60">
            <v>111.7225</v>
          </cell>
          <cell r="P60">
            <v>0</v>
          </cell>
          <cell r="Q60">
            <v>0</v>
          </cell>
          <cell r="R60">
            <v>0</v>
          </cell>
          <cell r="S60">
            <v>0</v>
          </cell>
          <cell r="T60">
            <v>0</v>
          </cell>
          <cell r="U60">
            <v>0</v>
          </cell>
          <cell r="V60">
            <v>0</v>
          </cell>
          <cell r="W60">
            <v>200.37432227250281</v>
          </cell>
          <cell r="X60">
            <v>424.88869727250278</v>
          </cell>
          <cell r="Y60" t="str">
            <v>sqm</v>
          </cell>
          <cell r="Z60">
            <v>194.84</v>
          </cell>
          <cell r="AB60">
            <v>82785.31</v>
          </cell>
        </row>
        <row r="61">
          <cell r="B61" t="str">
            <v>B3_6</v>
          </cell>
          <cell r="E61" t="str">
            <v xml:space="preserve">Local first class brick masonry works in 1:4 cement sand mortar </v>
          </cell>
          <cell r="F61" t="str">
            <v>Local first class brick masonry works with supply of all materials in 1:4 cement sand mortar including scaffolding as  per Clause 4.1 and other relevant clause of the Specification and as directed by the Engineer</v>
          </cell>
          <cell r="I61">
            <v>0</v>
          </cell>
          <cell r="J61">
            <v>0</v>
          </cell>
          <cell r="K61">
            <v>0</v>
          </cell>
          <cell r="L61">
            <v>0</v>
          </cell>
          <cell r="M61">
            <v>0</v>
          </cell>
          <cell r="N61">
            <v>0</v>
          </cell>
          <cell r="O61">
            <v>0</v>
          </cell>
          <cell r="P61">
            <v>0</v>
          </cell>
          <cell r="Q61">
            <v>0</v>
          </cell>
          <cell r="R61">
            <v>0</v>
          </cell>
          <cell r="S61">
            <v>0</v>
          </cell>
          <cell r="T61">
            <v>0</v>
          </cell>
          <cell r="U61">
            <v>0</v>
          </cell>
          <cell r="V61">
            <v>0</v>
          </cell>
          <cell r="W61">
            <v>116.94631749999999</v>
          </cell>
          <cell r="X61">
            <v>116.94631749999999</v>
          </cell>
          <cell r="Y61" t="str">
            <v>cum</v>
          </cell>
          <cell r="Z61">
            <v>3351.56</v>
          </cell>
          <cell r="AB61">
            <v>391952.6</v>
          </cell>
        </row>
        <row r="62">
          <cell r="B62" t="str">
            <v>B3_7</v>
          </cell>
          <cell r="D62" t="str">
            <v>an</v>
          </cell>
          <cell r="E62" t="str">
            <v>Rubble masonry works in 1:6 cement mortar</v>
          </cell>
          <cell r="F62" t="str">
            <v>Random rubble masonry work up to the super structure from foundation in Cement sand mortar (1:6) including supply of materials, scaffolding, curing as per specification as per Clause 2.2 and other related clause of the Specification and as directed by the</v>
          </cell>
          <cell r="I62">
            <v>0</v>
          </cell>
          <cell r="J62">
            <v>0</v>
          </cell>
          <cell r="K62">
            <v>0</v>
          </cell>
          <cell r="L62">
            <v>0</v>
          </cell>
          <cell r="M62">
            <v>0</v>
          </cell>
          <cell r="N62">
            <v>0</v>
          </cell>
          <cell r="O62">
            <v>0</v>
          </cell>
          <cell r="P62">
            <v>90.205500000000001</v>
          </cell>
          <cell r="Q62">
            <v>0</v>
          </cell>
          <cell r="R62">
            <v>0</v>
          </cell>
          <cell r="S62">
            <v>0</v>
          </cell>
          <cell r="T62">
            <v>0</v>
          </cell>
          <cell r="U62">
            <v>0</v>
          </cell>
          <cell r="V62">
            <v>0</v>
          </cell>
          <cell r="W62">
            <v>0</v>
          </cell>
          <cell r="X62">
            <v>90.205500000000001</v>
          </cell>
          <cell r="Y62" t="str">
            <v>cum</v>
          </cell>
          <cell r="Z62">
            <v>2521.83</v>
          </cell>
          <cell r="AB62">
            <v>227482.94</v>
          </cell>
        </row>
        <row r="63">
          <cell r="B63" t="str">
            <v>B3_8</v>
          </cell>
          <cell r="E63" t="str">
            <v>Brick bats filling with compaction and sprinkling of water</v>
          </cell>
          <cell r="F63" t="str">
            <v>Brick bats filling with compaction and sprinkling of water as directed by the Engineer</v>
          </cell>
          <cell r="I63">
            <v>0</v>
          </cell>
          <cell r="J63">
            <v>0</v>
          </cell>
          <cell r="K63">
            <v>0</v>
          </cell>
          <cell r="L63">
            <v>0</v>
          </cell>
          <cell r="M63">
            <v>0</v>
          </cell>
          <cell r="N63">
            <v>0</v>
          </cell>
          <cell r="O63">
            <v>0</v>
          </cell>
          <cell r="P63">
            <v>0</v>
          </cell>
          <cell r="Q63">
            <v>0</v>
          </cell>
          <cell r="R63">
            <v>0</v>
          </cell>
          <cell r="S63">
            <v>0</v>
          </cell>
          <cell r="T63">
            <v>0</v>
          </cell>
          <cell r="U63">
            <v>0</v>
          </cell>
          <cell r="V63">
            <v>0</v>
          </cell>
          <cell r="W63">
            <v>42.308417314516298</v>
          </cell>
          <cell r="X63">
            <v>42.308417314516298</v>
          </cell>
          <cell r="Y63" t="str">
            <v>cum</v>
          </cell>
          <cell r="Z63">
            <v>767.05</v>
          </cell>
          <cell r="AB63">
            <v>32452.67</v>
          </cell>
        </row>
        <row r="64">
          <cell r="B64" t="str">
            <v>B3_9</v>
          </cell>
          <cell r="D64" t="str">
            <v>cs</v>
          </cell>
          <cell r="E64" t="str">
            <v>3m (or 2m) x1mx0.5m size Gabion box fabrication, 10 and 7 SWG ( 100x120 hex)</v>
          </cell>
          <cell r="F64" t="str">
            <v xml:space="preserve">Supply and installation of gabion boxes including Filling with stone (boulder) at specified places including cutting, weaving including transportation all complete as per drawings and as per Clause 2.2 and other related clause of the Specification and as </v>
          </cell>
          <cell r="I64">
            <v>0</v>
          </cell>
          <cell r="J64">
            <v>0</v>
          </cell>
          <cell r="K64">
            <v>0</v>
          </cell>
          <cell r="L64">
            <v>0</v>
          </cell>
          <cell r="M64">
            <v>0</v>
          </cell>
          <cell r="N64">
            <v>0</v>
          </cell>
          <cell r="O64">
            <v>0</v>
          </cell>
          <cell r="P64">
            <v>0</v>
          </cell>
          <cell r="Q64">
            <v>0</v>
          </cell>
          <cell r="R64">
            <v>0</v>
          </cell>
          <cell r="S64">
            <v>0</v>
          </cell>
          <cell r="T64">
            <v>170</v>
          </cell>
          <cell r="U64">
            <v>0</v>
          </cell>
          <cell r="V64">
            <v>0</v>
          </cell>
          <cell r="W64">
            <v>0</v>
          </cell>
          <cell r="X64">
            <v>170</v>
          </cell>
          <cell r="Y64" t="str">
            <v>cum</v>
          </cell>
          <cell r="Z64">
            <v>726.41</v>
          </cell>
          <cell r="AB64">
            <v>123489.7</v>
          </cell>
        </row>
        <row r="65">
          <cell r="B65" t="str">
            <v>B3_10</v>
          </cell>
          <cell r="D65" t="str">
            <v>ct</v>
          </cell>
          <cell r="E65" t="str">
            <v>3m (or 2m) x1mx0.5m size Gabion box construction and tying up with 11 SWG GI wire</v>
          </cell>
          <cell r="I65">
            <v>0</v>
          </cell>
          <cell r="J65">
            <v>0</v>
          </cell>
          <cell r="K65">
            <v>0</v>
          </cell>
          <cell r="L65">
            <v>0</v>
          </cell>
          <cell r="M65">
            <v>0</v>
          </cell>
          <cell r="N65">
            <v>0</v>
          </cell>
          <cell r="O65">
            <v>0</v>
          </cell>
          <cell r="P65">
            <v>0</v>
          </cell>
          <cell r="Q65">
            <v>0</v>
          </cell>
          <cell r="R65">
            <v>0</v>
          </cell>
          <cell r="S65">
            <v>0</v>
          </cell>
          <cell r="T65">
            <v>170</v>
          </cell>
          <cell r="U65">
            <v>0</v>
          </cell>
          <cell r="V65">
            <v>0</v>
          </cell>
          <cell r="W65">
            <v>0</v>
          </cell>
          <cell r="X65">
            <v>170</v>
          </cell>
          <cell r="Y65" t="str">
            <v>cum</v>
          </cell>
          <cell r="Z65">
            <v>52.9</v>
          </cell>
          <cell r="AB65">
            <v>8993</v>
          </cell>
        </row>
        <row r="66">
          <cell r="B66" t="str">
            <v>B3_11</v>
          </cell>
          <cell r="D66" t="str">
            <v>cu</v>
          </cell>
          <cell r="E66" t="str">
            <v>Filling of Gabion box with boulder</v>
          </cell>
          <cell r="I66">
            <v>0</v>
          </cell>
          <cell r="J66">
            <v>0</v>
          </cell>
          <cell r="K66">
            <v>0</v>
          </cell>
          <cell r="L66">
            <v>0</v>
          </cell>
          <cell r="M66">
            <v>0</v>
          </cell>
          <cell r="N66">
            <v>0</v>
          </cell>
          <cell r="O66">
            <v>0</v>
          </cell>
          <cell r="P66">
            <v>0</v>
          </cell>
          <cell r="Q66">
            <v>0</v>
          </cell>
          <cell r="R66">
            <v>0</v>
          </cell>
          <cell r="S66">
            <v>0</v>
          </cell>
          <cell r="T66">
            <v>170</v>
          </cell>
          <cell r="U66">
            <v>0</v>
          </cell>
          <cell r="V66">
            <v>0</v>
          </cell>
          <cell r="W66">
            <v>0</v>
          </cell>
          <cell r="X66">
            <v>170</v>
          </cell>
          <cell r="Y66" t="str">
            <v>cum</v>
          </cell>
          <cell r="Z66">
            <v>695.75</v>
          </cell>
          <cell r="AB66">
            <v>118277.5</v>
          </cell>
        </row>
        <row r="67">
          <cell r="D67" t="str">
            <v>B4</v>
          </cell>
          <cell r="E67" t="str">
            <v>Concrete, Reinforcement and Form Work</v>
          </cell>
          <cell r="X67">
            <v>0</v>
          </cell>
        </row>
        <row r="68">
          <cell r="B68" t="str">
            <v>B4_1</v>
          </cell>
          <cell r="C68" t="str">
            <v>H-110/4</v>
          </cell>
          <cell r="D68" t="str">
            <v>j</v>
          </cell>
          <cell r="E68" t="str">
            <v xml:space="preserve">P.C.C. for  foundation &amp; walls in M10 </v>
          </cell>
          <cell r="F68" t="str">
            <v>Concrete work M10 for PCC work as per shape and size as shown in drawings including form work as per Clause 2.3 and other related clause of the specification and as directed by the Engineer</v>
          </cell>
          <cell r="I68">
            <v>0</v>
          </cell>
          <cell r="J68">
            <v>0</v>
          </cell>
          <cell r="K68">
            <v>1.7621249999999999</v>
          </cell>
          <cell r="L68">
            <v>0</v>
          </cell>
          <cell r="M68">
            <v>28.898555879746048</v>
          </cell>
          <cell r="N68">
            <v>8.834734375</v>
          </cell>
          <cell r="O68">
            <v>9.5001067500000005</v>
          </cell>
          <cell r="P68">
            <v>0</v>
          </cell>
          <cell r="Q68">
            <v>0</v>
          </cell>
          <cell r="R68">
            <v>6.7469999999999999</v>
          </cell>
          <cell r="S68">
            <v>12.3046875</v>
          </cell>
          <cell r="T68">
            <v>0</v>
          </cell>
          <cell r="U68">
            <v>0</v>
          </cell>
          <cell r="V68">
            <v>0</v>
          </cell>
          <cell r="W68">
            <v>8.5248383750000016</v>
          </cell>
          <cell r="X68">
            <v>76.572047879746052</v>
          </cell>
          <cell r="Y68" t="str">
            <v>cum</v>
          </cell>
          <cell r="Z68">
            <v>3630.32</v>
          </cell>
          <cell r="AB68">
            <v>277981.03999999998</v>
          </cell>
        </row>
        <row r="69">
          <cell r="B69" t="str">
            <v>B4_2</v>
          </cell>
          <cell r="C69" t="str">
            <v>H-110/6</v>
          </cell>
          <cell r="D69" t="str">
            <v>k</v>
          </cell>
          <cell r="E69" t="str">
            <v xml:space="preserve">P.C.C. for R.C.C. for super structures in M20 </v>
          </cell>
          <cell r="F69" t="str">
            <v>Concrete work M20 for RCC work (including supply and application of water proofing material, and water stopper in the construction joints for water retaining structures) as per shape and size shown in drawings and as per Clause 2.3  and other related clau</v>
          </cell>
          <cell r="I69">
            <v>0</v>
          </cell>
          <cell r="J69">
            <v>0</v>
          </cell>
          <cell r="K69">
            <v>6.3209999999999997</v>
          </cell>
          <cell r="L69">
            <v>0</v>
          </cell>
          <cell r="M69">
            <v>220.44472970796554</v>
          </cell>
          <cell r="N69">
            <v>23.041562500000001</v>
          </cell>
          <cell r="O69">
            <v>23.997265625000001</v>
          </cell>
          <cell r="P69">
            <v>0</v>
          </cell>
          <cell r="Q69">
            <v>0</v>
          </cell>
          <cell r="R69">
            <v>52.370999999999995</v>
          </cell>
          <cell r="S69">
            <v>71.849999999999994</v>
          </cell>
          <cell r="T69">
            <v>0</v>
          </cell>
          <cell r="U69">
            <v>0</v>
          </cell>
          <cell r="V69">
            <v>0</v>
          </cell>
          <cell r="W69">
            <v>34.882138816263925</v>
          </cell>
          <cell r="X69">
            <v>432.90769664922948</v>
          </cell>
          <cell r="Y69" t="str">
            <v>cum</v>
          </cell>
          <cell r="Z69">
            <v>5197.9399999999996</v>
          </cell>
          <cell r="AB69">
            <v>2250228.23</v>
          </cell>
        </row>
        <row r="70">
          <cell r="B70" t="str">
            <v>B4_3</v>
          </cell>
          <cell r="D70" t="str">
            <v>ao</v>
          </cell>
          <cell r="E70" t="str">
            <v xml:space="preserve">P.C.C. for R.C.C. for super structures in M15 </v>
          </cell>
          <cell r="F70" t="str">
            <v>Concrete work M15 for RCC/PCC work in super structure, slab and beam as per shape and size shown in drawings and as per Clause 2.3  and other related clause of the Specification and as directed by the Engineer.</v>
          </cell>
          <cell r="I70">
            <v>0</v>
          </cell>
          <cell r="J70">
            <v>0</v>
          </cell>
          <cell r="K70">
            <v>0</v>
          </cell>
          <cell r="L70">
            <v>0</v>
          </cell>
          <cell r="M70">
            <v>0</v>
          </cell>
          <cell r="N70">
            <v>0</v>
          </cell>
          <cell r="O70">
            <v>0</v>
          </cell>
          <cell r="P70">
            <v>15.572374999999997</v>
          </cell>
          <cell r="Q70">
            <v>0</v>
          </cell>
          <cell r="R70">
            <v>0</v>
          </cell>
          <cell r="S70">
            <v>0</v>
          </cell>
          <cell r="T70">
            <v>0.37405581500000001</v>
          </cell>
          <cell r="U70">
            <v>0</v>
          </cell>
          <cell r="V70">
            <v>0</v>
          </cell>
          <cell r="W70">
            <v>0</v>
          </cell>
          <cell r="X70">
            <v>15.946430814999998</v>
          </cell>
          <cell r="Y70" t="str">
            <v>cum</v>
          </cell>
          <cell r="Z70">
            <v>4638.58</v>
          </cell>
          <cell r="AB70">
            <v>73968.800000000003</v>
          </cell>
        </row>
        <row r="71">
          <cell r="B71" t="str">
            <v>B4_4</v>
          </cell>
          <cell r="D71" t="str">
            <v>cr</v>
          </cell>
          <cell r="E71" t="str">
            <v xml:space="preserve">P.C.C. for  foundation &amp; walls in M15 </v>
          </cell>
          <cell r="F71" t="str">
            <v>Concrete work M15 for RCC work in Foundation as per shape and size shown in drawings and as per Clause 2.3  and other related clause of the Specification and as directed by the Engineer.</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0</v>
          </cell>
          <cell r="Y71" t="str">
            <v>cum</v>
          </cell>
          <cell r="Z71">
            <v>4300.4799999999996</v>
          </cell>
          <cell r="AB71">
            <v>0</v>
          </cell>
        </row>
        <row r="72">
          <cell r="B72" t="str">
            <v>B4_5</v>
          </cell>
          <cell r="C72" t="str">
            <v>H-200/4</v>
          </cell>
          <cell r="D72" t="str">
            <v>r</v>
          </cell>
          <cell r="E72" t="str">
            <v>Reinforcement work for R.C.C. work</v>
          </cell>
          <cell r="F72" t="str">
            <v>Supply, cutting, Bending, Laying in position and binding of steel bars for RCC work as drawings and as per Clause 2.3  and other related clause of the Specification and as directed by Engineer</v>
          </cell>
          <cell r="I72">
            <v>0</v>
          </cell>
          <cell r="J72">
            <v>0</v>
          </cell>
          <cell r="K72">
            <v>0.79012499999999997</v>
          </cell>
          <cell r="L72">
            <v>0</v>
          </cell>
          <cell r="M72">
            <v>28.272013409152834</v>
          </cell>
          <cell r="N72">
            <v>3.9779498000000015</v>
          </cell>
          <cell r="O72">
            <v>3.966986100000002</v>
          </cell>
          <cell r="P72">
            <v>0</v>
          </cell>
          <cell r="Q72">
            <v>0</v>
          </cell>
          <cell r="R72">
            <v>4.4112075000000006</v>
          </cell>
          <cell r="S72">
            <v>7.4604250000000008</v>
          </cell>
          <cell r="T72">
            <v>0</v>
          </cell>
          <cell r="U72">
            <v>0</v>
          </cell>
          <cell r="V72">
            <v>0</v>
          </cell>
          <cell r="W72">
            <v>3.1045790579516703</v>
          </cell>
          <cell r="X72">
            <v>51.983285867104506</v>
          </cell>
          <cell r="Y72" t="str">
            <v>mt</v>
          </cell>
          <cell r="Z72">
            <v>55407</v>
          </cell>
          <cell r="AB72">
            <v>2880237.92</v>
          </cell>
        </row>
        <row r="73">
          <cell r="B73" t="str">
            <v>B4_6</v>
          </cell>
          <cell r="C73" t="str">
            <v>H-125/4</v>
          </cell>
          <cell r="D73" t="str">
            <v>l</v>
          </cell>
          <cell r="E73" t="str">
            <v>Formwork for flooring and slab including materials</v>
          </cell>
          <cell r="F73" t="str">
            <v>Supply, preparation and placing of shuttering (plywood and steel props) works for different RCC structure as per shape and size shown in drawings as per Clause 2.3  and other related clause of the Specification and as directed by Engineer</v>
          </cell>
          <cell r="I73">
            <v>0</v>
          </cell>
          <cell r="J73">
            <v>0</v>
          </cell>
          <cell r="K73">
            <v>31.92</v>
          </cell>
          <cell r="L73">
            <v>0</v>
          </cell>
          <cell r="M73">
            <v>988.79802933062274</v>
          </cell>
          <cell r="N73">
            <v>174.26124999999999</v>
          </cell>
          <cell r="O73">
            <v>217.96937500000001</v>
          </cell>
          <cell r="P73">
            <v>21.4</v>
          </cell>
          <cell r="Q73">
            <v>0</v>
          </cell>
          <cell r="R73">
            <v>512.26</v>
          </cell>
          <cell r="S73">
            <v>573.0625</v>
          </cell>
          <cell r="T73">
            <v>0</v>
          </cell>
          <cell r="U73">
            <v>0</v>
          </cell>
          <cell r="V73">
            <v>0</v>
          </cell>
          <cell r="W73">
            <v>221.20600500323746</v>
          </cell>
          <cell r="X73">
            <v>2740.8771593338602</v>
          </cell>
          <cell r="Y73" t="str">
            <v>sqm</v>
          </cell>
          <cell r="Z73">
            <v>261.79000000000002</v>
          </cell>
          <cell r="AB73">
            <v>717534.23</v>
          </cell>
        </row>
        <row r="74">
          <cell r="D74" t="str">
            <v>B5 : Cement Plaster, Punning and Pointing Work</v>
          </cell>
          <cell r="X74">
            <v>0</v>
          </cell>
        </row>
        <row r="75">
          <cell r="B75" t="str">
            <v>B5_1</v>
          </cell>
          <cell r="C75" t="str">
            <v>H-250/4</v>
          </cell>
          <cell r="D75" t="str">
            <v>t</v>
          </cell>
          <cell r="E75" t="str">
            <v>12.5 mm plastering works in 1:3 cement sand mortar</v>
          </cell>
          <cell r="F75" t="str">
            <v>12.5 mm thick Cement sand plaster work of ratio 1:3 in wall, ceiling and floor as shown in the drawing and as per Clause 2.7 and other related clause of the Specification and as directed by Engineer</v>
          </cell>
          <cell r="I75">
            <v>0</v>
          </cell>
          <cell r="J75">
            <v>0</v>
          </cell>
          <cell r="K75">
            <v>0</v>
          </cell>
          <cell r="L75">
            <v>0</v>
          </cell>
          <cell r="M75">
            <v>1469.1625480841733</v>
          </cell>
          <cell r="N75">
            <v>0</v>
          </cell>
          <cell r="O75">
            <v>0</v>
          </cell>
          <cell r="P75">
            <v>0</v>
          </cell>
          <cell r="Q75">
            <v>0</v>
          </cell>
          <cell r="R75">
            <v>332.04</v>
          </cell>
          <cell r="S75">
            <v>573.0625</v>
          </cell>
          <cell r="T75">
            <v>0</v>
          </cell>
          <cell r="U75">
            <v>0</v>
          </cell>
          <cell r="V75">
            <v>0</v>
          </cell>
          <cell r="W75">
            <v>102.99</v>
          </cell>
          <cell r="X75">
            <v>2477.2550480841728</v>
          </cell>
          <cell r="Y75" t="str">
            <v>sqm</v>
          </cell>
          <cell r="Z75">
            <v>95.21</v>
          </cell>
          <cell r="AB75">
            <v>235859.45</v>
          </cell>
        </row>
        <row r="76">
          <cell r="B76" t="str">
            <v>B5_2</v>
          </cell>
          <cell r="D76" t="str">
            <v>h</v>
          </cell>
          <cell r="E76" t="str">
            <v>12.5 mm plastering works in 1:4 cement sand mortar</v>
          </cell>
          <cell r="F76" t="str">
            <v>12.5 mm thick Cement sand plaster work of ratio 1:4 in wall, ceiling and floor as in the drawing and as per Clause 2.7 and other related clause of the Specification and as directed by Engineer</v>
          </cell>
          <cell r="I76">
            <v>0</v>
          </cell>
          <cell r="J76">
            <v>0</v>
          </cell>
          <cell r="K76">
            <v>0</v>
          </cell>
          <cell r="L76">
            <v>0</v>
          </cell>
          <cell r="M76">
            <v>0</v>
          </cell>
          <cell r="N76">
            <v>39.869374999999998</v>
          </cell>
          <cell r="O76">
            <v>120.006</v>
          </cell>
          <cell r="P76">
            <v>491</v>
          </cell>
          <cell r="Q76">
            <v>0</v>
          </cell>
          <cell r="R76">
            <v>0</v>
          </cell>
          <cell r="S76">
            <v>0</v>
          </cell>
          <cell r="T76">
            <v>0</v>
          </cell>
          <cell r="U76">
            <v>0</v>
          </cell>
          <cell r="V76">
            <v>0</v>
          </cell>
          <cell r="W76">
            <v>124</v>
          </cell>
          <cell r="X76">
            <v>774.87537499999996</v>
          </cell>
          <cell r="Y76" t="str">
            <v>sqm</v>
          </cell>
          <cell r="Z76">
            <v>89.59</v>
          </cell>
          <cell r="AB76">
            <v>69421.08</v>
          </cell>
        </row>
        <row r="77">
          <cell r="B77" t="str">
            <v>B5_3</v>
          </cell>
          <cell r="D77" t="str">
            <v>i</v>
          </cell>
          <cell r="E77" t="str">
            <v>12.5 mm plastering works in 1:6 cement sand mortar</v>
          </cell>
          <cell r="F77" t="str">
            <v>12.5 mm thick Cement sand plaster work of ratio 1:6 in wall, ceiling and floor as shown in the drawing and as per Clause 2.7 and other related clause of the Specification and as directed by Engineer</v>
          </cell>
          <cell r="I77">
            <v>0</v>
          </cell>
          <cell r="J77">
            <v>0</v>
          </cell>
          <cell r="K77">
            <v>0</v>
          </cell>
          <cell r="L77">
            <v>0</v>
          </cell>
          <cell r="M77">
            <v>0</v>
          </cell>
          <cell r="N77">
            <v>221.42649999999998</v>
          </cell>
          <cell r="O77">
            <v>219.68949999999998</v>
          </cell>
          <cell r="P77">
            <v>0</v>
          </cell>
          <cell r="Q77">
            <v>0</v>
          </cell>
          <cell r="R77">
            <v>0</v>
          </cell>
          <cell r="S77">
            <v>0</v>
          </cell>
          <cell r="T77">
            <v>0</v>
          </cell>
          <cell r="U77">
            <v>0</v>
          </cell>
          <cell r="V77">
            <v>0</v>
          </cell>
          <cell r="W77">
            <v>0</v>
          </cell>
          <cell r="X77">
            <v>441.11599999999999</v>
          </cell>
          <cell r="Y77" t="str">
            <v>sqm</v>
          </cell>
          <cell r="Z77">
            <v>78.709999999999994</v>
          </cell>
          <cell r="AB77">
            <v>34720.239999999998</v>
          </cell>
        </row>
        <row r="78">
          <cell r="B78" t="str">
            <v>B5_6</v>
          </cell>
          <cell r="E78" t="str">
            <v>20 mm plastering works in 1:3 cement sand mortar</v>
          </cell>
          <cell r="F78" t="str">
            <v>20 mm thick Cement sand plaster work of ratio 1:3 in wall, ceiling and floor as shown in the drawing and as per Clause 2.7 and other related clause of the Specification and as directed by Engineer</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468.38400000000013</v>
          </cell>
          <cell r="X78">
            <v>468.38400000000013</v>
          </cell>
          <cell r="Y78" t="str">
            <v>sqm</v>
          </cell>
          <cell r="Z78">
            <v>129.96</v>
          </cell>
          <cell r="AB78">
            <v>60871.18</v>
          </cell>
        </row>
        <row r="79">
          <cell r="B79" t="str">
            <v>B5_4</v>
          </cell>
          <cell r="D79" t="str">
            <v>q</v>
          </cell>
          <cell r="E79" t="str">
            <v>20 mm plastering works in 1:4 cement sand mortar</v>
          </cell>
          <cell r="F79" t="str">
            <v>20 mm thick Cement sand plaster work of ratio 1:4 in wall, ceiling and floor as shown in the drawing and as per Clause 2.7 and other related clause of the Specification and as directed by Engineer</v>
          </cell>
          <cell r="I79">
            <v>0</v>
          </cell>
          <cell r="J79">
            <v>0</v>
          </cell>
          <cell r="K79">
            <v>0</v>
          </cell>
          <cell r="L79">
            <v>0</v>
          </cell>
          <cell r="M79">
            <v>0</v>
          </cell>
          <cell r="N79">
            <v>30.869375000000002</v>
          </cell>
          <cell r="O79">
            <v>43.024999999999999</v>
          </cell>
          <cell r="P79">
            <v>0</v>
          </cell>
          <cell r="Q79">
            <v>0</v>
          </cell>
          <cell r="R79">
            <v>0</v>
          </cell>
          <cell r="S79">
            <v>0</v>
          </cell>
          <cell r="T79">
            <v>0</v>
          </cell>
          <cell r="U79">
            <v>0</v>
          </cell>
          <cell r="V79">
            <v>0</v>
          </cell>
          <cell r="W79">
            <v>0</v>
          </cell>
          <cell r="X79">
            <v>73.894374999999997</v>
          </cell>
          <cell r="Y79" t="str">
            <v>sqm</v>
          </cell>
          <cell r="Z79">
            <v>120.04</v>
          </cell>
          <cell r="AB79">
            <v>8870.2800000000007</v>
          </cell>
        </row>
        <row r="80">
          <cell r="B80" t="str">
            <v>B5_5</v>
          </cell>
          <cell r="D80" t="str">
            <v>j</v>
          </cell>
          <cell r="E80" t="str">
            <v>Cement punning works in 1:1 cement sand mortar</v>
          </cell>
          <cell r="F80" t="str">
            <v>Cement punning works in 1:1 cement sand mortar as per Clause 2.7 and other related clause of the Specification and as directed by the Engineer</v>
          </cell>
          <cell r="I80">
            <v>0</v>
          </cell>
          <cell r="J80">
            <v>0</v>
          </cell>
          <cell r="K80">
            <v>0</v>
          </cell>
          <cell r="L80">
            <v>0</v>
          </cell>
          <cell r="M80">
            <v>512.17777730556099</v>
          </cell>
          <cell r="N80">
            <v>65.794375000000002</v>
          </cell>
          <cell r="O80">
            <v>90.376000000000019</v>
          </cell>
          <cell r="P80">
            <v>0</v>
          </cell>
          <cell r="Q80">
            <v>0</v>
          </cell>
          <cell r="R80">
            <v>0</v>
          </cell>
          <cell r="S80">
            <v>0</v>
          </cell>
          <cell r="T80">
            <v>0</v>
          </cell>
          <cell r="U80">
            <v>0</v>
          </cell>
          <cell r="V80">
            <v>0</v>
          </cell>
          <cell r="W80">
            <v>284.92</v>
          </cell>
          <cell r="X80">
            <v>953.26815230556099</v>
          </cell>
          <cell r="Y80" t="str">
            <v>sqm</v>
          </cell>
          <cell r="Z80">
            <v>58.56</v>
          </cell>
          <cell r="AB80">
            <v>55823.38</v>
          </cell>
        </row>
        <row r="81">
          <cell r="B81" t="str">
            <v>B5_7</v>
          </cell>
          <cell r="E81" t="str">
            <v>25 mm PCC in M15 concrete mix in flooring work</v>
          </cell>
          <cell r="F81" t="str">
            <v>25 mm PCC in M15 concrete mix in flooring work (screeding) as per Clause 2.3  and other related clause of the Specification and as directed by Engineer</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160.91999999999999</v>
          </cell>
          <cell r="X81">
            <v>160.91999999999999</v>
          </cell>
          <cell r="Y81" t="str">
            <v>sqm</v>
          </cell>
          <cell r="Z81">
            <v>127.37</v>
          </cell>
          <cell r="AB81">
            <v>20496.38</v>
          </cell>
        </row>
        <row r="82">
          <cell r="D82" t="str">
            <v>B6 : Wood work</v>
          </cell>
          <cell r="X82">
            <v>0</v>
          </cell>
        </row>
        <row r="83">
          <cell r="B83" t="str">
            <v>B6_1</v>
          </cell>
          <cell r="D83" t="str">
            <v>b</v>
          </cell>
          <cell r="E83" t="str">
            <v>Salwood frame work for door and windows</v>
          </cell>
          <cell r="F83" t="str">
            <v>Supply and Fixing of Salwood frame of different size for door and windows as shown in drawing including all fixture and accessories and as per Clause 2.8 and other related clause of the Specification and as directed by the Engineer.</v>
          </cell>
          <cell r="I83">
            <v>0</v>
          </cell>
          <cell r="J83">
            <v>0</v>
          </cell>
          <cell r="K83">
            <v>0</v>
          </cell>
          <cell r="L83">
            <v>0</v>
          </cell>
          <cell r="M83">
            <v>9.8399999999999987E-2</v>
          </cell>
          <cell r="N83">
            <v>0.38981250000000001</v>
          </cell>
          <cell r="O83">
            <v>0.56130749999999996</v>
          </cell>
          <cell r="P83">
            <v>0</v>
          </cell>
          <cell r="Q83">
            <v>0</v>
          </cell>
          <cell r="R83">
            <v>0</v>
          </cell>
          <cell r="S83">
            <v>0</v>
          </cell>
          <cell r="T83">
            <v>0</v>
          </cell>
          <cell r="U83">
            <v>0</v>
          </cell>
          <cell r="V83">
            <v>0</v>
          </cell>
          <cell r="W83">
            <v>0.63</v>
          </cell>
          <cell r="X83">
            <v>1.6795200000000001</v>
          </cell>
          <cell r="Y83" t="str">
            <v>cum</v>
          </cell>
          <cell r="Z83">
            <v>55204.14</v>
          </cell>
          <cell r="AB83">
            <v>92716.46</v>
          </cell>
        </row>
        <row r="84">
          <cell r="B84" t="str">
            <v>B6_2</v>
          </cell>
          <cell r="D84">
            <v>100</v>
          </cell>
          <cell r="E84" t="str">
            <v>Meshed shutter work with 24 gauge G.I. mosquito net in 38 x 75 mm salwood frame</v>
          </cell>
          <cell r="F84" t="str">
            <v>Supply and fixing of 38 x 75mm thick Sal wood with 24 gauge wire mesh shutter for given door, window and ventilation size shown in drawing including all fixture and accessories and as per Clause 2.8 and other related clause of the Specification and as dir</v>
          </cell>
          <cell r="I84">
            <v>0</v>
          </cell>
          <cell r="J84">
            <v>0</v>
          </cell>
          <cell r="K84">
            <v>0</v>
          </cell>
          <cell r="L84">
            <v>0</v>
          </cell>
          <cell r="M84">
            <v>2.94</v>
          </cell>
          <cell r="N84">
            <v>15.255000000000001</v>
          </cell>
          <cell r="O84">
            <v>23.13</v>
          </cell>
          <cell r="P84">
            <v>0</v>
          </cell>
          <cell r="Q84">
            <v>0</v>
          </cell>
          <cell r="R84">
            <v>0</v>
          </cell>
          <cell r="S84">
            <v>0</v>
          </cell>
          <cell r="T84">
            <v>0</v>
          </cell>
          <cell r="U84">
            <v>0</v>
          </cell>
          <cell r="V84">
            <v>0</v>
          </cell>
          <cell r="W84">
            <v>0</v>
          </cell>
          <cell r="X84">
            <v>41.325000000000003</v>
          </cell>
          <cell r="Y84" t="str">
            <v>sqm</v>
          </cell>
          <cell r="Z84">
            <v>1321.17</v>
          </cell>
          <cell r="AB84">
            <v>54597.35</v>
          </cell>
        </row>
        <row r="85">
          <cell r="B85" t="str">
            <v>B6_3</v>
          </cell>
          <cell r="D85" t="str">
            <v>a</v>
          </cell>
          <cell r="E85" t="str">
            <v>Panel shutter work in 38 x 75 mm salwood frame</v>
          </cell>
          <cell r="F85" t="str">
            <v>Supply and fixing of 38 x 75mm thick Sal wood paneled door &amp; window shutter for given door size shown in drawing including all fixture and accessories and as per Clause 2.8 and other related clause of the Specification and as directed by the Engineer.</v>
          </cell>
          <cell r="I85">
            <v>0</v>
          </cell>
          <cell r="J85">
            <v>0</v>
          </cell>
          <cell r="K85">
            <v>0</v>
          </cell>
          <cell r="L85">
            <v>0</v>
          </cell>
          <cell r="M85">
            <v>0.78300000000000003</v>
          </cell>
          <cell r="N85">
            <v>5.0118749999999999</v>
          </cell>
          <cell r="O85">
            <v>11.390625</v>
          </cell>
          <cell r="P85">
            <v>0</v>
          </cell>
          <cell r="Q85">
            <v>0</v>
          </cell>
          <cell r="R85">
            <v>0</v>
          </cell>
          <cell r="S85">
            <v>0</v>
          </cell>
          <cell r="T85">
            <v>0</v>
          </cell>
          <cell r="U85">
            <v>0</v>
          </cell>
          <cell r="V85">
            <v>0</v>
          </cell>
          <cell r="W85">
            <v>8.91</v>
          </cell>
          <cell r="X85">
            <v>26.095500000000001</v>
          </cell>
          <cell r="Y85" t="str">
            <v>sqm</v>
          </cell>
          <cell r="Z85">
            <v>3141.66</v>
          </cell>
          <cell r="AB85">
            <v>81983.19</v>
          </cell>
        </row>
        <row r="86">
          <cell r="B86" t="str">
            <v>B6_4</v>
          </cell>
          <cell r="D86" t="str">
            <v>k</v>
          </cell>
          <cell r="E86" t="str">
            <v xml:space="preserve">Glazed shutter work with 4mm float glass in 38 x 75 mm salwood frame </v>
          </cell>
          <cell r="F86" t="str">
            <v>Glazed shutter door work with 4mm float glass in 38 x 75 mm salwood frame given door size shown in drawing including all fixture and accessories and as per Clause 2.8 and other related clause of the Specification and as directed by the Engineer.</v>
          </cell>
          <cell r="I86">
            <v>0</v>
          </cell>
          <cell r="J86">
            <v>0</v>
          </cell>
          <cell r="K86">
            <v>0</v>
          </cell>
          <cell r="L86">
            <v>0</v>
          </cell>
          <cell r="M86">
            <v>0</v>
          </cell>
          <cell r="N86">
            <v>5.4</v>
          </cell>
          <cell r="O86">
            <v>5.4</v>
          </cell>
          <cell r="P86">
            <v>0</v>
          </cell>
          <cell r="Q86">
            <v>0</v>
          </cell>
          <cell r="R86">
            <v>0</v>
          </cell>
          <cell r="S86">
            <v>0</v>
          </cell>
          <cell r="T86">
            <v>0</v>
          </cell>
          <cell r="U86">
            <v>0</v>
          </cell>
          <cell r="V86">
            <v>0</v>
          </cell>
          <cell r="W86">
            <v>0</v>
          </cell>
          <cell r="X86">
            <v>10.8</v>
          </cell>
          <cell r="Y86" t="str">
            <v>sqm</v>
          </cell>
          <cell r="Z86">
            <v>2189.0500000000002</v>
          </cell>
          <cell r="AB86">
            <v>23641.74</v>
          </cell>
        </row>
        <row r="87">
          <cell r="B87" t="str">
            <v>B6_5</v>
          </cell>
          <cell r="E87" t="str">
            <v xml:space="preserve">Flush shutter work with 4mm plywood in both side in 38 x 75 mm salwood frame </v>
          </cell>
          <cell r="F87" t="str">
            <v>Flush shutter door work with 4mm plywood in both side in 38 x 75 mm salwood frame given door size shown in drawing including all fixture and accessories and as per Clause 2.8 and other related clause of the Specification and as directed by the Engineer.</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9.7200000000000006</v>
          </cell>
          <cell r="X87">
            <v>9.7200000000000006</v>
          </cell>
          <cell r="Y87" t="str">
            <v>sqm</v>
          </cell>
          <cell r="Z87">
            <v>1796.96</v>
          </cell>
          <cell r="AB87">
            <v>17466.45</v>
          </cell>
        </row>
        <row r="88">
          <cell r="B88" t="str">
            <v>B6_6</v>
          </cell>
          <cell r="D88" t="str">
            <v>ac</v>
          </cell>
          <cell r="E88" t="str">
            <v>Installation of 4mm Float glass in Salwood frame with Salwood bead for closed window</v>
          </cell>
          <cell r="F88" t="str">
            <v>Fixing of 4mm float glass in window frame with sal wood beading as size shown in drawing including all fixture and accessories and as per Clause 4.5 and other related clause of the Specification and as directed by the Engineer.</v>
          </cell>
          <cell r="I88">
            <v>0</v>
          </cell>
          <cell r="J88">
            <v>0</v>
          </cell>
          <cell r="K88">
            <v>0</v>
          </cell>
          <cell r="L88">
            <v>0</v>
          </cell>
          <cell r="M88">
            <v>0</v>
          </cell>
          <cell r="N88">
            <v>0</v>
          </cell>
          <cell r="O88">
            <v>1.7748000000000002</v>
          </cell>
          <cell r="P88">
            <v>0</v>
          </cell>
          <cell r="Q88">
            <v>0</v>
          </cell>
          <cell r="R88">
            <v>0</v>
          </cell>
          <cell r="S88">
            <v>0</v>
          </cell>
          <cell r="T88">
            <v>0</v>
          </cell>
          <cell r="U88">
            <v>0</v>
          </cell>
          <cell r="V88">
            <v>0</v>
          </cell>
          <cell r="W88">
            <v>0</v>
          </cell>
          <cell r="X88">
            <v>1.7748000000000002</v>
          </cell>
          <cell r="Y88" t="str">
            <v>sqm</v>
          </cell>
          <cell r="Z88">
            <v>524.91</v>
          </cell>
          <cell r="AB88">
            <v>931.61</v>
          </cell>
        </row>
        <row r="89">
          <cell r="B89" t="str">
            <v>B6_7</v>
          </cell>
          <cell r="E89" t="str">
            <v>Supply and Fixation of RCC Jali for Ventilation</v>
          </cell>
          <cell r="F89" t="str">
            <v>Supply and Fixation of Pre-cast RCC Jali for Ventilation as per drawings, as per Clause 2.3 and other related clause of the Specification and as directed by the Engineer</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12.78</v>
          </cell>
          <cell r="X89">
            <v>12.78</v>
          </cell>
          <cell r="Y89" t="str">
            <v>Sqm</v>
          </cell>
          <cell r="Z89">
            <v>1237.4000000000001</v>
          </cell>
          <cell r="AB89">
            <v>15813.97</v>
          </cell>
        </row>
        <row r="90">
          <cell r="D90" t="str">
            <v>B7 : Surface Finishing Work</v>
          </cell>
          <cell r="X90">
            <v>0</v>
          </cell>
        </row>
        <row r="91">
          <cell r="B91" t="str">
            <v>B7_1</v>
          </cell>
          <cell r="D91" t="str">
            <v>l</v>
          </cell>
          <cell r="E91" t="str">
            <v>Laying primer course and two coats of enamel paint</v>
          </cell>
          <cell r="F91" t="str">
            <v>Laying primer course and two coats of enamel paint as per Clause 2.7 and other related Clause of the Specification and as directed by the Engineer</v>
          </cell>
          <cell r="I91">
            <v>0</v>
          </cell>
          <cell r="J91">
            <v>0</v>
          </cell>
          <cell r="K91">
            <v>0</v>
          </cell>
          <cell r="L91">
            <v>0</v>
          </cell>
          <cell r="M91">
            <v>0</v>
          </cell>
          <cell r="N91">
            <v>30.51</v>
          </cell>
          <cell r="O91">
            <v>46.872000000000007</v>
          </cell>
          <cell r="P91">
            <v>0</v>
          </cell>
          <cell r="Q91">
            <v>0</v>
          </cell>
          <cell r="R91">
            <v>0</v>
          </cell>
          <cell r="S91">
            <v>0</v>
          </cell>
          <cell r="T91">
            <v>0</v>
          </cell>
          <cell r="U91">
            <v>0</v>
          </cell>
          <cell r="V91">
            <v>0</v>
          </cell>
          <cell r="W91">
            <v>49.14</v>
          </cell>
          <cell r="X91">
            <v>126.52200000000001</v>
          </cell>
          <cell r="Y91" t="str">
            <v>sqm</v>
          </cell>
          <cell r="Z91">
            <v>90.35</v>
          </cell>
          <cell r="AB91">
            <v>11431.26</v>
          </cell>
        </row>
        <row r="92">
          <cell r="B92" t="str">
            <v>B7_2</v>
          </cell>
          <cell r="D92" t="str">
            <v>o</v>
          </cell>
          <cell r="E92" t="str">
            <v>Laying base course and two coats of distemper paint</v>
          </cell>
          <cell r="F92" t="str">
            <v>Laying primer course and two coats of Distemper paint as per Clause 2.7 and other related Clause of the Specification and as directed by the Engineer</v>
          </cell>
          <cell r="I92">
            <v>0</v>
          </cell>
          <cell r="J92">
            <v>0</v>
          </cell>
          <cell r="K92">
            <v>0</v>
          </cell>
          <cell r="L92">
            <v>0</v>
          </cell>
          <cell r="M92">
            <v>0</v>
          </cell>
          <cell r="N92">
            <v>158.69687500000001</v>
          </cell>
          <cell r="O92">
            <v>169.90649999999999</v>
          </cell>
          <cell r="P92">
            <v>0</v>
          </cell>
          <cell r="Q92">
            <v>0</v>
          </cell>
          <cell r="R92">
            <v>0</v>
          </cell>
          <cell r="S92">
            <v>0</v>
          </cell>
          <cell r="T92">
            <v>0</v>
          </cell>
          <cell r="U92">
            <v>0</v>
          </cell>
          <cell r="V92">
            <v>0</v>
          </cell>
          <cell r="W92">
            <v>380.7</v>
          </cell>
          <cell r="X92">
            <v>709.30337499999996</v>
          </cell>
          <cell r="Y92" t="str">
            <v>sqm</v>
          </cell>
          <cell r="Z92">
            <v>34.18</v>
          </cell>
          <cell r="AB92">
            <v>24243.99</v>
          </cell>
        </row>
        <row r="93">
          <cell r="B93" t="str">
            <v>B7_3</v>
          </cell>
          <cell r="D93" t="str">
            <v>p</v>
          </cell>
          <cell r="E93" t="str">
            <v>Laying two coat of water proof cement paint</v>
          </cell>
          <cell r="F93" t="str">
            <v>Laying primer course and two coats of Cement paint as per Clause 2.7 and other related Clause of the Specification and as directed by the Engineer</v>
          </cell>
          <cell r="I93">
            <v>0</v>
          </cell>
          <cell r="J93">
            <v>0</v>
          </cell>
          <cell r="K93">
            <v>0</v>
          </cell>
          <cell r="L93">
            <v>0</v>
          </cell>
          <cell r="M93">
            <v>773.78212456080007</v>
          </cell>
          <cell r="N93">
            <v>111.599</v>
          </cell>
          <cell r="O93">
            <v>225.16800000000001</v>
          </cell>
          <cell r="P93">
            <v>0</v>
          </cell>
          <cell r="Q93">
            <v>0</v>
          </cell>
          <cell r="R93">
            <v>0</v>
          </cell>
          <cell r="S93">
            <v>0</v>
          </cell>
          <cell r="T93">
            <v>0</v>
          </cell>
          <cell r="U93">
            <v>0</v>
          </cell>
          <cell r="V93">
            <v>0</v>
          </cell>
          <cell r="W93">
            <v>190.67400000000004</v>
          </cell>
          <cell r="X93">
            <v>1301.2231245608</v>
          </cell>
          <cell r="Y93" t="str">
            <v>sqm</v>
          </cell>
          <cell r="Z93">
            <v>44.56</v>
          </cell>
          <cell r="AB93">
            <v>57982.5</v>
          </cell>
        </row>
        <row r="94">
          <cell r="D94" t="str">
            <v>C</v>
          </cell>
          <cell r="E94" t="str">
            <v>Pipe and Fittings supply, laying and installation work</v>
          </cell>
        </row>
        <row r="95">
          <cell r="B95" t="str">
            <v>C1_1</v>
          </cell>
          <cell r="D95" t="str">
            <v>ci</v>
          </cell>
          <cell r="E95" t="str">
            <v>PIPE HDPE-50/6</v>
          </cell>
          <cell r="F95" t="str">
            <v>HDPE Pipe of 50mm dia. and 6 kgf/sqcm pressure rating</v>
          </cell>
          <cell r="I95">
            <v>0</v>
          </cell>
          <cell r="J95">
            <v>0</v>
          </cell>
          <cell r="K95">
            <v>0</v>
          </cell>
          <cell r="L95">
            <v>0</v>
          </cell>
          <cell r="M95">
            <v>0</v>
          </cell>
          <cell r="N95">
            <v>0</v>
          </cell>
          <cell r="O95">
            <v>0</v>
          </cell>
          <cell r="P95">
            <v>0</v>
          </cell>
          <cell r="Q95">
            <v>16630</v>
          </cell>
          <cell r="R95">
            <v>0</v>
          </cell>
          <cell r="S95">
            <v>0</v>
          </cell>
          <cell r="T95">
            <v>0</v>
          </cell>
          <cell r="U95">
            <v>0</v>
          </cell>
          <cell r="V95">
            <v>0</v>
          </cell>
          <cell r="W95">
            <v>0</v>
          </cell>
          <cell r="X95">
            <v>16630</v>
          </cell>
          <cell r="Y95" t="str">
            <v>m</v>
          </cell>
          <cell r="Z95">
            <v>72.08</v>
          </cell>
          <cell r="AB95">
            <v>1198690.3999999999</v>
          </cell>
        </row>
        <row r="96">
          <cell r="B96" t="str">
            <v>C1_2</v>
          </cell>
          <cell r="D96" t="str">
            <v>cj</v>
          </cell>
          <cell r="E96" t="str">
            <v>PIPE HDPE-40/6</v>
          </cell>
          <cell r="F96" t="str">
            <v>HDPE Pipe of 40mm dia. and 6 kgf/sqcm pressure rating</v>
          </cell>
          <cell r="I96">
            <v>0</v>
          </cell>
          <cell r="J96">
            <v>0</v>
          </cell>
          <cell r="K96">
            <v>0</v>
          </cell>
          <cell r="L96">
            <v>0</v>
          </cell>
          <cell r="M96">
            <v>0</v>
          </cell>
          <cell r="N96">
            <v>0</v>
          </cell>
          <cell r="O96">
            <v>0</v>
          </cell>
          <cell r="P96">
            <v>0</v>
          </cell>
          <cell r="Q96">
            <v>3581</v>
          </cell>
          <cell r="R96">
            <v>0</v>
          </cell>
          <cell r="S96">
            <v>0</v>
          </cell>
          <cell r="T96">
            <v>0</v>
          </cell>
          <cell r="U96">
            <v>0</v>
          </cell>
          <cell r="V96">
            <v>0</v>
          </cell>
          <cell r="W96">
            <v>0</v>
          </cell>
          <cell r="X96">
            <v>3581</v>
          </cell>
          <cell r="Y96" t="str">
            <v>m</v>
          </cell>
          <cell r="Z96">
            <v>46.55</v>
          </cell>
          <cell r="AB96">
            <v>166695.54999999999</v>
          </cell>
        </row>
        <row r="97">
          <cell r="B97" t="str">
            <v>C2_1</v>
          </cell>
          <cell r="D97" t="str">
            <v>av</v>
          </cell>
          <cell r="E97" t="str">
            <v xml:space="preserve">250/4 HDPE pipe laying works </v>
          </cell>
          <cell r="I97">
            <v>0</v>
          </cell>
          <cell r="J97">
            <v>0</v>
          </cell>
          <cell r="K97">
            <v>0</v>
          </cell>
          <cell r="L97">
            <v>0</v>
          </cell>
          <cell r="M97">
            <v>0</v>
          </cell>
          <cell r="N97">
            <v>0</v>
          </cell>
          <cell r="O97">
            <v>0</v>
          </cell>
          <cell r="P97">
            <v>0</v>
          </cell>
          <cell r="Q97">
            <v>53</v>
          </cell>
          <cell r="R97">
            <v>0</v>
          </cell>
          <cell r="S97">
            <v>0</v>
          </cell>
          <cell r="T97">
            <v>0</v>
          </cell>
          <cell r="U97">
            <v>0</v>
          </cell>
          <cell r="V97">
            <v>0</v>
          </cell>
          <cell r="W97">
            <v>0</v>
          </cell>
          <cell r="X97">
            <v>53</v>
          </cell>
          <cell r="Y97" t="str">
            <v>m</v>
          </cell>
          <cell r="Z97">
            <v>28.35</v>
          </cell>
          <cell r="AB97">
            <v>1502.55</v>
          </cell>
        </row>
        <row r="98">
          <cell r="B98" t="str">
            <v>C2_2</v>
          </cell>
          <cell r="D98" t="str">
            <v>aw</v>
          </cell>
          <cell r="E98" t="str">
            <v xml:space="preserve">250/6 HDPE pipe laying works </v>
          </cell>
          <cell r="I98">
            <v>0</v>
          </cell>
          <cell r="J98">
            <v>0</v>
          </cell>
          <cell r="K98">
            <v>0</v>
          </cell>
          <cell r="L98">
            <v>0</v>
          </cell>
          <cell r="M98">
            <v>0</v>
          </cell>
          <cell r="N98">
            <v>0</v>
          </cell>
          <cell r="O98">
            <v>0</v>
          </cell>
          <cell r="P98">
            <v>0</v>
          </cell>
          <cell r="Q98">
            <v>32</v>
          </cell>
          <cell r="R98">
            <v>0</v>
          </cell>
          <cell r="S98">
            <v>0</v>
          </cell>
          <cell r="T98">
            <v>0</v>
          </cell>
          <cell r="U98">
            <v>0</v>
          </cell>
          <cell r="V98">
            <v>0</v>
          </cell>
          <cell r="W98">
            <v>0</v>
          </cell>
          <cell r="X98">
            <v>32</v>
          </cell>
          <cell r="Y98" t="str">
            <v>m</v>
          </cell>
          <cell r="Z98">
            <v>28.35</v>
          </cell>
          <cell r="AB98">
            <v>907.2</v>
          </cell>
        </row>
        <row r="99">
          <cell r="B99" t="str">
            <v>C2_3</v>
          </cell>
          <cell r="D99" t="str">
            <v>ax</v>
          </cell>
          <cell r="E99" t="str">
            <v xml:space="preserve">225/4 HDPE pipe laying works </v>
          </cell>
          <cell r="I99">
            <v>0</v>
          </cell>
          <cell r="J99">
            <v>0</v>
          </cell>
          <cell r="K99">
            <v>0</v>
          </cell>
          <cell r="L99">
            <v>0</v>
          </cell>
          <cell r="M99">
            <v>0</v>
          </cell>
          <cell r="N99">
            <v>0</v>
          </cell>
          <cell r="O99">
            <v>0</v>
          </cell>
          <cell r="P99">
            <v>0</v>
          </cell>
          <cell r="Q99">
            <v>998</v>
          </cell>
          <cell r="R99">
            <v>0</v>
          </cell>
          <cell r="S99">
            <v>0</v>
          </cell>
          <cell r="T99">
            <v>0</v>
          </cell>
          <cell r="U99">
            <v>0</v>
          </cell>
          <cell r="V99">
            <v>0</v>
          </cell>
          <cell r="W99">
            <v>0</v>
          </cell>
          <cell r="X99">
            <v>998</v>
          </cell>
          <cell r="Y99" t="str">
            <v>m</v>
          </cell>
          <cell r="Z99">
            <v>28.35</v>
          </cell>
          <cell r="AB99">
            <v>28293.3</v>
          </cell>
        </row>
        <row r="100">
          <cell r="B100" t="str">
            <v>C2_4</v>
          </cell>
          <cell r="D100" t="str">
            <v>ay</v>
          </cell>
          <cell r="E100" t="str">
            <v xml:space="preserve">225/6 HDPE pipe laying works </v>
          </cell>
          <cell r="I100">
            <v>0</v>
          </cell>
          <cell r="J100">
            <v>0</v>
          </cell>
          <cell r="K100">
            <v>0</v>
          </cell>
          <cell r="L100">
            <v>0</v>
          </cell>
          <cell r="M100">
            <v>0</v>
          </cell>
          <cell r="N100">
            <v>0</v>
          </cell>
          <cell r="O100">
            <v>0</v>
          </cell>
          <cell r="P100">
            <v>0</v>
          </cell>
          <cell r="Q100">
            <v>2608</v>
          </cell>
          <cell r="R100">
            <v>0</v>
          </cell>
          <cell r="S100">
            <v>0</v>
          </cell>
          <cell r="T100">
            <v>0</v>
          </cell>
          <cell r="U100">
            <v>0</v>
          </cell>
          <cell r="V100">
            <v>0</v>
          </cell>
          <cell r="W100">
            <v>0</v>
          </cell>
          <cell r="X100">
            <v>2608</v>
          </cell>
          <cell r="Y100" t="str">
            <v>m</v>
          </cell>
          <cell r="Z100">
            <v>28.35</v>
          </cell>
          <cell r="AB100">
            <v>73936.800000000003</v>
          </cell>
        </row>
        <row r="101">
          <cell r="B101" t="str">
            <v>C2_5</v>
          </cell>
          <cell r="D101" t="str">
            <v>az</v>
          </cell>
          <cell r="E101" t="str">
            <v xml:space="preserve">180/4 HDPE pipe laying works </v>
          </cell>
          <cell r="I101">
            <v>0</v>
          </cell>
          <cell r="J101">
            <v>0</v>
          </cell>
          <cell r="K101">
            <v>0</v>
          </cell>
          <cell r="L101">
            <v>0</v>
          </cell>
          <cell r="M101">
            <v>0</v>
          </cell>
          <cell r="N101">
            <v>0</v>
          </cell>
          <cell r="O101">
            <v>0</v>
          </cell>
          <cell r="P101">
            <v>0</v>
          </cell>
          <cell r="Q101">
            <v>578</v>
          </cell>
          <cell r="R101">
            <v>0</v>
          </cell>
          <cell r="S101">
            <v>0</v>
          </cell>
          <cell r="T101">
            <v>0</v>
          </cell>
          <cell r="U101">
            <v>0</v>
          </cell>
          <cell r="V101">
            <v>0</v>
          </cell>
          <cell r="W101">
            <v>0</v>
          </cell>
          <cell r="X101">
            <v>578</v>
          </cell>
          <cell r="Y101" t="str">
            <v>m</v>
          </cell>
          <cell r="Z101">
            <v>28.35</v>
          </cell>
          <cell r="AB101">
            <v>16386.3</v>
          </cell>
        </row>
        <row r="102">
          <cell r="B102" t="str">
            <v>C2_6</v>
          </cell>
          <cell r="D102" t="str">
            <v>ba</v>
          </cell>
          <cell r="E102" t="str">
            <v xml:space="preserve">180/6 HDPE pipe laying works </v>
          </cell>
          <cell r="I102">
            <v>0</v>
          </cell>
          <cell r="J102">
            <v>0</v>
          </cell>
          <cell r="K102">
            <v>0</v>
          </cell>
          <cell r="L102">
            <v>0</v>
          </cell>
          <cell r="M102">
            <v>0</v>
          </cell>
          <cell r="N102">
            <v>0</v>
          </cell>
          <cell r="O102">
            <v>0</v>
          </cell>
          <cell r="P102">
            <v>0</v>
          </cell>
          <cell r="Q102">
            <v>752</v>
          </cell>
          <cell r="R102">
            <v>0</v>
          </cell>
          <cell r="S102">
            <v>0</v>
          </cell>
          <cell r="T102">
            <v>0</v>
          </cell>
          <cell r="U102">
            <v>0</v>
          </cell>
          <cell r="V102">
            <v>0</v>
          </cell>
          <cell r="W102">
            <v>0</v>
          </cell>
          <cell r="X102">
            <v>752</v>
          </cell>
          <cell r="Y102" t="str">
            <v>m</v>
          </cell>
          <cell r="Z102">
            <v>28.35</v>
          </cell>
          <cell r="AB102">
            <v>21319.200000000001</v>
          </cell>
        </row>
        <row r="103">
          <cell r="B103" t="str">
            <v>C2_7</v>
          </cell>
          <cell r="D103" t="str">
            <v>bb</v>
          </cell>
          <cell r="E103" t="str">
            <v xml:space="preserve">160/6 HDPE pipe laying works </v>
          </cell>
          <cell r="I103">
            <v>0</v>
          </cell>
          <cell r="J103">
            <v>0</v>
          </cell>
          <cell r="K103">
            <v>0</v>
          </cell>
          <cell r="L103">
            <v>0</v>
          </cell>
          <cell r="M103">
            <v>0</v>
          </cell>
          <cell r="N103">
            <v>0</v>
          </cell>
          <cell r="O103">
            <v>0</v>
          </cell>
          <cell r="P103">
            <v>0</v>
          </cell>
          <cell r="Q103">
            <v>2289</v>
          </cell>
          <cell r="R103">
            <v>0</v>
          </cell>
          <cell r="S103">
            <v>0</v>
          </cell>
          <cell r="T103">
            <v>0</v>
          </cell>
          <cell r="U103">
            <v>0</v>
          </cell>
          <cell r="V103">
            <v>0</v>
          </cell>
          <cell r="W103">
            <v>0</v>
          </cell>
          <cell r="X103">
            <v>2289</v>
          </cell>
          <cell r="Y103" t="str">
            <v>m</v>
          </cell>
          <cell r="Z103">
            <v>28.35</v>
          </cell>
          <cell r="AB103">
            <v>64893.15</v>
          </cell>
        </row>
        <row r="104">
          <cell r="B104" t="str">
            <v>C2_8</v>
          </cell>
          <cell r="D104" t="str">
            <v>bc</v>
          </cell>
          <cell r="E104" t="str">
            <v xml:space="preserve">140/4 HDPE pipe laying works </v>
          </cell>
          <cell r="I104">
            <v>0</v>
          </cell>
          <cell r="J104">
            <v>0</v>
          </cell>
          <cell r="K104">
            <v>0</v>
          </cell>
          <cell r="L104">
            <v>0</v>
          </cell>
          <cell r="M104">
            <v>0</v>
          </cell>
          <cell r="N104">
            <v>0</v>
          </cell>
          <cell r="O104">
            <v>0</v>
          </cell>
          <cell r="P104">
            <v>0</v>
          </cell>
          <cell r="Q104">
            <v>1474</v>
          </cell>
          <cell r="R104">
            <v>0</v>
          </cell>
          <cell r="S104">
            <v>0</v>
          </cell>
          <cell r="T104">
            <v>0</v>
          </cell>
          <cell r="U104">
            <v>0</v>
          </cell>
          <cell r="V104">
            <v>0</v>
          </cell>
          <cell r="W104">
            <v>0</v>
          </cell>
          <cell r="X104">
            <v>1474</v>
          </cell>
          <cell r="Y104" t="str">
            <v>m</v>
          </cell>
          <cell r="Z104">
            <v>28.35</v>
          </cell>
          <cell r="AB104">
            <v>41787.9</v>
          </cell>
        </row>
        <row r="105">
          <cell r="B105" t="str">
            <v>C2_9</v>
          </cell>
          <cell r="D105" t="str">
            <v>bd</v>
          </cell>
          <cell r="E105" t="str">
            <v xml:space="preserve">140/6 HDPE pipe laying works </v>
          </cell>
          <cell r="I105">
            <v>0</v>
          </cell>
          <cell r="J105">
            <v>0</v>
          </cell>
          <cell r="K105">
            <v>0</v>
          </cell>
          <cell r="L105">
            <v>0</v>
          </cell>
          <cell r="M105">
            <v>0</v>
          </cell>
          <cell r="N105">
            <v>0</v>
          </cell>
          <cell r="O105">
            <v>0</v>
          </cell>
          <cell r="P105">
            <v>0</v>
          </cell>
          <cell r="Q105">
            <v>7121</v>
          </cell>
          <cell r="R105">
            <v>0</v>
          </cell>
          <cell r="S105">
            <v>0</v>
          </cell>
          <cell r="T105">
            <v>0</v>
          </cell>
          <cell r="U105">
            <v>0</v>
          </cell>
          <cell r="V105">
            <v>0</v>
          </cell>
          <cell r="W105">
            <v>0</v>
          </cell>
          <cell r="X105">
            <v>7121</v>
          </cell>
          <cell r="Y105" t="str">
            <v>m</v>
          </cell>
          <cell r="Z105">
            <v>28.35</v>
          </cell>
          <cell r="AB105">
            <v>201880.35</v>
          </cell>
        </row>
        <row r="106">
          <cell r="B106" t="str">
            <v>C2_10</v>
          </cell>
          <cell r="D106" t="str">
            <v>be</v>
          </cell>
          <cell r="E106" t="str">
            <v xml:space="preserve">125/6 HDPE pipe laying works </v>
          </cell>
          <cell r="I106">
            <v>0</v>
          </cell>
          <cell r="J106">
            <v>0</v>
          </cell>
          <cell r="K106">
            <v>0</v>
          </cell>
          <cell r="L106">
            <v>0</v>
          </cell>
          <cell r="M106">
            <v>0</v>
          </cell>
          <cell r="N106">
            <v>0</v>
          </cell>
          <cell r="O106">
            <v>0</v>
          </cell>
          <cell r="P106">
            <v>0</v>
          </cell>
          <cell r="Q106">
            <v>7227</v>
          </cell>
          <cell r="R106">
            <v>0</v>
          </cell>
          <cell r="S106">
            <v>0</v>
          </cell>
          <cell r="T106">
            <v>0</v>
          </cell>
          <cell r="U106">
            <v>0</v>
          </cell>
          <cell r="V106">
            <v>0</v>
          </cell>
          <cell r="W106">
            <v>0</v>
          </cell>
          <cell r="X106">
            <v>7227</v>
          </cell>
          <cell r="Y106" t="str">
            <v>m</v>
          </cell>
          <cell r="Z106">
            <v>20.88</v>
          </cell>
          <cell r="AB106">
            <v>150899.76</v>
          </cell>
        </row>
        <row r="107">
          <cell r="B107" t="str">
            <v>C2_11</v>
          </cell>
          <cell r="D107" t="str">
            <v>bf</v>
          </cell>
          <cell r="E107" t="str">
            <v xml:space="preserve">110/6 HDPE pipe laying works </v>
          </cell>
          <cell r="I107">
            <v>0</v>
          </cell>
          <cell r="J107">
            <v>0</v>
          </cell>
          <cell r="K107">
            <v>0</v>
          </cell>
          <cell r="L107">
            <v>0</v>
          </cell>
          <cell r="M107">
            <v>0</v>
          </cell>
          <cell r="N107">
            <v>0</v>
          </cell>
          <cell r="O107">
            <v>0</v>
          </cell>
          <cell r="P107">
            <v>0</v>
          </cell>
          <cell r="Q107">
            <v>5883</v>
          </cell>
          <cell r="R107">
            <v>0</v>
          </cell>
          <cell r="S107">
            <v>0</v>
          </cell>
          <cell r="T107">
            <v>0</v>
          </cell>
          <cell r="U107">
            <v>0</v>
          </cell>
          <cell r="V107">
            <v>0</v>
          </cell>
          <cell r="W107">
            <v>0</v>
          </cell>
          <cell r="X107">
            <v>5883</v>
          </cell>
          <cell r="Y107" t="str">
            <v>m</v>
          </cell>
          <cell r="Z107">
            <v>20.88</v>
          </cell>
          <cell r="AB107">
            <v>122837.04</v>
          </cell>
        </row>
        <row r="108">
          <cell r="B108" t="str">
            <v>C2_12</v>
          </cell>
          <cell r="D108" t="str">
            <v>bg</v>
          </cell>
          <cell r="E108" t="str">
            <v xml:space="preserve">90/6 HDPE pipe laying works </v>
          </cell>
          <cell r="I108">
            <v>0</v>
          </cell>
          <cell r="J108">
            <v>0</v>
          </cell>
          <cell r="K108">
            <v>0</v>
          </cell>
          <cell r="L108">
            <v>0</v>
          </cell>
          <cell r="M108">
            <v>0</v>
          </cell>
          <cell r="N108">
            <v>0</v>
          </cell>
          <cell r="O108">
            <v>0</v>
          </cell>
          <cell r="P108">
            <v>0</v>
          </cell>
          <cell r="Q108">
            <v>4808</v>
          </cell>
          <cell r="R108">
            <v>0</v>
          </cell>
          <cell r="S108">
            <v>0</v>
          </cell>
          <cell r="T108">
            <v>0</v>
          </cell>
          <cell r="U108">
            <v>0</v>
          </cell>
          <cell r="V108">
            <v>0</v>
          </cell>
          <cell r="W108">
            <v>0</v>
          </cell>
          <cell r="X108">
            <v>4808</v>
          </cell>
          <cell r="Y108" t="str">
            <v>m</v>
          </cell>
          <cell r="Z108">
            <v>14.06</v>
          </cell>
          <cell r="AB108">
            <v>67600.479999999996</v>
          </cell>
        </row>
        <row r="109">
          <cell r="B109" t="str">
            <v>C2_13</v>
          </cell>
          <cell r="D109" t="str">
            <v>bh</v>
          </cell>
          <cell r="E109" t="str">
            <v xml:space="preserve">75/4 HDPE pipe laying works </v>
          </cell>
          <cell r="I109">
            <v>0</v>
          </cell>
          <cell r="J109">
            <v>0</v>
          </cell>
          <cell r="K109">
            <v>0</v>
          </cell>
          <cell r="L109">
            <v>0</v>
          </cell>
          <cell r="M109">
            <v>0</v>
          </cell>
          <cell r="N109">
            <v>0</v>
          </cell>
          <cell r="O109">
            <v>0</v>
          </cell>
          <cell r="P109">
            <v>0</v>
          </cell>
          <cell r="Q109">
            <v>4898</v>
          </cell>
          <cell r="R109">
            <v>0</v>
          </cell>
          <cell r="S109">
            <v>0</v>
          </cell>
          <cell r="T109">
            <v>0</v>
          </cell>
          <cell r="U109">
            <v>0</v>
          </cell>
          <cell r="V109">
            <v>0</v>
          </cell>
          <cell r="W109">
            <v>0</v>
          </cell>
          <cell r="X109">
            <v>4898</v>
          </cell>
          <cell r="Y109" t="str">
            <v>m</v>
          </cell>
          <cell r="Z109">
            <v>13.48</v>
          </cell>
          <cell r="AB109">
            <v>66025.039999999994</v>
          </cell>
        </row>
        <row r="110">
          <cell r="B110" t="str">
            <v>C2_14</v>
          </cell>
          <cell r="D110" t="str">
            <v>bi</v>
          </cell>
          <cell r="E110" t="str">
            <v xml:space="preserve">75/6 HDPE pipe laying works </v>
          </cell>
          <cell r="I110">
            <v>0</v>
          </cell>
          <cell r="J110">
            <v>0</v>
          </cell>
          <cell r="K110">
            <v>0</v>
          </cell>
          <cell r="L110">
            <v>0</v>
          </cell>
          <cell r="M110">
            <v>0</v>
          </cell>
          <cell r="N110">
            <v>0</v>
          </cell>
          <cell r="O110">
            <v>0</v>
          </cell>
          <cell r="P110">
            <v>0</v>
          </cell>
          <cell r="Q110">
            <v>473</v>
          </cell>
          <cell r="R110">
            <v>0</v>
          </cell>
          <cell r="S110">
            <v>0</v>
          </cell>
          <cell r="T110">
            <v>0</v>
          </cell>
          <cell r="U110">
            <v>0</v>
          </cell>
          <cell r="V110">
            <v>0</v>
          </cell>
          <cell r="W110">
            <v>0</v>
          </cell>
          <cell r="X110">
            <v>473</v>
          </cell>
          <cell r="Y110" t="str">
            <v>m</v>
          </cell>
          <cell r="Z110">
            <v>13.48</v>
          </cell>
          <cell r="AB110">
            <v>6376.04</v>
          </cell>
        </row>
        <row r="111">
          <cell r="B111" t="str">
            <v>C2_15</v>
          </cell>
          <cell r="D111" t="str">
            <v>bj</v>
          </cell>
          <cell r="E111" t="str">
            <v xml:space="preserve">63/6 HDPE pipe laying works </v>
          </cell>
          <cell r="I111">
            <v>0</v>
          </cell>
          <cell r="J111">
            <v>0</v>
          </cell>
          <cell r="K111">
            <v>0</v>
          </cell>
          <cell r="L111">
            <v>0</v>
          </cell>
          <cell r="M111">
            <v>0</v>
          </cell>
          <cell r="N111">
            <v>0</v>
          </cell>
          <cell r="O111">
            <v>0</v>
          </cell>
          <cell r="P111">
            <v>0</v>
          </cell>
          <cell r="Q111">
            <v>4710</v>
          </cell>
          <cell r="R111">
            <v>0</v>
          </cell>
          <cell r="S111">
            <v>0</v>
          </cell>
          <cell r="T111">
            <v>0</v>
          </cell>
          <cell r="U111">
            <v>0</v>
          </cell>
          <cell r="V111">
            <v>0</v>
          </cell>
          <cell r="W111">
            <v>0</v>
          </cell>
          <cell r="X111">
            <v>4710</v>
          </cell>
          <cell r="Y111" t="str">
            <v>m</v>
          </cell>
          <cell r="Z111">
            <v>13.48</v>
          </cell>
          <cell r="AB111">
            <v>63490.8</v>
          </cell>
        </row>
        <row r="112">
          <cell r="B112" t="str">
            <v>C2_16</v>
          </cell>
          <cell r="D112" t="str">
            <v>bm</v>
          </cell>
          <cell r="E112" t="str">
            <v>40mm dia. GI pipe laying works</v>
          </cell>
          <cell r="I112">
            <v>0</v>
          </cell>
          <cell r="J112">
            <v>0</v>
          </cell>
          <cell r="K112">
            <v>0</v>
          </cell>
          <cell r="L112">
            <v>0</v>
          </cell>
          <cell r="M112">
            <v>0</v>
          </cell>
          <cell r="N112">
            <v>0</v>
          </cell>
          <cell r="O112">
            <v>0</v>
          </cell>
          <cell r="P112">
            <v>0</v>
          </cell>
          <cell r="Q112">
            <v>12</v>
          </cell>
          <cell r="R112">
            <v>0</v>
          </cell>
          <cell r="S112">
            <v>0</v>
          </cell>
          <cell r="T112">
            <v>0</v>
          </cell>
          <cell r="U112">
            <v>0</v>
          </cell>
          <cell r="V112">
            <v>0</v>
          </cell>
          <cell r="W112">
            <v>0</v>
          </cell>
          <cell r="X112">
            <v>12</v>
          </cell>
          <cell r="Y112" t="str">
            <v>m</v>
          </cell>
          <cell r="Z112">
            <v>25.44</v>
          </cell>
          <cell r="AB112">
            <v>305.27999999999997</v>
          </cell>
        </row>
        <row r="113">
          <cell r="B113" t="str">
            <v>C2_17</v>
          </cell>
          <cell r="D113" t="str">
            <v>bn</v>
          </cell>
          <cell r="E113" t="str">
            <v>50mm dia. GI pipe laying works</v>
          </cell>
          <cell r="I113">
            <v>0</v>
          </cell>
          <cell r="J113">
            <v>0</v>
          </cell>
          <cell r="K113">
            <v>0</v>
          </cell>
          <cell r="L113">
            <v>0</v>
          </cell>
          <cell r="M113">
            <v>0</v>
          </cell>
          <cell r="N113">
            <v>0</v>
          </cell>
          <cell r="O113">
            <v>0</v>
          </cell>
          <cell r="P113">
            <v>0</v>
          </cell>
          <cell r="Q113">
            <v>12</v>
          </cell>
          <cell r="R113">
            <v>0</v>
          </cell>
          <cell r="S113">
            <v>0</v>
          </cell>
          <cell r="T113">
            <v>0</v>
          </cell>
          <cell r="U113">
            <v>0</v>
          </cell>
          <cell r="V113">
            <v>0</v>
          </cell>
          <cell r="W113">
            <v>0</v>
          </cell>
          <cell r="X113">
            <v>12</v>
          </cell>
          <cell r="Y113" t="str">
            <v>m</v>
          </cell>
          <cell r="Z113">
            <v>25.44</v>
          </cell>
          <cell r="AB113">
            <v>305.27999999999997</v>
          </cell>
        </row>
        <row r="114">
          <cell r="B114" t="str">
            <v>C2_18</v>
          </cell>
          <cell r="D114" t="str">
            <v>bo</v>
          </cell>
          <cell r="E114" t="str">
            <v>63mm dia. GI pipe laying works</v>
          </cell>
          <cell r="I114">
            <v>0</v>
          </cell>
          <cell r="J114">
            <v>0</v>
          </cell>
          <cell r="K114">
            <v>0</v>
          </cell>
          <cell r="L114">
            <v>0</v>
          </cell>
          <cell r="M114">
            <v>0</v>
          </cell>
          <cell r="N114">
            <v>0</v>
          </cell>
          <cell r="O114">
            <v>0</v>
          </cell>
          <cell r="P114">
            <v>0</v>
          </cell>
          <cell r="Q114">
            <v>12</v>
          </cell>
          <cell r="R114">
            <v>0</v>
          </cell>
          <cell r="S114">
            <v>0</v>
          </cell>
          <cell r="T114">
            <v>0</v>
          </cell>
          <cell r="U114">
            <v>0</v>
          </cell>
          <cell r="V114">
            <v>0</v>
          </cell>
          <cell r="W114">
            <v>0</v>
          </cell>
          <cell r="X114">
            <v>12</v>
          </cell>
          <cell r="Y114" t="str">
            <v>m</v>
          </cell>
          <cell r="Z114">
            <v>33.96</v>
          </cell>
          <cell r="AB114">
            <v>407.52</v>
          </cell>
        </row>
        <row r="115">
          <cell r="B115" t="str">
            <v>C2_19</v>
          </cell>
          <cell r="D115" t="str">
            <v>bp</v>
          </cell>
          <cell r="E115" t="str">
            <v>75mm dia. GI pipe laying works</v>
          </cell>
          <cell r="I115">
            <v>0</v>
          </cell>
          <cell r="J115">
            <v>0</v>
          </cell>
          <cell r="K115">
            <v>0</v>
          </cell>
          <cell r="L115">
            <v>0</v>
          </cell>
          <cell r="M115">
            <v>0</v>
          </cell>
          <cell r="N115">
            <v>0</v>
          </cell>
          <cell r="O115">
            <v>0</v>
          </cell>
          <cell r="P115">
            <v>0</v>
          </cell>
          <cell r="Q115">
            <v>12</v>
          </cell>
          <cell r="R115">
            <v>0</v>
          </cell>
          <cell r="S115">
            <v>0</v>
          </cell>
          <cell r="T115">
            <v>0</v>
          </cell>
          <cell r="U115">
            <v>0</v>
          </cell>
          <cell r="V115">
            <v>0</v>
          </cell>
          <cell r="W115">
            <v>0</v>
          </cell>
          <cell r="X115">
            <v>12</v>
          </cell>
          <cell r="Y115" t="str">
            <v>m</v>
          </cell>
          <cell r="Z115">
            <v>33.96</v>
          </cell>
          <cell r="AB115">
            <v>407.52</v>
          </cell>
        </row>
        <row r="116">
          <cell r="B116" t="str">
            <v>C2_20</v>
          </cell>
          <cell r="D116" t="str">
            <v>bq</v>
          </cell>
          <cell r="E116" t="str">
            <v>100mm dia. GI pipe laying works</v>
          </cell>
          <cell r="I116">
            <v>0</v>
          </cell>
          <cell r="J116">
            <v>0</v>
          </cell>
          <cell r="K116">
            <v>0</v>
          </cell>
          <cell r="L116">
            <v>0</v>
          </cell>
          <cell r="M116">
            <v>0</v>
          </cell>
          <cell r="N116">
            <v>0</v>
          </cell>
          <cell r="O116">
            <v>0</v>
          </cell>
          <cell r="P116">
            <v>0</v>
          </cell>
          <cell r="Q116">
            <v>126</v>
          </cell>
          <cell r="R116">
            <v>0</v>
          </cell>
          <cell r="S116">
            <v>0</v>
          </cell>
          <cell r="T116">
            <v>0</v>
          </cell>
          <cell r="U116">
            <v>0</v>
          </cell>
          <cell r="V116">
            <v>0</v>
          </cell>
          <cell r="W116">
            <v>0</v>
          </cell>
          <cell r="X116">
            <v>126</v>
          </cell>
          <cell r="Y116" t="str">
            <v>m</v>
          </cell>
          <cell r="Z116">
            <v>42.48</v>
          </cell>
          <cell r="AB116">
            <v>5352.48</v>
          </cell>
        </row>
        <row r="117">
          <cell r="B117" t="str">
            <v>C2_21</v>
          </cell>
          <cell r="D117" t="str">
            <v>br</v>
          </cell>
          <cell r="E117" t="str">
            <v>125mm dia. GI pipe laying works</v>
          </cell>
          <cell r="I117">
            <v>0</v>
          </cell>
          <cell r="J117">
            <v>0</v>
          </cell>
          <cell r="K117">
            <v>0</v>
          </cell>
          <cell r="L117">
            <v>0</v>
          </cell>
          <cell r="M117">
            <v>0</v>
          </cell>
          <cell r="N117">
            <v>0</v>
          </cell>
          <cell r="O117">
            <v>0</v>
          </cell>
          <cell r="P117">
            <v>0</v>
          </cell>
          <cell r="Q117">
            <v>66</v>
          </cell>
          <cell r="R117">
            <v>0</v>
          </cell>
          <cell r="S117">
            <v>0</v>
          </cell>
          <cell r="T117">
            <v>0</v>
          </cell>
          <cell r="U117">
            <v>0</v>
          </cell>
          <cell r="V117">
            <v>0</v>
          </cell>
          <cell r="W117">
            <v>0</v>
          </cell>
          <cell r="X117">
            <v>66</v>
          </cell>
          <cell r="Y117" t="str">
            <v>m</v>
          </cell>
          <cell r="Z117">
            <v>51.65</v>
          </cell>
          <cell r="AB117">
            <v>3408.9</v>
          </cell>
        </row>
        <row r="118">
          <cell r="B118" t="str">
            <v>C2_22</v>
          </cell>
          <cell r="D118" t="str">
            <v>bs</v>
          </cell>
          <cell r="E118" t="str">
            <v>150mm dia. GI pipe laying works</v>
          </cell>
          <cell r="I118">
            <v>0</v>
          </cell>
          <cell r="J118">
            <v>0</v>
          </cell>
          <cell r="K118">
            <v>0</v>
          </cell>
          <cell r="L118">
            <v>0</v>
          </cell>
          <cell r="M118">
            <v>0</v>
          </cell>
          <cell r="N118">
            <v>0</v>
          </cell>
          <cell r="O118">
            <v>0</v>
          </cell>
          <cell r="P118">
            <v>0</v>
          </cell>
          <cell r="Q118">
            <v>30</v>
          </cell>
          <cell r="R118">
            <v>0</v>
          </cell>
          <cell r="S118">
            <v>0</v>
          </cell>
          <cell r="T118">
            <v>0</v>
          </cell>
          <cell r="U118">
            <v>0</v>
          </cell>
          <cell r="V118">
            <v>0</v>
          </cell>
          <cell r="W118">
            <v>0</v>
          </cell>
          <cell r="X118">
            <v>30</v>
          </cell>
          <cell r="Y118" t="str">
            <v>m</v>
          </cell>
          <cell r="Z118">
            <v>62.76</v>
          </cell>
          <cell r="AB118">
            <v>1882.8</v>
          </cell>
        </row>
        <row r="119">
          <cell r="B119" t="str">
            <v>C2_24</v>
          </cell>
          <cell r="E119" t="str">
            <v xml:space="preserve">200mm dia DI pipe laying works </v>
          </cell>
          <cell r="I119">
            <v>0</v>
          </cell>
          <cell r="J119">
            <v>0</v>
          </cell>
          <cell r="K119">
            <v>0</v>
          </cell>
          <cell r="L119">
            <v>450</v>
          </cell>
          <cell r="M119">
            <v>0</v>
          </cell>
          <cell r="N119">
            <v>0</v>
          </cell>
          <cell r="O119">
            <v>0</v>
          </cell>
          <cell r="P119">
            <v>0</v>
          </cell>
          <cell r="Q119">
            <v>0</v>
          </cell>
          <cell r="R119">
            <v>0</v>
          </cell>
          <cell r="S119">
            <v>0</v>
          </cell>
          <cell r="T119">
            <v>0</v>
          </cell>
          <cell r="U119">
            <v>0</v>
          </cell>
          <cell r="V119">
            <v>0</v>
          </cell>
          <cell r="W119">
            <v>0</v>
          </cell>
          <cell r="X119">
            <v>450</v>
          </cell>
          <cell r="Y119" t="str">
            <v>m</v>
          </cell>
          <cell r="Z119">
            <v>188.28</v>
          </cell>
          <cell r="AB119">
            <v>84726</v>
          </cell>
        </row>
        <row r="120">
          <cell r="B120" t="str">
            <v>C2_23</v>
          </cell>
          <cell r="E120" t="str">
            <v>250mm dia DI pipe laying works</v>
          </cell>
          <cell r="I120">
            <v>0</v>
          </cell>
          <cell r="J120">
            <v>0</v>
          </cell>
          <cell r="K120">
            <v>0</v>
          </cell>
          <cell r="L120">
            <v>200</v>
          </cell>
          <cell r="M120">
            <v>0</v>
          </cell>
          <cell r="N120">
            <v>0</v>
          </cell>
          <cell r="O120">
            <v>0</v>
          </cell>
          <cell r="P120">
            <v>0</v>
          </cell>
          <cell r="Q120">
            <v>0</v>
          </cell>
          <cell r="R120">
            <v>0</v>
          </cell>
          <cell r="S120">
            <v>0</v>
          </cell>
          <cell r="T120">
            <v>0</v>
          </cell>
          <cell r="U120">
            <v>0</v>
          </cell>
          <cell r="V120">
            <v>0</v>
          </cell>
          <cell r="W120">
            <v>0</v>
          </cell>
          <cell r="X120">
            <v>200</v>
          </cell>
          <cell r="Y120" t="str">
            <v>m</v>
          </cell>
          <cell r="Z120">
            <v>376.56</v>
          </cell>
          <cell r="AB120">
            <v>75312</v>
          </cell>
        </row>
        <row r="121">
          <cell r="B121" t="str">
            <v>C2_25</v>
          </cell>
          <cell r="D121" t="str">
            <v>bt</v>
          </cell>
          <cell r="E121" t="str">
            <v>PIPE HDPE-250/4</v>
          </cell>
          <cell r="F121" t="str">
            <v>HDPE Pipe of 250mm dia. and 4 kgf/sqcm pressure rating</v>
          </cell>
          <cell r="I121">
            <v>0</v>
          </cell>
          <cell r="J121">
            <v>0</v>
          </cell>
          <cell r="K121">
            <v>0</v>
          </cell>
          <cell r="L121">
            <v>0</v>
          </cell>
          <cell r="M121">
            <v>0</v>
          </cell>
          <cell r="N121">
            <v>0</v>
          </cell>
          <cell r="O121">
            <v>0</v>
          </cell>
          <cell r="P121">
            <v>0</v>
          </cell>
          <cell r="Q121">
            <v>53</v>
          </cell>
          <cell r="R121">
            <v>0</v>
          </cell>
          <cell r="S121">
            <v>0</v>
          </cell>
          <cell r="T121">
            <v>0</v>
          </cell>
          <cell r="U121">
            <v>0</v>
          </cell>
          <cell r="V121">
            <v>0</v>
          </cell>
          <cell r="W121">
            <v>0</v>
          </cell>
          <cell r="X121">
            <v>53</v>
          </cell>
          <cell r="Y121" t="str">
            <v>m</v>
          </cell>
          <cell r="Z121">
            <v>1221.8699999999999</v>
          </cell>
          <cell r="AB121">
            <v>64759.11</v>
          </cell>
        </row>
        <row r="122">
          <cell r="B122" t="str">
            <v>C2_26</v>
          </cell>
          <cell r="D122" t="str">
            <v>bu</v>
          </cell>
          <cell r="E122" t="str">
            <v>PIPE HDPE-250/6</v>
          </cell>
          <cell r="F122" t="str">
            <v>HDPE Pipe of 250mm dia. and 6 kgf/sqcm pressure rating</v>
          </cell>
          <cell r="I122">
            <v>0</v>
          </cell>
          <cell r="J122">
            <v>0</v>
          </cell>
          <cell r="K122">
            <v>0</v>
          </cell>
          <cell r="L122">
            <v>0</v>
          </cell>
          <cell r="M122">
            <v>0</v>
          </cell>
          <cell r="N122">
            <v>0</v>
          </cell>
          <cell r="O122">
            <v>0</v>
          </cell>
          <cell r="P122">
            <v>0</v>
          </cell>
          <cell r="Q122">
            <v>32</v>
          </cell>
          <cell r="R122">
            <v>0</v>
          </cell>
          <cell r="S122">
            <v>0</v>
          </cell>
          <cell r="T122">
            <v>0</v>
          </cell>
          <cell r="U122">
            <v>0</v>
          </cell>
          <cell r="V122">
            <v>0</v>
          </cell>
          <cell r="W122">
            <v>0</v>
          </cell>
          <cell r="X122">
            <v>32</v>
          </cell>
          <cell r="Y122" t="str">
            <v>m</v>
          </cell>
          <cell r="Z122">
            <v>1734.45</v>
          </cell>
          <cell r="AB122">
            <v>55502.400000000001</v>
          </cell>
        </row>
        <row r="123">
          <cell r="B123" t="str">
            <v>C2_27</v>
          </cell>
          <cell r="D123" t="str">
            <v>bv</v>
          </cell>
          <cell r="E123" t="str">
            <v>PIPE HDPE-225/4</v>
          </cell>
          <cell r="F123" t="str">
            <v>HDPE Pipe of 225mm dia. and 4 kgf/sqcm pressure rating</v>
          </cell>
          <cell r="I123">
            <v>0</v>
          </cell>
          <cell r="J123">
            <v>0</v>
          </cell>
          <cell r="K123">
            <v>0</v>
          </cell>
          <cell r="L123">
            <v>0</v>
          </cell>
          <cell r="M123">
            <v>0</v>
          </cell>
          <cell r="N123">
            <v>0</v>
          </cell>
          <cell r="O123">
            <v>0</v>
          </cell>
          <cell r="P123">
            <v>0</v>
          </cell>
          <cell r="Q123">
            <v>998</v>
          </cell>
          <cell r="R123">
            <v>0</v>
          </cell>
          <cell r="S123">
            <v>0</v>
          </cell>
          <cell r="T123">
            <v>0</v>
          </cell>
          <cell r="U123">
            <v>0</v>
          </cell>
          <cell r="V123">
            <v>0</v>
          </cell>
          <cell r="W123">
            <v>0</v>
          </cell>
          <cell r="X123">
            <v>998</v>
          </cell>
          <cell r="Y123" t="str">
            <v>m</v>
          </cell>
          <cell r="Z123">
            <v>990.18</v>
          </cell>
          <cell r="AB123">
            <v>988199.64</v>
          </cell>
        </row>
        <row r="124">
          <cell r="B124" t="str">
            <v>C2_28</v>
          </cell>
          <cell r="D124" t="str">
            <v>bw</v>
          </cell>
          <cell r="E124" t="str">
            <v>PIPE HDPE-225/6</v>
          </cell>
          <cell r="F124" t="str">
            <v>HDPE Pipe of 225mm dia. and 6 kgf/sqcm pressure rating</v>
          </cell>
          <cell r="I124">
            <v>0</v>
          </cell>
          <cell r="J124">
            <v>0</v>
          </cell>
          <cell r="K124">
            <v>0</v>
          </cell>
          <cell r="L124">
            <v>0</v>
          </cell>
          <cell r="M124">
            <v>0</v>
          </cell>
          <cell r="N124">
            <v>0</v>
          </cell>
          <cell r="O124">
            <v>0</v>
          </cell>
          <cell r="P124">
            <v>0</v>
          </cell>
          <cell r="Q124">
            <v>2608</v>
          </cell>
          <cell r="R124">
            <v>0</v>
          </cell>
          <cell r="S124">
            <v>0</v>
          </cell>
          <cell r="T124">
            <v>0</v>
          </cell>
          <cell r="U124">
            <v>0</v>
          </cell>
          <cell r="V124">
            <v>0</v>
          </cell>
          <cell r="W124">
            <v>0</v>
          </cell>
          <cell r="X124">
            <v>2608</v>
          </cell>
          <cell r="Y124" t="str">
            <v>m</v>
          </cell>
          <cell r="Z124">
            <v>1402.35</v>
          </cell>
          <cell r="AB124">
            <v>3657328.8</v>
          </cell>
        </row>
        <row r="125">
          <cell r="B125" t="str">
            <v>C2_29</v>
          </cell>
          <cell r="D125" t="str">
            <v>bx</v>
          </cell>
          <cell r="E125" t="str">
            <v>PIPE HDPE-180/4</v>
          </cell>
          <cell r="F125" t="str">
            <v>HDPE Pipe of 180mm dia. and 4 kgf/sqcm pressure rating</v>
          </cell>
          <cell r="I125">
            <v>0</v>
          </cell>
          <cell r="J125">
            <v>0</v>
          </cell>
          <cell r="K125">
            <v>0</v>
          </cell>
          <cell r="L125">
            <v>0</v>
          </cell>
          <cell r="M125">
            <v>0</v>
          </cell>
          <cell r="N125">
            <v>0</v>
          </cell>
          <cell r="O125">
            <v>0</v>
          </cell>
          <cell r="P125">
            <v>0</v>
          </cell>
          <cell r="Q125">
            <v>578</v>
          </cell>
          <cell r="R125">
            <v>0</v>
          </cell>
          <cell r="S125">
            <v>0</v>
          </cell>
          <cell r="T125">
            <v>0</v>
          </cell>
          <cell r="U125">
            <v>0</v>
          </cell>
          <cell r="V125">
            <v>0</v>
          </cell>
          <cell r="W125">
            <v>0</v>
          </cell>
          <cell r="X125">
            <v>578</v>
          </cell>
          <cell r="Y125" t="str">
            <v>m</v>
          </cell>
          <cell r="Z125">
            <v>633.34</v>
          </cell>
          <cell r="AB125">
            <v>366070.52</v>
          </cell>
        </row>
        <row r="126">
          <cell r="B126" t="str">
            <v>C2_30</v>
          </cell>
          <cell r="D126" t="str">
            <v>by</v>
          </cell>
          <cell r="E126" t="str">
            <v>PIPE HDPE-180/6</v>
          </cell>
          <cell r="F126" t="str">
            <v>HDPE Pipe of 180mm dia. and 6 kgf/sqcm pressure rating</v>
          </cell>
          <cell r="I126">
            <v>0</v>
          </cell>
          <cell r="J126">
            <v>0</v>
          </cell>
          <cell r="K126">
            <v>0</v>
          </cell>
          <cell r="L126">
            <v>0</v>
          </cell>
          <cell r="M126">
            <v>0</v>
          </cell>
          <cell r="N126">
            <v>0</v>
          </cell>
          <cell r="O126">
            <v>0</v>
          </cell>
          <cell r="P126">
            <v>0</v>
          </cell>
          <cell r="Q126">
            <v>752</v>
          </cell>
          <cell r="R126">
            <v>0</v>
          </cell>
          <cell r="S126">
            <v>0</v>
          </cell>
          <cell r="T126">
            <v>0</v>
          </cell>
          <cell r="U126">
            <v>0</v>
          </cell>
          <cell r="V126">
            <v>0</v>
          </cell>
          <cell r="W126">
            <v>0</v>
          </cell>
          <cell r="X126">
            <v>752</v>
          </cell>
          <cell r="Y126" t="str">
            <v>m</v>
          </cell>
          <cell r="Z126">
            <v>904.4</v>
          </cell>
          <cell r="AB126">
            <v>680108.8</v>
          </cell>
        </row>
        <row r="127">
          <cell r="B127" t="str">
            <v>C2_31</v>
          </cell>
          <cell r="D127" t="str">
            <v>bz</v>
          </cell>
          <cell r="E127" t="str">
            <v>PIPE HDPE-160/6</v>
          </cell>
          <cell r="F127" t="str">
            <v>HDPE Pipe of 160mm dia. and 6 kgf/sqcm pressure rating</v>
          </cell>
          <cell r="I127">
            <v>0</v>
          </cell>
          <cell r="J127">
            <v>0</v>
          </cell>
          <cell r="K127">
            <v>0</v>
          </cell>
          <cell r="L127">
            <v>0</v>
          </cell>
          <cell r="M127">
            <v>0</v>
          </cell>
          <cell r="N127">
            <v>0</v>
          </cell>
          <cell r="O127">
            <v>0</v>
          </cell>
          <cell r="P127">
            <v>0</v>
          </cell>
          <cell r="Q127">
            <v>2289</v>
          </cell>
          <cell r="R127">
            <v>0</v>
          </cell>
          <cell r="S127">
            <v>0</v>
          </cell>
          <cell r="T127">
            <v>0</v>
          </cell>
          <cell r="U127">
            <v>0</v>
          </cell>
          <cell r="V127">
            <v>0</v>
          </cell>
          <cell r="W127">
            <v>0</v>
          </cell>
          <cell r="X127">
            <v>2289</v>
          </cell>
          <cell r="Y127" t="str">
            <v>m</v>
          </cell>
          <cell r="Z127">
            <v>712.21</v>
          </cell>
          <cell r="AB127">
            <v>1630248.69</v>
          </cell>
        </row>
        <row r="128">
          <cell r="B128" t="str">
            <v>C2_32</v>
          </cell>
          <cell r="D128" t="str">
            <v>ca</v>
          </cell>
          <cell r="E128" t="str">
            <v>PIPE HDPE-140/4</v>
          </cell>
          <cell r="F128" t="str">
            <v>HDPE Pipe of 140mm dia. and 4 kgf/sqcm pressure rating</v>
          </cell>
          <cell r="I128">
            <v>0</v>
          </cell>
          <cell r="J128">
            <v>0</v>
          </cell>
          <cell r="K128">
            <v>0</v>
          </cell>
          <cell r="L128">
            <v>0</v>
          </cell>
          <cell r="M128">
            <v>0</v>
          </cell>
          <cell r="N128">
            <v>0</v>
          </cell>
          <cell r="O128">
            <v>0</v>
          </cell>
          <cell r="P128">
            <v>0</v>
          </cell>
          <cell r="Q128">
            <v>1474</v>
          </cell>
          <cell r="R128">
            <v>0</v>
          </cell>
          <cell r="S128">
            <v>0</v>
          </cell>
          <cell r="T128">
            <v>0</v>
          </cell>
          <cell r="U128">
            <v>0</v>
          </cell>
          <cell r="V128">
            <v>0</v>
          </cell>
          <cell r="W128">
            <v>0</v>
          </cell>
          <cell r="X128">
            <v>1474</v>
          </cell>
          <cell r="Y128" t="str">
            <v>m</v>
          </cell>
          <cell r="Z128">
            <v>385.83</v>
          </cell>
          <cell r="AB128">
            <v>568713.42000000004</v>
          </cell>
        </row>
        <row r="129">
          <cell r="B129" t="str">
            <v>C2_33</v>
          </cell>
          <cell r="D129" t="str">
            <v>cb</v>
          </cell>
          <cell r="E129" t="str">
            <v>PIPE HDPE-140/6</v>
          </cell>
          <cell r="F129" t="str">
            <v>HDPE Pipe of 140mm dia. and 6 kgf/sqcm pressure rating</v>
          </cell>
          <cell r="I129">
            <v>0</v>
          </cell>
          <cell r="J129">
            <v>0</v>
          </cell>
          <cell r="K129">
            <v>0</v>
          </cell>
          <cell r="L129">
            <v>0</v>
          </cell>
          <cell r="M129">
            <v>0</v>
          </cell>
          <cell r="N129">
            <v>0</v>
          </cell>
          <cell r="O129">
            <v>0</v>
          </cell>
          <cell r="P129">
            <v>0</v>
          </cell>
          <cell r="Q129">
            <v>7121</v>
          </cell>
          <cell r="R129">
            <v>0</v>
          </cell>
          <cell r="S129">
            <v>0</v>
          </cell>
          <cell r="T129">
            <v>0</v>
          </cell>
          <cell r="U129">
            <v>0</v>
          </cell>
          <cell r="V129">
            <v>0</v>
          </cell>
          <cell r="W129">
            <v>0</v>
          </cell>
          <cell r="X129">
            <v>7121</v>
          </cell>
          <cell r="Y129" t="str">
            <v>m</v>
          </cell>
          <cell r="Z129">
            <v>551.95000000000005</v>
          </cell>
          <cell r="AB129">
            <v>3930435.95</v>
          </cell>
        </row>
        <row r="130">
          <cell r="B130" t="str">
            <v>C2_34</v>
          </cell>
          <cell r="D130" t="str">
            <v>cc</v>
          </cell>
          <cell r="E130" t="str">
            <v>PIPE HDPE-125/6</v>
          </cell>
          <cell r="F130" t="str">
            <v>HDPE Pipe of 125mm dia. and 6 kgf/sqcm pressure rating</v>
          </cell>
          <cell r="I130">
            <v>0</v>
          </cell>
          <cell r="J130">
            <v>0</v>
          </cell>
          <cell r="K130">
            <v>0</v>
          </cell>
          <cell r="L130">
            <v>0</v>
          </cell>
          <cell r="M130">
            <v>0</v>
          </cell>
          <cell r="N130">
            <v>0</v>
          </cell>
          <cell r="O130">
            <v>0</v>
          </cell>
          <cell r="P130">
            <v>0</v>
          </cell>
          <cell r="Q130">
            <v>7227</v>
          </cell>
          <cell r="R130">
            <v>0</v>
          </cell>
          <cell r="S130">
            <v>0</v>
          </cell>
          <cell r="T130">
            <v>0</v>
          </cell>
          <cell r="U130">
            <v>0</v>
          </cell>
          <cell r="V130">
            <v>0</v>
          </cell>
          <cell r="W130">
            <v>0</v>
          </cell>
          <cell r="X130">
            <v>7227</v>
          </cell>
          <cell r="Y130" t="str">
            <v>m</v>
          </cell>
          <cell r="Z130">
            <v>437.96</v>
          </cell>
          <cell r="AB130">
            <v>3165136.92</v>
          </cell>
        </row>
        <row r="131">
          <cell r="B131" t="str">
            <v>C2_35</v>
          </cell>
          <cell r="D131" t="str">
            <v>cd</v>
          </cell>
          <cell r="E131" t="str">
            <v>PIPE HDPE-110/6</v>
          </cell>
          <cell r="F131" t="str">
            <v>HDPE Pipe of 110mm dia. and 6 kgf/sqcm pressure rating</v>
          </cell>
          <cell r="I131">
            <v>0</v>
          </cell>
          <cell r="J131">
            <v>0</v>
          </cell>
          <cell r="K131">
            <v>0</v>
          </cell>
          <cell r="L131">
            <v>0</v>
          </cell>
          <cell r="M131">
            <v>0</v>
          </cell>
          <cell r="N131">
            <v>0</v>
          </cell>
          <cell r="O131">
            <v>0</v>
          </cell>
          <cell r="P131">
            <v>0</v>
          </cell>
          <cell r="Q131">
            <v>5883</v>
          </cell>
          <cell r="R131">
            <v>0</v>
          </cell>
          <cell r="S131">
            <v>0</v>
          </cell>
          <cell r="T131">
            <v>0</v>
          </cell>
          <cell r="U131">
            <v>0</v>
          </cell>
          <cell r="V131">
            <v>0</v>
          </cell>
          <cell r="W131">
            <v>0</v>
          </cell>
          <cell r="X131">
            <v>5883</v>
          </cell>
          <cell r="Y131" t="str">
            <v>m</v>
          </cell>
          <cell r="Z131">
            <v>338.48</v>
          </cell>
          <cell r="AB131">
            <v>1991277.84</v>
          </cell>
        </row>
        <row r="132">
          <cell r="B132" t="str">
            <v>C2_36</v>
          </cell>
          <cell r="D132" t="str">
            <v>ce</v>
          </cell>
          <cell r="E132" t="str">
            <v>PIPE HDPE-90/6</v>
          </cell>
          <cell r="F132" t="str">
            <v>HDPE Pipe of 90mm dia. and 6 kgf/sqcm pressure rating</v>
          </cell>
          <cell r="I132">
            <v>0</v>
          </cell>
          <cell r="J132">
            <v>0</v>
          </cell>
          <cell r="K132">
            <v>0</v>
          </cell>
          <cell r="L132">
            <v>0</v>
          </cell>
          <cell r="M132">
            <v>0</v>
          </cell>
          <cell r="N132">
            <v>0</v>
          </cell>
          <cell r="O132">
            <v>0</v>
          </cell>
          <cell r="P132">
            <v>0</v>
          </cell>
          <cell r="Q132">
            <v>4808</v>
          </cell>
          <cell r="R132">
            <v>0</v>
          </cell>
          <cell r="S132">
            <v>0</v>
          </cell>
          <cell r="T132">
            <v>0</v>
          </cell>
          <cell r="U132">
            <v>0</v>
          </cell>
          <cell r="V132">
            <v>0</v>
          </cell>
          <cell r="W132">
            <v>0</v>
          </cell>
          <cell r="X132">
            <v>4808</v>
          </cell>
          <cell r="Y132" t="str">
            <v>m</v>
          </cell>
          <cell r="Z132">
            <v>228.09</v>
          </cell>
          <cell r="AB132">
            <v>1096656.72</v>
          </cell>
        </row>
        <row r="133">
          <cell r="B133" t="str">
            <v>C2_37</v>
          </cell>
          <cell r="D133" t="str">
            <v>cf</v>
          </cell>
          <cell r="E133" t="str">
            <v>PIPE HDPE-75/6</v>
          </cell>
          <cell r="F133" t="str">
            <v>HDPE Pipe of 75mm dia. and 6 kgf/sqcm pressure rating</v>
          </cell>
          <cell r="I133">
            <v>0</v>
          </cell>
          <cell r="J133">
            <v>0</v>
          </cell>
          <cell r="K133">
            <v>0</v>
          </cell>
          <cell r="L133">
            <v>0</v>
          </cell>
          <cell r="M133">
            <v>0</v>
          </cell>
          <cell r="N133">
            <v>0</v>
          </cell>
          <cell r="O133">
            <v>0</v>
          </cell>
          <cell r="P133">
            <v>0</v>
          </cell>
          <cell r="Q133">
            <v>4898</v>
          </cell>
          <cell r="R133">
            <v>0</v>
          </cell>
          <cell r="S133">
            <v>0</v>
          </cell>
          <cell r="T133">
            <v>0</v>
          </cell>
          <cell r="U133">
            <v>0</v>
          </cell>
          <cell r="V133">
            <v>0</v>
          </cell>
          <cell r="W133">
            <v>0</v>
          </cell>
          <cell r="X133">
            <v>4898</v>
          </cell>
          <cell r="Y133" t="str">
            <v>m</v>
          </cell>
          <cell r="Z133">
            <v>158.4</v>
          </cell>
          <cell r="AB133">
            <v>775843.2</v>
          </cell>
        </row>
        <row r="134">
          <cell r="B134" t="str">
            <v>C2_38</v>
          </cell>
          <cell r="D134" t="str">
            <v>cg</v>
          </cell>
          <cell r="E134" t="str">
            <v>PIPE HDPE-75/4</v>
          </cell>
          <cell r="F134" t="str">
            <v>HDPE Pipe of 75mm dia. and 4 kgf/sqcm pressure rating</v>
          </cell>
          <cell r="I134">
            <v>0</v>
          </cell>
          <cell r="J134">
            <v>0</v>
          </cell>
          <cell r="K134">
            <v>0</v>
          </cell>
          <cell r="L134">
            <v>0</v>
          </cell>
          <cell r="M134">
            <v>0</v>
          </cell>
          <cell r="N134">
            <v>0</v>
          </cell>
          <cell r="O134">
            <v>0</v>
          </cell>
          <cell r="P134">
            <v>0</v>
          </cell>
          <cell r="Q134">
            <v>473</v>
          </cell>
          <cell r="R134">
            <v>0</v>
          </cell>
          <cell r="S134">
            <v>0</v>
          </cell>
          <cell r="T134">
            <v>0</v>
          </cell>
          <cell r="U134">
            <v>0</v>
          </cell>
          <cell r="V134">
            <v>0</v>
          </cell>
          <cell r="W134">
            <v>0</v>
          </cell>
          <cell r="X134">
            <v>473</v>
          </cell>
          <cell r="Y134" t="str">
            <v>m</v>
          </cell>
          <cell r="Z134">
            <v>112.51</v>
          </cell>
          <cell r="AB134">
            <v>53217.23</v>
          </cell>
        </row>
        <row r="135">
          <cell r="B135" t="str">
            <v>C2_39</v>
          </cell>
          <cell r="D135" t="str">
            <v>ch</v>
          </cell>
          <cell r="E135" t="str">
            <v>PIPE HDPE-63/6</v>
          </cell>
          <cell r="F135" t="str">
            <v>HDPE Pipe of 63mm dia. and 6 kgf/sqcm pressure rating</v>
          </cell>
          <cell r="I135">
            <v>0</v>
          </cell>
          <cell r="J135">
            <v>0</v>
          </cell>
          <cell r="K135">
            <v>0</v>
          </cell>
          <cell r="L135">
            <v>0</v>
          </cell>
          <cell r="M135">
            <v>0</v>
          </cell>
          <cell r="N135">
            <v>0</v>
          </cell>
          <cell r="O135">
            <v>0</v>
          </cell>
          <cell r="P135">
            <v>0</v>
          </cell>
          <cell r="Q135">
            <v>4710</v>
          </cell>
          <cell r="R135">
            <v>0</v>
          </cell>
          <cell r="S135">
            <v>0</v>
          </cell>
          <cell r="T135">
            <v>0</v>
          </cell>
          <cell r="U135">
            <v>0</v>
          </cell>
          <cell r="V135">
            <v>0</v>
          </cell>
          <cell r="W135">
            <v>0</v>
          </cell>
          <cell r="X135">
            <v>4710</v>
          </cell>
          <cell r="Y135" t="str">
            <v>m</v>
          </cell>
          <cell r="Z135">
            <v>113.05</v>
          </cell>
          <cell r="AB135">
            <v>532465.5</v>
          </cell>
        </row>
        <row r="136">
          <cell r="B136" t="str">
            <v>C2_40</v>
          </cell>
          <cell r="D136" t="str">
            <v>ck</v>
          </cell>
          <cell r="E136" t="str">
            <v>PIPE GI-40 (M)</v>
          </cell>
          <cell r="F136" t="str">
            <v>GI Pipe of 40mm dia. (medium)</v>
          </cell>
          <cell r="I136">
            <v>0</v>
          </cell>
          <cell r="J136">
            <v>0</v>
          </cell>
          <cell r="K136">
            <v>0</v>
          </cell>
          <cell r="L136">
            <v>0</v>
          </cell>
          <cell r="M136">
            <v>0</v>
          </cell>
          <cell r="N136">
            <v>0</v>
          </cell>
          <cell r="O136">
            <v>0</v>
          </cell>
          <cell r="P136">
            <v>0</v>
          </cell>
          <cell r="Q136">
            <v>12</v>
          </cell>
          <cell r="R136">
            <v>0</v>
          </cell>
          <cell r="S136">
            <v>0</v>
          </cell>
          <cell r="T136">
            <v>0</v>
          </cell>
          <cell r="U136">
            <v>0</v>
          </cell>
          <cell r="V136">
            <v>0</v>
          </cell>
          <cell r="W136">
            <v>0</v>
          </cell>
          <cell r="X136">
            <v>12</v>
          </cell>
          <cell r="Y136" t="str">
            <v>m</v>
          </cell>
          <cell r="Z136">
            <v>250</v>
          </cell>
          <cell r="AB136">
            <v>3000</v>
          </cell>
        </row>
        <row r="137">
          <cell r="B137" t="str">
            <v>C2_41</v>
          </cell>
          <cell r="D137" t="str">
            <v>cl</v>
          </cell>
          <cell r="E137" t="str">
            <v>PIPE GI-50 (M)</v>
          </cell>
          <cell r="F137" t="str">
            <v>GI Pipe of 50mm dia. (medium)</v>
          </cell>
          <cell r="I137">
            <v>0</v>
          </cell>
          <cell r="J137">
            <v>0</v>
          </cell>
          <cell r="K137">
            <v>0</v>
          </cell>
          <cell r="L137">
            <v>0</v>
          </cell>
          <cell r="M137">
            <v>0</v>
          </cell>
          <cell r="N137">
            <v>0</v>
          </cell>
          <cell r="O137">
            <v>0</v>
          </cell>
          <cell r="P137">
            <v>0</v>
          </cell>
          <cell r="Q137">
            <v>12</v>
          </cell>
          <cell r="R137">
            <v>0</v>
          </cell>
          <cell r="S137">
            <v>0</v>
          </cell>
          <cell r="T137">
            <v>0</v>
          </cell>
          <cell r="U137">
            <v>0</v>
          </cell>
          <cell r="V137">
            <v>0</v>
          </cell>
          <cell r="W137">
            <v>0</v>
          </cell>
          <cell r="X137">
            <v>12</v>
          </cell>
          <cell r="Y137" t="str">
            <v>m</v>
          </cell>
          <cell r="Z137">
            <v>344.83</v>
          </cell>
          <cell r="AB137">
            <v>4137.96</v>
          </cell>
        </row>
        <row r="138">
          <cell r="B138" t="str">
            <v>C2_42</v>
          </cell>
          <cell r="D138" t="str">
            <v>cm</v>
          </cell>
          <cell r="E138" t="str">
            <v>PIPE GI-63 (M)</v>
          </cell>
          <cell r="F138" t="str">
            <v>GI Pipe of 65mm dia. (medium)</v>
          </cell>
          <cell r="I138">
            <v>0</v>
          </cell>
          <cell r="J138">
            <v>0</v>
          </cell>
          <cell r="K138">
            <v>0</v>
          </cell>
          <cell r="L138">
            <v>0</v>
          </cell>
          <cell r="M138">
            <v>0</v>
          </cell>
          <cell r="N138">
            <v>0</v>
          </cell>
          <cell r="O138">
            <v>0</v>
          </cell>
          <cell r="P138">
            <v>0</v>
          </cell>
          <cell r="Q138">
            <v>12</v>
          </cell>
          <cell r="R138">
            <v>0</v>
          </cell>
          <cell r="S138">
            <v>0</v>
          </cell>
          <cell r="T138">
            <v>0</v>
          </cell>
          <cell r="U138">
            <v>0</v>
          </cell>
          <cell r="V138">
            <v>0</v>
          </cell>
          <cell r="W138">
            <v>0</v>
          </cell>
          <cell r="X138">
            <v>12</v>
          </cell>
          <cell r="Y138" t="str">
            <v>m</v>
          </cell>
          <cell r="Z138">
            <v>441.66</v>
          </cell>
          <cell r="AB138">
            <v>5299.92</v>
          </cell>
        </row>
        <row r="139">
          <cell r="B139" t="str">
            <v>C2_43</v>
          </cell>
          <cell r="D139" t="str">
            <v>cn</v>
          </cell>
          <cell r="E139" t="str">
            <v>PIPE GI-75 (M)</v>
          </cell>
          <cell r="F139" t="str">
            <v>GI Pipe of 80mm dia. (medium)</v>
          </cell>
          <cell r="I139">
            <v>0</v>
          </cell>
          <cell r="J139">
            <v>0</v>
          </cell>
          <cell r="K139">
            <v>0</v>
          </cell>
          <cell r="L139">
            <v>0</v>
          </cell>
          <cell r="M139">
            <v>0</v>
          </cell>
          <cell r="N139">
            <v>0</v>
          </cell>
          <cell r="O139">
            <v>0</v>
          </cell>
          <cell r="P139">
            <v>0</v>
          </cell>
          <cell r="Q139">
            <v>12</v>
          </cell>
          <cell r="R139">
            <v>0</v>
          </cell>
          <cell r="S139">
            <v>0</v>
          </cell>
          <cell r="T139">
            <v>0</v>
          </cell>
          <cell r="U139">
            <v>0</v>
          </cell>
          <cell r="V139">
            <v>0</v>
          </cell>
          <cell r="W139">
            <v>0</v>
          </cell>
          <cell r="X139">
            <v>12</v>
          </cell>
          <cell r="Y139" t="str">
            <v>m</v>
          </cell>
          <cell r="Z139">
            <v>566.66</v>
          </cell>
          <cell r="AB139">
            <v>6799.92</v>
          </cell>
        </row>
        <row r="140">
          <cell r="B140" t="str">
            <v>C2_44</v>
          </cell>
          <cell r="C140" t="str">
            <v>H-140/4</v>
          </cell>
          <cell r="D140" t="str">
            <v>n</v>
          </cell>
          <cell r="E140" t="str">
            <v>PIPE GI-100 (M)</v>
          </cell>
          <cell r="F140" t="str">
            <v>GI Pipe of 100mm dia. (medium)</v>
          </cell>
          <cell r="I140">
            <v>0</v>
          </cell>
          <cell r="J140">
            <v>0</v>
          </cell>
          <cell r="K140">
            <v>9</v>
          </cell>
          <cell r="L140">
            <v>0</v>
          </cell>
          <cell r="M140">
            <v>0</v>
          </cell>
          <cell r="N140">
            <v>0</v>
          </cell>
          <cell r="O140">
            <v>0</v>
          </cell>
          <cell r="P140">
            <v>0</v>
          </cell>
          <cell r="Q140">
            <v>126</v>
          </cell>
          <cell r="R140">
            <v>0</v>
          </cell>
          <cell r="S140">
            <v>0</v>
          </cell>
          <cell r="T140">
            <v>0</v>
          </cell>
          <cell r="U140">
            <v>0</v>
          </cell>
          <cell r="V140">
            <v>0</v>
          </cell>
          <cell r="W140">
            <v>0</v>
          </cell>
          <cell r="X140">
            <v>135</v>
          </cell>
          <cell r="Y140" t="str">
            <v>m</v>
          </cell>
          <cell r="Z140">
            <v>806.66</v>
          </cell>
          <cell r="AB140">
            <v>108899.1</v>
          </cell>
        </row>
        <row r="141">
          <cell r="B141" t="str">
            <v>C2_45</v>
          </cell>
          <cell r="D141" t="str">
            <v>co</v>
          </cell>
          <cell r="E141" t="str">
            <v>PIPE GI-125 (M)</v>
          </cell>
          <cell r="F141" t="str">
            <v>GI Pipe of 125mm dia. (medium)</v>
          </cell>
          <cell r="I141">
            <v>0</v>
          </cell>
          <cell r="J141">
            <v>0</v>
          </cell>
          <cell r="K141">
            <v>0</v>
          </cell>
          <cell r="L141">
            <v>0</v>
          </cell>
          <cell r="M141">
            <v>0</v>
          </cell>
          <cell r="N141">
            <v>0</v>
          </cell>
          <cell r="O141">
            <v>0</v>
          </cell>
          <cell r="P141">
            <v>0</v>
          </cell>
          <cell r="Q141">
            <v>66</v>
          </cell>
          <cell r="R141">
            <v>0</v>
          </cell>
          <cell r="S141">
            <v>0</v>
          </cell>
          <cell r="T141">
            <v>0</v>
          </cell>
          <cell r="U141">
            <v>0</v>
          </cell>
          <cell r="V141">
            <v>0</v>
          </cell>
          <cell r="W141">
            <v>0</v>
          </cell>
          <cell r="X141">
            <v>66</v>
          </cell>
          <cell r="Y141" t="str">
            <v>m</v>
          </cell>
          <cell r="Z141">
            <v>1210</v>
          </cell>
          <cell r="AB141">
            <v>79860</v>
          </cell>
        </row>
        <row r="142">
          <cell r="B142" t="str">
            <v>C2_46</v>
          </cell>
          <cell r="C142" t="str">
            <v>H-125/6</v>
          </cell>
          <cell r="D142" t="str">
            <v>m</v>
          </cell>
          <cell r="E142" t="str">
            <v>PIPE GI-150 (M)</v>
          </cell>
          <cell r="F142" t="str">
            <v>GI Pipe of 150mm dia. (medium)</v>
          </cell>
          <cell r="I142">
            <v>0</v>
          </cell>
          <cell r="J142">
            <v>0</v>
          </cell>
          <cell r="K142">
            <v>1.8</v>
          </cell>
          <cell r="L142">
            <v>0</v>
          </cell>
          <cell r="M142">
            <v>0</v>
          </cell>
          <cell r="N142">
            <v>0</v>
          </cell>
          <cell r="O142">
            <v>0</v>
          </cell>
          <cell r="P142">
            <v>0</v>
          </cell>
          <cell r="Q142">
            <v>30</v>
          </cell>
          <cell r="R142">
            <v>0</v>
          </cell>
          <cell r="S142">
            <v>0</v>
          </cell>
          <cell r="T142">
            <v>0</v>
          </cell>
          <cell r="U142">
            <v>0</v>
          </cell>
          <cell r="V142">
            <v>0</v>
          </cell>
          <cell r="W142">
            <v>0</v>
          </cell>
          <cell r="X142">
            <v>31.8</v>
          </cell>
          <cell r="Y142" t="str">
            <v>m</v>
          </cell>
          <cell r="Z142">
            <v>1815</v>
          </cell>
          <cell r="AB142">
            <v>57717</v>
          </cell>
        </row>
        <row r="143">
          <cell r="B143" t="str">
            <v>C2_47</v>
          </cell>
          <cell r="E143" t="str">
            <v>PIPE DI-200</v>
          </cell>
          <cell r="F143" t="str">
            <v>DI Pipe of 200mm dia. (K9 spigot Joint 75% Flange Joint 25%)</v>
          </cell>
          <cell r="I143">
            <v>0</v>
          </cell>
          <cell r="J143">
            <v>0</v>
          </cell>
          <cell r="K143">
            <v>0</v>
          </cell>
          <cell r="L143">
            <v>450</v>
          </cell>
          <cell r="M143">
            <v>0</v>
          </cell>
          <cell r="N143">
            <v>0</v>
          </cell>
          <cell r="O143">
            <v>0</v>
          </cell>
          <cell r="P143">
            <v>0</v>
          </cell>
          <cell r="Q143">
            <v>0</v>
          </cell>
          <cell r="R143">
            <v>0</v>
          </cell>
          <cell r="S143">
            <v>0</v>
          </cell>
          <cell r="T143">
            <v>0</v>
          </cell>
          <cell r="U143">
            <v>0</v>
          </cell>
          <cell r="V143">
            <v>0</v>
          </cell>
          <cell r="W143">
            <v>0</v>
          </cell>
          <cell r="X143">
            <v>450</v>
          </cell>
          <cell r="Y143" t="str">
            <v>m</v>
          </cell>
          <cell r="Z143">
            <v>2376</v>
          </cell>
          <cell r="AB143">
            <v>1069200</v>
          </cell>
        </row>
        <row r="144">
          <cell r="B144" t="str">
            <v>C2_48</v>
          </cell>
          <cell r="E144" t="str">
            <v>PIPE DI-250</v>
          </cell>
          <cell r="F144" t="str">
            <v>DI Pipe of 250mm dia. (K9 spigot Joint 75% Flange Joint 25%)</v>
          </cell>
          <cell r="I144">
            <v>0</v>
          </cell>
          <cell r="J144">
            <v>0</v>
          </cell>
          <cell r="K144">
            <v>0</v>
          </cell>
          <cell r="L144">
            <v>200</v>
          </cell>
          <cell r="M144">
            <v>0</v>
          </cell>
          <cell r="N144">
            <v>0</v>
          </cell>
          <cell r="O144">
            <v>0</v>
          </cell>
          <cell r="P144">
            <v>0</v>
          </cell>
          <cell r="Q144">
            <v>0</v>
          </cell>
          <cell r="R144">
            <v>0</v>
          </cell>
          <cell r="S144">
            <v>0</v>
          </cell>
          <cell r="T144">
            <v>0</v>
          </cell>
          <cell r="U144">
            <v>0</v>
          </cell>
          <cell r="V144">
            <v>0</v>
          </cell>
          <cell r="W144">
            <v>0</v>
          </cell>
          <cell r="X144">
            <v>200</v>
          </cell>
          <cell r="Y144" t="str">
            <v>m</v>
          </cell>
          <cell r="Z144">
            <v>3168</v>
          </cell>
          <cell r="AB144">
            <v>633600</v>
          </cell>
        </row>
        <row r="145">
          <cell r="B145" t="str">
            <v>C2_49</v>
          </cell>
          <cell r="D145" t="str">
            <v>ad</v>
          </cell>
          <cell r="E145" t="str">
            <v>15mm dia. GI pipe laying works (with pipe)</v>
          </cell>
          <cell r="F145" t="str">
            <v>15mm dia. GI pipe work in the building including supply of pipe</v>
          </cell>
          <cell r="I145">
            <v>0</v>
          </cell>
          <cell r="J145">
            <v>0</v>
          </cell>
          <cell r="K145">
            <v>0</v>
          </cell>
          <cell r="L145">
            <v>0</v>
          </cell>
          <cell r="M145">
            <v>0</v>
          </cell>
          <cell r="N145">
            <v>0</v>
          </cell>
          <cell r="O145">
            <v>15</v>
          </cell>
          <cell r="P145">
            <v>0</v>
          </cell>
          <cell r="Q145">
            <v>0</v>
          </cell>
          <cell r="R145">
            <v>0</v>
          </cell>
          <cell r="S145">
            <v>0</v>
          </cell>
          <cell r="T145">
            <v>0</v>
          </cell>
          <cell r="U145">
            <v>0</v>
          </cell>
          <cell r="V145">
            <v>0</v>
          </cell>
          <cell r="W145">
            <v>28</v>
          </cell>
          <cell r="X145">
            <v>43</v>
          </cell>
          <cell r="Y145" t="str">
            <v>m</v>
          </cell>
          <cell r="Z145">
            <v>97.12</v>
          </cell>
          <cell r="AB145">
            <v>4176.16</v>
          </cell>
        </row>
        <row r="146">
          <cell r="B146" t="str">
            <v>C2_50</v>
          </cell>
          <cell r="D146" t="str">
            <v>ae</v>
          </cell>
          <cell r="E146" t="str">
            <v>20mm dia. GI pipe laying works (with Pipe)</v>
          </cell>
          <cell r="F146" t="str">
            <v>20mm dia. GI pipe work in the building including supply of pipe</v>
          </cell>
          <cell r="I146">
            <v>0</v>
          </cell>
          <cell r="J146">
            <v>0</v>
          </cell>
          <cell r="K146">
            <v>0</v>
          </cell>
          <cell r="L146">
            <v>0</v>
          </cell>
          <cell r="M146">
            <v>0</v>
          </cell>
          <cell r="N146">
            <v>0</v>
          </cell>
          <cell r="O146">
            <v>6</v>
          </cell>
          <cell r="P146">
            <v>0</v>
          </cell>
          <cell r="Q146">
            <v>0</v>
          </cell>
          <cell r="R146">
            <v>0</v>
          </cell>
          <cell r="S146">
            <v>0</v>
          </cell>
          <cell r="T146">
            <v>0</v>
          </cell>
          <cell r="U146">
            <v>0</v>
          </cell>
          <cell r="V146">
            <v>0</v>
          </cell>
          <cell r="W146">
            <v>28</v>
          </cell>
          <cell r="X146">
            <v>34</v>
          </cell>
          <cell r="Y146" t="str">
            <v>m</v>
          </cell>
          <cell r="Z146">
            <v>122.12</v>
          </cell>
          <cell r="AB146">
            <v>4152.08</v>
          </cell>
        </row>
        <row r="147">
          <cell r="B147" t="str">
            <v>C2_51</v>
          </cell>
          <cell r="D147" t="str">
            <v>ai</v>
          </cell>
          <cell r="E147" t="str">
            <v>PVC Pipe 110mm</v>
          </cell>
          <cell r="F147" t="str">
            <v>PVC Pipe (110mm) laying work in the building including supply of pipe</v>
          </cell>
          <cell r="I147">
            <v>0</v>
          </cell>
          <cell r="J147">
            <v>0</v>
          </cell>
          <cell r="K147">
            <v>0</v>
          </cell>
          <cell r="L147">
            <v>0</v>
          </cell>
          <cell r="M147">
            <v>0</v>
          </cell>
          <cell r="N147">
            <v>0</v>
          </cell>
          <cell r="O147">
            <v>3</v>
          </cell>
          <cell r="P147">
            <v>0</v>
          </cell>
          <cell r="Q147">
            <v>0</v>
          </cell>
          <cell r="R147">
            <v>0</v>
          </cell>
          <cell r="S147">
            <v>0</v>
          </cell>
          <cell r="T147">
            <v>0</v>
          </cell>
          <cell r="U147">
            <v>0</v>
          </cell>
          <cell r="V147">
            <v>0</v>
          </cell>
          <cell r="W147">
            <v>24</v>
          </cell>
          <cell r="X147">
            <v>27</v>
          </cell>
          <cell r="Y147" t="str">
            <v>Rm</v>
          </cell>
          <cell r="Z147">
            <v>100</v>
          </cell>
          <cell r="AB147">
            <v>2700</v>
          </cell>
        </row>
        <row r="148">
          <cell r="B148" t="str">
            <v>C2_52</v>
          </cell>
          <cell r="D148" t="str">
            <v>aj</v>
          </cell>
          <cell r="E148" t="str">
            <v>PVC Pipe 75mm</v>
          </cell>
          <cell r="F148" t="str">
            <v>PVC Pipe (75mm) laying work in the building including supply of pipe</v>
          </cell>
          <cell r="I148">
            <v>0</v>
          </cell>
          <cell r="J148">
            <v>0</v>
          </cell>
          <cell r="K148">
            <v>0</v>
          </cell>
          <cell r="L148">
            <v>0</v>
          </cell>
          <cell r="M148">
            <v>0</v>
          </cell>
          <cell r="N148">
            <v>0</v>
          </cell>
          <cell r="O148">
            <v>18</v>
          </cell>
          <cell r="P148">
            <v>0</v>
          </cell>
          <cell r="Q148">
            <v>0</v>
          </cell>
          <cell r="R148">
            <v>0</v>
          </cell>
          <cell r="S148">
            <v>0</v>
          </cell>
          <cell r="T148">
            <v>0</v>
          </cell>
          <cell r="U148">
            <v>0</v>
          </cell>
          <cell r="V148">
            <v>0</v>
          </cell>
          <cell r="W148">
            <v>36</v>
          </cell>
          <cell r="X148">
            <v>54</v>
          </cell>
          <cell r="Y148" t="str">
            <v>Rm</v>
          </cell>
          <cell r="Z148">
            <v>75</v>
          </cell>
          <cell r="AB148">
            <v>4050</v>
          </cell>
        </row>
        <row r="149">
          <cell r="B149" t="str">
            <v>C2_53</v>
          </cell>
          <cell r="D149" t="str">
            <v>ak</v>
          </cell>
          <cell r="E149" t="str">
            <v>PVC Pipe 50mm</v>
          </cell>
          <cell r="F149" t="str">
            <v>PVC Pipe (50mm) laying work in the building including supply of pipe</v>
          </cell>
          <cell r="I149">
            <v>0</v>
          </cell>
          <cell r="J149">
            <v>0</v>
          </cell>
          <cell r="K149">
            <v>0</v>
          </cell>
          <cell r="L149">
            <v>0</v>
          </cell>
          <cell r="M149">
            <v>0</v>
          </cell>
          <cell r="N149">
            <v>0</v>
          </cell>
          <cell r="O149">
            <v>5</v>
          </cell>
          <cell r="P149">
            <v>0</v>
          </cell>
          <cell r="Q149">
            <v>0</v>
          </cell>
          <cell r="R149">
            <v>0</v>
          </cell>
          <cell r="S149">
            <v>0</v>
          </cell>
          <cell r="T149">
            <v>0</v>
          </cell>
          <cell r="U149">
            <v>0</v>
          </cell>
          <cell r="V149">
            <v>0</v>
          </cell>
          <cell r="W149">
            <v>24</v>
          </cell>
          <cell r="X149">
            <v>29</v>
          </cell>
          <cell r="Y149" t="str">
            <v>Rm</v>
          </cell>
          <cell r="Z149">
            <v>50</v>
          </cell>
          <cell r="AB149">
            <v>1450</v>
          </cell>
        </row>
        <row r="150">
          <cell r="B150" t="str">
            <v>C2_54</v>
          </cell>
          <cell r="E150" t="str">
            <v>25mm dia. GI pipe laying works (with Pipe)</v>
          </cell>
          <cell r="F150" t="str">
            <v>25mm dia. GI pipe work in the building including supply of pipe</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8</v>
          </cell>
          <cell r="X150">
            <v>8</v>
          </cell>
          <cell r="Y150" t="str">
            <v>m</v>
          </cell>
          <cell r="Z150">
            <v>185.87</v>
          </cell>
          <cell r="AB150">
            <v>1486.96</v>
          </cell>
        </row>
        <row r="151">
          <cell r="B151" t="str">
            <v>C2_55</v>
          </cell>
          <cell r="E151" t="str">
            <v>H Connection of PVC pipe 110mm</v>
          </cell>
          <cell r="F151" t="str">
            <v>H Connection of PVC pipe 110mm as per drawing in Building</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18</v>
          </cell>
          <cell r="X151">
            <v>18</v>
          </cell>
          <cell r="Y151" t="str">
            <v>No</v>
          </cell>
          <cell r="Z151">
            <v>230</v>
          </cell>
          <cell r="AB151">
            <v>4140</v>
          </cell>
        </row>
        <row r="152">
          <cell r="E152" t="str">
            <v>Fittings</v>
          </cell>
        </row>
        <row r="153">
          <cell r="B153" t="str">
            <v>C3_1</v>
          </cell>
          <cell r="D153" t="str">
            <v>cv</v>
          </cell>
          <cell r="E153" t="str">
            <v>Double Flange Conc. Tee (300mm x 200mm DI)</v>
          </cell>
          <cell r="F153" t="str">
            <v>Double Flange Conc. Tee (300mm x 200mm DI)</v>
          </cell>
          <cell r="I153">
            <v>0</v>
          </cell>
          <cell r="J153">
            <v>0</v>
          </cell>
          <cell r="K153">
            <v>0</v>
          </cell>
          <cell r="L153">
            <v>0</v>
          </cell>
          <cell r="M153">
            <v>0</v>
          </cell>
          <cell r="N153">
            <v>0</v>
          </cell>
          <cell r="O153">
            <v>0</v>
          </cell>
          <cell r="P153">
            <v>0</v>
          </cell>
          <cell r="Q153">
            <v>0</v>
          </cell>
          <cell r="R153">
            <v>0</v>
          </cell>
          <cell r="S153">
            <v>0</v>
          </cell>
          <cell r="T153">
            <v>0</v>
          </cell>
          <cell r="U153">
            <v>2</v>
          </cell>
          <cell r="V153">
            <v>0</v>
          </cell>
          <cell r="W153">
            <v>0</v>
          </cell>
          <cell r="X153">
            <v>2</v>
          </cell>
          <cell r="Y153" t="str">
            <v>No</v>
          </cell>
          <cell r="Z153">
            <v>5493.3539999999994</v>
          </cell>
          <cell r="AB153">
            <v>10986.71</v>
          </cell>
        </row>
        <row r="154">
          <cell r="B154" t="str">
            <v>C3_2</v>
          </cell>
          <cell r="D154" t="str">
            <v>cw</v>
          </cell>
          <cell r="E154" t="str">
            <v>Double Flange Tail Piece (200mm DI)</v>
          </cell>
          <cell r="F154" t="str">
            <v>Double Flange Tail Piece (200mm DI)</v>
          </cell>
          <cell r="I154">
            <v>0</v>
          </cell>
          <cell r="J154">
            <v>0</v>
          </cell>
          <cell r="K154">
            <v>0</v>
          </cell>
          <cell r="L154">
            <v>0</v>
          </cell>
          <cell r="M154">
            <v>0</v>
          </cell>
          <cell r="N154">
            <v>0</v>
          </cell>
          <cell r="O154">
            <v>0</v>
          </cell>
          <cell r="P154">
            <v>0</v>
          </cell>
          <cell r="Q154">
            <v>0</v>
          </cell>
          <cell r="R154">
            <v>0</v>
          </cell>
          <cell r="S154">
            <v>0</v>
          </cell>
          <cell r="T154">
            <v>0</v>
          </cell>
          <cell r="U154">
            <v>13</v>
          </cell>
          <cell r="V154">
            <v>0</v>
          </cell>
          <cell r="W154">
            <v>0</v>
          </cell>
          <cell r="X154">
            <v>13</v>
          </cell>
          <cell r="Y154" t="str">
            <v>No</v>
          </cell>
          <cell r="Z154">
            <v>3818.3879999999995</v>
          </cell>
          <cell r="AB154">
            <v>49639.040000000001</v>
          </cell>
        </row>
        <row r="155">
          <cell r="B155" t="str">
            <v>C3_3</v>
          </cell>
          <cell r="D155" t="str">
            <v>cx</v>
          </cell>
          <cell r="E155" t="str">
            <v>Flange Tail Piece (200mm DI)</v>
          </cell>
          <cell r="F155" t="str">
            <v>Flange Tail Piece (200mm DI)</v>
          </cell>
          <cell r="I155">
            <v>0</v>
          </cell>
          <cell r="J155">
            <v>0</v>
          </cell>
          <cell r="K155">
            <v>0</v>
          </cell>
          <cell r="L155">
            <v>0</v>
          </cell>
          <cell r="M155">
            <v>0</v>
          </cell>
          <cell r="N155">
            <v>0</v>
          </cell>
          <cell r="O155">
            <v>0</v>
          </cell>
          <cell r="P155">
            <v>0</v>
          </cell>
          <cell r="Q155">
            <v>0</v>
          </cell>
          <cell r="R155">
            <v>0</v>
          </cell>
          <cell r="S155">
            <v>0</v>
          </cell>
          <cell r="T155">
            <v>0</v>
          </cell>
          <cell r="U155">
            <v>25</v>
          </cell>
          <cell r="V155">
            <v>0</v>
          </cell>
          <cell r="W155">
            <v>0</v>
          </cell>
          <cell r="X155">
            <v>25</v>
          </cell>
          <cell r="Y155" t="str">
            <v>No</v>
          </cell>
          <cell r="Z155">
            <v>3818.3879999999995</v>
          </cell>
          <cell r="AB155">
            <v>95459.7</v>
          </cell>
        </row>
        <row r="156">
          <cell r="B156" t="str">
            <v>C3_4</v>
          </cell>
          <cell r="D156" t="str">
            <v>cy</v>
          </cell>
          <cell r="E156" t="str">
            <v>Flange Tail Piece (300mm DI)</v>
          </cell>
          <cell r="F156" t="str">
            <v>Flange Tail Piece (300mm DI)</v>
          </cell>
          <cell r="I156">
            <v>0</v>
          </cell>
          <cell r="J156">
            <v>0</v>
          </cell>
          <cell r="K156">
            <v>0</v>
          </cell>
          <cell r="L156">
            <v>0</v>
          </cell>
          <cell r="M156">
            <v>0</v>
          </cell>
          <cell r="N156">
            <v>0</v>
          </cell>
          <cell r="O156">
            <v>0</v>
          </cell>
          <cell r="P156">
            <v>0</v>
          </cell>
          <cell r="Q156">
            <v>0</v>
          </cell>
          <cell r="R156">
            <v>0</v>
          </cell>
          <cell r="S156">
            <v>0</v>
          </cell>
          <cell r="T156">
            <v>0</v>
          </cell>
          <cell r="U156">
            <v>3</v>
          </cell>
          <cell r="V156">
            <v>0</v>
          </cell>
          <cell r="W156">
            <v>0</v>
          </cell>
          <cell r="X156">
            <v>3</v>
          </cell>
          <cell r="Y156" t="str">
            <v>No</v>
          </cell>
          <cell r="Z156">
            <v>6408.2579999999998</v>
          </cell>
          <cell r="AB156">
            <v>19224.77</v>
          </cell>
        </row>
        <row r="157">
          <cell r="B157" t="str">
            <v>C3_5</v>
          </cell>
          <cell r="D157" t="str">
            <v>cz</v>
          </cell>
          <cell r="E157" t="str">
            <v>Double Flange Bend (200mm DI)</v>
          </cell>
          <cell r="F157" t="str">
            <v>Double Flange Bend (200mm DI)</v>
          </cell>
          <cell r="I157">
            <v>0</v>
          </cell>
          <cell r="J157">
            <v>0</v>
          </cell>
          <cell r="K157">
            <v>0</v>
          </cell>
          <cell r="L157">
            <v>0</v>
          </cell>
          <cell r="M157">
            <v>0</v>
          </cell>
          <cell r="N157">
            <v>0</v>
          </cell>
          <cell r="O157">
            <v>0</v>
          </cell>
          <cell r="P157">
            <v>0</v>
          </cell>
          <cell r="Q157">
            <v>0</v>
          </cell>
          <cell r="R157">
            <v>0</v>
          </cell>
          <cell r="S157">
            <v>0</v>
          </cell>
          <cell r="T157">
            <v>0</v>
          </cell>
          <cell r="U157">
            <v>12</v>
          </cell>
          <cell r="V157">
            <v>0</v>
          </cell>
          <cell r="W157">
            <v>0</v>
          </cell>
          <cell r="X157">
            <v>12</v>
          </cell>
          <cell r="Y157" t="str">
            <v>No</v>
          </cell>
          <cell r="Z157">
            <v>4020.39</v>
          </cell>
          <cell r="AB157">
            <v>48244.68</v>
          </cell>
        </row>
        <row r="158">
          <cell r="B158" t="str">
            <v>C3_6</v>
          </cell>
          <cell r="D158" t="str">
            <v>da</v>
          </cell>
          <cell r="E158" t="str">
            <v>Flanged Tee (200mm DI)</v>
          </cell>
          <cell r="F158" t="str">
            <v>Flanged Tee (200mm DI)</v>
          </cell>
          <cell r="I158">
            <v>0</v>
          </cell>
          <cell r="J158">
            <v>0</v>
          </cell>
          <cell r="K158">
            <v>0</v>
          </cell>
          <cell r="L158">
            <v>0</v>
          </cell>
          <cell r="M158">
            <v>0</v>
          </cell>
          <cell r="N158">
            <v>0</v>
          </cell>
          <cell r="O158">
            <v>0</v>
          </cell>
          <cell r="P158">
            <v>0</v>
          </cell>
          <cell r="Q158">
            <v>0</v>
          </cell>
          <cell r="R158">
            <v>0</v>
          </cell>
          <cell r="S158">
            <v>0</v>
          </cell>
          <cell r="T158">
            <v>0</v>
          </cell>
          <cell r="U158">
            <v>4</v>
          </cell>
          <cell r="V158">
            <v>0</v>
          </cell>
          <cell r="W158">
            <v>0</v>
          </cell>
          <cell r="X158">
            <v>4</v>
          </cell>
          <cell r="Y158" t="str">
            <v>No</v>
          </cell>
          <cell r="Z158">
            <v>5659.2</v>
          </cell>
          <cell r="AB158">
            <v>22636.799999999999</v>
          </cell>
        </row>
        <row r="159">
          <cell r="B159" t="str">
            <v>C3_7</v>
          </cell>
          <cell r="D159" t="str">
            <v>db</v>
          </cell>
          <cell r="E159" t="str">
            <v>Flanged Tee (250mm DI)</v>
          </cell>
          <cell r="F159" t="str">
            <v>Flanged Tee (250mm DI)</v>
          </cell>
          <cell r="I159">
            <v>0</v>
          </cell>
          <cell r="J159">
            <v>0</v>
          </cell>
          <cell r="K159">
            <v>0</v>
          </cell>
          <cell r="L159">
            <v>0</v>
          </cell>
          <cell r="M159">
            <v>0</v>
          </cell>
          <cell r="N159">
            <v>0</v>
          </cell>
          <cell r="O159">
            <v>0</v>
          </cell>
          <cell r="P159">
            <v>0</v>
          </cell>
          <cell r="Q159">
            <v>0</v>
          </cell>
          <cell r="R159">
            <v>0</v>
          </cell>
          <cell r="S159">
            <v>0</v>
          </cell>
          <cell r="T159">
            <v>0</v>
          </cell>
          <cell r="U159">
            <v>1</v>
          </cell>
          <cell r="V159">
            <v>0</v>
          </cell>
          <cell r="W159">
            <v>0</v>
          </cell>
          <cell r="X159">
            <v>1</v>
          </cell>
          <cell r="Y159" t="str">
            <v>No</v>
          </cell>
          <cell r="Z159">
            <v>8559.5400000000009</v>
          </cell>
          <cell r="AB159">
            <v>8559.5400000000009</v>
          </cell>
        </row>
        <row r="160">
          <cell r="B160" t="str">
            <v>C3_8</v>
          </cell>
          <cell r="D160" t="str">
            <v>de</v>
          </cell>
          <cell r="E160" t="str">
            <v>Mechanical Coupling (200mm DI)</v>
          </cell>
          <cell r="F160" t="str">
            <v>Mechanical Coupling (200mm DI)</v>
          </cell>
          <cell r="I160">
            <v>0</v>
          </cell>
          <cell r="J160">
            <v>0</v>
          </cell>
          <cell r="K160">
            <v>0</v>
          </cell>
          <cell r="L160">
            <v>0</v>
          </cell>
          <cell r="M160">
            <v>0</v>
          </cell>
          <cell r="N160">
            <v>0</v>
          </cell>
          <cell r="O160">
            <v>0</v>
          </cell>
          <cell r="P160">
            <v>0</v>
          </cell>
          <cell r="Q160">
            <v>0</v>
          </cell>
          <cell r="R160">
            <v>0</v>
          </cell>
          <cell r="S160">
            <v>0</v>
          </cell>
          <cell r="T160">
            <v>0</v>
          </cell>
          <cell r="U160">
            <v>19</v>
          </cell>
          <cell r="V160">
            <v>0</v>
          </cell>
          <cell r="W160">
            <v>0</v>
          </cell>
          <cell r="X160">
            <v>19</v>
          </cell>
          <cell r="Y160" t="str">
            <v>No</v>
          </cell>
          <cell r="Z160">
            <v>4008.6</v>
          </cell>
          <cell r="AB160">
            <v>76163.399999999994</v>
          </cell>
        </row>
        <row r="161">
          <cell r="B161" t="str">
            <v>C3_9</v>
          </cell>
          <cell r="D161" t="str">
            <v>df</v>
          </cell>
          <cell r="E161" t="str">
            <v>Mechanical Coupling (250mm DI)</v>
          </cell>
          <cell r="F161" t="str">
            <v>Mechanical Coupling (250mm DI)</v>
          </cell>
          <cell r="I161">
            <v>0</v>
          </cell>
          <cell r="J161">
            <v>0</v>
          </cell>
          <cell r="K161">
            <v>0</v>
          </cell>
          <cell r="L161">
            <v>0</v>
          </cell>
          <cell r="M161">
            <v>0</v>
          </cell>
          <cell r="N161">
            <v>0</v>
          </cell>
          <cell r="O161">
            <v>0</v>
          </cell>
          <cell r="P161">
            <v>0</v>
          </cell>
          <cell r="Q161">
            <v>0</v>
          </cell>
          <cell r="R161">
            <v>0</v>
          </cell>
          <cell r="S161">
            <v>0</v>
          </cell>
          <cell r="T161">
            <v>0</v>
          </cell>
          <cell r="U161">
            <v>1</v>
          </cell>
          <cell r="V161">
            <v>0</v>
          </cell>
          <cell r="W161">
            <v>0</v>
          </cell>
          <cell r="X161">
            <v>1</v>
          </cell>
          <cell r="Y161" t="str">
            <v>No</v>
          </cell>
          <cell r="Z161">
            <v>4833.8999999999996</v>
          </cell>
          <cell r="AB161">
            <v>4833.8999999999996</v>
          </cell>
        </row>
        <row r="162">
          <cell r="B162" t="str">
            <v>C3_10</v>
          </cell>
          <cell r="D162" t="str">
            <v>dg</v>
          </cell>
          <cell r="E162" t="str">
            <v>Double Flange Conc. Taper (250mmx200mm DI)</v>
          </cell>
          <cell r="F162" t="str">
            <v>Double Flange Conc. Taper (250mmx200mm DI)</v>
          </cell>
          <cell r="I162">
            <v>0</v>
          </cell>
          <cell r="J162">
            <v>0</v>
          </cell>
          <cell r="K162">
            <v>0</v>
          </cell>
          <cell r="L162">
            <v>0</v>
          </cell>
          <cell r="M162">
            <v>0</v>
          </cell>
          <cell r="N162">
            <v>0</v>
          </cell>
          <cell r="O162">
            <v>0</v>
          </cell>
          <cell r="P162">
            <v>0</v>
          </cell>
          <cell r="Q162">
            <v>0</v>
          </cell>
          <cell r="R162">
            <v>0</v>
          </cell>
          <cell r="S162">
            <v>0</v>
          </cell>
          <cell r="T162">
            <v>0</v>
          </cell>
          <cell r="U162">
            <v>2</v>
          </cell>
          <cell r="V162">
            <v>0</v>
          </cell>
          <cell r="W162">
            <v>0</v>
          </cell>
          <cell r="X162">
            <v>2</v>
          </cell>
          <cell r="Y162" t="str">
            <v>No</v>
          </cell>
          <cell r="Z162">
            <v>4577.7950000000001</v>
          </cell>
          <cell r="AB162">
            <v>9155.59</v>
          </cell>
        </row>
        <row r="163">
          <cell r="B163" t="str">
            <v>C3_11</v>
          </cell>
          <cell r="D163" t="str">
            <v>dh</v>
          </cell>
          <cell r="E163" t="str">
            <v>Flange Tail Piece (250mm DI)</v>
          </cell>
          <cell r="F163" t="str">
            <v>Flange Tail Piece (250mm DI)</v>
          </cell>
          <cell r="I163">
            <v>0</v>
          </cell>
          <cell r="J163">
            <v>0</v>
          </cell>
          <cell r="K163">
            <v>0</v>
          </cell>
          <cell r="L163">
            <v>0</v>
          </cell>
          <cell r="M163">
            <v>0</v>
          </cell>
          <cell r="N163">
            <v>0</v>
          </cell>
          <cell r="O163">
            <v>0</v>
          </cell>
          <cell r="P163">
            <v>0</v>
          </cell>
          <cell r="Q163">
            <v>0</v>
          </cell>
          <cell r="R163">
            <v>0</v>
          </cell>
          <cell r="S163">
            <v>0</v>
          </cell>
          <cell r="T163">
            <v>0</v>
          </cell>
          <cell r="U163">
            <v>1</v>
          </cell>
          <cell r="V163">
            <v>0</v>
          </cell>
          <cell r="W163">
            <v>0</v>
          </cell>
          <cell r="X163">
            <v>1</v>
          </cell>
          <cell r="Y163" t="str">
            <v>No</v>
          </cell>
          <cell r="Z163">
            <v>5274.7444257095522</v>
          </cell>
          <cell r="AB163">
            <v>5274.74</v>
          </cell>
        </row>
        <row r="164">
          <cell r="B164" t="str">
            <v>C3_12</v>
          </cell>
          <cell r="D164" t="str">
            <v>di</v>
          </cell>
          <cell r="E164" t="str">
            <v>Elbow (50mm HDPE)</v>
          </cell>
          <cell r="F164" t="str">
            <v>Elbow (50mm HDPE)</v>
          </cell>
          <cell r="I164">
            <v>0</v>
          </cell>
          <cell r="J164">
            <v>0</v>
          </cell>
          <cell r="K164">
            <v>0</v>
          </cell>
          <cell r="L164">
            <v>0</v>
          </cell>
          <cell r="M164">
            <v>0</v>
          </cell>
          <cell r="N164">
            <v>0</v>
          </cell>
          <cell r="O164">
            <v>0</v>
          </cell>
          <cell r="P164">
            <v>0</v>
          </cell>
          <cell r="Q164">
            <v>0</v>
          </cell>
          <cell r="R164">
            <v>0</v>
          </cell>
          <cell r="S164">
            <v>0</v>
          </cell>
          <cell r="T164">
            <v>0</v>
          </cell>
          <cell r="U164">
            <v>3</v>
          </cell>
          <cell r="V164">
            <v>0</v>
          </cell>
          <cell r="W164">
            <v>0</v>
          </cell>
          <cell r="X164">
            <v>3</v>
          </cell>
          <cell r="Y164" t="str">
            <v>No</v>
          </cell>
          <cell r="Z164">
            <v>75</v>
          </cell>
          <cell r="AB164">
            <v>225</v>
          </cell>
        </row>
        <row r="165">
          <cell r="B165" t="str">
            <v>C3_13</v>
          </cell>
          <cell r="D165" t="str">
            <v>dj</v>
          </cell>
          <cell r="E165" t="str">
            <v>Elbow (90mm HDPE)</v>
          </cell>
          <cell r="F165" t="str">
            <v>Elbow (90mm HDPE)</v>
          </cell>
          <cell r="I165">
            <v>0</v>
          </cell>
          <cell r="J165">
            <v>0</v>
          </cell>
          <cell r="K165">
            <v>0</v>
          </cell>
          <cell r="L165">
            <v>0</v>
          </cell>
          <cell r="M165">
            <v>0</v>
          </cell>
          <cell r="N165">
            <v>0</v>
          </cell>
          <cell r="O165">
            <v>0</v>
          </cell>
          <cell r="P165">
            <v>0</v>
          </cell>
          <cell r="Q165">
            <v>0</v>
          </cell>
          <cell r="R165">
            <v>0</v>
          </cell>
          <cell r="S165">
            <v>0</v>
          </cell>
          <cell r="T165">
            <v>0</v>
          </cell>
          <cell r="U165">
            <v>3</v>
          </cell>
          <cell r="V165">
            <v>0</v>
          </cell>
          <cell r="W165">
            <v>0</v>
          </cell>
          <cell r="X165">
            <v>3</v>
          </cell>
          <cell r="Y165" t="str">
            <v>No</v>
          </cell>
          <cell r="Z165">
            <v>165</v>
          </cell>
          <cell r="AB165">
            <v>495</v>
          </cell>
        </row>
        <row r="166">
          <cell r="B166" t="str">
            <v>C3_14</v>
          </cell>
          <cell r="D166" t="str">
            <v>dk</v>
          </cell>
          <cell r="E166" t="str">
            <v>Elbow (125mm HDPE)</v>
          </cell>
          <cell r="F166" t="str">
            <v>Elbow (125mm HDPE)</v>
          </cell>
          <cell r="I166">
            <v>0</v>
          </cell>
          <cell r="J166">
            <v>0</v>
          </cell>
          <cell r="K166">
            <v>0</v>
          </cell>
          <cell r="L166">
            <v>0</v>
          </cell>
          <cell r="M166">
            <v>0</v>
          </cell>
          <cell r="N166">
            <v>0</v>
          </cell>
          <cell r="O166">
            <v>0</v>
          </cell>
          <cell r="P166">
            <v>0</v>
          </cell>
          <cell r="Q166">
            <v>0</v>
          </cell>
          <cell r="R166">
            <v>0</v>
          </cell>
          <cell r="S166">
            <v>0</v>
          </cell>
          <cell r="T166">
            <v>0</v>
          </cell>
          <cell r="U166">
            <v>2</v>
          </cell>
          <cell r="V166">
            <v>0</v>
          </cell>
          <cell r="W166">
            <v>0</v>
          </cell>
          <cell r="X166">
            <v>2</v>
          </cell>
          <cell r="Y166" t="str">
            <v>No</v>
          </cell>
          <cell r="Z166">
            <v>385</v>
          </cell>
          <cell r="AB166">
            <v>770</v>
          </cell>
        </row>
        <row r="167">
          <cell r="B167" t="str">
            <v>C3_15</v>
          </cell>
          <cell r="D167" t="str">
            <v>dl</v>
          </cell>
          <cell r="E167" t="str">
            <v>Elbow (140mm HDPE)</v>
          </cell>
          <cell r="F167" t="str">
            <v>Elbow (140mm HDPE)</v>
          </cell>
          <cell r="I167">
            <v>0</v>
          </cell>
          <cell r="J167">
            <v>0</v>
          </cell>
          <cell r="K167">
            <v>0</v>
          </cell>
          <cell r="L167">
            <v>0</v>
          </cell>
          <cell r="M167">
            <v>0</v>
          </cell>
          <cell r="N167">
            <v>0</v>
          </cell>
          <cell r="O167">
            <v>0</v>
          </cell>
          <cell r="P167">
            <v>0</v>
          </cell>
          <cell r="Q167">
            <v>0</v>
          </cell>
          <cell r="R167">
            <v>0</v>
          </cell>
          <cell r="S167">
            <v>0</v>
          </cell>
          <cell r="T167">
            <v>0</v>
          </cell>
          <cell r="U167">
            <v>4</v>
          </cell>
          <cell r="V167">
            <v>0</v>
          </cell>
          <cell r="W167">
            <v>0</v>
          </cell>
          <cell r="X167">
            <v>4</v>
          </cell>
          <cell r="Y167" t="str">
            <v>No</v>
          </cell>
          <cell r="Z167">
            <v>495</v>
          </cell>
          <cell r="AB167">
            <v>1980</v>
          </cell>
        </row>
        <row r="168">
          <cell r="B168" t="str">
            <v>C3_16</v>
          </cell>
          <cell r="D168" t="str">
            <v>dm</v>
          </cell>
          <cell r="E168" t="str">
            <v>Elbow (160mm HDPE)</v>
          </cell>
          <cell r="F168" t="str">
            <v>Elbow (160mm HDPE)</v>
          </cell>
          <cell r="I168">
            <v>0</v>
          </cell>
          <cell r="J168">
            <v>0</v>
          </cell>
          <cell r="K168">
            <v>0</v>
          </cell>
          <cell r="L168">
            <v>0</v>
          </cell>
          <cell r="M168">
            <v>0</v>
          </cell>
          <cell r="N168">
            <v>0</v>
          </cell>
          <cell r="O168">
            <v>0</v>
          </cell>
          <cell r="P168">
            <v>0</v>
          </cell>
          <cell r="Q168">
            <v>0</v>
          </cell>
          <cell r="R168">
            <v>0</v>
          </cell>
          <cell r="S168">
            <v>0</v>
          </cell>
          <cell r="T168">
            <v>0</v>
          </cell>
          <cell r="U168">
            <v>2</v>
          </cell>
          <cell r="V168">
            <v>0</v>
          </cell>
          <cell r="W168">
            <v>0</v>
          </cell>
          <cell r="X168">
            <v>2</v>
          </cell>
          <cell r="Y168" t="str">
            <v>No</v>
          </cell>
          <cell r="Z168">
            <v>825</v>
          </cell>
          <cell r="AB168">
            <v>1650</v>
          </cell>
        </row>
        <row r="169">
          <cell r="B169" t="str">
            <v>C3_17</v>
          </cell>
          <cell r="D169" t="str">
            <v>dn</v>
          </cell>
          <cell r="E169" t="str">
            <v>Elbow (80mm (HDPE)</v>
          </cell>
          <cell r="F169" t="str">
            <v>Elbow (80mm (HDPE)</v>
          </cell>
          <cell r="I169">
            <v>0</v>
          </cell>
          <cell r="J169">
            <v>0</v>
          </cell>
          <cell r="K169">
            <v>0</v>
          </cell>
          <cell r="L169">
            <v>0</v>
          </cell>
          <cell r="M169">
            <v>0</v>
          </cell>
          <cell r="N169">
            <v>0</v>
          </cell>
          <cell r="O169">
            <v>0</v>
          </cell>
          <cell r="P169">
            <v>0</v>
          </cell>
          <cell r="Q169">
            <v>0</v>
          </cell>
          <cell r="R169">
            <v>0</v>
          </cell>
          <cell r="S169">
            <v>0</v>
          </cell>
          <cell r="T169">
            <v>0</v>
          </cell>
          <cell r="U169">
            <v>2</v>
          </cell>
          <cell r="V169">
            <v>0</v>
          </cell>
          <cell r="W169">
            <v>0</v>
          </cell>
          <cell r="X169">
            <v>2</v>
          </cell>
          <cell r="Y169" t="str">
            <v>No</v>
          </cell>
          <cell r="Z169">
            <v>1320</v>
          </cell>
          <cell r="AB169">
            <v>2640</v>
          </cell>
        </row>
        <row r="170">
          <cell r="B170" t="str">
            <v>C3_18</v>
          </cell>
          <cell r="D170" t="str">
            <v>do</v>
          </cell>
          <cell r="E170" t="str">
            <v>Elbow (250mm HDPE)</v>
          </cell>
          <cell r="F170" t="str">
            <v>Elbow (250mm HDPE)</v>
          </cell>
          <cell r="I170">
            <v>0</v>
          </cell>
          <cell r="J170">
            <v>0</v>
          </cell>
          <cell r="K170">
            <v>0</v>
          </cell>
          <cell r="L170">
            <v>0</v>
          </cell>
          <cell r="M170">
            <v>0</v>
          </cell>
          <cell r="N170">
            <v>0</v>
          </cell>
          <cell r="O170">
            <v>0</v>
          </cell>
          <cell r="P170">
            <v>0</v>
          </cell>
          <cell r="Q170">
            <v>0</v>
          </cell>
          <cell r="R170">
            <v>0</v>
          </cell>
          <cell r="S170">
            <v>0</v>
          </cell>
          <cell r="T170">
            <v>0</v>
          </cell>
          <cell r="U170">
            <v>2</v>
          </cell>
          <cell r="V170">
            <v>0</v>
          </cell>
          <cell r="W170">
            <v>0</v>
          </cell>
          <cell r="X170">
            <v>2</v>
          </cell>
          <cell r="Y170" t="str">
            <v>No</v>
          </cell>
          <cell r="Z170">
            <v>1540</v>
          </cell>
          <cell r="AB170">
            <v>3080</v>
          </cell>
        </row>
        <row r="171">
          <cell r="B171" t="str">
            <v>C3_19</v>
          </cell>
          <cell r="D171" t="str">
            <v>dp</v>
          </cell>
          <cell r="E171" t="str">
            <v>Equal Tee (50mm HDPE)</v>
          </cell>
          <cell r="F171" t="str">
            <v>Equal Tee (50mm HDPE)</v>
          </cell>
          <cell r="I171">
            <v>0</v>
          </cell>
          <cell r="J171">
            <v>0</v>
          </cell>
          <cell r="K171">
            <v>0</v>
          </cell>
          <cell r="L171">
            <v>0</v>
          </cell>
          <cell r="M171">
            <v>0</v>
          </cell>
          <cell r="N171">
            <v>0</v>
          </cell>
          <cell r="O171">
            <v>0</v>
          </cell>
          <cell r="P171">
            <v>0</v>
          </cell>
          <cell r="Q171">
            <v>0</v>
          </cell>
          <cell r="R171">
            <v>0</v>
          </cell>
          <cell r="S171">
            <v>0</v>
          </cell>
          <cell r="T171">
            <v>0</v>
          </cell>
          <cell r="U171">
            <v>6</v>
          </cell>
          <cell r="V171">
            <v>0</v>
          </cell>
          <cell r="W171">
            <v>0</v>
          </cell>
          <cell r="X171">
            <v>6</v>
          </cell>
          <cell r="Y171" t="str">
            <v>No</v>
          </cell>
          <cell r="Z171">
            <v>75</v>
          </cell>
          <cell r="AB171">
            <v>450</v>
          </cell>
        </row>
        <row r="172">
          <cell r="B172" t="str">
            <v>C3_20</v>
          </cell>
          <cell r="D172" t="str">
            <v>dq</v>
          </cell>
          <cell r="E172" t="str">
            <v>Equal Tee (63mm HDPE)</v>
          </cell>
          <cell r="F172" t="str">
            <v>Equal Tee (63mm HDPE)</v>
          </cell>
          <cell r="I172">
            <v>0</v>
          </cell>
          <cell r="J172">
            <v>0</v>
          </cell>
          <cell r="K172">
            <v>0</v>
          </cell>
          <cell r="L172">
            <v>0</v>
          </cell>
          <cell r="M172">
            <v>0</v>
          </cell>
          <cell r="N172">
            <v>0</v>
          </cell>
          <cell r="O172">
            <v>0</v>
          </cell>
          <cell r="P172">
            <v>0</v>
          </cell>
          <cell r="Q172">
            <v>0</v>
          </cell>
          <cell r="R172">
            <v>0</v>
          </cell>
          <cell r="S172">
            <v>0</v>
          </cell>
          <cell r="T172">
            <v>0</v>
          </cell>
          <cell r="U172">
            <v>10</v>
          </cell>
          <cell r="V172">
            <v>0</v>
          </cell>
          <cell r="W172">
            <v>0</v>
          </cell>
          <cell r="X172">
            <v>10</v>
          </cell>
          <cell r="Y172" t="str">
            <v>No</v>
          </cell>
          <cell r="Z172">
            <v>100</v>
          </cell>
          <cell r="AB172">
            <v>1000</v>
          </cell>
        </row>
        <row r="173">
          <cell r="B173" t="str">
            <v>C3_21</v>
          </cell>
          <cell r="D173" t="str">
            <v>dr</v>
          </cell>
          <cell r="E173" t="str">
            <v>Equal Tee (75mm HDPE)</v>
          </cell>
          <cell r="F173" t="str">
            <v>Equal Tee (75mm HDPE)</v>
          </cell>
          <cell r="I173">
            <v>0</v>
          </cell>
          <cell r="J173">
            <v>0</v>
          </cell>
          <cell r="K173">
            <v>0</v>
          </cell>
          <cell r="L173">
            <v>0</v>
          </cell>
          <cell r="M173">
            <v>0</v>
          </cell>
          <cell r="N173">
            <v>0</v>
          </cell>
          <cell r="O173">
            <v>0</v>
          </cell>
          <cell r="P173">
            <v>0</v>
          </cell>
          <cell r="Q173">
            <v>0</v>
          </cell>
          <cell r="R173">
            <v>0</v>
          </cell>
          <cell r="S173">
            <v>0</v>
          </cell>
          <cell r="T173">
            <v>0</v>
          </cell>
          <cell r="U173">
            <v>6</v>
          </cell>
          <cell r="V173">
            <v>0</v>
          </cell>
          <cell r="W173">
            <v>0</v>
          </cell>
          <cell r="X173">
            <v>6</v>
          </cell>
          <cell r="Y173" t="str">
            <v>No</v>
          </cell>
          <cell r="Z173">
            <v>150</v>
          </cell>
          <cell r="AB173">
            <v>900</v>
          </cell>
        </row>
        <row r="174">
          <cell r="B174" t="str">
            <v>C3_22</v>
          </cell>
          <cell r="D174" t="str">
            <v>ds</v>
          </cell>
          <cell r="E174" t="str">
            <v>Equal Tee (90mm HDPE)</v>
          </cell>
          <cell r="F174" t="str">
            <v>Equal Tee (90mm HDPE)</v>
          </cell>
          <cell r="I174">
            <v>0</v>
          </cell>
          <cell r="J174">
            <v>0</v>
          </cell>
          <cell r="K174">
            <v>0</v>
          </cell>
          <cell r="L174">
            <v>0</v>
          </cell>
          <cell r="M174">
            <v>0</v>
          </cell>
          <cell r="N174">
            <v>0</v>
          </cell>
          <cell r="O174">
            <v>0</v>
          </cell>
          <cell r="P174">
            <v>0</v>
          </cell>
          <cell r="Q174">
            <v>0</v>
          </cell>
          <cell r="R174">
            <v>0</v>
          </cell>
          <cell r="S174">
            <v>0</v>
          </cell>
          <cell r="T174">
            <v>0</v>
          </cell>
          <cell r="U174">
            <v>19</v>
          </cell>
          <cell r="V174">
            <v>0</v>
          </cell>
          <cell r="W174">
            <v>0</v>
          </cell>
          <cell r="X174">
            <v>19</v>
          </cell>
          <cell r="Y174" t="str">
            <v>No</v>
          </cell>
          <cell r="Z174">
            <v>200</v>
          </cell>
          <cell r="AB174">
            <v>3800</v>
          </cell>
        </row>
        <row r="175">
          <cell r="B175" t="str">
            <v>C3_23</v>
          </cell>
          <cell r="D175" t="str">
            <v>dt</v>
          </cell>
          <cell r="E175" t="str">
            <v>Equal Tee (110mm HDPE)</v>
          </cell>
          <cell r="F175" t="str">
            <v>Equal Tee (110mm HDPE)</v>
          </cell>
          <cell r="I175">
            <v>0</v>
          </cell>
          <cell r="J175">
            <v>0</v>
          </cell>
          <cell r="K175">
            <v>0</v>
          </cell>
          <cell r="L175">
            <v>0</v>
          </cell>
          <cell r="M175">
            <v>0</v>
          </cell>
          <cell r="N175">
            <v>0</v>
          </cell>
          <cell r="O175">
            <v>0</v>
          </cell>
          <cell r="P175">
            <v>0</v>
          </cell>
          <cell r="Q175">
            <v>0</v>
          </cell>
          <cell r="R175">
            <v>0</v>
          </cell>
          <cell r="S175">
            <v>0</v>
          </cell>
          <cell r="T175">
            <v>0</v>
          </cell>
          <cell r="U175">
            <v>18</v>
          </cell>
          <cell r="V175">
            <v>0</v>
          </cell>
          <cell r="W175">
            <v>0</v>
          </cell>
          <cell r="X175">
            <v>18</v>
          </cell>
          <cell r="Y175" t="str">
            <v>No</v>
          </cell>
          <cell r="Z175">
            <v>250</v>
          </cell>
          <cell r="AB175">
            <v>4500</v>
          </cell>
        </row>
        <row r="176">
          <cell r="B176" t="str">
            <v>C3_24</v>
          </cell>
          <cell r="D176" t="str">
            <v>du</v>
          </cell>
          <cell r="E176" t="str">
            <v>Equal Tee (125mm HDPE)</v>
          </cell>
          <cell r="F176" t="str">
            <v>Equal Tee (125mm HDPE)</v>
          </cell>
          <cell r="I176">
            <v>0</v>
          </cell>
          <cell r="J176">
            <v>0</v>
          </cell>
          <cell r="K176">
            <v>0</v>
          </cell>
          <cell r="L176">
            <v>0</v>
          </cell>
          <cell r="M176">
            <v>0</v>
          </cell>
          <cell r="N176">
            <v>0</v>
          </cell>
          <cell r="O176">
            <v>0</v>
          </cell>
          <cell r="P176">
            <v>0</v>
          </cell>
          <cell r="Q176">
            <v>0</v>
          </cell>
          <cell r="R176">
            <v>0</v>
          </cell>
          <cell r="S176">
            <v>0</v>
          </cell>
          <cell r="T176">
            <v>0</v>
          </cell>
          <cell r="U176">
            <v>21</v>
          </cell>
          <cell r="V176">
            <v>0</v>
          </cell>
          <cell r="W176">
            <v>0</v>
          </cell>
          <cell r="X176">
            <v>21</v>
          </cell>
          <cell r="Y176" t="str">
            <v>No</v>
          </cell>
          <cell r="Z176">
            <v>250</v>
          </cell>
          <cell r="AB176">
            <v>5250</v>
          </cell>
        </row>
        <row r="177">
          <cell r="B177" t="str">
            <v>C3_25</v>
          </cell>
          <cell r="D177" t="str">
            <v>dv</v>
          </cell>
          <cell r="E177" t="str">
            <v>Equal Tee (140mm HDPE)</v>
          </cell>
          <cell r="F177" t="str">
            <v>Equal Tee (140mm HDPE)</v>
          </cell>
          <cell r="I177">
            <v>0</v>
          </cell>
          <cell r="J177">
            <v>0</v>
          </cell>
          <cell r="K177">
            <v>0</v>
          </cell>
          <cell r="L177">
            <v>0</v>
          </cell>
          <cell r="M177">
            <v>0</v>
          </cell>
          <cell r="N177">
            <v>0</v>
          </cell>
          <cell r="O177">
            <v>0</v>
          </cell>
          <cell r="P177">
            <v>0</v>
          </cell>
          <cell r="Q177">
            <v>0</v>
          </cell>
          <cell r="R177">
            <v>0</v>
          </cell>
          <cell r="S177">
            <v>0</v>
          </cell>
          <cell r="T177">
            <v>0</v>
          </cell>
          <cell r="U177">
            <v>18</v>
          </cell>
          <cell r="V177">
            <v>0</v>
          </cell>
          <cell r="W177">
            <v>0</v>
          </cell>
          <cell r="X177">
            <v>18</v>
          </cell>
          <cell r="Y177" t="str">
            <v>No</v>
          </cell>
          <cell r="Z177">
            <v>660</v>
          </cell>
          <cell r="AB177">
            <v>11880</v>
          </cell>
        </row>
        <row r="178">
          <cell r="B178" t="str">
            <v>C3_26</v>
          </cell>
          <cell r="D178" t="str">
            <v>dw</v>
          </cell>
          <cell r="E178" t="str">
            <v>Equal Tee (160mm HDPE)</v>
          </cell>
          <cell r="F178" t="str">
            <v>Equal Tee (160mm HDPE)</v>
          </cell>
          <cell r="I178">
            <v>0</v>
          </cell>
          <cell r="J178">
            <v>0</v>
          </cell>
          <cell r="K178">
            <v>0</v>
          </cell>
          <cell r="L178">
            <v>0</v>
          </cell>
          <cell r="M178">
            <v>0</v>
          </cell>
          <cell r="N178">
            <v>0</v>
          </cell>
          <cell r="O178">
            <v>0</v>
          </cell>
          <cell r="P178">
            <v>0</v>
          </cell>
          <cell r="Q178">
            <v>0</v>
          </cell>
          <cell r="R178">
            <v>0</v>
          </cell>
          <cell r="S178">
            <v>0</v>
          </cell>
          <cell r="T178">
            <v>0</v>
          </cell>
          <cell r="U178">
            <v>13</v>
          </cell>
          <cell r="V178">
            <v>0</v>
          </cell>
          <cell r="W178">
            <v>0</v>
          </cell>
          <cell r="X178">
            <v>13</v>
          </cell>
          <cell r="Y178" t="str">
            <v>No</v>
          </cell>
          <cell r="Z178">
            <v>880</v>
          </cell>
          <cell r="AB178">
            <v>11440</v>
          </cell>
        </row>
        <row r="179">
          <cell r="B179" t="str">
            <v>C3_27</v>
          </cell>
          <cell r="D179" t="str">
            <v>dx</v>
          </cell>
          <cell r="E179" t="str">
            <v>Equal Tee (180mm HDPE)</v>
          </cell>
          <cell r="F179" t="str">
            <v>Equal Tee (180mm HDPE)</v>
          </cell>
          <cell r="I179">
            <v>0</v>
          </cell>
          <cell r="J179">
            <v>0</v>
          </cell>
          <cell r="K179">
            <v>0</v>
          </cell>
          <cell r="L179">
            <v>0</v>
          </cell>
          <cell r="M179">
            <v>0</v>
          </cell>
          <cell r="N179">
            <v>0</v>
          </cell>
          <cell r="O179">
            <v>0</v>
          </cell>
          <cell r="P179">
            <v>0</v>
          </cell>
          <cell r="Q179">
            <v>0</v>
          </cell>
          <cell r="R179">
            <v>0</v>
          </cell>
          <cell r="S179">
            <v>0</v>
          </cell>
          <cell r="T179">
            <v>0</v>
          </cell>
          <cell r="U179">
            <v>3</v>
          </cell>
          <cell r="V179">
            <v>0</v>
          </cell>
          <cell r="W179">
            <v>0</v>
          </cell>
          <cell r="X179">
            <v>3</v>
          </cell>
          <cell r="Y179" t="str">
            <v>No</v>
          </cell>
          <cell r="Z179">
            <v>1320</v>
          </cell>
          <cell r="AB179">
            <v>3960</v>
          </cell>
        </row>
        <row r="180">
          <cell r="B180" t="str">
            <v>C3_28</v>
          </cell>
          <cell r="E180" t="str">
            <v>Equal Tee (250mm HDPE)</v>
          </cell>
          <cell r="F180" t="str">
            <v>Equal Tee (250mm HDPE)</v>
          </cell>
          <cell r="I180">
            <v>0</v>
          </cell>
          <cell r="J180">
            <v>0</v>
          </cell>
          <cell r="K180">
            <v>0</v>
          </cell>
          <cell r="L180">
            <v>0</v>
          </cell>
          <cell r="M180">
            <v>0</v>
          </cell>
          <cell r="N180">
            <v>0</v>
          </cell>
          <cell r="O180">
            <v>0</v>
          </cell>
          <cell r="P180">
            <v>0</v>
          </cell>
          <cell r="Q180">
            <v>0</v>
          </cell>
          <cell r="R180">
            <v>0</v>
          </cell>
          <cell r="S180">
            <v>0</v>
          </cell>
          <cell r="T180">
            <v>0</v>
          </cell>
          <cell r="U180">
            <v>10</v>
          </cell>
          <cell r="V180">
            <v>0</v>
          </cell>
          <cell r="W180">
            <v>0</v>
          </cell>
          <cell r="X180">
            <v>10</v>
          </cell>
          <cell r="Y180" t="str">
            <v>No</v>
          </cell>
          <cell r="Z180">
            <v>2640</v>
          </cell>
          <cell r="AB180">
            <v>26400</v>
          </cell>
        </row>
        <row r="181">
          <cell r="B181" t="str">
            <v>C3_29</v>
          </cell>
          <cell r="E181" t="str">
            <v>Flange (32mm/25mm HDPE/GI)</v>
          </cell>
          <cell r="F181" t="str">
            <v>Flange (32mm/25mm HDPE/GI)</v>
          </cell>
          <cell r="I181">
            <v>0</v>
          </cell>
          <cell r="J181">
            <v>0</v>
          </cell>
          <cell r="K181">
            <v>0</v>
          </cell>
          <cell r="L181">
            <v>0</v>
          </cell>
          <cell r="M181">
            <v>0</v>
          </cell>
          <cell r="N181">
            <v>0</v>
          </cell>
          <cell r="O181">
            <v>0</v>
          </cell>
          <cell r="P181">
            <v>0</v>
          </cell>
          <cell r="Q181">
            <v>0</v>
          </cell>
          <cell r="R181">
            <v>0</v>
          </cell>
          <cell r="S181">
            <v>0</v>
          </cell>
          <cell r="T181">
            <v>0</v>
          </cell>
          <cell r="U181">
            <v>6</v>
          </cell>
          <cell r="V181">
            <v>0</v>
          </cell>
          <cell r="W181">
            <v>0</v>
          </cell>
          <cell r="X181">
            <v>6</v>
          </cell>
          <cell r="Y181" t="str">
            <v>No</v>
          </cell>
          <cell r="Z181">
            <v>356</v>
          </cell>
          <cell r="AB181">
            <v>2136</v>
          </cell>
        </row>
        <row r="182">
          <cell r="B182" t="str">
            <v>C3_30</v>
          </cell>
          <cell r="E182" t="str">
            <v>Flange (40mm/32mm HDPE/GI)</v>
          </cell>
          <cell r="F182" t="str">
            <v>Flange (40mm/32mm HDPE/GI)</v>
          </cell>
          <cell r="I182">
            <v>0</v>
          </cell>
          <cell r="J182">
            <v>0</v>
          </cell>
          <cell r="K182">
            <v>0</v>
          </cell>
          <cell r="L182">
            <v>0</v>
          </cell>
          <cell r="M182">
            <v>0</v>
          </cell>
          <cell r="N182">
            <v>0</v>
          </cell>
          <cell r="O182">
            <v>0</v>
          </cell>
          <cell r="P182">
            <v>0</v>
          </cell>
          <cell r="Q182">
            <v>0</v>
          </cell>
          <cell r="R182">
            <v>0</v>
          </cell>
          <cell r="S182">
            <v>0</v>
          </cell>
          <cell r="T182">
            <v>0</v>
          </cell>
          <cell r="U182">
            <v>39</v>
          </cell>
          <cell r="V182">
            <v>0</v>
          </cell>
          <cell r="W182">
            <v>0</v>
          </cell>
          <cell r="X182">
            <v>39</v>
          </cell>
          <cell r="Y182" t="str">
            <v>No</v>
          </cell>
          <cell r="Z182">
            <v>451</v>
          </cell>
          <cell r="AB182">
            <v>17589</v>
          </cell>
        </row>
        <row r="183">
          <cell r="B183" t="str">
            <v>C3_31</v>
          </cell>
          <cell r="E183" t="str">
            <v>Flange (50mm/40mm HDPE/GI)</v>
          </cell>
          <cell r="F183" t="str">
            <v>Flange (50mm/40mm HDPE/GI)</v>
          </cell>
          <cell r="I183">
            <v>0</v>
          </cell>
          <cell r="J183">
            <v>0</v>
          </cell>
          <cell r="K183">
            <v>0</v>
          </cell>
          <cell r="L183">
            <v>0</v>
          </cell>
          <cell r="M183">
            <v>0</v>
          </cell>
          <cell r="N183">
            <v>0</v>
          </cell>
          <cell r="O183">
            <v>0</v>
          </cell>
          <cell r="P183">
            <v>0</v>
          </cell>
          <cell r="Q183">
            <v>0</v>
          </cell>
          <cell r="R183">
            <v>0</v>
          </cell>
          <cell r="S183">
            <v>0</v>
          </cell>
          <cell r="T183">
            <v>0</v>
          </cell>
          <cell r="U183">
            <v>20</v>
          </cell>
          <cell r="V183">
            <v>0</v>
          </cell>
          <cell r="W183">
            <v>0</v>
          </cell>
          <cell r="X183">
            <v>20</v>
          </cell>
          <cell r="Y183" t="str">
            <v>No</v>
          </cell>
          <cell r="Z183">
            <v>506</v>
          </cell>
          <cell r="AB183">
            <v>10120</v>
          </cell>
        </row>
        <row r="184">
          <cell r="B184" t="str">
            <v>C3_32</v>
          </cell>
          <cell r="E184" t="str">
            <v>Flange (63mm/50mm HDPE/GI)</v>
          </cell>
          <cell r="F184" t="str">
            <v>Flange (63mm/50mm HDPE/GI)</v>
          </cell>
          <cell r="I184">
            <v>0</v>
          </cell>
          <cell r="J184">
            <v>0</v>
          </cell>
          <cell r="K184">
            <v>0</v>
          </cell>
          <cell r="L184">
            <v>0</v>
          </cell>
          <cell r="M184">
            <v>0</v>
          </cell>
          <cell r="N184">
            <v>0</v>
          </cell>
          <cell r="O184">
            <v>0</v>
          </cell>
          <cell r="P184">
            <v>0</v>
          </cell>
          <cell r="Q184">
            <v>0</v>
          </cell>
          <cell r="R184">
            <v>0</v>
          </cell>
          <cell r="S184">
            <v>0</v>
          </cell>
          <cell r="T184">
            <v>0</v>
          </cell>
          <cell r="U184">
            <v>50</v>
          </cell>
          <cell r="V184">
            <v>0</v>
          </cell>
          <cell r="W184">
            <v>0</v>
          </cell>
          <cell r="X184">
            <v>50</v>
          </cell>
          <cell r="Y184" t="str">
            <v>No</v>
          </cell>
          <cell r="Z184">
            <v>500</v>
          </cell>
          <cell r="AB184">
            <v>25000</v>
          </cell>
        </row>
        <row r="185">
          <cell r="B185" t="str">
            <v>C3_33</v>
          </cell>
          <cell r="E185" t="str">
            <v>Flange (75mm/50mm HDPE/GI)</v>
          </cell>
          <cell r="F185" t="str">
            <v>Flange (75mm/50mm HDPE/GI)</v>
          </cell>
          <cell r="I185">
            <v>0</v>
          </cell>
          <cell r="J185">
            <v>0</v>
          </cell>
          <cell r="K185">
            <v>0</v>
          </cell>
          <cell r="L185">
            <v>0</v>
          </cell>
          <cell r="M185">
            <v>0</v>
          </cell>
          <cell r="N185">
            <v>0</v>
          </cell>
          <cell r="O185">
            <v>0</v>
          </cell>
          <cell r="P185">
            <v>0</v>
          </cell>
          <cell r="Q185">
            <v>0</v>
          </cell>
          <cell r="R185">
            <v>0</v>
          </cell>
          <cell r="S185">
            <v>0</v>
          </cell>
          <cell r="T185">
            <v>0</v>
          </cell>
          <cell r="U185">
            <v>26</v>
          </cell>
          <cell r="V185">
            <v>0</v>
          </cell>
          <cell r="W185">
            <v>0</v>
          </cell>
          <cell r="X185">
            <v>26</v>
          </cell>
          <cell r="Y185" t="str">
            <v>No</v>
          </cell>
          <cell r="Z185">
            <v>1608</v>
          </cell>
          <cell r="AB185">
            <v>41808</v>
          </cell>
        </row>
        <row r="186">
          <cell r="B186" t="str">
            <v>C3_34</v>
          </cell>
          <cell r="E186" t="str">
            <v>Flange (100mm/75mm HDPE/GI)</v>
          </cell>
          <cell r="F186" t="str">
            <v>Flange (100mm/75mm HDPE/GI)</v>
          </cell>
          <cell r="I186">
            <v>0</v>
          </cell>
          <cell r="J186">
            <v>0</v>
          </cell>
          <cell r="K186">
            <v>0</v>
          </cell>
          <cell r="L186">
            <v>0</v>
          </cell>
          <cell r="M186">
            <v>0</v>
          </cell>
          <cell r="N186">
            <v>0</v>
          </cell>
          <cell r="O186">
            <v>0</v>
          </cell>
          <cell r="P186">
            <v>0</v>
          </cell>
          <cell r="Q186">
            <v>0</v>
          </cell>
          <cell r="R186">
            <v>0</v>
          </cell>
          <cell r="S186">
            <v>0</v>
          </cell>
          <cell r="T186">
            <v>0</v>
          </cell>
          <cell r="U186">
            <v>42</v>
          </cell>
          <cell r="V186">
            <v>0</v>
          </cell>
          <cell r="W186">
            <v>0</v>
          </cell>
          <cell r="X186">
            <v>42</v>
          </cell>
          <cell r="Y186" t="str">
            <v>No</v>
          </cell>
          <cell r="Z186">
            <v>1000</v>
          </cell>
          <cell r="AB186">
            <v>42000</v>
          </cell>
        </row>
        <row r="187">
          <cell r="B187" t="str">
            <v>C3_35</v>
          </cell>
          <cell r="E187" t="str">
            <v>Flange (150mm/100mm HDPE/GI)</v>
          </cell>
          <cell r="F187" t="str">
            <v>Flange (150mm/100mm HDPE/GI)</v>
          </cell>
          <cell r="I187">
            <v>0</v>
          </cell>
          <cell r="J187">
            <v>0</v>
          </cell>
          <cell r="K187">
            <v>0</v>
          </cell>
          <cell r="L187">
            <v>0</v>
          </cell>
          <cell r="M187">
            <v>0</v>
          </cell>
          <cell r="N187">
            <v>0</v>
          </cell>
          <cell r="O187">
            <v>0</v>
          </cell>
          <cell r="P187">
            <v>0</v>
          </cell>
          <cell r="Q187">
            <v>0</v>
          </cell>
          <cell r="R187">
            <v>0</v>
          </cell>
          <cell r="S187">
            <v>0</v>
          </cell>
          <cell r="T187">
            <v>0</v>
          </cell>
          <cell r="U187">
            <v>5</v>
          </cell>
          <cell r="V187">
            <v>0</v>
          </cell>
          <cell r="W187">
            <v>0</v>
          </cell>
          <cell r="X187">
            <v>5</v>
          </cell>
          <cell r="Y187" t="str">
            <v>No</v>
          </cell>
          <cell r="Z187">
            <v>1500</v>
          </cell>
          <cell r="AB187">
            <v>7500</v>
          </cell>
        </row>
        <row r="188">
          <cell r="B188" t="str">
            <v>C3_36</v>
          </cell>
          <cell r="E188" t="str">
            <v>Flange (200mm/150mm HDPE/GI)</v>
          </cell>
          <cell r="F188" t="str">
            <v>Flange (200mm/150mm HDPE/GI)</v>
          </cell>
          <cell r="I188">
            <v>0</v>
          </cell>
          <cell r="J188">
            <v>0</v>
          </cell>
          <cell r="K188">
            <v>0</v>
          </cell>
          <cell r="L188">
            <v>0</v>
          </cell>
          <cell r="M188">
            <v>0</v>
          </cell>
          <cell r="N188">
            <v>0</v>
          </cell>
          <cell r="O188">
            <v>0</v>
          </cell>
          <cell r="P188">
            <v>0</v>
          </cell>
          <cell r="Q188">
            <v>0</v>
          </cell>
          <cell r="R188">
            <v>0</v>
          </cell>
          <cell r="S188">
            <v>0</v>
          </cell>
          <cell r="T188">
            <v>0</v>
          </cell>
          <cell r="U188">
            <v>9</v>
          </cell>
          <cell r="V188">
            <v>0</v>
          </cell>
          <cell r="W188">
            <v>0</v>
          </cell>
          <cell r="X188">
            <v>9</v>
          </cell>
          <cell r="Y188" t="str">
            <v>No</v>
          </cell>
          <cell r="Z188">
            <v>2250</v>
          </cell>
          <cell r="AB188">
            <v>20250</v>
          </cell>
        </row>
        <row r="189">
          <cell r="B189" t="str">
            <v>C3_37</v>
          </cell>
          <cell r="E189" t="str">
            <v>Flange (150mm GI)</v>
          </cell>
          <cell r="F189" t="str">
            <v>Flange (150mm GI)</v>
          </cell>
          <cell r="I189">
            <v>0</v>
          </cell>
          <cell r="J189">
            <v>0</v>
          </cell>
          <cell r="K189">
            <v>0</v>
          </cell>
          <cell r="L189">
            <v>0</v>
          </cell>
          <cell r="M189">
            <v>0</v>
          </cell>
          <cell r="N189">
            <v>0</v>
          </cell>
          <cell r="O189">
            <v>0</v>
          </cell>
          <cell r="P189">
            <v>0</v>
          </cell>
          <cell r="Q189">
            <v>0</v>
          </cell>
          <cell r="R189">
            <v>0</v>
          </cell>
          <cell r="S189">
            <v>0</v>
          </cell>
          <cell r="T189">
            <v>0</v>
          </cell>
          <cell r="U189">
            <v>3</v>
          </cell>
          <cell r="V189">
            <v>0</v>
          </cell>
          <cell r="W189">
            <v>0</v>
          </cell>
          <cell r="X189">
            <v>3</v>
          </cell>
          <cell r="Y189" t="str">
            <v>No</v>
          </cell>
          <cell r="Z189">
            <v>1500</v>
          </cell>
          <cell r="AB189">
            <v>4500</v>
          </cell>
        </row>
        <row r="190">
          <cell r="B190" t="str">
            <v>C3_38</v>
          </cell>
          <cell r="E190" t="str">
            <v>Gate Valve (32mm Gun Metal)</v>
          </cell>
          <cell r="F190" t="str">
            <v>Gate Valve (32mm Gun Metal)</v>
          </cell>
          <cell r="I190">
            <v>0</v>
          </cell>
          <cell r="J190">
            <v>0</v>
          </cell>
          <cell r="K190">
            <v>0</v>
          </cell>
          <cell r="L190">
            <v>0</v>
          </cell>
          <cell r="M190">
            <v>0</v>
          </cell>
          <cell r="N190">
            <v>0</v>
          </cell>
          <cell r="O190">
            <v>0</v>
          </cell>
          <cell r="P190">
            <v>0</v>
          </cell>
          <cell r="Q190">
            <v>0</v>
          </cell>
          <cell r="R190">
            <v>0</v>
          </cell>
          <cell r="S190">
            <v>0</v>
          </cell>
          <cell r="T190">
            <v>0</v>
          </cell>
          <cell r="U190">
            <v>5</v>
          </cell>
          <cell r="V190">
            <v>0</v>
          </cell>
          <cell r="W190">
            <v>0</v>
          </cell>
          <cell r="X190">
            <v>5</v>
          </cell>
          <cell r="Y190" t="str">
            <v>No</v>
          </cell>
          <cell r="Z190">
            <v>772.5</v>
          </cell>
          <cell r="AB190">
            <v>3862.5</v>
          </cell>
        </row>
        <row r="191">
          <cell r="B191" t="str">
            <v>C3_39</v>
          </cell>
          <cell r="E191" t="str">
            <v>Gate Valve (40mm Gun Metal)</v>
          </cell>
          <cell r="F191" t="str">
            <v>Gate Valve (40mm Gun Metal)</v>
          </cell>
          <cell r="I191">
            <v>0</v>
          </cell>
          <cell r="J191">
            <v>0</v>
          </cell>
          <cell r="K191">
            <v>0</v>
          </cell>
          <cell r="L191">
            <v>0</v>
          </cell>
          <cell r="M191">
            <v>0</v>
          </cell>
          <cell r="N191">
            <v>0</v>
          </cell>
          <cell r="O191">
            <v>0</v>
          </cell>
          <cell r="P191">
            <v>0</v>
          </cell>
          <cell r="Q191">
            <v>0</v>
          </cell>
          <cell r="R191">
            <v>0</v>
          </cell>
          <cell r="S191">
            <v>0</v>
          </cell>
          <cell r="T191">
            <v>0</v>
          </cell>
          <cell r="U191">
            <v>19</v>
          </cell>
          <cell r="V191">
            <v>0</v>
          </cell>
          <cell r="W191">
            <v>0</v>
          </cell>
          <cell r="X191">
            <v>19</v>
          </cell>
          <cell r="Y191" t="str">
            <v>No</v>
          </cell>
          <cell r="Z191">
            <v>900</v>
          </cell>
          <cell r="AB191">
            <v>17100</v>
          </cell>
        </row>
        <row r="192">
          <cell r="B192" t="str">
            <v>C3_40</v>
          </cell>
          <cell r="E192" t="str">
            <v>Gate Valve (50mm Gun Metal)</v>
          </cell>
          <cell r="F192" t="str">
            <v>Gate Valve (50mm Gun Metal)</v>
          </cell>
          <cell r="I192">
            <v>0</v>
          </cell>
          <cell r="J192">
            <v>0</v>
          </cell>
          <cell r="K192">
            <v>0</v>
          </cell>
          <cell r="L192">
            <v>0</v>
          </cell>
          <cell r="M192">
            <v>0</v>
          </cell>
          <cell r="N192">
            <v>0</v>
          </cell>
          <cell r="O192">
            <v>0</v>
          </cell>
          <cell r="P192">
            <v>0</v>
          </cell>
          <cell r="Q192">
            <v>0</v>
          </cell>
          <cell r="R192">
            <v>0</v>
          </cell>
          <cell r="S192">
            <v>0</v>
          </cell>
          <cell r="T192">
            <v>0</v>
          </cell>
          <cell r="U192">
            <v>10</v>
          </cell>
          <cell r="V192">
            <v>0</v>
          </cell>
          <cell r="W192">
            <v>0</v>
          </cell>
          <cell r="X192">
            <v>10</v>
          </cell>
          <cell r="Y192" t="str">
            <v>No</v>
          </cell>
          <cell r="Z192">
            <v>1800</v>
          </cell>
          <cell r="AB192">
            <v>18000</v>
          </cell>
        </row>
        <row r="193">
          <cell r="B193" t="str">
            <v>C3_41</v>
          </cell>
          <cell r="E193" t="str">
            <v>Gate Valve (75mm Gun Metal)</v>
          </cell>
          <cell r="F193" t="str">
            <v>Gate Valve (75mm Gun Metal)</v>
          </cell>
          <cell r="I193">
            <v>0</v>
          </cell>
          <cell r="J193">
            <v>0</v>
          </cell>
          <cell r="K193">
            <v>0</v>
          </cell>
          <cell r="L193">
            <v>0</v>
          </cell>
          <cell r="M193">
            <v>0</v>
          </cell>
          <cell r="N193">
            <v>0</v>
          </cell>
          <cell r="O193">
            <v>0</v>
          </cell>
          <cell r="P193">
            <v>0</v>
          </cell>
          <cell r="Q193">
            <v>0</v>
          </cell>
          <cell r="R193">
            <v>0</v>
          </cell>
          <cell r="S193">
            <v>0</v>
          </cell>
          <cell r="T193">
            <v>0</v>
          </cell>
          <cell r="U193">
            <v>14</v>
          </cell>
          <cell r="V193">
            <v>0</v>
          </cell>
          <cell r="W193">
            <v>0</v>
          </cell>
          <cell r="X193">
            <v>14</v>
          </cell>
          <cell r="Y193" t="str">
            <v>No</v>
          </cell>
          <cell r="Z193">
            <v>4100</v>
          </cell>
          <cell r="AB193">
            <v>57400</v>
          </cell>
        </row>
        <row r="194">
          <cell r="B194" t="str">
            <v>C3_42</v>
          </cell>
          <cell r="E194" t="str">
            <v>Gate Valve (100mm Gun Metal)</v>
          </cell>
          <cell r="F194" t="str">
            <v>Gate Valve (100mm Gun Metal)</v>
          </cell>
          <cell r="I194">
            <v>0</v>
          </cell>
          <cell r="J194">
            <v>0</v>
          </cell>
          <cell r="K194">
            <v>0</v>
          </cell>
          <cell r="L194">
            <v>0</v>
          </cell>
          <cell r="M194">
            <v>0</v>
          </cell>
          <cell r="N194">
            <v>0</v>
          </cell>
          <cell r="O194">
            <v>0</v>
          </cell>
          <cell r="P194">
            <v>0</v>
          </cell>
          <cell r="Q194">
            <v>0</v>
          </cell>
          <cell r="R194">
            <v>0</v>
          </cell>
          <cell r="S194">
            <v>0</v>
          </cell>
          <cell r="T194">
            <v>0</v>
          </cell>
          <cell r="U194">
            <v>27</v>
          </cell>
          <cell r="V194">
            <v>0</v>
          </cell>
          <cell r="W194">
            <v>0</v>
          </cell>
          <cell r="X194">
            <v>27</v>
          </cell>
          <cell r="Y194" t="str">
            <v>No</v>
          </cell>
          <cell r="Z194">
            <v>8200</v>
          </cell>
          <cell r="AB194">
            <v>221400</v>
          </cell>
        </row>
        <row r="195">
          <cell r="B195" t="str">
            <v>C3_43</v>
          </cell>
          <cell r="E195" t="str">
            <v>Sluice Valve (150mm)</v>
          </cell>
          <cell r="F195" t="str">
            <v>Sluice Valve (150mm)</v>
          </cell>
          <cell r="I195">
            <v>0</v>
          </cell>
          <cell r="J195">
            <v>0</v>
          </cell>
          <cell r="K195">
            <v>0</v>
          </cell>
          <cell r="L195">
            <v>0</v>
          </cell>
          <cell r="M195">
            <v>0</v>
          </cell>
          <cell r="N195">
            <v>0</v>
          </cell>
          <cell r="O195">
            <v>0</v>
          </cell>
          <cell r="P195">
            <v>0</v>
          </cell>
          <cell r="Q195">
            <v>0</v>
          </cell>
          <cell r="R195">
            <v>0</v>
          </cell>
          <cell r="S195">
            <v>0</v>
          </cell>
          <cell r="T195">
            <v>0</v>
          </cell>
          <cell r="U195">
            <v>3</v>
          </cell>
          <cell r="V195">
            <v>0</v>
          </cell>
          <cell r="W195">
            <v>0</v>
          </cell>
          <cell r="X195">
            <v>3</v>
          </cell>
          <cell r="Y195" t="str">
            <v>No</v>
          </cell>
          <cell r="Z195">
            <v>35000</v>
          </cell>
          <cell r="AB195">
            <v>105000</v>
          </cell>
        </row>
        <row r="196">
          <cell r="B196" t="str">
            <v>C3_44</v>
          </cell>
          <cell r="E196" t="str">
            <v>Sluice Valve (200mm)</v>
          </cell>
          <cell r="F196" t="str">
            <v>Sluice Valve (200mm)</v>
          </cell>
          <cell r="I196">
            <v>0</v>
          </cell>
          <cell r="J196">
            <v>0</v>
          </cell>
          <cell r="K196">
            <v>0</v>
          </cell>
          <cell r="L196">
            <v>0</v>
          </cell>
          <cell r="M196">
            <v>0</v>
          </cell>
          <cell r="N196">
            <v>0</v>
          </cell>
          <cell r="O196">
            <v>0</v>
          </cell>
          <cell r="P196">
            <v>0</v>
          </cell>
          <cell r="Q196">
            <v>0</v>
          </cell>
          <cell r="R196">
            <v>0</v>
          </cell>
          <cell r="S196">
            <v>0</v>
          </cell>
          <cell r="T196">
            <v>0</v>
          </cell>
          <cell r="U196">
            <v>10</v>
          </cell>
          <cell r="V196">
            <v>0</v>
          </cell>
          <cell r="W196">
            <v>0</v>
          </cell>
          <cell r="X196">
            <v>10</v>
          </cell>
          <cell r="Y196" t="str">
            <v>No</v>
          </cell>
          <cell r="Z196">
            <v>38782.61</v>
          </cell>
          <cell r="AB196">
            <v>387826.1</v>
          </cell>
        </row>
        <row r="197">
          <cell r="B197" t="str">
            <v>C3_45</v>
          </cell>
          <cell r="E197" t="str">
            <v>Bulk Meter (200mm)</v>
          </cell>
          <cell r="F197" t="str">
            <v>Bulk Meter (200mm)</v>
          </cell>
          <cell r="I197">
            <v>0</v>
          </cell>
          <cell r="J197">
            <v>0</v>
          </cell>
          <cell r="K197">
            <v>0</v>
          </cell>
          <cell r="L197">
            <v>0</v>
          </cell>
          <cell r="M197">
            <v>0</v>
          </cell>
          <cell r="N197">
            <v>0</v>
          </cell>
          <cell r="O197">
            <v>0</v>
          </cell>
          <cell r="P197">
            <v>0</v>
          </cell>
          <cell r="Q197">
            <v>0</v>
          </cell>
          <cell r="R197">
            <v>0</v>
          </cell>
          <cell r="S197">
            <v>0</v>
          </cell>
          <cell r="T197">
            <v>0</v>
          </cell>
          <cell r="U197">
            <v>2</v>
          </cell>
          <cell r="V197">
            <v>0</v>
          </cell>
          <cell r="W197">
            <v>0</v>
          </cell>
          <cell r="X197">
            <v>2</v>
          </cell>
          <cell r="Y197" t="str">
            <v>No</v>
          </cell>
          <cell r="Z197">
            <v>20940</v>
          </cell>
          <cell r="AB197">
            <v>41880</v>
          </cell>
        </row>
        <row r="198">
          <cell r="B198" t="str">
            <v>C3_46</v>
          </cell>
          <cell r="E198" t="str">
            <v>Union (15mm GI)</v>
          </cell>
          <cell r="F198" t="str">
            <v>Union (15mm GI)</v>
          </cell>
          <cell r="I198">
            <v>0</v>
          </cell>
          <cell r="J198">
            <v>0</v>
          </cell>
          <cell r="K198">
            <v>0</v>
          </cell>
          <cell r="L198">
            <v>0</v>
          </cell>
          <cell r="M198">
            <v>0</v>
          </cell>
          <cell r="N198">
            <v>0</v>
          </cell>
          <cell r="O198">
            <v>0</v>
          </cell>
          <cell r="P198">
            <v>0</v>
          </cell>
          <cell r="Q198">
            <v>0</v>
          </cell>
          <cell r="R198">
            <v>0</v>
          </cell>
          <cell r="S198">
            <v>0</v>
          </cell>
          <cell r="T198">
            <v>0</v>
          </cell>
          <cell r="U198">
            <v>2</v>
          </cell>
          <cell r="V198">
            <v>0</v>
          </cell>
          <cell r="W198">
            <v>0</v>
          </cell>
          <cell r="X198">
            <v>2</v>
          </cell>
          <cell r="Y198" t="str">
            <v>No</v>
          </cell>
          <cell r="Z198">
            <v>47</v>
          </cell>
          <cell r="AB198">
            <v>94</v>
          </cell>
        </row>
        <row r="199">
          <cell r="B199" t="str">
            <v>C3_48</v>
          </cell>
          <cell r="E199" t="str">
            <v>Cross (50mmx50mmx50mm GI)</v>
          </cell>
          <cell r="F199" t="str">
            <v>Cross (50mmx50mmx50mm GI)</v>
          </cell>
          <cell r="I199">
            <v>0</v>
          </cell>
          <cell r="J199">
            <v>0</v>
          </cell>
          <cell r="K199">
            <v>0</v>
          </cell>
          <cell r="L199">
            <v>0</v>
          </cell>
          <cell r="M199">
            <v>0</v>
          </cell>
          <cell r="N199">
            <v>0</v>
          </cell>
          <cell r="O199">
            <v>0</v>
          </cell>
          <cell r="P199">
            <v>0</v>
          </cell>
          <cell r="Q199">
            <v>0</v>
          </cell>
          <cell r="R199">
            <v>0</v>
          </cell>
          <cell r="S199">
            <v>0</v>
          </cell>
          <cell r="T199">
            <v>0</v>
          </cell>
          <cell r="U199">
            <v>50</v>
          </cell>
          <cell r="V199">
            <v>0</v>
          </cell>
          <cell r="W199">
            <v>0</v>
          </cell>
          <cell r="X199">
            <v>50</v>
          </cell>
          <cell r="Y199" t="str">
            <v>No</v>
          </cell>
          <cell r="Z199">
            <v>287</v>
          </cell>
          <cell r="AB199">
            <v>14350</v>
          </cell>
        </row>
        <row r="200">
          <cell r="B200" t="str">
            <v>C3_49</v>
          </cell>
          <cell r="E200" t="str">
            <v>Unequal Tee (50mmx15mmx50mm GI)</v>
          </cell>
          <cell r="F200" t="str">
            <v>Unequal Tee (50mmx15mmx50mm GI)</v>
          </cell>
          <cell r="I200">
            <v>0</v>
          </cell>
          <cell r="J200">
            <v>0</v>
          </cell>
          <cell r="K200">
            <v>0</v>
          </cell>
          <cell r="L200">
            <v>0</v>
          </cell>
          <cell r="M200">
            <v>0</v>
          </cell>
          <cell r="N200">
            <v>0</v>
          </cell>
          <cell r="O200">
            <v>0</v>
          </cell>
          <cell r="P200">
            <v>0</v>
          </cell>
          <cell r="Q200">
            <v>0</v>
          </cell>
          <cell r="R200">
            <v>0</v>
          </cell>
          <cell r="S200">
            <v>0</v>
          </cell>
          <cell r="T200">
            <v>0</v>
          </cell>
          <cell r="U200">
            <v>400</v>
          </cell>
          <cell r="V200">
            <v>0</v>
          </cell>
          <cell r="W200">
            <v>0</v>
          </cell>
          <cell r="X200">
            <v>400</v>
          </cell>
          <cell r="Y200" t="str">
            <v>No</v>
          </cell>
          <cell r="Z200">
            <v>213</v>
          </cell>
          <cell r="AB200">
            <v>85200</v>
          </cell>
        </row>
        <row r="201">
          <cell r="B201" t="str">
            <v>C3_50</v>
          </cell>
          <cell r="E201" t="str">
            <v>Equal Tee (15mm GI)</v>
          </cell>
          <cell r="F201" t="str">
            <v>Equal Tee (15mm GI)</v>
          </cell>
          <cell r="I201">
            <v>0</v>
          </cell>
          <cell r="J201">
            <v>0</v>
          </cell>
          <cell r="K201">
            <v>0</v>
          </cell>
          <cell r="L201">
            <v>0</v>
          </cell>
          <cell r="M201">
            <v>0</v>
          </cell>
          <cell r="N201">
            <v>0</v>
          </cell>
          <cell r="O201">
            <v>0</v>
          </cell>
          <cell r="P201">
            <v>0</v>
          </cell>
          <cell r="Q201">
            <v>0</v>
          </cell>
          <cell r="R201">
            <v>0</v>
          </cell>
          <cell r="S201">
            <v>0</v>
          </cell>
          <cell r="T201">
            <v>0</v>
          </cell>
          <cell r="U201">
            <v>2</v>
          </cell>
          <cell r="V201">
            <v>0</v>
          </cell>
          <cell r="W201">
            <v>0</v>
          </cell>
          <cell r="X201">
            <v>2</v>
          </cell>
          <cell r="Y201" t="str">
            <v>No</v>
          </cell>
          <cell r="Z201">
            <v>20</v>
          </cell>
          <cell r="AB201">
            <v>40</v>
          </cell>
        </row>
        <row r="202">
          <cell r="B202" t="str">
            <v>C3_51</v>
          </cell>
          <cell r="E202" t="str">
            <v>Plug (50mm GI)</v>
          </cell>
          <cell r="F202" t="str">
            <v>Plug (50mm GI)</v>
          </cell>
          <cell r="I202">
            <v>0</v>
          </cell>
          <cell r="J202">
            <v>0</v>
          </cell>
          <cell r="K202">
            <v>0</v>
          </cell>
          <cell r="L202">
            <v>0</v>
          </cell>
          <cell r="M202">
            <v>0</v>
          </cell>
          <cell r="N202">
            <v>0</v>
          </cell>
          <cell r="O202">
            <v>0</v>
          </cell>
          <cell r="P202">
            <v>0</v>
          </cell>
          <cell r="Q202">
            <v>0</v>
          </cell>
          <cell r="R202">
            <v>0</v>
          </cell>
          <cell r="S202">
            <v>0</v>
          </cell>
          <cell r="T202">
            <v>0</v>
          </cell>
          <cell r="U202">
            <v>150</v>
          </cell>
          <cell r="V202">
            <v>0</v>
          </cell>
          <cell r="W202">
            <v>0</v>
          </cell>
          <cell r="X202">
            <v>150</v>
          </cell>
          <cell r="Y202" t="str">
            <v>No</v>
          </cell>
          <cell r="Z202">
            <v>46</v>
          </cell>
          <cell r="AB202">
            <v>6900</v>
          </cell>
        </row>
        <row r="203">
          <cell r="B203" t="str">
            <v>C3_52</v>
          </cell>
          <cell r="E203" t="str">
            <v>Nipple (15mm GI)</v>
          </cell>
          <cell r="F203" t="str">
            <v>Nipple (15mm GI)</v>
          </cell>
          <cell r="I203">
            <v>0</v>
          </cell>
          <cell r="J203">
            <v>0</v>
          </cell>
          <cell r="K203">
            <v>0</v>
          </cell>
          <cell r="L203">
            <v>0</v>
          </cell>
          <cell r="M203">
            <v>0</v>
          </cell>
          <cell r="N203">
            <v>0</v>
          </cell>
          <cell r="O203">
            <v>0</v>
          </cell>
          <cell r="P203">
            <v>0</v>
          </cell>
          <cell r="Q203">
            <v>0</v>
          </cell>
          <cell r="R203">
            <v>0</v>
          </cell>
          <cell r="S203">
            <v>0</v>
          </cell>
          <cell r="T203">
            <v>0</v>
          </cell>
          <cell r="U203">
            <v>4</v>
          </cell>
          <cell r="V203">
            <v>0</v>
          </cell>
          <cell r="W203">
            <v>0</v>
          </cell>
          <cell r="X203">
            <v>4</v>
          </cell>
          <cell r="Y203" t="str">
            <v>No</v>
          </cell>
          <cell r="Z203">
            <v>24</v>
          </cell>
          <cell r="AB203">
            <v>96</v>
          </cell>
        </row>
        <row r="204">
          <cell r="B204" t="str">
            <v>C3_53</v>
          </cell>
          <cell r="E204" t="str">
            <v>Nipple (32mm GI)</v>
          </cell>
          <cell r="F204" t="str">
            <v>Nipple (32mm GI)</v>
          </cell>
          <cell r="I204">
            <v>0</v>
          </cell>
          <cell r="J204">
            <v>0</v>
          </cell>
          <cell r="K204">
            <v>0</v>
          </cell>
          <cell r="L204">
            <v>0</v>
          </cell>
          <cell r="M204">
            <v>0</v>
          </cell>
          <cell r="N204">
            <v>0</v>
          </cell>
          <cell r="O204">
            <v>0</v>
          </cell>
          <cell r="P204">
            <v>0</v>
          </cell>
          <cell r="Q204">
            <v>0</v>
          </cell>
          <cell r="R204">
            <v>0</v>
          </cell>
          <cell r="S204">
            <v>0</v>
          </cell>
          <cell r="T204">
            <v>0</v>
          </cell>
          <cell r="U204">
            <v>9</v>
          </cell>
          <cell r="V204">
            <v>0</v>
          </cell>
          <cell r="W204">
            <v>0</v>
          </cell>
          <cell r="X204">
            <v>9</v>
          </cell>
          <cell r="Y204" t="str">
            <v>No</v>
          </cell>
          <cell r="Z204">
            <v>40</v>
          </cell>
          <cell r="AB204">
            <v>360</v>
          </cell>
        </row>
        <row r="205">
          <cell r="B205" t="str">
            <v>C3_54</v>
          </cell>
          <cell r="E205" t="str">
            <v>Nipple (40mm GI)</v>
          </cell>
          <cell r="F205" t="str">
            <v>Nipple (40mm GI)</v>
          </cell>
          <cell r="I205">
            <v>0</v>
          </cell>
          <cell r="J205">
            <v>0</v>
          </cell>
          <cell r="K205">
            <v>0</v>
          </cell>
          <cell r="L205">
            <v>0</v>
          </cell>
          <cell r="M205">
            <v>0</v>
          </cell>
          <cell r="N205">
            <v>0</v>
          </cell>
          <cell r="O205">
            <v>0</v>
          </cell>
          <cell r="P205">
            <v>0</v>
          </cell>
          <cell r="Q205">
            <v>0</v>
          </cell>
          <cell r="R205">
            <v>0</v>
          </cell>
          <cell r="S205">
            <v>0</v>
          </cell>
          <cell r="T205">
            <v>0</v>
          </cell>
          <cell r="U205">
            <v>39</v>
          </cell>
          <cell r="V205">
            <v>0</v>
          </cell>
          <cell r="W205">
            <v>0</v>
          </cell>
          <cell r="X205">
            <v>39</v>
          </cell>
          <cell r="Y205" t="str">
            <v>No</v>
          </cell>
          <cell r="Z205">
            <v>55</v>
          </cell>
          <cell r="AB205">
            <v>2145</v>
          </cell>
        </row>
        <row r="206">
          <cell r="B206" t="str">
            <v>C3_55</v>
          </cell>
          <cell r="E206" t="str">
            <v>Nipple (50mm GI)</v>
          </cell>
          <cell r="F206" t="str">
            <v>Nipple (50mm GI)</v>
          </cell>
          <cell r="I206">
            <v>0</v>
          </cell>
          <cell r="J206">
            <v>0</v>
          </cell>
          <cell r="K206">
            <v>0</v>
          </cell>
          <cell r="L206">
            <v>0</v>
          </cell>
          <cell r="M206">
            <v>0</v>
          </cell>
          <cell r="N206">
            <v>0</v>
          </cell>
          <cell r="O206">
            <v>0</v>
          </cell>
          <cell r="P206">
            <v>0</v>
          </cell>
          <cell r="Q206">
            <v>0</v>
          </cell>
          <cell r="R206">
            <v>0</v>
          </cell>
          <cell r="S206">
            <v>0</v>
          </cell>
          <cell r="T206">
            <v>0</v>
          </cell>
          <cell r="U206">
            <v>445</v>
          </cell>
          <cell r="V206">
            <v>0</v>
          </cell>
          <cell r="W206">
            <v>0</v>
          </cell>
          <cell r="X206">
            <v>445</v>
          </cell>
          <cell r="Y206" t="str">
            <v>No</v>
          </cell>
          <cell r="Z206">
            <v>75</v>
          </cell>
          <cell r="AB206">
            <v>33375</v>
          </cell>
        </row>
        <row r="207">
          <cell r="B207" t="str">
            <v>C3_56</v>
          </cell>
          <cell r="E207" t="str">
            <v>Nipple (75mm GI)</v>
          </cell>
          <cell r="F207" t="str">
            <v>Nipple (75mm GI)</v>
          </cell>
          <cell r="I207">
            <v>0</v>
          </cell>
          <cell r="J207">
            <v>0</v>
          </cell>
          <cell r="K207">
            <v>0</v>
          </cell>
          <cell r="L207">
            <v>0</v>
          </cell>
          <cell r="M207">
            <v>0</v>
          </cell>
          <cell r="N207">
            <v>0</v>
          </cell>
          <cell r="O207">
            <v>0</v>
          </cell>
          <cell r="P207">
            <v>0</v>
          </cell>
          <cell r="Q207">
            <v>0</v>
          </cell>
          <cell r="R207">
            <v>0</v>
          </cell>
          <cell r="S207">
            <v>0</v>
          </cell>
          <cell r="T207">
            <v>0</v>
          </cell>
          <cell r="U207">
            <v>27</v>
          </cell>
          <cell r="V207">
            <v>0</v>
          </cell>
          <cell r="W207">
            <v>0</v>
          </cell>
          <cell r="X207">
            <v>27</v>
          </cell>
          <cell r="Y207" t="str">
            <v>No</v>
          </cell>
          <cell r="Z207">
            <v>150</v>
          </cell>
          <cell r="AB207">
            <v>4050</v>
          </cell>
        </row>
        <row r="208">
          <cell r="B208" t="str">
            <v>C3_57</v>
          </cell>
          <cell r="E208" t="str">
            <v>Nipple (100mm GI)</v>
          </cell>
          <cell r="F208" t="str">
            <v>Nipple (100mm GI)</v>
          </cell>
          <cell r="I208">
            <v>0</v>
          </cell>
          <cell r="J208">
            <v>0</v>
          </cell>
          <cell r="K208">
            <v>0</v>
          </cell>
          <cell r="L208">
            <v>0</v>
          </cell>
          <cell r="M208">
            <v>0</v>
          </cell>
          <cell r="N208">
            <v>0</v>
          </cell>
          <cell r="O208">
            <v>0</v>
          </cell>
          <cell r="P208">
            <v>0</v>
          </cell>
          <cell r="Q208">
            <v>0</v>
          </cell>
          <cell r="R208">
            <v>0</v>
          </cell>
          <cell r="S208">
            <v>0</v>
          </cell>
          <cell r="T208">
            <v>0</v>
          </cell>
          <cell r="U208">
            <v>45</v>
          </cell>
          <cell r="V208">
            <v>0</v>
          </cell>
          <cell r="W208">
            <v>0</v>
          </cell>
          <cell r="X208">
            <v>45</v>
          </cell>
          <cell r="Y208" t="str">
            <v>No</v>
          </cell>
          <cell r="Z208">
            <v>210</v>
          </cell>
          <cell r="AB208">
            <v>9450</v>
          </cell>
        </row>
        <row r="209">
          <cell r="B209" t="str">
            <v>C3_58</v>
          </cell>
          <cell r="E209" t="str">
            <v>Nipple (150mm GI)</v>
          </cell>
          <cell r="F209" t="str">
            <v>Nipple (150mm GI)</v>
          </cell>
          <cell r="I209">
            <v>0</v>
          </cell>
          <cell r="J209">
            <v>0</v>
          </cell>
          <cell r="K209">
            <v>0</v>
          </cell>
          <cell r="L209">
            <v>0</v>
          </cell>
          <cell r="M209">
            <v>0</v>
          </cell>
          <cell r="N209">
            <v>0</v>
          </cell>
          <cell r="O209">
            <v>0</v>
          </cell>
          <cell r="P209">
            <v>0</v>
          </cell>
          <cell r="Q209">
            <v>0</v>
          </cell>
          <cell r="R209">
            <v>0</v>
          </cell>
          <cell r="S209">
            <v>0</v>
          </cell>
          <cell r="T209">
            <v>0</v>
          </cell>
          <cell r="U209">
            <v>5</v>
          </cell>
          <cell r="V209">
            <v>0</v>
          </cell>
          <cell r="W209">
            <v>0</v>
          </cell>
          <cell r="X209">
            <v>5</v>
          </cell>
          <cell r="Y209" t="str">
            <v>No</v>
          </cell>
          <cell r="Z209">
            <v>315</v>
          </cell>
          <cell r="AB209">
            <v>1575</v>
          </cell>
        </row>
        <row r="210">
          <cell r="B210" t="str">
            <v>C3_59</v>
          </cell>
          <cell r="E210" t="str">
            <v>Reducer (50mmx40mm HDPE)</v>
          </cell>
          <cell r="F210" t="str">
            <v>Reducer (50mmx40mm HDPE)</v>
          </cell>
          <cell r="I210">
            <v>0</v>
          </cell>
          <cell r="J210">
            <v>0</v>
          </cell>
          <cell r="K210">
            <v>0</v>
          </cell>
          <cell r="L210">
            <v>0</v>
          </cell>
          <cell r="M210">
            <v>0</v>
          </cell>
          <cell r="N210">
            <v>0</v>
          </cell>
          <cell r="O210">
            <v>0</v>
          </cell>
          <cell r="P210">
            <v>0</v>
          </cell>
          <cell r="Q210">
            <v>0</v>
          </cell>
          <cell r="R210">
            <v>0</v>
          </cell>
          <cell r="S210">
            <v>0</v>
          </cell>
          <cell r="T210">
            <v>0</v>
          </cell>
          <cell r="U210">
            <v>4</v>
          </cell>
          <cell r="V210">
            <v>0</v>
          </cell>
          <cell r="W210">
            <v>0</v>
          </cell>
          <cell r="X210">
            <v>4</v>
          </cell>
          <cell r="Y210" t="str">
            <v>No</v>
          </cell>
          <cell r="Z210">
            <v>75</v>
          </cell>
          <cell r="AB210">
            <v>300</v>
          </cell>
        </row>
        <row r="211">
          <cell r="B211" t="str">
            <v>C3_60</v>
          </cell>
          <cell r="E211" t="str">
            <v>Reducer (63mmx40mm HDPE)</v>
          </cell>
          <cell r="F211" t="str">
            <v>Reducer (63mmx40mm HDPE)</v>
          </cell>
          <cell r="I211">
            <v>0</v>
          </cell>
          <cell r="J211">
            <v>0</v>
          </cell>
          <cell r="K211">
            <v>0</v>
          </cell>
          <cell r="L211">
            <v>0</v>
          </cell>
          <cell r="M211">
            <v>0</v>
          </cell>
          <cell r="N211">
            <v>0</v>
          </cell>
          <cell r="O211">
            <v>0</v>
          </cell>
          <cell r="P211">
            <v>0</v>
          </cell>
          <cell r="Q211">
            <v>0</v>
          </cell>
          <cell r="R211">
            <v>0</v>
          </cell>
          <cell r="S211">
            <v>0</v>
          </cell>
          <cell r="T211">
            <v>0</v>
          </cell>
          <cell r="U211">
            <v>3</v>
          </cell>
          <cell r="V211">
            <v>0</v>
          </cell>
          <cell r="W211">
            <v>0</v>
          </cell>
          <cell r="X211">
            <v>3</v>
          </cell>
          <cell r="Y211" t="str">
            <v>No</v>
          </cell>
          <cell r="Z211">
            <v>57.2</v>
          </cell>
          <cell r="AB211">
            <v>171.6</v>
          </cell>
        </row>
        <row r="212">
          <cell r="B212" t="str">
            <v>C3_61</v>
          </cell>
          <cell r="E212" t="str">
            <v>Reducer (63mmx50mm HDPE)</v>
          </cell>
          <cell r="F212" t="str">
            <v>Reducer (63mmx50mm HDPE)</v>
          </cell>
          <cell r="I212">
            <v>0</v>
          </cell>
          <cell r="J212">
            <v>0</v>
          </cell>
          <cell r="K212">
            <v>0</v>
          </cell>
          <cell r="L212">
            <v>0</v>
          </cell>
          <cell r="M212">
            <v>0</v>
          </cell>
          <cell r="N212">
            <v>0</v>
          </cell>
          <cell r="O212">
            <v>0</v>
          </cell>
          <cell r="P212">
            <v>0</v>
          </cell>
          <cell r="Q212">
            <v>0</v>
          </cell>
          <cell r="R212">
            <v>0</v>
          </cell>
          <cell r="S212">
            <v>0</v>
          </cell>
          <cell r="T212">
            <v>0</v>
          </cell>
          <cell r="U212">
            <v>14</v>
          </cell>
          <cell r="V212">
            <v>0</v>
          </cell>
          <cell r="W212">
            <v>0</v>
          </cell>
          <cell r="X212">
            <v>14</v>
          </cell>
          <cell r="Y212" t="str">
            <v>No</v>
          </cell>
          <cell r="Z212">
            <v>100</v>
          </cell>
          <cell r="AB212">
            <v>1400</v>
          </cell>
        </row>
        <row r="213">
          <cell r="B213" t="str">
            <v>C3_62</v>
          </cell>
          <cell r="E213" t="str">
            <v>Reducer (75mmx40mm HDPE)</v>
          </cell>
          <cell r="F213" t="str">
            <v>Reducer (75mmx40mm HDPE)</v>
          </cell>
          <cell r="I213">
            <v>0</v>
          </cell>
          <cell r="J213">
            <v>0</v>
          </cell>
          <cell r="K213">
            <v>0</v>
          </cell>
          <cell r="L213">
            <v>0</v>
          </cell>
          <cell r="M213">
            <v>0</v>
          </cell>
          <cell r="N213">
            <v>0</v>
          </cell>
          <cell r="O213">
            <v>0</v>
          </cell>
          <cell r="P213">
            <v>0</v>
          </cell>
          <cell r="Q213">
            <v>0</v>
          </cell>
          <cell r="R213">
            <v>0</v>
          </cell>
          <cell r="S213">
            <v>0</v>
          </cell>
          <cell r="T213">
            <v>0</v>
          </cell>
          <cell r="U213">
            <v>2</v>
          </cell>
          <cell r="V213">
            <v>0</v>
          </cell>
          <cell r="W213">
            <v>0</v>
          </cell>
          <cell r="X213">
            <v>2</v>
          </cell>
          <cell r="Y213" t="str">
            <v>No</v>
          </cell>
          <cell r="Z213">
            <v>88</v>
          </cell>
          <cell r="AB213">
            <v>176</v>
          </cell>
        </row>
        <row r="214">
          <cell r="B214" t="str">
            <v>C3_63</v>
          </cell>
          <cell r="E214" t="str">
            <v>Reducer (75mmx50mm HDPE)</v>
          </cell>
          <cell r="F214" t="str">
            <v>Reducer (75mmx50mm HDPE)</v>
          </cell>
          <cell r="I214">
            <v>0</v>
          </cell>
          <cell r="J214">
            <v>0</v>
          </cell>
          <cell r="K214">
            <v>0</v>
          </cell>
          <cell r="L214">
            <v>0</v>
          </cell>
          <cell r="M214">
            <v>0</v>
          </cell>
          <cell r="N214">
            <v>0</v>
          </cell>
          <cell r="O214">
            <v>0</v>
          </cell>
          <cell r="P214">
            <v>0</v>
          </cell>
          <cell r="Q214">
            <v>0</v>
          </cell>
          <cell r="R214">
            <v>0</v>
          </cell>
          <cell r="S214">
            <v>0</v>
          </cell>
          <cell r="T214">
            <v>0</v>
          </cell>
          <cell r="U214">
            <v>4</v>
          </cell>
          <cell r="V214">
            <v>0</v>
          </cell>
          <cell r="W214">
            <v>0</v>
          </cell>
          <cell r="X214">
            <v>4</v>
          </cell>
          <cell r="Y214" t="str">
            <v>No</v>
          </cell>
          <cell r="Z214">
            <v>93.5</v>
          </cell>
          <cell r="AB214">
            <v>374</v>
          </cell>
        </row>
        <row r="215">
          <cell r="B215" t="str">
            <v>C3_64</v>
          </cell>
          <cell r="E215" t="str">
            <v>Reducer (75mmx63mm HDPE)</v>
          </cell>
          <cell r="F215" t="str">
            <v>Reducer (75mmx63mm HDPE)</v>
          </cell>
          <cell r="I215">
            <v>0</v>
          </cell>
          <cell r="J215">
            <v>0</v>
          </cell>
          <cell r="K215">
            <v>0</v>
          </cell>
          <cell r="L215">
            <v>0</v>
          </cell>
          <cell r="M215">
            <v>0</v>
          </cell>
          <cell r="N215">
            <v>0</v>
          </cell>
          <cell r="O215">
            <v>0</v>
          </cell>
          <cell r="P215">
            <v>0</v>
          </cell>
          <cell r="Q215">
            <v>0</v>
          </cell>
          <cell r="R215">
            <v>0</v>
          </cell>
          <cell r="S215">
            <v>0</v>
          </cell>
          <cell r="T215">
            <v>0</v>
          </cell>
          <cell r="U215">
            <v>10</v>
          </cell>
          <cell r="V215">
            <v>0</v>
          </cell>
          <cell r="W215">
            <v>0</v>
          </cell>
          <cell r="X215">
            <v>10</v>
          </cell>
          <cell r="Y215" t="str">
            <v>No</v>
          </cell>
          <cell r="Z215">
            <v>150</v>
          </cell>
          <cell r="AB215">
            <v>1500</v>
          </cell>
        </row>
        <row r="216">
          <cell r="B216" t="str">
            <v>C3_65</v>
          </cell>
          <cell r="E216" t="str">
            <v>Reducer (90mmx40mm HDPE)</v>
          </cell>
          <cell r="F216" t="str">
            <v>Reducer (90mmx40mm HDPE)</v>
          </cell>
          <cell r="I216">
            <v>0</v>
          </cell>
          <cell r="J216">
            <v>0</v>
          </cell>
          <cell r="K216">
            <v>0</v>
          </cell>
          <cell r="L216">
            <v>0</v>
          </cell>
          <cell r="M216">
            <v>0</v>
          </cell>
          <cell r="N216">
            <v>0</v>
          </cell>
          <cell r="O216">
            <v>0</v>
          </cell>
          <cell r="P216">
            <v>0</v>
          </cell>
          <cell r="Q216">
            <v>0</v>
          </cell>
          <cell r="R216">
            <v>0</v>
          </cell>
          <cell r="S216">
            <v>0</v>
          </cell>
          <cell r="T216">
            <v>0</v>
          </cell>
          <cell r="U216">
            <v>3</v>
          </cell>
          <cell r="V216">
            <v>0</v>
          </cell>
          <cell r="W216">
            <v>0</v>
          </cell>
          <cell r="X216">
            <v>3</v>
          </cell>
          <cell r="Y216" t="str">
            <v>No</v>
          </cell>
          <cell r="Z216">
            <v>110</v>
          </cell>
          <cell r="AB216">
            <v>330</v>
          </cell>
        </row>
        <row r="217">
          <cell r="B217" t="str">
            <v>C3_66</v>
          </cell>
          <cell r="E217" t="str">
            <v>Reducer (90mmx50mm HDPE)</v>
          </cell>
          <cell r="F217" t="str">
            <v>Reducer (90mmx50mm HDPE)</v>
          </cell>
          <cell r="I217">
            <v>0</v>
          </cell>
          <cell r="J217">
            <v>0</v>
          </cell>
          <cell r="K217">
            <v>0</v>
          </cell>
          <cell r="L217">
            <v>0</v>
          </cell>
          <cell r="M217">
            <v>0</v>
          </cell>
          <cell r="N217">
            <v>0</v>
          </cell>
          <cell r="O217">
            <v>0</v>
          </cell>
          <cell r="P217">
            <v>0</v>
          </cell>
          <cell r="Q217">
            <v>0</v>
          </cell>
          <cell r="R217">
            <v>0</v>
          </cell>
          <cell r="S217">
            <v>0</v>
          </cell>
          <cell r="T217">
            <v>0</v>
          </cell>
          <cell r="U217">
            <v>11</v>
          </cell>
          <cell r="V217">
            <v>0</v>
          </cell>
          <cell r="W217">
            <v>0</v>
          </cell>
          <cell r="X217">
            <v>11</v>
          </cell>
          <cell r="Y217" t="str">
            <v>No</v>
          </cell>
          <cell r="Z217">
            <v>110</v>
          </cell>
          <cell r="AB217">
            <v>1210</v>
          </cell>
        </row>
        <row r="218">
          <cell r="B218" t="str">
            <v>C3_67</v>
          </cell>
          <cell r="E218" t="str">
            <v>Reducer (90mmx63mm HDPE)</v>
          </cell>
          <cell r="F218" t="str">
            <v>Reducer (90mmx63mm HDPE)</v>
          </cell>
          <cell r="I218">
            <v>0</v>
          </cell>
          <cell r="J218">
            <v>0</v>
          </cell>
          <cell r="K218">
            <v>0</v>
          </cell>
          <cell r="L218">
            <v>0</v>
          </cell>
          <cell r="M218">
            <v>0</v>
          </cell>
          <cell r="N218">
            <v>0</v>
          </cell>
          <cell r="O218">
            <v>0</v>
          </cell>
          <cell r="P218">
            <v>0</v>
          </cell>
          <cell r="Q218">
            <v>0</v>
          </cell>
          <cell r="R218">
            <v>0</v>
          </cell>
          <cell r="S218">
            <v>0</v>
          </cell>
          <cell r="T218">
            <v>0</v>
          </cell>
          <cell r="U218">
            <v>6</v>
          </cell>
          <cell r="V218">
            <v>0</v>
          </cell>
          <cell r="W218">
            <v>0</v>
          </cell>
          <cell r="X218">
            <v>6</v>
          </cell>
          <cell r="Y218" t="str">
            <v>No</v>
          </cell>
          <cell r="Z218">
            <v>110</v>
          </cell>
          <cell r="AB218">
            <v>660</v>
          </cell>
        </row>
        <row r="219">
          <cell r="B219" t="str">
            <v>C3_68</v>
          </cell>
          <cell r="E219" t="str">
            <v>Reducer (90mmx75mm HDPE)</v>
          </cell>
          <cell r="F219" t="str">
            <v>Reducer (90mmx75mm HDPE)</v>
          </cell>
          <cell r="I219">
            <v>0</v>
          </cell>
          <cell r="J219">
            <v>0</v>
          </cell>
          <cell r="K219">
            <v>0</v>
          </cell>
          <cell r="L219">
            <v>0</v>
          </cell>
          <cell r="M219">
            <v>0</v>
          </cell>
          <cell r="N219">
            <v>0</v>
          </cell>
          <cell r="O219">
            <v>0</v>
          </cell>
          <cell r="P219">
            <v>0</v>
          </cell>
          <cell r="Q219">
            <v>0</v>
          </cell>
          <cell r="R219">
            <v>0</v>
          </cell>
          <cell r="S219">
            <v>0</v>
          </cell>
          <cell r="T219">
            <v>0</v>
          </cell>
          <cell r="U219">
            <v>5</v>
          </cell>
          <cell r="V219">
            <v>0</v>
          </cell>
          <cell r="W219">
            <v>0</v>
          </cell>
          <cell r="X219">
            <v>5</v>
          </cell>
          <cell r="Y219" t="str">
            <v>No</v>
          </cell>
          <cell r="Z219">
            <v>200</v>
          </cell>
          <cell r="AB219">
            <v>1000</v>
          </cell>
        </row>
        <row r="220">
          <cell r="B220" t="str">
            <v>C3_69</v>
          </cell>
          <cell r="E220" t="str">
            <v>Reducer (110mmx50mm HDPE)</v>
          </cell>
          <cell r="F220" t="str">
            <v>Reducer (110mmx50mm HDPE)</v>
          </cell>
          <cell r="I220">
            <v>0</v>
          </cell>
          <cell r="J220">
            <v>0</v>
          </cell>
          <cell r="K220">
            <v>0</v>
          </cell>
          <cell r="L220">
            <v>0</v>
          </cell>
          <cell r="M220">
            <v>0</v>
          </cell>
          <cell r="N220">
            <v>0</v>
          </cell>
          <cell r="O220">
            <v>0</v>
          </cell>
          <cell r="P220">
            <v>0</v>
          </cell>
          <cell r="Q220">
            <v>0</v>
          </cell>
          <cell r="R220">
            <v>0</v>
          </cell>
          <cell r="S220">
            <v>0</v>
          </cell>
          <cell r="T220">
            <v>0</v>
          </cell>
          <cell r="U220">
            <v>9</v>
          </cell>
          <cell r="V220">
            <v>0</v>
          </cell>
          <cell r="W220">
            <v>0</v>
          </cell>
          <cell r="X220">
            <v>9</v>
          </cell>
          <cell r="Y220" t="str">
            <v>No</v>
          </cell>
          <cell r="Z220">
            <v>121</v>
          </cell>
          <cell r="AB220">
            <v>1089</v>
          </cell>
        </row>
        <row r="221">
          <cell r="B221" t="str">
            <v>C3_70</v>
          </cell>
          <cell r="E221" t="str">
            <v>Reducer (110mmx63mm HDPE)</v>
          </cell>
          <cell r="F221" t="str">
            <v>Reducer (110mmx63mm HDPE)</v>
          </cell>
          <cell r="I221">
            <v>0</v>
          </cell>
          <cell r="J221">
            <v>0</v>
          </cell>
          <cell r="K221">
            <v>0</v>
          </cell>
          <cell r="L221">
            <v>0</v>
          </cell>
          <cell r="M221">
            <v>0</v>
          </cell>
          <cell r="N221">
            <v>0</v>
          </cell>
          <cell r="O221">
            <v>0</v>
          </cell>
          <cell r="P221">
            <v>0</v>
          </cell>
          <cell r="Q221">
            <v>0</v>
          </cell>
          <cell r="R221">
            <v>0</v>
          </cell>
          <cell r="S221">
            <v>0</v>
          </cell>
          <cell r="T221">
            <v>0</v>
          </cell>
          <cell r="U221">
            <v>6</v>
          </cell>
          <cell r="V221">
            <v>0</v>
          </cell>
          <cell r="W221">
            <v>0</v>
          </cell>
          <cell r="X221">
            <v>6</v>
          </cell>
          <cell r="Y221" t="str">
            <v>No</v>
          </cell>
          <cell r="Z221">
            <v>148.5</v>
          </cell>
          <cell r="AB221">
            <v>891</v>
          </cell>
        </row>
        <row r="222">
          <cell r="B222" t="str">
            <v>C3_71</v>
          </cell>
          <cell r="E222" t="str">
            <v>Reducer (110mmx75mm HDPE)</v>
          </cell>
          <cell r="F222" t="str">
            <v>Reducer (110mmx75mm HDPE)</v>
          </cell>
          <cell r="I222">
            <v>0</v>
          </cell>
          <cell r="J222">
            <v>0</v>
          </cell>
          <cell r="K222">
            <v>0</v>
          </cell>
          <cell r="L222">
            <v>0</v>
          </cell>
          <cell r="M222">
            <v>0</v>
          </cell>
          <cell r="N222">
            <v>0</v>
          </cell>
          <cell r="O222">
            <v>0</v>
          </cell>
          <cell r="P222">
            <v>0</v>
          </cell>
          <cell r="Q222">
            <v>0</v>
          </cell>
          <cell r="R222">
            <v>0</v>
          </cell>
          <cell r="S222">
            <v>0</v>
          </cell>
          <cell r="T222">
            <v>0</v>
          </cell>
          <cell r="U222">
            <v>3</v>
          </cell>
          <cell r="V222">
            <v>0</v>
          </cell>
          <cell r="W222">
            <v>0</v>
          </cell>
          <cell r="X222">
            <v>3</v>
          </cell>
          <cell r="Y222" t="str">
            <v>No</v>
          </cell>
          <cell r="Z222">
            <v>154</v>
          </cell>
          <cell r="AB222">
            <v>462</v>
          </cell>
        </row>
        <row r="223">
          <cell r="B223" t="str">
            <v>C3_72</v>
          </cell>
          <cell r="E223" t="str">
            <v>Reducer (110mmx90mm HDPE)</v>
          </cell>
          <cell r="F223" t="str">
            <v>Reducer (110mmx90mm HDPE)</v>
          </cell>
          <cell r="I223">
            <v>0</v>
          </cell>
          <cell r="J223">
            <v>0</v>
          </cell>
          <cell r="K223">
            <v>0</v>
          </cell>
          <cell r="L223">
            <v>0</v>
          </cell>
          <cell r="M223">
            <v>0</v>
          </cell>
          <cell r="N223">
            <v>0</v>
          </cell>
          <cell r="O223">
            <v>0</v>
          </cell>
          <cell r="P223">
            <v>0</v>
          </cell>
          <cell r="Q223">
            <v>0</v>
          </cell>
          <cell r="R223">
            <v>0</v>
          </cell>
          <cell r="S223">
            <v>0</v>
          </cell>
          <cell r="T223">
            <v>0</v>
          </cell>
          <cell r="U223">
            <v>5</v>
          </cell>
          <cell r="V223">
            <v>0</v>
          </cell>
          <cell r="W223">
            <v>0</v>
          </cell>
          <cell r="X223">
            <v>5</v>
          </cell>
          <cell r="Y223" t="str">
            <v>No</v>
          </cell>
          <cell r="Z223">
            <v>210</v>
          </cell>
          <cell r="AB223">
            <v>1050</v>
          </cell>
        </row>
        <row r="224">
          <cell r="B224" t="str">
            <v>C3_73</v>
          </cell>
          <cell r="E224" t="str">
            <v>Reducer (125mmx110mm HDPE)</v>
          </cell>
          <cell r="F224" t="str">
            <v>Reducer (125mmx110mm HDPE)</v>
          </cell>
          <cell r="I224">
            <v>0</v>
          </cell>
          <cell r="J224">
            <v>0</v>
          </cell>
          <cell r="K224">
            <v>0</v>
          </cell>
          <cell r="L224">
            <v>0</v>
          </cell>
          <cell r="M224">
            <v>0</v>
          </cell>
          <cell r="N224">
            <v>0</v>
          </cell>
          <cell r="O224">
            <v>0</v>
          </cell>
          <cell r="P224">
            <v>0</v>
          </cell>
          <cell r="Q224">
            <v>0</v>
          </cell>
          <cell r="R224">
            <v>0</v>
          </cell>
          <cell r="S224">
            <v>0</v>
          </cell>
          <cell r="T224">
            <v>0</v>
          </cell>
          <cell r="U224">
            <v>19</v>
          </cell>
          <cell r="V224">
            <v>0</v>
          </cell>
          <cell r="W224">
            <v>0</v>
          </cell>
          <cell r="X224">
            <v>19</v>
          </cell>
          <cell r="Y224" t="str">
            <v>No</v>
          </cell>
          <cell r="Z224">
            <v>250</v>
          </cell>
          <cell r="AB224">
            <v>4750</v>
          </cell>
        </row>
        <row r="225">
          <cell r="B225" t="str">
            <v>C3_74</v>
          </cell>
          <cell r="E225" t="str">
            <v>Reducer (125mmx50mm HDPE)</v>
          </cell>
          <cell r="F225" t="str">
            <v>Reducer (125mmx50mm HDPE)</v>
          </cell>
          <cell r="I225">
            <v>0</v>
          </cell>
          <cell r="J225">
            <v>0</v>
          </cell>
          <cell r="K225">
            <v>0</v>
          </cell>
          <cell r="L225">
            <v>0</v>
          </cell>
          <cell r="M225">
            <v>0</v>
          </cell>
          <cell r="N225">
            <v>0</v>
          </cell>
          <cell r="O225">
            <v>0</v>
          </cell>
          <cell r="P225">
            <v>0</v>
          </cell>
          <cell r="Q225">
            <v>0</v>
          </cell>
          <cell r="R225">
            <v>0</v>
          </cell>
          <cell r="S225">
            <v>0</v>
          </cell>
          <cell r="T225">
            <v>0</v>
          </cell>
          <cell r="U225">
            <v>8</v>
          </cell>
          <cell r="V225">
            <v>0</v>
          </cell>
          <cell r="W225">
            <v>0</v>
          </cell>
          <cell r="X225">
            <v>8</v>
          </cell>
          <cell r="Y225" t="str">
            <v>No</v>
          </cell>
          <cell r="Z225">
            <v>375</v>
          </cell>
          <cell r="AB225">
            <v>3000</v>
          </cell>
        </row>
        <row r="226">
          <cell r="B226" t="str">
            <v>C3_75</v>
          </cell>
          <cell r="E226" t="str">
            <v>Reducer (125mmx63mm HDPE)</v>
          </cell>
          <cell r="F226" t="str">
            <v>Reducer (125mmx63mm HDPE)</v>
          </cell>
          <cell r="I226">
            <v>0</v>
          </cell>
          <cell r="J226">
            <v>0</v>
          </cell>
          <cell r="K226">
            <v>0</v>
          </cell>
          <cell r="L226">
            <v>0</v>
          </cell>
          <cell r="M226">
            <v>0</v>
          </cell>
          <cell r="N226">
            <v>0</v>
          </cell>
          <cell r="O226">
            <v>0</v>
          </cell>
          <cell r="P226">
            <v>0</v>
          </cell>
          <cell r="Q226">
            <v>0</v>
          </cell>
          <cell r="R226">
            <v>0</v>
          </cell>
          <cell r="S226">
            <v>0</v>
          </cell>
          <cell r="T226">
            <v>0</v>
          </cell>
          <cell r="U226">
            <v>5</v>
          </cell>
          <cell r="V226">
            <v>0</v>
          </cell>
          <cell r="W226">
            <v>0</v>
          </cell>
          <cell r="X226">
            <v>5</v>
          </cell>
          <cell r="Y226" t="str">
            <v>No</v>
          </cell>
          <cell r="Z226">
            <v>275</v>
          </cell>
          <cell r="AB226">
            <v>1375</v>
          </cell>
        </row>
        <row r="227">
          <cell r="B227" t="str">
            <v>C3_76</v>
          </cell>
          <cell r="E227" t="str">
            <v>Reducer (125mmx75mm HDPE)</v>
          </cell>
          <cell r="F227" t="str">
            <v>Reducer (125mmx75mm HDPE)</v>
          </cell>
          <cell r="I227">
            <v>0</v>
          </cell>
          <cell r="J227">
            <v>0</v>
          </cell>
          <cell r="K227">
            <v>0</v>
          </cell>
          <cell r="L227">
            <v>0</v>
          </cell>
          <cell r="M227">
            <v>0</v>
          </cell>
          <cell r="N227">
            <v>0</v>
          </cell>
          <cell r="O227">
            <v>0</v>
          </cell>
          <cell r="P227">
            <v>0</v>
          </cell>
          <cell r="Q227">
            <v>0</v>
          </cell>
          <cell r="R227">
            <v>0</v>
          </cell>
          <cell r="S227">
            <v>0</v>
          </cell>
          <cell r="T227">
            <v>0</v>
          </cell>
          <cell r="U227">
            <v>3</v>
          </cell>
          <cell r="V227">
            <v>0</v>
          </cell>
          <cell r="W227">
            <v>0</v>
          </cell>
          <cell r="X227">
            <v>3</v>
          </cell>
          <cell r="Y227" t="str">
            <v>No</v>
          </cell>
          <cell r="Z227">
            <v>275</v>
          </cell>
          <cell r="AB227">
            <v>825</v>
          </cell>
        </row>
        <row r="228">
          <cell r="B228" t="str">
            <v>C3_77</v>
          </cell>
          <cell r="E228" t="str">
            <v>Reducer (125mmx90mm HDPE)</v>
          </cell>
          <cell r="F228" t="str">
            <v>Reducer (125mmx90mm HDPE)</v>
          </cell>
          <cell r="I228">
            <v>0</v>
          </cell>
          <cell r="J228">
            <v>0</v>
          </cell>
          <cell r="K228">
            <v>0</v>
          </cell>
          <cell r="L228">
            <v>0</v>
          </cell>
          <cell r="M228">
            <v>0</v>
          </cell>
          <cell r="N228">
            <v>0</v>
          </cell>
          <cell r="O228">
            <v>0</v>
          </cell>
          <cell r="P228">
            <v>0</v>
          </cell>
          <cell r="Q228">
            <v>0</v>
          </cell>
          <cell r="R228">
            <v>0</v>
          </cell>
          <cell r="S228">
            <v>0</v>
          </cell>
          <cell r="T228">
            <v>0</v>
          </cell>
          <cell r="U228">
            <v>3</v>
          </cell>
          <cell r="V228">
            <v>0</v>
          </cell>
          <cell r="W228">
            <v>0</v>
          </cell>
          <cell r="X228">
            <v>3</v>
          </cell>
          <cell r="Y228" t="str">
            <v>No</v>
          </cell>
          <cell r="Z228">
            <v>302.5</v>
          </cell>
          <cell r="AB228">
            <v>907.5</v>
          </cell>
        </row>
        <row r="229">
          <cell r="B229" t="str">
            <v>C3_78</v>
          </cell>
          <cell r="E229" t="str">
            <v>Reducer (140mmx110mm HDPE)</v>
          </cell>
          <cell r="F229" t="str">
            <v>Reducer (140mmx110mm HDPE)</v>
          </cell>
          <cell r="I229">
            <v>0</v>
          </cell>
          <cell r="J229">
            <v>0</v>
          </cell>
          <cell r="K229">
            <v>0</v>
          </cell>
          <cell r="L229">
            <v>0</v>
          </cell>
          <cell r="M229">
            <v>0</v>
          </cell>
          <cell r="N229">
            <v>0</v>
          </cell>
          <cell r="O229">
            <v>0</v>
          </cell>
          <cell r="P229">
            <v>0</v>
          </cell>
          <cell r="Q229">
            <v>0</v>
          </cell>
          <cell r="R229">
            <v>0</v>
          </cell>
          <cell r="S229">
            <v>0</v>
          </cell>
          <cell r="T229">
            <v>0</v>
          </cell>
          <cell r="U229">
            <v>17</v>
          </cell>
          <cell r="V229">
            <v>0</v>
          </cell>
          <cell r="W229">
            <v>0</v>
          </cell>
          <cell r="X229">
            <v>17</v>
          </cell>
          <cell r="Y229" t="str">
            <v>No</v>
          </cell>
          <cell r="Z229">
            <v>363</v>
          </cell>
          <cell r="AB229">
            <v>6171</v>
          </cell>
        </row>
        <row r="230">
          <cell r="B230" t="str">
            <v>C3_79</v>
          </cell>
          <cell r="E230" t="str">
            <v>Reducer (140mmx125mm HDPE)</v>
          </cell>
          <cell r="F230" t="str">
            <v>Reducer (140mmx125mm HDPE)</v>
          </cell>
          <cell r="I230">
            <v>0</v>
          </cell>
          <cell r="J230">
            <v>0</v>
          </cell>
          <cell r="K230">
            <v>0</v>
          </cell>
          <cell r="L230">
            <v>0</v>
          </cell>
          <cell r="M230">
            <v>0</v>
          </cell>
          <cell r="N230">
            <v>0</v>
          </cell>
          <cell r="O230">
            <v>0</v>
          </cell>
          <cell r="P230">
            <v>0</v>
          </cell>
          <cell r="Q230">
            <v>0</v>
          </cell>
          <cell r="R230">
            <v>0</v>
          </cell>
          <cell r="S230">
            <v>0</v>
          </cell>
          <cell r="T230">
            <v>0</v>
          </cell>
          <cell r="U230">
            <v>4</v>
          </cell>
          <cell r="V230">
            <v>0</v>
          </cell>
          <cell r="W230">
            <v>0</v>
          </cell>
          <cell r="X230">
            <v>4</v>
          </cell>
          <cell r="Y230" t="str">
            <v>No</v>
          </cell>
          <cell r="Z230">
            <v>363</v>
          </cell>
          <cell r="AB230">
            <v>1452</v>
          </cell>
        </row>
        <row r="231">
          <cell r="B231" t="str">
            <v>C3_80</v>
          </cell>
          <cell r="E231" t="str">
            <v>Reducer (140mmx40mm HDPE)</v>
          </cell>
          <cell r="F231" t="str">
            <v>Reducer (140mmx40mm HDPE)</v>
          </cell>
          <cell r="I231">
            <v>0</v>
          </cell>
          <cell r="J231">
            <v>0</v>
          </cell>
          <cell r="K231">
            <v>0</v>
          </cell>
          <cell r="L231">
            <v>0</v>
          </cell>
          <cell r="M231">
            <v>0</v>
          </cell>
          <cell r="N231">
            <v>0</v>
          </cell>
          <cell r="O231">
            <v>0</v>
          </cell>
          <cell r="P231">
            <v>0</v>
          </cell>
          <cell r="Q231">
            <v>0</v>
          </cell>
          <cell r="R231">
            <v>0</v>
          </cell>
          <cell r="S231">
            <v>0</v>
          </cell>
          <cell r="T231">
            <v>0</v>
          </cell>
          <cell r="U231">
            <v>4</v>
          </cell>
          <cell r="V231">
            <v>0</v>
          </cell>
          <cell r="W231">
            <v>0</v>
          </cell>
          <cell r="X231">
            <v>4</v>
          </cell>
          <cell r="Y231" t="str">
            <v>No</v>
          </cell>
          <cell r="Z231">
            <v>418</v>
          </cell>
          <cell r="AB231">
            <v>1672</v>
          </cell>
        </row>
        <row r="232">
          <cell r="B232" t="str">
            <v>C3_81</v>
          </cell>
          <cell r="E232" t="str">
            <v>Reducer (140mmx50mm HDPE)</v>
          </cell>
          <cell r="F232" t="str">
            <v>Reducer (140mmx50mm HDPE)</v>
          </cell>
          <cell r="I232">
            <v>0</v>
          </cell>
          <cell r="J232">
            <v>0</v>
          </cell>
          <cell r="K232">
            <v>0</v>
          </cell>
          <cell r="L232">
            <v>0</v>
          </cell>
          <cell r="M232">
            <v>0</v>
          </cell>
          <cell r="N232">
            <v>0</v>
          </cell>
          <cell r="O232">
            <v>0</v>
          </cell>
          <cell r="P232">
            <v>0</v>
          </cell>
          <cell r="Q232">
            <v>0</v>
          </cell>
          <cell r="R232">
            <v>0</v>
          </cell>
          <cell r="S232">
            <v>0</v>
          </cell>
          <cell r="T232">
            <v>0</v>
          </cell>
          <cell r="U232">
            <v>5</v>
          </cell>
          <cell r="V232">
            <v>0</v>
          </cell>
          <cell r="W232">
            <v>0</v>
          </cell>
          <cell r="X232">
            <v>5</v>
          </cell>
          <cell r="Y232" t="str">
            <v>No</v>
          </cell>
          <cell r="Z232">
            <v>423.5</v>
          </cell>
          <cell r="AB232">
            <v>2117.5</v>
          </cell>
        </row>
        <row r="233">
          <cell r="B233" t="str">
            <v>C3_82</v>
          </cell>
          <cell r="E233" t="str">
            <v>Reducer (140mmx63mm HDPE)</v>
          </cell>
          <cell r="F233" t="str">
            <v>Reducer (140mmx63mm HDPE)</v>
          </cell>
          <cell r="I233">
            <v>0</v>
          </cell>
          <cell r="J233">
            <v>0</v>
          </cell>
          <cell r="K233">
            <v>0</v>
          </cell>
          <cell r="L233">
            <v>0</v>
          </cell>
          <cell r="M233">
            <v>0</v>
          </cell>
          <cell r="N233">
            <v>0</v>
          </cell>
          <cell r="O233">
            <v>0</v>
          </cell>
          <cell r="P233">
            <v>0</v>
          </cell>
          <cell r="Q233">
            <v>0</v>
          </cell>
          <cell r="R233">
            <v>0</v>
          </cell>
          <cell r="S233">
            <v>0</v>
          </cell>
          <cell r="T233">
            <v>0</v>
          </cell>
          <cell r="U233">
            <v>3</v>
          </cell>
          <cell r="V233">
            <v>0</v>
          </cell>
          <cell r="W233">
            <v>0</v>
          </cell>
          <cell r="X233">
            <v>3</v>
          </cell>
          <cell r="Y233" t="str">
            <v>No</v>
          </cell>
          <cell r="Z233">
            <v>480</v>
          </cell>
          <cell r="AB233">
            <v>1440</v>
          </cell>
        </row>
        <row r="234">
          <cell r="B234" t="str">
            <v>C3_83</v>
          </cell>
          <cell r="E234" t="str">
            <v>Reducer (140mmx75mm HDPE)</v>
          </cell>
          <cell r="F234" t="str">
            <v>Reducer (140mmx75mm HDPE)</v>
          </cell>
          <cell r="I234">
            <v>0</v>
          </cell>
          <cell r="J234">
            <v>0</v>
          </cell>
          <cell r="K234">
            <v>0</v>
          </cell>
          <cell r="L234">
            <v>0</v>
          </cell>
          <cell r="M234">
            <v>0</v>
          </cell>
          <cell r="N234">
            <v>0</v>
          </cell>
          <cell r="O234">
            <v>0</v>
          </cell>
          <cell r="P234">
            <v>0</v>
          </cell>
          <cell r="Q234">
            <v>0</v>
          </cell>
          <cell r="R234">
            <v>0</v>
          </cell>
          <cell r="S234">
            <v>0</v>
          </cell>
          <cell r="T234">
            <v>0</v>
          </cell>
          <cell r="U234">
            <v>3</v>
          </cell>
          <cell r="V234">
            <v>0</v>
          </cell>
          <cell r="W234">
            <v>0</v>
          </cell>
          <cell r="X234">
            <v>3</v>
          </cell>
          <cell r="Y234" t="str">
            <v>No</v>
          </cell>
          <cell r="Z234">
            <v>330</v>
          </cell>
          <cell r="AB234">
            <v>990</v>
          </cell>
        </row>
        <row r="235">
          <cell r="B235" t="str">
            <v>C3_84</v>
          </cell>
          <cell r="E235" t="str">
            <v>Reducer (140mmx90mm HDPE)</v>
          </cell>
          <cell r="F235" t="str">
            <v>Reducer (140mmx90mm HDPE)</v>
          </cell>
          <cell r="I235">
            <v>0</v>
          </cell>
          <cell r="J235">
            <v>0</v>
          </cell>
          <cell r="K235">
            <v>0</v>
          </cell>
          <cell r="L235">
            <v>0</v>
          </cell>
          <cell r="M235">
            <v>0</v>
          </cell>
          <cell r="N235">
            <v>0</v>
          </cell>
          <cell r="O235">
            <v>0</v>
          </cell>
          <cell r="P235">
            <v>0</v>
          </cell>
          <cell r="Q235">
            <v>0</v>
          </cell>
          <cell r="R235">
            <v>0</v>
          </cell>
          <cell r="S235">
            <v>0</v>
          </cell>
          <cell r="T235">
            <v>0</v>
          </cell>
          <cell r="U235">
            <v>2</v>
          </cell>
          <cell r="V235">
            <v>0</v>
          </cell>
          <cell r="W235">
            <v>0</v>
          </cell>
          <cell r="X235">
            <v>2</v>
          </cell>
          <cell r="Y235" t="str">
            <v>No</v>
          </cell>
          <cell r="Z235">
            <v>363</v>
          </cell>
          <cell r="AB235">
            <v>726</v>
          </cell>
        </row>
        <row r="236">
          <cell r="B236" t="str">
            <v>C3_85</v>
          </cell>
          <cell r="E236" t="str">
            <v>Reducer (160mmx110mm HDPE)</v>
          </cell>
          <cell r="F236" t="str">
            <v>Reducer (160mmx110mm HDPE)</v>
          </cell>
          <cell r="I236">
            <v>0</v>
          </cell>
          <cell r="J236">
            <v>0</v>
          </cell>
          <cell r="K236">
            <v>0</v>
          </cell>
          <cell r="L236">
            <v>0</v>
          </cell>
          <cell r="M236">
            <v>0</v>
          </cell>
          <cell r="N236">
            <v>0</v>
          </cell>
          <cell r="O236">
            <v>0</v>
          </cell>
          <cell r="P236">
            <v>0</v>
          </cell>
          <cell r="Q236">
            <v>0</v>
          </cell>
          <cell r="R236">
            <v>0</v>
          </cell>
          <cell r="S236">
            <v>0</v>
          </cell>
          <cell r="T236">
            <v>0</v>
          </cell>
          <cell r="U236">
            <v>3</v>
          </cell>
          <cell r="V236">
            <v>0</v>
          </cell>
          <cell r="W236">
            <v>0</v>
          </cell>
          <cell r="X236">
            <v>3</v>
          </cell>
          <cell r="Y236" t="str">
            <v>No</v>
          </cell>
          <cell r="Z236">
            <v>456.5</v>
          </cell>
          <cell r="AB236">
            <v>1369.5</v>
          </cell>
        </row>
        <row r="237">
          <cell r="B237" t="str">
            <v>C3_86</v>
          </cell>
          <cell r="E237" t="str">
            <v>Reducer (160mmx125mm HDPE)</v>
          </cell>
          <cell r="F237" t="str">
            <v>Reducer (160mmx125mm HDPE)</v>
          </cell>
          <cell r="I237">
            <v>0</v>
          </cell>
          <cell r="J237">
            <v>0</v>
          </cell>
          <cell r="K237">
            <v>0</v>
          </cell>
          <cell r="L237">
            <v>0</v>
          </cell>
          <cell r="M237">
            <v>0</v>
          </cell>
          <cell r="N237">
            <v>0</v>
          </cell>
          <cell r="O237">
            <v>0</v>
          </cell>
          <cell r="P237">
            <v>0</v>
          </cell>
          <cell r="Q237">
            <v>0</v>
          </cell>
          <cell r="R237">
            <v>0</v>
          </cell>
          <cell r="S237">
            <v>0</v>
          </cell>
          <cell r="T237">
            <v>0</v>
          </cell>
          <cell r="U237">
            <v>5</v>
          </cell>
          <cell r="V237">
            <v>0</v>
          </cell>
          <cell r="W237">
            <v>0</v>
          </cell>
          <cell r="X237">
            <v>5</v>
          </cell>
          <cell r="Y237" t="str">
            <v>No</v>
          </cell>
          <cell r="Z237">
            <v>456.5</v>
          </cell>
          <cell r="AB237">
            <v>2282.5</v>
          </cell>
        </row>
        <row r="238">
          <cell r="B238" t="str">
            <v>C3_87</v>
          </cell>
          <cell r="E238" t="str">
            <v>Reducer (160mmx140mm HDPE)</v>
          </cell>
          <cell r="F238" t="str">
            <v>Reducer (160mmx140mm HDPE)</v>
          </cell>
          <cell r="I238">
            <v>0</v>
          </cell>
          <cell r="J238">
            <v>0</v>
          </cell>
          <cell r="K238">
            <v>0</v>
          </cell>
          <cell r="L238">
            <v>0</v>
          </cell>
          <cell r="M238">
            <v>0</v>
          </cell>
          <cell r="N238">
            <v>0</v>
          </cell>
          <cell r="O238">
            <v>0</v>
          </cell>
          <cell r="P238">
            <v>0</v>
          </cell>
          <cell r="Q238">
            <v>0</v>
          </cell>
          <cell r="R238">
            <v>0</v>
          </cell>
          <cell r="S238">
            <v>0</v>
          </cell>
          <cell r="T238">
            <v>0</v>
          </cell>
          <cell r="U238">
            <v>2</v>
          </cell>
          <cell r="V238">
            <v>0</v>
          </cell>
          <cell r="W238">
            <v>0</v>
          </cell>
          <cell r="X238">
            <v>2</v>
          </cell>
          <cell r="Y238" t="str">
            <v>No</v>
          </cell>
          <cell r="Z238">
            <v>471.9</v>
          </cell>
          <cell r="AB238">
            <v>943.8</v>
          </cell>
        </row>
        <row r="239">
          <cell r="B239" t="str">
            <v>C3_88</v>
          </cell>
          <cell r="E239" t="str">
            <v>Reducer (160mmx90mm HDPE)</v>
          </cell>
          <cell r="F239" t="str">
            <v>Reducer (160mmx90mm HDPE)</v>
          </cell>
          <cell r="I239">
            <v>0</v>
          </cell>
          <cell r="J239">
            <v>0</v>
          </cell>
          <cell r="K239">
            <v>0</v>
          </cell>
          <cell r="L239">
            <v>0</v>
          </cell>
          <cell r="M239">
            <v>0</v>
          </cell>
          <cell r="N239">
            <v>0</v>
          </cell>
          <cell r="O239">
            <v>0</v>
          </cell>
          <cell r="P239">
            <v>0</v>
          </cell>
          <cell r="Q239">
            <v>0</v>
          </cell>
          <cell r="R239">
            <v>0</v>
          </cell>
          <cell r="S239">
            <v>0</v>
          </cell>
          <cell r="T239">
            <v>0</v>
          </cell>
          <cell r="U239">
            <v>2</v>
          </cell>
          <cell r="V239">
            <v>0</v>
          </cell>
          <cell r="W239">
            <v>0</v>
          </cell>
          <cell r="X239">
            <v>2</v>
          </cell>
          <cell r="Y239" t="str">
            <v>No</v>
          </cell>
          <cell r="Z239">
            <v>423.5</v>
          </cell>
          <cell r="AB239">
            <v>847</v>
          </cell>
        </row>
        <row r="240">
          <cell r="B240" t="str">
            <v>C3_89</v>
          </cell>
          <cell r="E240" t="str">
            <v>Reducer (160mmx63mm HDPE)</v>
          </cell>
          <cell r="F240" t="str">
            <v>Reducer (160mmx63mm HDPE)</v>
          </cell>
          <cell r="I240">
            <v>0</v>
          </cell>
          <cell r="J240">
            <v>0</v>
          </cell>
          <cell r="K240">
            <v>0</v>
          </cell>
          <cell r="L240">
            <v>0</v>
          </cell>
          <cell r="M240">
            <v>0</v>
          </cell>
          <cell r="N240">
            <v>0</v>
          </cell>
          <cell r="O240">
            <v>0</v>
          </cell>
          <cell r="P240">
            <v>0</v>
          </cell>
          <cell r="Q240">
            <v>0</v>
          </cell>
          <cell r="R240">
            <v>0</v>
          </cell>
          <cell r="S240">
            <v>0</v>
          </cell>
          <cell r="T240">
            <v>0</v>
          </cell>
          <cell r="U240">
            <v>4</v>
          </cell>
          <cell r="V240">
            <v>0</v>
          </cell>
          <cell r="W240">
            <v>0</v>
          </cell>
          <cell r="X240">
            <v>4</v>
          </cell>
          <cell r="Y240" t="str">
            <v>No</v>
          </cell>
          <cell r="Z240">
            <v>363</v>
          </cell>
          <cell r="AB240">
            <v>1452</v>
          </cell>
        </row>
        <row r="241">
          <cell r="B241" t="str">
            <v>C3_90</v>
          </cell>
          <cell r="E241" t="str">
            <v>Reducer (160mmx50mm HDPE)</v>
          </cell>
          <cell r="F241" t="str">
            <v>Reducer (160mmx50mm HDPE)</v>
          </cell>
          <cell r="I241">
            <v>0</v>
          </cell>
          <cell r="J241">
            <v>0</v>
          </cell>
          <cell r="K241">
            <v>0</v>
          </cell>
          <cell r="L241">
            <v>0</v>
          </cell>
          <cell r="M241">
            <v>0</v>
          </cell>
          <cell r="N241">
            <v>0</v>
          </cell>
          <cell r="O241">
            <v>0</v>
          </cell>
          <cell r="P241">
            <v>0</v>
          </cell>
          <cell r="Q241">
            <v>0</v>
          </cell>
          <cell r="R241">
            <v>0</v>
          </cell>
          <cell r="S241">
            <v>0</v>
          </cell>
          <cell r="T241">
            <v>0</v>
          </cell>
          <cell r="U241">
            <v>5</v>
          </cell>
          <cell r="V241">
            <v>0</v>
          </cell>
          <cell r="W241">
            <v>0</v>
          </cell>
          <cell r="X241">
            <v>5</v>
          </cell>
          <cell r="Y241" t="str">
            <v>No</v>
          </cell>
          <cell r="Z241">
            <v>463</v>
          </cell>
          <cell r="AB241">
            <v>2315</v>
          </cell>
        </row>
        <row r="242">
          <cell r="B242" t="str">
            <v>C3_91</v>
          </cell>
          <cell r="E242" t="str">
            <v>Reducer (180mmx160mm HDPE)</v>
          </cell>
          <cell r="F242" t="str">
            <v>Reducer (180mmx160mm HDPE)</v>
          </cell>
          <cell r="I242">
            <v>0</v>
          </cell>
          <cell r="J242">
            <v>0</v>
          </cell>
          <cell r="K242">
            <v>0</v>
          </cell>
          <cell r="L242">
            <v>0</v>
          </cell>
          <cell r="M242">
            <v>0</v>
          </cell>
          <cell r="N242">
            <v>0</v>
          </cell>
          <cell r="O242">
            <v>0</v>
          </cell>
          <cell r="P242">
            <v>0</v>
          </cell>
          <cell r="Q242">
            <v>0</v>
          </cell>
          <cell r="R242">
            <v>0</v>
          </cell>
          <cell r="S242">
            <v>0</v>
          </cell>
          <cell r="T242">
            <v>0</v>
          </cell>
          <cell r="U242">
            <v>3</v>
          </cell>
          <cell r="V242">
            <v>0</v>
          </cell>
          <cell r="W242">
            <v>0</v>
          </cell>
          <cell r="X242">
            <v>3</v>
          </cell>
          <cell r="Y242" t="str">
            <v>No</v>
          </cell>
          <cell r="Z242">
            <v>726</v>
          </cell>
          <cell r="AB242">
            <v>2178</v>
          </cell>
        </row>
        <row r="243">
          <cell r="B243" t="str">
            <v>C3_92</v>
          </cell>
          <cell r="E243" t="str">
            <v>Reducer (180mmx90mm HDPE)</v>
          </cell>
          <cell r="F243" t="str">
            <v>Reducer (180mmx90mm HDPE)</v>
          </cell>
          <cell r="I243">
            <v>0</v>
          </cell>
          <cell r="J243">
            <v>0</v>
          </cell>
          <cell r="K243">
            <v>0</v>
          </cell>
          <cell r="L243">
            <v>0</v>
          </cell>
          <cell r="M243">
            <v>0</v>
          </cell>
          <cell r="N243">
            <v>0</v>
          </cell>
          <cell r="O243">
            <v>0</v>
          </cell>
          <cell r="P243">
            <v>0</v>
          </cell>
          <cell r="Q243">
            <v>0</v>
          </cell>
          <cell r="R243">
            <v>0</v>
          </cell>
          <cell r="S243">
            <v>0</v>
          </cell>
          <cell r="T243">
            <v>0</v>
          </cell>
          <cell r="U243">
            <v>3</v>
          </cell>
          <cell r="V243">
            <v>0</v>
          </cell>
          <cell r="W243">
            <v>0</v>
          </cell>
          <cell r="X243">
            <v>3</v>
          </cell>
          <cell r="Y243" t="str">
            <v>No</v>
          </cell>
          <cell r="Z243">
            <v>484</v>
          </cell>
          <cell r="AB243">
            <v>1452</v>
          </cell>
        </row>
        <row r="244">
          <cell r="B244" t="str">
            <v>C3_93</v>
          </cell>
          <cell r="E244" t="str">
            <v>Reducer (225mmx110mm HDPE)</v>
          </cell>
          <cell r="F244" t="str">
            <v>Reducer (225mmx110mm HDPE)</v>
          </cell>
          <cell r="I244">
            <v>0</v>
          </cell>
          <cell r="J244">
            <v>0</v>
          </cell>
          <cell r="K244">
            <v>0</v>
          </cell>
          <cell r="L244">
            <v>0</v>
          </cell>
          <cell r="M244">
            <v>0</v>
          </cell>
          <cell r="N244">
            <v>0</v>
          </cell>
          <cell r="O244">
            <v>0</v>
          </cell>
          <cell r="P244">
            <v>0</v>
          </cell>
          <cell r="Q244">
            <v>0</v>
          </cell>
          <cell r="R244">
            <v>0</v>
          </cell>
          <cell r="S244">
            <v>0</v>
          </cell>
          <cell r="T244">
            <v>0</v>
          </cell>
          <cell r="U244">
            <v>2</v>
          </cell>
          <cell r="V244">
            <v>0</v>
          </cell>
          <cell r="W244">
            <v>0</v>
          </cell>
          <cell r="X244">
            <v>2</v>
          </cell>
          <cell r="Y244" t="str">
            <v>No</v>
          </cell>
          <cell r="Z244">
            <v>797.5</v>
          </cell>
          <cell r="AB244">
            <v>1595</v>
          </cell>
        </row>
        <row r="245">
          <cell r="B245" t="str">
            <v>C3_94</v>
          </cell>
          <cell r="E245" t="str">
            <v>Reducer (225mmx140mm HDPE)</v>
          </cell>
          <cell r="F245" t="str">
            <v>Reducer (225mmx140mm HDPE)</v>
          </cell>
          <cell r="I245">
            <v>0</v>
          </cell>
          <cell r="J245">
            <v>0</v>
          </cell>
          <cell r="K245">
            <v>0</v>
          </cell>
          <cell r="L245">
            <v>0</v>
          </cell>
          <cell r="M245">
            <v>0</v>
          </cell>
          <cell r="N245">
            <v>0</v>
          </cell>
          <cell r="O245">
            <v>0</v>
          </cell>
          <cell r="P245">
            <v>0</v>
          </cell>
          <cell r="Q245">
            <v>0</v>
          </cell>
          <cell r="R245">
            <v>0</v>
          </cell>
          <cell r="S245">
            <v>0</v>
          </cell>
          <cell r="T245">
            <v>0</v>
          </cell>
          <cell r="U245">
            <v>2</v>
          </cell>
          <cell r="V245">
            <v>0</v>
          </cell>
          <cell r="W245">
            <v>0</v>
          </cell>
          <cell r="X245">
            <v>2</v>
          </cell>
          <cell r="Y245" t="str">
            <v>No</v>
          </cell>
          <cell r="Z245">
            <v>819.5</v>
          </cell>
          <cell r="AB245">
            <v>1639</v>
          </cell>
        </row>
        <row r="246">
          <cell r="B246" t="str">
            <v>C3_95</v>
          </cell>
          <cell r="E246" t="str">
            <v>Reducer (250mmx160mm HDPE)</v>
          </cell>
          <cell r="F246" t="str">
            <v>Reducer (250mmx160mm HDPE)</v>
          </cell>
          <cell r="I246">
            <v>0</v>
          </cell>
          <cell r="J246">
            <v>0</v>
          </cell>
          <cell r="K246">
            <v>0</v>
          </cell>
          <cell r="L246">
            <v>0</v>
          </cell>
          <cell r="M246">
            <v>0</v>
          </cell>
          <cell r="N246">
            <v>0</v>
          </cell>
          <cell r="O246">
            <v>0</v>
          </cell>
          <cell r="P246">
            <v>0</v>
          </cell>
          <cell r="Q246">
            <v>0</v>
          </cell>
          <cell r="R246">
            <v>0</v>
          </cell>
          <cell r="S246">
            <v>0</v>
          </cell>
          <cell r="T246">
            <v>0</v>
          </cell>
          <cell r="U246">
            <v>5</v>
          </cell>
          <cell r="V246">
            <v>0</v>
          </cell>
          <cell r="W246">
            <v>0</v>
          </cell>
          <cell r="X246">
            <v>5</v>
          </cell>
          <cell r="Y246" t="str">
            <v>No</v>
          </cell>
          <cell r="Z246">
            <v>1028.5</v>
          </cell>
          <cell r="AB246">
            <v>5142.5</v>
          </cell>
        </row>
        <row r="247">
          <cell r="B247" t="str">
            <v>C3_96</v>
          </cell>
          <cell r="E247" t="str">
            <v>Reducer (250mmx225mm HDPE)</v>
          </cell>
          <cell r="F247" t="str">
            <v>Reducer (250mmx225mm HDPE)</v>
          </cell>
          <cell r="I247">
            <v>0</v>
          </cell>
          <cell r="J247">
            <v>0</v>
          </cell>
          <cell r="K247">
            <v>0</v>
          </cell>
          <cell r="L247">
            <v>0</v>
          </cell>
          <cell r="M247">
            <v>0</v>
          </cell>
          <cell r="N247">
            <v>0</v>
          </cell>
          <cell r="O247">
            <v>0</v>
          </cell>
          <cell r="P247">
            <v>0</v>
          </cell>
          <cell r="Q247">
            <v>0</v>
          </cell>
          <cell r="R247">
            <v>0</v>
          </cell>
          <cell r="S247">
            <v>0</v>
          </cell>
          <cell r="T247">
            <v>0</v>
          </cell>
          <cell r="U247">
            <v>10</v>
          </cell>
          <cell r="V247">
            <v>0</v>
          </cell>
          <cell r="W247">
            <v>0</v>
          </cell>
          <cell r="X247">
            <v>10</v>
          </cell>
          <cell r="Y247" t="str">
            <v>No</v>
          </cell>
          <cell r="Z247">
            <v>1028.5</v>
          </cell>
          <cell r="AB247">
            <v>10285</v>
          </cell>
        </row>
        <row r="248">
          <cell r="B248" t="str">
            <v>C3_97</v>
          </cell>
          <cell r="E248" t="str">
            <v>Reducer (250mmx110mm HDPE)</v>
          </cell>
          <cell r="F248" t="str">
            <v>Reducer (250mmx110mm HDPE)</v>
          </cell>
          <cell r="I248">
            <v>0</v>
          </cell>
          <cell r="J248">
            <v>0</v>
          </cell>
          <cell r="K248">
            <v>0</v>
          </cell>
          <cell r="L248">
            <v>0</v>
          </cell>
          <cell r="M248">
            <v>0</v>
          </cell>
          <cell r="N248">
            <v>0</v>
          </cell>
          <cell r="O248">
            <v>0</v>
          </cell>
          <cell r="P248">
            <v>0</v>
          </cell>
          <cell r="Q248">
            <v>0</v>
          </cell>
          <cell r="R248">
            <v>0</v>
          </cell>
          <cell r="S248">
            <v>0</v>
          </cell>
          <cell r="T248">
            <v>0</v>
          </cell>
          <cell r="U248">
            <v>6</v>
          </cell>
          <cell r="V248">
            <v>0</v>
          </cell>
          <cell r="W248">
            <v>0</v>
          </cell>
          <cell r="X248">
            <v>6</v>
          </cell>
          <cell r="Y248" t="str">
            <v>No</v>
          </cell>
          <cell r="Z248">
            <v>968</v>
          </cell>
          <cell r="AB248">
            <v>5808</v>
          </cell>
        </row>
        <row r="249">
          <cell r="B249" t="str">
            <v>C3_98</v>
          </cell>
          <cell r="E249" t="str">
            <v>Saddle (140mmx32mm)</v>
          </cell>
          <cell r="F249" t="str">
            <v>Saddle (140mmx32mm)</v>
          </cell>
          <cell r="I249">
            <v>0</v>
          </cell>
          <cell r="J249">
            <v>0</v>
          </cell>
          <cell r="K249">
            <v>0</v>
          </cell>
          <cell r="L249">
            <v>0</v>
          </cell>
          <cell r="M249">
            <v>0</v>
          </cell>
          <cell r="N249">
            <v>0</v>
          </cell>
          <cell r="O249">
            <v>0</v>
          </cell>
          <cell r="P249">
            <v>0</v>
          </cell>
          <cell r="Q249">
            <v>0</v>
          </cell>
          <cell r="R249">
            <v>0</v>
          </cell>
          <cell r="S249">
            <v>0</v>
          </cell>
          <cell r="T249">
            <v>0</v>
          </cell>
          <cell r="U249">
            <v>3</v>
          </cell>
          <cell r="V249">
            <v>0</v>
          </cell>
          <cell r="W249">
            <v>0</v>
          </cell>
          <cell r="X249">
            <v>3</v>
          </cell>
          <cell r="Y249" t="str">
            <v>No</v>
          </cell>
          <cell r="Z249">
            <v>250</v>
          </cell>
          <cell r="AB249">
            <v>750</v>
          </cell>
        </row>
        <row r="250">
          <cell r="B250" t="str">
            <v>C3_99</v>
          </cell>
          <cell r="E250" t="str">
            <v>Pipe Piece of different size as per site requirement (15mm GI)</v>
          </cell>
          <cell r="F250" t="str">
            <v>Pipe Piece of different size as per site requirement (15mm GI)</v>
          </cell>
          <cell r="I250">
            <v>0</v>
          </cell>
          <cell r="J250">
            <v>0</v>
          </cell>
          <cell r="K250">
            <v>0</v>
          </cell>
          <cell r="L250">
            <v>0</v>
          </cell>
          <cell r="M250">
            <v>0</v>
          </cell>
          <cell r="N250">
            <v>0</v>
          </cell>
          <cell r="O250">
            <v>0</v>
          </cell>
          <cell r="P250">
            <v>0</v>
          </cell>
          <cell r="Q250">
            <v>0</v>
          </cell>
          <cell r="R250">
            <v>0</v>
          </cell>
          <cell r="S250">
            <v>0</v>
          </cell>
          <cell r="T250">
            <v>0</v>
          </cell>
          <cell r="U250">
            <v>13.8</v>
          </cell>
          <cell r="V250">
            <v>0</v>
          </cell>
          <cell r="W250">
            <v>0</v>
          </cell>
          <cell r="X250">
            <v>13.8</v>
          </cell>
          <cell r="Y250" t="str">
            <v>m</v>
          </cell>
          <cell r="Z250">
            <v>100</v>
          </cell>
          <cell r="AB250">
            <v>1380</v>
          </cell>
        </row>
        <row r="251">
          <cell r="B251" t="str">
            <v>C3_100</v>
          </cell>
          <cell r="E251" t="str">
            <v>Pipe Piece of different size as per site requirement (200mm DI)</v>
          </cell>
          <cell r="F251" t="str">
            <v>Pipe Piece of different size as per site requirement (200mm DI)</v>
          </cell>
          <cell r="I251">
            <v>0</v>
          </cell>
          <cell r="J251">
            <v>0</v>
          </cell>
          <cell r="K251">
            <v>0</v>
          </cell>
          <cell r="L251">
            <v>0</v>
          </cell>
          <cell r="M251">
            <v>0</v>
          </cell>
          <cell r="N251">
            <v>0</v>
          </cell>
          <cell r="O251">
            <v>0</v>
          </cell>
          <cell r="P251">
            <v>0</v>
          </cell>
          <cell r="Q251">
            <v>0</v>
          </cell>
          <cell r="R251">
            <v>0</v>
          </cell>
          <cell r="S251">
            <v>0</v>
          </cell>
          <cell r="T251">
            <v>0</v>
          </cell>
          <cell r="U251">
            <v>20</v>
          </cell>
          <cell r="V251">
            <v>0</v>
          </cell>
          <cell r="W251">
            <v>0</v>
          </cell>
          <cell r="X251">
            <v>20</v>
          </cell>
          <cell r="Y251" t="str">
            <v>m</v>
          </cell>
          <cell r="Z251">
            <v>2376</v>
          </cell>
          <cell r="AB251">
            <v>47520</v>
          </cell>
        </row>
        <row r="252">
          <cell r="B252" t="str">
            <v>C3_101</v>
          </cell>
          <cell r="E252" t="str">
            <v>Surface plate with flanged elbow assemble complete set</v>
          </cell>
          <cell r="F252" t="str">
            <v>Surface plate with flanged elbow assemble complete set</v>
          </cell>
          <cell r="I252">
            <v>0</v>
          </cell>
          <cell r="J252">
            <v>0</v>
          </cell>
          <cell r="K252">
            <v>0</v>
          </cell>
          <cell r="L252">
            <v>0</v>
          </cell>
          <cell r="M252">
            <v>0</v>
          </cell>
          <cell r="N252">
            <v>0</v>
          </cell>
          <cell r="O252">
            <v>0</v>
          </cell>
          <cell r="P252">
            <v>0</v>
          </cell>
          <cell r="Q252">
            <v>0</v>
          </cell>
          <cell r="R252">
            <v>0</v>
          </cell>
          <cell r="S252">
            <v>0</v>
          </cell>
          <cell r="T252">
            <v>0</v>
          </cell>
          <cell r="U252">
            <v>3</v>
          </cell>
          <cell r="V252">
            <v>0</v>
          </cell>
          <cell r="W252">
            <v>0</v>
          </cell>
          <cell r="X252">
            <v>3</v>
          </cell>
          <cell r="Y252" t="str">
            <v>set</v>
          </cell>
          <cell r="Z252">
            <v>18000</v>
          </cell>
          <cell r="AB252">
            <v>54000</v>
          </cell>
        </row>
        <row r="253">
          <cell r="B253" t="str">
            <v>C3_102</v>
          </cell>
          <cell r="E253" t="str">
            <v>Companion flange for well head</v>
          </cell>
          <cell r="F253" t="str">
            <v>Companion flange for well head</v>
          </cell>
          <cell r="I253">
            <v>0</v>
          </cell>
          <cell r="J253">
            <v>0</v>
          </cell>
          <cell r="K253">
            <v>0</v>
          </cell>
          <cell r="L253">
            <v>0</v>
          </cell>
          <cell r="M253">
            <v>0</v>
          </cell>
          <cell r="N253">
            <v>0</v>
          </cell>
          <cell r="O253">
            <v>0</v>
          </cell>
          <cell r="P253">
            <v>0</v>
          </cell>
          <cell r="Q253">
            <v>0</v>
          </cell>
          <cell r="R253">
            <v>0</v>
          </cell>
          <cell r="S253">
            <v>0</v>
          </cell>
          <cell r="T253">
            <v>0</v>
          </cell>
          <cell r="U253">
            <v>3</v>
          </cell>
          <cell r="V253">
            <v>0</v>
          </cell>
          <cell r="W253">
            <v>0</v>
          </cell>
          <cell r="X253">
            <v>3</v>
          </cell>
          <cell r="Y253" t="str">
            <v>set</v>
          </cell>
          <cell r="Z253">
            <v>6000</v>
          </cell>
          <cell r="AB253">
            <v>18000</v>
          </cell>
        </row>
        <row r="254">
          <cell r="B254" t="str">
            <v>C3_103</v>
          </cell>
          <cell r="E254" t="str">
            <v>Rubber expansion joint (standard spool type) or equivalent with ANSI</v>
          </cell>
          <cell r="F254" t="str">
            <v>Rubber expansion joint (standard spool type) or equivalent with ANSI</v>
          </cell>
          <cell r="I254">
            <v>0</v>
          </cell>
          <cell r="J254">
            <v>0</v>
          </cell>
          <cell r="K254">
            <v>0</v>
          </cell>
          <cell r="L254">
            <v>0</v>
          </cell>
          <cell r="M254">
            <v>0</v>
          </cell>
          <cell r="N254">
            <v>0</v>
          </cell>
          <cell r="O254">
            <v>0</v>
          </cell>
          <cell r="P254">
            <v>0</v>
          </cell>
          <cell r="Q254">
            <v>0</v>
          </cell>
          <cell r="R254">
            <v>0</v>
          </cell>
          <cell r="S254">
            <v>0</v>
          </cell>
          <cell r="T254">
            <v>0</v>
          </cell>
          <cell r="U254">
            <v>3</v>
          </cell>
          <cell r="V254">
            <v>0</v>
          </cell>
          <cell r="W254">
            <v>0</v>
          </cell>
          <cell r="X254">
            <v>3</v>
          </cell>
          <cell r="Y254" t="str">
            <v>No</v>
          </cell>
          <cell r="Z254">
            <v>8000</v>
          </cell>
          <cell r="AB254">
            <v>24000</v>
          </cell>
        </row>
        <row r="255">
          <cell r="B255" t="str">
            <v>C3_104</v>
          </cell>
          <cell r="E255" t="str">
            <v>Non-return valve, swing check stainless steel- TRIM (200 mm dia)</v>
          </cell>
          <cell r="F255" t="str">
            <v>Non-return valve, swing check stainless steel- TRIM (200 mm dia)</v>
          </cell>
          <cell r="I255">
            <v>0</v>
          </cell>
          <cell r="J255">
            <v>0</v>
          </cell>
          <cell r="K255">
            <v>0</v>
          </cell>
          <cell r="L255">
            <v>0</v>
          </cell>
          <cell r="M255">
            <v>0</v>
          </cell>
          <cell r="N255">
            <v>0</v>
          </cell>
          <cell r="O255">
            <v>0</v>
          </cell>
          <cell r="P255">
            <v>0</v>
          </cell>
          <cell r="Q255">
            <v>0</v>
          </cell>
          <cell r="R255">
            <v>0</v>
          </cell>
          <cell r="S255">
            <v>0</v>
          </cell>
          <cell r="T255">
            <v>0</v>
          </cell>
          <cell r="U255">
            <v>3</v>
          </cell>
          <cell r="V255">
            <v>0</v>
          </cell>
          <cell r="W255">
            <v>0</v>
          </cell>
          <cell r="X255">
            <v>3</v>
          </cell>
          <cell r="Y255" t="str">
            <v>No</v>
          </cell>
          <cell r="Z255">
            <v>24000</v>
          </cell>
          <cell r="AB255">
            <v>72000</v>
          </cell>
        </row>
        <row r="256">
          <cell r="B256" t="str">
            <v>C3_105</v>
          </cell>
          <cell r="E256" t="str">
            <v>Pressure gauge complete with pipe and isolating cock valve and adjustable snubber 1/2" dia. Range: 1-25 kg/cm2</v>
          </cell>
          <cell r="F256" t="str">
            <v>Pressure gauge complete with pipe and isolating cock valve and adjustable snubber 1/2" dia. Range: 1-25 kg/cm2</v>
          </cell>
          <cell r="I256">
            <v>0</v>
          </cell>
          <cell r="J256">
            <v>0</v>
          </cell>
          <cell r="K256">
            <v>0</v>
          </cell>
          <cell r="L256">
            <v>0</v>
          </cell>
          <cell r="M256">
            <v>0</v>
          </cell>
          <cell r="N256">
            <v>0</v>
          </cell>
          <cell r="O256">
            <v>0</v>
          </cell>
          <cell r="P256">
            <v>0</v>
          </cell>
          <cell r="Q256">
            <v>0</v>
          </cell>
          <cell r="R256">
            <v>0</v>
          </cell>
          <cell r="S256">
            <v>0</v>
          </cell>
          <cell r="T256">
            <v>0</v>
          </cell>
          <cell r="U256">
            <v>3</v>
          </cell>
          <cell r="V256">
            <v>0</v>
          </cell>
          <cell r="W256">
            <v>0</v>
          </cell>
          <cell r="X256">
            <v>3</v>
          </cell>
          <cell r="Y256" t="str">
            <v>No</v>
          </cell>
          <cell r="Z256">
            <v>6000</v>
          </cell>
          <cell r="AB256">
            <v>18000</v>
          </cell>
        </row>
        <row r="257">
          <cell r="B257" t="str">
            <v>C3_106</v>
          </cell>
          <cell r="E257" t="str">
            <v>Air vacuum valve complete with pipe and isolating cock valve 1 1/2" dia carbon steel</v>
          </cell>
          <cell r="F257" t="str">
            <v>Air vacuum valve complete with pipe and isolating cock valve 1 1/2" dia carbon steel</v>
          </cell>
          <cell r="I257">
            <v>0</v>
          </cell>
          <cell r="J257">
            <v>0</v>
          </cell>
          <cell r="K257">
            <v>0</v>
          </cell>
          <cell r="L257">
            <v>0</v>
          </cell>
          <cell r="M257">
            <v>0</v>
          </cell>
          <cell r="N257">
            <v>0</v>
          </cell>
          <cell r="O257">
            <v>0</v>
          </cell>
          <cell r="P257">
            <v>0</v>
          </cell>
          <cell r="Q257">
            <v>0</v>
          </cell>
          <cell r="R257">
            <v>0</v>
          </cell>
          <cell r="S257">
            <v>0</v>
          </cell>
          <cell r="T257">
            <v>0</v>
          </cell>
          <cell r="U257">
            <v>3</v>
          </cell>
          <cell r="V257">
            <v>0</v>
          </cell>
          <cell r="W257">
            <v>0</v>
          </cell>
          <cell r="X257">
            <v>3</v>
          </cell>
          <cell r="Y257" t="str">
            <v>set</v>
          </cell>
          <cell r="Z257">
            <v>25240.32</v>
          </cell>
          <cell r="AB257">
            <v>75720.960000000006</v>
          </cell>
        </row>
        <row r="258">
          <cell r="B258" t="str">
            <v>C3_107</v>
          </cell>
          <cell r="E258" t="str">
            <v>200mm dia. Sluice valve with flanged tail piece, adopters, nuts, bolts, rubber washer etc. complete set</v>
          </cell>
          <cell r="F258" t="str">
            <v>200mm dia. Sluice valve with flanged tail piece, adopters, nuts, bolts, rubber washer etc. complete set</v>
          </cell>
          <cell r="I258">
            <v>0</v>
          </cell>
          <cell r="J258">
            <v>0</v>
          </cell>
          <cell r="K258">
            <v>0</v>
          </cell>
          <cell r="L258">
            <v>0</v>
          </cell>
          <cell r="M258">
            <v>0</v>
          </cell>
          <cell r="N258">
            <v>0</v>
          </cell>
          <cell r="O258">
            <v>0</v>
          </cell>
          <cell r="P258">
            <v>0</v>
          </cell>
          <cell r="Q258">
            <v>0</v>
          </cell>
          <cell r="R258">
            <v>0</v>
          </cell>
          <cell r="S258">
            <v>0</v>
          </cell>
          <cell r="T258">
            <v>0</v>
          </cell>
          <cell r="U258">
            <v>6</v>
          </cell>
          <cell r="V258">
            <v>0</v>
          </cell>
          <cell r="W258">
            <v>0</v>
          </cell>
          <cell r="X258">
            <v>6</v>
          </cell>
          <cell r="Y258" t="str">
            <v>No</v>
          </cell>
          <cell r="Z258">
            <v>42000</v>
          </cell>
          <cell r="AB258">
            <v>252000</v>
          </cell>
        </row>
        <row r="259">
          <cell r="B259" t="str">
            <v>C3_108</v>
          </cell>
          <cell r="E259" t="str">
            <v>DI single flange tail piece (200mm dia x 1m)</v>
          </cell>
          <cell r="F259" t="str">
            <v>DI single flange tail piece (200mm dia x 1m)</v>
          </cell>
          <cell r="I259">
            <v>0</v>
          </cell>
          <cell r="J259">
            <v>0</v>
          </cell>
          <cell r="K259">
            <v>0</v>
          </cell>
          <cell r="L259">
            <v>0</v>
          </cell>
          <cell r="M259">
            <v>0</v>
          </cell>
          <cell r="N259">
            <v>0</v>
          </cell>
          <cell r="O259">
            <v>0</v>
          </cell>
          <cell r="P259">
            <v>0</v>
          </cell>
          <cell r="Q259">
            <v>0</v>
          </cell>
          <cell r="R259">
            <v>0</v>
          </cell>
          <cell r="S259">
            <v>0</v>
          </cell>
          <cell r="T259">
            <v>0</v>
          </cell>
          <cell r="U259">
            <v>7</v>
          </cell>
          <cell r="V259">
            <v>0</v>
          </cell>
          <cell r="W259">
            <v>0</v>
          </cell>
          <cell r="X259">
            <v>7</v>
          </cell>
          <cell r="Y259" t="str">
            <v>No</v>
          </cell>
          <cell r="Z259">
            <v>4500</v>
          </cell>
          <cell r="AB259">
            <v>31500</v>
          </cell>
        </row>
        <row r="260">
          <cell r="B260" t="str">
            <v>C3_109</v>
          </cell>
          <cell r="E260" t="str">
            <v>DI mechanical coupling with rubber rings (200mm dia)</v>
          </cell>
          <cell r="F260" t="str">
            <v>DI mechanical coupling with rubber rings (200mm dia)</v>
          </cell>
          <cell r="I260">
            <v>0</v>
          </cell>
          <cell r="J260">
            <v>0</v>
          </cell>
          <cell r="K260">
            <v>0</v>
          </cell>
          <cell r="L260">
            <v>0</v>
          </cell>
          <cell r="M260">
            <v>0</v>
          </cell>
          <cell r="N260">
            <v>0</v>
          </cell>
          <cell r="O260">
            <v>0</v>
          </cell>
          <cell r="P260">
            <v>0</v>
          </cell>
          <cell r="Q260">
            <v>0</v>
          </cell>
          <cell r="R260">
            <v>0</v>
          </cell>
          <cell r="S260">
            <v>0</v>
          </cell>
          <cell r="T260">
            <v>0</v>
          </cell>
          <cell r="U260">
            <v>6</v>
          </cell>
          <cell r="V260">
            <v>0</v>
          </cell>
          <cell r="W260">
            <v>0</v>
          </cell>
          <cell r="X260">
            <v>6</v>
          </cell>
          <cell r="Y260" t="str">
            <v>No</v>
          </cell>
          <cell r="Z260">
            <v>9838.08</v>
          </cell>
          <cell r="AB260">
            <v>59028.480000000003</v>
          </cell>
        </row>
        <row r="261">
          <cell r="B261" t="str">
            <v>C3_110</v>
          </cell>
          <cell r="E261" t="str">
            <v>DI flanged socket - 200mm dia x 1m</v>
          </cell>
          <cell r="F261" t="str">
            <v>DI flanged socket - 200mm dia x 1m</v>
          </cell>
          <cell r="I261">
            <v>0</v>
          </cell>
          <cell r="J261">
            <v>0</v>
          </cell>
          <cell r="K261">
            <v>0</v>
          </cell>
          <cell r="L261">
            <v>0</v>
          </cell>
          <cell r="M261">
            <v>0</v>
          </cell>
          <cell r="N261">
            <v>0</v>
          </cell>
          <cell r="O261">
            <v>0</v>
          </cell>
          <cell r="P261">
            <v>0</v>
          </cell>
          <cell r="Q261">
            <v>0</v>
          </cell>
          <cell r="R261">
            <v>0</v>
          </cell>
          <cell r="S261">
            <v>0</v>
          </cell>
          <cell r="T261">
            <v>0</v>
          </cell>
          <cell r="U261">
            <v>3</v>
          </cell>
          <cell r="V261">
            <v>0</v>
          </cell>
          <cell r="W261">
            <v>0</v>
          </cell>
          <cell r="X261">
            <v>3</v>
          </cell>
          <cell r="Y261" t="str">
            <v>No</v>
          </cell>
          <cell r="Z261">
            <v>3306.24</v>
          </cell>
          <cell r="AB261">
            <v>9918.7199999999993</v>
          </cell>
        </row>
        <row r="262">
          <cell r="B262" t="str">
            <v>C3_111</v>
          </cell>
          <cell r="E262" t="str">
            <v>DI flanged bend 90 deg. - 200mm dia</v>
          </cell>
          <cell r="F262" t="str">
            <v>DI flanged bend 90 deg. - 200mm dia</v>
          </cell>
          <cell r="I262">
            <v>0</v>
          </cell>
          <cell r="J262">
            <v>0</v>
          </cell>
          <cell r="K262">
            <v>0</v>
          </cell>
          <cell r="L262">
            <v>0</v>
          </cell>
          <cell r="M262">
            <v>0</v>
          </cell>
          <cell r="N262">
            <v>0</v>
          </cell>
          <cell r="O262">
            <v>0</v>
          </cell>
          <cell r="P262">
            <v>0</v>
          </cell>
          <cell r="Q262">
            <v>0</v>
          </cell>
          <cell r="R262">
            <v>0</v>
          </cell>
          <cell r="S262">
            <v>0</v>
          </cell>
          <cell r="T262">
            <v>0</v>
          </cell>
          <cell r="U262">
            <v>6</v>
          </cell>
          <cell r="V262">
            <v>0</v>
          </cell>
          <cell r="W262">
            <v>0</v>
          </cell>
          <cell r="X262">
            <v>6</v>
          </cell>
          <cell r="Y262" t="str">
            <v>No</v>
          </cell>
          <cell r="Z262">
            <v>5160.96</v>
          </cell>
          <cell r="AB262">
            <v>30965.759999999998</v>
          </cell>
        </row>
        <row r="263">
          <cell r="B263" t="str">
            <v>C3_112</v>
          </cell>
          <cell r="E263" t="str">
            <v>DI socket bend 90 deg. - 200mm dia</v>
          </cell>
          <cell r="F263" t="str">
            <v>DI socket bend 90 deg. - 200mm dia</v>
          </cell>
          <cell r="I263">
            <v>0</v>
          </cell>
          <cell r="J263">
            <v>0</v>
          </cell>
          <cell r="K263">
            <v>0</v>
          </cell>
          <cell r="L263">
            <v>0</v>
          </cell>
          <cell r="M263">
            <v>0</v>
          </cell>
          <cell r="N263">
            <v>0</v>
          </cell>
          <cell r="O263">
            <v>0</v>
          </cell>
          <cell r="P263">
            <v>0</v>
          </cell>
          <cell r="Q263">
            <v>0</v>
          </cell>
          <cell r="R263">
            <v>0</v>
          </cell>
          <cell r="S263">
            <v>0</v>
          </cell>
          <cell r="T263">
            <v>0</v>
          </cell>
          <cell r="U263">
            <v>6</v>
          </cell>
          <cell r="V263">
            <v>0</v>
          </cell>
          <cell r="W263">
            <v>0</v>
          </cell>
          <cell r="X263">
            <v>6</v>
          </cell>
          <cell r="Y263" t="str">
            <v>No</v>
          </cell>
          <cell r="Z263">
            <v>3467.52</v>
          </cell>
          <cell r="AB263">
            <v>20805.12</v>
          </cell>
        </row>
        <row r="264">
          <cell r="B264" t="str">
            <v>C3_113</v>
          </cell>
          <cell r="E264" t="str">
            <v>DI flanged tee - 200mmx200mmx200mm</v>
          </cell>
          <cell r="F264" t="str">
            <v>DI flanged tee - 200mmx200mmx200mm</v>
          </cell>
          <cell r="I264">
            <v>0</v>
          </cell>
          <cell r="J264">
            <v>0</v>
          </cell>
          <cell r="K264">
            <v>0</v>
          </cell>
          <cell r="L264">
            <v>0</v>
          </cell>
          <cell r="M264">
            <v>0</v>
          </cell>
          <cell r="N264">
            <v>0</v>
          </cell>
          <cell r="O264">
            <v>0</v>
          </cell>
          <cell r="P264">
            <v>0</v>
          </cell>
          <cell r="Q264">
            <v>0</v>
          </cell>
          <cell r="R264">
            <v>0</v>
          </cell>
          <cell r="S264">
            <v>0</v>
          </cell>
          <cell r="T264">
            <v>0</v>
          </cell>
          <cell r="U264">
            <v>4</v>
          </cell>
          <cell r="V264">
            <v>0</v>
          </cell>
          <cell r="W264">
            <v>0</v>
          </cell>
          <cell r="X264">
            <v>4</v>
          </cell>
          <cell r="Y264" t="str">
            <v>No</v>
          </cell>
          <cell r="Z264">
            <v>7660.8</v>
          </cell>
          <cell r="AB264">
            <v>30643.200000000001</v>
          </cell>
        </row>
        <row r="265">
          <cell r="B265" t="str">
            <v>C3_114</v>
          </cell>
          <cell r="E265" t="str">
            <v>DI Double flanged pipe (4m long 200mm dia)</v>
          </cell>
          <cell r="F265" t="str">
            <v>DI Double flanged pipe (4m long 200mm dia)</v>
          </cell>
          <cell r="I265">
            <v>0</v>
          </cell>
          <cell r="J265">
            <v>0</v>
          </cell>
          <cell r="K265">
            <v>0</v>
          </cell>
          <cell r="L265">
            <v>0</v>
          </cell>
          <cell r="M265">
            <v>0</v>
          </cell>
          <cell r="N265">
            <v>0</v>
          </cell>
          <cell r="O265">
            <v>0</v>
          </cell>
          <cell r="P265">
            <v>0</v>
          </cell>
          <cell r="Q265">
            <v>0</v>
          </cell>
          <cell r="R265">
            <v>0</v>
          </cell>
          <cell r="S265">
            <v>0</v>
          </cell>
          <cell r="T265">
            <v>0</v>
          </cell>
          <cell r="U265">
            <v>3</v>
          </cell>
          <cell r="V265">
            <v>0</v>
          </cell>
          <cell r="W265">
            <v>0</v>
          </cell>
          <cell r="X265">
            <v>3</v>
          </cell>
          <cell r="Y265" t="str">
            <v>No</v>
          </cell>
          <cell r="Z265">
            <v>12902.4</v>
          </cell>
          <cell r="AB265">
            <v>38707.199999999997</v>
          </cell>
        </row>
        <row r="266">
          <cell r="B266" t="str">
            <v>C3_115</v>
          </cell>
          <cell r="E266" t="str">
            <v>Double socket 90 deg bend - 200mm dia</v>
          </cell>
          <cell r="F266" t="str">
            <v>Double socket 90 deg bend - 200mm dia</v>
          </cell>
          <cell r="I266">
            <v>0</v>
          </cell>
          <cell r="J266">
            <v>0</v>
          </cell>
          <cell r="K266">
            <v>0</v>
          </cell>
          <cell r="L266">
            <v>0</v>
          </cell>
          <cell r="M266">
            <v>0</v>
          </cell>
          <cell r="N266">
            <v>0</v>
          </cell>
          <cell r="O266">
            <v>0</v>
          </cell>
          <cell r="P266">
            <v>0</v>
          </cell>
          <cell r="Q266">
            <v>0</v>
          </cell>
          <cell r="R266">
            <v>0</v>
          </cell>
          <cell r="S266">
            <v>0</v>
          </cell>
          <cell r="T266">
            <v>0</v>
          </cell>
          <cell r="U266">
            <v>2</v>
          </cell>
          <cell r="V266">
            <v>0</v>
          </cell>
          <cell r="W266">
            <v>0</v>
          </cell>
          <cell r="X266">
            <v>2</v>
          </cell>
          <cell r="Y266" t="str">
            <v>No</v>
          </cell>
          <cell r="Z266">
            <v>5483.52</v>
          </cell>
          <cell r="AB266">
            <v>10967.04</v>
          </cell>
        </row>
        <row r="267">
          <cell r="B267" t="str">
            <v>C3_116</v>
          </cell>
          <cell r="E267" t="str">
            <v>DI 150mm 45 deg bend</v>
          </cell>
          <cell r="F267" t="str">
            <v>DI 150mm 45 deg bend</v>
          </cell>
          <cell r="I267">
            <v>0</v>
          </cell>
          <cell r="J267">
            <v>0</v>
          </cell>
          <cell r="K267">
            <v>0</v>
          </cell>
          <cell r="L267">
            <v>0</v>
          </cell>
          <cell r="M267">
            <v>0</v>
          </cell>
          <cell r="N267">
            <v>0</v>
          </cell>
          <cell r="O267">
            <v>0</v>
          </cell>
          <cell r="P267">
            <v>0</v>
          </cell>
          <cell r="Q267">
            <v>0</v>
          </cell>
          <cell r="R267">
            <v>0</v>
          </cell>
          <cell r="S267">
            <v>0</v>
          </cell>
          <cell r="T267">
            <v>0</v>
          </cell>
          <cell r="U267">
            <v>6</v>
          </cell>
          <cell r="V267">
            <v>0</v>
          </cell>
          <cell r="W267">
            <v>0</v>
          </cell>
          <cell r="X267">
            <v>6</v>
          </cell>
          <cell r="Y267" t="str">
            <v>No</v>
          </cell>
          <cell r="Z267">
            <v>5000</v>
          </cell>
          <cell r="AB267">
            <v>30000</v>
          </cell>
        </row>
        <row r="271">
          <cell r="B271" t="str">
            <v>C3_120</v>
          </cell>
          <cell r="E271" t="str">
            <v>Elbow (15mm GI)</v>
          </cell>
          <cell r="F271" t="str">
            <v>Elbow (15mm GI)</v>
          </cell>
          <cell r="U271">
            <v>4</v>
          </cell>
          <cell r="X271">
            <v>4</v>
          </cell>
          <cell r="Y271" t="str">
            <v>No</v>
          </cell>
          <cell r="Z271">
            <v>28</v>
          </cell>
          <cell r="AB271">
            <v>112</v>
          </cell>
        </row>
        <row r="272">
          <cell r="B272" t="str">
            <v>C3_121</v>
          </cell>
          <cell r="D272" t="str">
            <v>cq</v>
          </cell>
          <cell r="E272" t="str">
            <v>Supply and Installation of Valve Box</v>
          </cell>
          <cell r="F272" t="str">
            <v>Supply and Installation of Valve Box as per drawing, specification and as directed by the Engineer</v>
          </cell>
          <cell r="I272">
            <v>0</v>
          </cell>
          <cell r="J272">
            <v>0</v>
          </cell>
          <cell r="K272">
            <v>0</v>
          </cell>
          <cell r="L272">
            <v>0</v>
          </cell>
          <cell r="M272">
            <v>0</v>
          </cell>
          <cell r="N272">
            <v>0</v>
          </cell>
          <cell r="O272">
            <v>0</v>
          </cell>
          <cell r="P272">
            <v>0</v>
          </cell>
          <cell r="Q272">
            <v>0</v>
          </cell>
          <cell r="R272">
            <v>31</v>
          </cell>
          <cell r="S272">
            <v>0</v>
          </cell>
          <cell r="T272">
            <v>0</v>
          </cell>
          <cell r="U272">
            <v>0</v>
          </cell>
          <cell r="V272">
            <v>0</v>
          </cell>
          <cell r="W272">
            <v>0</v>
          </cell>
          <cell r="X272">
            <v>31</v>
          </cell>
          <cell r="Y272" t="str">
            <v>No</v>
          </cell>
          <cell r="Z272">
            <v>2500</v>
          </cell>
          <cell r="AB272">
            <v>77500</v>
          </cell>
        </row>
        <row r="273">
          <cell r="B273" t="str">
            <v>C3_122</v>
          </cell>
          <cell r="D273" t="str">
            <v>af</v>
          </cell>
          <cell r="E273" t="str">
            <v>20mm Gate Valve with fitting</v>
          </cell>
          <cell r="F273" t="str">
            <v>20mm Gun Metal Gate valve with all accessory fittings for building sanitary work as per drawing and as directed by the Engineer</v>
          </cell>
          <cell r="I273">
            <v>0</v>
          </cell>
          <cell r="J273">
            <v>0</v>
          </cell>
          <cell r="K273">
            <v>0</v>
          </cell>
          <cell r="L273">
            <v>0</v>
          </cell>
          <cell r="M273">
            <v>0</v>
          </cell>
          <cell r="N273">
            <v>0</v>
          </cell>
          <cell r="O273">
            <v>1</v>
          </cell>
          <cell r="P273">
            <v>0</v>
          </cell>
          <cell r="Q273">
            <v>0</v>
          </cell>
          <cell r="R273">
            <v>0</v>
          </cell>
          <cell r="S273">
            <v>0</v>
          </cell>
          <cell r="T273">
            <v>0</v>
          </cell>
          <cell r="U273">
            <v>0</v>
          </cell>
          <cell r="V273">
            <v>0</v>
          </cell>
          <cell r="W273">
            <v>4</v>
          </cell>
          <cell r="X273">
            <v>5</v>
          </cell>
          <cell r="Y273" t="str">
            <v>No</v>
          </cell>
          <cell r="Z273">
            <v>250</v>
          </cell>
          <cell r="AB273">
            <v>1250</v>
          </cell>
        </row>
        <row r="274">
          <cell r="B274" t="str">
            <v>C3_123</v>
          </cell>
          <cell r="E274" t="str">
            <v>25mm Gate Valve with fitting</v>
          </cell>
          <cell r="F274" t="str">
            <v>25mm Gun Metal Gate valve with all accessory fittings for building sanitary work as per drawing and as directed by the Engineer</v>
          </cell>
          <cell r="I274">
            <v>0</v>
          </cell>
          <cell r="J274">
            <v>0</v>
          </cell>
          <cell r="K274">
            <v>0</v>
          </cell>
          <cell r="L274">
            <v>0</v>
          </cell>
          <cell r="M274">
            <v>0</v>
          </cell>
          <cell r="N274">
            <v>0</v>
          </cell>
          <cell r="O274">
            <v>0</v>
          </cell>
          <cell r="P274">
            <v>0</v>
          </cell>
          <cell r="Q274">
            <v>0</v>
          </cell>
          <cell r="R274">
            <v>0</v>
          </cell>
          <cell r="S274">
            <v>0</v>
          </cell>
          <cell r="T274">
            <v>0</v>
          </cell>
          <cell r="U274">
            <v>0</v>
          </cell>
          <cell r="V274">
            <v>0</v>
          </cell>
          <cell r="W274">
            <v>2</v>
          </cell>
          <cell r="X274">
            <v>2</v>
          </cell>
          <cell r="Y274" t="str">
            <v>No</v>
          </cell>
          <cell r="Z274">
            <v>400</v>
          </cell>
          <cell r="AB274">
            <v>800</v>
          </cell>
        </row>
        <row r="275">
          <cell r="B275" t="str">
            <v>C3_124</v>
          </cell>
          <cell r="D275" t="str">
            <v>ag</v>
          </cell>
          <cell r="E275" t="str">
            <v>Chrome Plate (CP) 15mm taps</v>
          </cell>
          <cell r="F275" t="str">
            <v>15mm Chrome Plated tap with all accessory fittings for building sanitary work as per drawing and as directed by the Engineer</v>
          </cell>
          <cell r="I275">
            <v>0</v>
          </cell>
          <cell r="J275">
            <v>0</v>
          </cell>
          <cell r="K275">
            <v>0</v>
          </cell>
          <cell r="L275">
            <v>0</v>
          </cell>
          <cell r="M275">
            <v>0</v>
          </cell>
          <cell r="N275">
            <v>0</v>
          </cell>
          <cell r="O275">
            <v>2</v>
          </cell>
          <cell r="P275">
            <v>0</v>
          </cell>
          <cell r="Q275">
            <v>0</v>
          </cell>
          <cell r="R275">
            <v>0</v>
          </cell>
          <cell r="S275">
            <v>0</v>
          </cell>
          <cell r="T275">
            <v>0</v>
          </cell>
          <cell r="U275">
            <v>0</v>
          </cell>
          <cell r="V275">
            <v>0</v>
          </cell>
          <cell r="W275">
            <v>18</v>
          </cell>
          <cell r="X275">
            <v>20</v>
          </cell>
          <cell r="Y275" t="str">
            <v>No</v>
          </cell>
          <cell r="Z275">
            <v>250</v>
          </cell>
          <cell r="AB275">
            <v>5000</v>
          </cell>
        </row>
        <row r="276">
          <cell r="B276" t="str">
            <v>C3_125</v>
          </cell>
          <cell r="E276" t="str">
            <v>Water Meter</v>
          </cell>
          <cell r="F276" t="str">
            <v>Supply of Standard water meter operating with volumetric Rotary-piston principal with 1/2" diameter inlet and outlet pipe as per Clause 5.2.6 and other related clause of the Specification</v>
          </cell>
          <cell r="I276">
            <v>0</v>
          </cell>
          <cell r="J276">
            <v>0</v>
          </cell>
          <cell r="K276">
            <v>0</v>
          </cell>
          <cell r="L276">
            <v>0</v>
          </cell>
          <cell r="M276">
            <v>0</v>
          </cell>
          <cell r="N276">
            <v>0</v>
          </cell>
          <cell r="O276">
            <v>0</v>
          </cell>
          <cell r="P276">
            <v>0</v>
          </cell>
          <cell r="Q276">
            <v>0</v>
          </cell>
          <cell r="R276">
            <v>0</v>
          </cell>
          <cell r="S276">
            <v>0</v>
          </cell>
          <cell r="T276">
            <v>0</v>
          </cell>
          <cell r="U276">
            <v>0</v>
          </cell>
          <cell r="V276">
            <v>0</v>
          </cell>
          <cell r="W276">
            <v>0</v>
          </cell>
          <cell r="X276">
            <v>0</v>
          </cell>
          <cell r="Y276" t="str">
            <v>No</v>
          </cell>
          <cell r="Z276">
            <v>1100</v>
          </cell>
          <cell r="AB276">
            <v>0</v>
          </cell>
        </row>
        <row r="277">
          <cell r="D277" t="str">
            <v>D Electro-mechanical Work</v>
          </cell>
          <cell r="X277">
            <v>0</v>
          </cell>
        </row>
        <row r="278">
          <cell r="D278" t="str">
            <v>D1 : Transformer and Transmission Line Work</v>
          </cell>
          <cell r="X278">
            <v>0</v>
          </cell>
        </row>
        <row r="279">
          <cell r="B279" t="str">
            <v>D1_1</v>
          </cell>
          <cell r="C279" t="str">
            <v>17.2.b.7.4</v>
          </cell>
          <cell r="D279">
            <v>48.5</v>
          </cell>
          <cell r="E279" t="str">
            <v>Supply, Installation and commissioning of Transformer including HT line with following materials in coordination with the Nepal Electricity Authority with complete required accessories as follows.</v>
          </cell>
          <cell r="F279" t="str">
            <v>Supply, Installation and commissioning of transformer including HT line with following materials in coordination and compliance with the Nepal Electricity Authority with complete required accessories as follows (Specification Clause 3, 4 and 5).</v>
          </cell>
          <cell r="I279">
            <v>1</v>
          </cell>
          <cell r="J279">
            <v>0</v>
          </cell>
          <cell r="K279">
            <v>0</v>
          </cell>
          <cell r="L279">
            <v>0</v>
          </cell>
          <cell r="M279">
            <v>0</v>
          </cell>
          <cell r="N279">
            <v>0</v>
          </cell>
          <cell r="O279">
            <v>0</v>
          </cell>
          <cell r="P279">
            <v>0</v>
          </cell>
          <cell r="Q279">
            <v>0</v>
          </cell>
          <cell r="R279">
            <v>0</v>
          </cell>
          <cell r="S279">
            <v>0</v>
          </cell>
          <cell r="T279">
            <v>0</v>
          </cell>
          <cell r="U279">
            <v>0</v>
          </cell>
          <cell r="V279">
            <v>0</v>
          </cell>
          <cell r="W279">
            <v>0</v>
          </cell>
          <cell r="X279">
            <v>1</v>
          </cell>
          <cell r="Y279" t="str">
            <v>Job</v>
          </cell>
          <cell r="Z279">
            <v>850000</v>
          </cell>
          <cell r="AB279">
            <v>850000</v>
          </cell>
        </row>
        <row r="280">
          <cell r="B280" t="str">
            <v>D1_2</v>
          </cell>
          <cell r="C280" t="str">
            <v>17.2.b.7.4</v>
          </cell>
          <cell r="D280">
            <v>48.6</v>
          </cell>
          <cell r="E280" t="str">
            <v>100 KVA Transformer-1 no</v>
          </cell>
          <cell r="F280" t="str">
            <v>100 KVA Transformer</v>
          </cell>
          <cell r="I280">
            <v>1</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1</v>
          </cell>
          <cell r="Y280" t="str">
            <v>No</v>
          </cell>
          <cell r="Z280">
            <v>0</v>
          </cell>
          <cell r="AB280">
            <v>0</v>
          </cell>
        </row>
        <row r="281">
          <cell r="B281" t="str">
            <v>D1_3</v>
          </cell>
          <cell r="C281" t="str">
            <v>17.2.b.7.4</v>
          </cell>
          <cell r="D281">
            <v>48.7</v>
          </cell>
          <cell r="E281" t="str">
            <v>9 m Steel Pole-9 Nos</v>
          </cell>
          <cell r="F281" t="str">
            <v>9 m Steel Pole</v>
          </cell>
          <cell r="I281">
            <v>9</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9</v>
          </cell>
          <cell r="Y281" t="str">
            <v>No</v>
          </cell>
          <cell r="Z281">
            <v>0</v>
          </cell>
          <cell r="AB281">
            <v>0</v>
          </cell>
        </row>
        <row r="282">
          <cell r="B282" t="str">
            <v>D1_4</v>
          </cell>
          <cell r="D282">
            <v>49</v>
          </cell>
          <cell r="E282" t="str">
            <v>5 x 2 x 2 A Bracket-12 Nos</v>
          </cell>
          <cell r="F282" t="str">
            <v>5 x 2 x 2 A Bracket</v>
          </cell>
          <cell r="I282">
            <v>12</v>
          </cell>
          <cell r="J282">
            <v>0</v>
          </cell>
          <cell r="K282">
            <v>0</v>
          </cell>
          <cell r="L282">
            <v>0</v>
          </cell>
          <cell r="M282">
            <v>0</v>
          </cell>
          <cell r="N282">
            <v>0</v>
          </cell>
          <cell r="O282">
            <v>0</v>
          </cell>
          <cell r="P282">
            <v>0</v>
          </cell>
          <cell r="Q282">
            <v>0</v>
          </cell>
          <cell r="R282">
            <v>0</v>
          </cell>
          <cell r="S282">
            <v>0</v>
          </cell>
          <cell r="T282">
            <v>0</v>
          </cell>
          <cell r="U282">
            <v>0</v>
          </cell>
          <cell r="V282">
            <v>0</v>
          </cell>
          <cell r="W282">
            <v>0</v>
          </cell>
          <cell r="X282">
            <v>12</v>
          </cell>
          <cell r="Y282" t="str">
            <v>No</v>
          </cell>
          <cell r="Z282">
            <v>0</v>
          </cell>
          <cell r="AB282">
            <v>0</v>
          </cell>
        </row>
        <row r="283">
          <cell r="B283" t="str">
            <v>D1_5</v>
          </cell>
          <cell r="D283">
            <v>50</v>
          </cell>
          <cell r="E283" t="str">
            <v>4 x 2 x 2 Cross Arm-21 Nos</v>
          </cell>
          <cell r="F283" t="str">
            <v>4 x 2 x 2 Cross Arm</v>
          </cell>
          <cell r="I283">
            <v>21</v>
          </cell>
          <cell r="J283">
            <v>0</v>
          </cell>
          <cell r="K283">
            <v>0</v>
          </cell>
          <cell r="L283">
            <v>0</v>
          </cell>
          <cell r="M283">
            <v>0</v>
          </cell>
          <cell r="N283">
            <v>0</v>
          </cell>
          <cell r="O283">
            <v>0</v>
          </cell>
          <cell r="P283">
            <v>0</v>
          </cell>
          <cell r="Q283">
            <v>0</v>
          </cell>
          <cell r="R283">
            <v>0</v>
          </cell>
          <cell r="S283">
            <v>0</v>
          </cell>
          <cell r="T283">
            <v>0</v>
          </cell>
          <cell r="U283">
            <v>0</v>
          </cell>
          <cell r="V283">
            <v>0</v>
          </cell>
          <cell r="W283">
            <v>0</v>
          </cell>
          <cell r="X283">
            <v>21</v>
          </cell>
          <cell r="Y283" t="str">
            <v>No</v>
          </cell>
          <cell r="Z283">
            <v>0</v>
          </cell>
          <cell r="AB283">
            <v>0</v>
          </cell>
        </row>
        <row r="284">
          <cell r="B284" t="str">
            <v>D1_6</v>
          </cell>
          <cell r="D284">
            <v>51</v>
          </cell>
          <cell r="E284" t="str">
            <v>1 x 2 x 2 Top Bracket-2 Nos</v>
          </cell>
          <cell r="F284" t="str">
            <v>1 x 2 x 2 Top Bracket</v>
          </cell>
          <cell r="I284">
            <v>2</v>
          </cell>
          <cell r="J284">
            <v>0</v>
          </cell>
          <cell r="K284">
            <v>0</v>
          </cell>
          <cell r="L284">
            <v>0</v>
          </cell>
          <cell r="M284">
            <v>0</v>
          </cell>
          <cell r="N284">
            <v>0</v>
          </cell>
          <cell r="O284">
            <v>0</v>
          </cell>
          <cell r="P284">
            <v>0</v>
          </cell>
          <cell r="Q284">
            <v>0</v>
          </cell>
          <cell r="R284">
            <v>0</v>
          </cell>
          <cell r="S284">
            <v>0</v>
          </cell>
          <cell r="T284">
            <v>0</v>
          </cell>
          <cell r="U284">
            <v>0</v>
          </cell>
          <cell r="V284">
            <v>0</v>
          </cell>
          <cell r="W284">
            <v>0</v>
          </cell>
          <cell r="X284">
            <v>2</v>
          </cell>
          <cell r="Y284" t="str">
            <v>No</v>
          </cell>
          <cell r="Z284">
            <v>0</v>
          </cell>
          <cell r="AB284">
            <v>0</v>
          </cell>
        </row>
        <row r="285">
          <cell r="B285" t="str">
            <v>D1_7</v>
          </cell>
          <cell r="D285">
            <v>52</v>
          </cell>
          <cell r="E285" t="str">
            <v>11 KV Disc Insulator-48 Nos</v>
          </cell>
          <cell r="F285" t="str">
            <v>11 KV Disc Insulator</v>
          </cell>
          <cell r="I285">
            <v>48</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48</v>
          </cell>
          <cell r="Y285" t="str">
            <v>No</v>
          </cell>
          <cell r="Z285">
            <v>0</v>
          </cell>
          <cell r="AB285">
            <v>0</v>
          </cell>
        </row>
        <row r="286">
          <cell r="B286" t="str">
            <v>D1_8</v>
          </cell>
          <cell r="D286">
            <v>53</v>
          </cell>
          <cell r="E286" t="str">
            <v>11 KV Pin Insulator-105 Nos</v>
          </cell>
          <cell r="F286" t="str">
            <v>11 KV Pin Insulator</v>
          </cell>
          <cell r="I286">
            <v>105</v>
          </cell>
          <cell r="J286">
            <v>0</v>
          </cell>
          <cell r="K286">
            <v>0</v>
          </cell>
          <cell r="L286">
            <v>0</v>
          </cell>
          <cell r="M286">
            <v>0</v>
          </cell>
          <cell r="N286">
            <v>0</v>
          </cell>
          <cell r="O286">
            <v>0</v>
          </cell>
          <cell r="P286">
            <v>0</v>
          </cell>
          <cell r="Q286">
            <v>0</v>
          </cell>
          <cell r="R286">
            <v>0</v>
          </cell>
          <cell r="S286">
            <v>0</v>
          </cell>
          <cell r="T286">
            <v>0</v>
          </cell>
          <cell r="U286">
            <v>0</v>
          </cell>
          <cell r="V286">
            <v>0</v>
          </cell>
          <cell r="W286">
            <v>0</v>
          </cell>
          <cell r="X286">
            <v>105</v>
          </cell>
          <cell r="Y286" t="str">
            <v>No</v>
          </cell>
          <cell r="Z286">
            <v>0</v>
          </cell>
          <cell r="AB286">
            <v>0</v>
          </cell>
        </row>
        <row r="287">
          <cell r="B287" t="str">
            <v>D1_9</v>
          </cell>
          <cell r="D287">
            <v>54</v>
          </cell>
          <cell r="E287" t="str">
            <v>Transformer Tower Set-2 set</v>
          </cell>
          <cell r="F287" t="str">
            <v>Transformer Tower Set</v>
          </cell>
          <cell r="I287">
            <v>2</v>
          </cell>
          <cell r="J287">
            <v>0</v>
          </cell>
          <cell r="K287">
            <v>0</v>
          </cell>
          <cell r="L287">
            <v>0</v>
          </cell>
          <cell r="M287">
            <v>0</v>
          </cell>
          <cell r="N287">
            <v>0</v>
          </cell>
          <cell r="O287">
            <v>0</v>
          </cell>
          <cell r="P287">
            <v>0</v>
          </cell>
          <cell r="Q287">
            <v>0</v>
          </cell>
          <cell r="R287">
            <v>0</v>
          </cell>
          <cell r="S287">
            <v>0</v>
          </cell>
          <cell r="T287">
            <v>0</v>
          </cell>
          <cell r="U287">
            <v>0</v>
          </cell>
          <cell r="V287">
            <v>0</v>
          </cell>
          <cell r="W287">
            <v>0</v>
          </cell>
          <cell r="X287">
            <v>2</v>
          </cell>
          <cell r="Y287" t="str">
            <v>set</v>
          </cell>
          <cell r="Z287">
            <v>0</v>
          </cell>
          <cell r="AB287">
            <v>0</v>
          </cell>
        </row>
        <row r="288">
          <cell r="B288" t="str">
            <v>D1_10</v>
          </cell>
          <cell r="D288">
            <v>55</v>
          </cell>
          <cell r="E288" t="str">
            <v>Earthing set-3 set</v>
          </cell>
          <cell r="F288" t="str">
            <v>Earthing set</v>
          </cell>
          <cell r="I288">
            <v>3</v>
          </cell>
          <cell r="J288">
            <v>0</v>
          </cell>
          <cell r="K288">
            <v>0</v>
          </cell>
          <cell r="L288">
            <v>0</v>
          </cell>
          <cell r="M288">
            <v>0</v>
          </cell>
          <cell r="N288">
            <v>0</v>
          </cell>
          <cell r="O288">
            <v>0</v>
          </cell>
          <cell r="P288">
            <v>0</v>
          </cell>
          <cell r="Q288">
            <v>0</v>
          </cell>
          <cell r="R288">
            <v>0</v>
          </cell>
          <cell r="S288">
            <v>0</v>
          </cell>
          <cell r="T288">
            <v>0</v>
          </cell>
          <cell r="U288">
            <v>0</v>
          </cell>
          <cell r="V288">
            <v>0</v>
          </cell>
          <cell r="W288">
            <v>0</v>
          </cell>
          <cell r="X288">
            <v>3</v>
          </cell>
          <cell r="Y288" t="str">
            <v>set</v>
          </cell>
          <cell r="Z288">
            <v>0</v>
          </cell>
          <cell r="AB288">
            <v>0</v>
          </cell>
        </row>
        <row r="289">
          <cell r="B289" t="str">
            <v>D1_11</v>
          </cell>
          <cell r="D289">
            <v>56</v>
          </cell>
          <cell r="E289" t="str">
            <v>11 KV Drop Out Fuse-1 set</v>
          </cell>
          <cell r="F289" t="str">
            <v>11 KV Drop Out Fuse</v>
          </cell>
          <cell r="I289">
            <v>1</v>
          </cell>
          <cell r="J289">
            <v>0</v>
          </cell>
          <cell r="K289">
            <v>0</v>
          </cell>
          <cell r="L289">
            <v>0</v>
          </cell>
          <cell r="M289">
            <v>0</v>
          </cell>
          <cell r="N289">
            <v>0</v>
          </cell>
          <cell r="O289">
            <v>0</v>
          </cell>
          <cell r="P289">
            <v>0</v>
          </cell>
          <cell r="Q289">
            <v>0</v>
          </cell>
          <cell r="R289">
            <v>0</v>
          </cell>
          <cell r="S289">
            <v>0</v>
          </cell>
          <cell r="T289">
            <v>0</v>
          </cell>
          <cell r="U289">
            <v>0</v>
          </cell>
          <cell r="V289">
            <v>0</v>
          </cell>
          <cell r="W289">
            <v>0</v>
          </cell>
          <cell r="X289">
            <v>1</v>
          </cell>
          <cell r="Y289" t="str">
            <v>set</v>
          </cell>
          <cell r="Z289">
            <v>0</v>
          </cell>
          <cell r="AB289">
            <v>0</v>
          </cell>
        </row>
        <row r="290">
          <cell r="B290" t="str">
            <v>D1_12</v>
          </cell>
          <cell r="D290">
            <v>57</v>
          </cell>
          <cell r="E290" t="str">
            <v>11 KV Lightening Arrestor-2 Nos</v>
          </cell>
          <cell r="F290" t="str">
            <v>11 KV Lightening Arrestor</v>
          </cell>
          <cell r="I290">
            <v>2</v>
          </cell>
          <cell r="J290">
            <v>0</v>
          </cell>
          <cell r="K290">
            <v>0</v>
          </cell>
          <cell r="L290">
            <v>0</v>
          </cell>
          <cell r="M290">
            <v>0</v>
          </cell>
          <cell r="N290">
            <v>0</v>
          </cell>
          <cell r="O290">
            <v>0</v>
          </cell>
          <cell r="P290">
            <v>0</v>
          </cell>
          <cell r="Q290">
            <v>0</v>
          </cell>
          <cell r="R290">
            <v>0</v>
          </cell>
          <cell r="S290">
            <v>0</v>
          </cell>
          <cell r="T290">
            <v>0</v>
          </cell>
          <cell r="U290">
            <v>0</v>
          </cell>
          <cell r="V290">
            <v>0</v>
          </cell>
          <cell r="W290">
            <v>0</v>
          </cell>
          <cell r="X290">
            <v>2</v>
          </cell>
          <cell r="Y290" t="str">
            <v>No</v>
          </cell>
          <cell r="Z290">
            <v>0</v>
          </cell>
          <cell r="AB290">
            <v>0</v>
          </cell>
        </row>
        <row r="291">
          <cell r="B291" t="str">
            <v>D1_13</v>
          </cell>
          <cell r="D291">
            <v>58</v>
          </cell>
          <cell r="E291" t="str">
            <v>Stay Set-11 Nos</v>
          </cell>
          <cell r="F291" t="str">
            <v>Stay Set</v>
          </cell>
          <cell r="I291">
            <v>11</v>
          </cell>
          <cell r="J291">
            <v>0</v>
          </cell>
          <cell r="K291">
            <v>0</v>
          </cell>
          <cell r="L291">
            <v>0</v>
          </cell>
          <cell r="M291">
            <v>0</v>
          </cell>
          <cell r="N291">
            <v>0</v>
          </cell>
          <cell r="O291">
            <v>0</v>
          </cell>
          <cell r="P291">
            <v>0</v>
          </cell>
          <cell r="Q291">
            <v>0</v>
          </cell>
          <cell r="R291">
            <v>0</v>
          </cell>
          <cell r="S291">
            <v>0</v>
          </cell>
          <cell r="T291">
            <v>0</v>
          </cell>
          <cell r="U291">
            <v>0</v>
          </cell>
          <cell r="V291">
            <v>0</v>
          </cell>
          <cell r="W291">
            <v>0</v>
          </cell>
          <cell r="X291">
            <v>11</v>
          </cell>
          <cell r="Y291" t="str">
            <v>No</v>
          </cell>
          <cell r="Z291">
            <v>0</v>
          </cell>
          <cell r="AB291">
            <v>0</v>
          </cell>
        </row>
        <row r="292">
          <cell r="B292" t="str">
            <v>D1_14</v>
          </cell>
          <cell r="D292">
            <v>59</v>
          </cell>
          <cell r="E292" t="str">
            <v>Stay Wire-42 kgs</v>
          </cell>
          <cell r="F292" t="str">
            <v>Stay Wire</v>
          </cell>
          <cell r="I292">
            <v>42</v>
          </cell>
          <cell r="J292">
            <v>0</v>
          </cell>
          <cell r="K292">
            <v>0</v>
          </cell>
          <cell r="L292">
            <v>0</v>
          </cell>
          <cell r="M292">
            <v>0</v>
          </cell>
          <cell r="N292">
            <v>0</v>
          </cell>
          <cell r="O292">
            <v>0</v>
          </cell>
          <cell r="P292">
            <v>0</v>
          </cell>
          <cell r="Q292">
            <v>0</v>
          </cell>
          <cell r="R292">
            <v>0</v>
          </cell>
          <cell r="S292">
            <v>0</v>
          </cell>
          <cell r="T292">
            <v>0</v>
          </cell>
          <cell r="U292">
            <v>0</v>
          </cell>
          <cell r="V292">
            <v>0</v>
          </cell>
          <cell r="W292">
            <v>0</v>
          </cell>
          <cell r="X292">
            <v>42</v>
          </cell>
          <cell r="Y292" t="str">
            <v>kg</v>
          </cell>
          <cell r="Z292">
            <v>0</v>
          </cell>
          <cell r="AB292">
            <v>0</v>
          </cell>
        </row>
        <row r="293">
          <cell r="B293" t="str">
            <v>D1_15</v>
          </cell>
          <cell r="D293">
            <v>60</v>
          </cell>
          <cell r="E293" t="str">
            <v>0.03 ACSR-495 m</v>
          </cell>
          <cell r="F293" t="str">
            <v>0.03 ACSR</v>
          </cell>
          <cell r="I293">
            <v>495</v>
          </cell>
          <cell r="J293">
            <v>0</v>
          </cell>
          <cell r="K293">
            <v>0</v>
          </cell>
          <cell r="L293">
            <v>0</v>
          </cell>
          <cell r="M293">
            <v>0</v>
          </cell>
          <cell r="N293">
            <v>0</v>
          </cell>
          <cell r="O293">
            <v>0</v>
          </cell>
          <cell r="P293">
            <v>0</v>
          </cell>
          <cell r="Q293">
            <v>0</v>
          </cell>
          <cell r="R293">
            <v>0</v>
          </cell>
          <cell r="S293">
            <v>0</v>
          </cell>
          <cell r="T293">
            <v>0</v>
          </cell>
          <cell r="U293">
            <v>0</v>
          </cell>
          <cell r="V293">
            <v>0</v>
          </cell>
          <cell r="W293">
            <v>0</v>
          </cell>
          <cell r="X293">
            <v>495</v>
          </cell>
          <cell r="Y293" t="str">
            <v>m</v>
          </cell>
          <cell r="Z293">
            <v>0</v>
          </cell>
          <cell r="AB293">
            <v>0</v>
          </cell>
        </row>
        <row r="294">
          <cell r="B294" t="str">
            <v>D1_16</v>
          </cell>
          <cell r="D294">
            <v>61</v>
          </cell>
          <cell r="E294" t="str">
            <v>Stay Insulator-22 Nos</v>
          </cell>
          <cell r="F294" t="str">
            <v>Stay Insulator</v>
          </cell>
          <cell r="I294">
            <v>22</v>
          </cell>
          <cell r="J294">
            <v>0</v>
          </cell>
          <cell r="K294">
            <v>0</v>
          </cell>
          <cell r="L294">
            <v>0</v>
          </cell>
          <cell r="M294">
            <v>0</v>
          </cell>
          <cell r="N294">
            <v>0</v>
          </cell>
          <cell r="O294">
            <v>0</v>
          </cell>
          <cell r="P294">
            <v>0</v>
          </cell>
          <cell r="Q294">
            <v>0</v>
          </cell>
          <cell r="R294">
            <v>0</v>
          </cell>
          <cell r="S294">
            <v>0</v>
          </cell>
          <cell r="T294">
            <v>0</v>
          </cell>
          <cell r="U294">
            <v>0</v>
          </cell>
          <cell r="V294">
            <v>0</v>
          </cell>
          <cell r="W294">
            <v>0</v>
          </cell>
          <cell r="X294">
            <v>22</v>
          </cell>
          <cell r="Y294" t="str">
            <v>No</v>
          </cell>
          <cell r="Z294">
            <v>0</v>
          </cell>
          <cell r="AB294">
            <v>0</v>
          </cell>
        </row>
        <row r="295">
          <cell r="B295" t="str">
            <v>D1_17</v>
          </cell>
          <cell r="D295">
            <v>62</v>
          </cell>
          <cell r="E295" t="str">
            <v>LV Distribution Board-1 Nos</v>
          </cell>
          <cell r="F295" t="str">
            <v>LV Distribution Board</v>
          </cell>
          <cell r="I295">
            <v>1</v>
          </cell>
          <cell r="J295">
            <v>0</v>
          </cell>
          <cell r="K295">
            <v>0</v>
          </cell>
          <cell r="L295">
            <v>0</v>
          </cell>
          <cell r="M295">
            <v>0</v>
          </cell>
          <cell r="N295">
            <v>0</v>
          </cell>
          <cell r="O295">
            <v>0</v>
          </cell>
          <cell r="P295">
            <v>0</v>
          </cell>
          <cell r="Q295">
            <v>0</v>
          </cell>
          <cell r="R295">
            <v>0</v>
          </cell>
          <cell r="S295">
            <v>0</v>
          </cell>
          <cell r="T295">
            <v>0</v>
          </cell>
          <cell r="U295">
            <v>0</v>
          </cell>
          <cell r="V295">
            <v>0</v>
          </cell>
          <cell r="W295">
            <v>0</v>
          </cell>
          <cell r="X295">
            <v>1</v>
          </cell>
          <cell r="Y295" t="str">
            <v>No</v>
          </cell>
          <cell r="Z295">
            <v>0</v>
          </cell>
          <cell r="AB295">
            <v>0</v>
          </cell>
        </row>
        <row r="296">
          <cell r="B296" t="str">
            <v>D1_18</v>
          </cell>
          <cell r="D296">
            <v>63</v>
          </cell>
          <cell r="E296" t="str">
            <v>150 A TPN MCCB-1 Nos</v>
          </cell>
          <cell r="F296" t="str">
            <v>150 A TPN MCCB</v>
          </cell>
          <cell r="I296">
            <v>1</v>
          </cell>
          <cell r="J296">
            <v>0</v>
          </cell>
          <cell r="K296">
            <v>0</v>
          </cell>
          <cell r="L296">
            <v>0</v>
          </cell>
          <cell r="M296">
            <v>0</v>
          </cell>
          <cell r="N296">
            <v>0</v>
          </cell>
          <cell r="O296">
            <v>0</v>
          </cell>
          <cell r="P296">
            <v>0</v>
          </cell>
          <cell r="Q296">
            <v>0</v>
          </cell>
          <cell r="R296">
            <v>0</v>
          </cell>
          <cell r="S296">
            <v>0</v>
          </cell>
          <cell r="T296">
            <v>0</v>
          </cell>
          <cell r="U296">
            <v>0</v>
          </cell>
          <cell r="V296">
            <v>0</v>
          </cell>
          <cell r="W296">
            <v>0</v>
          </cell>
          <cell r="X296">
            <v>1</v>
          </cell>
          <cell r="Y296" t="str">
            <v>No</v>
          </cell>
          <cell r="Z296">
            <v>0</v>
          </cell>
          <cell r="AB296">
            <v>0</v>
          </cell>
        </row>
        <row r="297">
          <cell r="B297" t="str">
            <v>D1_19</v>
          </cell>
          <cell r="D297">
            <v>64</v>
          </cell>
          <cell r="E297" t="str">
            <v>L/V , 4 core 70 SQ. mm Al armored cable-12 m</v>
          </cell>
          <cell r="F297" t="str">
            <v>L/V , 4 core 70 SQ. mm Al armored cable</v>
          </cell>
          <cell r="I297">
            <v>12</v>
          </cell>
          <cell r="J297">
            <v>0</v>
          </cell>
          <cell r="K297">
            <v>0</v>
          </cell>
          <cell r="L297">
            <v>0</v>
          </cell>
          <cell r="M297">
            <v>0</v>
          </cell>
          <cell r="N297">
            <v>0</v>
          </cell>
          <cell r="O297">
            <v>0</v>
          </cell>
          <cell r="P297">
            <v>0</v>
          </cell>
          <cell r="Q297">
            <v>0</v>
          </cell>
          <cell r="R297">
            <v>0</v>
          </cell>
          <cell r="S297">
            <v>0</v>
          </cell>
          <cell r="T297">
            <v>0</v>
          </cell>
          <cell r="U297">
            <v>0</v>
          </cell>
          <cell r="V297">
            <v>0</v>
          </cell>
          <cell r="W297">
            <v>0</v>
          </cell>
          <cell r="X297">
            <v>12</v>
          </cell>
          <cell r="Y297" t="str">
            <v>m</v>
          </cell>
          <cell r="Z297">
            <v>0</v>
          </cell>
          <cell r="AB297">
            <v>0</v>
          </cell>
        </row>
        <row r="298">
          <cell r="B298" t="str">
            <v>D1_20</v>
          </cell>
          <cell r="D298">
            <v>65</v>
          </cell>
          <cell r="E298" t="str">
            <v>Cable Shoe-8 Nos</v>
          </cell>
          <cell r="F298" t="str">
            <v>Cable Shoe</v>
          </cell>
          <cell r="I298">
            <v>8</v>
          </cell>
          <cell r="J298">
            <v>0</v>
          </cell>
          <cell r="K298">
            <v>0</v>
          </cell>
          <cell r="L298">
            <v>0</v>
          </cell>
          <cell r="M298">
            <v>0</v>
          </cell>
          <cell r="N298">
            <v>0</v>
          </cell>
          <cell r="O298">
            <v>0</v>
          </cell>
          <cell r="P298">
            <v>0</v>
          </cell>
          <cell r="Q298">
            <v>0</v>
          </cell>
          <cell r="R298">
            <v>0</v>
          </cell>
          <cell r="S298">
            <v>0</v>
          </cell>
          <cell r="T298">
            <v>0</v>
          </cell>
          <cell r="U298">
            <v>0</v>
          </cell>
          <cell r="V298">
            <v>0</v>
          </cell>
          <cell r="W298">
            <v>0</v>
          </cell>
          <cell r="X298">
            <v>8</v>
          </cell>
          <cell r="Y298" t="str">
            <v>No</v>
          </cell>
          <cell r="Z298">
            <v>0</v>
          </cell>
          <cell r="AB298">
            <v>0</v>
          </cell>
        </row>
        <row r="299">
          <cell r="B299" t="str">
            <v>D1_21</v>
          </cell>
          <cell r="D299">
            <v>66</v>
          </cell>
          <cell r="E299" t="str">
            <v>and other necessary accessories for the completion of Transformer and HT line work</v>
          </cell>
          <cell r="F299" t="str">
            <v>Other necessary accessories for the completion of Transformer and HT line work</v>
          </cell>
          <cell r="I299" t="str">
            <v>LS</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t="str">
            <v>LS</v>
          </cell>
          <cell r="Z299">
            <v>0</v>
          </cell>
          <cell r="AB299">
            <v>0</v>
          </cell>
        </row>
        <row r="300">
          <cell r="B300" t="str">
            <v>D1_22</v>
          </cell>
          <cell r="D300">
            <v>70</v>
          </cell>
          <cell r="E300" t="str">
            <v>Supply, Installation and Commissioning of 100 KVA, 50Hz. Stand by diesel generator including reserve diesel tank of 1000 liter, MS steel platform for diesel tank erection, fire extinguisher (ABC powder type), all wiring necessary for running the pump (Cla</v>
          </cell>
          <cell r="F300" t="str">
            <v>Supply, Installation and Commissioning of 100 KVA, 50Hz. Stand by diesel generator including reserve diesel tank of 1000 liter, MS steel platform for diesel tank erection, fire extinguisher (ABC powder type), all wiring necessary for running the pump (Cla</v>
          </cell>
          <cell r="I300">
            <v>1</v>
          </cell>
          <cell r="J300">
            <v>0</v>
          </cell>
          <cell r="K300">
            <v>0</v>
          </cell>
          <cell r="L300">
            <v>0</v>
          </cell>
          <cell r="M300">
            <v>0</v>
          </cell>
          <cell r="N300">
            <v>0</v>
          </cell>
          <cell r="O300">
            <v>0</v>
          </cell>
          <cell r="P300">
            <v>0</v>
          </cell>
          <cell r="Q300">
            <v>0</v>
          </cell>
          <cell r="R300">
            <v>0</v>
          </cell>
          <cell r="S300">
            <v>0</v>
          </cell>
          <cell r="T300">
            <v>0</v>
          </cell>
          <cell r="U300">
            <v>0</v>
          </cell>
          <cell r="V300">
            <v>0</v>
          </cell>
          <cell r="W300">
            <v>0</v>
          </cell>
          <cell r="X300">
            <v>1</v>
          </cell>
          <cell r="Y300" t="str">
            <v>sets</v>
          </cell>
          <cell r="Z300">
            <v>755000</v>
          </cell>
          <cell r="AB300">
            <v>755000</v>
          </cell>
        </row>
        <row r="301">
          <cell r="D301" t="str">
            <v>D2 : Electrification Work (Building)</v>
          </cell>
          <cell r="X301">
            <v>0</v>
          </cell>
        </row>
        <row r="302">
          <cell r="B302" t="str">
            <v>D2_1</v>
          </cell>
          <cell r="D302" t="str">
            <v>s</v>
          </cell>
          <cell r="E302" t="str">
            <v xml:space="preserve">Supply, installation and commissioning  of Main Distribution Board (MDB) </v>
          </cell>
          <cell r="F302" t="str">
            <v>Supply, installation and commissioning  of Main Distribution Board including MCBs (MDB) wall mounting concealed type, dust and vermin proof made of 16 SWG mild steel sheet cubical with double cover covering the MCB with the locking arrangement as per draw</v>
          </cell>
          <cell r="I302">
            <v>0</v>
          </cell>
          <cell r="J302">
            <v>0</v>
          </cell>
          <cell r="K302">
            <v>0</v>
          </cell>
          <cell r="L302">
            <v>0</v>
          </cell>
          <cell r="M302">
            <v>0</v>
          </cell>
          <cell r="N302">
            <v>1</v>
          </cell>
          <cell r="O302">
            <v>1</v>
          </cell>
          <cell r="P302">
            <v>0</v>
          </cell>
          <cell r="Q302">
            <v>0</v>
          </cell>
          <cell r="R302">
            <v>0</v>
          </cell>
          <cell r="S302">
            <v>0</v>
          </cell>
          <cell r="T302">
            <v>0</v>
          </cell>
          <cell r="U302">
            <v>0</v>
          </cell>
          <cell r="V302">
            <v>0</v>
          </cell>
          <cell r="W302">
            <v>0</v>
          </cell>
          <cell r="X302">
            <v>2</v>
          </cell>
          <cell r="Y302" t="str">
            <v>No</v>
          </cell>
          <cell r="Z302">
            <v>6000</v>
          </cell>
          <cell r="AB302">
            <v>12000</v>
          </cell>
        </row>
        <row r="303">
          <cell r="B303" t="str">
            <v>D2_2</v>
          </cell>
          <cell r="D303" t="str">
            <v>t</v>
          </cell>
          <cell r="E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F303" t="str">
            <v xml:space="preserve">Supply and installation of light point wiring from DB to various points with2 Nos of 3/22 PVC insulated copper wire through 20 mm internal dia HDPE conduit concealed via junction box as per drawing and specification including the cost of switch and metal </v>
          </cell>
          <cell r="I303">
            <v>0</v>
          </cell>
          <cell r="J303">
            <v>0</v>
          </cell>
          <cell r="K303">
            <v>0</v>
          </cell>
          <cell r="L303">
            <v>0</v>
          </cell>
          <cell r="M303">
            <v>0</v>
          </cell>
          <cell r="N303">
            <v>17</v>
          </cell>
          <cell r="O303">
            <v>17</v>
          </cell>
          <cell r="P303">
            <v>0</v>
          </cell>
          <cell r="Q303">
            <v>0</v>
          </cell>
          <cell r="R303">
            <v>0</v>
          </cell>
          <cell r="S303">
            <v>0</v>
          </cell>
          <cell r="T303">
            <v>0</v>
          </cell>
          <cell r="U303">
            <v>0</v>
          </cell>
          <cell r="V303">
            <v>0</v>
          </cell>
          <cell r="W303">
            <v>0</v>
          </cell>
          <cell r="X303">
            <v>34</v>
          </cell>
          <cell r="Y303" t="str">
            <v>No</v>
          </cell>
          <cell r="Z303">
            <v>500</v>
          </cell>
          <cell r="AB303">
            <v>17000</v>
          </cell>
        </row>
        <row r="304">
          <cell r="B304" t="str">
            <v>D2_3</v>
          </cell>
          <cell r="D304" t="str">
            <v>u</v>
          </cell>
          <cell r="E304" t="str">
            <v>Supply and installation of  3 pin (15 A) socket point including wiring all complete as per drawing and specification (Specification Clause 4)</v>
          </cell>
          <cell r="F304" t="str">
            <v>Supply and installation of  3 pin (15 A) socket point including wiring all complete as per drawing and specification (Specification Clause 4)</v>
          </cell>
          <cell r="I304">
            <v>0</v>
          </cell>
          <cell r="J304">
            <v>0</v>
          </cell>
          <cell r="K304">
            <v>0</v>
          </cell>
          <cell r="L304">
            <v>0</v>
          </cell>
          <cell r="M304">
            <v>0</v>
          </cell>
          <cell r="N304">
            <v>7</v>
          </cell>
          <cell r="O304">
            <v>7</v>
          </cell>
          <cell r="P304">
            <v>0</v>
          </cell>
          <cell r="Q304">
            <v>0</v>
          </cell>
          <cell r="R304">
            <v>0</v>
          </cell>
          <cell r="S304">
            <v>0</v>
          </cell>
          <cell r="T304">
            <v>0</v>
          </cell>
          <cell r="U304">
            <v>0</v>
          </cell>
          <cell r="V304">
            <v>0</v>
          </cell>
          <cell r="W304">
            <v>0</v>
          </cell>
          <cell r="X304">
            <v>14</v>
          </cell>
          <cell r="Y304" t="str">
            <v>No</v>
          </cell>
          <cell r="Z304">
            <v>750</v>
          </cell>
          <cell r="AB304">
            <v>10500</v>
          </cell>
        </row>
        <row r="305">
          <cell r="B305" t="str">
            <v>D2_4</v>
          </cell>
          <cell r="D305" t="str">
            <v>v</v>
          </cell>
          <cell r="E305" t="str">
            <v>Supply and installation of  2 pin (5 A) socket point including wiring all complete as per drawing and specification (Specification Clause 4)</v>
          </cell>
          <cell r="F305" t="str">
            <v>Supply and installation of  2 pin (5 A) socket point including wiring all complete as per drawing and specification (Specification Clause 4)</v>
          </cell>
          <cell r="I305">
            <v>0</v>
          </cell>
          <cell r="J305">
            <v>0</v>
          </cell>
          <cell r="K305">
            <v>0</v>
          </cell>
          <cell r="L305">
            <v>0</v>
          </cell>
          <cell r="M305">
            <v>0</v>
          </cell>
          <cell r="N305">
            <v>2</v>
          </cell>
          <cell r="O305">
            <v>2</v>
          </cell>
          <cell r="P305">
            <v>0</v>
          </cell>
          <cell r="Q305">
            <v>0</v>
          </cell>
          <cell r="R305">
            <v>0</v>
          </cell>
          <cell r="S305">
            <v>0</v>
          </cell>
          <cell r="T305">
            <v>0</v>
          </cell>
          <cell r="U305">
            <v>0</v>
          </cell>
          <cell r="V305">
            <v>0</v>
          </cell>
          <cell r="W305">
            <v>0</v>
          </cell>
          <cell r="X305">
            <v>4</v>
          </cell>
          <cell r="Y305" t="str">
            <v>No</v>
          </cell>
          <cell r="Z305">
            <v>450</v>
          </cell>
          <cell r="AB305">
            <v>1800</v>
          </cell>
        </row>
        <row r="306">
          <cell r="B306" t="str">
            <v>D2_5</v>
          </cell>
          <cell r="D306" t="str">
            <v>w</v>
          </cell>
          <cell r="E306" t="str">
            <v>Supply and installation of 9'' sweep  exhaust fan as per drawing and specification including GI sheet boxing. (Specification Clause 4)</v>
          </cell>
          <cell r="F306" t="str">
            <v>Supply and installation of 9'' sweep  exhaust fan as per drawing and specification including GI sheet boxing. (Specification Clause 4)</v>
          </cell>
          <cell r="I306">
            <v>0</v>
          </cell>
          <cell r="J306">
            <v>0</v>
          </cell>
          <cell r="K306">
            <v>0</v>
          </cell>
          <cell r="L306">
            <v>0</v>
          </cell>
          <cell r="M306">
            <v>0</v>
          </cell>
          <cell r="N306">
            <v>2</v>
          </cell>
          <cell r="O306">
            <v>2</v>
          </cell>
          <cell r="P306">
            <v>0</v>
          </cell>
          <cell r="Q306">
            <v>0</v>
          </cell>
          <cell r="R306">
            <v>0</v>
          </cell>
          <cell r="S306">
            <v>0</v>
          </cell>
          <cell r="T306">
            <v>0</v>
          </cell>
          <cell r="U306">
            <v>0</v>
          </cell>
          <cell r="V306">
            <v>0</v>
          </cell>
          <cell r="W306">
            <v>0</v>
          </cell>
          <cell r="X306">
            <v>4</v>
          </cell>
          <cell r="Y306" t="str">
            <v>No</v>
          </cell>
          <cell r="Z306">
            <v>2200</v>
          </cell>
          <cell r="AB306">
            <v>8800</v>
          </cell>
        </row>
        <row r="307">
          <cell r="B307" t="str">
            <v>D2_6</v>
          </cell>
          <cell r="D307" t="str">
            <v>x</v>
          </cell>
          <cell r="E307" t="str">
            <v>Supply and installation of 42'' sweep  ceiling fan as per drawing and specification including GI sheet boxing. (Specification Clause 4)</v>
          </cell>
          <cell r="F307" t="str">
            <v>Supply and installation of 42'' sweep  ceiling fan as per drawing and specification including GI sheet boxing. (Specification Clause 4)</v>
          </cell>
          <cell r="I307">
            <v>0</v>
          </cell>
          <cell r="J307">
            <v>0</v>
          </cell>
          <cell r="K307">
            <v>0</v>
          </cell>
          <cell r="L307">
            <v>0</v>
          </cell>
          <cell r="M307">
            <v>0</v>
          </cell>
          <cell r="N307">
            <v>2</v>
          </cell>
          <cell r="O307">
            <v>2</v>
          </cell>
          <cell r="P307">
            <v>0</v>
          </cell>
          <cell r="Q307">
            <v>0</v>
          </cell>
          <cell r="R307">
            <v>0</v>
          </cell>
          <cell r="S307">
            <v>0</v>
          </cell>
          <cell r="T307">
            <v>0</v>
          </cell>
          <cell r="U307">
            <v>0</v>
          </cell>
          <cell r="V307">
            <v>0</v>
          </cell>
          <cell r="W307">
            <v>0</v>
          </cell>
          <cell r="X307">
            <v>4</v>
          </cell>
          <cell r="Y307" t="str">
            <v>No</v>
          </cell>
          <cell r="Z307">
            <v>2700</v>
          </cell>
          <cell r="AB307">
            <v>10800</v>
          </cell>
        </row>
        <row r="308">
          <cell r="B308" t="str">
            <v>D2_7</v>
          </cell>
          <cell r="D308" t="str">
            <v>y</v>
          </cell>
          <cell r="E308" t="str">
            <v>Supply and installation of earth electrode made of 30cm x 30cm x 3mmcopper plate including 8 SWG bare copper wire connection to DB's. (Specification Clause 4)</v>
          </cell>
          <cell r="F308" t="str">
            <v>Supply and installation of earth electrode made of 30cm x 30cm x 3mmcopper plate including 8 SWG bare copper wire connection to DB's. (Specification Clause 4)</v>
          </cell>
          <cell r="I308">
            <v>0</v>
          </cell>
          <cell r="J308">
            <v>0</v>
          </cell>
          <cell r="K308">
            <v>0</v>
          </cell>
          <cell r="L308">
            <v>0</v>
          </cell>
          <cell r="M308">
            <v>0</v>
          </cell>
          <cell r="N308">
            <v>1</v>
          </cell>
          <cell r="O308">
            <v>1</v>
          </cell>
          <cell r="P308">
            <v>0</v>
          </cell>
          <cell r="Q308">
            <v>0</v>
          </cell>
          <cell r="R308">
            <v>0</v>
          </cell>
          <cell r="S308">
            <v>0</v>
          </cell>
          <cell r="T308">
            <v>0</v>
          </cell>
          <cell r="U308">
            <v>0</v>
          </cell>
          <cell r="V308">
            <v>0</v>
          </cell>
          <cell r="W308">
            <v>0</v>
          </cell>
          <cell r="X308">
            <v>2</v>
          </cell>
          <cell r="Y308" t="str">
            <v>Set</v>
          </cell>
          <cell r="Z308">
            <v>4500</v>
          </cell>
          <cell r="AB308">
            <v>9000</v>
          </cell>
        </row>
        <row r="309">
          <cell r="B309" t="str">
            <v>D2_8</v>
          </cell>
          <cell r="D309" t="str">
            <v>z</v>
          </cell>
          <cell r="E309" t="str">
            <v>Chiseling, laying conduits cables the main line distribution from MDB to Floor DBs with 2 x 7/16 size cable in 20 mm HDPE conduit. (Specification Clause 4)</v>
          </cell>
          <cell r="F309" t="str">
            <v>Chiseling, laying conduits cables the main line distribution from MDB to Floor DBs with 2 x 7/16 size cable in 20 mm HDPE conduit. (Specification Clause 4)</v>
          </cell>
          <cell r="I309">
            <v>0</v>
          </cell>
          <cell r="J309">
            <v>0</v>
          </cell>
          <cell r="K309">
            <v>0</v>
          </cell>
          <cell r="L309">
            <v>0</v>
          </cell>
          <cell r="M309">
            <v>0</v>
          </cell>
          <cell r="N309">
            <v>7</v>
          </cell>
          <cell r="O309">
            <v>7</v>
          </cell>
          <cell r="P309">
            <v>0</v>
          </cell>
          <cell r="Q309">
            <v>0</v>
          </cell>
          <cell r="R309">
            <v>0</v>
          </cell>
          <cell r="S309">
            <v>0</v>
          </cell>
          <cell r="T309">
            <v>0</v>
          </cell>
          <cell r="U309">
            <v>0</v>
          </cell>
          <cell r="V309">
            <v>0</v>
          </cell>
          <cell r="W309">
            <v>0</v>
          </cell>
          <cell r="X309">
            <v>14</v>
          </cell>
          <cell r="Y309" t="str">
            <v>Job</v>
          </cell>
          <cell r="Z309">
            <v>1000</v>
          </cell>
          <cell r="AB309">
            <v>14000</v>
          </cell>
        </row>
        <row r="310">
          <cell r="D310" t="str">
            <v>D3 : Submerssible pump and related electrical works</v>
          </cell>
          <cell r="X310">
            <v>0</v>
          </cell>
        </row>
        <row r="311">
          <cell r="B311" t="str">
            <v>D3_1</v>
          </cell>
          <cell r="C311" t="str">
            <v>17.2.a.4.6</v>
          </cell>
          <cell r="D311">
            <v>47.1</v>
          </cell>
          <cell r="E311" t="str">
            <v>Supply and Installation of Submersible pump complete and all accessories; (Conforming ISO 9001:1987) for 18 lps discharge and 85m total pumping head (20 KW Pump)</v>
          </cell>
          <cell r="F311" t="str">
            <v>Supply and Installation of Submersible pump complete and all accessories; (Conforming ISO 9001:1987) for 18 lps discharge and 85m total pumping head (20 KW Pump)</v>
          </cell>
          <cell r="I311">
            <v>3</v>
          </cell>
          <cell r="J311">
            <v>0</v>
          </cell>
          <cell r="K311">
            <v>0</v>
          </cell>
          <cell r="L311">
            <v>0</v>
          </cell>
          <cell r="M311">
            <v>0</v>
          </cell>
          <cell r="N311">
            <v>0</v>
          </cell>
          <cell r="O311">
            <v>0</v>
          </cell>
          <cell r="P311">
            <v>0</v>
          </cell>
          <cell r="Q311">
            <v>0</v>
          </cell>
          <cell r="R311">
            <v>0</v>
          </cell>
          <cell r="S311">
            <v>0</v>
          </cell>
          <cell r="T311">
            <v>0</v>
          </cell>
          <cell r="U311">
            <v>0</v>
          </cell>
          <cell r="V311">
            <v>0</v>
          </cell>
          <cell r="W311">
            <v>0</v>
          </cell>
          <cell r="X311">
            <v>3</v>
          </cell>
          <cell r="Y311" t="str">
            <v>Nos</v>
          </cell>
          <cell r="Z311">
            <v>150000</v>
          </cell>
          <cell r="AB311">
            <v>450000</v>
          </cell>
        </row>
        <row r="312">
          <cell r="B312" t="str">
            <v>D3_2</v>
          </cell>
          <cell r="C312" t="str">
            <v>17.2.b.1.6</v>
          </cell>
          <cell r="D312">
            <v>47.2</v>
          </cell>
          <cell r="E312" t="str">
            <v>Supply, installation (laid underground at depth of 750 mm including digging and backfilling) and commissioning of  Submersible cable of four core 10 sqmm core copper armored power cable from control panel to the pump properly insulated with the specificat</v>
          </cell>
          <cell r="F312" t="str">
            <v>Supply, installation (laid underground at depth of 750 mm including digging and backfilling) and commissioning of  Submersible cable of four core 10 sqmm core copper armored power cable from control panel to the pump properly insulated with the specificat</v>
          </cell>
          <cell r="I312">
            <v>750</v>
          </cell>
          <cell r="J312">
            <v>0</v>
          </cell>
          <cell r="K312">
            <v>0</v>
          </cell>
          <cell r="L312">
            <v>0</v>
          </cell>
          <cell r="M312">
            <v>0</v>
          </cell>
          <cell r="N312">
            <v>0</v>
          </cell>
          <cell r="O312">
            <v>0</v>
          </cell>
          <cell r="P312">
            <v>0</v>
          </cell>
          <cell r="Q312">
            <v>0</v>
          </cell>
          <cell r="R312">
            <v>0</v>
          </cell>
          <cell r="S312">
            <v>0</v>
          </cell>
          <cell r="T312">
            <v>0</v>
          </cell>
          <cell r="U312">
            <v>0</v>
          </cell>
          <cell r="V312">
            <v>0</v>
          </cell>
          <cell r="W312">
            <v>0</v>
          </cell>
          <cell r="X312">
            <v>750</v>
          </cell>
          <cell r="Y312" t="str">
            <v>m</v>
          </cell>
          <cell r="Z312">
            <v>700</v>
          </cell>
          <cell r="AB312">
            <v>525000</v>
          </cell>
        </row>
        <row r="313">
          <cell r="B313" t="str">
            <v>D3_3</v>
          </cell>
          <cell r="C313" t="str">
            <v>17.2.b.1.6</v>
          </cell>
          <cell r="D313">
            <v>47.3</v>
          </cell>
          <cell r="E313" t="str">
            <v>Main Distribution Board</v>
          </cell>
          <cell r="F313" t="str">
            <v>Main Distribution Board</v>
          </cell>
          <cell r="I313">
            <v>1</v>
          </cell>
          <cell r="J313">
            <v>0</v>
          </cell>
          <cell r="K313">
            <v>0</v>
          </cell>
          <cell r="L313">
            <v>0</v>
          </cell>
          <cell r="M313">
            <v>0</v>
          </cell>
          <cell r="N313">
            <v>0</v>
          </cell>
          <cell r="O313">
            <v>0</v>
          </cell>
          <cell r="P313">
            <v>0</v>
          </cell>
          <cell r="Q313">
            <v>0</v>
          </cell>
          <cell r="R313">
            <v>0</v>
          </cell>
          <cell r="S313">
            <v>0</v>
          </cell>
          <cell r="T313">
            <v>0</v>
          </cell>
          <cell r="U313">
            <v>0</v>
          </cell>
          <cell r="V313">
            <v>0</v>
          </cell>
          <cell r="W313">
            <v>0</v>
          </cell>
          <cell r="X313">
            <v>1</v>
          </cell>
          <cell r="Y313" t="str">
            <v>sets</v>
          </cell>
          <cell r="Z313">
            <v>60000</v>
          </cell>
          <cell r="AB313">
            <v>60000</v>
          </cell>
        </row>
        <row r="314">
          <cell r="B314" t="str">
            <v>D3_4</v>
          </cell>
          <cell r="C314" t="str">
            <v>17.2.b.1.6</v>
          </cell>
          <cell r="D314">
            <v>47.4</v>
          </cell>
          <cell r="E314" t="str">
            <v>Supply, installation and testing of Main Distribution Board (MDB) Wall mounting type, dust and vermin proof made of 16 SWG mild steel sheet cubical double duco paint coat with double cover and locking arrangement as  per drawing and specification with fol</v>
          </cell>
          <cell r="F314" t="str">
            <v>Supply, installation and testing of Main Distribution Board (MDB) Wall mounting type, dust and vermin proof made of 16 SWG mild steel sheet cubical double duco paint coat with double cover and locking arrangement as  per drawing and specification with fol</v>
          </cell>
          <cell r="I314">
            <v>0</v>
          </cell>
          <cell r="J314">
            <v>0</v>
          </cell>
          <cell r="K314">
            <v>0</v>
          </cell>
          <cell r="L314">
            <v>0</v>
          </cell>
          <cell r="M314">
            <v>0</v>
          </cell>
          <cell r="N314">
            <v>0</v>
          </cell>
          <cell r="O314">
            <v>0</v>
          </cell>
          <cell r="P314">
            <v>0</v>
          </cell>
          <cell r="Q314">
            <v>0</v>
          </cell>
          <cell r="R314">
            <v>0</v>
          </cell>
          <cell r="S314">
            <v>0</v>
          </cell>
          <cell r="T314">
            <v>0</v>
          </cell>
          <cell r="U314">
            <v>0</v>
          </cell>
          <cell r="V314">
            <v>0</v>
          </cell>
          <cell r="W314">
            <v>0</v>
          </cell>
          <cell r="X314">
            <v>0</v>
          </cell>
          <cell r="Y314">
            <v>0</v>
          </cell>
          <cell r="Z314">
            <v>0</v>
          </cell>
          <cell r="AB314">
            <v>0</v>
          </cell>
        </row>
        <row r="315">
          <cell r="B315" t="str">
            <v>D3_5</v>
          </cell>
          <cell r="C315" t="str">
            <v>17.2.b.3.4</v>
          </cell>
          <cell r="D315">
            <v>47.5</v>
          </cell>
          <cell r="E315" t="str">
            <v>Incoming</v>
          </cell>
          <cell r="F315" t="str">
            <v>Incoming</v>
          </cell>
          <cell r="I315">
            <v>0</v>
          </cell>
          <cell r="J315">
            <v>0</v>
          </cell>
          <cell r="K315">
            <v>0</v>
          </cell>
          <cell r="L315">
            <v>0</v>
          </cell>
          <cell r="M315">
            <v>0</v>
          </cell>
          <cell r="N315">
            <v>0</v>
          </cell>
          <cell r="O315">
            <v>0</v>
          </cell>
          <cell r="P315">
            <v>0</v>
          </cell>
          <cell r="Q315">
            <v>0</v>
          </cell>
          <cell r="R315">
            <v>0</v>
          </cell>
          <cell r="S315">
            <v>0</v>
          </cell>
          <cell r="T315">
            <v>0</v>
          </cell>
          <cell r="U315">
            <v>0</v>
          </cell>
          <cell r="V315">
            <v>0</v>
          </cell>
          <cell r="W315">
            <v>0</v>
          </cell>
          <cell r="X315">
            <v>0</v>
          </cell>
          <cell r="Y315">
            <v>0</v>
          </cell>
          <cell r="Z315">
            <v>0</v>
          </cell>
          <cell r="AB315">
            <v>0</v>
          </cell>
        </row>
        <row r="316">
          <cell r="B316" t="str">
            <v>D3_6</v>
          </cell>
          <cell r="C316" t="str">
            <v>17.2.b.3.4</v>
          </cell>
          <cell r="D316">
            <v>47.6</v>
          </cell>
          <cell r="E316" t="str">
            <v xml:space="preserve">1x120 A, TP  MCCB (35kA) </v>
          </cell>
          <cell r="F316" t="str">
            <v xml:space="preserve">1x120 A, TP  MCCB (35kA) </v>
          </cell>
          <cell r="I316">
            <v>0</v>
          </cell>
          <cell r="J316">
            <v>0</v>
          </cell>
          <cell r="K316">
            <v>0</v>
          </cell>
          <cell r="L316">
            <v>0</v>
          </cell>
          <cell r="M316">
            <v>0</v>
          </cell>
          <cell r="N316">
            <v>0</v>
          </cell>
          <cell r="O316">
            <v>0</v>
          </cell>
          <cell r="P316">
            <v>0</v>
          </cell>
          <cell r="Q316">
            <v>0</v>
          </cell>
          <cell r="R316">
            <v>0</v>
          </cell>
          <cell r="S316">
            <v>0</v>
          </cell>
          <cell r="T316">
            <v>0</v>
          </cell>
          <cell r="U316">
            <v>0</v>
          </cell>
          <cell r="V316">
            <v>0</v>
          </cell>
          <cell r="W316">
            <v>0</v>
          </cell>
          <cell r="X316">
            <v>0</v>
          </cell>
          <cell r="Y316">
            <v>0</v>
          </cell>
          <cell r="Z316">
            <v>0</v>
          </cell>
          <cell r="AB316">
            <v>0</v>
          </cell>
        </row>
        <row r="317">
          <cell r="B317" t="str">
            <v>D3_7</v>
          </cell>
          <cell r="C317" t="str">
            <v>17.2.b.4.4</v>
          </cell>
          <cell r="D317">
            <v>47.7</v>
          </cell>
          <cell r="E317" t="str">
            <v>1x200 A, 4-pole Change over switch</v>
          </cell>
          <cell r="F317" t="str">
            <v>1x200 A, 4-pole Change over switch</v>
          </cell>
          <cell r="I317">
            <v>0</v>
          </cell>
          <cell r="J317">
            <v>0</v>
          </cell>
          <cell r="K317">
            <v>0</v>
          </cell>
          <cell r="L317">
            <v>0</v>
          </cell>
          <cell r="M317">
            <v>0</v>
          </cell>
          <cell r="N317">
            <v>0</v>
          </cell>
          <cell r="O317">
            <v>0</v>
          </cell>
          <cell r="P317">
            <v>0</v>
          </cell>
          <cell r="Q317">
            <v>0</v>
          </cell>
          <cell r="R317">
            <v>0</v>
          </cell>
          <cell r="S317">
            <v>0</v>
          </cell>
          <cell r="T317">
            <v>0</v>
          </cell>
          <cell r="U317">
            <v>0</v>
          </cell>
          <cell r="V317">
            <v>0</v>
          </cell>
          <cell r="W317">
            <v>0</v>
          </cell>
          <cell r="X317">
            <v>0</v>
          </cell>
          <cell r="Y317">
            <v>0</v>
          </cell>
          <cell r="Z317">
            <v>0</v>
          </cell>
          <cell r="AB317">
            <v>0</v>
          </cell>
        </row>
        <row r="318">
          <cell r="B318" t="str">
            <v>D3_8</v>
          </cell>
          <cell r="C318" t="str">
            <v>17.2.b.4.4</v>
          </cell>
          <cell r="D318">
            <v>47.8</v>
          </cell>
          <cell r="E318" t="str">
            <v>one set of 160 amp copper bus bars (with TPN arrangement for future expansion)</v>
          </cell>
          <cell r="F318" t="str">
            <v>one set of 160 amp copper bus bars (with TPN arrangement for future expansion)</v>
          </cell>
          <cell r="I318">
            <v>0</v>
          </cell>
          <cell r="J318">
            <v>0</v>
          </cell>
          <cell r="K318">
            <v>0</v>
          </cell>
          <cell r="L318">
            <v>0</v>
          </cell>
          <cell r="M318">
            <v>0</v>
          </cell>
          <cell r="N318">
            <v>0</v>
          </cell>
          <cell r="O318">
            <v>0</v>
          </cell>
          <cell r="P318">
            <v>0</v>
          </cell>
          <cell r="Q318">
            <v>0</v>
          </cell>
          <cell r="R318">
            <v>0</v>
          </cell>
          <cell r="S318">
            <v>0</v>
          </cell>
          <cell r="T318">
            <v>0</v>
          </cell>
          <cell r="U318">
            <v>0</v>
          </cell>
          <cell r="V318">
            <v>0</v>
          </cell>
          <cell r="W318">
            <v>0</v>
          </cell>
          <cell r="X318">
            <v>0</v>
          </cell>
          <cell r="Y318">
            <v>0</v>
          </cell>
          <cell r="Z318">
            <v>0</v>
          </cell>
          <cell r="AB318">
            <v>0</v>
          </cell>
        </row>
        <row r="319">
          <cell r="B319" t="str">
            <v>D3_9</v>
          </cell>
          <cell r="C319" t="str">
            <v>17.2.b.4.4</v>
          </cell>
          <cell r="D319">
            <v>47.9</v>
          </cell>
          <cell r="E319" t="str">
            <v>one set of earth bus bar</v>
          </cell>
          <cell r="F319" t="str">
            <v>one set of earth bus bar</v>
          </cell>
          <cell r="I319">
            <v>0</v>
          </cell>
          <cell r="J319">
            <v>0</v>
          </cell>
          <cell r="K319">
            <v>0</v>
          </cell>
          <cell r="L319">
            <v>0</v>
          </cell>
          <cell r="M319">
            <v>0</v>
          </cell>
          <cell r="N319">
            <v>0</v>
          </cell>
          <cell r="O319">
            <v>0</v>
          </cell>
          <cell r="P319">
            <v>0</v>
          </cell>
          <cell r="Q319">
            <v>0</v>
          </cell>
          <cell r="R319">
            <v>0</v>
          </cell>
          <cell r="S319">
            <v>0</v>
          </cell>
          <cell r="T319">
            <v>0</v>
          </cell>
          <cell r="U319">
            <v>0</v>
          </cell>
          <cell r="V319">
            <v>0</v>
          </cell>
          <cell r="W319">
            <v>0</v>
          </cell>
          <cell r="X319">
            <v>0</v>
          </cell>
          <cell r="Y319">
            <v>0</v>
          </cell>
          <cell r="Z319">
            <v>0</v>
          </cell>
          <cell r="AB319">
            <v>0</v>
          </cell>
        </row>
        <row r="320">
          <cell r="B320" t="str">
            <v>D3_10</v>
          </cell>
          <cell r="C320" t="str">
            <v>17.2.b.4.4</v>
          </cell>
          <cell r="D320">
            <v>48</v>
          </cell>
          <cell r="E320" t="str">
            <v>Outgoing</v>
          </cell>
          <cell r="F320" t="str">
            <v>Outgoing</v>
          </cell>
          <cell r="I320">
            <v>0</v>
          </cell>
          <cell r="J320">
            <v>0</v>
          </cell>
          <cell r="K320">
            <v>0</v>
          </cell>
          <cell r="L320">
            <v>0</v>
          </cell>
          <cell r="M320">
            <v>0</v>
          </cell>
          <cell r="N320">
            <v>0</v>
          </cell>
          <cell r="O320">
            <v>0</v>
          </cell>
          <cell r="P320">
            <v>0</v>
          </cell>
          <cell r="Q320">
            <v>0</v>
          </cell>
          <cell r="R320">
            <v>0</v>
          </cell>
          <cell r="S320">
            <v>0</v>
          </cell>
          <cell r="T320">
            <v>0</v>
          </cell>
          <cell r="U320">
            <v>0</v>
          </cell>
          <cell r="V320">
            <v>0</v>
          </cell>
          <cell r="W320">
            <v>0</v>
          </cell>
          <cell r="X320">
            <v>0</v>
          </cell>
          <cell r="Y320">
            <v>0</v>
          </cell>
          <cell r="Z320">
            <v>0</v>
          </cell>
          <cell r="AB320">
            <v>0</v>
          </cell>
        </row>
        <row r="321">
          <cell r="B321" t="str">
            <v>D3_11</v>
          </cell>
          <cell r="C321" t="str">
            <v>17.2.b.7.4</v>
          </cell>
          <cell r="D321">
            <v>48.1</v>
          </cell>
          <cell r="E321" t="str">
            <v xml:space="preserve">4 x 50 A TP MCCB (25kA) </v>
          </cell>
          <cell r="F321" t="str">
            <v xml:space="preserve">4 x 50 A TP MCCB (25kA) </v>
          </cell>
          <cell r="I321">
            <v>0</v>
          </cell>
          <cell r="J321">
            <v>0</v>
          </cell>
          <cell r="K321">
            <v>0</v>
          </cell>
          <cell r="L321">
            <v>0</v>
          </cell>
          <cell r="M321">
            <v>0</v>
          </cell>
          <cell r="N321">
            <v>0</v>
          </cell>
          <cell r="O321">
            <v>0</v>
          </cell>
          <cell r="P321">
            <v>0</v>
          </cell>
          <cell r="Q321">
            <v>0</v>
          </cell>
          <cell r="R321">
            <v>0</v>
          </cell>
          <cell r="S321">
            <v>0</v>
          </cell>
          <cell r="T321">
            <v>0</v>
          </cell>
          <cell r="U321">
            <v>0</v>
          </cell>
          <cell r="V321">
            <v>0</v>
          </cell>
          <cell r="W321">
            <v>0</v>
          </cell>
          <cell r="X321">
            <v>0</v>
          </cell>
          <cell r="Y321">
            <v>0</v>
          </cell>
          <cell r="Z321">
            <v>0</v>
          </cell>
          <cell r="AB321">
            <v>0</v>
          </cell>
        </row>
        <row r="322">
          <cell r="B322" t="str">
            <v>D3_12</v>
          </cell>
          <cell r="C322" t="str">
            <v>17.2.b.7.4</v>
          </cell>
          <cell r="D322">
            <v>48.2</v>
          </cell>
          <cell r="E322" t="str">
            <v>3 Nos of Motor starter with indicators</v>
          </cell>
          <cell r="F322" t="str">
            <v>3 Nos of Motor starter with indicators</v>
          </cell>
          <cell r="I322">
            <v>0</v>
          </cell>
          <cell r="J322">
            <v>0</v>
          </cell>
          <cell r="K322">
            <v>0</v>
          </cell>
          <cell r="L322">
            <v>0</v>
          </cell>
          <cell r="M322">
            <v>0</v>
          </cell>
          <cell r="N322">
            <v>0</v>
          </cell>
          <cell r="O322">
            <v>0</v>
          </cell>
          <cell r="P322">
            <v>0</v>
          </cell>
          <cell r="Q322">
            <v>0</v>
          </cell>
          <cell r="R322">
            <v>0</v>
          </cell>
          <cell r="S322">
            <v>0</v>
          </cell>
          <cell r="T322">
            <v>0</v>
          </cell>
          <cell r="U322">
            <v>0</v>
          </cell>
          <cell r="V322">
            <v>0</v>
          </cell>
          <cell r="W322">
            <v>0</v>
          </cell>
          <cell r="X322">
            <v>0</v>
          </cell>
          <cell r="Y322">
            <v>0</v>
          </cell>
          <cell r="Z322">
            <v>0</v>
          </cell>
          <cell r="AB322">
            <v>0</v>
          </cell>
        </row>
        <row r="323">
          <cell r="B323" t="str">
            <v>D3_13</v>
          </cell>
          <cell r="C323" t="str">
            <v>17.2.b.7.4</v>
          </cell>
          <cell r="D323">
            <v>48.3</v>
          </cell>
          <cell r="E323" t="str">
            <v>and all other accessories required for complete installation</v>
          </cell>
          <cell r="F323" t="str">
            <v>and all other accessories required for complete installation</v>
          </cell>
          <cell r="I323">
            <v>0</v>
          </cell>
          <cell r="J323">
            <v>0</v>
          </cell>
          <cell r="K323">
            <v>0</v>
          </cell>
          <cell r="L323">
            <v>0</v>
          </cell>
          <cell r="M323">
            <v>0</v>
          </cell>
          <cell r="N323">
            <v>0</v>
          </cell>
          <cell r="O323">
            <v>0</v>
          </cell>
          <cell r="P323">
            <v>0</v>
          </cell>
          <cell r="Q323">
            <v>0</v>
          </cell>
          <cell r="R323">
            <v>0</v>
          </cell>
          <cell r="S323">
            <v>0</v>
          </cell>
          <cell r="T323">
            <v>0</v>
          </cell>
          <cell r="U323">
            <v>0</v>
          </cell>
          <cell r="V323">
            <v>0</v>
          </cell>
          <cell r="W323">
            <v>0</v>
          </cell>
          <cell r="X323">
            <v>0</v>
          </cell>
          <cell r="Y323">
            <v>0</v>
          </cell>
          <cell r="Z323">
            <v>0</v>
          </cell>
          <cell r="AB323">
            <v>0</v>
          </cell>
        </row>
        <row r="324">
          <cell r="B324" t="str">
            <v>D3_14</v>
          </cell>
          <cell r="C324" t="str">
            <v>17.2.b.7.4</v>
          </cell>
          <cell r="D324">
            <v>48.4</v>
          </cell>
          <cell r="E324" t="str">
            <v>Supply, Installation and commissioning of LT line (3.5x50 sqmm copper armored cable with cable shoes at both ends from Transformer to Main DB) with complete required accessories as follows.</v>
          </cell>
          <cell r="F324" t="str">
            <v>Supply, Installation and commissioning of LT line (3.5x50 sqmm copper armored cable with cable shoes at both ends from Transformer to Main DB) with complete required accessories as follows.</v>
          </cell>
          <cell r="I324">
            <v>30</v>
          </cell>
          <cell r="J324">
            <v>0</v>
          </cell>
          <cell r="K324">
            <v>0</v>
          </cell>
          <cell r="L324">
            <v>0</v>
          </cell>
          <cell r="M324">
            <v>0</v>
          </cell>
          <cell r="N324">
            <v>0</v>
          </cell>
          <cell r="O324">
            <v>0</v>
          </cell>
          <cell r="P324">
            <v>0</v>
          </cell>
          <cell r="Q324">
            <v>0</v>
          </cell>
          <cell r="R324">
            <v>0</v>
          </cell>
          <cell r="S324">
            <v>0</v>
          </cell>
          <cell r="T324">
            <v>0</v>
          </cell>
          <cell r="U324">
            <v>0</v>
          </cell>
          <cell r="V324">
            <v>0</v>
          </cell>
          <cell r="W324">
            <v>0</v>
          </cell>
          <cell r="X324">
            <v>30</v>
          </cell>
          <cell r="Y324" t="str">
            <v>m</v>
          </cell>
          <cell r="Z324">
            <v>2000</v>
          </cell>
          <cell r="AB324">
            <v>60000</v>
          </cell>
        </row>
        <row r="325">
          <cell r="B325" t="str">
            <v>D3_15</v>
          </cell>
          <cell r="D325">
            <v>67</v>
          </cell>
          <cell r="E325" t="str">
            <v>Pipe works and all accessories with approximately 40m of riser pipe and as detailed in the drawing for above</v>
          </cell>
          <cell r="F325" t="str">
            <v>Pipe works and all accessories with approximately 40m of riser pipe and as detailed in the drawing for above</v>
          </cell>
          <cell r="I325">
            <v>3</v>
          </cell>
          <cell r="J325">
            <v>0</v>
          </cell>
          <cell r="K325">
            <v>0</v>
          </cell>
          <cell r="L325">
            <v>0</v>
          </cell>
          <cell r="M325">
            <v>0</v>
          </cell>
          <cell r="N325">
            <v>0</v>
          </cell>
          <cell r="O325">
            <v>0</v>
          </cell>
          <cell r="P325">
            <v>0</v>
          </cell>
          <cell r="Q325">
            <v>0</v>
          </cell>
          <cell r="R325">
            <v>0</v>
          </cell>
          <cell r="S325">
            <v>0</v>
          </cell>
          <cell r="T325">
            <v>0</v>
          </cell>
          <cell r="U325">
            <v>0</v>
          </cell>
          <cell r="V325">
            <v>0</v>
          </cell>
          <cell r="W325">
            <v>0</v>
          </cell>
          <cell r="X325">
            <v>3</v>
          </cell>
          <cell r="Y325" t="str">
            <v>sets</v>
          </cell>
          <cell r="Z325">
            <v>60000</v>
          </cell>
          <cell r="AB325">
            <v>180000</v>
          </cell>
        </row>
        <row r="326">
          <cell r="B326" t="str">
            <v>D3_16</v>
          </cell>
          <cell r="D326">
            <v>68</v>
          </cell>
          <cell r="E326" t="str">
            <v>Installation, testing, and commissioning of above pump</v>
          </cell>
          <cell r="F326" t="str">
            <v>Installation, testing, and commissioning of above pump</v>
          </cell>
          <cell r="I326">
            <v>3</v>
          </cell>
          <cell r="J326">
            <v>0</v>
          </cell>
          <cell r="K326">
            <v>0</v>
          </cell>
          <cell r="L326">
            <v>0</v>
          </cell>
          <cell r="M326">
            <v>0</v>
          </cell>
          <cell r="N326">
            <v>0</v>
          </cell>
          <cell r="O326">
            <v>0</v>
          </cell>
          <cell r="P326">
            <v>0</v>
          </cell>
          <cell r="Q326">
            <v>0</v>
          </cell>
          <cell r="R326">
            <v>0</v>
          </cell>
          <cell r="S326">
            <v>0</v>
          </cell>
          <cell r="T326">
            <v>0</v>
          </cell>
          <cell r="U326">
            <v>0</v>
          </cell>
          <cell r="V326">
            <v>0</v>
          </cell>
          <cell r="W326">
            <v>0</v>
          </cell>
          <cell r="X326">
            <v>3</v>
          </cell>
          <cell r="Y326" t="str">
            <v>sets</v>
          </cell>
          <cell r="Z326">
            <v>20000</v>
          </cell>
          <cell r="AB326">
            <v>60000</v>
          </cell>
        </row>
        <row r="327">
          <cell r="B327" t="str">
            <v>D3_17</v>
          </cell>
          <cell r="D327">
            <v>69</v>
          </cell>
          <cell r="E327" t="str">
            <v>Spare parts, for above pump sets to be detailed by the manufacturer</v>
          </cell>
          <cell r="F327" t="str">
            <v>Spare parts, for above pump sets to be detailed by the manufacturer</v>
          </cell>
          <cell r="I327">
            <v>3</v>
          </cell>
          <cell r="J327">
            <v>0</v>
          </cell>
          <cell r="K327">
            <v>0</v>
          </cell>
          <cell r="L327">
            <v>0</v>
          </cell>
          <cell r="M327">
            <v>0</v>
          </cell>
          <cell r="N327">
            <v>0</v>
          </cell>
          <cell r="O327">
            <v>0</v>
          </cell>
          <cell r="P327">
            <v>0</v>
          </cell>
          <cell r="Q327">
            <v>0</v>
          </cell>
          <cell r="R327">
            <v>0</v>
          </cell>
          <cell r="S327">
            <v>0</v>
          </cell>
          <cell r="T327">
            <v>0</v>
          </cell>
          <cell r="U327">
            <v>0</v>
          </cell>
          <cell r="V327">
            <v>0</v>
          </cell>
          <cell r="W327">
            <v>0</v>
          </cell>
          <cell r="X327">
            <v>3</v>
          </cell>
          <cell r="Y327" t="str">
            <v>sets</v>
          </cell>
          <cell r="Z327">
            <v>10000</v>
          </cell>
          <cell r="AB327">
            <v>30000</v>
          </cell>
        </row>
        <row r="328">
          <cell r="D328" t="str">
            <v>D4 : Metal Works</v>
          </cell>
          <cell r="X328">
            <v>0</v>
          </cell>
        </row>
        <row r="329">
          <cell r="B329" t="str">
            <v>D4_1</v>
          </cell>
          <cell r="D329" t="str">
            <v>m</v>
          </cell>
          <cell r="E329" t="str">
            <v>Rolling Shutter (Installation and Painting)</v>
          </cell>
          <cell r="F329" t="str">
            <v xml:space="preserve"> M.S. rolling shutters (18 guage) for door and ventilation of approved quality and manufacture finished with two coats of enamel paint over one coats of red oxide primer including fixing in position all complete as per drawing and instruction.</v>
          </cell>
          <cell r="I329">
            <v>0</v>
          </cell>
          <cell r="J329">
            <v>0</v>
          </cell>
          <cell r="K329">
            <v>0</v>
          </cell>
          <cell r="L329">
            <v>0</v>
          </cell>
          <cell r="M329">
            <v>0</v>
          </cell>
          <cell r="N329">
            <v>4.8</v>
          </cell>
          <cell r="O329">
            <v>0</v>
          </cell>
          <cell r="P329">
            <v>0</v>
          </cell>
          <cell r="Q329">
            <v>0</v>
          </cell>
          <cell r="R329">
            <v>0</v>
          </cell>
          <cell r="S329">
            <v>0</v>
          </cell>
          <cell r="T329">
            <v>0</v>
          </cell>
          <cell r="U329">
            <v>0</v>
          </cell>
          <cell r="V329">
            <v>0</v>
          </cell>
          <cell r="W329">
            <v>0</v>
          </cell>
          <cell r="X329">
            <v>4.8</v>
          </cell>
          <cell r="Y329" t="str">
            <v>m2</v>
          </cell>
          <cell r="Z329">
            <v>1600</v>
          </cell>
          <cell r="AB329">
            <v>7680</v>
          </cell>
        </row>
        <row r="330">
          <cell r="B330" t="str">
            <v>D4_2</v>
          </cell>
          <cell r="D330" t="str">
            <v>n</v>
          </cell>
          <cell r="E330" t="str">
            <v>Fabrication of MS Grill for Windows</v>
          </cell>
          <cell r="F330" t="str">
            <v>Supply, Fabrication and Installation of MS Grill for Windows as per specification and as directed by the Engineer</v>
          </cell>
          <cell r="I330">
            <v>0</v>
          </cell>
          <cell r="J330">
            <v>0</v>
          </cell>
          <cell r="K330">
            <v>0</v>
          </cell>
          <cell r="L330">
            <v>0</v>
          </cell>
          <cell r="M330">
            <v>0</v>
          </cell>
          <cell r="N330">
            <v>164.02500000000001</v>
          </cell>
          <cell r="O330">
            <v>125.90639999999999</v>
          </cell>
          <cell r="P330">
            <v>0</v>
          </cell>
          <cell r="Q330">
            <v>0</v>
          </cell>
          <cell r="R330">
            <v>0</v>
          </cell>
          <cell r="S330">
            <v>0</v>
          </cell>
          <cell r="T330">
            <v>0</v>
          </cell>
          <cell r="U330">
            <v>0</v>
          </cell>
          <cell r="V330">
            <v>0</v>
          </cell>
          <cell r="W330">
            <v>0</v>
          </cell>
          <cell r="X330">
            <v>289.9314</v>
          </cell>
          <cell r="Y330" t="str">
            <v>Kg.</v>
          </cell>
          <cell r="Z330">
            <v>51.75</v>
          </cell>
          <cell r="AB330">
            <v>15003.95</v>
          </cell>
        </row>
        <row r="331">
          <cell r="B331" t="str">
            <v>D4_3</v>
          </cell>
          <cell r="D331" t="str">
            <v>ap</v>
          </cell>
          <cell r="E331" t="str">
            <v>Metal Works for gate and posts with one coat of primer and two coats of enamel paint</v>
          </cell>
          <cell r="F331" t="str">
            <v>Metal Works for gate and posts with one coat of primer and two coats of enamel paint as per specification, drawing and as directed by the Engineer</v>
          </cell>
          <cell r="I331">
            <v>0</v>
          </cell>
          <cell r="J331">
            <v>0</v>
          </cell>
          <cell r="K331">
            <v>0</v>
          </cell>
          <cell r="L331">
            <v>0</v>
          </cell>
          <cell r="M331">
            <v>0</v>
          </cell>
          <cell r="N331">
            <v>0</v>
          </cell>
          <cell r="O331">
            <v>0</v>
          </cell>
          <cell r="P331">
            <v>2174.7800000000002</v>
          </cell>
          <cell r="Q331">
            <v>0</v>
          </cell>
          <cell r="R331">
            <v>0</v>
          </cell>
          <cell r="S331">
            <v>0</v>
          </cell>
          <cell r="T331">
            <v>0</v>
          </cell>
          <cell r="U331">
            <v>0</v>
          </cell>
          <cell r="V331">
            <v>0</v>
          </cell>
          <cell r="W331">
            <v>0</v>
          </cell>
          <cell r="X331">
            <v>2174.7800000000002</v>
          </cell>
          <cell r="Y331" t="str">
            <v>kg</v>
          </cell>
          <cell r="Z331">
            <v>91.5</v>
          </cell>
          <cell r="AB331">
            <v>198992.37</v>
          </cell>
        </row>
        <row r="332">
          <cell r="B332" t="str">
            <v>D4_4</v>
          </cell>
          <cell r="D332" t="str">
            <v>aq</v>
          </cell>
          <cell r="E332" t="str">
            <v>Wire Mesh Fencing - 10 gauge with 3" opening hole</v>
          </cell>
          <cell r="F332" t="str">
            <v>Supply and Installation of readymade wire mesh fencing - 10 gauge heavy coated GI wire with 3" opening hole as per drawing, specification and as directed by the Engineer</v>
          </cell>
          <cell r="I332">
            <v>0</v>
          </cell>
          <cell r="J332">
            <v>0</v>
          </cell>
          <cell r="K332">
            <v>0</v>
          </cell>
          <cell r="L332">
            <v>0</v>
          </cell>
          <cell r="M332">
            <v>0</v>
          </cell>
          <cell r="N332">
            <v>0</v>
          </cell>
          <cell r="O332">
            <v>0</v>
          </cell>
          <cell r="P332">
            <v>369</v>
          </cell>
          <cell r="Q332">
            <v>0</v>
          </cell>
          <cell r="R332">
            <v>0</v>
          </cell>
          <cell r="S332">
            <v>0</v>
          </cell>
          <cell r="T332">
            <v>0</v>
          </cell>
          <cell r="U332">
            <v>0</v>
          </cell>
          <cell r="V332">
            <v>0</v>
          </cell>
          <cell r="W332">
            <v>0</v>
          </cell>
          <cell r="X332">
            <v>369</v>
          </cell>
          <cell r="Y332" t="str">
            <v>sqm</v>
          </cell>
          <cell r="Z332">
            <v>228</v>
          </cell>
          <cell r="AB332">
            <v>84132</v>
          </cell>
        </row>
        <row r="333">
          <cell r="B333" t="str">
            <v>D4_5</v>
          </cell>
          <cell r="D333" t="str">
            <v>c</v>
          </cell>
          <cell r="E333" t="str">
            <v>Manhole</v>
          </cell>
          <cell r="F333" t="str">
            <v>Supply and Installation of Metal manholes in reservoir as per drawing, specification and as directed by the Engineer</v>
          </cell>
          <cell r="I333">
            <v>0</v>
          </cell>
          <cell r="J333">
            <v>0</v>
          </cell>
          <cell r="K333">
            <v>0</v>
          </cell>
          <cell r="L333">
            <v>0</v>
          </cell>
          <cell r="M333">
            <v>4</v>
          </cell>
          <cell r="N333">
            <v>0</v>
          </cell>
          <cell r="O333">
            <v>0</v>
          </cell>
          <cell r="P333">
            <v>0</v>
          </cell>
          <cell r="Q333">
            <v>0</v>
          </cell>
          <cell r="R333">
            <v>0</v>
          </cell>
          <cell r="S333">
            <v>0</v>
          </cell>
          <cell r="T333">
            <v>0</v>
          </cell>
          <cell r="U333">
            <v>0</v>
          </cell>
          <cell r="V333">
            <v>0</v>
          </cell>
          <cell r="W333">
            <v>0</v>
          </cell>
          <cell r="X333">
            <v>4</v>
          </cell>
          <cell r="Y333" t="str">
            <v>no</v>
          </cell>
          <cell r="Z333">
            <v>5000</v>
          </cell>
          <cell r="AB333">
            <v>20000</v>
          </cell>
        </row>
        <row r="334">
          <cell r="B334" t="str">
            <v>D4_6</v>
          </cell>
          <cell r="E334" t="str">
            <v xml:space="preserve">600 mm circular metal manhole </v>
          </cell>
          <cell r="F334" t="str">
            <v>Supply and Installation of circular Metal manholes in inspection chambers as per drawing, specification and as directed by the Engineer</v>
          </cell>
          <cell r="I334">
            <v>0</v>
          </cell>
          <cell r="J334">
            <v>0</v>
          </cell>
          <cell r="K334">
            <v>0</v>
          </cell>
          <cell r="L334">
            <v>0</v>
          </cell>
          <cell r="M334">
            <v>0</v>
          </cell>
          <cell r="N334">
            <v>0</v>
          </cell>
          <cell r="O334">
            <v>0</v>
          </cell>
          <cell r="P334">
            <v>0</v>
          </cell>
          <cell r="Q334">
            <v>0</v>
          </cell>
          <cell r="R334">
            <v>0</v>
          </cell>
          <cell r="S334">
            <v>0</v>
          </cell>
          <cell r="T334">
            <v>0</v>
          </cell>
          <cell r="U334">
            <v>0</v>
          </cell>
          <cell r="V334">
            <v>0</v>
          </cell>
          <cell r="W334">
            <v>8</v>
          </cell>
          <cell r="X334">
            <v>8</v>
          </cell>
          <cell r="Y334" t="str">
            <v>No</v>
          </cell>
          <cell r="Z334">
            <v>1500</v>
          </cell>
          <cell r="AB334">
            <v>12000</v>
          </cell>
        </row>
        <row r="335">
          <cell r="B335" t="str">
            <v>D4_7</v>
          </cell>
          <cell r="E335" t="str">
            <v>100mm dia. Metal cap</v>
          </cell>
          <cell r="F335" t="str">
            <v>Supply and Installation of circular Metal cap in the Valve Chambers as per drawing, specification and as directed by the Engineer</v>
          </cell>
          <cell r="I335">
            <v>0</v>
          </cell>
          <cell r="J335">
            <v>0</v>
          </cell>
          <cell r="K335">
            <v>0</v>
          </cell>
          <cell r="L335">
            <v>0</v>
          </cell>
          <cell r="M335">
            <v>0</v>
          </cell>
          <cell r="N335">
            <v>0</v>
          </cell>
          <cell r="O335">
            <v>0</v>
          </cell>
          <cell r="P335">
            <v>0</v>
          </cell>
          <cell r="Q335">
            <v>0</v>
          </cell>
          <cell r="R335">
            <v>50</v>
          </cell>
          <cell r="S335">
            <v>0</v>
          </cell>
          <cell r="T335">
            <v>0</v>
          </cell>
          <cell r="U335">
            <v>0</v>
          </cell>
          <cell r="V335">
            <v>0</v>
          </cell>
          <cell r="W335">
            <v>0</v>
          </cell>
          <cell r="X335">
            <v>50</v>
          </cell>
          <cell r="Y335" t="str">
            <v>no</v>
          </cell>
          <cell r="Z335">
            <v>700</v>
          </cell>
          <cell r="AB335">
            <v>35000</v>
          </cell>
        </row>
        <row r="336">
          <cell r="D336" t="str">
            <v>D5 : Water Treatment System</v>
          </cell>
          <cell r="X336">
            <v>0</v>
          </cell>
        </row>
        <row r="337">
          <cell r="B337" t="str">
            <v>D5_1</v>
          </cell>
          <cell r="C337" t="str">
            <v>M-109</v>
          </cell>
          <cell r="E337" t="str">
            <v>Supply, Installation and commissioning of the disinfectant dosing system as per the following specification including all civil works for plateform, foundation etc. required to complete the work as per following specification</v>
          </cell>
          <cell r="F337" t="str">
            <v>Supply, Installation and commissioning of the disinfectant dosing system as per the following specification including all civil works for plateform, foundation etc. required to complete the work as per following specification</v>
          </cell>
          <cell r="I337">
            <v>0</v>
          </cell>
          <cell r="J337">
            <v>1</v>
          </cell>
          <cell r="K337">
            <v>0</v>
          </cell>
          <cell r="L337">
            <v>0</v>
          </cell>
          <cell r="M337">
            <v>0</v>
          </cell>
          <cell r="N337">
            <v>0</v>
          </cell>
          <cell r="O337">
            <v>0</v>
          </cell>
          <cell r="P337">
            <v>0</v>
          </cell>
          <cell r="Q337">
            <v>0</v>
          </cell>
          <cell r="R337">
            <v>0</v>
          </cell>
          <cell r="S337">
            <v>0</v>
          </cell>
          <cell r="T337">
            <v>0</v>
          </cell>
          <cell r="U337">
            <v>0</v>
          </cell>
          <cell r="V337">
            <v>0</v>
          </cell>
          <cell r="W337">
            <v>0</v>
          </cell>
          <cell r="X337">
            <v>1</v>
          </cell>
          <cell r="Y337" t="str">
            <v>job</v>
          </cell>
          <cell r="Z337">
            <v>100000</v>
          </cell>
          <cell r="AB337">
            <v>100000</v>
          </cell>
        </row>
        <row r="338">
          <cell r="B338" t="str">
            <v>D5_2</v>
          </cell>
          <cell r="E338" t="str">
            <v>Treatment Plant</v>
          </cell>
          <cell r="F338" t="str">
            <v>Water Treatment Plant to remove iron and other impurities as per requirement of WHO Standard, the requirement will be defined after testing of water</v>
          </cell>
          <cell r="I338">
            <v>0</v>
          </cell>
          <cell r="J338">
            <v>1</v>
          </cell>
          <cell r="K338">
            <v>0</v>
          </cell>
          <cell r="L338">
            <v>0</v>
          </cell>
          <cell r="M338">
            <v>0</v>
          </cell>
          <cell r="N338">
            <v>0</v>
          </cell>
          <cell r="O338">
            <v>0</v>
          </cell>
          <cell r="P338">
            <v>0</v>
          </cell>
          <cell r="Q338">
            <v>0</v>
          </cell>
          <cell r="R338">
            <v>0</v>
          </cell>
          <cell r="S338">
            <v>0</v>
          </cell>
          <cell r="T338">
            <v>0</v>
          </cell>
          <cell r="U338">
            <v>0</v>
          </cell>
          <cell r="V338">
            <v>0</v>
          </cell>
          <cell r="W338">
            <v>0</v>
          </cell>
          <cell r="X338">
            <v>1</v>
          </cell>
          <cell r="Y338" t="str">
            <v>Job</v>
          </cell>
          <cell r="Z338">
            <v>3500000</v>
          </cell>
          <cell r="AB338">
            <v>3500000</v>
          </cell>
        </row>
        <row r="339">
          <cell r="C339" t="str">
            <v>M-108</v>
          </cell>
          <cell r="E339" t="str">
            <v>E. Tools</v>
          </cell>
          <cell r="I339">
            <v>0</v>
          </cell>
          <cell r="J339">
            <v>0</v>
          </cell>
          <cell r="K339">
            <v>0</v>
          </cell>
          <cell r="L339">
            <v>0</v>
          </cell>
          <cell r="M339">
            <v>0</v>
          </cell>
          <cell r="N339">
            <v>0</v>
          </cell>
          <cell r="O339">
            <v>0</v>
          </cell>
          <cell r="P339">
            <v>0</v>
          </cell>
          <cell r="Q339">
            <v>0</v>
          </cell>
          <cell r="R339">
            <v>0</v>
          </cell>
          <cell r="S339">
            <v>0</v>
          </cell>
          <cell r="T339">
            <v>0</v>
          </cell>
          <cell r="U339">
            <v>0</v>
          </cell>
          <cell r="V339">
            <v>0</v>
          </cell>
          <cell r="W339">
            <v>0</v>
          </cell>
          <cell r="X339">
            <v>0</v>
          </cell>
          <cell r="Y339">
            <v>0</v>
          </cell>
          <cell r="AB339">
            <v>0</v>
          </cell>
        </row>
        <row r="340">
          <cell r="B340" t="str">
            <v>E_1</v>
          </cell>
          <cell r="E340" t="str">
            <v>Supply of following tools of approved quality (quality should be approved by Engineer)</v>
          </cell>
          <cell r="F340" t="str">
            <v>Supply of following tools of approved quality (quality should be approved by Engineer)</v>
          </cell>
          <cell r="I340">
            <v>0</v>
          </cell>
          <cell r="J340">
            <v>0</v>
          </cell>
          <cell r="K340">
            <v>0</v>
          </cell>
          <cell r="L340">
            <v>0</v>
          </cell>
          <cell r="M340">
            <v>0</v>
          </cell>
          <cell r="N340">
            <v>0</v>
          </cell>
          <cell r="O340">
            <v>0</v>
          </cell>
          <cell r="P340">
            <v>0</v>
          </cell>
          <cell r="Q340">
            <v>0</v>
          </cell>
          <cell r="R340">
            <v>0</v>
          </cell>
          <cell r="S340">
            <v>0</v>
          </cell>
          <cell r="T340">
            <v>0</v>
          </cell>
          <cell r="U340">
            <v>0</v>
          </cell>
          <cell r="V340">
            <v>0</v>
          </cell>
          <cell r="W340">
            <v>0</v>
          </cell>
          <cell r="X340">
            <v>0</v>
          </cell>
          <cell r="Y340">
            <v>0</v>
          </cell>
          <cell r="AB340">
            <v>0</v>
          </cell>
        </row>
        <row r="341">
          <cell r="B341" t="str">
            <v>E_2</v>
          </cell>
          <cell r="E341" t="str">
            <v>Adjustable Wrench - 8"</v>
          </cell>
          <cell r="F341" t="str">
            <v>Adjustable Wrench - 8"</v>
          </cell>
          <cell r="I341">
            <v>0</v>
          </cell>
          <cell r="J341">
            <v>0</v>
          </cell>
          <cell r="K341">
            <v>0</v>
          </cell>
          <cell r="L341">
            <v>0</v>
          </cell>
          <cell r="M341">
            <v>0</v>
          </cell>
          <cell r="N341">
            <v>0</v>
          </cell>
          <cell r="O341">
            <v>0</v>
          </cell>
          <cell r="P341">
            <v>0</v>
          </cell>
          <cell r="Q341">
            <v>0</v>
          </cell>
          <cell r="R341">
            <v>0</v>
          </cell>
          <cell r="S341">
            <v>0</v>
          </cell>
          <cell r="T341">
            <v>0</v>
          </cell>
          <cell r="U341">
            <v>0</v>
          </cell>
          <cell r="V341">
            <v>3</v>
          </cell>
          <cell r="W341">
            <v>0</v>
          </cell>
          <cell r="X341">
            <v>3</v>
          </cell>
          <cell r="Y341" t="str">
            <v>Nos</v>
          </cell>
          <cell r="Z341">
            <v>300</v>
          </cell>
          <cell r="AB341">
            <v>900</v>
          </cell>
        </row>
        <row r="342">
          <cell r="B342" t="str">
            <v>E_3</v>
          </cell>
          <cell r="D342">
            <v>74</v>
          </cell>
          <cell r="E342" t="str">
            <v>Adjustable Wrench - 10"</v>
          </cell>
          <cell r="F342" t="str">
            <v>Adjustable Wrench - 10"</v>
          </cell>
          <cell r="I342">
            <v>0</v>
          </cell>
          <cell r="J342">
            <v>0</v>
          </cell>
          <cell r="K342">
            <v>0</v>
          </cell>
          <cell r="L342">
            <v>0</v>
          </cell>
          <cell r="M342">
            <v>0</v>
          </cell>
          <cell r="N342">
            <v>0</v>
          </cell>
          <cell r="O342">
            <v>0</v>
          </cell>
          <cell r="P342">
            <v>0</v>
          </cell>
          <cell r="Q342">
            <v>0</v>
          </cell>
          <cell r="R342">
            <v>0</v>
          </cell>
          <cell r="S342">
            <v>0</v>
          </cell>
          <cell r="T342">
            <v>0</v>
          </cell>
          <cell r="U342">
            <v>0</v>
          </cell>
          <cell r="V342">
            <v>2</v>
          </cell>
          <cell r="W342">
            <v>0</v>
          </cell>
          <cell r="X342">
            <v>2</v>
          </cell>
          <cell r="Y342" t="str">
            <v>Nos</v>
          </cell>
          <cell r="Z342">
            <v>400</v>
          </cell>
          <cell r="AB342">
            <v>800</v>
          </cell>
        </row>
        <row r="343">
          <cell r="B343" t="str">
            <v>E_4</v>
          </cell>
          <cell r="D343">
            <v>75</v>
          </cell>
          <cell r="E343" t="str">
            <v>Monkey Pliers - 10"</v>
          </cell>
          <cell r="F343" t="str">
            <v>Monkey Pliers - 10"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2</v>
          </cell>
          <cell r="W343">
            <v>0</v>
          </cell>
          <cell r="X343">
            <v>2</v>
          </cell>
          <cell r="Y343" t="str">
            <v>Nos</v>
          </cell>
          <cell r="Z343">
            <v>400</v>
          </cell>
          <cell r="AB343">
            <v>800</v>
          </cell>
        </row>
        <row r="344">
          <cell r="B344" t="str">
            <v>E_5</v>
          </cell>
          <cell r="D344">
            <v>76</v>
          </cell>
          <cell r="E344" t="str">
            <v>Pipe Wrench - 14"</v>
          </cell>
          <cell r="F344" t="str">
            <v>Pipe Wrench - 14"</v>
          </cell>
          <cell r="I344">
            <v>0</v>
          </cell>
          <cell r="J344">
            <v>0</v>
          </cell>
          <cell r="K344">
            <v>0</v>
          </cell>
          <cell r="L344">
            <v>0</v>
          </cell>
          <cell r="M344">
            <v>0</v>
          </cell>
          <cell r="N344">
            <v>0</v>
          </cell>
          <cell r="O344">
            <v>0</v>
          </cell>
          <cell r="P344">
            <v>0</v>
          </cell>
          <cell r="Q344">
            <v>0</v>
          </cell>
          <cell r="R344">
            <v>0</v>
          </cell>
          <cell r="S344">
            <v>0</v>
          </cell>
          <cell r="T344">
            <v>0</v>
          </cell>
          <cell r="U344">
            <v>0</v>
          </cell>
          <cell r="V344">
            <v>2</v>
          </cell>
          <cell r="W344">
            <v>0</v>
          </cell>
          <cell r="X344">
            <v>2</v>
          </cell>
          <cell r="Y344" t="str">
            <v>Nos</v>
          </cell>
          <cell r="Z344">
            <v>1089</v>
          </cell>
          <cell r="AB344">
            <v>2178</v>
          </cell>
        </row>
        <row r="345">
          <cell r="B345" t="str">
            <v>E_6</v>
          </cell>
          <cell r="D345">
            <v>77</v>
          </cell>
          <cell r="E345" t="str">
            <v>Pipe Wrench - 18"</v>
          </cell>
          <cell r="F345" t="str">
            <v>Pipe Wrench - 18"</v>
          </cell>
          <cell r="I345">
            <v>0</v>
          </cell>
          <cell r="J345">
            <v>0</v>
          </cell>
          <cell r="K345">
            <v>0</v>
          </cell>
          <cell r="L345">
            <v>0</v>
          </cell>
          <cell r="M345">
            <v>0</v>
          </cell>
          <cell r="N345">
            <v>0</v>
          </cell>
          <cell r="O345">
            <v>0</v>
          </cell>
          <cell r="P345">
            <v>0</v>
          </cell>
          <cell r="Q345">
            <v>0</v>
          </cell>
          <cell r="R345">
            <v>0</v>
          </cell>
          <cell r="S345">
            <v>0</v>
          </cell>
          <cell r="T345">
            <v>0</v>
          </cell>
          <cell r="U345">
            <v>0</v>
          </cell>
          <cell r="V345">
            <v>2</v>
          </cell>
          <cell r="W345">
            <v>0</v>
          </cell>
          <cell r="X345">
            <v>2</v>
          </cell>
          <cell r="Y345" t="str">
            <v>Nos</v>
          </cell>
          <cell r="Z345">
            <v>1565</v>
          </cell>
          <cell r="AB345">
            <v>3130</v>
          </cell>
        </row>
        <row r="346">
          <cell r="B346" t="str">
            <v>E_7</v>
          </cell>
          <cell r="D346">
            <v>78</v>
          </cell>
          <cell r="E346" t="str">
            <v>Pipe Wrench - 24"</v>
          </cell>
          <cell r="F346" t="str">
            <v>Pipe Wrench - 24"</v>
          </cell>
          <cell r="I346">
            <v>0</v>
          </cell>
          <cell r="J346">
            <v>0</v>
          </cell>
          <cell r="K346">
            <v>0</v>
          </cell>
          <cell r="L346">
            <v>0</v>
          </cell>
          <cell r="M346">
            <v>0</v>
          </cell>
          <cell r="N346">
            <v>0</v>
          </cell>
          <cell r="O346">
            <v>0</v>
          </cell>
          <cell r="P346">
            <v>0</v>
          </cell>
          <cell r="Q346">
            <v>0</v>
          </cell>
          <cell r="R346">
            <v>0</v>
          </cell>
          <cell r="S346">
            <v>0</v>
          </cell>
          <cell r="T346">
            <v>0</v>
          </cell>
          <cell r="U346">
            <v>0</v>
          </cell>
          <cell r="V346">
            <v>2</v>
          </cell>
          <cell r="W346">
            <v>0</v>
          </cell>
          <cell r="X346">
            <v>2</v>
          </cell>
          <cell r="Y346" t="str">
            <v>Nos</v>
          </cell>
          <cell r="Z346">
            <v>3073</v>
          </cell>
          <cell r="AB346">
            <v>6146</v>
          </cell>
        </row>
        <row r="347">
          <cell r="B347" t="str">
            <v>E_8</v>
          </cell>
          <cell r="D347">
            <v>79</v>
          </cell>
          <cell r="E347" t="str">
            <v>Pipe Wrench - 36"</v>
          </cell>
          <cell r="F347" t="str">
            <v>Pipe Wrench - 36"</v>
          </cell>
          <cell r="I347">
            <v>0</v>
          </cell>
          <cell r="J347">
            <v>0</v>
          </cell>
          <cell r="K347">
            <v>0</v>
          </cell>
          <cell r="L347">
            <v>0</v>
          </cell>
          <cell r="M347">
            <v>0</v>
          </cell>
          <cell r="N347">
            <v>0</v>
          </cell>
          <cell r="O347">
            <v>0</v>
          </cell>
          <cell r="P347">
            <v>0</v>
          </cell>
          <cell r="Q347">
            <v>0</v>
          </cell>
          <cell r="R347">
            <v>0</v>
          </cell>
          <cell r="S347">
            <v>0</v>
          </cell>
          <cell r="T347">
            <v>0</v>
          </cell>
          <cell r="U347">
            <v>0</v>
          </cell>
          <cell r="V347">
            <v>2</v>
          </cell>
          <cell r="W347">
            <v>0</v>
          </cell>
          <cell r="X347">
            <v>2</v>
          </cell>
          <cell r="Y347" t="str">
            <v>Nos</v>
          </cell>
          <cell r="Z347">
            <v>8000</v>
          </cell>
          <cell r="AB347">
            <v>16000</v>
          </cell>
        </row>
        <row r="348">
          <cell r="B348" t="str">
            <v>E_9</v>
          </cell>
          <cell r="D348">
            <v>80</v>
          </cell>
          <cell r="E348" t="str">
            <v>Chain Pipe Wrench - 4"</v>
          </cell>
          <cell r="F348" t="str">
            <v>Chain Pipe Wrench - 4"</v>
          </cell>
          <cell r="I348">
            <v>0</v>
          </cell>
          <cell r="J348">
            <v>0</v>
          </cell>
          <cell r="K348">
            <v>0</v>
          </cell>
          <cell r="L348">
            <v>0</v>
          </cell>
          <cell r="M348">
            <v>0</v>
          </cell>
          <cell r="N348">
            <v>0</v>
          </cell>
          <cell r="O348">
            <v>0</v>
          </cell>
          <cell r="P348">
            <v>0</v>
          </cell>
          <cell r="Q348">
            <v>0</v>
          </cell>
          <cell r="R348">
            <v>0</v>
          </cell>
          <cell r="S348">
            <v>0</v>
          </cell>
          <cell r="T348">
            <v>0</v>
          </cell>
          <cell r="U348">
            <v>0</v>
          </cell>
          <cell r="V348">
            <v>2</v>
          </cell>
          <cell r="W348">
            <v>0</v>
          </cell>
          <cell r="X348">
            <v>2</v>
          </cell>
          <cell r="Y348" t="str">
            <v>Nos</v>
          </cell>
          <cell r="Z348">
            <v>2700</v>
          </cell>
          <cell r="AB348">
            <v>5400</v>
          </cell>
        </row>
        <row r="349">
          <cell r="B349" t="str">
            <v>E_10</v>
          </cell>
          <cell r="D349">
            <v>81</v>
          </cell>
          <cell r="E349" t="str">
            <v>Chain Pipe Wrench - 6"</v>
          </cell>
          <cell r="F349" t="str">
            <v>Chain Pipe Wrench - 6"</v>
          </cell>
          <cell r="I349">
            <v>0</v>
          </cell>
          <cell r="J349">
            <v>0</v>
          </cell>
          <cell r="K349">
            <v>0</v>
          </cell>
          <cell r="L349">
            <v>0</v>
          </cell>
          <cell r="M349">
            <v>0</v>
          </cell>
          <cell r="N349">
            <v>0</v>
          </cell>
          <cell r="O349">
            <v>0</v>
          </cell>
          <cell r="P349">
            <v>0</v>
          </cell>
          <cell r="Q349">
            <v>0</v>
          </cell>
          <cell r="R349">
            <v>0</v>
          </cell>
          <cell r="S349">
            <v>0</v>
          </cell>
          <cell r="T349">
            <v>0</v>
          </cell>
          <cell r="U349">
            <v>0</v>
          </cell>
          <cell r="V349">
            <v>2</v>
          </cell>
          <cell r="W349">
            <v>0</v>
          </cell>
          <cell r="X349">
            <v>2</v>
          </cell>
          <cell r="Y349" t="str">
            <v>Nos</v>
          </cell>
          <cell r="Z349">
            <v>3600</v>
          </cell>
          <cell r="AB349">
            <v>7200</v>
          </cell>
        </row>
        <row r="350">
          <cell r="B350" t="str">
            <v>E_11</v>
          </cell>
          <cell r="D350">
            <v>82</v>
          </cell>
          <cell r="E350" t="str">
            <v>Screw Driver</v>
          </cell>
          <cell r="F350" t="str">
            <v>Screw Driver</v>
          </cell>
          <cell r="I350">
            <v>0</v>
          </cell>
          <cell r="J350">
            <v>0</v>
          </cell>
          <cell r="K350">
            <v>0</v>
          </cell>
          <cell r="L350">
            <v>0</v>
          </cell>
          <cell r="M350">
            <v>0</v>
          </cell>
          <cell r="N350">
            <v>0</v>
          </cell>
          <cell r="O350">
            <v>0</v>
          </cell>
          <cell r="P350">
            <v>0</v>
          </cell>
          <cell r="Q350">
            <v>0</v>
          </cell>
          <cell r="R350">
            <v>0</v>
          </cell>
          <cell r="S350">
            <v>0</v>
          </cell>
          <cell r="T350">
            <v>0</v>
          </cell>
          <cell r="U350">
            <v>0</v>
          </cell>
          <cell r="V350">
            <v>4</v>
          </cell>
          <cell r="W350">
            <v>0</v>
          </cell>
          <cell r="X350">
            <v>4</v>
          </cell>
          <cell r="Y350" t="str">
            <v>set</v>
          </cell>
          <cell r="Z350">
            <v>1200</v>
          </cell>
          <cell r="AB350">
            <v>4800</v>
          </cell>
        </row>
        <row r="351">
          <cell r="B351" t="str">
            <v>E_12</v>
          </cell>
          <cell r="D351">
            <v>83</v>
          </cell>
          <cell r="E351" t="str">
            <v>Chisel - 6"</v>
          </cell>
          <cell r="F351" t="str">
            <v>Chisel - 6"</v>
          </cell>
          <cell r="I351">
            <v>0</v>
          </cell>
          <cell r="J351">
            <v>0</v>
          </cell>
          <cell r="K351">
            <v>0</v>
          </cell>
          <cell r="L351">
            <v>0</v>
          </cell>
          <cell r="M351">
            <v>0</v>
          </cell>
          <cell r="N351">
            <v>0</v>
          </cell>
          <cell r="O351">
            <v>0</v>
          </cell>
          <cell r="P351">
            <v>0</v>
          </cell>
          <cell r="Q351">
            <v>0</v>
          </cell>
          <cell r="R351">
            <v>0</v>
          </cell>
          <cell r="S351">
            <v>0</v>
          </cell>
          <cell r="T351">
            <v>0</v>
          </cell>
          <cell r="U351">
            <v>0</v>
          </cell>
          <cell r="V351">
            <v>2</v>
          </cell>
          <cell r="W351">
            <v>0</v>
          </cell>
          <cell r="X351">
            <v>2</v>
          </cell>
          <cell r="Y351" t="str">
            <v>Nos</v>
          </cell>
          <cell r="Z351">
            <v>150</v>
          </cell>
          <cell r="AB351">
            <v>300</v>
          </cell>
        </row>
        <row r="352">
          <cell r="B352" t="str">
            <v>E_13</v>
          </cell>
          <cell r="D352">
            <v>84</v>
          </cell>
          <cell r="E352" t="str">
            <v>Chisel - 8"</v>
          </cell>
          <cell r="F352" t="str">
            <v>Chisel - 8"</v>
          </cell>
          <cell r="I352">
            <v>0</v>
          </cell>
          <cell r="J352">
            <v>0</v>
          </cell>
          <cell r="K352">
            <v>0</v>
          </cell>
          <cell r="L352">
            <v>0</v>
          </cell>
          <cell r="M352">
            <v>0</v>
          </cell>
          <cell r="N352">
            <v>0</v>
          </cell>
          <cell r="O352">
            <v>0</v>
          </cell>
          <cell r="P352">
            <v>0</v>
          </cell>
          <cell r="Q352">
            <v>0</v>
          </cell>
          <cell r="R352">
            <v>0</v>
          </cell>
          <cell r="S352">
            <v>0</v>
          </cell>
          <cell r="T352">
            <v>0</v>
          </cell>
          <cell r="U352">
            <v>0</v>
          </cell>
          <cell r="V352">
            <v>2</v>
          </cell>
          <cell r="W352">
            <v>0</v>
          </cell>
          <cell r="X352">
            <v>2</v>
          </cell>
          <cell r="Y352" t="str">
            <v>Nos</v>
          </cell>
          <cell r="Z352">
            <v>200</v>
          </cell>
          <cell r="AB352">
            <v>400</v>
          </cell>
        </row>
        <row r="353">
          <cell r="B353" t="str">
            <v>E_14</v>
          </cell>
          <cell r="D353">
            <v>85</v>
          </cell>
          <cell r="E353" t="str">
            <v>Chisel - 12"</v>
          </cell>
          <cell r="F353" t="str">
            <v>Chisel - 12"</v>
          </cell>
          <cell r="I353">
            <v>0</v>
          </cell>
          <cell r="J353">
            <v>0</v>
          </cell>
          <cell r="K353">
            <v>0</v>
          </cell>
          <cell r="L353">
            <v>0</v>
          </cell>
          <cell r="M353">
            <v>0</v>
          </cell>
          <cell r="N353">
            <v>0</v>
          </cell>
          <cell r="O353">
            <v>0</v>
          </cell>
          <cell r="P353">
            <v>0</v>
          </cell>
          <cell r="Q353">
            <v>0</v>
          </cell>
          <cell r="R353">
            <v>0</v>
          </cell>
          <cell r="S353">
            <v>0</v>
          </cell>
          <cell r="T353">
            <v>0</v>
          </cell>
          <cell r="U353">
            <v>0</v>
          </cell>
          <cell r="V353">
            <v>2</v>
          </cell>
          <cell r="W353">
            <v>0</v>
          </cell>
          <cell r="X353">
            <v>2</v>
          </cell>
          <cell r="Y353" t="str">
            <v>Nos</v>
          </cell>
          <cell r="Z353">
            <v>250</v>
          </cell>
          <cell r="AB353">
            <v>500</v>
          </cell>
        </row>
        <row r="354">
          <cell r="B354" t="str">
            <v>E_15</v>
          </cell>
          <cell r="D354">
            <v>86</v>
          </cell>
          <cell r="E354" t="str">
            <v>Die Set - 1/2" - 1"</v>
          </cell>
          <cell r="F354" t="str">
            <v>Die Set - 1/2" - 1"</v>
          </cell>
          <cell r="I354">
            <v>0</v>
          </cell>
          <cell r="J354">
            <v>0</v>
          </cell>
          <cell r="K354">
            <v>0</v>
          </cell>
          <cell r="L354">
            <v>0</v>
          </cell>
          <cell r="M354">
            <v>0</v>
          </cell>
          <cell r="N354">
            <v>0</v>
          </cell>
          <cell r="O354">
            <v>0</v>
          </cell>
          <cell r="P354">
            <v>0</v>
          </cell>
          <cell r="Q354">
            <v>0</v>
          </cell>
          <cell r="R354">
            <v>0</v>
          </cell>
          <cell r="S354">
            <v>0</v>
          </cell>
          <cell r="T354">
            <v>0</v>
          </cell>
          <cell r="U354">
            <v>0</v>
          </cell>
          <cell r="V354">
            <v>2</v>
          </cell>
          <cell r="W354">
            <v>0</v>
          </cell>
          <cell r="X354">
            <v>2</v>
          </cell>
          <cell r="Y354" t="str">
            <v>set</v>
          </cell>
          <cell r="Z354">
            <v>5940</v>
          </cell>
          <cell r="AB354">
            <v>11880</v>
          </cell>
        </row>
        <row r="355">
          <cell r="B355" t="str">
            <v>E_16</v>
          </cell>
          <cell r="D355">
            <v>87</v>
          </cell>
          <cell r="E355" t="str">
            <v>Die Set - 1/4" - 2"</v>
          </cell>
          <cell r="F355" t="str">
            <v>Die Set - 1/4" - 2"</v>
          </cell>
          <cell r="I355">
            <v>0</v>
          </cell>
          <cell r="J355">
            <v>0</v>
          </cell>
          <cell r="K355">
            <v>0</v>
          </cell>
          <cell r="L355">
            <v>0</v>
          </cell>
          <cell r="M355">
            <v>0</v>
          </cell>
          <cell r="N355">
            <v>0</v>
          </cell>
          <cell r="O355">
            <v>0</v>
          </cell>
          <cell r="P355">
            <v>0</v>
          </cell>
          <cell r="Q355">
            <v>0</v>
          </cell>
          <cell r="R355">
            <v>0</v>
          </cell>
          <cell r="S355">
            <v>0</v>
          </cell>
          <cell r="T355">
            <v>0</v>
          </cell>
          <cell r="U355">
            <v>0</v>
          </cell>
          <cell r="V355">
            <v>2</v>
          </cell>
          <cell r="W355">
            <v>0</v>
          </cell>
          <cell r="X355">
            <v>2</v>
          </cell>
          <cell r="Y355" t="str">
            <v>set</v>
          </cell>
          <cell r="Z355">
            <v>8000</v>
          </cell>
          <cell r="AB355">
            <v>16000</v>
          </cell>
        </row>
        <row r="356">
          <cell r="B356" t="str">
            <v>E_17</v>
          </cell>
          <cell r="D356">
            <v>88</v>
          </cell>
          <cell r="E356" t="str">
            <v>Die Set - 2 1/2" - 5"</v>
          </cell>
          <cell r="F356" t="str">
            <v>Die Set - 2 1/2" - 5"</v>
          </cell>
          <cell r="I356">
            <v>0</v>
          </cell>
          <cell r="J356">
            <v>0</v>
          </cell>
          <cell r="K356">
            <v>0</v>
          </cell>
          <cell r="L356">
            <v>0</v>
          </cell>
          <cell r="M356">
            <v>0</v>
          </cell>
          <cell r="N356">
            <v>0</v>
          </cell>
          <cell r="O356">
            <v>0</v>
          </cell>
          <cell r="P356">
            <v>0</v>
          </cell>
          <cell r="Q356">
            <v>0</v>
          </cell>
          <cell r="R356">
            <v>0</v>
          </cell>
          <cell r="S356">
            <v>0</v>
          </cell>
          <cell r="T356">
            <v>0</v>
          </cell>
          <cell r="U356">
            <v>0</v>
          </cell>
          <cell r="V356">
            <v>2</v>
          </cell>
          <cell r="W356">
            <v>0</v>
          </cell>
          <cell r="X356">
            <v>2</v>
          </cell>
          <cell r="Y356" t="str">
            <v>set</v>
          </cell>
          <cell r="Z356">
            <v>12000</v>
          </cell>
          <cell r="AB356">
            <v>24000</v>
          </cell>
        </row>
        <row r="357">
          <cell r="B357" t="str">
            <v>E_18</v>
          </cell>
          <cell r="D357">
            <v>89</v>
          </cell>
          <cell r="E357" t="str">
            <v>Ball Pan Hammer - 1/2 kg</v>
          </cell>
          <cell r="F357" t="str">
            <v>Ball Pan Hammer - 1/2 kg</v>
          </cell>
          <cell r="I357">
            <v>0</v>
          </cell>
          <cell r="J357">
            <v>0</v>
          </cell>
          <cell r="K357">
            <v>0</v>
          </cell>
          <cell r="L357">
            <v>0</v>
          </cell>
          <cell r="M357">
            <v>0</v>
          </cell>
          <cell r="N357">
            <v>0</v>
          </cell>
          <cell r="O357">
            <v>0</v>
          </cell>
          <cell r="P357">
            <v>0</v>
          </cell>
          <cell r="Q357">
            <v>0</v>
          </cell>
          <cell r="R357">
            <v>0</v>
          </cell>
          <cell r="S357">
            <v>0</v>
          </cell>
          <cell r="T357">
            <v>0</v>
          </cell>
          <cell r="U357">
            <v>0</v>
          </cell>
          <cell r="V357">
            <v>2</v>
          </cell>
          <cell r="W357">
            <v>0</v>
          </cell>
          <cell r="X357">
            <v>2</v>
          </cell>
          <cell r="Y357" t="str">
            <v>Nos</v>
          </cell>
          <cell r="Z357">
            <v>250</v>
          </cell>
          <cell r="AB357">
            <v>500</v>
          </cell>
        </row>
        <row r="358">
          <cell r="B358" t="str">
            <v>E_19</v>
          </cell>
          <cell r="D358">
            <v>90</v>
          </cell>
          <cell r="E358" t="str">
            <v>Ball Pan Hammer - 1kg</v>
          </cell>
          <cell r="F358" t="str">
            <v>Ball Pan Hammer - 1kg</v>
          </cell>
          <cell r="I358">
            <v>0</v>
          </cell>
          <cell r="J358">
            <v>0</v>
          </cell>
          <cell r="K358">
            <v>0</v>
          </cell>
          <cell r="L358">
            <v>0</v>
          </cell>
          <cell r="M358">
            <v>0</v>
          </cell>
          <cell r="N358">
            <v>0</v>
          </cell>
          <cell r="O358">
            <v>0</v>
          </cell>
          <cell r="P358">
            <v>0</v>
          </cell>
          <cell r="Q358">
            <v>0</v>
          </cell>
          <cell r="R358">
            <v>0</v>
          </cell>
          <cell r="S358">
            <v>0</v>
          </cell>
          <cell r="T358">
            <v>0</v>
          </cell>
          <cell r="U358">
            <v>0</v>
          </cell>
          <cell r="V358">
            <v>2</v>
          </cell>
          <cell r="W358">
            <v>0</v>
          </cell>
          <cell r="X358">
            <v>2</v>
          </cell>
          <cell r="Y358" t="str">
            <v>Nos</v>
          </cell>
          <cell r="Z358">
            <v>400</v>
          </cell>
          <cell r="AB358">
            <v>800</v>
          </cell>
        </row>
        <row r="359">
          <cell r="B359" t="str">
            <v>E_20</v>
          </cell>
          <cell r="D359">
            <v>91</v>
          </cell>
          <cell r="E359" t="str">
            <v>Ratchet Die 1/2"-2"</v>
          </cell>
          <cell r="F359" t="str">
            <v>Ratchet Die 1/2"-2"</v>
          </cell>
          <cell r="I359">
            <v>0</v>
          </cell>
          <cell r="J359">
            <v>0</v>
          </cell>
          <cell r="K359">
            <v>0</v>
          </cell>
          <cell r="L359">
            <v>0</v>
          </cell>
          <cell r="M359">
            <v>0</v>
          </cell>
          <cell r="N359">
            <v>0</v>
          </cell>
          <cell r="O359">
            <v>0</v>
          </cell>
          <cell r="P359">
            <v>0</v>
          </cell>
          <cell r="Q359">
            <v>0</v>
          </cell>
          <cell r="R359">
            <v>0</v>
          </cell>
          <cell r="S359">
            <v>0</v>
          </cell>
          <cell r="T359">
            <v>0</v>
          </cell>
          <cell r="U359">
            <v>0</v>
          </cell>
          <cell r="V359">
            <v>2</v>
          </cell>
          <cell r="W359">
            <v>0</v>
          </cell>
          <cell r="X359">
            <v>2</v>
          </cell>
          <cell r="Y359" t="str">
            <v>Nos</v>
          </cell>
          <cell r="Z359">
            <v>12000</v>
          </cell>
          <cell r="AB359">
            <v>24000</v>
          </cell>
        </row>
        <row r="360">
          <cell r="B360" t="str">
            <v>E_21</v>
          </cell>
          <cell r="D360">
            <v>92</v>
          </cell>
          <cell r="E360" t="str">
            <v>Hacksaw frame with 24 number extra blades</v>
          </cell>
          <cell r="F360" t="str">
            <v>Hacksaw frame with 24 number extra blades</v>
          </cell>
          <cell r="I360">
            <v>0</v>
          </cell>
          <cell r="J360">
            <v>0</v>
          </cell>
          <cell r="K360">
            <v>0</v>
          </cell>
          <cell r="L360">
            <v>0</v>
          </cell>
          <cell r="M360">
            <v>0</v>
          </cell>
          <cell r="N360">
            <v>0</v>
          </cell>
          <cell r="O360">
            <v>0</v>
          </cell>
          <cell r="P360">
            <v>0</v>
          </cell>
          <cell r="Q360">
            <v>0</v>
          </cell>
          <cell r="R360">
            <v>0</v>
          </cell>
          <cell r="S360">
            <v>0</v>
          </cell>
          <cell r="T360">
            <v>0</v>
          </cell>
          <cell r="U360">
            <v>0</v>
          </cell>
          <cell r="V360">
            <v>5</v>
          </cell>
          <cell r="W360">
            <v>0</v>
          </cell>
          <cell r="X360">
            <v>5</v>
          </cell>
          <cell r="Y360" t="str">
            <v>set</v>
          </cell>
          <cell r="Z360">
            <v>165</v>
          </cell>
          <cell r="AB360">
            <v>825</v>
          </cell>
        </row>
        <row r="361">
          <cell r="B361" t="str">
            <v>E_22</v>
          </cell>
          <cell r="D361">
            <v>93</v>
          </cell>
          <cell r="E361" t="str">
            <v>Supply of electric pipe cutter set of standard quality for cutting of DI/GI pipe up to 300 mm diameter (quality should be approved by engineer)</v>
          </cell>
          <cell r="F361" t="str">
            <v>Supply of electric pipe cutter set of standard quality for cutting of DI/GI pipe up to 300 mm diameter (quality should be approved by engineer)</v>
          </cell>
          <cell r="I361">
            <v>0</v>
          </cell>
          <cell r="J361">
            <v>0</v>
          </cell>
          <cell r="K361">
            <v>0</v>
          </cell>
          <cell r="L361">
            <v>0</v>
          </cell>
          <cell r="M361">
            <v>0</v>
          </cell>
          <cell r="N361">
            <v>0</v>
          </cell>
          <cell r="O361">
            <v>0</v>
          </cell>
          <cell r="P361">
            <v>0</v>
          </cell>
          <cell r="Q361">
            <v>0</v>
          </cell>
          <cell r="R361">
            <v>0</v>
          </cell>
          <cell r="S361">
            <v>0</v>
          </cell>
          <cell r="T361">
            <v>0</v>
          </cell>
          <cell r="U361">
            <v>0</v>
          </cell>
          <cell r="V361">
            <v>1</v>
          </cell>
          <cell r="W361">
            <v>0</v>
          </cell>
          <cell r="X361">
            <v>1</v>
          </cell>
          <cell r="Y361" t="str">
            <v>set</v>
          </cell>
          <cell r="Z361">
            <v>15000</v>
          </cell>
          <cell r="AB361">
            <v>15000</v>
          </cell>
        </row>
        <row r="362">
          <cell r="B362" t="str">
            <v>E_23</v>
          </cell>
          <cell r="D362">
            <v>94</v>
          </cell>
          <cell r="E362" t="str">
            <v>Supply of standard mechanical jack set of approved quality for HDPE pipe cutting and joining up to 160 mm diameter (quality should be approved by engineer)</v>
          </cell>
          <cell r="F362" t="str">
            <v>Supply of standard mechanical jack set of approved quality for HDPE pipe cutting and joining up to 160 mm diameter (quality should be approved by engineer)</v>
          </cell>
          <cell r="I362">
            <v>0</v>
          </cell>
          <cell r="J362">
            <v>0</v>
          </cell>
          <cell r="K362">
            <v>0</v>
          </cell>
          <cell r="L362">
            <v>0</v>
          </cell>
          <cell r="M362">
            <v>0</v>
          </cell>
          <cell r="N362">
            <v>0</v>
          </cell>
          <cell r="O362">
            <v>0</v>
          </cell>
          <cell r="P362">
            <v>0</v>
          </cell>
          <cell r="Q362">
            <v>0</v>
          </cell>
          <cell r="R362">
            <v>0</v>
          </cell>
          <cell r="S362">
            <v>0</v>
          </cell>
          <cell r="T362">
            <v>0</v>
          </cell>
          <cell r="U362">
            <v>0</v>
          </cell>
          <cell r="V362">
            <v>1</v>
          </cell>
          <cell r="W362">
            <v>0</v>
          </cell>
          <cell r="X362">
            <v>1</v>
          </cell>
          <cell r="Y362" t="str">
            <v>set</v>
          </cell>
          <cell r="Z362">
            <v>10000</v>
          </cell>
          <cell r="AB362">
            <v>10000</v>
          </cell>
        </row>
        <row r="363">
          <cell r="B363" t="str">
            <v>E_24</v>
          </cell>
          <cell r="D363">
            <v>95</v>
          </cell>
          <cell r="E363" t="str">
            <v>Supply of standard mechanical jack set of approved quality for HDPE pipe cutting and joining up to 250 mm diameter (quality should be approved by engineer)</v>
          </cell>
          <cell r="F363" t="str">
            <v>Supply of standard mechanical jack set of approved quality for HDPE pipe cutting and joining up to 250 mm diameter (quality should be approved by engineer)</v>
          </cell>
          <cell r="I363">
            <v>0</v>
          </cell>
          <cell r="J363">
            <v>0</v>
          </cell>
          <cell r="K363">
            <v>0</v>
          </cell>
          <cell r="L363">
            <v>0</v>
          </cell>
          <cell r="M363">
            <v>0</v>
          </cell>
          <cell r="N363">
            <v>0</v>
          </cell>
          <cell r="O363">
            <v>0</v>
          </cell>
          <cell r="P363">
            <v>0</v>
          </cell>
          <cell r="Q363">
            <v>0</v>
          </cell>
          <cell r="R363">
            <v>0</v>
          </cell>
          <cell r="S363">
            <v>0</v>
          </cell>
          <cell r="T363">
            <v>0</v>
          </cell>
          <cell r="U363">
            <v>0</v>
          </cell>
          <cell r="V363">
            <v>1</v>
          </cell>
          <cell r="W363">
            <v>0</v>
          </cell>
          <cell r="X363">
            <v>1</v>
          </cell>
          <cell r="Y363" t="str">
            <v>set</v>
          </cell>
          <cell r="Z363">
            <v>15000</v>
          </cell>
          <cell r="AB363">
            <v>15000</v>
          </cell>
        </row>
        <row r="364">
          <cell r="B364" t="str">
            <v>E_25</v>
          </cell>
          <cell r="C364" t="str">
            <v>PMP</v>
          </cell>
          <cell r="D364">
            <v>96</v>
          </cell>
          <cell r="E364" t="str">
            <v>Supply of standard die set of approval quality for 15mm to 150mm GI pipes (quality should be approved by engineer)</v>
          </cell>
          <cell r="F364" t="str">
            <v>Supply of standard die set of approval quality for 15mm to 150mm GI pipes (quality should be approved by engineer)</v>
          </cell>
          <cell r="I364">
            <v>0</v>
          </cell>
          <cell r="J364">
            <v>0</v>
          </cell>
          <cell r="K364">
            <v>0</v>
          </cell>
          <cell r="L364">
            <v>0</v>
          </cell>
          <cell r="M364">
            <v>0</v>
          </cell>
          <cell r="N364">
            <v>0</v>
          </cell>
          <cell r="O364">
            <v>0</v>
          </cell>
          <cell r="P364">
            <v>0</v>
          </cell>
          <cell r="Q364">
            <v>0</v>
          </cell>
          <cell r="R364">
            <v>0</v>
          </cell>
          <cell r="S364">
            <v>0</v>
          </cell>
          <cell r="T364">
            <v>0</v>
          </cell>
          <cell r="U364">
            <v>0</v>
          </cell>
          <cell r="V364">
            <v>1</v>
          </cell>
          <cell r="W364">
            <v>0</v>
          </cell>
          <cell r="X364">
            <v>1</v>
          </cell>
          <cell r="Y364" t="str">
            <v>set</v>
          </cell>
          <cell r="Z364">
            <v>30000</v>
          </cell>
          <cell r="AB364">
            <v>30000</v>
          </cell>
        </row>
        <row r="365">
          <cell r="B365" t="str">
            <v>E_26</v>
          </cell>
          <cell r="E365" t="str">
            <v>Supply of standard pipe vice set of approved quality for 15mm to 200mm GI pipe (quality should be approved by engineer)</v>
          </cell>
          <cell r="F365" t="str">
            <v>Supply of standard pipe vice set of approved quality for 15mm to 200mm GI pipe (quality should be approved by engineer)</v>
          </cell>
          <cell r="I365">
            <v>0</v>
          </cell>
          <cell r="J365">
            <v>0</v>
          </cell>
          <cell r="K365">
            <v>0</v>
          </cell>
          <cell r="L365">
            <v>0</v>
          </cell>
          <cell r="M365">
            <v>0</v>
          </cell>
          <cell r="N365">
            <v>0</v>
          </cell>
          <cell r="O365">
            <v>0</v>
          </cell>
          <cell r="P365">
            <v>0</v>
          </cell>
          <cell r="Q365">
            <v>0</v>
          </cell>
          <cell r="R365">
            <v>0</v>
          </cell>
          <cell r="S365">
            <v>0</v>
          </cell>
          <cell r="T365">
            <v>0</v>
          </cell>
          <cell r="U365">
            <v>0</v>
          </cell>
          <cell r="V365">
            <v>1</v>
          </cell>
          <cell r="W365">
            <v>0</v>
          </cell>
          <cell r="X365">
            <v>1</v>
          </cell>
          <cell r="Y365" t="str">
            <v>set</v>
          </cell>
          <cell r="Z365">
            <v>25000</v>
          </cell>
          <cell r="AB365">
            <v>25000</v>
          </cell>
        </row>
        <row r="366">
          <cell r="B366" t="str">
            <v>E_27</v>
          </cell>
          <cell r="D366">
            <v>97</v>
          </cell>
          <cell r="E366" t="str">
            <v>Supply of standard heating plate of 6" of diameter of approved quality for HDPE pipe joining (quality should be approved by engineer)</v>
          </cell>
          <cell r="F366" t="str">
            <v>Supply of standard heating plate of 6" of diameter of approved quality for HDPE pipe joining (quality should be approved by engineer)</v>
          </cell>
          <cell r="I366">
            <v>0</v>
          </cell>
          <cell r="J366">
            <v>0</v>
          </cell>
          <cell r="K366">
            <v>0</v>
          </cell>
          <cell r="L366">
            <v>0</v>
          </cell>
          <cell r="M366">
            <v>0</v>
          </cell>
          <cell r="N366">
            <v>0</v>
          </cell>
          <cell r="O366">
            <v>0</v>
          </cell>
          <cell r="P366">
            <v>0</v>
          </cell>
          <cell r="Q366">
            <v>0</v>
          </cell>
          <cell r="R366">
            <v>0</v>
          </cell>
          <cell r="S366">
            <v>0</v>
          </cell>
          <cell r="T366">
            <v>0</v>
          </cell>
          <cell r="U366">
            <v>0</v>
          </cell>
          <cell r="V366">
            <v>1</v>
          </cell>
          <cell r="W366">
            <v>0</v>
          </cell>
          <cell r="X366">
            <v>1</v>
          </cell>
          <cell r="Y366" t="str">
            <v>set</v>
          </cell>
          <cell r="Z366">
            <v>1000</v>
          </cell>
          <cell r="AB366">
            <v>1000</v>
          </cell>
        </row>
        <row r="367">
          <cell r="B367" t="str">
            <v>E_28</v>
          </cell>
          <cell r="D367">
            <v>98</v>
          </cell>
          <cell r="E367" t="str">
            <v>Supply of standard heating plate of 12" of diameter of approved quality for HDPE pipe joining (quality should be approved by engineer)</v>
          </cell>
          <cell r="F367" t="str">
            <v>Supply of standard heating plate of 12" of diameter of approved quality for HDPE pipe joining (quality should be approved by engineer)</v>
          </cell>
          <cell r="I367">
            <v>0</v>
          </cell>
          <cell r="J367">
            <v>0</v>
          </cell>
          <cell r="K367">
            <v>0</v>
          </cell>
          <cell r="L367">
            <v>0</v>
          </cell>
          <cell r="M367">
            <v>0</v>
          </cell>
          <cell r="N367">
            <v>0</v>
          </cell>
          <cell r="O367">
            <v>0</v>
          </cell>
          <cell r="P367">
            <v>0</v>
          </cell>
          <cell r="Q367">
            <v>0</v>
          </cell>
          <cell r="R367">
            <v>0</v>
          </cell>
          <cell r="S367">
            <v>0</v>
          </cell>
          <cell r="T367">
            <v>0</v>
          </cell>
          <cell r="U367">
            <v>0</v>
          </cell>
          <cell r="V367">
            <v>1</v>
          </cell>
          <cell r="W367">
            <v>0</v>
          </cell>
          <cell r="X367">
            <v>1</v>
          </cell>
          <cell r="Y367" t="str">
            <v>set</v>
          </cell>
          <cell r="Z367">
            <v>2000</v>
          </cell>
          <cell r="AB367">
            <v>2000</v>
          </cell>
        </row>
        <row r="368">
          <cell r="B368" t="str">
            <v>E_29</v>
          </cell>
          <cell r="C368" t="str">
            <v>H-40/6</v>
          </cell>
          <cell r="D368" t="str">
            <v>c</v>
          </cell>
          <cell r="E368" t="str">
            <v>Supply of standard tool box set of approved quality for plumbing works (quality should be approved by engineer)</v>
          </cell>
          <cell r="F368" t="str">
            <v>Supply of standard tool box set of approved quality for plumbing works (quality should be approved by engineer)</v>
          </cell>
          <cell r="I368">
            <v>0</v>
          </cell>
          <cell r="J368">
            <v>0</v>
          </cell>
          <cell r="K368">
            <v>0</v>
          </cell>
          <cell r="L368">
            <v>0</v>
          </cell>
          <cell r="M368">
            <v>0</v>
          </cell>
          <cell r="N368">
            <v>0</v>
          </cell>
          <cell r="O368">
            <v>0</v>
          </cell>
          <cell r="P368">
            <v>0</v>
          </cell>
          <cell r="Q368">
            <v>0</v>
          </cell>
          <cell r="R368">
            <v>0</v>
          </cell>
          <cell r="S368">
            <v>0</v>
          </cell>
          <cell r="T368">
            <v>0</v>
          </cell>
          <cell r="U368">
            <v>0</v>
          </cell>
          <cell r="V368">
            <v>1</v>
          </cell>
          <cell r="W368">
            <v>0</v>
          </cell>
          <cell r="X368">
            <v>1</v>
          </cell>
          <cell r="Y368" t="str">
            <v>set</v>
          </cell>
          <cell r="Z368">
            <v>2000</v>
          </cell>
          <cell r="AB368">
            <v>2000</v>
          </cell>
        </row>
        <row r="369">
          <cell r="B369" t="str">
            <v>E_30</v>
          </cell>
          <cell r="C369" t="str">
            <v>H-50/6</v>
          </cell>
          <cell r="D369" t="str">
            <v>d</v>
          </cell>
          <cell r="E369" t="str">
            <v>Supply of standard chain pulley set for 3 ton lifting capacity including stainless steel chain minimum 10 meters (quality should be approved by engineer)</v>
          </cell>
          <cell r="F369" t="str">
            <v>Supply of standard chain pulley set for 3 ton lifting capacity including stainless steel chain minimum 10 meters (quality should be approved by engineer)</v>
          </cell>
          <cell r="I369">
            <v>0</v>
          </cell>
          <cell r="J369">
            <v>0</v>
          </cell>
          <cell r="K369">
            <v>0</v>
          </cell>
          <cell r="L369">
            <v>0</v>
          </cell>
          <cell r="M369">
            <v>0</v>
          </cell>
          <cell r="N369">
            <v>0</v>
          </cell>
          <cell r="O369">
            <v>0</v>
          </cell>
          <cell r="P369">
            <v>0</v>
          </cell>
          <cell r="Q369">
            <v>0</v>
          </cell>
          <cell r="R369">
            <v>0</v>
          </cell>
          <cell r="S369">
            <v>0</v>
          </cell>
          <cell r="T369">
            <v>0</v>
          </cell>
          <cell r="U369">
            <v>0</v>
          </cell>
          <cell r="V369">
            <v>1</v>
          </cell>
          <cell r="W369">
            <v>0</v>
          </cell>
          <cell r="X369">
            <v>1</v>
          </cell>
          <cell r="Y369" t="str">
            <v>set</v>
          </cell>
          <cell r="Z369">
            <v>8000</v>
          </cell>
          <cell r="AB369">
            <v>8000</v>
          </cell>
        </row>
        <row r="370">
          <cell r="B370" t="str">
            <v>E_31</v>
          </cell>
          <cell r="C370" t="str">
            <v>H-63/6</v>
          </cell>
          <cell r="D370" t="str">
            <v>e</v>
          </cell>
          <cell r="E370" t="str">
            <v>Supply of standard mechanical pipe cutter set up to 150mm of approved quality</v>
          </cell>
          <cell r="F370" t="str">
            <v>Supply of standard mechanical pipe cutter set up to 150mm of approved quality</v>
          </cell>
          <cell r="I370">
            <v>0</v>
          </cell>
          <cell r="J370">
            <v>0</v>
          </cell>
          <cell r="K370">
            <v>0</v>
          </cell>
          <cell r="L370">
            <v>0</v>
          </cell>
          <cell r="M370">
            <v>0</v>
          </cell>
          <cell r="N370">
            <v>0</v>
          </cell>
          <cell r="O370">
            <v>0</v>
          </cell>
          <cell r="P370">
            <v>0</v>
          </cell>
          <cell r="Q370">
            <v>0</v>
          </cell>
          <cell r="R370">
            <v>0</v>
          </cell>
          <cell r="S370">
            <v>0</v>
          </cell>
          <cell r="T370">
            <v>0</v>
          </cell>
          <cell r="U370">
            <v>0</v>
          </cell>
          <cell r="V370">
            <v>1</v>
          </cell>
          <cell r="W370">
            <v>0</v>
          </cell>
          <cell r="X370">
            <v>1</v>
          </cell>
          <cell r="Y370" t="str">
            <v>set</v>
          </cell>
          <cell r="Z370">
            <v>10000</v>
          </cell>
          <cell r="AB370">
            <v>10000</v>
          </cell>
        </row>
        <row r="371">
          <cell r="C371" t="str">
            <v>H-75/4</v>
          </cell>
          <cell r="D371" t="str">
            <v>f</v>
          </cell>
          <cell r="E371" t="str">
            <v>Civil Works</v>
          </cell>
          <cell r="I371">
            <v>0</v>
          </cell>
          <cell r="J371">
            <v>0</v>
          </cell>
          <cell r="K371">
            <v>0</v>
          </cell>
          <cell r="L371">
            <v>0</v>
          </cell>
          <cell r="M371">
            <v>0</v>
          </cell>
          <cell r="N371">
            <v>0</v>
          </cell>
          <cell r="O371">
            <v>0</v>
          </cell>
          <cell r="P371">
            <v>0</v>
          </cell>
          <cell r="Q371">
            <v>0</v>
          </cell>
          <cell r="R371">
            <v>0</v>
          </cell>
          <cell r="S371">
            <v>0</v>
          </cell>
          <cell r="T371">
            <v>0</v>
          </cell>
          <cell r="U371">
            <v>0</v>
          </cell>
          <cell r="V371">
            <v>0</v>
          </cell>
          <cell r="W371">
            <v>0</v>
          </cell>
          <cell r="X371">
            <v>0</v>
          </cell>
          <cell r="Y371">
            <v>0</v>
          </cell>
          <cell r="AB371">
            <v>0</v>
          </cell>
        </row>
        <row r="372">
          <cell r="D372" t="str">
            <v>F Miscellaneous Items</v>
          </cell>
          <cell r="X372">
            <v>0</v>
          </cell>
        </row>
        <row r="373">
          <cell r="B373" t="str">
            <v>F_1</v>
          </cell>
          <cell r="D373" t="str">
            <v>aa</v>
          </cell>
          <cell r="E373" t="str">
            <v>25 mm Kota stone flooring on 20mm thick 1:4 mortar</v>
          </cell>
          <cell r="F373" t="str">
            <v>25 mm Kota stone flooring on 20mm thick 1:4 mortar as per Clause 2.7 and other related clause of the Specification and as directed by the Engineer</v>
          </cell>
          <cell r="I373">
            <v>0</v>
          </cell>
          <cell r="J373">
            <v>0</v>
          </cell>
          <cell r="K373">
            <v>0</v>
          </cell>
          <cell r="L373">
            <v>0</v>
          </cell>
          <cell r="M373">
            <v>0</v>
          </cell>
          <cell r="N373">
            <v>0</v>
          </cell>
          <cell r="O373">
            <v>4.5</v>
          </cell>
          <cell r="P373">
            <v>0</v>
          </cell>
          <cell r="Q373">
            <v>0</v>
          </cell>
          <cell r="R373">
            <v>0</v>
          </cell>
          <cell r="S373">
            <v>0</v>
          </cell>
          <cell r="T373">
            <v>0</v>
          </cell>
          <cell r="U373">
            <v>0</v>
          </cell>
          <cell r="V373">
            <v>0</v>
          </cell>
          <cell r="W373">
            <v>75.481536666666656</v>
          </cell>
          <cell r="X373">
            <v>79.981536666666656</v>
          </cell>
          <cell r="Y373" t="str">
            <v>sqm</v>
          </cell>
          <cell r="Z373">
            <v>1147.9100000000001</v>
          </cell>
          <cell r="AB373">
            <v>91811.61</v>
          </cell>
        </row>
        <row r="374">
          <cell r="B374" t="str">
            <v>F_2</v>
          </cell>
          <cell r="D374" t="str">
            <v>ab</v>
          </cell>
          <cell r="E374" t="str">
            <v>Porcelain glazed tiles overlay in 1:4 cement sand mortar</v>
          </cell>
          <cell r="F374" t="str">
            <v>Porcelain glazed tiles overlay in 1:4 cement sand mortar including white cement grouting as per Clause 2.6, 2.7 and other related Clause of the Specification and as directed by the Engineer</v>
          </cell>
          <cell r="I374">
            <v>0</v>
          </cell>
          <cell r="J374">
            <v>0</v>
          </cell>
          <cell r="K374">
            <v>0</v>
          </cell>
          <cell r="L374">
            <v>0</v>
          </cell>
          <cell r="M374">
            <v>0</v>
          </cell>
          <cell r="N374">
            <v>0</v>
          </cell>
          <cell r="O374">
            <v>10.08</v>
          </cell>
          <cell r="P374">
            <v>0</v>
          </cell>
          <cell r="Q374">
            <v>0</v>
          </cell>
          <cell r="R374">
            <v>0</v>
          </cell>
          <cell r="S374">
            <v>0</v>
          </cell>
          <cell r="T374">
            <v>0</v>
          </cell>
          <cell r="U374">
            <v>0</v>
          </cell>
          <cell r="V374">
            <v>0</v>
          </cell>
          <cell r="W374">
            <v>9.4499999999999993</v>
          </cell>
          <cell r="X374">
            <v>19.53</v>
          </cell>
          <cell r="Y374" t="str">
            <v>sqm</v>
          </cell>
          <cell r="Z374">
            <v>1491.59</v>
          </cell>
          <cell r="AB374">
            <v>29130.75</v>
          </cell>
        </row>
        <row r="375">
          <cell r="B375" t="str">
            <v>F_3</v>
          </cell>
          <cell r="D375" t="str">
            <v>ah</v>
          </cell>
          <cell r="E375" t="str">
            <v>Glazed Indian Type WC Set</v>
          </cell>
          <cell r="F375" t="str">
            <v>Supply and Installation of Glazed Indian Type WC Set as per Clause 2.6 and other related clause of the Specification and as directed by the Engineer</v>
          </cell>
          <cell r="I375">
            <v>0</v>
          </cell>
          <cell r="J375">
            <v>0</v>
          </cell>
          <cell r="K375">
            <v>0</v>
          </cell>
          <cell r="L375">
            <v>0</v>
          </cell>
          <cell r="M375">
            <v>0</v>
          </cell>
          <cell r="N375">
            <v>0</v>
          </cell>
          <cell r="O375">
            <v>2</v>
          </cell>
          <cell r="P375">
            <v>0</v>
          </cell>
          <cell r="Q375">
            <v>0</v>
          </cell>
          <cell r="R375">
            <v>0</v>
          </cell>
          <cell r="S375">
            <v>0</v>
          </cell>
          <cell r="T375">
            <v>0</v>
          </cell>
          <cell r="U375">
            <v>0</v>
          </cell>
          <cell r="V375">
            <v>0</v>
          </cell>
          <cell r="W375">
            <v>8</v>
          </cell>
          <cell r="X375">
            <v>10</v>
          </cell>
          <cell r="Y375" t="str">
            <v>No</v>
          </cell>
          <cell r="Z375">
            <v>750</v>
          </cell>
          <cell r="AB375">
            <v>7500</v>
          </cell>
        </row>
        <row r="376">
          <cell r="B376" t="str">
            <v>F_4</v>
          </cell>
          <cell r="D376" t="str">
            <v>al</v>
          </cell>
          <cell r="E376" t="str">
            <v>Stainless Steel Sink</v>
          </cell>
          <cell r="F376" t="str">
            <v xml:space="preserve">Supply and Installation of Stainless Steel Sink (Heavy) as per clause 2.6 and other related clause of the Specification and as directed by the Engineer </v>
          </cell>
          <cell r="I376">
            <v>0</v>
          </cell>
          <cell r="J376">
            <v>0</v>
          </cell>
          <cell r="K376">
            <v>0</v>
          </cell>
          <cell r="L376">
            <v>0</v>
          </cell>
          <cell r="M376">
            <v>0</v>
          </cell>
          <cell r="N376">
            <v>0</v>
          </cell>
          <cell r="O376">
            <v>2</v>
          </cell>
          <cell r="P376">
            <v>0</v>
          </cell>
          <cell r="Q376">
            <v>0</v>
          </cell>
          <cell r="R376">
            <v>0</v>
          </cell>
          <cell r="S376">
            <v>0</v>
          </cell>
          <cell r="T376">
            <v>0</v>
          </cell>
          <cell r="U376">
            <v>0</v>
          </cell>
          <cell r="V376">
            <v>0</v>
          </cell>
          <cell r="W376">
            <v>0</v>
          </cell>
          <cell r="X376">
            <v>2</v>
          </cell>
          <cell r="Y376" t="str">
            <v>No</v>
          </cell>
          <cell r="Z376">
            <v>3093.5</v>
          </cell>
          <cell r="AB376">
            <v>6187</v>
          </cell>
        </row>
        <row r="377">
          <cell r="B377" t="str">
            <v>F_5</v>
          </cell>
          <cell r="D377" t="str">
            <v>am</v>
          </cell>
          <cell r="E377" t="str">
            <v>Inspection Chamber</v>
          </cell>
          <cell r="F377" t="str">
            <v>Construction of Inspection Chamber as per drawing, as per Clause 2.6 and other related clause of the Specification and as directed by the Engineer</v>
          </cell>
          <cell r="I377">
            <v>0</v>
          </cell>
          <cell r="J377">
            <v>0</v>
          </cell>
          <cell r="K377">
            <v>0</v>
          </cell>
          <cell r="L377">
            <v>0</v>
          </cell>
          <cell r="M377">
            <v>0</v>
          </cell>
          <cell r="N377">
            <v>0</v>
          </cell>
          <cell r="O377">
            <v>4</v>
          </cell>
          <cell r="P377">
            <v>0</v>
          </cell>
          <cell r="Q377">
            <v>0</v>
          </cell>
          <cell r="R377">
            <v>0</v>
          </cell>
          <cell r="S377">
            <v>0</v>
          </cell>
          <cell r="T377">
            <v>0</v>
          </cell>
          <cell r="U377">
            <v>0</v>
          </cell>
          <cell r="V377">
            <v>0</v>
          </cell>
          <cell r="W377">
            <v>0</v>
          </cell>
          <cell r="X377">
            <v>4</v>
          </cell>
          <cell r="Y377" t="str">
            <v>No</v>
          </cell>
          <cell r="Z377">
            <v>1117.71</v>
          </cell>
          <cell r="AB377">
            <v>4470.84</v>
          </cell>
        </row>
        <row r="378">
          <cell r="B378" t="str">
            <v>F_6</v>
          </cell>
          <cell r="D378" t="str">
            <v>as</v>
          </cell>
          <cell r="E378" t="str">
            <v>Crossing of Pipe with black topped road cutting with reinstallation of road to the previous state</v>
          </cell>
          <cell r="F378" t="str">
            <v>Crossing of Pipe with black topped road cutting with reinstallation of road to the previous state</v>
          </cell>
          <cell r="I378">
            <v>0</v>
          </cell>
          <cell r="J378">
            <v>0</v>
          </cell>
          <cell r="K378">
            <v>0</v>
          </cell>
          <cell r="L378">
            <v>0</v>
          </cell>
          <cell r="M378">
            <v>0</v>
          </cell>
          <cell r="N378">
            <v>0</v>
          </cell>
          <cell r="O378">
            <v>0</v>
          </cell>
          <cell r="P378">
            <v>0</v>
          </cell>
          <cell r="Q378">
            <v>80</v>
          </cell>
          <cell r="R378">
            <v>0</v>
          </cell>
          <cell r="S378">
            <v>0</v>
          </cell>
          <cell r="T378">
            <v>0</v>
          </cell>
          <cell r="U378">
            <v>0</v>
          </cell>
          <cell r="V378">
            <v>0</v>
          </cell>
          <cell r="W378">
            <v>0</v>
          </cell>
          <cell r="X378">
            <v>80</v>
          </cell>
          <cell r="Y378" t="str">
            <v>sqm</v>
          </cell>
          <cell r="Z378">
            <v>1500</v>
          </cell>
          <cell r="AB378">
            <v>120000</v>
          </cell>
        </row>
        <row r="379">
          <cell r="B379" t="str">
            <v>F_7</v>
          </cell>
          <cell r="D379" t="str">
            <v>at</v>
          </cell>
          <cell r="E379" t="str">
            <v>Provisional Sum for unforeseen works change of electrical poles etc.</v>
          </cell>
          <cell r="F379" t="str">
            <v>Provisional Sum for unforeseen works like change of electrical, telephone poles, line etc.</v>
          </cell>
          <cell r="I379">
            <v>0</v>
          </cell>
          <cell r="J379">
            <v>0</v>
          </cell>
          <cell r="K379">
            <v>0</v>
          </cell>
          <cell r="L379">
            <v>0</v>
          </cell>
          <cell r="M379">
            <v>0</v>
          </cell>
          <cell r="N379">
            <v>0</v>
          </cell>
          <cell r="O379">
            <v>0</v>
          </cell>
          <cell r="P379">
            <v>0</v>
          </cell>
          <cell r="Q379" t="str">
            <v>PS</v>
          </cell>
          <cell r="R379">
            <v>0</v>
          </cell>
          <cell r="S379">
            <v>0</v>
          </cell>
          <cell r="T379">
            <v>0</v>
          </cell>
          <cell r="U379">
            <v>0</v>
          </cell>
          <cell r="V379">
            <v>0</v>
          </cell>
          <cell r="W379">
            <v>0</v>
          </cell>
          <cell r="X379">
            <v>1</v>
          </cell>
          <cell r="Y379" t="str">
            <v>Provisio nal Sum</v>
          </cell>
          <cell r="Z379">
            <v>200000</v>
          </cell>
          <cell r="AB379">
            <v>200000</v>
          </cell>
        </row>
        <row r="380">
          <cell r="B380" t="str">
            <v>F_8</v>
          </cell>
          <cell r="D380" t="str">
            <v>au</v>
          </cell>
          <cell r="E380" t="str">
            <v>Supply and Installation of Fire Hydrant</v>
          </cell>
          <cell r="F380" t="str">
            <v>Supply and installation of single outlet 80mm Cast Iron Fire Hydrant Stand-post in compliance with IS:908/75, including GM, IS: 318 LTB2 Outlet Coupling, Flange Riser, Duck Foot Bend, Surface Box, Sluice Valve, etc with necessary earth excavation, filling</v>
          </cell>
          <cell r="I380">
            <v>0</v>
          </cell>
          <cell r="J380">
            <v>0</v>
          </cell>
          <cell r="K380">
            <v>0</v>
          </cell>
          <cell r="L380">
            <v>0</v>
          </cell>
          <cell r="M380">
            <v>0</v>
          </cell>
          <cell r="N380">
            <v>0</v>
          </cell>
          <cell r="O380">
            <v>0</v>
          </cell>
          <cell r="P380">
            <v>0</v>
          </cell>
          <cell r="Q380">
            <v>6</v>
          </cell>
          <cell r="R380">
            <v>0</v>
          </cell>
          <cell r="S380">
            <v>0</v>
          </cell>
          <cell r="T380">
            <v>0</v>
          </cell>
          <cell r="U380">
            <v>0</v>
          </cell>
          <cell r="V380">
            <v>0</v>
          </cell>
          <cell r="W380">
            <v>0</v>
          </cell>
          <cell r="X380">
            <v>6</v>
          </cell>
          <cell r="Y380" t="str">
            <v>No</v>
          </cell>
          <cell r="Z380">
            <v>15000</v>
          </cell>
          <cell r="AB380">
            <v>90000</v>
          </cell>
        </row>
        <row r="381">
          <cell r="B381" t="str">
            <v>F_9</v>
          </cell>
          <cell r="E381" t="str">
            <v>Supply and Fixation of Stainless Steel Plate</v>
          </cell>
          <cell r="F381" t="str">
            <v>Supply and Fixation of Stainless Steel Plate (heavy) in the Urinal area as per clause 4.3 and other related clause of the Specification and as directed by the Engineer</v>
          </cell>
          <cell r="I381">
            <v>0</v>
          </cell>
          <cell r="J381">
            <v>0</v>
          </cell>
          <cell r="K381">
            <v>0</v>
          </cell>
          <cell r="L381">
            <v>0</v>
          </cell>
          <cell r="M381">
            <v>0</v>
          </cell>
          <cell r="N381">
            <v>0</v>
          </cell>
          <cell r="O381">
            <v>0</v>
          </cell>
          <cell r="P381">
            <v>0</v>
          </cell>
          <cell r="Q381">
            <v>0</v>
          </cell>
          <cell r="R381">
            <v>0</v>
          </cell>
          <cell r="S381">
            <v>0</v>
          </cell>
          <cell r="T381">
            <v>0</v>
          </cell>
          <cell r="U381">
            <v>0</v>
          </cell>
          <cell r="V381">
            <v>0</v>
          </cell>
          <cell r="W381">
            <v>14.28</v>
          </cell>
          <cell r="X381">
            <v>14.28</v>
          </cell>
          <cell r="Y381" t="str">
            <v>Sqm</v>
          </cell>
          <cell r="Z381">
            <v>6512.9449838187702</v>
          </cell>
          <cell r="AB381">
            <v>93004.85</v>
          </cell>
        </row>
        <row r="382">
          <cell r="B382" t="str">
            <v>F_10</v>
          </cell>
          <cell r="E382" t="str">
            <v>Supply and Installation of HDPE Water Tank (1000 litre) including all fittings</v>
          </cell>
          <cell r="F382" t="str">
            <v>Supply and Installation of HDPE Water Tank (1000 litre) including all fittings</v>
          </cell>
          <cell r="I382">
            <v>0</v>
          </cell>
          <cell r="J382">
            <v>0</v>
          </cell>
          <cell r="K382">
            <v>0</v>
          </cell>
          <cell r="L382">
            <v>0</v>
          </cell>
          <cell r="M382">
            <v>0</v>
          </cell>
          <cell r="N382">
            <v>0</v>
          </cell>
          <cell r="O382">
            <v>0</v>
          </cell>
          <cell r="P382">
            <v>0</v>
          </cell>
          <cell r="Q382">
            <v>0</v>
          </cell>
          <cell r="R382">
            <v>0</v>
          </cell>
          <cell r="S382">
            <v>0</v>
          </cell>
          <cell r="T382">
            <v>0</v>
          </cell>
          <cell r="U382">
            <v>0</v>
          </cell>
          <cell r="V382">
            <v>0</v>
          </cell>
          <cell r="W382">
            <v>4</v>
          </cell>
          <cell r="X382">
            <v>4</v>
          </cell>
          <cell r="Y382" t="str">
            <v>No</v>
          </cell>
          <cell r="Z382">
            <v>5000</v>
          </cell>
          <cell r="AB382">
            <v>20000</v>
          </cell>
        </row>
        <row r="383">
          <cell r="B383" t="str">
            <v>F_11</v>
          </cell>
          <cell r="E383" t="str">
            <v>Site Development</v>
          </cell>
          <cell r="F383" t="str">
            <v>Site Development Work in the Reservoir, Generator House, Guard Quarter and Boring Area</v>
          </cell>
          <cell r="I383">
            <v>0</v>
          </cell>
          <cell r="J383">
            <v>0</v>
          </cell>
          <cell r="K383">
            <v>0</v>
          </cell>
          <cell r="L383">
            <v>0</v>
          </cell>
          <cell r="M383">
            <v>0</v>
          </cell>
          <cell r="N383">
            <v>0</v>
          </cell>
          <cell r="O383">
            <v>0</v>
          </cell>
          <cell r="P383">
            <v>1</v>
          </cell>
          <cell r="Q383">
            <v>0</v>
          </cell>
          <cell r="R383">
            <v>0</v>
          </cell>
          <cell r="S383">
            <v>0</v>
          </cell>
          <cell r="T383">
            <v>0</v>
          </cell>
          <cell r="U383">
            <v>0</v>
          </cell>
          <cell r="V383">
            <v>0</v>
          </cell>
          <cell r="X383">
            <v>1</v>
          </cell>
          <cell r="Y383" t="str">
            <v>Provisio nal Sum</v>
          </cell>
          <cell r="Z383">
            <v>500000</v>
          </cell>
          <cell r="AB383">
            <v>500000</v>
          </cell>
        </row>
        <row r="384">
          <cell r="B384" t="str">
            <v>F_12</v>
          </cell>
          <cell r="E384" t="str">
            <v>Maintainance of Existing Public Toilet</v>
          </cell>
          <cell r="F384" t="str">
            <v>Maintainance of Existing Public Toilet</v>
          </cell>
          <cell r="W384">
            <v>1</v>
          </cell>
          <cell r="X384">
            <v>1</v>
          </cell>
          <cell r="Y384" t="str">
            <v>Provisio nal Sum</v>
          </cell>
          <cell r="Z384">
            <v>25000</v>
          </cell>
          <cell r="AB384">
            <v>25000</v>
          </cell>
        </row>
        <row r="385">
          <cell r="AA385" t="str">
            <v>Total</v>
          </cell>
          <cell r="AB385">
            <v>55158647.290000014</v>
          </cell>
        </row>
        <row r="403">
          <cell r="D403" t="str">
            <v>cp</v>
          </cell>
          <cell r="E403" t="str">
            <v>Supply and Installation of CI Manhole</v>
          </cell>
          <cell r="I403">
            <v>0</v>
          </cell>
          <cell r="J403">
            <v>0</v>
          </cell>
          <cell r="K403">
            <v>0</v>
          </cell>
          <cell r="L403">
            <v>0</v>
          </cell>
          <cell r="M403">
            <v>0</v>
          </cell>
          <cell r="N403">
            <v>0</v>
          </cell>
          <cell r="O403">
            <v>0</v>
          </cell>
          <cell r="P403">
            <v>0</v>
          </cell>
          <cell r="Q403">
            <v>0</v>
          </cell>
          <cell r="R403">
            <v>0</v>
          </cell>
          <cell r="S403">
            <v>0</v>
          </cell>
          <cell r="T403">
            <v>0</v>
          </cell>
          <cell r="U403">
            <v>0</v>
          </cell>
          <cell r="V403">
            <v>0</v>
          </cell>
          <cell r="W403">
            <v>0</v>
          </cell>
          <cell r="X403">
            <v>0</v>
          </cell>
          <cell r="Y403" t="str">
            <v>No</v>
          </cell>
          <cell r="Z403">
            <v>8000</v>
          </cell>
          <cell r="AB403">
            <v>0</v>
          </cell>
        </row>
        <row r="404">
          <cell r="C404" t="str">
            <v>H-160/6</v>
          </cell>
          <cell r="D404" t="str">
            <v>p</v>
          </cell>
          <cell r="E404" t="str">
            <v xml:space="preserve">150mm dia DI pipe laying works </v>
          </cell>
          <cell r="I404">
            <v>0</v>
          </cell>
          <cell r="J404">
            <v>0</v>
          </cell>
          <cell r="K404">
            <v>0</v>
          </cell>
          <cell r="L404">
            <v>0</v>
          </cell>
          <cell r="M404">
            <v>0</v>
          </cell>
          <cell r="N404">
            <v>0</v>
          </cell>
          <cell r="O404">
            <v>0</v>
          </cell>
          <cell r="P404">
            <v>0</v>
          </cell>
          <cell r="Q404">
            <v>0</v>
          </cell>
          <cell r="R404">
            <v>0</v>
          </cell>
          <cell r="S404">
            <v>0</v>
          </cell>
          <cell r="T404">
            <v>0</v>
          </cell>
          <cell r="U404">
            <v>0</v>
          </cell>
          <cell r="V404">
            <v>0</v>
          </cell>
          <cell r="W404">
            <v>0</v>
          </cell>
          <cell r="X404">
            <v>0</v>
          </cell>
          <cell r="Y404" t="str">
            <v>m</v>
          </cell>
          <cell r="Z404">
            <v>94.14</v>
          </cell>
          <cell r="AB404">
            <v>0</v>
          </cell>
        </row>
        <row r="405">
          <cell r="D405" t="str">
            <v>r</v>
          </cell>
          <cell r="E405" t="str">
            <v>Water Proofing Treatment( Dischtament DS)</v>
          </cell>
          <cell r="I405">
            <v>0</v>
          </cell>
          <cell r="J405">
            <v>0</v>
          </cell>
          <cell r="K405">
            <v>0</v>
          </cell>
          <cell r="L405">
            <v>0</v>
          </cell>
          <cell r="M405">
            <v>0</v>
          </cell>
          <cell r="N405">
            <v>0</v>
          </cell>
          <cell r="O405">
            <v>0</v>
          </cell>
          <cell r="P405">
            <v>0</v>
          </cell>
          <cell r="Q405">
            <v>0</v>
          </cell>
          <cell r="R405">
            <v>0</v>
          </cell>
          <cell r="S405">
            <v>0</v>
          </cell>
          <cell r="T405">
            <v>0</v>
          </cell>
          <cell r="U405">
            <v>0</v>
          </cell>
          <cell r="V405">
            <v>0</v>
          </cell>
          <cell r="W405">
            <v>0</v>
          </cell>
          <cell r="X405">
            <v>0</v>
          </cell>
          <cell r="Y405" t="str">
            <v>sqm</v>
          </cell>
          <cell r="Z405">
            <v>451</v>
          </cell>
          <cell r="AB405">
            <v>0</v>
          </cell>
        </row>
        <row r="407">
          <cell r="D407">
            <v>71</v>
          </cell>
          <cell r="E407" t="str">
            <v>D. Disinfection System- Chlorinator</v>
          </cell>
          <cell r="I407">
            <v>0</v>
          </cell>
          <cell r="J407">
            <v>0</v>
          </cell>
          <cell r="K407">
            <v>0</v>
          </cell>
          <cell r="L407">
            <v>0</v>
          </cell>
          <cell r="M407">
            <v>0</v>
          </cell>
          <cell r="N407">
            <v>0</v>
          </cell>
          <cell r="O407">
            <v>0</v>
          </cell>
          <cell r="P407">
            <v>0</v>
          </cell>
          <cell r="Q407">
            <v>0</v>
          </cell>
          <cell r="R407">
            <v>0</v>
          </cell>
          <cell r="S407">
            <v>0</v>
          </cell>
          <cell r="T407">
            <v>0</v>
          </cell>
          <cell r="U407">
            <v>0</v>
          </cell>
          <cell r="V407">
            <v>0</v>
          </cell>
          <cell r="W407">
            <v>0</v>
          </cell>
          <cell r="X407">
            <v>0</v>
          </cell>
          <cell r="Y407">
            <v>0</v>
          </cell>
          <cell r="Z407">
            <v>0</v>
          </cell>
          <cell r="AB407">
            <v>0</v>
          </cell>
        </row>
        <row r="408">
          <cell r="V408" t="e">
            <v>#N/A</v>
          </cell>
          <cell r="W408" t="e">
            <v>#N/A</v>
          </cell>
          <cell r="X408" t="e">
            <v>#N/A</v>
          </cell>
          <cell r="Z408" t="e">
            <v>#N/A</v>
          </cell>
          <cell r="AB408">
            <v>0</v>
          </cell>
        </row>
        <row r="409">
          <cell r="V409" t="e">
            <v>#N/A</v>
          </cell>
          <cell r="W409" t="e">
            <v>#N/A</v>
          </cell>
          <cell r="X409" t="e">
            <v>#N/A</v>
          </cell>
          <cell r="Z409" t="e">
            <v>#N/A</v>
          </cell>
          <cell r="AB409">
            <v>0</v>
          </cell>
        </row>
        <row r="434">
          <cell r="AB434">
            <v>55358647.290000014</v>
          </cell>
        </row>
      </sheetData>
      <sheetData sheetId="23"/>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Total"/>
      <sheetName val="Summary of BOQ"/>
      <sheetName val="BOQ Sani"/>
      <sheetName val="Chart3"/>
      <sheetName val="E&amp;MBOQ"/>
      <sheetName val="T&amp;PBOQ"/>
      <sheetName val="CivilworkBOQ"/>
      <sheetName val="1. Summary of BOQ "/>
      <sheetName val="2. BOQ-General Item"/>
      <sheetName val="3. BOQ-Day Works"/>
      <sheetName val="4. Civil Works_New"/>
      <sheetName val="5. Pipes &amp; Fit_new"/>
      <sheetName val="6. Fittings new"/>
      <sheetName val="7. BOQ E&amp;M"/>
      <sheetName val="Sheet2"/>
      <sheetName val="8. Tubewell and MGF_New"/>
      <sheetName val="9. T&amp;PBOQ"/>
      <sheetName val="10. BOQ-Environment"/>
      <sheetName val="11. LabBOQ"/>
      <sheetName val="4. CivilworkBOQ"/>
      <sheetName val="5. Pipes &amp; Fittings"/>
      <sheetName val="Summary_New"/>
      <sheetName val="Summary dulegauda "/>
      <sheetName val="Summary kapasetar "/>
      <sheetName val="Analysis of rates"/>
      <sheetName val="Rate Analysis (Electrical)"/>
      <sheetName val="District rate73-74"/>
      <sheetName val="Sheet3"/>
      <sheetName val="summary_pipe fittings"/>
      <sheetName val="cost fitting-kapasetar-1"/>
      <sheetName val="cost fittings Kapasetar-2"/>
      <sheetName val="cost fittingd Dulegauda-2"/>
      <sheetName val="cost fittings Dulegauda-1"/>
      <sheetName val="Sheet4"/>
      <sheetName val="Transportation amount"/>
      <sheetName val="General Item"/>
      <sheetName val="Day work"/>
      <sheetName val="Summary"/>
      <sheetName val="BOQ-Combine (2)"/>
      <sheetName val="Cost Site Development"/>
      <sheetName val="Cost Guard House"/>
      <sheetName val="CostofficeBldg"/>
      <sheetName val="cost genera opera"/>
      <sheetName val="cost Tubewell"/>
      <sheetName val="cost Borehole platform"/>
      <sheetName val="Cost Intake-1"/>
      <sheetName val="Cost.DugInfiltration Well"/>
      <sheetName val="Cost Intake Charchare-1"/>
      <sheetName val="Cost  Intake 3"/>
      <sheetName val="costMultigrade Filter"/>
      <sheetName val="cost InterruptionChamber "/>
      <sheetName val="cost BPT RCC"/>
      <sheetName val="Cost Sump Well(10cum)"/>
      <sheetName val="cost Collection Chamber"/>
      <sheetName val="cost Circular cascade Aerator"/>
      <sheetName val="Cost Sedimentation charchare"/>
      <sheetName val="Cost SSF (Charchare)"/>
      <sheetName val="Cost Sedim (Rudikhola)"/>
      <sheetName val="Cost RSF Rudikhola "/>
      <sheetName val="Cost SSF Rudikhola"/>
      <sheetName val="Cost Stair Cascade Aerator "/>
      <sheetName val="Cost Sedimentation tank (Dry)"/>
      <sheetName val="Cost SSF-Dry season"/>
      <sheetName val="Chart4"/>
      <sheetName val="Cost Chlorination Unit"/>
      <sheetName val="Cost RVT 30m3"/>
      <sheetName val="Cost 60 cum GR"/>
      <sheetName val="Cost 70 cum GR"/>
      <sheetName val="Cost 80 cum GR"/>
      <sheetName val="Cost 90 cum GR"/>
      <sheetName val="Cost 120 cum GR"/>
      <sheetName val="Cost RVT 170m3"/>
      <sheetName val="Cost 300 cum GR"/>
      <sheetName val="Cost RVT 40m3"/>
      <sheetName val="Cumulative"/>
      <sheetName val="Cost 200 cum"/>
      <sheetName val="200 cum GR"/>
      <sheetName val="Cost 350 cum"/>
      <sheetName val="350 cum GR"/>
      <sheetName val="CostVC,AV,WC"/>
      <sheetName val="CostVB"/>
      <sheetName val="costhc"/>
      <sheetName val="cost pipe trench"/>
      <sheetName val="costplj"/>
      <sheetName val="costplar"/>
      <sheetName val="cost firehydrant"/>
      <sheetName val="costpipes"/>
      <sheetName val="costt&amp;p"/>
      <sheetName val="cost m450"/>
      <sheetName val="cost m600"/>
      <sheetName val="cost apron"/>
      <sheetName val="cost s15"/>
      <sheetName val="cost soak15"/>
      <sheetName val="Washout fitting cost"/>
      <sheetName val="pipe Trench"/>
      <sheetName val="qntty pipes "/>
      <sheetName val="cost side drain"/>
      <sheetName val="PT Cost"/>
      <sheetName val="cost sitedev  pt"/>
      <sheetName val="cost s100"/>
      <sheetName val="costsoak100"/>
      <sheetName val="Costsldying "/>
      <sheetName val="SDB cost sitedev "/>
      <sheetName val="cost SDB soak"/>
      <sheetName val="BOQ-Combine (3)"/>
      <sheetName val="E &amp; M cost "/>
      <sheetName val="E &amp; M cost_Dulegauda_old"/>
      <sheetName val="E&amp;M Cost_Kapasetar"/>
      <sheetName val="site development"/>
      <sheetName val="Reinforcement"/>
      <sheetName val="Electrical"/>
      <sheetName val=" Quantityguard house"/>
      <sheetName val="QtyOfficeBldg"/>
      <sheetName val="Generaror Operator"/>
      <sheetName val="Borehole Platform"/>
      <sheetName val="Intake-1 Qty"/>
      <sheetName val="Intake 2 Qty"/>
      <sheetName val="Intake Qty 3"/>
      <sheetName val="Qty.DugInfiltration Well"/>
      <sheetName val="Interruption Chamber"/>
      <sheetName val="BPT RCC"/>
      <sheetName val="Pipe Cost"/>
      <sheetName val="Qty. Sump Well(10cum)"/>
      <sheetName val="Collection Chamber"/>
      <sheetName val="Sheet1"/>
      <sheetName val="Circular Cascade Aerator"/>
      <sheetName val="Qty Sedimen tank Charchare "/>
      <sheetName val="Slow Sand Filter (Charchar)"/>
      <sheetName val="Qty Sedimen tank(Rudikhola) "/>
      <sheetName val="Slow Sand Filter Rudikhola"/>
      <sheetName val="Roughning Filter Rudikhola"/>
      <sheetName val="Qty Chlorination Unit"/>
      <sheetName val="Stair Cascade Aerator"/>
      <sheetName val="Qty Sedimentation tank  (Dry)"/>
      <sheetName val="Slow Sand Filter new -Dry seaso"/>
      <sheetName val="RVT 40m3"/>
      <sheetName val="RVT 30m3 "/>
      <sheetName val="RVT 60m3"/>
      <sheetName val="RVT 70m3"/>
      <sheetName val="80 cum GR"/>
      <sheetName val="90 cum GR"/>
      <sheetName val="120 cum GR"/>
      <sheetName val=" 170 cum GR"/>
      <sheetName val="300 cum GR"/>
      <sheetName val="DI fittings"/>
      <sheetName val="GI fittings"/>
      <sheetName val="Valve Chamber"/>
      <sheetName val="Washout chamber"/>
      <sheetName val="Wash out fittings"/>
      <sheetName val="QuantityValveBox"/>
      <sheetName val="house connection"/>
      <sheetName val="pipe laying &amp; joining"/>
      <sheetName val="PIPE LAYING ACROSS ROADS"/>
      <sheetName val="Qnt fire hydrant"/>
      <sheetName val="Pipe Data"/>
      <sheetName val="man 450 qntty"/>
      <sheetName val="man 600 qntty"/>
      <sheetName val="quantity side drain"/>
      <sheetName val="appron qntty"/>
      <sheetName val="septic tank for 15 users"/>
      <sheetName val="Soakpit 15"/>
      <sheetName val="public toilet"/>
      <sheetName val="sitedev pt"/>
      <sheetName val="SEPTIC100"/>
      <sheetName val="soak quntty 100 users"/>
      <sheetName val="QTySldying"/>
      <sheetName val="SDB sitedev "/>
      <sheetName val="SDB Soakpit "/>
      <sheetName val="Sheet5"/>
      <sheetName val="Total distance"/>
      <sheetName val="Rana Gaun"/>
      <sheetName val="Pipal Danda"/>
      <sheetName val="Mathillo thaple"/>
      <sheetName val="Tallo thaple"/>
      <sheetName val="RAM MANDIR"/>
      <sheetName val="Euri"/>
      <sheetName val="ReservoirFitting"/>
      <sheetName val="FireHydrantValve"/>
      <sheetName val="TranmissionW&amp;A"/>
      <sheetName val="TransmissionFitting"/>
      <sheetName val="DistributionW&amp;A"/>
      <sheetName val="summaryofrate"/>
      <sheetName val="kapasetar -1"/>
      <sheetName val="Kapasetar-2"/>
      <sheetName val="Dulegauda-1"/>
      <sheetName val="Dulegauda-2"/>
      <sheetName val="Transportation"/>
      <sheetName val="Chart1"/>
      <sheetName val="Cha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ow r="13">
          <cell r="S13">
            <v>159.6</v>
          </cell>
        </row>
      </sheetData>
      <sheetData sheetId="27" refreshError="1"/>
      <sheetData sheetId="28" refreshError="1"/>
      <sheetData sheetId="29" refreshError="1"/>
      <sheetData sheetId="30" refreshError="1"/>
      <sheetData sheetId="31" refreshError="1"/>
      <sheetData sheetId="32" refreshError="1"/>
      <sheetData sheetId="33" refreshError="1"/>
      <sheetData sheetId="34">
        <row r="25">
          <cell r="P25">
            <v>1.425</v>
          </cell>
        </row>
        <row r="39">
          <cell r="P39">
            <v>1.25</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ow r="10">
          <cell r="N10">
            <v>1838.8534500000001</v>
          </cell>
        </row>
      </sheetData>
      <sheetData sheetId="145">
        <row r="11">
          <cell r="M11">
            <v>39.712243900000004</v>
          </cell>
        </row>
      </sheetData>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ct mat Rate"/>
      <sheetName val="Table of content"/>
      <sheetName val="UPVC"/>
      <sheetName val=" Final (Rate)"/>
      <sheetName val="Update Descrip (Final)"/>
    </sheetNames>
    <sheetDataSet>
      <sheetData sheetId="0">
        <row r="6">
          <cell r="F6">
            <v>145</v>
          </cell>
        </row>
      </sheetData>
      <sheetData sheetId="1"/>
      <sheetData sheetId="2"/>
      <sheetData sheetId="3"/>
      <sheetData sheetId="4"/>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strict mat Rate"/>
      <sheetName val="Table of content"/>
      <sheetName val="UPVC"/>
      <sheetName val="Update Descrip (Final)"/>
    </sheetNames>
    <sheetDataSet>
      <sheetData sheetId="0" refreshError="1">
        <row r="6">
          <cell r="F6">
            <v>160</v>
          </cell>
        </row>
      </sheetData>
      <sheetData sheetId="1" refreshError="1"/>
      <sheetData sheetId="2" refreshError="1"/>
      <sheetData sheetId="3"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p well (2)"/>
      <sheetName val="Sheet4 (2)"/>
      <sheetName val="Sump well"/>
      <sheetName val="Pump &amp; Operator house"/>
      <sheetName val="Rate"/>
      <sheetName val="DRates"/>
      <sheetName val="MatCol"/>
      <sheetName val="EMO"/>
      <sheetName val="Pipe Laying&amp;Jointing"/>
      <sheetName val="Two pit Latrine"/>
      <sheetName val="Sanitation"/>
      <sheetName val="Slts-2"/>
      <sheetName val="T&amp;P"/>
      <sheetName val="Salient"/>
      <sheetName val="Lgata"/>
      <sheetName val="Two pit Latrine (2)"/>
      <sheetName val="RCT (2)"/>
      <sheetName val="CostSummary"/>
      <sheetName val="Trainings"/>
      <sheetName val="Panera"/>
      <sheetName val="SprInt1"/>
      <sheetName val="SprInt2"/>
      <sheetName val="StrInt1"/>
      <sheetName val="StrInt2"/>
      <sheetName val="StrInt3"/>
      <sheetName val="CCDCIC"/>
      <sheetName val="SedTank"/>
      <sheetName val="FER-SED"/>
      <sheetName val="FRT"/>
      <sheetName val="RCT"/>
      <sheetName val="BarSchedule"/>
      <sheetName val="Fence"/>
      <sheetName val="RCC VC"/>
      <sheetName val="Rcc DC,IC,BPC"/>
      <sheetName val="PBPC"/>
      <sheetName val="VCs"/>
      <sheetName val="Cabl-Des"/>
      <sheetName val="CabCros"/>
      <sheetName val="UnderCros"/>
      <sheetName val="Piprot"/>
      <sheetName val="Miscel"/>
      <sheetName val="PSP1"/>
      <sheetName val="PSP2"/>
      <sheetName val="VIP1"/>
      <sheetName val="VIP2"/>
      <sheetName val="VIP3"/>
      <sheetName val="DP Lat"/>
      <sheetName val="MRT"/>
      <sheetName val="Sheets"/>
      <sheetName val="RtAn"/>
    </sheetNames>
    <sheetDataSet>
      <sheetData sheetId="0" refreshError="1"/>
      <sheetData sheetId="1" refreshError="1"/>
      <sheetData sheetId="2" refreshError="1"/>
      <sheetData sheetId="3" refreshError="1"/>
      <sheetData sheetId="4" refreshError="1"/>
      <sheetData sheetId="5" refreshError="1">
        <row r="14">
          <cell r="I14">
            <v>310</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riteria"/>
      <sheetName val="CheckList"/>
      <sheetName val="Dmand 1"/>
      <sheetName val="PD-TMPLT"/>
      <sheetName val="ProfileData"/>
      <sheetName val="PipeDesign"/>
      <sheetName val="PLOT"/>
      <sheetName val="Profile"/>
      <sheetName val="FlowDiagram"/>
      <sheetName val="PipeList"/>
      <sheetName val="PipeLineWork"/>
      <sheetName val="Features"/>
      <sheetName val="T&amp;P"/>
      <sheetName val="Summary"/>
      <sheetName val="PipeDesign (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ittings-Summary"/>
      <sheetName val="Scheme 2"/>
      <sheetName val="Scheme 1"/>
      <sheetName val="Dbase"/>
      <sheetName val="EqvSiz"/>
    </sheetNames>
    <sheetDataSet>
      <sheetData sheetId="0"/>
      <sheetData sheetId="1"/>
      <sheetData sheetId="2"/>
      <sheetData sheetId="3"/>
      <sheetData sheetId="4"/>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FTWEL"/>
      <sheetName val="Answer Report 1"/>
      <sheetName val="PD_Design"/>
      <sheetName val="Nodal Flow Cal"/>
      <sheetName val="Pop Density"/>
      <sheetName val="CD_Design"/>
      <sheetName val="ED_Design"/>
    </sheetNames>
    <sheetDataSet>
      <sheetData sheetId="0"/>
      <sheetData sheetId="1"/>
      <sheetData sheetId="2"/>
      <sheetData sheetId="3"/>
      <sheetData sheetId="4">
        <row r="11">
          <cell r="J11">
            <v>300</v>
          </cell>
        </row>
        <row r="16">
          <cell r="K16">
            <v>300</v>
          </cell>
        </row>
        <row r="17">
          <cell r="K17">
            <v>300</v>
          </cell>
        </row>
      </sheetData>
      <sheetData sheetId="5"/>
      <sheetData sheetId="6"/>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llection"/>
      <sheetName val="Transportation"/>
      <sheetName val="Material"/>
      <sheetName val="D.I."/>
      <sheetName val="Materials_01"/>
      <sheetName val="UC Contribution"/>
      <sheetName val="Sedimentation Tank _Cost (2)"/>
      <sheetName val=" Sedimentation Tank_Qty (2)"/>
      <sheetName val=" BWF_COST (2)"/>
      <sheetName val="BWF_QTY (2)"/>
      <sheetName val="Count_BPT_IC_VC"/>
      <sheetName val="Ele Wrk_RA"/>
      <sheetName val="Silent Feature"/>
      <sheetName val="BOQ_without Rate"/>
      <sheetName val="Sheet1"/>
      <sheetName val="List of Contents"/>
      <sheetName val="Seperator_01"/>
      <sheetName val="Summary of Cost_Final"/>
      <sheetName val="Seperator_02"/>
      <sheetName val="S_02_A_TM"/>
      <sheetName val="Stream Intake_Cost"/>
      <sheetName val="Stream Intake_Qty"/>
      <sheetName val="CC_COST"/>
      <sheetName val="CC_QTY"/>
      <sheetName val="1000 Cum Capacity_Cost"/>
      <sheetName val="1000 Cum Capacity_Qty"/>
      <sheetName val="Sedimentation Tank _Cost"/>
      <sheetName val=" Sedimentation Tank_Qty"/>
      <sheetName val="Cost_HRF_Upflow"/>
      <sheetName val="Qty_HRF_Upflow"/>
      <sheetName val=" BWF_COST"/>
      <sheetName val="BWF_QTY"/>
      <sheetName val="300 Cum Capacity_Cost"/>
      <sheetName val="300 Cum Capacity_Qty"/>
      <sheetName val="200 Cum Capacity_Cost "/>
      <sheetName val="200 Cum Capacity_Qty"/>
      <sheetName val="150 Cum Capacity_Cost"/>
      <sheetName val="150 Cum Capacity_Qty"/>
      <sheetName val="125 Cum Capacity_Cost"/>
      <sheetName val="125 Cum Capacity_Qty"/>
      <sheetName val="100 Cum Capacity_Cost"/>
      <sheetName val="100 Cum Capacity_Qty"/>
      <sheetName val="75 Cum Capacity_Cost"/>
      <sheetName val="75 Cum Capacity_Qty"/>
      <sheetName val="50 Cum_Cost"/>
      <sheetName val="50 Cum Capacity_Qty"/>
      <sheetName val="Horizontal Roughing Filter_Cost"/>
      <sheetName val="Pipe Fittings Qty_TWIR"/>
      <sheetName val="Horizontal Roughing Filter_Qty"/>
      <sheetName val="Pipe Laying and Supply_TPL"/>
      <sheetName val="Cost_Fittings_TPL_RVT_IC_WT"/>
      <sheetName val="Pipe Fittings Qty_TPL_RVT_IC_WT"/>
      <sheetName val="Rapid Sand Filter_Cost"/>
      <sheetName val="Rapid Sand Filter_Qty"/>
      <sheetName val="Clear WC and CU_Qty"/>
      <sheetName val="Clear WC and CU_Cost"/>
      <sheetName val="Cholorination Unit_Qty"/>
      <sheetName val="Cholorination Unit Cost"/>
      <sheetName val="IC_COST"/>
      <sheetName val="IC_QTY"/>
      <sheetName val="Fence"/>
      <sheetName val="VC_COST_TPL"/>
      <sheetName val="VC_QTY_TPL"/>
      <sheetName val="Thrust Block_Cost"/>
      <sheetName val="Thrust Block_QTY"/>
      <sheetName val="Saddle Post"/>
      <sheetName val="Cost_S-CROSS"/>
      <sheetName val="Qty_Suspension-CROSS"/>
      <sheetName val="Guard cum Operator  House Cost"/>
      <sheetName val="Guard Cum Operator_Qty "/>
      <sheetName val="G&amp;Q House Sanitary Cost "/>
      <sheetName val="G&amp;O House_Elec Cost"/>
      <sheetName val=" S. Tank and S. Pit Cost_GQ"/>
      <sheetName val="S_02_A_DM"/>
      <sheetName val="STR-CRS1"/>
      <sheetName val="STR-CRS2"/>
      <sheetName val="Cost_15m3_Rec_Tank"/>
      <sheetName val="Qty_15m3_Rec_Tank "/>
      <sheetName val="Cost_25m3_Rec_Tank"/>
      <sheetName val="Qty_25m3_Rec_Tank"/>
      <sheetName val="Pipe Supply Laying and Jointing"/>
      <sheetName val="Cost Fittings_DPL"/>
      <sheetName val="Pipe Fittings Qty_DPL"/>
      <sheetName val="BPT_COST_RCC"/>
      <sheetName val=" BPT_RCC_qty"/>
      <sheetName val="VC_COST_4"/>
      <sheetName val="VC_QTY_4"/>
      <sheetName val="Pipe Valve_cost"/>
      <sheetName val="Pipe Valve_Qty"/>
      <sheetName val=" CROSSING_COST"/>
      <sheetName val="UFH_RA"/>
      <sheetName val=" HCs COST"/>
      <sheetName val="RCC Frame_OB_Cost"/>
      <sheetName val="RCC Frame_OB_Qty"/>
      <sheetName val="Building Electrification"/>
      <sheetName val="Public Toilet Cost"/>
      <sheetName val="Public Toilet_Qty"/>
      <sheetName val=" S. Tank and S. Pit Cost"/>
      <sheetName val="Septic Tank &amp; Soak Pit Qty"/>
      <sheetName val="Pump House_Cost"/>
      <sheetName val="Sanitary Cost"/>
      <sheetName val="Elect.Rate Analysis"/>
      <sheetName val="OHT elec Rate Analysis"/>
      <sheetName val="Elect Rate Analysis of PT"/>
      <sheetName val="Pump House_Qty"/>
      <sheetName val="GQ_Toilet_Cost"/>
      <sheetName val="GQ_Toilet_Qty"/>
      <sheetName val="Electrical_Cost"/>
      <sheetName val="Cost_Pump"/>
      <sheetName val="Pump Platform_Qty"/>
      <sheetName val="SW Acces_Qty"/>
      <sheetName val="Pump-control_Qty"/>
      <sheetName val="S_02_A_MM"/>
      <sheetName val="Land Development Works"/>
      <sheetName val="Training Works"/>
      <sheetName val="Qty_Road Works"/>
      <sheetName val="Cost_Road Works"/>
      <sheetName val="General_work"/>
      <sheetName val="Days Works"/>
      <sheetName val="Tools and Equipment "/>
      <sheetName val="O_and_M"/>
      <sheetName val="Lab Equipment"/>
      <sheetName val="Seperator_03"/>
      <sheetName val="AOQ"/>
      <sheetName val="Summary of AOQ"/>
      <sheetName val="Seperator_04"/>
      <sheetName val="Rate Analysis-Sum."/>
      <sheetName val="Civil_Pipe_Rate Analysis_01"/>
      <sheetName val="Road Rate Anaysis"/>
      <sheetName val="Welding nors"/>
      <sheetName val="Truck_MKD"/>
      <sheetName val="Trans_MKD"/>
      <sheetName val="D_Rate"/>
      <sheetName val="Seamless Pipe"/>
      <sheetName val="PN16_PE100_HDPE PIPE"/>
      <sheetName val="Sanitary RA"/>
      <sheetName val="PE 100 HDPE (2)"/>
      <sheetName val="HDPE"/>
      <sheetName val="G.I."/>
      <sheetName val="Pipe Fittings Rate"/>
      <sheetName val="DI_FITTINGS"/>
      <sheetName val="DI Pipe and Fitings Rate_17"/>
      <sheetName val="Elecmechal works2"/>
      <sheetName val="Elecmechal works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ow r="76">
          <cell r="E76">
            <v>52.416651096956841</v>
          </cell>
        </row>
      </sheetData>
      <sheetData sheetId="130" refreshError="1"/>
      <sheetData sheetId="131" refreshError="1"/>
      <sheetData sheetId="132" refreshError="1"/>
      <sheetData sheetId="133">
        <row r="4">
          <cell r="H4">
            <v>1</v>
          </cell>
        </row>
        <row r="5">
          <cell r="H5">
            <v>1</v>
          </cell>
        </row>
        <row r="6">
          <cell r="H6">
            <v>1</v>
          </cell>
        </row>
      </sheetData>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3:Y30"/>
  <sheetViews>
    <sheetView tabSelected="1" view="pageBreakPreview" zoomScaleSheetLayoutView="100" workbookViewId="0">
      <selection activeCell="AA12" sqref="AA12"/>
    </sheetView>
  </sheetViews>
  <sheetFormatPr defaultColWidth="9.140625" defaultRowHeight="12.75" x14ac:dyDescent="0.25"/>
  <cols>
    <col min="1" max="1" width="9.140625" style="1" customWidth="1"/>
    <col min="2" max="2" width="8.5703125" style="36" bestFit="1" customWidth="1"/>
    <col min="3" max="3" width="7.42578125" style="1" bestFit="1" customWidth="1"/>
    <col min="4" max="4" width="8" style="1" bestFit="1" customWidth="1"/>
    <col min="5" max="5" width="6.85546875" style="6" bestFit="1" customWidth="1"/>
    <col min="6" max="6" width="8" style="6" customWidth="1"/>
    <col min="7" max="7" width="9" style="6" bestFit="1" customWidth="1"/>
    <col min="8" max="8" width="8" style="6" customWidth="1"/>
    <col min="9" max="9" width="7.42578125" style="1" bestFit="1" customWidth="1"/>
    <col min="10" max="10" width="8.42578125" style="1" bestFit="1" customWidth="1"/>
    <col min="11" max="11" width="8.42578125" style="6" bestFit="1" customWidth="1"/>
    <col min="12" max="12" width="7.7109375" style="6" bestFit="1" customWidth="1"/>
    <col min="13" max="13" width="9" style="42" bestFit="1" customWidth="1"/>
    <col min="14" max="14" width="9.28515625" style="6" customWidth="1"/>
    <col min="15" max="15" width="8.42578125" style="1" bestFit="1" customWidth="1"/>
    <col min="16" max="16" width="7.85546875" style="1" bestFit="1" customWidth="1"/>
    <col min="17" max="17" width="8.42578125" style="6" bestFit="1" customWidth="1"/>
    <col min="18" max="18" width="7.7109375" style="6" bestFit="1" customWidth="1"/>
    <col min="19" max="19" width="9" style="6" bestFit="1" customWidth="1"/>
    <col min="20" max="20" width="7.85546875" style="6" customWidth="1"/>
    <col min="21" max="21" width="7.42578125" style="41" bestFit="1" customWidth="1"/>
    <col min="22" max="22" width="8.7109375" style="1" customWidth="1"/>
    <col min="23" max="23" width="8.140625" style="1" bestFit="1" customWidth="1"/>
    <col min="24" max="24" width="8.7109375" style="1" bestFit="1" customWidth="1"/>
    <col min="25" max="25" width="9" style="1" bestFit="1" customWidth="1"/>
    <col min="26" max="16384" width="9.140625" style="1"/>
  </cols>
  <sheetData>
    <row r="3" spans="1:25" x14ac:dyDescent="0.25">
      <c r="A3" s="47" t="s">
        <v>0</v>
      </c>
      <c r="B3" s="47"/>
      <c r="C3" s="47"/>
      <c r="D3" s="47"/>
      <c r="E3" s="47"/>
      <c r="F3" s="47"/>
      <c r="G3" s="47"/>
      <c r="H3" s="47"/>
      <c r="I3" s="47"/>
      <c r="J3" s="47"/>
      <c r="K3" s="47"/>
      <c r="L3" s="47"/>
      <c r="M3" s="47"/>
      <c r="N3" s="47"/>
      <c r="O3" s="47"/>
      <c r="P3" s="47"/>
      <c r="Q3" s="47"/>
      <c r="R3" s="47"/>
      <c r="S3" s="47"/>
      <c r="T3" s="47"/>
      <c r="U3" s="47"/>
      <c r="V3" s="47"/>
      <c r="W3" s="47"/>
      <c r="X3" s="47"/>
      <c r="Y3" s="47"/>
    </row>
    <row r="4" spans="1:25" ht="32.25" customHeight="1" x14ac:dyDescent="0.25">
      <c r="A4" s="2" t="s">
        <v>1</v>
      </c>
      <c r="B4" s="2"/>
      <c r="C4" s="2"/>
      <c r="D4" s="3"/>
      <c r="E4" s="3">
        <v>0.94</v>
      </c>
      <c r="F4" s="3"/>
      <c r="G4" s="3" t="s">
        <v>2</v>
      </c>
      <c r="H4" s="3"/>
      <c r="I4" s="3"/>
      <c r="J4" s="4" t="s">
        <v>3</v>
      </c>
      <c r="K4" s="4" t="s">
        <v>4</v>
      </c>
      <c r="L4" s="5" t="s">
        <v>5</v>
      </c>
      <c r="N4" s="5" t="s">
        <v>6</v>
      </c>
      <c r="O4" s="48" t="s">
        <v>34</v>
      </c>
      <c r="P4" s="48"/>
      <c r="Q4" s="7"/>
      <c r="R4" s="7"/>
      <c r="S4" s="7"/>
      <c r="T4" s="8"/>
      <c r="U4" s="49" t="s">
        <v>7</v>
      </c>
      <c r="V4" s="49"/>
      <c r="W4" s="9" t="s">
        <v>8</v>
      </c>
      <c r="X4" s="9"/>
      <c r="Y4" s="10">
        <v>315</v>
      </c>
    </row>
    <row r="5" spans="1:25" x14ac:dyDescent="0.25">
      <c r="A5" s="3"/>
      <c r="B5" s="3"/>
      <c r="C5" s="3"/>
      <c r="D5" s="8"/>
      <c r="E5" s="8"/>
      <c r="F5" s="8"/>
      <c r="G5" s="8"/>
      <c r="H5" s="8"/>
      <c r="I5" s="8"/>
      <c r="J5" s="11">
        <f>'[121]Seamless Pipe'!H4</f>
        <v>1</v>
      </c>
      <c r="K5" s="11">
        <f>'[121]Seamless Pipe'!H5</f>
        <v>1</v>
      </c>
      <c r="L5" s="11">
        <f>'[121]Seamless Pipe'!H6</f>
        <v>1</v>
      </c>
      <c r="N5" s="11"/>
      <c r="O5" s="50">
        <f>SUM(J5:N5)</f>
        <v>3</v>
      </c>
      <c r="P5" s="50"/>
      <c r="Q5" s="1"/>
      <c r="R5" s="1"/>
      <c r="S5" s="1"/>
      <c r="T5" s="1"/>
    </row>
    <row r="6" spans="1:25" x14ac:dyDescent="0.25">
      <c r="A6" s="51" t="s">
        <v>9</v>
      </c>
      <c r="B6" s="53" t="s">
        <v>10</v>
      </c>
      <c r="C6" s="53"/>
      <c r="D6" s="53"/>
      <c r="E6" s="53"/>
      <c r="F6" s="53"/>
      <c r="G6" s="53"/>
      <c r="H6" s="54" t="s">
        <v>11</v>
      </c>
      <c r="I6" s="54"/>
      <c r="J6" s="54"/>
      <c r="K6" s="54"/>
      <c r="L6" s="54"/>
      <c r="M6" s="54"/>
      <c r="N6" s="55" t="s">
        <v>12</v>
      </c>
      <c r="O6" s="55"/>
      <c r="P6" s="55"/>
      <c r="Q6" s="55"/>
      <c r="R6" s="55"/>
      <c r="S6" s="55"/>
      <c r="T6" s="56" t="s">
        <v>13</v>
      </c>
      <c r="U6" s="56"/>
      <c r="V6" s="56"/>
      <c r="W6" s="56"/>
      <c r="X6" s="56"/>
      <c r="Y6" s="56"/>
    </row>
    <row r="7" spans="1:25" ht="89.25" customHeight="1" x14ac:dyDescent="0.25">
      <c r="A7" s="52"/>
      <c r="B7" s="12" t="s">
        <v>14</v>
      </c>
      <c r="C7" s="12" t="s">
        <v>15</v>
      </c>
      <c r="D7" s="13" t="s">
        <v>16</v>
      </c>
      <c r="E7" s="14" t="s">
        <v>17</v>
      </c>
      <c r="F7" s="14" t="s">
        <v>18</v>
      </c>
      <c r="G7" s="14" t="s">
        <v>19</v>
      </c>
      <c r="H7" s="15" t="s">
        <v>14</v>
      </c>
      <c r="I7" s="15" t="s">
        <v>15</v>
      </c>
      <c r="J7" s="16" t="s">
        <v>16</v>
      </c>
      <c r="K7" s="17" t="s">
        <v>17</v>
      </c>
      <c r="L7" s="15" t="s">
        <v>18</v>
      </c>
      <c r="M7" s="16" t="s">
        <v>20</v>
      </c>
      <c r="N7" s="18" t="s">
        <v>14</v>
      </c>
      <c r="O7" s="18" t="s">
        <v>15</v>
      </c>
      <c r="P7" s="19" t="s">
        <v>16</v>
      </c>
      <c r="Q7" s="19" t="s">
        <v>21</v>
      </c>
      <c r="R7" s="20" t="s">
        <v>18</v>
      </c>
      <c r="S7" s="19" t="s">
        <v>20</v>
      </c>
      <c r="T7" s="21" t="s">
        <v>14</v>
      </c>
      <c r="U7" s="15" t="s">
        <v>15</v>
      </c>
      <c r="V7" s="22" t="s">
        <v>16</v>
      </c>
      <c r="W7" s="22" t="s">
        <v>21</v>
      </c>
      <c r="X7" s="23" t="s">
        <v>18</v>
      </c>
      <c r="Y7" s="22" t="s">
        <v>20</v>
      </c>
    </row>
    <row r="8" spans="1:25" x14ac:dyDescent="0.25">
      <c r="A8" s="24" t="s">
        <v>22</v>
      </c>
      <c r="B8" s="25" t="s">
        <v>23</v>
      </c>
      <c r="C8" s="25" t="s">
        <v>24</v>
      </c>
      <c r="D8" s="13" t="s">
        <v>25</v>
      </c>
      <c r="E8" s="13" t="s">
        <v>26</v>
      </c>
      <c r="F8" s="13" t="s">
        <v>26</v>
      </c>
      <c r="G8" s="13" t="s">
        <v>26</v>
      </c>
      <c r="H8" s="26" t="s">
        <v>23</v>
      </c>
      <c r="I8" s="26" t="s">
        <v>24</v>
      </c>
      <c r="J8" s="16" t="s">
        <v>25</v>
      </c>
      <c r="K8" s="16" t="s">
        <v>26</v>
      </c>
      <c r="L8" s="16" t="s">
        <v>26</v>
      </c>
      <c r="M8" s="16" t="s">
        <v>26</v>
      </c>
      <c r="N8" s="27" t="s">
        <v>23</v>
      </c>
      <c r="O8" s="27" t="s">
        <v>24</v>
      </c>
      <c r="P8" s="19" t="s">
        <v>25</v>
      </c>
      <c r="Q8" s="19" t="s">
        <v>26</v>
      </c>
      <c r="R8" s="19" t="s">
        <v>26</v>
      </c>
      <c r="S8" s="19" t="s">
        <v>26</v>
      </c>
      <c r="T8" s="24" t="s">
        <v>23</v>
      </c>
      <c r="U8" s="26" t="s">
        <v>24</v>
      </c>
      <c r="V8" s="22" t="s">
        <v>25</v>
      </c>
      <c r="W8" s="22" t="s">
        <v>26</v>
      </c>
      <c r="X8" s="22" t="s">
        <v>26</v>
      </c>
      <c r="Y8" s="22" t="s">
        <v>26</v>
      </c>
    </row>
    <row r="9" spans="1:25" x14ac:dyDescent="0.25">
      <c r="A9" s="24"/>
      <c r="B9" s="25"/>
      <c r="C9" s="25"/>
      <c r="D9" s="13"/>
      <c r="E9" s="13"/>
      <c r="F9" s="13"/>
      <c r="G9" s="13"/>
      <c r="H9" s="26"/>
      <c r="I9" s="26"/>
      <c r="J9" s="16"/>
      <c r="K9" s="16"/>
      <c r="L9" s="16"/>
      <c r="M9" s="16"/>
      <c r="N9" s="27"/>
      <c r="O9" s="27"/>
      <c r="P9" s="19"/>
      <c r="Q9" s="19"/>
      <c r="R9" s="19"/>
      <c r="S9" s="19"/>
      <c r="T9" s="24"/>
      <c r="U9" s="26"/>
      <c r="V9" s="22"/>
      <c r="W9" s="22"/>
      <c r="X9" s="22"/>
      <c r="Y9" s="22"/>
    </row>
    <row r="10" spans="1:25" x14ac:dyDescent="0.25">
      <c r="A10" s="28">
        <v>20</v>
      </c>
      <c r="B10" s="28"/>
      <c r="C10" s="28"/>
      <c r="D10" s="29"/>
      <c r="E10" s="29"/>
      <c r="F10" s="29"/>
      <c r="G10" s="29"/>
      <c r="H10" s="28"/>
      <c r="I10" s="28"/>
      <c r="J10" s="29"/>
      <c r="K10" s="29"/>
      <c r="L10" s="29"/>
      <c r="M10" s="43"/>
      <c r="N10" s="28"/>
      <c r="O10" s="28"/>
      <c r="P10" s="30"/>
      <c r="Q10" s="30"/>
      <c r="R10" s="30"/>
      <c r="S10" s="30"/>
      <c r="T10" s="31">
        <v>2.2999999999999998</v>
      </c>
      <c r="U10" s="38">
        <f>ROUND((PI()*($A10-$T10)*$T10*0.94),2)/1000</f>
        <v>0.12021999999999999</v>
      </c>
      <c r="V10" s="31">
        <f t="shared" ref="V10:V27" si="0">ROUNDUP(U10*$Y$4,2)</f>
        <v>37.869999999999997</v>
      </c>
      <c r="W10" s="31">
        <f>ROUNDUP(U10*$O$5,2)</f>
        <v>0.37</v>
      </c>
      <c r="X10" s="31">
        <v>0</v>
      </c>
      <c r="Y10" s="30">
        <f>V10+W10+X10</f>
        <v>38.239999999999995</v>
      </c>
    </row>
    <row r="11" spans="1:25" x14ac:dyDescent="0.25">
      <c r="A11" s="28">
        <v>25</v>
      </c>
      <c r="B11" s="28"/>
      <c r="C11" s="28"/>
      <c r="D11" s="29"/>
      <c r="E11" s="29"/>
      <c r="F11" s="29"/>
      <c r="G11" s="29"/>
      <c r="H11" s="28"/>
      <c r="I11" s="37"/>
      <c r="J11" s="29"/>
      <c r="K11" s="29"/>
      <c r="L11" s="29"/>
      <c r="M11" s="43"/>
      <c r="N11" s="28">
        <v>2.2999999999999998</v>
      </c>
      <c r="O11" s="32">
        <f t="shared" ref="O11:O27" si="1">ROUND((PI()*($A11-$N11)*$N11*0.94),2)/1000</f>
        <v>0.15418000000000001</v>
      </c>
      <c r="P11" s="31">
        <f t="shared" ref="P11:P27" si="2">ROUNDUP(O11*$Y$4,2)</f>
        <v>48.57</v>
      </c>
      <c r="Q11" s="31">
        <f>ROUNDUP(O11*$O$5,2)</f>
        <v>0.47000000000000003</v>
      </c>
      <c r="R11" s="31">
        <v>0</v>
      </c>
      <c r="S11" s="30">
        <f>P11+Q11+R11</f>
        <v>49.04</v>
      </c>
      <c r="T11" s="31">
        <v>2.9</v>
      </c>
      <c r="U11" s="38">
        <f t="shared" ref="U11:U27" si="3">ROUND((PI()*($A11-$T11)*$T11*0.94),2)/1000</f>
        <v>0.18925999999999998</v>
      </c>
      <c r="V11" s="31">
        <f t="shared" si="0"/>
        <v>59.62</v>
      </c>
      <c r="W11" s="31">
        <f t="shared" ref="W11:W27" si="4">ROUNDUP(U11*$O$5,2)</f>
        <v>0.57000000000000006</v>
      </c>
      <c r="X11" s="31">
        <v>0</v>
      </c>
      <c r="Y11" s="30">
        <f t="shared" ref="Y11:Y27" si="5">V11+W11+X11</f>
        <v>60.19</v>
      </c>
    </row>
    <row r="12" spans="1:25" x14ac:dyDescent="0.25">
      <c r="A12" s="28">
        <v>32</v>
      </c>
      <c r="B12" s="28"/>
      <c r="C12" s="28"/>
      <c r="D12" s="29"/>
      <c r="E12" s="29"/>
      <c r="F12" s="29"/>
      <c r="G12" s="29"/>
      <c r="H12" s="28">
        <v>2.4</v>
      </c>
      <c r="I12" s="38">
        <f t="shared" ref="I12:I27" si="6">ROUND((PI()*($A12-$H12)*$H12*0.94),2)/1000</f>
        <v>0.20979</v>
      </c>
      <c r="J12" s="31">
        <f t="shared" ref="J12:J29" si="7">ROUNDUP(I12*$Y$4,2)</f>
        <v>66.09</v>
      </c>
      <c r="K12" s="31">
        <f>ROUNDUP(I12*$O$5,2)</f>
        <v>0.63</v>
      </c>
      <c r="L12" s="31">
        <v>0</v>
      </c>
      <c r="M12" s="40">
        <f>J12+K12+L12</f>
        <v>66.72</v>
      </c>
      <c r="N12" s="28">
        <v>2.9</v>
      </c>
      <c r="O12" s="32">
        <f t="shared" si="1"/>
        <v>0.24921000000000001</v>
      </c>
      <c r="P12" s="31">
        <f t="shared" si="2"/>
        <v>78.510000000000005</v>
      </c>
      <c r="Q12" s="31">
        <f t="shared" ref="Q12:Q29" si="8">ROUNDUP(O12*$O$5,2)</f>
        <v>0.75</v>
      </c>
      <c r="R12" s="31">
        <v>0</v>
      </c>
      <c r="S12" s="30">
        <f t="shared" ref="S12:S27" si="9">P12+Q12+R12</f>
        <v>79.260000000000005</v>
      </c>
      <c r="T12" s="31">
        <v>3.7</v>
      </c>
      <c r="U12" s="38">
        <f t="shared" si="3"/>
        <v>0.30922000000000005</v>
      </c>
      <c r="V12" s="31">
        <f t="shared" si="0"/>
        <v>97.410000000000011</v>
      </c>
      <c r="W12" s="31">
        <f t="shared" si="4"/>
        <v>0.93</v>
      </c>
      <c r="X12" s="31">
        <v>0</v>
      </c>
      <c r="Y12" s="30">
        <f t="shared" si="5"/>
        <v>98.340000000000018</v>
      </c>
    </row>
    <row r="13" spans="1:25" x14ac:dyDescent="0.25">
      <c r="A13" s="28">
        <v>40</v>
      </c>
      <c r="B13" s="28"/>
      <c r="C13" s="28"/>
      <c r="D13" s="30"/>
      <c r="E13" s="30"/>
      <c r="F13" s="30"/>
      <c r="G13" s="30"/>
      <c r="H13" s="28">
        <v>3</v>
      </c>
      <c r="I13" s="38">
        <f t="shared" si="6"/>
        <v>0.32779000000000003</v>
      </c>
      <c r="J13" s="31">
        <f t="shared" si="7"/>
        <v>103.26</v>
      </c>
      <c r="K13" s="31">
        <f t="shared" ref="K13:K27" si="10">ROUNDUP(I13*$O$5,2)</f>
        <v>0.99</v>
      </c>
      <c r="L13" s="31">
        <v>0</v>
      </c>
      <c r="M13" s="40">
        <f t="shared" ref="M13:M27" si="11">J13+K13+L13</f>
        <v>104.25</v>
      </c>
      <c r="N13" s="28">
        <v>3.7</v>
      </c>
      <c r="O13" s="32">
        <f t="shared" si="1"/>
        <v>0.39662999999999998</v>
      </c>
      <c r="P13" s="31">
        <f t="shared" si="2"/>
        <v>124.94000000000001</v>
      </c>
      <c r="Q13" s="31">
        <f t="shared" si="8"/>
        <v>1.19</v>
      </c>
      <c r="R13" s="31">
        <v>0</v>
      </c>
      <c r="S13" s="30">
        <f t="shared" si="9"/>
        <v>126.13000000000001</v>
      </c>
      <c r="T13" s="31">
        <v>4.5999999999999996</v>
      </c>
      <c r="U13" s="38">
        <f t="shared" si="3"/>
        <v>0.48087999999999997</v>
      </c>
      <c r="V13" s="31">
        <f t="shared" si="0"/>
        <v>151.47999999999999</v>
      </c>
      <c r="W13" s="31">
        <f t="shared" si="4"/>
        <v>1.45</v>
      </c>
      <c r="X13" s="31">
        <v>0</v>
      </c>
      <c r="Y13" s="30">
        <f t="shared" si="5"/>
        <v>152.92999999999998</v>
      </c>
    </row>
    <row r="14" spans="1:25" x14ac:dyDescent="0.25">
      <c r="A14" s="28">
        <v>50</v>
      </c>
      <c r="B14" s="28">
        <v>2.2999999999999998</v>
      </c>
      <c r="C14" s="32">
        <f>ROUND((PI()*($A14-$B14)*$B14*0.94),2)/1000</f>
        <v>0.32398000000000005</v>
      </c>
      <c r="D14" s="31">
        <f t="shared" ref="D14:D27" si="12">ROUNDUP(C14*$Y$4,2)</f>
        <v>102.06</v>
      </c>
      <c r="E14" s="31">
        <f>ROUNDUP(C14*$O$5,2)</f>
        <v>0.98</v>
      </c>
      <c r="F14" s="31">
        <v>0</v>
      </c>
      <c r="G14" s="30">
        <f t="shared" ref="G14:G27" si="13">D14+E14+F14</f>
        <v>103.04</v>
      </c>
      <c r="H14" s="28">
        <v>3.7</v>
      </c>
      <c r="I14" s="38">
        <f t="shared" si="6"/>
        <v>0.50590000000000002</v>
      </c>
      <c r="J14" s="31">
        <f t="shared" si="7"/>
        <v>159.35999999999999</v>
      </c>
      <c r="K14" s="31">
        <f t="shared" si="10"/>
        <v>1.52</v>
      </c>
      <c r="L14" s="31">
        <v>0</v>
      </c>
      <c r="M14" s="40">
        <f t="shared" si="11"/>
        <v>160.88</v>
      </c>
      <c r="N14" s="28">
        <v>4.5999999999999996</v>
      </c>
      <c r="O14" s="32">
        <f t="shared" si="1"/>
        <v>0.61672000000000005</v>
      </c>
      <c r="P14" s="31">
        <f t="shared" si="2"/>
        <v>194.26999999999998</v>
      </c>
      <c r="Q14" s="31">
        <f t="shared" si="8"/>
        <v>1.86</v>
      </c>
      <c r="R14" s="31">
        <v>0</v>
      </c>
      <c r="S14" s="30">
        <f t="shared" si="9"/>
        <v>196.13</v>
      </c>
      <c r="T14" s="31">
        <v>5.7</v>
      </c>
      <c r="U14" s="38">
        <f t="shared" si="3"/>
        <v>0.74569000000000007</v>
      </c>
      <c r="V14" s="31">
        <f t="shared" si="0"/>
        <v>234.89999999999998</v>
      </c>
      <c r="W14" s="31">
        <f t="shared" si="4"/>
        <v>2.2399999999999998</v>
      </c>
      <c r="X14" s="31">
        <v>0</v>
      </c>
      <c r="Y14" s="30">
        <f t="shared" si="5"/>
        <v>237.14</v>
      </c>
    </row>
    <row r="15" spans="1:25" x14ac:dyDescent="0.25">
      <c r="A15" s="28">
        <v>63</v>
      </c>
      <c r="B15" s="28">
        <v>2.9</v>
      </c>
      <c r="C15" s="32">
        <f t="shared" ref="C15:C27" si="14">ROUND((PI()*($A15-$B15)*$B15*0.94),2)/1000</f>
        <v>0.51470000000000005</v>
      </c>
      <c r="D15" s="31">
        <f t="shared" si="12"/>
        <v>162.13999999999999</v>
      </c>
      <c r="E15" s="31">
        <f t="shared" ref="E15:E27" si="15">ROUNDUP(C15*$O$5,2)</f>
        <v>1.55</v>
      </c>
      <c r="F15" s="31">
        <v>0</v>
      </c>
      <c r="G15" s="30">
        <f t="shared" si="13"/>
        <v>163.69</v>
      </c>
      <c r="H15" s="28">
        <v>4.7</v>
      </c>
      <c r="I15" s="38">
        <f t="shared" si="6"/>
        <v>0.8091799999999999</v>
      </c>
      <c r="J15" s="31">
        <f t="shared" si="7"/>
        <v>254.89999999999998</v>
      </c>
      <c r="K15" s="31">
        <f t="shared" si="10"/>
        <v>2.4299999999999997</v>
      </c>
      <c r="L15" s="31">
        <v>0</v>
      </c>
      <c r="M15" s="40">
        <f t="shared" si="11"/>
        <v>257.33</v>
      </c>
      <c r="N15" s="28">
        <v>5.7</v>
      </c>
      <c r="O15" s="32">
        <f t="shared" si="1"/>
        <v>0.96450999999999998</v>
      </c>
      <c r="P15" s="31">
        <f t="shared" si="2"/>
        <v>303.83</v>
      </c>
      <c r="Q15" s="31">
        <f t="shared" si="8"/>
        <v>2.9</v>
      </c>
      <c r="R15" s="31">
        <v>0</v>
      </c>
      <c r="S15" s="30">
        <f t="shared" si="9"/>
        <v>306.72999999999996</v>
      </c>
      <c r="T15" s="31">
        <v>7.1</v>
      </c>
      <c r="U15" s="38">
        <f t="shared" si="3"/>
        <v>1.17205</v>
      </c>
      <c r="V15" s="31">
        <f t="shared" si="0"/>
        <v>369.2</v>
      </c>
      <c r="W15" s="31">
        <f t="shared" si="4"/>
        <v>3.5199999999999996</v>
      </c>
      <c r="X15" s="31">
        <v>0</v>
      </c>
      <c r="Y15" s="30">
        <f t="shared" si="5"/>
        <v>372.71999999999997</v>
      </c>
    </row>
    <row r="16" spans="1:25" x14ac:dyDescent="0.25">
      <c r="A16" s="28">
        <v>75</v>
      </c>
      <c r="B16" s="28">
        <v>3.5</v>
      </c>
      <c r="C16" s="32">
        <f t="shared" si="14"/>
        <v>0.73900999999999994</v>
      </c>
      <c r="D16" s="31">
        <f t="shared" si="12"/>
        <v>232.79</v>
      </c>
      <c r="E16" s="31">
        <f t="shared" si="15"/>
        <v>2.2199999999999998</v>
      </c>
      <c r="F16" s="31">
        <v>0</v>
      </c>
      <c r="G16" s="30">
        <f t="shared" si="13"/>
        <v>235.01</v>
      </c>
      <c r="H16" s="28">
        <v>5.6</v>
      </c>
      <c r="I16" s="38">
        <f t="shared" si="6"/>
        <v>1.1476900000000001</v>
      </c>
      <c r="J16" s="31">
        <f t="shared" si="7"/>
        <v>361.53</v>
      </c>
      <c r="K16" s="31">
        <f t="shared" si="10"/>
        <v>3.4499999999999997</v>
      </c>
      <c r="L16" s="31">
        <v>0</v>
      </c>
      <c r="M16" s="40">
        <f t="shared" si="11"/>
        <v>364.97999999999996</v>
      </c>
      <c r="N16" s="28">
        <v>6.8</v>
      </c>
      <c r="O16" s="32">
        <f t="shared" si="1"/>
        <v>1.3695299999999999</v>
      </c>
      <c r="P16" s="31">
        <f t="shared" si="2"/>
        <v>431.40999999999997</v>
      </c>
      <c r="Q16" s="31">
        <f t="shared" si="8"/>
        <v>4.1099999999999994</v>
      </c>
      <c r="R16" s="31">
        <v>0</v>
      </c>
      <c r="S16" s="30">
        <f t="shared" si="9"/>
        <v>435.52</v>
      </c>
      <c r="T16" s="31">
        <v>8.5</v>
      </c>
      <c r="U16" s="38">
        <f t="shared" si="3"/>
        <v>1.6692400000000001</v>
      </c>
      <c r="V16" s="31">
        <f t="shared" si="0"/>
        <v>525.81999999999994</v>
      </c>
      <c r="W16" s="31">
        <f t="shared" si="4"/>
        <v>5.01</v>
      </c>
      <c r="X16" s="31">
        <v>0</v>
      </c>
      <c r="Y16" s="30">
        <f t="shared" si="5"/>
        <v>530.82999999999993</v>
      </c>
    </row>
    <row r="17" spans="1:25" s="41" customFormat="1" x14ac:dyDescent="0.25">
      <c r="A17" s="37">
        <v>90</v>
      </c>
      <c r="B17" s="37">
        <v>4.0999999999999996</v>
      </c>
      <c r="C17" s="38">
        <f t="shared" si="14"/>
        <v>1.0400499999999999</v>
      </c>
      <c r="D17" s="39">
        <f t="shared" si="12"/>
        <v>327.62</v>
      </c>
      <c r="E17" s="39">
        <f t="shared" si="15"/>
        <v>3.13</v>
      </c>
      <c r="F17" s="39">
        <v>0</v>
      </c>
      <c r="G17" s="40">
        <f t="shared" si="13"/>
        <v>330.75</v>
      </c>
      <c r="H17" s="37">
        <v>6.7</v>
      </c>
      <c r="I17" s="38">
        <f t="shared" si="6"/>
        <v>1.64815</v>
      </c>
      <c r="J17" s="39">
        <f t="shared" si="7"/>
        <v>519.16999999999996</v>
      </c>
      <c r="K17" s="39">
        <f t="shared" si="10"/>
        <v>4.95</v>
      </c>
      <c r="L17" s="39">
        <v>0</v>
      </c>
      <c r="M17" s="40">
        <f t="shared" si="11"/>
        <v>524.12</v>
      </c>
      <c r="N17" s="37">
        <v>8.1999999999999993</v>
      </c>
      <c r="O17" s="38">
        <f t="shared" si="1"/>
        <v>1.98082</v>
      </c>
      <c r="P17" s="39">
        <f t="shared" si="2"/>
        <v>623.96</v>
      </c>
      <c r="Q17" s="39">
        <f t="shared" si="8"/>
        <v>5.95</v>
      </c>
      <c r="R17" s="39">
        <v>0</v>
      </c>
      <c r="S17" s="40">
        <f t="shared" si="9"/>
        <v>629.91000000000008</v>
      </c>
      <c r="T17" s="39">
        <v>10.199999999999999</v>
      </c>
      <c r="U17" s="38">
        <f t="shared" si="3"/>
        <v>2.4036999999999997</v>
      </c>
      <c r="V17" s="39">
        <f t="shared" si="0"/>
        <v>757.17</v>
      </c>
      <c r="W17" s="39">
        <f t="shared" si="4"/>
        <v>7.22</v>
      </c>
      <c r="X17" s="39">
        <v>0</v>
      </c>
      <c r="Y17" s="40">
        <f t="shared" si="5"/>
        <v>764.39</v>
      </c>
    </row>
    <row r="18" spans="1:25" x14ac:dyDescent="0.25">
      <c r="A18" s="28">
        <v>110</v>
      </c>
      <c r="B18" s="28">
        <v>5</v>
      </c>
      <c r="C18" s="32">
        <f t="shared" si="14"/>
        <v>1.5503800000000001</v>
      </c>
      <c r="D18" s="31">
        <f t="shared" si="12"/>
        <v>488.37</v>
      </c>
      <c r="E18" s="31">
        <f t="shared" si="15"/>
        <v>4.66</v>
      </c>
      <c r="F18" s="31">
        <v>0</v>
      </c>
      <c r="G18" s="30">
        <f t="shared" si="13"/>
        <v>493.03000000000003</v>
      </c>
      <c r="H18" s="28">
        <v>8.1</v>
      </c>
      <c r="I18" s="38">
        <f t="shared" si="6"/>
        <v>2.4374600000000002</v>
      </c>
      <c r="J18" s="31">
        <f t="shared" si="7"/>
        <v>767.8</v>
      </c>
      <c r="K18" s="31">
        <f t="shared" si="10"/>
        <v>7.3199999999999994</v>
      </c>
      <c r="L18" s="31">
        <v>0</v>
      </c>
      <c r="M18" s="40">
        <f t="shared" si="11"/>
        <v>775.12</v>
      </c>
      <c r="N18" s="28">
        <v>10</v>
      </c>
      <c r="O18" s="32">
        <f t="shared" si="1"/>
        <v>2.9531000000000001</v>
      </c>
      <c r="P18" s="31">
        <f t="shared" si="2"/>
        <v>930.23</v>
      </c>
      <c r="Q18" s="31">
        <f t="shared" si="8"/>
        <v>8.86</v>
      </c>
      <c r="R18" s="31">
        <v>0</v>
      </c>
      <c r="S18" s="30">
        <f t="shared" si="9"/>
        <v>939.09</v>
      </c>
      <c r="T18" s="31">
        <v>12.4</v>
      </c>
      <c r="U18" s="38">
        <f t="shared" si="3"/>
        <v>3.57396</v>
      </c>
      <c r="V18" s="31">
        <f t="shared" si="0"/>
        <v>1125.8</v>
      </c>
      <c r="W18" s="31">
        <f t="shared" si="4"/>
        <v>10.73</v>
      </c>
      <c r="X18" s="31">
        <v>0</v>
      </c>
      <c r="Y18" s="30">
        <f t="shared" si="5"/>
        <v>1136.53</v>
      </c>
    </row>
    <row r="19" spans="1:25" x14ac:dyDescent="0.25">
      <c r="A19" s="28">
        <v>125</v>
      </c>
      <c r="B19" s="28">
        <v>5.7</v>
      </c>
      <c r="C19" s="32">
        <f t="shared" si="14"/>
        <v>2.00814</v>
      </c>
      <c r="D19" s="31">
        <f t="shared" si="12"/>
        <v>632.56999999999994</v>
      </c>
      <c r="E19" s="31">
        <f t="shared" si="15"/>
        <v>6.0299999999999994</v>
      </c>
      <c r="F19" s="31">
        <v>0</v>
      </c>
      <c r="G19" s="30">
        <f t="shared" si="13"/>
        <v>638.59999999999991</v>
      </c>
      <c r="H19" s="28">
        <v>9.1999999999999993</v>
      </c>
      <c r="I19" s="38">
        <f t="shared" si="6"/>
        <v>3.1461100000000002</v>
      </c>
      <c r="J19" s="31">
        <f t="shared" si="7"/>
        <v>991.03</v>
      </c>
      <c r="K19" s="31">
        <f t="shared" si="10"/>
        <v>9.44</v>
      </c>
      <c r="L19" s="31">
        <v>0</v>
      </c>
      <c r="M19" s="40">
        <f t="shared" si="11"/>
        <v>1000.47</v>
      </c>
      <c r="N19" s="28">
        <v>11.3</v>
      </c>
      <c r="O19" s="32">
        <f t="shared" si="1"/>
        <v>3.7941700000000003</v>
      </c>
      <c r="P19" s="31">
        <f t="shared" si="2"/>
        <v>1195.17</v>
      </c>
      <c r="Q19" s="31">
        <f t="shared" si="8"/>
        <v>11.39</v>
      </c>
      <c r="R19" s="31">
        <v>0</v>
      </c>
      <c r="S19" s="30">
        <f t="shared" si="9"/>
        <v>1206.5600000000002</v>
      </c>
      <c r="T19" s="31">
        <v>14.1</v>
      </c>
      <c r="U19" s="38">
        <f t="shared" si="3"/>
        <v>4.6177299999999999</v>
      </c>
      <c r="V19" s="31">
        <f t="shared" si="0"/>
        <v>1454.59</v>
      </c>
      <c r="W19" s="31">
        <f t="shared" si="4"/>
        <v>13.86</v>
      </c>
      <c r="X19" s="31">
        <v>0</v>
      </c>
      <c r="Y19" s="30">
        <f t="shared" si="5"/>
        <v>1468.4499999999998</v>
      </c>
    </row>
    <row r="20" spans="1:25" x14ac:dyDescent="0.25">
      <c r="A20" s="28">
        <v>140</v>
      </c>
      <c r="B20" s="28">
        <v>6.4</v>
      </c>
      <c r="C20" s="32">
        <f t="shared" si="14"/>
        <v>2.52502</v>
      </c>
      <c r="D20" s="31">
        <f t="shared" si="12"/>
        <v>795.39</v>
      </c>
      <c r="E20" s="31">
        <f t="shared" si="15"/>
        <v>7.58</v>
      </c>
      <c r="F20" s="31">
        <v>0</v>
      </c>
      <c r="G20" s="30">
        <f t="shared" si="13"/>
        <v>802.97</v>
      </c>
      <c r="H20" s="28">
        <v>10.3</v>
      </c>
      <c r="I20" s="38">
        <f t="shared" si="6"/>
        <v>3.9450700000000003</v>
      </c>
      <c r="J20" s="31">
        <f t="shared" si="7"/>
        <v>1242.7</v>
      </c>
      <c r="K20" s="31">
        <f t="shared" si="10"/>
        <v>11.84</v>
      </c>
      <c r="L20" s="31">
        <v>0</v>
      </c>
      <c r="M20" s="40">
        <f t="shared" si="11"/>
        <v>1254.54</v>
      </c>
      <c r="N20" s="28">
        <v>12.7</v>
      </c>
      <c r="O20" s="32">
        <f t="shared" si="1"/>
        <v>4.7743000000000002</v>
      </c>
      <c r="P20" s="31">
        <f t="shared" si="2"/>
        <v>1503.91</v>
      </c>
      <c r="Q20" s="31">
        <f t="shared" si="8"/>
        <v>14.33</v>
      </c>
      <c r="R20" s="31">
        <v>0</v>
      </c>
      <c r="S20" s="30">
        <f t="shared" si="9"/>
        <v>1518.24</v>
      </c>
      <c r="T20" s="31">
        <v>15.8</v>
      </c>
      <c r="U20" s="38">
        <f t="shared" si="3"/>
        <v>5.7950400000000002</v>
      </c>
      <c r="V20" s="31">
        <f t="shared" si="0"/>
        <v>1825.44</v>
      </c>
      <c r="W20" s="31">
        <f t="shared" si="4"/>
        <v>17.39</v>
      </c>
      <c r="X20" s="31">
        <v>0</v>
      </c>
      <c r="Y20" s="30">
        <f t="shared" si="5"/>
        <v>1842.8300000000002</v>
      </c>
    </row>
    <row r="21" spans="1:25" x14ac:dyDescent="0.25">
      <c r="A21" s="28">
        <v>160</v>
      </c>
      <c r="B21" s="28">
        <v>7.3</v>
      </c>
      <c r="C21" s="32">
        <f t="shared" si="14"/>
        <v>3.2918499999999997</v>
      </c>
      <c r="D21" s="31">
        <f t="shared" si="12"/>
        <v>1036.94</v>
      </c>
      <c r="E21" s="31">
        <f t="shared" si="15"/>
        <v>9.879999999999999</v>
      </c>
      <c r="F21" s="31">
        <v>0</v>
      </c>
      <c r="G21" s="30">
        <f t="shared" si="13"/>
        <v>1046.8200000000002</v>
      </c>
      <c r="H21" s="28">
        <v>11.8</v>
      </c>
      <c r="I21" s="38">
        <f t="shared" si="6"/>
        <v>5.1642600000000005</v>
      </c>
      <c r="J21" s="31">
        <f t="shared" si="7"/>
        <v>1626.75</v>
      </c>
      <c r="K21" s="31">
        <f t="shared" si="10"/>
        <v>15.5</v>
      </c>
      <c r="L21" s="31">
        <v>0</v>
      </c>
      <c r="M21" s="40">
        <f t="shared" si="11"/>
        <v>1642.25</v>
      </c>
      <c r="N21" s="28">
        <v>14.5</v>
      </c>
      <c r="O21" s="32">
        <f t="shared" si="1"/>
        <v>6.2303000000000006</v>
      </c>
      <c r="P21" s="31">
        <f t="shared" si="2"/>
        <v>1962.55</v>
      </c>
      <c r="Q21" s="31">
        <f t="shared" si="8"/>
        <v>18.700000000000003</v>
      </c>
      <c r="R21" s="31">
        <v>0</v>
      </c>
      <c r="S21" s="30">
        <f t="shared" si="9"/>
        <v>1981.25</v>
      </c>
      <c r="T21" s="31">
        <v>18.100000000000001</v>
      </c>
      <c r="U21" s="38">
        <f t="shared" si="3"/>
        <v>7.5847100000000003</v>
      </c>
      <c r="V21" s="31">
        <f t="shared" si="0"/>
        <v>2389.19</v>
      </c>
      <c r="W21" s="31">
        <f t="shared" si="4"/>
        <v>22.76</v>
      </c>
      <c r="X21" s="31">
        <v>0</v>
      </c>
      <c r="Y21" s="30">
        <f t="shared" si="5"/>
        <v>2411.9500000000003</v>
      </c>
    </row>
    <row r="22" spans="1:25" x14ac:dyDescent="0.25">
      <c r="A22" s="28">
        <v>180</v>
      </c>
      <c r="B22" s="28">
        <v>8.1999999999999993</v>
      </c>
      <c r="C22" s="32">
        <f t="shared" si="14"/>
        <v>4.1602100000000002</v>
      </c>
      <c r="D22" s="31">
        <f t="shared" si="12"/>
        <v>1310.47</v>
      </c>
      <c r="E22" s="31">
        <f t="shared" si="15"/>
        <v>12.49</v>
      </c>
      <c r="F22" s="31">
        <v>0</v>
      </c>
      <c r="G22" s="30">
        <f t="shared" si="13"/>
        <v>1322.96</v>
      </c>
      <c r="H22" s="28">
        <v>13.3</v>
      </c>
      <c r="I22" s="38">
        <f t="shared" si="6"/>
        <v>6.5473400000000002</v>
      </c>
      <c r="J22" s="31">
        <f t="shared" si="7"/>
        <v>2062.42</v>
      </c>
      <c r="K22" s="31">
        <f t="shared" si="10"/>
        <v>19.650000000000002</v>
      </c>
      <c r="L22" s="31">
        <v>0</v>
      </c>
      <c r="M22" s="40">
        <f t="shared" si="11"/>
        <v>2082.0700000000002</v>
      </c>
      <c r="N22" s="28">
        <v>16.3</v>
      </c>
      <c r="O22" s="32">
        <f t="shared" si="1"/>
        <v>7.8797799999999993</v>
      </c>
      <c r="P22" s="31">
        <f t="shared" si="2"/>
        <v>2482.1400000000003</v>
      </c>
      <c r="Q22" s="31">
        <f t="shared" si="8"/>
        <v>23.64</v>
      </c>
      <c r="R22" s="31">
        <v>0</v>
      </c>
      <c r="S22" s="30">
        <f t="shared" si="9"/>
        <v>2505.7800000000002</v>
      </c>
      <c r="T22" s="31">
        <v>20.3</v>
      </c>
      <c r="U22" s="38">
        <f t="shared" si="3"/>
        <v>9.5736799999999995</v>
      </c>
      <c r="V22" s="31">
        <f t="shared" si="0"/>
        <v>3015.71</v>
      </c>
      <c r="W22" s="31">
        <f t="shared" si="4"/>
        <v>28.73</v>
      </c>
      <c r="X22" s="31">
        <v>0</v>
      </c>
      <c r="Y22" s="30">
        <f t="shared" si="5"/>
        <v>3044.44</v>
      </c>
    </row>
    <row r="23" spans="1:25" x14ac:dyDescent="0.25">
      <c r="A23" s="28">
        <v>200</v>
      </c>
      <c r="B23" s="28">
        <v>9.1</v>
      </c>
      <c r="C23" s="32">
        <f t="shared" si="14"/>
        <v>5.13009</v>
      </c>
      <c r="D23" s="31">
        <f t="shared" si="12"/>
        <v>1615.98</v>
      </c>
      <c r="E23" s="31">
        <f t="shared" si="15"/>
        <v>15.4</v>
      </c>
      <c r="F23" s="31">
        <v>0</v>
      </c>
      <c r="G23" s="30">
        <f t="shared" si="13"/>
        <v>1631.38</v>
      </c>
      <c r="H23" s="28">
        <v>14.8</v>
      </c>
      <c r="I23" s="38">
        <f t="shared" si="6"/>
        <v>8.0943199999999997</v>
      </c>
      <c r="J23" s="31">
        <f t="shared" si="7"/>
        <v>2549.7200000000003</v>
      </c>
      <c r="K23" s="31">
        <f t="shared" si="10"/>
        <v>24.290000000000003</v>
      </c>
      <c r="L23" s="31">
        <v>0</v>
      </c>
      <c r="M23" s="40">
        <f t="shared" si="11"/>
        <v>2574.0100000000002</v>
      </c>
      <c r="N23" s="28">
        <v>18.100000000000001</v>
      </c>
      <c r="O23" s="32">
        <f t="shared" si="1"/>
        <v>9.7227499999999996</v>
      </c>
      <c r="P23" s="31">
        <f t="shared" si="2"/>
        <v>3062.67</v>
      </c>
      <c r="Q23" s="31">
        <f t="shared" si="8"/>
        <v>29.17</v>
      </c>
      <c r="R23" s="31">
        <v>0</v>
      </c>
      <c r="S23" s="30">
        <f t="shared" si="9"/>
        <v>3091.84</v>
      </c>
      <c r="T23" s="31">
        <v>22.6</v>
      </c>
      <c r="U23" s="38">
        <f t="shared" si="3"/>
        <v>11.83967</v>
      </c>
      <c r="V23" s="31">
        <f t="shared" si="0"/>
        <v>3729.5</v>
      </c>
      <c r="W23" s="31">
        <f t="shared" si="4"/>
        <v>35.519999999999996</v>
      </c>
      <c r="X23" s="31">
        <v>0</v>
      </c>
      <c r="Y23" s="30">
        <f t="shared" si="5"/>
        <v>3765.02</v>
      </c>
    </row>
    <row r="24" spans="1:25" x14ac:dyDescent="0.25">
      <c r="A24" s="28">
        <v>225</v>
      </c>
      <c r="B24" s="28">
        <v>10.3</v>
      </c>
      <c r="C24" s="32">
        <f t="shared" si="14"/>
        <v>6.5305100000000005</v>
      </c>
      <c r="D24" s="31">
        <f t="shared" si="12"/>
        <v>2057.1200000000003</v>
      </c>
      <c r="E24" s="31">
        <f t="shared" si="15"/>
        <v>19.600000000000001</v>
      </c>
      <c r="F24" s="31">
        <v>0</v>
      </c>
      <c r="G24" s="30">
        <f t="shared" si="13"/>
        <v>2076.7200000000003</v>
      </c>
      <c r="H24" s="28">
        <v>16.600000000000001</v>
      </c>
      <c r="I24" s="38">
        <f t="shared" si="6"/>
        <v>10.216059999999999</v>
      </c>
      <c r="J24" s="31">
        <f t="shared" si="7"/>
        <v>3218.0600000000004</v>
      </c>
      <c r="K24" s="31">
        <f t="shared" si="10"/>
        <v>30.650000000000002</v>
      </c>
      <c r="L24" s="31">
        <v>0</v>
      </c>
      <c r="M24" s="40">
        <f t="shared" si="11"/>
        <v>3248.7100000000005</v>
      </c>
      <c r="N24" s="28">
        <v>20.399999999999999</v>
      </c>
      <c r="O24" s="32">
        <f t="shared" si="1"/>
        <v>12.325749999999999</v>
      </c>
      <c r="P24" s="31">
        <f t="shared" si="2"/>
        <v>3882.6200000000003</v>
      </c>
      <c r="Q24" s="31">
        <f t="shared" si="8"/>
        <v>36.979999999999997</v>
      </c>
      <c r="R24" s="31">
        <v>0</v>
      </c>
      <c r="S24" s="30">
        <f t="shared" si="9"/>
        <v>3919.6000000000004</v>
      </c>
      <c r="T24" s="31">
        <v>25.4</v>
      </c>
      <c r="U24" s="38">
        <f t="shared" si="3"/>
        <v>14.971729999999999</v>
      </c>
      <c r="V24" s="31">
        <f t="shared" si="0"/>
        <v>4716.1000000000004</v>
      </c>
      <c r="W24" s="31">
        <f t="shared" si="4"/>
        <v>44.919999999999995</v>
      </c>
      <c r="X24" s="31">
        <v>0</v>
      </c>
      <c r="Y24" s="30">
        <f t="shared" si="5"/>
        <v>4761.0200000000004</v>
      </c>
    </row>
    <row r="25" spans="1:25" x14ac:dyDescent="0.25">
      <c r="A25" s="28">
        <v>250</v>
      </c>
      <c r="B25" s="28">
        <v>11.4</v>
      </c>
      <c r="C25" s="32">
        <f t="shared" si="14"/>
        <v>8.0325399999999991</v>
      </c>
      <c r="D25" s="31">
        <f t="shared" si="12"/>
        <v>2530.2600000000002</v>
      </c>
      <c r="E25" s="31">
        <f t="shared" si="15"/>
        <v>24.1</v>
      </c>
      <c r="F25" s="31">
        <v>0</v>
      </c>
      <c r="G25" s="30">
        <f t="shared" si="13"/>
        <v>2554.36</v>
      </c>
      <c r="H25" s="28">
        <v>18.399999999999999</v>
      </c>
      <c r="I25" s="38">
        <f t="shared" si="6"/>
        <v>12.58445</v>
      </c>
      <c r="J25" s="31">
        <f t="shared" si="7"/>
        <v>3964.11</v>
      </c>
      <c r="K25" s="31">
        <f t="shared" si="10"/>
        <v>37.76</v>
      </c>
      <c r="L25" s="31">
        <v>0</v>
      </c>
      <c r="M25" s="40">
        <f t="shared" si="11"/>
        <v>4001.8700000000003</v>
      </c>
      <c r="N25" s="28">
        <v>22.6</v>
      </c>
      <c r="O25" s="32">
        <f t="shared" si="1"/>
        <v>15.17667</v>
      </c>
      <c r="P25" s="31">
        <f t="shared" si="2"/>
        <v>4780.66</v>
      </c>
      <c r="Q25" s="31">
        <f t="shared" si="8"/>
        <v>45.54</v>
      </c>
      <c r="R25" s="31">
        <v>0</v>
      </c>
      <c r="S25" s="30">
        <f t="shared" si="9"/>
        <v>4826.2</v>
      </c>
      <c r="T25" s="31">
        <v>28.2</v>
      </c>
      <c r="U25" s="38">
        <f t="shared" si="3"/>
        <v>18.47091</v>
      </c>
      <c r="V25" s="31">
        <f t="shared" si="0"/>
        <v>5818.34</v>
      </c>
      <c r="W25" s="31">
        <f t="shared" si="4"/>
        <v>55.419999999999995</v>
      </c>
      <c r="X25" s="31">
        <v>0</v>
      </c>
      <c r="Y25" s="30">
        <f t="shared" si="5"/>
        <v>5873.76</v>
      </c>
    </row>
    <row r="26" spans="1:25" x14ac:dyDescent="0.25">
      <c r="A26" s="28">
        <v>280</v>
      </c>
      <c r="B26" s="28">
        <v>12.8</v>
      </c>
      <c r="C26" s="32">
        <f t="shared" si="14"/>
        <v>10.100059999999999</v>
      </c>
      <c r="D26" s="31">
        <f t="shared" si="12"/>
        <v>3181.5200000000004</v>
      </c>
      <c r="E26" s="31">
        <f t="shared" si="15"/>
        <v>30.310000000000002</v>
      </c>
      <c r="F26" s="31">
        <v>0</v>
      </c>
      <c r="G26" s="30">
        <f t="shared" si="13"/>
        <v>3211.8300000000004</v>
      </c>
      <c r="H26" s="28">
        <v>20.6</v>
      </c>
      <c r="I26" s="38">
        <f t="shared" si="6"/>
        <v>15.780290000000001</v>
      </c>
      <c r="J26" s="31">
        <f t="shared" si="7"/>
        <v>4970.8</v>
      </c>
      <c r="K26" s="31">
        <f t="shared" si="10"/>
        <v>47.35</v>
      </c>
      <c r="L26" s="31">
        <v>0</v>
      </c>
      <c r="M26" s="40">
        <f t="shared" si="11"/>
        <v>5018.1500000000005</v>
      </c>
      <c r="N26" s="28">
        <v>25.3</v>
      </c>
      <c r="O26" s="32">
        <f t="shared" si="1"/>
        <v>19.029490000000003</v>
      </c>
      <c r="P26" s="31">
        <f t="shared" si="2"/>
        <v>5994.29</v>
      </c>
      <c r="Q26" s="31">
        <f t="shared" si="8"/>
        <v>57.089999999999996</v>
      </c>
      <c r="R26" s="31">
        <v>0</v>
      </c>
      <c r="S26" s="30">
        <f t="shared" si="9"/>
        <v>6051.38</v>
      </c>
      <c r="T26" s="31">
        <v>31.6</v>
      </c>
      <c r="U26" s="38">
        <f t="shared" si="3"/>
        <v>23.180160000000001</v>
      </c>
      <c r="V26" s="31">
        <f t="shared" si="0"/>
        <v>7301.76</v>
      </c>
      <c r="W26" s="31">
        <f t="shared" si="4"/>
        <v>69.550000000000011</v>
      </c>
      <c r="X26" s="31">
        <v>0</v>
      </c>
      <c r="Y26" s="30">
        <f t="shared" si="5"/>
        <v>7371.31</v>
      </c>
    </row>
    <row r="27" spans="1:25" x14ac:dyDescent="0.25">
      <c r="A27" s="28">
        <v>315</v>
      </c>
      <c r="B27" s="28">
        <v>14.8</v>
      </c>
      <c r="C27" s="32">
        <f t="shared" si="14"/>
        <v>13.12049</v>
      </c>
      <c r="D27" s="31">
        <f t="shared" si="12"/>
        <v>4132.96</v>
      </c>
      <c r="E27" s="31">
        <f t="shared" si="15"/>
        <v>39.369999999999997</v>
      </c>
      <c r="F27" s="31">
        <v>0</v>
      </c>
      <c r="G27" s="30">
        <f t="shared" si="13"/>
        <v>4172.33</v>
      </c>
      <c r="H27" s="28">
        <v>23.2</v>
      </c>
      <c r="I27" s="38">
        <f t="shared" si="6"/>
        <v>19.991759999999999</v>
      </c>
      <c r="J27" s="31">
        <f t="shared" si="7"/>
        <v>6297.41</v>
      </c>
      <c r="K27" s="31">
        <f t="shared" si="10"/>
        <v>59.98</v>
      </c>
      <c r="L27" s="31">
        <v>0</v>
      </c>
      <c r="M27" s="40">
        <f t="shared" si="11"/>
        <v>6357.3899999999994</v>
      </c>
      <c r="N27" s="28">
        <v>28.5</v>
      </c>
      <c r="O27" s="32">
        <f t="shared" si="1"/>
        <v>24.112779999999997</v>
      </c>
      <c r="P27" s="31">
        <f t="shared" si="2"/>
        <v>7595.5300000000007</v>
      </c>
      <c r="Q27" s="31">
        <f t="shared" si="8"/>
        <v>72.34</v>
      </c>
      <c r="R27" s="31">
        <v>0</v>
      </c>
      <c r="S27" s="30">
        <f t="shared" si="9"/>
        <v>7667.8700000000008</v>
      </c>
      <c r="T27" s="31">
        <v>35.5</v>
      </c>
      <c r="U27" s="38">
        <f t="shared" si="3"/>
        <v>29.301369999999999</v>
      </c>
      <c r="V27" s="31">
        <f t="shared" si="0"/>
        <v>9229.94</v>
      </c>
      <c r="W27" s="31">
        <f t="shared" si="4"/>
        <v>87.910000000000011</v>
      </c>
      <c r="X27" s="31">
        <v>0</v>
      </c>
      <c r="Y27" s="30">
        <f t="shared" si="5"/>
        <v>9317.85</v>
      </c>
    </row>
    <row r="28" spans="1:25" hidden="1" x14ac:dyDescent="0.25">
      <c r="A28" s="28" t="s">
        <v>27</v>
      </c>
      <c r="B28" s="28"/>
      <c r="C28" s="28"/>
      <c r="D28" s="33" t="e">
        <f>ROUND((#REF!*#REF!),2)</f>
        <v>#REF!</v>
      </c>
      <c r="E28" s="33" t="e">
        <f t="shared" ref="E28:E29" si="16">ROUND(D28*0.03,2)</f>
        <v>#REF!</v>
      </c>
      <c r="F28" s="34">
        <v>0</v>
      </c>
      <c r="G28" s="33" t="e">
        <f t="shared" ref="G28:G29" si="17">D28+E28</f>
        <v>#REF!</v>
      </c>
      <c r="H28" s="33"/>
      <c r="I28" s="33"/>
      <c r="J28" s="34">
        <f t="shared" si="7"/>
        <v>0</v>
      </c>
      <c r="K28" s="33">
        <f t="shared" ref="K28:K29" si="18">ROUND(J28*0.035,2)</f>
        <v>0</v>
      </c>
      <c r="L28" s="33"/>
      <c r="M28" s="44">
        <f t="shared" ref="M28:M29" si="19">J28+K28</f>
        <v>0</v>
      </c>
      <c r="N28" s="33"/>
      <c r="O28" s="35">
        <v>32.774000000000001</v>
      </c>
      <c r="P28" s="33"/>
      <c r="Q28" s="34">
        <f t="shared" si="8"/>
        <v>98.33</v>
      </c>
      <c r="R28" s="33"/>
      <c r="S28" s="33"/>
      <c r="T28" s="33"/>
      <c r="U28" s="44"/>
      <c r="V28" s="33"/>
      <c r="W28" s="33"/>
      <c r="X28" s="33"/>
      <c r="Y28" s="33"/>
    </row>
    <row r="29" spans="1:25" hidden="1" x14ac:dyDescent="0.25">
      <c r="A29" s="28" t="s">
        <v>28</v>
      </c>
      <c r="B29" s="28"/>
      <c r="C29" s="28"/>
      <c r="D29" s="33" t="e">
        <f>ROUND((#REF!*#REF!),2)</f>
        <v>#REF!</v>
      </c>
      <c r="E29" s="33" t="e">
        <f t="shared" si="16"/>
        <v>#REF!</v>
      </c>
      <c r="F29" s="34">
        <v>0</v>
      </c>
      <c r="G29" s="33" t="e">
        <f t="shared" si="17"/>
        <v>#REF!</v>
      </c>
      <c r="H29" s="33"/>
      <c r="I29" s="33"/>
      <c r="J29" s="34">
        <f t="shared" si="7"/>
        <v>0</v>
      </c>
      <c r="K29" s="33">
        <f t="shared" si="18"/>
        <v>0</v>
      </c>
      <c r="L29" s="33"/>
      <c r="M29" s="44">
        <f t="shared" si="19"/>
        <v>0</v>
      </c>
      <c r="N29" s="33"/>
      <c r="O29" s="28" t="e">
        <f t="shared" ref="O29" si="20">(PI()*(A29-N29)*N29*$E$4)/1000</f>
        <v>#VALUE!</v>
      </c>
      <c r="P29" s="33"/>
      <c r="Q29" s="34" t="e">
        <f t="shared" si="8"/>
        <v>#VALUE!</v>
      </c>
      <c r="R29" s="33"/>
      <c r="S29" s="33"/>
      <c r="T29" s="33"/>
      <c r="U29" s="44"/>
      <c r="V29" s="33"/>
      <c r="W29" s="33"/>
      <c r="X29" s="33"/>
      <c r="Y29" s="33"/>
    </row>
    <row r="30" spans="1:25" x14ac:dyDescent="0.25">
      <c r="A30" s="24" t="s">
        <v>29</v>
      </c>
      <c r="B30" s="45" t="s">
        <v>30</v>
      </c>
      <c r="C30" s="45"/>
      <c r="D30" s="45"/>
      <c r="E30" s="45"/>
      <c r="F30" s="45"/>
      <c r="G30" s="45"/>
      <c r="H30" s="46" t="s">
        <v>31</v>
      </c>
      <c r="I30" s="46"/>
      <c r="J30" s="46"/>
      <c r="K30" s="46"/>
      <c r="L30" s="46"/>
      <c r="M30" s="46"/>
      <c r="N30" s="46" t="s">
        <v>32</v>
      </c>
      <c r="O30" s="46"/>
      <c r="P30" s="46"/>
      <c r="Q30" s="46"/>
      <c r="R30" s="46"/>
      <c r="S30" s="46"/>
      <c r="T30" s="46" t="s">
        <v>33</v>
      </c>
      <c r="U30" s="46"/>
      <c r="V30" s="46"/>
      <c r="W30" s="46"/>
      <c r="X30" s="46"/>
      <c r="Y30" s="46"/>
    </row>
  </sheetData>
  <mergeCells count="13">
    <mergeCell ref="B30:G30"/>
    <mergeCell ref="H30:M30"/>
    <mergeCell ref="N30:S30"/>
    <mergeCell ref="T30:Y30"/>
    <mergeCell ref="A3:Y3"/>
    <mergeCell ref="O4:P4"/>
    <mergeCell ref="U4:V4"/>
    <mergeCell ref="O5:P5"/>
    <mergeCell ref="A6:A7"/>
    <mergeCell ref="B6:G6"/>
    <mergeCell ref="H6:M6"/>
    <mergeCell ref="N6:S6"/>
    <mergeCell ref="T6:Y6"/>
  </mergeCells>
  <printOptions horizontalCentered="1"/>
  <pageMargins left="0.2" right="0.2" top="0.75" bottom="0.75" header="0.3" footer="0.3"/>
  <pageSetup paperSize="9" scale="69"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PE 100 HDPE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cp:lastPrinted>2020-09-12T08:37:53Z</cp:lastPrinted>
  <dcterms:created xsi:type="dcterms:W3CDTF">2019-11-03T07:36:10Z</dcterms:created>
  <dcterms:modified xsi:type="dcterms:W3CDTF">2026-07-21T07:05:17Z</dcterms:modified>
</cp:coreProperties>
</file>