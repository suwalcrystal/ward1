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82_2083\2083_2084\"/>
    </mc:Choice>
  </mc:AlternateContent>
  <xr:revisionPtr revIDLastSave="0" documentId="13_ncr:1_{C3FA106A-8DAA-4ACA-87A2-43801360FD0A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ESTIMATE" sheetId="25" state="hidden" r:id="rId1"/>
    <sheet name="WCR" sheetId="27" state="hidden" r:id="rId2"/>
    <sheet name="me" sheetId="29" r:id="rId3"/>
    <sheet name="Sheet1" sheetId="30" r:id="rId4"/>
  </sheets>
  <externalReferences>
    <externalReference r:id="rId5"/>
    <externalReference r:id="rId6"/>
  </externalReferences>
  <definedNames>
    <definedName name="_xlnm.Print_Area" localSheetId="0">ESTIMATE!$A$1:$L$71</definedName>
    <definedName name="_xlnm.Print_Area" localSheetId="2">me!$A$1:$L$150</definedName>
    <definedName name="_xlnm.Print_Titles" localSheetId="0">ESTIMATE!$1:$8</definedName>
    <definedName name="_xlnm.Print_Titles" localSheetId="2">me!$1:$8</definedName>
    <definedName name="_xlnm.Print_Titles" localSheetId="1">WCR!$1:$11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1" i="29" l="1"/>
  <c r="K100" i="29"/>
  <c r="K99" i="29"/>
  <c r="H106" i="29"/>
  <c r="H108" i="29"/>
  <c r="H110" i="29"/>
  <c r="H112" i="29"/>
  <c r="H114" i="29"/>
  <c r="H119" i="29"/>
  <c r="H121" i="29"/>
  <c r="H123" i="29"/>
  <c r="H125" i="29"/>
  <c r="H127" i="29"/>
  <c r="H129" i="29"/>
  <c r="H133" i="29"/>
  <c r="H104" i="29"/>
  <c r="E134" i="29"/>
  <c r="H134" i="29" s="1"/>
  <c r="E132" i="29"/>
  <c r="H132" i="29" s="1"/>
  <c r="E131" i="29"/>
  <c r="H131" i="29" s="1"/>
  <c r="E130" i="29"/>
  <c r="H130" i="29" s="1"/>
  <c r="E128" i="29"/>
  <c r="H128" i="29" s="1"/>
  <c r="E126" i="29"/>
  <c r="H126" i="29" s="1"/>
  <c r="E124" i="29"/>
  <c r="H124" i="29" s="1"/>
  <c r="E122" i="29"/>
  <c r="H122" i="29" s="1"/>
  <c r="E118" i="29"/>
  <c r="H118" i="29" s="1"/>
  <c r="E117" i="29"/>
  <c r="H117" i="29" s="1"/>
  <c r="E120" i="29"/>
  <c r="H120" i="29" s="1"/>
  <c r="E116" i="29"/>
  <c r="H116" i="29" s="1"/>
  <c r="E115" i="29"/>
  <c r="H115" i="29" s="1"/>
  <c r="E113" i="29"/>
  <c r="H113" i="29" s="1"/>
  <c r="E111" i="29"/>
  <c r="H111" i="29" s="1"/>
  <c r="E109" i="29"/>
  <c r="H109" i="29" s="1"/>
  <c r="E107" i="29"/>
  <c r="H107" i="29" s="1"/>
  <c r="E105" i="29"/>
  <c r="H105" i="29" s="1"/>
  <c r="C15" i="29"/>
  <c r="H135" i="29" l="1"/>
  <c r="K139" i="29"/>
  <c r="E97" i="29"/>
  <c r="F97" i="29"/>
  <c r="G96" i="29"/>
  <c r="E96" i="29"/>
  <c r="H96" i="29" s="1"/>
  <c r="D45" i="29"/>
  <c r="D44" i="29"/>
  <c r="G44" i="29"/>
  <c r="G45" i="29"/>
  <c r="H54" i="29"/>
  <c r="G63" i="29"/>
  <c r="H63" i="29" s="1"/>
  <c r="G73" i="29"/>
  <c r="G72" i="29"/>
  <c r="F79" i="29"/>
  <c r="F87" i="29" s="1"/>
  <c r="E79" i="29"/>
  <c r="E87" i="29" s="1"/>
  <c r="E62" i="29"/>
  <c r="G62" i="29"/>
  <c r="F62" i="29"/>
  <c r="G61" i="29"/>
  <c r="G60" i="29"/>
  <c r="D46" i="29"/>
  <c r="E46" i="29"/>
  <c r="E39" i="29"/>
  <c r="E38" i="29"/>
  <c r="E37" i="29"/>
  <c r="E36" i="29"/>
  <c r="K136" i="29" l="1"/>
  <c r="K137" i="29"/>
  <c r="K135" i="29"/>
  <c r="H97" i="29"/>
  <c r="H98" i="29" s="1"/>
  <c r="H44" i="29"/>
  <c r="H45" i="29"/>
  <c r="H87" i="29"/>
  <c r="C85" i="29"/>
  <c r="E72" i="29"/>
  <c r="E85" i="29" s="1"/>
  <c r="E73" i="29"/>
  <c r="E86" i="29" s="1"/>
  <c r="K98" i="29" l="1"/>
  <c r="H72" i="29"/>
  <c r="H79" i="29"/>
  <c r="K79" i="29" l="1"/>
  <c r="K82" i="29"/>
  <c r="K80" i="29"/>
  <c r="K81" i="29"/>
  <c r="G46" i="29" l="1"/>
  <c r="E61" i="29"/>
  <c r="G59" i="29"/>
  <c r="F53" i="29"/>
  <c r="E53" i="29"/>
  <c r="G52" i="29"/>
  <c r="G51" i="29"/>
  <c r="E52" i="29"/>
  <c r="E51" i="29"/>
  <c r="J47" i="29"/>
  <c r="G42" i="29"/>
  <c r="G43" i="29"/>
  <c r="E43" i="29"/>
  <c r="D42" i="29" s="1"/>
  <c r="E42" i="29"/>
  <c r="D43" i="29" s="1"/>
  <c r="G39" i="29"/>
  <c r="E40" i="29"/>
  <c r="G38" i="29"/>
  <c r="G41" i="29"/>
  <c r="G40" i="29"/>
  <c r="E41" i="29"/>
  <c r="G36" i="29"/>
  <c r="C29" i="29"/>
  <c r="D7" i="30"/>
  <c r="G7" i="30" s="1"/>
  <c r="D6" i="30"/>
  <c r="G6" i="30" s="1"/>
  <c r="G4" i="30"/>
  <c r="G5" i="30"/>
  <c r="H53" i="29" l="1"/>
  <c r="H51" i="29"/>
  <c r="H52" i="29"/>
  <c r="H62" i="29"/>
  <c r="H46" i="29"/>
  <c r="H42" i="29"/>
  <c r="H43" i="29"/>
  <c r="H40" i="29"/>
  <c r="H41" i="29"/>
  <c r="H39" i="29"/>
  <c r="H38" i="29"/>
  <c r="H7" i="30"/>
  <c r="H5" i="30"/>
  <c r="H8" i="30" s="1"/>
  <c r="J26" i="29" s="1"/>
  <c r="D25" i="29"/>
  <c r="D29" i="29" s="1"/>
  <c r="E17" i="29"/>
  <c r="E25" i="29" s="1"/>
  <c r="E21" i="29"/>
  <c r="D21" i="29"/>
  <c r="H55" i="29" l="1"/>
  <c r="K55" i="29" s="1"/>
  <c r="E29" i="29"/>
  <c r="E59" i="29"/>
  <c r="E60" i="29" s="1"/>
  <c r="H9" i="30"/>
  <c r="H10" i="30" s="1"/>
  <c r="B10" i="30" s="1"/>
  <c r="D10" i="30" s="1"/>
  <c r="H17" i="29"/>
  <c r="K56" i="29" l="1"/>
  <c r="F11" i="29"/>
  <c r="D150" i="29"/>
  <c r="D149" i="29"/>
  <c r="D147" i="29"/>
  <c r="K141" i="29"/>
  <c r="H92" i="29"/>
  <c r="K92" i="29" s="1"/>
  <c r="K93" i="29" s="1"/>
  <c r="D86" i="29"/>
  <c r="D85" i="29"/>
  <c r="G86" i="29"/>
  <c r="G85" i="29"/>
  <c r="G37" i="29"/>
  <c r="H37" i="29" s="1"/>
  <c r="E15" i="29"/>
  <c r="H15" i="29" s="1"/>
  <c r="H85" i="29" l="1"/>
  <c r="H86" i="29"/>
  <c r="F21" i="29"/>
  <c r="E16" i="29"/>
  <c r="H16" i="29" s="1"/>
  <c r="H18" i="29" s="1"/>
  <c r="K18" i="29" s="1"/>
  <c r="H11" i="29"/>
  <c r="H12" i="29" s="1"/>
  <c r="K12" i="29" s="1"/>
  <c r="J67" i="25"/>
  <c r="F63" i="25"/>
  <c r="F65" i="25" s="1"/>
  <c r="E63" i="25"/>
  <c r="E65" i="25" s="1"/>
  <c r="E67" i="25" s="1"/>
  <c r="H67" i="25" s="1"/>
  <c r="K68" i="25" s="1"/>
  <c r="J63" i="25"/>
  <c r="H88" i="29" l="1"/>
  <c r="K89" i="29" s="1"/>
  <c r="H21" i="29"/>
  <c r="H22" i="29" s="1"/>
  <c r="K22" i="29" s="1"/>
  <c r="F25" i="29"/>
  <c r="F59" i="29" s="1"/>
  <c r="H59" i="29" s="1"/>
  <c r="K67" i="25"/>
  <c r="H65" i="25"/>
  <c r="H63" i="25"/>
  <c r="K63" i="25" s="1"/>
  <c r="H25" i="29" l="1"/>
  <c r="H26" i="29" s="1"/>
  <c r="K26" i="29" s="1"/>
  <c r="F29" i="29"/>
  <c r="H29" i="29" s="1"/>
  <c r="H30" i="29" s="1"/>
  <c r="H36" i="29"/>
  <c r="H47" i="29" s="1"/>
  <c r="K47" i="29" s="1"/>
  <c r="H73" i="29"/>
  <c r="H74" i="29" s="1"/>
  <c r="K74" i="29" s="1"/>
  <c r="H60" i="29"/>
  <c r="K65" i="25"/>
  <c r="K66" i="25"/>
  <c r="K31" i="29" l="1"/>
  <c r="K32" i="29"/>
  <c r="K30" i="29"/>
  <c r="K33" i="29"/>
  <c r="K76" i="29"/>
  <c r="K75" i="29"/>
  <c r="K48" i="29"/>
  <c r="H61" i="29"/>
  <c r="H64" i="29" s="1"/>
  <c r="K64" i="29" s="1"/>
  <c r="N68" i="25"/>
  <c r="N69" i="25" s="1"/>
  <c r="K68" i="29" l="1"/>
  <c r="K67" i="29"/>
  <c r="K66" i="29"/>
  <c r="K65" i="29"/>
  <c r="K69" i="29"/>
  <c r="K88" i="29"/>
  <c r="H10" i="25"/>
  <c r="J10" i="25"/>
  <c r="E18" i="25"/>
  <c r="H18" i="25" s="1"/>
  <c r="K57" i="25"/>
  <c r="K58" i="25" s="1"/>
  <c r="J26" i="25"/>
  <c r="G25" i="25"/>
  <c r="G24" i="25"/>
  <c r="D48" i="25"/>
  <c r="D49" i="25"/>
  <c r="D47" i="25"/>
  <c r="J50" i="25"/>
  <c r="J43" i="25"/>
  <c r="D42" i="25"/>
  <c r="D41" i="25"/>
  <c r="J36" i="25"/>
  <c r="G30" i="25"/>
  <c r="G49" i="25" s="1"/>
  <c r="G42" i="25" s="1"/>
  <c r="G29" i="25"/>
  <c r="G48" i="25" s="1"/>
  <c r="G41" i="25" s="1"/>
  <c r="J31" i="25"/>
  <c r="J19" i="25"/>
  <c r="J14" i="25"/>
  <c r="E13" i="25"/>
  <c r="H13" i="25" s="1"/>
  <c r="E12" i="25"/>
  <c r="H12" i="25" s="1"/>
  <c r="K10" i="25" l="1"/>
  <c r="E16" i="25"/>
  <c r="E17" i="25"/>
  <c r="E25" i="25" s="1"/>
  <c r="D24" i="25" s="1"/>
  <c r="H14" i="25"/>
  <c r="K14" i="25" s="1"/>
  <c r="E41" i="25" l="1"/>
  <c r="H41" i="25" s="1"/>
  <c r="E24" i="25"/>
  <c r="D25" i="25" s="1"/>
  <c r="H25" i="25" s="1"/>
  <c r="E30" i="25"/>
  <c r="E42" i="25"/>
  <c r="H42" i="25" s="1"/>
  <c r="E28" i="25"/>
  <c r="E29" i="25"/>
  <c r="E48" i="25" s="1"/>
  <c r="H48" i="25" s="1"/>
  <c r="H17" i="25"/>
  <c r="F28" i="25"/>
  <c r="H43" i="25" l="1"/>
  <c r="K45" i="25" s="1"/>
  <c r="K44" i="25"/>
  <c r="H24" i="25"/>
  <c r="H26" i="25" s="1"/>
  <c r="K26" i="25" s="1"/>
  <c r="K27" i="25" s="1"/>
  <c r="H30" i="25"/>
  <c r="E49" i="25"/>
  <c r="H49" i="25" s="1"/>
  <c r="F36" i="25"/>
  <c r="G47" i="25"/>
  <c r="E36" i="25"/>
  <c r="E47" i="25"/>
  <c r="H47" i="25" l="1"/>
  <c r="H50" i="25" s="1"/>
  <c r="K50" i="25" l="1"/>
  <c r="K51" i="25"/>
  <c r="B8" i="27" l="1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H50" i="27"/>
  <c r="F41" i="27"/>
  <c r="F19" i="27"/>
  <c r="H14" i="27" l="1"/>
  <c r="F14" i="27"/>
  <c r="H39" i="27"/>
  <c r="F39" i="27"/>
  <c r="H48" i="27"/>
  <c r="H47" i="27"/>
  <c r="H12" i="27"/>
  <c r="F12" i="27"/>
  <c r="F32" i="27"/>
  <c r="H44" i="27"/>
  <c r="F44" i="27"/>
  <c r="F27" i="27"/>
  <c r="H45" i="27"/>
  <c r="H20" i="27"/>
  <c r="H19" i="27"/>
  <c r="H41" i="27"/>
  <c r="H42" i="27"/>
  <c r="H29" i="27"/>
  <c r="F16" i="27"/>
  <c r="K79" i="25"/>
  <c r="K78" i="25"/>
  <c r="K76" i="25"/>
  <c r="K70" i="25"/>
  <c r="H54" i="25"/>
  <c r="H36" i="25"/>
  <c r="H29" i="25"/>
  <c r="K36" i="25" l="1"/>
  <c r="K37" i="25"/>
  <c r="K39" i="25"/>
  <c r="K38" i="25"/>
  <c r="C19" i="27"/>
  <c r="I19" i="27" s="1"/>
  <c r="E42" i="27"/>
  <c r="C41" i="27"/>
  <c r="I41" i="27" s="1"/>
  <c r="H30" i="27"/>
  <c r="H27" i="27"/>
  <c r="E14" i="27"/>
  <c r="C14" i="27"/>
  <c r="I14" i="27" s="1"/>
  <c r="H28" i="27"/>
  <c r="K54" i="25"/>
  <c r="C39" i="27"/>
  <c r="I39" i="27" s="1"/>
  <c r="E12" i="27"/>
  <c r="C12" i="27"/>
  <c r="I12" i="27" s="1"/>
  <c r="E45" i="27"/>
  <c r="C44" i="27"/>
  <c r="I44" i="27" s="1"/>
  <c r="E48" i="27"/>
  <c r="E47" i="27"/>
  <c r="H37" i="27"/>
  <c r="F35" i="27"/>
  <c r="H24" i="27"/>
  <c r="F22" i="27"/>
  <c r="H23" i="27"/>
  <c r="H25" i="27"/>
  <c r="H22" i="27"/>
  <c r="H35" i="27"/>
  <c r="H36" i="27"/>
  <c r="H17" i="27"/>
  <c r="H16" i="27"/>
  <c r="H32" i="27"/>
  <c r="H33" i="27"/>
  <c r="E44" i="27"/>
  <c r="E16" i="27"/>
  <c r="H28" i="25"/>
  <c r="H31" i="25" s="1"/>
  <c r="E37" i="27"/>
  <c r="C32" i="27"/>
  <c r="I32" i="27" s="1"/>
  <c r="E19" i="27"/>
  <c r="H16" i="25"/>
  <c r="H19" i="25" s="1"/>
  <c r="E41" i="27"/>
  <c r="E39" i="27" l="1"/>
  <c r="K55" i="25"/>
  <c r="K33" i="25"/>
  <c r="E29" i="27" s="1"/>
  <c r="K32" i="25"/>
  <c r="E28" i="27" s="1"/>
  <c r="K34" i="25"/>
  <c r="E30" i="27" s="1"/>
  <c r="E20" i="27"/>
  <c r="E36" i="27"/>
  <c r="C35" i="27"/>
  <c r="I35" i="27" s="1"/>
  <c r="C27" i="27"/>
  <c r="I27" i="27" s="1"/>
  <c r="E17" i="27"/>
  <c r="C16" i="27"/>
  <c r="I16" i="27" s="1"/>
  <c r="H51" i="27"/>
  <c r="I6" i="27" s="1"/>
  <c r="K31" i="25"/>
  <c r="E27" i="27" s="1"/>
  <c r="K43" i="25"/>
  <c r="E35" i="27" s="1"/>
  <c r="E33" i="27"/>
  <c r="E32" i="27"/>
  <c r="C22" i="27" l="1"/>
  <c r="I22" i="27" s="1"/>
  <c r="K21" i="25"/>
  <c r="E24" i="27" s="1"/>
  <c r="K20" i="25"/>
  <c r="K22" i="25"/>
  <c r="E25" i="27" s="1"/>
  <c r="K19" i="25"/>
  <c r="K71" i="25" l="1"/>
  <c r="K74" i="25" s="1"/>
  <c r="K77" i="25" s="1"/>
  <c r="L77" i="25" s="1"/>
  <c r="E22" i="27"/>
  <c r="E51" i="27" s="1"/>
  <c r="C6" i="27" s="1"/>
  <c r="E23" i="27"/>
  <c r="L76" i="25" l="1"/>
  <c r="K142" i="29" l="1"/>
  <c r="D145" i="29" s="1"/>
  <c r="F147" i="29" l="1"/>
  <c r="D148" i="29"/>
  <c r="F148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11" authorId="0" shapeId="0" xr:uid="{00000000-0006-0000-0200-000001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G11" authorId="0" shapeId="0" xr:uid="{00000000-0006-0000-0200-000002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<sst xmlns="http://schemas.openxmlformats.org/spreadsheetml/2006/main" count="265" uniqueCount="164">
  <si>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</si>
  <si>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</si>
  <si>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</si>
  <si>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</si>
  <si>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</si>
  <si>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</si>
  <si>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</si>
  <si>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</si>
  <si>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</si>
  <si>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</si>
  <si>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</si>
  <si>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</si>
  <si>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</si>
  <si>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</si>
  <si>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</si>
  <si>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</si>
  <si>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</si>
  <si>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</si>
  <si>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</si>
  <si>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</si>
  <si>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</si>
  <si>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</si>
  <si>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</si>
  <si>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</si>
  <si>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</si>
  <si>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</si>
  <si>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</si>
  <si>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 xml:space="preserve">Project:- </t>
  </si>
  <si>
    <t>Location:- Shankharapur Municipality- 1</t>
  </si>
  <si>
    <t>vat on cement</t>
  </si>
  <si>
    <t xml:space="preserve">vat on sand </t>
  </si>
  <si>
    <t>vat on aggregate</t>
  </si>
  <si>
    <t xml:space="preserve"> </t>
  </si>
  <si>
    <t>Information Board</t>
  </si>
  <si>
    <t>no.</t>
  </si>
  <si>
    <t>cu.m.</t>
  </si>
  <si>
    <t>stone soling</t>
  </si>
  <si>
    <t>vat on stone</t>
  </si>
  <si>
    <t>vat on brick</t>
  </si>
  <si>
    <t>plastering work</t>
  </si>
  <si>
    <t>sq.m.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</si>
  <si>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</si>
  <si>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</si>
  <si>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</si>
  <si>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</si>
  <si>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Iron frame for barbed wire</t>
  </si>
  <si>
    <t xml:space="preserve">Barbed wire </t>
  </si>
  <si>
    <t>Roof top PVC Water Tank</t>
  </si>
  <si>
    <t>vat on pvc water tank</t>
  </si>
  <si>
    <t xml:space="preserve">Brick  Masonry work in 1:6 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</si>
  <si>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</si>
  <si>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</si>
  <si>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</si>
  <si>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</si>
  <si>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</si>
  <si>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</si>
  <si>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</si>
  <si>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</si>
  <si>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</si>
  <si>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</si>
  <si>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</si>
  <si>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</si>
  <si>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</si>
  <si>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</si>
  <si>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</si>
  <si>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</si>
  <si>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</si>
  <si>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</si>
  <si>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Date:2079/12/21</t>
  </si>
  <si>
    <t>F.Y.:-2080/081</t>
  </si>
  <si>
    <t>Date: 2080/05/21</t>
  </si>
  <si>
    <t xml:space="preserve">Amount </t>
  </si>
  <si>
    <t>Percent</t>
  </si>
  <si>
    <t>cf/=l;=l;= jf cf/=lj=l;= sfd eTsfO{ !) dL= k/ x6fpg] sfd</t>
  </si>
  <si>
    <t>l;d]G6 jf jh| Knfi6/ eTsfO{ !) dL= k/ x6fpg] sfd</t>
  </si>
  <si>
    <t>e'O{+tNnfdf lrDgL e§fsf] O{+6fsf] uf/f] l;d]G6 d;nf -!M$_ df</t>
  </si>
  <si>
    <r>
      <t>;'k/ :6«Sr/, 8]s :n]a ljdx?df l;d]G6 s+lqm6 ug]{ sfd -!M!</t>
    </r>
    <r>
      <rPr>
        <sz val="15"/>
        <rFont val="Arial"/>
        <family val="2"/>
      </rPr>
      <t>.</t>
    </r>
    <r>
      <rPr>
        <sz val="15"/>
        <rFont val="Preeti"/>
      </rPr>
      <t>%M#_</t>
    </r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</si>
  <si>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</si>
  <si>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</si>
  <si>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</si>
  <si>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</si>
  <si>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</si>
  <si>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vat on machine</t>
  </si>
  <si>
    <t>page 175</t>
  </si>
  <si>
    <t>1 HP water pump (mono block</t>
  </si>
  <si>
    <t xml:space="preserve">    </t>
  </si>
  <si>
    <t>page 196</t>
  </si>
  <si>
    <t>square frame medium duty 24"X24</t>
  </si>
  <si>
    <t>vat for material</t>
  </si>
  <si>
    <t>Information Board  and photographs</t>
  </si>
  <si>
    <t>sq.m</t>
  </si>
  <si>
    <t>m</t>
  </si>
  <si>
    <r>
      <t>5fgfdf</t>
    </r>
    <r>
      <rPr>
        <sz val="9"/>
        <rFont val="Preeti"/>
      </rPr>
      <t xml:space="preserve"> </t>
    </r>
    <r>
      <rPr>
        <sz val="9"/>
        <rFont val="Arial"/>
        <family val="2"/>
      </rPr>
      <t xml:space="preserve">Ridge cover UPVC PMMA(3MMTHICK) </t>
    </r>
    <r>
      <rPr>
        <b/>
        <sz val="9"/>
        <rFont val="Arial"/>
        <family val="2"/>
      </rPr>
      <t>Regular</t>
    </r>
    <r>
      <rPr>
        <sz val="14"/>
        <rFont val="Preeti"/>
      </rPr>
      <t xml:space="preserve"> nufpg] sfd lSnk tyf k]r cflb ;d]t k'/f sfo{ ug]{ .</t>
    </r>
  </si>
  <si>
    <t>gfªn]ef/] :jf:yo rf}sL 5fgf tyf kfgL 6\ofÍL dd{t</t>
  </si>
  <si>
    <t>A.</t>
  </si>
  <si>
    <t>kfgL 6\ofÍL dd{t</t>
  </si>
  <si>
    <t>5fgf dd{t</t>
  </si>
  <si>
    <t>B.</t>
  </si>
  <si>
    <t>h:tfkftfsf] 5fgf eTsfO{ ;fdfg ;'/lIft /fVg] sfd</t>
  </si>
  <si>
    <r>
      <t xml:space="preserve">dfn;fdfg pknAw u/L k'/fgf] </t>
    </r>
    <r>
      <rPr>
        <sz val="9"/>
        <rFont val="Arial"/>
        <family val="2"/>
      </rPr>
      <t xml:space="preserve">UPVC sheet </t>
    </r>
    <r>
      <rPr>
        <sz val="14"/>
        <rFont val="Preeti"/>
      </rPr>
      <t>5fgf 5fpg] sfd .</t>
    </r>
  </si>
  <si>
    <t>Date: 2081/02/21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</si>
  <si>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</si>
  <si>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</si>
  <si>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</si>
  <si>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</si>
  <si>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</si>
  <si>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</si>
  <si>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</si>
  <si>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</si>
  <si>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</si>
  <si>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</si>
  <si>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</si>
  <si>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</si>
  <si>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</si>
  <si>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</si>
  <si>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</si>
  <si>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</si>
  <si>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</si>
  <si>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</si>
  <si>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</si>
  <si>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</si>
  <si>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</si>
  <si>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</si>
  <si>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</si>
  <si>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</si>
  <si>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</si>
  <si>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</si>
  <si>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</si>
  <si>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</si>
  <si>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</si>
  <si>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</si>
  <si>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</si>
  <si>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</si>
  <si>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</si>
  <si>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</si>
  <si>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</si>
  <si>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</si>
  <si>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</si>
  <si>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</si>
  <si>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</si>
  <si>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</si>
  <si>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</si>
  <si>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</si>
  <si>
    <t>vat on diesel</t>
  </si>
  <si>
    <t>vat on petrol</t>
  </si>
  <si>
    <t>-deduction for opening</t>
  </si>
  <si>
    <t>-at water tank</t>
  </si>
  <si>
    <t>-At shear wall</t>
  </si>
  <si>
    <t>-at floor</t>
  </si>
  <si>
    <t>-!M@ efudf jf6/ k|'km sDkfp08 ld;fO{ 8]Dk k|'lkm+Ë ug</t>
  </si>
  <si>
    <t>Provisional sum for unforseen works</t>
  </si>
  <si>
    <t>PS</t>
  </si>
  <si>
    <t>Date: 2082/08/19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</si>
  <si>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gfªn]ef/] :jf:yo rf}sL kfgL 6\ofÍL dd{t tyf cGo lalaw dd{t</t>
    </r>
  </si>
  <si>
    <t>Remark</t>
  </si>
  <si>
    <t>-water tank</t>
  </si>
  <si>
    <t>-Along long length</t>
  </si>
  <si>
    <t>-binder</t>
  </si>
  <si>
    <t xml:space="preserve"> Ps sf]6 k|fO{d/ ;lxt b'O{ sf]6 j]b/sf]6 k]G6 ug]{ sfd</t>
  </si>
  <si>
    <t>-ward compound</t>
  </si>
  <si>
    <t>vat on aster</t>
  </si>
  <si>
    <t>vat on weather coat</t>
  </si>
  <si>
    <t>vat on sand</t>
  </si>
  <si>
    <t>vat on water-proofing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</si>
</sst>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0.0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5"/>
      <name val="Preeti"/>
    </font>
    <font>
      <sz val="15"/>
      <name val="Arial"/>
      <family val="2"/>
    </font>
    <font>
      <sz val="8"/>
      <name val="Calibri"/>
      <family val="2"/>
      <scheme val="minor"/>
    </font>
    <font>
      <sz val="14"/>
      <name val="Preeti"/>
    </font>
    <font>
      <sz val="9"/>
      <name val="Arial"/>
      <family val="2"/>
    </font>
    <font>
      <sz val="9"/>
      <name val="Preeti"/>
    </font>
    <font>
      <b/>
      <sz val="9"/>
      <name val="Arial"/>
      <family val="2"/>
    </font>
    <font>
      <b/>
      <sz val="14.5"/>
      <color theme="1"/>
      <name val="Preeti"/>
    </font>
    <font>
      <b/>
      <sz val="14.5"/>
      <name val="Preeti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</font>
    <font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759">
    <xf numFmtId="0" fontId="0" fillId="0" borderId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6" fillId="0" borderId="0"/>
    <xf numFmtId="0" fontId="55" fillId="0" borderId="0"/>
    <xf numFmtId="168" fontId="57" fillId="0" borderId="0"/>
    <xf numFmtId="179" fontId="2" fillId="0" borderId="0" applyFont="0" applyFill="0" applyBorder="0" applyAlignment="0" applyProtection="0"/>
    <xf numFmtId="165" fontId="57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82">
    <xf numFmtId="0" fontId="0" fillId="0" borderId="0" xfId="0"/>
    <xf numFmtId="0" fontId="51" fillId="0" borderId="0" xfId="0" applyFont="1"/>
    <xf numFmtId="0" fontId="49" fillId="0" borderId="0" xfId="0" applyFont="1"/>
    <xf numFmtId="43" fontId="51" fillId="0" borderId="0" xfId="1" applyFont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center"/>
    </xf>
    <xf numFmtId="43" fontId="49" fillId="0" borderId="0" xfId="1" applyFont="1"/>
    <xf numFmtId="0" fontId="51" fillId="0" borderId="0" xfId="0" applyFont="1" applyAlignment="1">
      <alignment wrapText="1"/>
    </xf>
    <xf numFmtId="0" fontId="49" fillId="0" borderId="0" xfId="0" applyFont="1" applyAlignment="1">
      <alignment horizontal="left" vertical="top" wrapText="1"/>
    </xf>
    <xf numFmtId="0" fontId="49" fillId="0" borderId="0" xfId="0" applyFont="1" applyAlignment="1">
      <alignment horizontal="center"/>
    </xf>
    <xf numFmtId="43" fontId="49" fillId="0" borderId="0" xfId="1" applyFont="1" applyBorder="1"/>
    <xf numFmtId="0" fontId="49" fillId="0" borderId="20" xfId="0" applyFont="1" applyBorder="1" applyAlignment="1">
      <alignment vertical="center"/>
    </xf>
    <xf numFmtId="0" fontId="49" fillId="0" borderId="21" xfId="0" applyFont="1" applyBorder="1" applyAlignment="1">
      <alignment horizontal="left" vertical="top" wrapText="1"/>
    </xf>
    <xf numFmtId="43" fontId="49" fillId="0" borderId="21" xfId="1" applyFont="1" applyBorder="1"/>
    <xf numFmtId="0" fontId="49" fillId="0" borderId="21" xfId="0" applyFont="1" applyBorder="1"/>
    <xf numFmtId="0" fontId="49" fillId="0" borderId="22" xfId="0" applyFont="1" applyBorder="1" applyAlignment="1">
      <alignment wrapText="1"/>
    </xf>
    <xf numFmtId="0" fontId="49" fillId="0" borderId="21" xfId="0" applyFont="1" applyBorder="1" applyAlignment="1">
      <alignment horizontal="center"/>
    </xf>
    <xf numFmtId="0" fontId="51" fillId="2" borderId="23" xfId="0" applyFont="1" applyFill="1" applyBorder="1" applyAlignment="1">
      <alignment horizontal="left" vertical="top" wrapText="1"/>
    </xf>
    <xf numFmtId="0" fontId="51" fillId="2" borderId="23" xfId="0" applyFont="1" applyFill="1" applyBorder="1" applyAlignment="1">
      <alignment horizontal="right" vertical="top" wrapText="1"/>
    </xf>
    <xf numFmtId="0" fontId="51" fillId="0" borderId="23" xfId="0" applyFont="1" applyBorder="1"/>
    <xf numFmtId="0" fontId="52" fillId="0" borderId="23" xfId="0" applyFont="1" applyBorder="1" applyAlignment="1">
      <alignment horizontal="justify" vertical="justify"/>
    </xf>
    <xf numFmtId="0" fontId="51" fillId="2" borderId="29" xfId="0" applyFont="1" applyFill="1" applyBorder="1" applyAlignment="1">
      <alignment vertical="center"/>
    </xf>
    <xf numFmtId="0" fontId="51" fillId="2" borderId="31" xfId="0" applyFont="1" applyFill="1" applyBorder="1" applyAlignment="1">
      <alignment wrapText="1"/>
    </xf>
    <xf numFmtId="2" fontId="51" fillId="2" borderId="23" xfId="0" applyNumberFormat="1" applyFont="1" applyFill="1" applyBorder="1" applyAlignment="1">
      <alignment horizontal="right"/>
    </xf>
    <xf numFmtId="0" fontId="52" fillId="0" borderId="28" xfId="0" applyFont="1" applyBorder="1"/>
    <xf numFmtId="0" fontId="50" fillId="2" borderId="30" xfId="0" applyFont="1" applyFill="1" applyBorder="1" applyAlignment="1">
      <alignment horizontal="left" vertical="top" wrapText="1"/>
    </xf>
    <xf numFmtId="0" fontId="51" fillId="0" borderId="23" xfId="0" applyFont="1" applyBorder="1" applyAlignment="1">
      <alignment horizontal="right"/>
    </xf>
    <xf numFmtId="0" fontId="54" fillId="0" borderId="0" xfId="0" applyFont="1"/>
    <xf numFmtId="0" fontId="52" fillId="0" borderId="23" xfId="0" applyFont="1" applyBorder="1" applyAlignment="1">
      <alignment horizontal="right" vertical="top" wrapText="1"/>
    </xf>
    <xf numFmtId="0" fontId="52" fillId="0" borderId="23" xfId="0" applyFont="1" applyBorder="1" applyAlignment="1">
      <alignment horizontal="right" vertical="justify"/>
    </xf>
    <xf numFmtId="0" fontId="63" fillId="0" borderId="0" xfId="0" applyFont="1"/>
    <xf numFmtId="0" fontId="0" fillId="0" borderId="0" xfId="0" applyAlignment="1">
      <alignment horizontal="left"/>
    </xf>
    <xf numFmtId="0" fontId="6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59" fillId="0" borderId="0" xfId="0" applyFont="1" applyAlignment="1">
      <alignment horizontal="center"/>
    </xf>
    <xf numFmtId="43" fontId="0" fillId="0" borderId="0" xfId="0" applyNumberFormat="1"/>
    <xf numFmtId="0" fontId="65" fillId="32" borderId="23" xfId="0" applyFont="1" applyFill="1" applyBorder="1"/>
    <xf numFmtId="0" fontId="65" fillId="32" borderId="23" xfId="0" applyFont="1" applyFill="1" applyBorder="1" applyAlignment="1">
      <alignment horizontal="center"/>
    </xf>
    <xf numFmtId="43" fontId="65" fillId="0" borderId="23" xfId="0" applyNumberFormat="1" applyFont="1" applyBorder="1"/>
    <xf numFmtId="2" fontId="65" fillId="0" borderId="23" xfId="0" applyNumberFormat="1" applyFont="1" applyBorder="1"/>
    <xf numFmtId="0" fontId="65" fillId="0" borderId="23" xfId="0" applyFont="1" applyBorder="1"/>
    <xf numFmtId="0" fontId="65" fillId="0" borderId="33" xfId="0" applyFont="1" applyBorder="1"/>
    <xf numFmtId="0" fontId="48" fillId="0" borderId="33" xfId="0" applyFont="1" applyBorder="1"/>
    <xf numFmtId="43" fontId="48" fillId="0" borderId="33" xfId="0" applyNumberFormat="1" applyFont="1" applyBorder="1"/>
    <xf numFmtId="0" fontId="66" fillId="2" borderId="23" xfId="0" applyFont="1" applyFill="1" applyBorder="1" applyAlignment="1">
      <alignment vertical="top"/>
    </xf>
    <xf numFmtId="0" fontId="56" fillId="2" borderId="23" xfId="0" applyFont="1" applyFill="1" applyBorder="1" applyAlignment="1">
      <alignment horizontal="left" vertical="top" wrapText="1"/>
    </xf>
    <xf numFmtId="0" fontId="66" fillId="2" borderId="23" xfId="0" applyFont="1" applyFill="1" applyBorder="1" applyAlignment="1">
      <alignment horizontal="right" vertical="top"/>
    </xf>
    <xf numFmtId="0" fontId="56" fillId="0" borderId="23" xfId="0" applyFont="1" applyBorder="1" applyAlignment="1">
      <alignment horizontal="justify" vertical="justify"/>
    </xf>
    <xf numFmtId="0" fontId="66" fillId="0" borderId="23" xfId="0" applyFont="1" applyBorder="1"/>
    <xf numFmtId="0" fontId="66" fillId="0" borderId="23" xfId="0" applyFont="1" applyBorder="1" applyAlignment="1">
      <alignment horizontal="right"/>
    </xf>
    <xf numFmtId="0" fontId="6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 wrapText="1"/>
    </xf>
    <xf numFmtId="0" fontId="56" fillId="0" borderId="23" xfId="0" applyFont="1" applyBorder="1" applyAlignment="1">
      <alignment horizontal="left" vertical="top" wrapText="1"/>
    </xf>
    <xf numFmtId="0" fontId="56" fillId="0" borderId="23" xfId="0" applyFont="1" applyBorder="1" applyAlignment="1">
      <alignment horizontal="right" vertical="top" wrapText="1"/>
    </xf>
    <xf numFmtId="0" fontId="56" fillId="0" borderId="23" xfId="0" applyFont="1" applyBorder="1" applyAlignment="1">
      <alignment horizontal="right" vertical="justify"/>
    </xf>
    <xf numFmtId="0" fontId="66" fillId="2" borderId="23" xfId="0" applyFont="1" applyFill="1" applyBorder="1" applyAlignment="1">
      <alignment horizontal="right" vertical="center"/>
    </xf>
    <xf numFmtId="0" fontId="66" fillId="2" borderId="23" xfId="0" applyFont="1" applyFill="1" applyBorder="1" applyAlignment="1">
      <alignment wrapText="1"/>
    </xf>
    <xf numFmtId="0" fontId="5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/>
    </xf>
    <xf numFmtId="43" fontId="51" fillId="0" borderId="0" xfId="0" applyNumberFormat="1" applyFont="1" applyAlignment="1">
      <alignment horizontal="center"/>
    </xf>
    <xf numFmtId="43" fontId="51" fillId="0" borderId="0" xfId="1" applyFont="1" applyBorder="1" applyAlignment="1"/>
    <xf numFmtId="43" fontId="51" fillId="0" borderId="0" xfId="0" applyNumberFormat="1" applyFont="1"/>
    <xf numFmtId="0" fontId="49" fillId="0" borderId="1" xfId="0" applyFont="1" applyBorder="1"/>
    <xf numFmtId="0" fontId="51" fillId="0" borderId="1" xfId="0" applyFont="1" applyBorder="1"/>
    <xf numFmtId="43" fontId="51" fillId="0" borderId="1" xfId="0" applyNumberFormat="1" applyFont="1" applyBorder="1"/>
    <xf numFmtId="43" fontId="51" fillId="0" borderId="1" xfId="1" applyFont="1" applyBorder="1" applyAlignment="1"/>
    <xf numFmtId="2" fontId="51" fillId="2" borderId="23" xfId="32" applyNumberFormat="1" applyFont="1" applyFill="1" applyBorder="1" applyAlignment="1">
      <alignment horizontal="right"/>
    </xf>
    <xf numFmtId="2" fontId="51" fillId="2" borderId="23" xfId="1" applyNumberFormat="1" applyFont="1" applyFill="1" applyBorder="1" applyAlignment="1">
      <alignment horizontal="right"/>
    </xf>
    <xf numFmtId="2" fontId="52" fillId="0" borderId="23" xfId="0" applyNumberFormat="1" applyFont="1" applyBorder="1" applyAlignment="1">
      <alignment horizontal="right"/>
    </xf>
    <xf numFmtId="2" fontId="51" fillId="0" borderId="23" xfId="0" applyNumberFormat="1" applyFont="1" applyBorder="1" applyAlignment="1">
      <alignment horizontal="right"/>
    </xf>
    <xf numFmtId="2" fontId="51" fillId="0" borderId="23" xfId="1" applyNumberFormat="1" applyFont="1" applyBorder="1" applyAlignment="1">
      <alignment horizontal="right"/>
    </xf>
    <xf numFmtId="2" fontId="52" fillId="2" borderId="23" xfId="0" applyNumberFormat="1" applyFont="1" applyFill="1" applyBorder="1" applyAlignment="1">
      <alignment horizontal="right"/>
    </xf>
    <xf numFmtId="2" fontId="3" fillId="0" borderId="23" xfId="734" applyNumberFormat="1" applyFont="1" applyBorder="1" applyAlignment="1">
      <alignment horizontal="right"/>
    </xf>
    <xf numFmtId="2" fontId="51" fillId="2" borderId="30" xfId="0" applyNumberFormat="1" applyFont="1" applyFill="1" applyBorder="1" applyAlignment="1">
      <alignment horizontal="right"/>
    </xf>
    <xf numFmtId="2" fontId="51" fillId="2" borderId="30" xfId="1" applyNumberFormat="1" applyFont="1" applyFill="1" applyBorder="1" applyAlignment="1">
      <alignment horizontal="right"/>
    </xf>
    <xf numFmtId="2" fontId="49" fillId="2" borderId="30" xfId="1" applyNumberFormat="1" applyFont="1" applyFill="1" applyBorder="1" applyAlignment="1">
      <alignment horizontal="right"/>
    </xf>
    <xf numFmtId="0" fontId="67" fillId="2" borderId="23" xfId="0" quotePrefix="1" applyFont="1" applyFill="1" applyBorder="1" applyAlignment="1">
      <alignment wrapText="1"/>
    </xf>
    <xf numFmtId="182" fontId="51" fillId="2" borderId="27" xfId="0" applyNumberFormat="1" applyFont="1" applyFill="1" applyBorder="1" applyAlignment="1">
      <alignment horizontal="right" vertical="center"/>
    </xf>
    <xf numFmtId="182" fontId="51" fillId="0" borderId="27" xfId="0" applyNumberFormat="1" applyFont="1" applyBorder="1" applyAlignment="1">
      <alignment horizontal="right" vertical="center"/>
    </xf>
    <xf numFmtId="0" fontId="75" fillId="0" borderId="23" xfId="0" applyFont="1" applyBorder="1" applyAlignment="1">
      <alignment horizontal="left" vertical="top" wrapText="1"/>
    </xf>
    <xf numFmtId="0" fontId="49" fillId="0" borderId="24" xfId="0" applyFont="1" applyBorder="1" applyAlignment="1">
      <alignment vertical="center"/>
    </xf>
    <xf numFmtId="0" fontId="74" fillId="0" borderId="25" xfId="0" applyFont="1" applyBorder="1" applyAlignment="1">
      <alignment horizontal="left" vertical="top" wrapText="1"/>
    </xf>
    <xf numFmtId="0" fontId="49" fillId="0" borderId="25" xfId="0" applyFont="1" applyBorder="1" applyAlignment="1">
      <alignment horizontal="center"/>
    </xf>
    <xf numFmtId="43" fontId="49" fillId="0" borderId="25" xfId="1" applyFont="1" applyBorder="1"/>
    <xf numFmtId="0" fontId="49" fillId="0" borderId="25" xfId="0" applyFont="1" applyBorder="1"/>
    <xf numFmtId="0" fontId="49" fillId="0" borderId="26" xfId="0" applyFont="1" applyBorder="1" applyAlignment="1">
      <alignment wrapText="1"/>
    </xf>
    <xf numFmtId="0" fontId="70" fillId="2" borderId="23" xfId="0" applyFont="1" applyFill="1" applyBorder="1" applyAlignment="1">
      <alignment wrapText="1"/>
    </xf>
    <xf numFmtId="1" fontId="78" fillId="0" borderId="19" xfId="0" applyNumberFormat="1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81" fillId="0" borderId="0" xfId="0" applyFont="1"/>
    <xf numFmtId="0" fontId="82" fillId="0" borderId="19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 wrapText="1"/>
    </xf>
    <xf numFmtId="2" fontId="83" fillId="0" borderId="35" xfId="0" applyNumberFormat="1" applyFont="1" applyBorder="1" applyAlignment="1">
      <alignment horizontal="center"/>
    </xf>
    <xf numFmtId="0" fontId="82" fillId="0" borderId="35" xfId="0" applyFont="1" applyBorder="1" applyAlignment="1">
      <alignment horizontal="center"/>
    </xf>
    <xf numFmtId="2" fontId="78" fillId="0" borderId="35" xfId="0" applyNumberFormat="1" applyFont="1" applyBorder="1" applyAlignment="1">
      <alignment horizontal="center" vertical="center" wrapText="1"/>
    </xf>
    <xf numFmtId="2" fontId="78" fillId="0" borderId="35" xfId="0" applyNumberFormat="1" applyFont="1" applyBorder="1" applyAlignment="1">
      <alignment horizontal="center" vertical="center"/>
    </xf>
    <xf numFmtId="0" fontId="82" fillId="0" borderId="36" xfId="0" applyFont="1" applyBorder="1" applyAlignment="1">
      <alignment horizontal="center"/>
    </xf>
    <xf numFmtId="2" fontId="83" fillId="0" borderId="36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 vertical="center"/>
    </xf>
    <xf numFmtId="2" fontId="78" fillId="0" borderId="35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 vertical="center"/>
    </xf>
    <xf numFmtId="0" fontId="82" fillId="0" borderId="0" xfId="0" applyFont="1"/>
    <xf numFmtId="0" fontId="84" fillId="0" borderId="0" xfId="0" applyFont="1"/>
    <xf numFmtId="2" fontId="78" fillId="0" borderId="19" xfId="0" applyNumberFormat="1" applyFont="1" applyBorder="1" applyAlignment="1">
      <alignment horizontal="center"/>
    </xf>
    <xf numFmtId="0" fontId="85" fillId="0" borderId="0" xfId="0" applyFont="1"/>
    <xf numFmtId="2" fontId="78" fillId="0" borderId="37" xfId="0" applyNumberFormat="1" applyFont="1" applyBorder="1" applyAlignment="1">
      <alignment horizontal="center"/>
    </xf>
    <xf numFmtId="0" fontId="81" fillId="0" borderId="0" xfId="0" applyFont="1" applyAlignment="1">
      <alignment horizontal="right"/>
    </xf>
    <xf numFmtId="0" fontId="78" fillId="0" borderId="0" xfId="0" applyFont="1" applyAlignment="1">
      <alignment horizontal="center"/>
    </xf>
    <xf numFmtId="43" fontId="51" fillId="0" borderId="0" xfId="1" applyFont="1" applyFill="1"/>
    <xf numFmtId="43" fontId="49" fillId="0" borderId="0" xfId="1" applyFont="1" applyFill="1"/>
    <xf numFmtId="0" fontId="67" fillId="0" borderId="19" xfId="0" applyFont="1" applyBorder="1" applyAlignment="1">
      <alignment wrapText="1"/>
    </xf>
    <xf numFmtId="0" fontId="67" fillId="0" borderId="19" xfId="0" applyFont="1" applyBorder="1"/>
    <xf numFmtId="43" fontId="49" fillId="0" borderId="0" xfId="1" applyFont="1" applyFill="1" applyBorder="1"/>
    <xf numFmtId="43" fontId="51" fillId="0" borderId="0" xfId="1" applyFont="1" applyFill="1" applyBorder="1" applyAlignment="1"/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 wrapText="1"/>
    </xf>
    <xf numFmtId="0" fontId="49" fillId="0" borderId="19" xfId="0" applyFont="1" applyBorder="1" applyAlignment="1">
      <alignment horizontal="center"/>
    </xf>
    <xf numFmtId="43" fontId="49" fillId="0" borderId="19" xfId="1" applyFont="1" applyFill="1" applyBorder="1"/>
    <xf numFmtId="0" fontId="49" fillId="0" borderId="19" xfId="0" applyFont="1" applyBorder="1"/>
    <xf numFmtId="0" fontId="49" fillId="0" borderId="19" xfId="0" applyFont="1" applyBorder="1" applyAlignment="1">
      <alignment wrapText="1"/>
    </xf>
    <xf numFmtId="0" fontId="74" fillId="0" borderId="19" xfId="0" applyFont="1" applyBorder="1" applyAlignment="1">
      <alignment horizontal="left" vertical="top" wrapText="1"/>
    </xf>
    <xf numFmtId="182" fontId="51" fillId="0" borderId="19" xfId="0" applyNumberFormat="1" applyFont="1" applyBorder="1" applyAlignment="1">
      <alignment horizontal="right" vertical="center"/>
    </xf>
    <xf numFmtId="0" fontId="67" fillId="0" borderId="19" xfId="0" quotePrefix="1" applyFont="1" applyBorder="1" applyAlignment="1">
      <alignment wrapText="1"/>
    </xf>
    <xf numFmtId="2" fontId="51" fillId="0" borderId="19" xfId="0" applyNumberFormat="1" applyFont="1" applyBorder="1" applyAlignment="1">
      <alignment horizontal="right"/>
    </xf>
    <xf numFmtId="2" fontId="51" fillId="0" borderId="19" xfId="1" applyNumberFormat="1" applyFont="1" applyFill="1" applyBorder="1" applyAlignment="1">
      <alignment horizontal="right"/>
    </xf>
    <xf numFmtId="0" fontId="52" fillId="0" borderId="19" xfId="0" applyFont="1" applyBorder="1"/>
    <xf numFmtId="0" fontId="52" fillId="0" borderId="19" xfId="0" quotePrefix="1" applyFont="1" applyBorder="1" applyAlignment="1">
      <alignment horizontal="right" vertical="justify"/>
    </xf>
    <xf numFmtId="0" fontId="52" fillId="0" borderId="19" xfId="0" applyFont="1" applyBorder="1" applyAlignment="1">
      <alignment horizontal="right" vertical="justify"/>
    </xf>
    <xf numFmtId="0" fontId="51" fillId="0" borderId="19" xfId="0" applyFont="1" applyBorder="1"/>
    <xf numFmtId="2" fontId="52" fillId="0" borderId="19" xfId="0" applyNumberFormat="1" applyFont="1" applyBorder="1" applyAlignment="1">
      <alignment horizontal="right"/>
    </xf>
    <xf numFmtId="0" fontId="51" fillId="0" borderId="19" xfId="0" applyFont="1" applyBorder="1" applyAlignment="1">
      <alignment horizontal="right"/>
    </xf>
    <xf numFmtId="182" fontId="52" fillId="0" borderId="19" xfId="0" applyNumberFormat="1" applyFont="1" applyBorder="1" applyAlignment="1">
      <alignment horizontal="right" vertical="center"/>
    </xf>
    <xf numFmtId="2" fontId="52" fillId="0" borderId="19" xfId="1" applyNumberFormat="1" applyFont="1" applyFill="1" applyBorder="1" applyAlignment="1">
      <alignment horizontal="right"/>
    </xf>
    <xf numFmtId="0" fontId="52" fillId="0" borderId="19" xfId="0" quotePrefix="1" applyFont="1" applyBorder="1" applyAlignment="1">
      <alignment horizontal="right"/>
    </xf>
    <xf numFmtId="0" fontId="51" fillId="0" borderId="19" xfId="0" applyFont="1" applyBorder="1" applyAlignment="1">
      <alignment horizontal="right" vertical="top" wrapText="1"/>
    </xf>
    <xf numFmtId="0" fontId="51" fillId="0" borderId="19" xfId="0" applyFont="1" applyBorder="1" applyAlignment="1">
      <alignment horizontal="left" vertical="top" wrapText="1"/>
    </xf>
    <xf numFmtId="0" fontId="51" fillId="0" borderId="19" xfId="0" quotePrefix="1" applyFont="1" applyBorder="1" applyAlignment="1">
      <alignment horizontal="right" vertical="top" wrapText="1"/>
    </xf>
    <xf numFmtId="182" fontId="51" fillId="0" borderId="19" xfId="0" applyNumberFormat="1" applyFont="1" applyBorder="1" applyAlignment="1">
      <alignment horizontal="right"/>
    </xf>
    <xf numFmtId="0" fontId="52" fillId="0" borderId="19" xfId="0" applyFont="1" applyBorder="1" applyAlignment="1">
      <alignment horizontal="justify" vertical="justify"/>
    </xf>
    <xf numFmtId="2" fontId="3" fillId="0" borderId="19" xfId="734" applyNumberFormat="1" applyFont="1" applyBorder="1" applyAlignment="1">
      <alignment horizontal="right"/>
    </xf>
    <xf numFmtId="2" fontId="51" fillId="0" borderId="19" xfId="32" applyNumberFormat="1" applyFont="1" applyFill="1" applyBorder="1" applyAlignment="1">
      <alignment horizontal="right"/>
    </xf>
    <xf numFmtId="0" fontId="52" fillId="0" borderId="19" xfId="0" applyFont="1" applyBorder="1" applyAlignment="1">
      <alignment horizontal="right" vertical="top" wrapText="1"/>
    </xf>
    <xf numFmtId="0" fontId="51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 wrapText="1"/>
    </xf>
    <xf numFmtId="2" fontId="49" fillId="0" borderId="19" xfId="1" applyNumberFormat="1" applyFont="1" applyFill="1" applyBorder="1" applyAlignment="1">
      <alignment horizontal="right"/>
    </xf>
    <xf numFmtId="0" fontId="51" fillId="0" borderId="19" xfId="0" applyFont="1" applyBorder="1" applyAlignment="1">
      <alignment wrapText="1"/>
    </xf>
    <xf numFmtId="43" fontId="51" fillId="0" borderId="19" xfId="0" applyNumberFormat="1" applyFont="1" applyBorder="1"/>
    <xf numFmtId="43" fontId="51" fillId="0" borderId="19" xfId="1" applyFont="1" applyFill="1" applyBorder="1" applyAlignment="1"/>
    <xf numFmtId="43" fontId="49" fillId="0" borderId="19" xfId="1" applyFont="1" applyFill="1" applyBorder="1" applyAlignment="1">
      <alignment horizontal="center" vertical="center"/>
    </xf>
    <xf numFmtId="43" fontId="51" fillId="0" borderId="19" xfId="0" applyNumberFormat="1" applyFont="1" applyBorder="1" applyAlignment="1">
      <alignment horizontal="center"/>
    </xf>
    <xf numFmtId="0" fontId="48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right"/>
    </xf>
    <xf numFmtId="0" fontId="51" fillId="0" borderId="0" xfId="0" applyFont="1"/>
    <xf numFmtId="0" fontId="5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5" fillId="32" borderId="32" xfId="0" applyFont="1" applyFill="1" applyBorder="1" applyAlignment="1">
      <alignment horizontal="center" vertical="center"/>
    </xf>
    <xf numFmtId="0" fontId="65" fillId="32" borderId="23" xfId="0" applyFont="1" applyFill="1" applyBorder="1" applyAlignment="1">
      <alignment horizontal="center" vertical="center"/>
    </xf>
    <xf numFmtId="0" fontId="65" fillId="32" borderId="32" xfId="0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43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43" fontId="51" fillId="0" borderId="19" xfId="1" applyFont="1" applyFill="1" applyBorder="1" applyAlignment="1">
      <alignment horizontal="center"/>
    </xf>
    <xf numFmtId="0" fontId="49" fillId="0" borderId="19" xfId="0" applyFont="1" applyBorder="1" applyAlignment="1">
      <alignment horizontal="center"/>
    </xf>
    <xf numFmtId="0" fontId="79" fillId="0" borderId="13" xfId="0" applyFont="1" applyBorder="1" applyAlignment="1">
      <alignment horizontal="center"/>
    </xf>
    <xf numFmtId="0" fontId="79" fillId="0" borderId="0" xfId="0" applyFont="1" applyAlignment="1">
      <alignment horizontal="center"/>
    </xf>
    <xf numFmtId="0" fontId="80" fillId="0" borderId="38" xfId="0" applyFont="1" applyBorder="1" applyAlignment="1">
      <alignment horizontal="center"/>
    </xf>
    <xf numFmtId="0" fontId="80" fillId="0" borderId="37" xfId="0" applyFont="1" applyBorder="1" applyAlignment="1">
      <alignment horizontal="center"/>
    </xf>
    <xf numFmtId="0" fontId="82" fillId="0" borderId="35" xfId="0" applyFont="1" applyBorder="1" applyAlignment="1">
      <alignment horizontal="center" vertical="center" wrapText="1"/>
    </xf>
    <xf numFmtId="0" fontId="82" fillId="0" borderId="36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/>
    </xf>
    <xf numFmtId="0" fontId="82" fillId="0" borderId="36" xfId="0" applyFont="1" applyBorder="1" applyAlignment="1">
      <alignment horizontal="center" vertical="center"/>
    </xf>
  </cellXfs>
  <cellStyles count="759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rate%20analysis%2080-81\For%20all%20Civil%20rate%20analysis%2080-81%20shankharapur%20Municipa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stimate%20FY%2080-81\rate%20analysis%2080-81\For%20all%20Civil%20rate%20analysis%2080-81%20shankharapur%20Municipalit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">
          <cell r="H43">
            <v>14911.97</v>
          </cell>
        </row>
        <row r="67">
          <cell r="H67">
            <v>17107.900000000001</v>
          </cell>
        </row>
        <row r="77">
          <cell r="H77">
            <v>130210</v>
          </cell>
        </row>
        <row r="155">
          <cell r="H155">
            <v>692.38</v>
          </cell>
        </row>
        <row r="187">
          <cell r="H187">
            <v>286.77</v>
          </cell>
        </row>
        <row r="215">
          <cell r="H215">
            <v>402.23</v>
          </cell>
        </row>
        <row r="312">
          <cell r="H312">
            <v>9900</v>
          </cell>
        </row>
        <row r="314">
          <cell r="H314">
            <v>97.2</v>
          </cell>
        </row>
        <row r="412">
          <cell r="H412">
            <v>2761</v>
          </cell>
        </row>
      </sheetData>
      <sheetData sheetId="7" refreshError="1">
        <row r="396">
          <cell r="G396">
            <v>8765.1200000000008</v>
          </cell>
        </row>
        <row r="397">
          <cell r="G397">
            <v>1443.1000000000001</v>
          </cell>
        </row>
        <row r="398">
          <cell r="G398">
            <v>701.96</v>
          </cell>
        </row>
        <row r="676">
          <cell r="G676">
            <v>5772.4000000000005</v>
          </cell>
        </row>
        <row r="677">
          <cell r="G677">
            <v>2052.92</v>
          </cell>
        </row>
        <row r="678">
          <cell r="G678">
            <v>901.11</v>
          </cell>
        </row>
        <row r="679">
          <cell r="G679">
            <v>1065.47</v>
          </cell>
        </row>
        <row r="1804">
          <cell r="G1804">
            <v>1876.03</v>
          </cell>
        </row>
        <row r="1805">
          <cell r="G1805">
            <v>451.26</v>
          </cell>
        </row>
        <row r="1806">
          <cell r="G1806">
            <v>1296.58</v>
          </cell>
        </row>
        <row r="2269">
          <cell r="H2269">
            <v>767.72</v>
          </cell>
        </row>
        <row r="2611">
          <cell r="G2611">
            <v>7763.87</v>
          </cell>
        </row>
        <row r="2612">
          <cell r="G2612">
            <v>3660.23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0">
          <cell r="H100">
            <v>1065.6608695652174</v>
          </cell>
        </row>
        <row r="329">
          <cell r="H329">
            <v>68.400000000000006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0"/>
  <sheetViews>
    <sheetView view="pageBreakPreview" topLeftCell="A33" zoomScaleNormal="100" zoomScaleSheetLayoutView="100" workbookViewId="0">
      <selection activeCell="N10" sqref="N10"/>
    </sheetView>
  </sheetViews>
  <sheetFormatPr defaultColWidth="9.140625" defaultRowHeight="16.5"/>
  <cols>
    <col min="1" max="1" width="3.7109375" style="1" customWidth="1"/>
    <col min="2" max="2" width="10.85546875" style="4" customWidth="1"/>
    <col min="3" max="3" width="30.5703125" style="8" customWidth="1"/>
    <col min="4" max="4" width="7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1" style="1" customWidth="1"/>
    <col min="9" max="9" width="7.5703125" style="1" customWidth="1"/>
    <col min="10" max="10" width="9.85546875" style="2" customWidth="1"/>
    <col min="11" max="11" width="14.5703125" style="1" bestFit="1" customWidth="1"/>
    <col min="12" max="12" width="10.7109375" style="1" bestFit="1" customWidth="1"/>
    <col min="13" max="13" width="9.140625" style="1"/>
    <col min="14" max="14" width="13.28515625" style="1" bestFit="1" customWidth="1"/>
    <col min="15" max="15" width="9.140625" style="1"/>
    <col min="16" max="16" width="14" style="1" bestFit="1" customWidth="1"/>
    <col min="17" max="17" width="11.7109375" style="1" bestFit="1" customWidth="1"/>
    <col min="18" max="16384" width="9.140625" style="1"/>
  </cols>
  <sheetData>
    <row r="1" spans="1:18">
      <c r="A1" s="155" t="s">
        <v>11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18" ht="20.25">
      <c r="A2" s="156" t="s">
        <v>16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8">
      <c r="A3" s="155" t="s">
        <v>17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1:18">
      <c r="A4" s="157" t="s">
        <v>22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</row>
    <row r="5" spans="1:18" ht="19.5">
      <c r="A5" s="6"/>
      <c r="B5" s="4" t="s">
        <v>27</v>
      </c>
      <c r="C5" s="28" t="s">
        <v>93</v>
      </c>
      <c r="H5" s="6"/>
      <c r="K5" s="158" t="s">
        <v>69</v>
      </c>
      <c r="L5" s="158"/>
    </row>
    <row r="6" spans="1:18">
      <c r="B6" s="159" t="s">
        <v>28</v>
      </c>
      <c r="C6" s="159"/>
      <c r="D6" s="159"/>
      <c r="E6" s="159"/>
      <c r="F6" s="159"/>
      <c r="G6" s="159"/>
      <c r="H6" s="3"/>
      <c r="I6" s="160" t="s">
        <v>100</v>
      </c>
      <c r="J6" s="160"/>
      <c r="K6" s="160"/>
      <c r="L6" s="160"/>
      <c r="O6" s="160" t="s">
        <v>70</v>
      </c>
      <c r="P6" s="160"/>
      <c r="Q6" s="160"/>
      <c r="R6" s="160"/>
    </row>
    <row r="7" spans="1:18" ht="17.25" thickBot="1">
      <c r="C7" s="5"/>
      <c r="D7" s="6"/>
      <c r="E7" s="3"/>
      <c r="F7" s="3"/>
      <c r="G7" s="3"/>
      <c r="H7" s="3"/>
      <c r="J7" s="7"/>
      <c r="K7" s="3"/>
      <c r="L7" s="8"/>
    </row>
    <row r="8" spans="1:18" ht="17.25" thickBot="1">
      <c r="A8" s="2"/>
      <c r="B8" s="12" t="s">
        <v>0</v>
      </c>
      <c r="C8" s="13" t="s">
        <v>1</v>
      </c>
      <c r="D8" s="17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5" t="s">
        <v>7</v>
      </c>
      <c r="J8" s="14" t="s">
        <v>8</v>
      </c>
      <c r="K8" s="14" t="s">
        <v>9</v>
      </c>
      <c r="L8" s="16" t="s">
        <v>10</v>
      </c>
    </row>
    <row r="9" spans="1:18" ht="18">
      <c r="A9" s="2"/>
      <c r="B9" s="83" t="s">
        <v>94</v>
      </c>
      <c r="C9" s="84" t="s">
        <v>95</v>
      </c>
      <c r="D9" s="85"/>
      <c r="E9" s="86"/>
      <c r="F9" s="86"/>
      <c r="G9" s="86"/>
      <c r="H9" s="86"/>
      <c r="I9" s="87"/>
      <c r="J9" s="86"/>
      <c r="K9" s="86"/>
      <c r="L9" s="88"/>
    </row>
    <row r="10" spans="1:18" ht="35.1" customHeight="1">
      <c r="B10" s="80">
        <v>1</v>
      </c>
      <c r="C10" s="79" t="s">
        <v>73</v>
      </c>
      <c r="D10" s="24">
        <v>1</v>
      </c>
      <c r="E10" s="70">
        <v>4.5</v>
      </c>
      <c r="F10" s="70">
        <v>3</v>
      </c>
      <c r="G10" s="70">
        <v>0.1</v>
      </c>
      <c r="H10" s="70">
        <f>D10*E10*F10*G10</f>
        <v>1.35</v>
      </c>
      <c r="I10" s="24" t="s">
        <v>35</v>
      </c>
      <c r="J10" s="70">
        <f>'[1]Table of Content 2'!$H$312</f>
        <v>9900</v>
      </c>
      <c r="K10" s="70">
        <f>H10*J10</f>
        <v>13365</v>
      </c>
      <c r="L10" s="25"/>
    </row>
    <row r="11" spans="1:18" ht="18.75">
      <c r="B11" s="80"/>
      <c r="C11" s="79"/>
      <c r="D11" s="24"/>
      <c r="E11" s="70"/>
      <c r="F11" s="70"/>
      <c r="G11" s="70"/>
      <c r="H11" s="70"/>
      <c r="I11" s="24"/>
      <c r="J11" s="70"/>
      <c r="K11" s="70"/>
      <c r="L11" s="25"/>
    </row>
    <row r="12" spans="1:18" ht="35.1" customHeight="1">
      <c r="B12" s="80">
        <v>2</v>
      </c>
      <c r="C12" s="79" t="s">
        <v>74</v>
      </c>
      <c r="D12" s="24">
        <v>2</v>
      </c>
      <c r="E12" s="70">
        <f>E10</f>
        <v>4.5</v>
      </c>
      <c r="F12" s="70"/>
      <c r="G12" s="70">
        <v>1.4</v>
      </c>
      <c r="H12" s="70">
        <f>D12*E12*G12</f>
        <v>12.6</v>
      </c>
      <c r="I12" s="70"/>
      <c r="J12" s="70"/>
      <c r="K12" s="70"/>
      <c r="L12" s="25"/>
    </row>
    <row r="13" spans="1:18">
      <c r="B13" s="80"/>
      <c r="C13" s="21"/>
      <c r="D13" s="24">
        <v>2</v>
      </c>
      <c r="E13" s="70">
        <f>F10</f>
        <v>3</v>
      </c>
      <c r="F13" s="70"/>
      <c r="G13" s="70">
        <v>1.4</v>
      </c>
      <c r="H13" s="70">
        <f>D13*E13*G13</f>
        <v>8.3999999999999986</v>
      </c>
      <c r="I13" s="70"/>
      <c r="J13" s="70"/>
      <c r="K13" s="70"/>
      <c r="L13" s="25"/>
    </row>
    <row r="14" spans="1:18">
      <c r="B14" s="80"/>
      <c r="C14" s="20"/>
      <c r="D14" s="24"/>
      <c r="E14" s="70"/>
      <c r="F14" s="70"/>
      <c r="G14" s="71"/>
      <c r="H14" s="70">
        <f>SUM(H12:H13)</f>
        <v>21</v>
      </c>
      <c r="I14" s="24" t="s">
        <v>40</v>
      </c>
      <c r="J14" s="70">
        <f>'[1]Table of Content 2'!$H$314</f>
        <v>97.2</v>
      </c>
      <c r="K14" s="70">
        <f>H14*J14</f>
        <v>2041.2</v>
      </c>
      <c r="L14" s="25"/>
    </row>
    <row r="15" spans="1:18">
      <c r="B15" s="80"/>
      <c r="C15" s="27"/>
      <c r="D15" s="24"/>
      <c r="E15" s="70"/>
      <c r="F15" s="70"/>
      <c r="G15" s="71"/>
      <c r="H15" s="70"/>
      <c r="I15" s="24"/>
      <c r="J15" s="70"/>
      <c r="K15" s="70"/>
      <c r="L15" s="25"/>
    </row>
    <row r="16" spans="1:18" ht="35.1" customHeight="1">
      <c r="B16" s="80">
        <v>3</v>
      </c>
      <c r="C16" s="79" t="s">
        <v>75</v>
      </c>
      <c r="D16" s="24">
        <v>2</v>
      </c>
      <c r="E16" s="70">
        <f>E12</f>
        <v>4.5</v>
      </c>
      <c r="F16" s="70">
        <v>0.1</v>
      </c>
      <c r="G16" s="70">
        <v>0.9</v>
      </c>
      <c r="H16" s="70">
        <f>D16*E16*F16*G16</f>
        <v>0.81</v>
      </c>
      <c r="I16" s="72"/>
      <c r="J16" s="72"/>
      <c r="K16" s="72"/>
      <c r="L16" s="25"/>
    </row>
    <row r="17" spans="2:12" ht="18.75">
      <c r="B17" s="80"/>
      <c r="C17" s="79"/>
      <c r="D17" s="24">
        <v>2</v>
      </c>
      <c r="E17" s="70">
        <f>E13</f>
        <v>3</v>
      </c>
      <c r="F17" s="70">
        <v>0.1</v>
      </c>
      <c r="G17" s="70">
        <v>0.9</v>
      </c>
      <c r="H17" s="70">
        <f>D17*E17*F17*G17</f>
        <v>0.54000000000000015</v>
      </c>
      <c r="I17" s="72"/>
      <c r="J17" s="72"/>
      <c r="K17" s="72"/>
      <c r="L17" s="25"/>
    </row>
    <row r="18" spans="2:12" ht="18.75">
      <c r="B18" s="80"/>
      <c r="C18" s="79"/>
      <c r="D18" s="24">
        <v>1</v>
      </c>
      <c r="E18" s="70">
        <f>2*(5+4)/3.28</f>
        <v>5.4878048780487809</v>
      </c>
      <c r="F18" s="70">
        <v>0.23</v>
      </c>
      <c r="G18" s="70">
        <v>0.45</v>
      </c>
      <c r="H18" s="70">
        <f>D18*E18*F18*G18</f>
        <v>0.5679878048780489</v>
      </c>
      <c r="I18" s="72"/>
      <c r="J18" s="72"/>
      <c r="K18" s="72"/>
      <c r="L18" s="25"/>
    </row>
    <row r="19" spans="2:12">
      <c r="B19" s="80"/>
      <c r="C19" s="20"/>
      <c r="D19" s="24"/>
      <c r="E19" s="70"/>
      <c r="F19" s="70"/>
      <c r="G19" s="71"/>
      <c r="H19" s="70">
        <f>SUM(H16:H18)</f>
        <v>1.917987804878049</v>
      </c>
      <c r="I19" s="24" t="s">
        <v>35</v>
      </c>
      <c r="J19" s="73">
        <f>'[1]Table of Content 2'!$H$43</f>
        <v>14911.97</v>
      </c>
      <c r="K19" s="73">
        <f>H19*J19</f>
        <v>28600.976606707318</v>
      </c>
      <c r="L19" s="25"/>
    </row>
    <row r="20" spans="2:12">
      <c r="B20" s="80"/>
      <c r="C20" s="19" t="s">
        <v>29</v>
      </c>
      <c r="D20" s="24"/>
      <c r="E20" s="70"/>
      <c r="F20" s="70"/>
      <c r="G20" s="71"/>
      <c r="H20" s="72"/>
      <c r="I20" s="24"/>
      <c r="J20" s="73"/>
      <c r="K20" s="73">
        <f>'[1]Update Descrip'!$G$397*H19*0.13</f>
        <v>359.82026615853664</v>
      </c>
      <c r="L20" s="25"/>
    </row>
    <row r="21" spans="2:12">
      <c r="B21" s="80"/>
      <c r="C21" s="19" t="s">
        <v>30</v>
      </c>
      <c r="D21" s="72"/>
      <c r="E21" s="72"/>
      <c r="F21" s="72"/>
      <c r="G21" s="72"/>
      <c r="H21" s="72"/>
      <c r="I21" s="72"/>
      <c r="J21" s="73"/>
      <c r="K21" s="73">
        <f>'[1]Update Descrip'!$G$398*H19*0.13</f>
        <v>175.0255935365854</v>
      </c>
      <c r="L21" s="25"/>
    </row>
    <row r="22" spans="2:12">
      <c r="B22" s="80"/>
      <c r="C22" s="19" t="s">
        <v>38</v>
      </c>
      <c r="D22" s="24"/>
      <c r="E22" s="70"/>
      <c r="F22" s="70"/>
      <c r="G22" s="71"/>
      <c r="H22" s="70"/>
      <c r="I22" s="24"/>
      <c r="J22" s="73"/>
      <c r="K22" s="73">
        <f>'[1]Update Descrip'!$G$396*H19*0.13</f>
        <v>2185.4811248780493</v>
      </c>
      <c r="L22" s="25"/>
    </row>
    <row r="23" spans="2:12">
      <c r="B23" s="80"/>
      <c r="C23" s="20"/>
      <c r="D23" s="24"/>
      <c r="E23" s="70"/>
      <c r="F23" s="70"/>
      <c r="G23" s="71"/>
      <c r="H23" s="70"/>
      <c r="I23" s="24"/>
      <c r="J23" s="73"/>
      <c r="K23" s="73"/>
      <c r="L23" s="25"/>
    </row>
    <row r="24" spans="2:12" ht="35.1" customHeight="1">
      <c r="B24" s="80">
        <v>4</v>
      </c>
      <c r="C24" s="79" t="s">
        <v>80</v>
      </c>
      <c r="D24" s="24">
        <f>E25/0.15</f>
        <v>20</v>
      </c>
      <c r="E24" s="70">
        <f>E16</f>
        <v>4.5</v>
      </c>
      <c r="F24" s="70"/>
      <c r="G24" s="71">
        <f>10*10/162</f>
        <v>0.61728395061728392</v>
      </c>
      <c r="H24" s="70">
        <f>D24*E24*G24</f>
        <v>55.55555555555555</v>
      </c>
      <c r="I24" s="24"/>
      <c r="J24" s="73"/>
      <c r="K24" s="73"/>
      <c r="L24" s="25"/>
    </row>
    <row r="25" spans="2:12">
      <c r="B25" s="80"/>
      <c r="C25" s="19"/>
      <c r="D25" s="24">
        <f>E24/0.15</f>
        <v>30</v>
      </c>
      <c r="E25" s="70">
        <f>E17</f>
        <v>3</v>
      </c>
      <c r="F25" s="70"/>
      <c r="G25" s="71">
        <f>10*10/162</f>
        <v>0.61728395061728392</v>
      </c>
      <c r="H25" s="70">
        <f>D25*E25*G25</f>
        <v>55.55555555555555</v>
      </c>
      <c r="I25" s="24"/>
      <c r="J25" s="73"/>
      <c r="K25" s="73"/>
      <c r="L25" s="25"/>
    </row>
    <row r="26" spans="2:12">
      <c r="B26" s="80"/>
      <c r="C26" s="19" t="s">
        <v>81</v>
      </c>
      <c r="D26" s="24"/>
      <c r="E26" s="70"/>
      <c r="F26" s="70"/>
      <c r="G26" s="71"/>
      <c r="H26" s="70">
        <f>SUM(H24:H25)</f>
        <v>111.1111111111111</v>
      </c>
      <c r="I26" s="24" t="s">
        <v>18</v>
      </c>
      <c r="J26" s="73">
        <f>'[1]Table of Content 2'!$H$77/1000</f>
        <v>130.21</v>
      </c>
      <c r="K26" s="73">
        <f>H26*J26</f>
        <v>14467.777777777777</v>
      </c>
      <c r="L26" s="25"/>
    </row>
    <row r="27" spans="2:12">
      <c r="B27" s="80"/>
      <c r="C27" s="19"/>
      <c r="D27" s="24"/>
      <c r="E27" s="70"/>
      <c r="F27" s="70"/>
      <c r="G27" s="71"/>
      <c r="H27" s="70"/>
      <c r="I27" s="24"/>
      <c r="J27" s="73"/>
      <c r="K27" s="73">
        <f>0.13*K26</f>
        <v>1880.8111111111111</v>
      </c>
      <c r="L27" s="25"/>
    </row>
    <row r="28" spans="2:12" ht="35.1" customHeight="1">
      <c r="B28" s="80">
        <v>5</v>
      </c>
      <c r="C28" s="79" t="s">
        <v>76</v>
      </c>
      <c r="D28" s="24">
        <v>1</v>
      </c>
      <c r="E28" s="70">
        <f>E16</f>
        <v>4.5</v>
      </c>
      <c r="F28" s="70">
        <f>E17</f>
        <v>3</v>
      </c>
      <c r="G28" s="70">
        <v>7.4999999999999997E-2</v>
      </c>
      <c r="H28" s="70">
        <f>D28*E28*F28*G28</f>
        <v>1.0125</v>
      </c>
      <c r="I28" s="24"/>
      <c r="J28" s="73"/>
      <c r="K28" s="70"/>
      <c r="L28" s="25"/>
    </row>
    <row r="29" spans="2:12">
      <c r="B29" s="80"/>
      <c r="C29" s="18"/>
      <c r="D29" s="24">
        <v>2</v>
      </c>
      <c r="E29" s="70">
        <f>E16</f>
        <v>4.5</v>
      </c>
      <c r="F29" s="70">
        <v>0.15</v>
      </c>
      <c r="G29" s="70">
        <f>G16</f>
        <v>0.9</v>
      </c>
      <c r="H29" s="70">
        <f>D29*E29*F29*G29</f>
        <v>1.2149999999999999</v>
      </c>
      <c r="I29" s="24"/>
      <c r="J29" s="73"/>
      <c r="K29" s="70"/>
      <c r="L29" s="25"/>
    </row>
    <row r="30" spans="2:12">
      <c r="B30" s="80"/>
      <c r="C30" s="18"/>
      <c r="D30" s="24">
        <v>2</v>
      </c>
      <c r="E30" s="70">
        <f>E17</f>
        <v>3</v>
      </c>
      <c r="F30" s="70">
        <v>0.15</v>
      </c>
      <c r="G30" s="70">
        <f>G17</f>
        <v>0.9</v>
      </c>
      <c r="H30" s="70">
        <f>D30*E30*F30*G30</f>
        <v>0.80999999999999994</v>
      </c>
      <c r="I30" s="24"/>
      <c r="J30" s="73"/>
      <c r="K30" s="70"/>
      <c r="L30" s="25"/>
    </row>
    <row r="31" spans="2:12">
      <c r="B31" s="80"/>
      <c r="C31" s="18"/>
      <c r="D31" s="24"/>
      <c r="E31" s="70"/>
      <c r="F31" s="70" t="s">
        <v>32</v>
      </c>
      <c r="G31" s="70"/>
      <c r="H31" s="70">
        <f>SUM(H28:H30)</f>
        <v>3.0375000000000001</v>
      </c>
      <c r="I31" s="24" t="s">
        <v>24</v>
      </c>
      <c r="J31" s="73">
        <f>'[1]Table of Content 2'!$H$67</f>
        <v>17107.900000000001</v>
      </c>
      <c r="K31" s="73">
        <f>H31*J31</f>
        <v>51965.246250000004</v>
      </c>
      <c r="L31" s="25"/>
    </row>
    <row r="32" spans="2:12">
      <c r="B32" s="80"/>
      <c r="C32" s="19" t="s">
        <v>29</v>
      </c>
      <c r="D32" s="24"/>
      <c r="E32" s="70"/>
      <c r="F32" s="70"/>
      <c r="G32" s="70"/>
      <c r="H32" s="70"/>
      <c r="I32" s="24"/>
      <c r="J32" s="73"/>
      <c r="K32" s="73">
        <f>'[1]Update Descrip'!$G$676*H31*0.13</f>
        <v>2279.3764500000002</v>
      </c>
      <c r="L32" s="25"/>
    </row>
    <row r="33" spans="2:12">
      <c r="B33" s="80"/>
      <c r="C33" s="19" t="s">
        <v>30</v>
      </c>
      <c r="D33" s="24"/>
      <c r="E33" s="70"/>
      <c r="F33" s="70"/>
      <c r="G33" s="70"/>
      <c r="H33" s="70"/>
      <c r="I33" s="24"/>
      <c r="J33" s="73"/>
      <c r="K33" s="73">
        <f>'[1]Update Descrip'!$G$679*H31*0.13</f>
        <v>420.72746625000002</v>
      </c>
      <c r="L33" s="25"/>
    </row>
    <row r="34" spans="2:12">
      <c r="B34" s="80"/>
      <c r="C34" s="19" t="s">
        <v>31</v>
      </c>
      <c r="D34" s="24"/>
      <c r="E34" s="70"/>
      <c r="F34" s="70"/>
      <c r="G34" s="70"/>
      <c r="H34" s="70"/>
      <c r="I34" s="24"/>
      <c r="J34" s="73"/>
      <c r="K34" s="73">
        <f>('[1]Update Descrip'!$G$677+'[1]Update Descrip'!$G$678)*H31*0.13</f>
        <v>1166.4725962500002</v>
      </c>
      <c r="L34" s="25"/>
    </row>
    <row r="35" spans="2:12">
      <c r="B35" s="80"/>
      <c r="C35" s="20"/>
      <c r="D35" s="24"/>
      <c r="E35" s="70"/>
      <c r="F35" s="70"/>
      <c r="G35" s="71"/>
      <c r="H35" s="70"/>
      <c r="I35" s="24"/>
      <c r="J35" s="73"/>
      <c r="K35" s="73"/>
      <c r="L35" s="25"/>
    </row>
    <row r="36" spans="2:12" ht="35.1" customHeight="1">
      <c r="B36" s="81">
        <v>6</v>
      </c>
      <c r="C36" s="79" t="s">
        <v>77</v>
      </c>
      <c r="D36" s="24">
        <v>1</v>
      </c>
      <c r="E36" s="24">
        <f>E28</f>
        <v>4.5</v>
      </c>
      <c r="F36" s="24">
        <f>F28</f>
        <v>3</v>
      </c>
      <c r="G36" s="70"/>
      <c r="H36" s="72">
        <f>F36*E36*D36</f>
        <v>13.5</v>
      </c>
      <c r="I36" s="74" t="s">
        <v>23</v>
      </c>
      <c r="J36" s="73">
        <f>'[1]Table of Content 2'!$H$155</f>
        <v>692.38</v>
      </c>
      <c r="K36" s="72">
        <f>H36*J36</f>
        <v>9347.1299999999992</v>
      </c>
      <c r="L36" s="25"/>
    </row>
    <row r="37" spans="2:12">
      <c r="B37" s="81"/>
      <c r="C37" s="19" t="s">
        <v>29</v>
      </c>
      <c r="D37" s="24"/>
      <c r="E37" s="24"/>
      <c r="F37" s="24"/>
      <c r="G37" s="71"/>
      <c r="H37" s="24"/>
      <c r="I37" s="74"/>
      <c r="J37" s="73"/>
      <c r="K37" s="69">
        <f>'[1]Update Descrip'!$G$1804/10*H36*0.13</f>
        <v>329.24326500000001</v>
      </c>
      <c r="L37" s="25"/>
    </row>
    <row r="38" spans="2:12">
      <c r="B38" s="81"/>
      <c r="C38" s="19" t="s">
        <v>30</v>
      </c>
      <c r="D38" s="24"/>
      <c r="E38" s="24"/>
      <c r="F38" s="24"/>
      <c r="G38" s="71"/>
      <c r="H38" s="24"/>
      <c r="I38" s="74"/>
      <c r="J38" s="73"/>
      <c r="K38" s="69">
        <f>'[1]Update Descrip'!$G$1805/10*H36*0.13</f>
        <v>79.196130000000011</v>
      </c>
      <c r="L38" s="25"/>
    </row>
    <row r="39" spans="2:12">
      <c r="B39" s="81"/>
      <c r="C39" s="19" t="s">
        <v>31</v>
      </c>
      <c r="D39" s="24"/>
      <c r="E39" s="24"/>
      <c r="F39" s="24"/>
      <c r="G39" s="71"/>
      <c r="H39" s="24"/>
      <c r="I39" s="74"/>
      <c r="J39" s="73"/>
      <c r="K39" s="69">
        <f>'[1]Update Descrip'!$G$1806/10*H36*0.13</f>
        <v>227.54978999999997</v>
      </c>
      <c r="L39" s="25"/>
    </row>
    <row r="40" spans="2:12" ht="18" customHeight="1">
      <c r="B40" s="80"/>
      <c r="C40" s="19"/>
      <c r="D40" s="24"/>
      <c r="E40" s="70"/>
      <c r="F40" s="70"/>
      <c r="G40" s="71"/>
      <c r="H40" s="70"/>
      <c r="I40" s="24"/>
      <c r="J40" s="73"/>
      <c r="K40" s="73"/>
      <c r="L40" s="25"/>
    </row>
    <row r="41" spans="2:12" ht="35.1" customHeight="1">
      <c r="B41" s="80">
        <v>7</v>
      </c>
      <c r="C41" s="79" t="s">
        <v>78</v>
      </c>
      <c r="D41" s="24">
        <f>D16</f>
        <v>2</v>
      </c>
      <c r="E41" s="24">
        <f>E16</f>
        <v>4.5</v>
      </c>
      <c r="F41" s="24"/>
      <c r="G41" s="24">
        <f>G48</f>
        <v>1.5</v>
      </c>
      <c r="H41" s="70">
        <f>D41*E41*G41</f>
        <v>13.5</v>
      </c>
      <c r="I41" s="24"/>
      <c r="J41" s="73"/>
      <c r="K41" s="73"/>
      <c r="L41" s="25"/>
    </row>
    <row r="42" spans="2:12">
      <c r="B42" s="80"/>
      <c r="C42" s="21"/>
      <c r="D42" s="24">
        <f>D17</f>
        <v>2</v>
      </c>
      <c r="E42" s="24">
        <f>E17</f>
        <v>3</v>
      </c>
      <c r="F42" s="24"/>
      <c r="G42" s="24">
        <f>G49</f>
        <v>1.5</v>
      </c>
      <c r="H42" s="70">
        <f>D42*E42*G42</f>
        <v>9</v>
      </c>
      <c r="I42" s="24"/>
      <c r="J42" s="75"/>
      <c r="K42" s="73"/>
      <c r="L42" s="25"/>
    </row>
    <row r="43" spans="2:12">
      <c r="B43" s="80"/>
      <c r="C43" s="21"/>
      <c r="D43" s="24"/>
      <c r="E43" s="70"/>
      <c r="F43" s="70"/>
      <c r="G43" s="71"/>
      <c r="H43" s="70">
        <f>SUM(H41:H42)</f>
        <v>22.5</v>
      </c>
      <c r="I43" s="24" t="s">
        <v>40</v>
      </c>
      <c r="J43" s="73">
        <f>'[1]Table of Content 2'!$H$215</f>
        <v>402.23</v>
      </c>
      <c r="K43" s="73">
        <f>H43*J43</f>
        <v>9050.1750000000011</v>
      </c>
      <c r="L43" s="25"/>
    </row>
    <row r="44" spans="2:12">
      <c r="B44" s="80"/>
      <c r="C44" s="19" t="s">
        <v>29</v>
      </c>
      <c r="D44" s="24"/>
      <c r="E44" s="70"/>
      <c r="F44" s="70"/>
      <c r="G44" s="71"/>
      <c r="H44" s="70"/>
      <c r="I44" s="24"/>
      <c r="J44" s="75"/>
      <c r="K44" s="73">
        <f>'[1]Update Descrip'!$G$2611/100*H43*0.13</f>
        <v>227.0931975</v>
      </c>
      <c r="L44" s="25"/>
    </row>
    <row r="45" spans="2:12">
      <c r="B45" s="80"/>
      <c r="C45" s="19" t="s">
        <v>30</v>
      </c>
      <c r="D45" s="24"/>
      <c r="E45" s="70"/>
      <c r="F45" s="70"/>
      <c r="G45" s="71"/>
      <c r="H45" s="70"/>
      <c r="I45" s="24"/>
      <c r="J45" s="75"/>
      <c r="K45" s="73">
        <f>'[1]Update Descrip'!$G$2612/100*H43*0.13</f>
        <v>107.0617275</v>
      </c>
      <c r="L45" s="25"/>
    </row>
    <row r="46" spans="2:12">
      <c r="B46" s="81"/>
      <c r="C46" s="19"/>
      <c r="D46" s="72"/>
      <c r="E46" s="70"/>
      <c r="F46" s="70"/>
      <c r="G46" s="71"/>
      <c r="H46" s="72"/>
      <c r="I46" s="72"/>
      <c r="J46" s="72"/>
      <c r="K46" s="72"/>
      <c r="L46" s="25"/>
    </row>
    <row r="47" spans="2:12" ht="35.1" customHeight="1">
      <c r="B47" s="81">
        <v>8</v>
      </c>
      <c r="C47" s="79" t="s">
        <v>79</v>
      </c>
      <c r="D47" s="72">
        <f t="shared" ref="D47:E49" si="0">D28</f>
        <v>1</v>
      </c>
      <c r="E47" s="72">
        <f t="shared" si="0"/>
        <v>4.5</v>
      </c>
      <c r="F47" s="72"/>
      <c r="G47" s="72">
        <f>F28</f>
        <v>3</v>
      </c>
      <c r="H47" s="72">
        <f>D47*E47*G47</f>
        <v>13.5</v>
      </c>
      <c r="I47" s="72"/>
      <c r="J47" s="72"/>
      <c r="K47" s="72"/>
      <c r="L47" s="25"/>
    </row>
    <row r="48" spans="2:12">
      <c r="B48" s="81"/>
      <c r="C48" s="19"/>
      <c r="D48" s="72">
        <f t="shared" si="0"/>
        <v>2</v>
      </c>
      <c r="E48" s="72">
        <f t="shared" si="0"/>
        <v>4.5</v>
      </c>
      <c r="F48" s="72"/>
      <c r="G48" s="72">
        <f>G29+0.3+0.3</f>
        <v>1.5</v>
      </c>
      <c r="H48" s="72">
        <f t="shared" ref="H48:H49" si="1">D48*E48*G48</f>
        <v>13.5</v>
      </c>
      <c r="I48" s="72"/>
      <c r="J48" s="72"/>
      <c r="K48" s="72"/>
      <c r="L48" s="25"/>
    </row>
    <row r="49" spans="2:14">
      <c r="B49" s="81"/>
      <c r="C49" s="19"/>
      <c r="D49" s="72">
        <f t="shared" si="0"/>
        <v>2</v>
      </c>
      <c r="E49" s="72">
        <f t="shared" si="0"/>
        <v>3</v>
      </c>
      <c r="F49" s="72"/>
      <c r="G49" s="72">
        <f>G30+0.3+0.3</f>
        <v>1.5</v>
      </c>
      <c r="H49" s="72">
        <f t="shared" si="1"/>
        <v>9</v>
      </c>
      <c r="I49" s="72"/>
      <c r="J49" s="72"/>
      <c r="K49" s="72"/>
      <c r="L49" s="25"/>
    </row>
    <row r="50" spans="2:14">
      <c r="B50" s="81"/>
      <c r="C50" s="19"/>
      <c r="D50" s="72"/>
      <c r="E50" s="72"/>
      <c r="F50" s="72"/>
      <c r="G50" s="72"/>
      <c r="H50" s="72">
        <f>SUM(H47:H49)</f>
        <v>36</v>
      </c>
      <c r="I50" s="24" t="s">
        <v>40</v>
      </c>
      <c r="J50" s="72">
        <f>'[1]Table of Content 2'!$H$187</f>
        <v>286.77</v>
      </c>
      <c r="K50" s="72">
        <f>H50*J50</f>
        <v>10323.719999999999</v>
      </c>
      <c r="L50" s="25"/>
    </row>
    <row r="51" spans="2:14">
      <c r="B51" s="81"/>
      <c r="C51" s="19" t="s">
        <v>29</v>
      </c>
      <c r="D51" s="72"/>
      <c r="E51" s="72"/>
      <c r="F51" s="72"/>
      <c r="G51" s="72"/>
      <c r="H51" s="72"/>
      <c r="I51" s="72"/>
      <c r="J51" s="72"/>
      <c r="K51" s="72">
        <f>'[1]Update Descrip'!$H$2269/10*H50*0.13</f>
        <v>359.29296000000005</v>
      </c>
      <c r="L51" s="25"/>
    </row>
    <row r="52" spans="2:14">
      <c r="B52" s="81"/>
      <c r="C52" s="19"/>
      <c r="D52" s="72"/>
      <c r="E52" s="72"/>
      <c r="F52" s="72"/>
      <c r="G52" s="72"/>
      <c r="H52" s="72"/>
      <c r="I52" s="72"/>
      <c r="J52" s="72"/>
      <c r="K52" s="72"/>
      <c r="L52" s="25"/>
    </row>
    <row r="53" spans="2:14">
      <c r="B53" s="81"/>
      <c r="C53" s="19"/>
      <c r="D53" s="72"/>
      <c r="E53" s="72"/>
      <c r="F53" s="72"/>
      <c r="G53" s="72"/>
      <c r="H53" s="72"/>
      <c r="I53" s="72"/>
      <c r="J53" s="72"/>
      <c r="K53" s="72"/>
      <c r="L53" s="25"/>
    </row>
    <row r="54" spans="2:14" ht="33" customHeight="1">
      <c r="B54" s="80">
        <v>9</v>
      </c>
      <c r="C54" s="21" t="s">
        <v>87</v>
      </c>
      <c r="D54" s="24">
        <v>1</v>
      </c>
      <c r="E54" s="70"/>
      <c r="F54" s="70"/>
      <c r="G54" s="71"/>
      <c r="H54" s="70">
        <f>+D54</f>
        <v>1</v>
      </c>
      <c r="I54" s="24" t="s">
        <v>34</v>
      </c>
      <c r="J54" s="73">
        <v>4659</v>
      </c>
      <c r="K54" s="73">
        <f>H54*J54</f>
        <v>4659</v>
      </c>
      <c r="L54" s="25"/>
      <c r="N54" s="1" t="s">
        <v>86</v>
      </c>
    </row>
    <row r="55" spans="2:14">
      <c r="B55" s="80"/>
      <c r="C55" s="30" t="s">
        <v>88</v>
      </c>
      <c r="D55" s="24"/>
      <c r="E55" s="70"/>
      <c r="F55" s="70"/>
      <c r="G55" s="71"/>
      <c r="H55" s="70"/>
      <c r="I55" s="24"/>
      <c r="J55" s="73"/>
      <c r="K55" s="73">
        <f>0.13*K54</f>
        <v>605.67000000000007</v>
      </c>
      <c r="L55" s="25"/>
    </row>
    <row r="56" spans="2:14">
      <c r="B56" s="80"/>
      <c r="C56" s="21"/>
      <c r="D56" s="24"/>
      <c r="E56" s="70"/>
      <c r="F56" s="70"/>
      <c r="G56" s="71"/>
      <c r="H56" s="70"/>
      <c r="I56" s="24"/>
      <c r="J56" s="73"/>
      <c r="K56" s="73"/>
      <c r="L56" s="25"/>
    </row>
    <row r="57" spans="2:14" ht="33" customHeight="1">
      <c r="B57" s="80">
        <v>10</v>
      </c>
      <c r="C57" s="21" t="s">
        <v>84</v>
      </c>
      <c r="D57" s="24"/>
      <c r="E57" s="70"/>
      <c r="F57" s="70"/>
      <c r="G57" s="71"/>
      <c r="H57" s="70">
        <v>1</v>
      </c>
      <c r="I57" s="24" t="s">
        <v>34</v>
      </c>
      <c r="J57" s="73">
        <v>9938</v>
      </c>
      <c r="K57" s="73">
        <f>H57*J57</f>
        <v>9938</v>
      </c>
      <c r="L57" s="25"/>
      <c r="N57" s="1" t="s">
        <v>83</v>
      </c>
    </row>
    <row r="58" spans="2:14">
      <c r="B58" s="81"/>
      <c r="C58" s="29" t="s">
        <v>82</v>
      </c>
      <c r="D58" s="24"/>
      <c r="E58" s="24"/>
      <c r="F58" s="24"/>
      <c r="G58" s="70"/>
      <c r="H58" s="24"/>
      <c r="I58" s="24"/>
      <c r="J58" s="73" t="s">
        <v>85</v>
      </c>
      <c r="K58" s="73">
        <f>0.13*K57</f>
        <v>1291.94</v>
      </c>
      <c r="L58" s="25"/>
    </row>
    <row r="59" spans="2:14">
      <c r="B59" s="81"/>
      <c r="C59" s="29"/>
      <c r="D59" s="24"/>
      <c r="E59" s="24"/>
      <c r="F59" s="24"/>
      <c r="G59" s="70"/>
      <c r="H59" s="24"/>
      <c r="I59" s="24"/>
      <c r="J59" s="73"/>
      <c r="K59" s="73"/>
      <c r="L59" s="25"/>
    </row>
    <row r="60" spans="2:14">
      <c r="B60" s="81"/>
      <c r="C60" s="20"/>
      <c r="D60" s="20"/>
      <c r="E60" s="20"/>
      <c r="F60" s="20"/>
      <c r="G60" s="20"/>
      <c r="H60" s="20"/>
      <c r="I60" s="20"/>
      <c r="J60" s="20"/>
      <c r="K60" s="20"/>
      <c r="L60" s="25"/>
    </row>
    <row r="61" spans="2:14" ht="18">
      <c r="B61" s="81" t="s">
        <v>97</v>
      </c>
      <c r="C61" s="82" t="s">
        <v>96</v>
      </c>
      <c r="D61" s="24"/>
      <c r="E61" s="24"/>
      <c r="F61" s="24"/>
      <c r="G61" s="70"/>
      <c r="H61" s="24"/>
      <c r="I61" s="24"/>
      <c r="J61" s="73"/>
      <c r="K61" s="73"/>
      <c r="L61" s="25"/>
    </row>
    <row r="62" spans="2:14">
      <c r="B62" s="81"/>
      <c r="C62" s="29"/>
      <c r="D62" s="24"/>
      <c r="E62" s="24"/>
      <c r="F62" s="24"/>
      <c r="G62" s="70"/>
      <c r="H62" s="24"/>
      <c r="I62" s="24"/>
      <c r="J62" s="73"/>
      <c r="K62" s="73"/>
      <c r="L62" s="25"/>
    </row>
    <row r="63" spans="2:14" ht="36">
      <c r="B63" s="80">
        <v>11</v>
      </c>
      <c r="C63" s="89" t="s">
        <v>98</v>
      </c>
      <c r="D63" s="70">
        <v>2</v>
      </c>
      <c r="E63" s="70">
        <f>25/3.28</f>
        <v>7.6219512195121952</v>
      </c>
      <c r="F63" s="70">
        <f>17/3.28</f>
        <v>5.1829268292682933</v>
      </c>
      <c r="G63" s="70"/>
      <c r="H63" s="70">
        <f>F63*E63*D63</f>
        <v>79.008030933967888</v>
      </c>
      <c r="I63" s="70" t="s">
        <v>90</v>
      </c>
      <c r="J63" s="70">
        <f>'[2]Table of Content 2'!$H$329</f>
        <v>68.400000000000006</v>
      </c>
      <c r="K63" s="70">
        <f>H63*J63</f>
        <v>5404.1493158834037</v>
      </c>
      <c r="L63" s="25"/>
    </row>
    <row r="64" spans="2:14">
      <c r="B64" s="81"/>
      <c r="C64" s="29"/>
      <c r="D64" s="24"/>
      <c r="E64" s="24"/>
      <c r="F64" s="24"/>
      <c r="G64" s="70"/>
      <c r="H64" s="24"/>
      <c r="I64" s="24"/>
      <c r="J64" s="73"/>
      <c r="K64" s="73"/>
      <c r="L64" s="25"/>
    </row>
    <row r="65" spans="2:14" ht="36">
      <c r="B65" s="81">
        <v>12</v>
      </c>
      <c r="C65" s="89" t="s">
        <v>99</v>
      </c>
      <c r="D65" s="24">
        <v>2</v>
      </c>
      <c r="E65" s="24">
        <f>E63</f>
        <v>7.6219512195121952</v>
      </c>
      <c r="F65" s="24">
        <f>F63</f>
        <v>5.1829268292682933</v>
      </c>
      <c r="G65" s="70"/>
      <c r="H65" s="70">
        <f>F65*E65*D65</f>
        <v>79.008030933967888</v>
      </c>
      <c r="I65" s="70" t="s">
        <v>90</v>
      </c>
      <c r="J65" s="73">
        <v>369.1</v>
      </c>
      <c r="K65" s="73">
        <f>H65*J65</f>
        <v>29161.864217727551</v>
      </c>
      <c r="L65" s="25"/>
    </row>
    <row r="66" spans="2:14">
      <c r="B66" s="81"/>
      <c r="C66" s="29" t="s">
        <v>81</v>
      </c>
      <c r="D66" s="24"/>
      <c r="E66" s="24"/>
      <c r="F66" s="24"/>
      <c r="G66" s="70"/>
      <c r="H66" s="70"/>
      <c r="I66" s="70"/>
      <c r="J66" s="73"/>
      <c r="K66" s="73">
        <f>124.6*H65*0.13</f>
        <v>1279.772085068412</v>
      </c>
      <c r="L66" s="25"/>
    </row>
    <row r="67" spans="2:14" ht="72">
      <c r="B67" s="81">
        <v>13</v>
      </c>
      <c r="C67" s="89" t="s">
        <v>92</v>
      </c>
      <c r="D67" s="24">
        <v>1</v>
      </c>
      <c r="E67" s="24">
        <f>E65</f>
        <v>7.6219512195121952</v>
      </c>
      <c r="F67" s="24"/>
      <c r="G67" s="70"/>
      <c r="H67" s="24">
        <f>E67</f>
        <v>7.6219512195121952</v>
      </c>
      <c r="I67" s="24" t="s">
        <v>91</v>
      </c>
      <c r="J67" s="73">
        <f>'[1]Table of Content 2'!$H$412</f>
        <v>2761</v>
      </c>
      <c r="K67" s="73">
        <f>H67*J67</f>
        <v>21044.207317073171</v>
      </c>
      <c r="L67" s="25"/>
    </row>
    <row r="68" spans="2:14">
      <c r="B68" s="81"/>
      <c r="C68" s="29" t="s">
        <v>81</v>
      </c>
      <c r="D68" s="24"/>
      <c r="E68" s="24"/>
      <c r="F68" s="24"/>
      <c r="G68" s="70"/>
      <c r="H68" s="24"/>
      <c r="I68" s="24"/>
      <c r="J68" s="73"/>
      <c r="K68" s="73">
        <f>2491*H67*0.13</f>
        <v>2468.2164634146343</v>
      </c>
      <c r="L68" s="25"/>
      <c r="N68" s="1">
        <f>17/3.28</f>
        <v>5.1829268292682933</v>
      </c>
    </row>
    <row r="69" spans="2:14">
      <c r="B69" s="81"/>
      <c r="C69" s="29"/>
      <c r="D69" s="24"/>
      <c r="E69" s="24"/>
      <c r="F69" s="24"/>
      <c r="G69" s="70"/>
      <c r="H69" s="24"/>
      <c r="I69" s="24"/>
      <c r="J69" s="73"/>
      <c r="K69" s="73"/>
      <c r="L69" s="25"/>
      <c r="N69" s="1" t="e">
        <f>#REF!*N68*2*68.4</f>
        <v>#REF!</v>
      </c>
    </row>
    <row r="70" spans="2:14" ht="33" customHeight="1">
      <c r="B70" s="81">
        <v>14</v>
      </c>
      <c r="C70" s="18" t="s">
        <v>89</v>
      </c>
      <c r="D70" s="24">
        <v>1</v>
      </c>
      <c r="E70" s="24"/>
      <c r="F70" s="24"/>
      <c r="G70" s="24"/>
      <c r="H70" s="24">
        <v>1</v>
      </c>
      <c r="I70" s="24" t="s">
        <v>34</v>
      </c>
      <c r="J70" s="73">
        <v>1000</v>
      </c>
      <c r="K70" s="73">
        <f>H70*J70</f>
        <v>1000</v>
      </c>
      <c r="L70" s="25"/>
    </row>
    <row r="71" spans="2:14" ht="17.25" thickBot="1">
      <c r="B71" s="22"/>
      <c r="C71" s="26"/>
      <c r="D71" s="76"/>
      <c r="E71" s="77"/>
      <c r="F71" s="77"/>
      <c r="G71" s="77"/>
      <c r="H71" s="77"/>
      <c r="I71" s="76"/>
      <c r="J71" s="77"/>
      <c r="K71" s="78">
        <f>SUM(K8:K70)</f>
        <v>225811.19671183656</v>
      </c>
      <c r="L71" s="23"/>
    </row>
    <row r="72" spans="2:14">
      <c r="C72" s="9"/>
      <c r="D72" s="10"/>
      <c r="E72" s="10"/>
      <c r="F72" s="10"/>
      <c r="G72" s="10"/>
      <c r="H72" s="10"/>
      <c r="I72" s="10"/>
      <c r="J72" s="10"/>
      <c r="K72" s="11"/>
      <c r="L72" s="8"/>
    </row>
    <row r="73" spans="2:14">
      <c r="C73" s="5"/>
      <c r="E73" s="2"/>
      <c r="F73" s="2"/>
      <c r="H73" s="2"/>
      <c r="I73" s="65" t="s">
        <v>12</v>
      </c>
      <c r="J73" s="65"/>
      <c r="K73" s="65" t="s">
        <v>71</v>
      </c>
      <c r="L73" s="65" t="s">
        <v>72</v>
      </c>
    </row>
    <row r="74" spans="2:14">
      <c r="C74" s="5"/>
      <c r="H74" s="64"/>
      <c r="I74" s="66" t="s">
        <v>13</v>
      </c>
      <c r="J74" s="67"/>
      <c r="K74" s="67">
        <f>+K71</f>
        <v>225811.19671183656</v>
      </c>
      <c r="L74" s="67"/>
    </row>
    <row r="75" spans="2:14">
      <c r="C75" s="5"/>
      <c r="H75" s="64"/>
      <c r="I75" s="66" t="s">
        <v>14</v>
      </c>
      <c r="J75" s="68"/>
      <c r="K75" s="67">
        <v>200000</v>
      </c>
      <c r="L75" s="68">
        <v>100</v>
      </c>
    </row>
    <row r="76" spans="2:14">
      <c r="C76" s="5"/>
      <c r="H76" s="64"/>
      <c r="I76" s="66" t="s">
        <v>19</v>
      </c>
      <c r="J76" s="68"/>
      <c r="K76" s="67">
        <f>0.95*K75</f>
        <v>190000</v>
      </c>
      <c r="L76" s="68">
        <f>K76/K74*100</f>
        <v>84.141089001208329</v>
      </c>
    </row>
    <row r="77" spans="2:14">
      <c r="C77" s="5"/>
      <c r="H77" s="64"/>
      <c r="I77" s="66" t="s">
        <v>15</v>
      </c>
      <c r="J77" s="68"/>
      <c r="K77" s="67">
        <f>K74-K76</f>
        <v>35811.196711836557</v>
      </c>
      <c r="L77" s="68">
        <f>K77/K75*100</f>
        <v>17.905598355918279</v>
      </c>
    </row>
    <row r="78" spans="2:14">
      <c r="C78" s="5"/>
      <c r="H78" s="64"/>
      <c r="I78" s="66" t="s">
        <v>20</v>
      </c>
      <c r="J78" s="68"/>
      <c r="K78" s="67">
        <f>L78*K75/100</f>
        <v>4000</v>
      </c>
      <c r="L78" s="68">
        <v>2</v>
      </c>
    </row>
    <row r="79" spans="2:14">
      <c r="C79" s="5"/>
      <c r="H79" s="63"/>
      <c r="I79" s="66" t="s">
        <v>21</v>
      </c>
      <c r="J79" s="68"/>
      <c r="K79" s="68">
        <f>L79*K75/100</f>
        <v>6000</v>
      </c>
      <c r="L79" s="68">
        <v>3</v>
      </c>
    </row>
    <row r="80" spans="2:14">
      <c r="G80" s="62"/>
    </row>
  </sheetData>
  <mergeCells count="8">
    <mergeCell ref="O6:R6"/>
    <mergeCell ref="B6:G6"/>
    <mergeCell ref="I6:L6"/>
    <mergeCell ref="A1:L1"/>
    <mergeCell ref="A2:L2"/>
    <mergeCell ref="A3:L3"/>
    <mergeCell ref="A4:L4"/>
    <mergeCell ref="K5:L5"/>
  </mergeCells>
  <phoneticPr fontId="69" type="noConversion"/>
  <printOptions horizontalCentered="1"/>
  <pageMargins left="0.5" right="0.5" top="0.38" bottom="0.7" header="0.31496062992126" footer="0.31496062992126"/>
  <pageSetup scale="70" fitToHeight="2" orientation="portrait" r:id="rId1"/>
  <headerFooter>
    <oddHeader>&amp;RPage &amp;P of &amp;N</oddHeader>
  </headerFooter>
  <rowBreaks count="2" manualBreakCount="2">
    <brk id="35" max="11" man="1"/>
    <brk id="7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opLeftCell="A6" zoomScaleNormal="100" workbookViewId="0">
      <selection sqref="A1:J11"/>
    </sheetView>
  </sheetViews>
  <sheetFormatPr defaultRowHeight="15"/>
  <cols>
    <col min="1" max="1" width="7.42578125" customWidth="1"/>
    <col min="2" max="2" width="39" customWidth="1"/>
    <col min="3" max="3" width="11.5703125" customWidth="1"/>
    <col min="4" max="4" width="10.85546875" bestFit="1" customWidth="1"/>
    <col min="5" max="5" width="13.140625" customWidth="1"/>
    <col min="6" max="6" width="11.28515625" customWidth="1"/>
    <col min="7" max="7" width="10.7109375" customWidth="1"/>
    <col min="8" max="8" width="12.5703125" customWidth="1"/>
    <col min="9" max="9" width="11.140625" customWidth="1"/>
    <col min="10" max="10" width="11" customWidth="1"/>
  </cols>
  <sheetData>
    <row r="1" spans="1:10">
      <c r="A1" s="166" t="s">
        <v>11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25.5">
      <c r="A2" s="167" t="s">
        <v>52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ht="18.75">
      <c r="A3" s="168" t="s">
        <v>53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>
      <c r="A4" s="169" t="s">
        <v>54</v>
      </c>
      <c r="B4" s="169"/>
      <c r="C4" s="169"/>
      <c r="D4" s="169"/>
      <c r="E4" s="169"/>
      <c r="F4" s="169"/>
      <c r="G4" s="169"/>
      <c r="H4" s="169"/>
      <c r="I4" s="169"/>
      <c r="J4" s="169"/>
    </row>
    <row r="5" spans="1:10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ht="15.75">
      <c r="A6" s="31" t="s">
        <v>55</v>
      </c>
      <c r="B6" s="31"/>
      <c r="C6" s="170" t="e">
        <f>E51</f>
        <v>#REF!</v>
      </c>
      <c r="D6" s="171"/>
      <c r="E6" s="31"/>
      <c r="F6" s="31"/>
      <c r="G6" s="31" t="s">
        <v>56</v>
      </c>
      <c r="H6" s="31"/>
      <c r="I6" s="170" t="e">
        <f>H51</f>
        <v>#REF!</v>
      </c>
      <c r="J6" s="171"/>
    </row>
    <row r="7" spans="1:10">
      <c r="A7" s="32"/>
      <c r="B7" s="32"/>
      <c r="C7" s="161"/>
      <c r="D7" s="161"/>
      <c r="E7" s="161"/>
      <c r="F7" s="161"/>
      <c r="H7" s="162"/>
      <c r="I7" s="162"/>
      <c r="J7" s="162"/>
    </row>
    <row r="8" spans="1:10" ht="16.5">
      <c r="A8" t="s">
        <v>57</v>
      </c>
      <c r="B8" s="33" t="e">
        <f>#REF!</f>
        <v>#REF!</v>
      </c>
      <c r="D8" s="34"/>
      <c r="G8" s="35"/>
      <c r="J8" s="36" t="s">
        <v>58</v>
      </c>
    </row>
    <row r="9" spans="1:10">
      <c r="A9" t="s">
        <v>59</v>
      </c>
      <c r="D9" s="34"/>
      <c r="G9" s="35"/>
      <c r="J9" s="36" t="s">
        <v>68</v>
      </c>
    </row>
    <row r="10" spans="1:10">
      <c r="A10" s="163" t="s">
        <v>60</v>
      </c>
      <c r="B10" s="163" t="s">
        <v>12</v>
      </c>
      <c r="C10" s="165" t="s">
        <v>61</v>
      </c>
      <c r="D10" s="165"/>
      <c r="E10" s="165"/>
      <c r="F10" s="165" t="s">
        <v>62</v>
      </c>
      <c r="G10" s="165"/>
      <c r="H10" s="165"/>
      <c r="I10" s="163" t="s">
        <v>63</v>
      </c>
      <c r="J10" s="163" t="s">
        <v>10</v>
      </c>
    </row>
    <row r="11" spans="1:10">
      <c r="A11" s="164"/>
      <c r="B11" s="164"/>
      <c r="C11" s="39" t="s">
        <v>64</v>
      </c>
      <c r="D11" s="40" t="s">
        <v>8</v>
      </c>
      <c r="E11" s="39" t="s">
        <v>65</v>
      </c>
      <c r="F11" s="39" t="s">
        <v>64</v>
      </c>
      <c r="G11" s="39" t="s">
        <v>8</v>
      </c>
      <c r="H11" s="39" t="s">
        <v>66</v>
      </c>
      <c r="I11" s="164"/>
      <c r="J11" s="164"/>
    </row>
    <row r="12" spans="1:10" ht="15.75">
      <c r="A12" s="47">
        <v>1</v>
      </c>
      <c r="B12" s="48" t="s">
        <v>44</v>
      </c>
      <c r="C12" s="41" t="e">
        <f>ESTIMATE!#REF!</f>
        <v>#REF!</v>
      </c>
      <c r="D12" s="41" t="e">
        <f>ESTIMATE!#REF!</f>
        <v>#REF!</v>
      </c>
      <c r="E12" s="41" t="e">
        <f>ESTIMATE!#REF!</f>
        <v>#REF!</v>
      </c>
      <c r="F12" s="41" t="e">
        <f>#REF!</f>
        <v>#REF!</v>
      </c>
      <c r="G12" s="41" t="e">
        <f>#REF!</f>
        <v>#REF!</v>
      </c>
      <c r="H12" s="41" t="e">
        <f>#REF!</f>
        <v>#REF!</v>
      </c>
      <c r="I12" s="42" t="e">
        <f>F12-C12</f>
        <v>#REF!</v>
      </c>
      <c r="J12" s="43"/>
    </row>
    <row r="13" spans="1:10" ht="15.75">
      <c r="A13" s="49"/>
      <c r="B13" s="50"/>
      <c r="C13" s="43"/>
      <c r="D13" s="43"/>
      <c r="E13" s="43"/>
      <c r="F13" s="43"/>
      <c r="G13" s="43"/>
      <c r="H13" s="43"/>
      <c r="I13" s="42"/>
      <c r="J13" s="43"/>
    </row>
    <row r="14" spans="1:10" ht="31.5">
      <c r="A14" s="49">
        <v>2</v>
      </c>
      <c r="B14" s="50" t="s">
        <v>43</v>
      </c>
      <c r="C14" s="41">
        <f>ESTIMATE!H10</f>
        <v>1.35</v>
      </c>
      <c r="D14" s="41">
        <f>ESTIMATE!J10</f>
        <v>9900</v>
      </c>
      <c r="E14" s="41">
        <f>ESTIMATE!K10</f>
        <v>13365</v>
      </c>
      <c r="F14" s="41" t="e">
        <f>#REF!</f>
        <v>#REF!</v>
      </c>
      <c r="G14" s="41" t="e">
        <f>#REF!</f>
        <v>#REF!</v>
      </c>
      <c r="H14" s="41" t="e">
        <f>#REF!</f>
        <v>#REF!</v>
      </c>
      <c r="I14" s="42" t="e">
        <f>F14-C14</f>
        <v>#REF!</v>
      </c>
      <c r="J14" s="43"/>
    </row>
    <row r="15" spans="1:10" ht="15.75">
      <c r="A15" s="49"/>
      <c r="B15" s="50"/>
      <c r="C15" s="41"/>
      <c r="D15" s="43"/>
      <c r="E15" s="43"/>
      <c r="F15" s="43"/>
      <c r="G15" s="43"/>
      <c r="H15" s="43"/>
      <c r="I15" s="42"/>
      <c r="J15" s="43"/>
    </row>
    <row r="16" spans="1:10" ht="15.75">
      <c r="A16" s="49">
        <v>3</v>
      </c>
      <c r="B16" s="51" t="s">
        <v>36</v>
      </c>
      <c r="C16" s="41">
        <f>ESTIMATE!H14</f>
        <v>21</v>
      </c>
      <c r="D16" s="41">
        <f>ESTIMATE!J14</f>
        <v>97.2</v>
      </c>
      <c r="E16" s="41">
        <f>ESTIMATE!K14</f>
        <v>2041.2</v>
      </c>
      <c r="F16" s="41" t="e">
        <f>#REF!</f>
        <v>#REF!</v>
      </c>
      <c r="G16" s="41" t="e">
        <f>#REF!</f>
        <v>#REF!</v>
      </c>
      <c r="H16" s="41" t="e">
        <f>#REF!</f>
        <v>#REF!</v>
      </c>
      <c r="I16" s="42" t="e">
        <f>F16-C16</f>
        <v>#REF!</v>
      </c>
      <c r="J16" s="43"/>
    </row>
    <row r="17" spans="1:13" ht="15.75">
      <c r="A17" s="49"/>
      <c r="B17" s="52" t="s">
        <v>37</v>
      </c>
      <c r="C17" s="43"/>
      <c r="D17" s="43"/>
      <c r="E17" s="41">
        <f>ESTIMATE!K15</f>
        <v>0</v>
      </c>
      <c r="F17" s="43"/>
      <c r="G17" s="43"/>
      <c r="H17" s="41" t="e">
        <f>#REF!</f>
        <v>#REF!</v>
      </c>
      <c r="I17" s="42"/>
      <c r="J17" s="43"/>
    </row>
    <row r="18" spans="1:13" ht="15.75">
      <c r="A18" s="49"/>
      <c r="B18" s="52"/>
      <c r="C18" s="43"/>
      <c r="D18" s="43"/>
      <c r="E18" s="43"/>
      <c r="F18" s="43"/>
      <c r="G18" s="43"/>
      <c r="H18" s="43"/>
      <c r="I18" s="42"/>
      <c r="J18" s="43"/>
    </row>
    <row r="19" spans="1:13" ht="15.75">
      <c r="A19" s="49">
        <v>4</v>
      </c>
      <c r="B19" s="51" t="s">
        <v>42</v>
      </c>
      <c r="C19" s="41" t="e">
        <f>ESTIMATE!#REF!</f>
        <v>#REF!</v>
      </c>
      <c r="D19" s="41" t="e">
        <f>ESTIMATE!#REF!</f>
        <v>#REF!</v>
      </c>
      <c r="E19" s="41" t="e">
        <f>ESTIMATE!#REF!</f>
        <v>#REF!</v>
      </c>
      <c r="F19" s="41" t="e">
        <f>#REF!</f>
        <v>#REF!</v>
      </c>
      <c r="G19" s="41" t="e">
        <f>#REF!</f>
        <v>#REF!</v>
      </c>
      <c r="H19" s="41" t="e">
        <f>#REF!</f>
        <v>#REF!</v>
      </c>
      <c r="I19" s="42" t="e">
        <f>F19-C19</f>
        <v>#REF!</v>
      </c>
      <c r="J19" s="43"/>
      <c r="M19" s="38"/>
    </row>
    <row r="20" spans="1:13" ht="15.75">
      <c r="A20" s="49"/>
      <c r="B20" s="53" t="s">
        <v>37</v>
      </c>
      <c r="C20" s="43"/>
      <c r="D20" s="43"/>
      <c r="E20" s="41" t="e">
        <f>ESTIMATE!#REF!</f>
        <v>#REF!</v>
      </c>
      <c r="F20" s="43"/>
      <c r="G20" s="43"/>
      <c r="H20" s="41" t="e">
        <f>#REF!</f>
        <v>#REF!</v>
      </c>
      <c r="I20" s="42"/>
      <c r="J20" s="43"/>
    </row>
    <row r="21" spans="1:13" ht="15.75">
      <c r="A21" s="49"/>
      <c r="B21" s="52"/>
      <c r="C21" s="43"/>
      <c r="D21" s="43"/>
      <c r="E21" s="43"/>
      <c r="F21" s="43"/>
      <c r="G21" s="43"/>
      <c r="H21" s="43"/>
      <c r="I21" s="42"/>
      <c r="J21" s="43"/>
    </row>
    <row r="22" spans="1:13" ht="15.75">
      <c r="A22" s="49">
        <v>5</v>
      </c>
      <c r="B22" s="51" t="s">
        <v>49</v>
      </c>
      <c r="C22" s="41">
        <f>ESTIMATE!H19</f>
        <v>1.917987804878049</v>
      </c>
      <c r="D22" s="41">
        <f>ESTIMATE!J19</f>
        <v>14911.97</v>
      </c>
      <c r="E22" s="41">
        <f>ESTIMATE!K19</f>
        <v>28600.976606707318</v>
      </c>
      <c r="F22" s="41" t="e">
        <f>#REF!</f>
        <v>#REF!</v>
      </c>
      <c r="G22" s="41" t="e">
        <f>#REF!</f>
        <v>#REF!</v>
      </c>
      <c r="H22" s="41" t="e">
        <f>#REF!</f>
        <v>#REF!</v>
      </c>
      <c r="I22" s="42" t="e">
        <f>F22-C22</f>
        <v>#REF!</v>
      </c>
      <c r="J22" s="43"/>
    </row>
    <row r="23" spans="1:13" ht="15.75">
      <c r="A23" s="49"/>
      <c r="B23" s="53" t="s">
        <v>29</v>
      </c>
      <c r="C23" s="43"/>
      <c r="D23" s="43"/>
      <c r="E23" s="41">
        <f>ESTIMATE!K20</f>
        <v>359.82026615853664</v>
      </c>
      <c r="F23" s="43"/>
      <c r="G23" s="43"/>
      <c r="H23" s="41" t="e">
        <f>#REF!</f>
        <v>#REF!</v>
      </c>
      <c r="I23" s="42"/>
      <c r="J23" s="43"/>
    </row>
    <row r="24" spans="1:13" ht="15.75">
      <c r="A24" s="49"/>
      <c r="B24" s="53" t="s">
        <v>38</v>
      </c>
      <c r="C24" s="43"/>
      <c r="D24" s="43"/>
      <c r="E24" s="41">
        <f>ESTIMATE!K21</f>
        <v>175.0255935365854</v>
      </c>
      <c r="F24" s="43"/>
      <c r="G24" s="43"/>
      <c r="H24" s="41" t="e">
        <f>#REF!</f>
        <v>#REF!</v>
      </c>
      <c r="I24" s="42"/>
      <c r="J24" s="43"/>
    </row>
    <row r="25" spans="1:13" ht="15.75">
      <c r="A25" s="49"/>
      <c r="B25" s="53" t="s">
        <v>30</v>
      </c>
      <c r="C25" s="43"/>
      <c r="D25" s="43"/>
      <c r="E25" s="41">
        <f>ESTIMATE!K22</f>
        <v>2185.4811248780493</v>
      </c>
      <c r="F25" s="43"/>
      <c r="G25" s="43"/>
      <c r="H25" s="41" t="e">
        <f>#REF!</f>
        <v>#REF!</v>
      </c>
      <c r="I25" s="42"/>
      <c r="J25" s="43"/>
    </row>
    <row r="26" spans="1:13" ht="15.75">
      <c r="A26" s="49"/>
      <c r="B26" s="53"/>
      <c r="C26" s="43"/>
      <c r="D26" s="43"/>
      <c r="E26" s="43"/>
      <c r="F26" s="43"/>
      <c r="G26" s="43"/>
      <c r="H26" s="43"/>
      <c r="I26" s="42"/>
      <c r="J26" s="43"/>
    </row>
    <row r="27" spans="1:13" ht="31.5">
      <c r="A27" s="49">
        <v>6</v>
      </c>
      <c r="B27" s="54" t="s">
        <v>25</v>
      </c>
      <c r="C27" s="41">
        <f>ESTIMATE!H31</f>
        <v>3.0375000000000001</v>
      </c>
      <c r="D27" s="41">
        <f>ESTIMATE!J31</f>
        <v>17107.900000000001</v>
      </c>
      <c r="E27" s="41">
        <f>ESTIMATE!K31</f>
        <v>51965.246250000004</v>
      </c>
      <c r="F27" s="41" t="e">
        <f>#REF!</f>
        <v>#REF!</v>
      </c>
      <c r="G27" s="41" t="e">
        <f>#REF!</f>
        <v>#REF!</v>
      </c>
      <c r="H27" s="41" t="e">
        <f>#REF!</f>
        <v>#REF!</v>
      </c>
      <c r="I27" s="42" t="e">
        <f>F27-C27</f>
        <v>#REF!</v>
      </c>
      <c r="J27" s="43"/>
    </row>
    <row r="28" spans="1:13" ht="15.75">
      <c r="A28" s="49"/>
      <c r="B28" s="53" t="s">
        <v>29</v>
      </c>
      <c r="C28" s="43"/>
      <c r="D28" s="43"/>
      <c r="E28" s="41">
        <f>ESTIMATE!K32</f>
        <v>2279.3764500000002</v>
      </c>
      <c r="F28" s="43"/>
      <c r="G28" s="43"/>
      <c r="H28" s="41" t="e">
        <f>#REF!</f>
        <v>#REF!</v>
      </c>
      <c r="I28" s="42"/>
      <c r="J28" s="43"/>
    </row>
    <row r="29" spans="1:13" ht="15.75">
      <c r="A29" s="49"/>
      <c r="B29" s="53" t="s">
        <v>31</v>
      </c>
      <c r="C29" s="43"/>
      <c r="D29" s="43"/>
      <c r="E29" s="41">
        <f>ESTIMATE!K33</f>
        <v>420.72746625000002</v>
      </c>
      <c r="F29" s="43"/>
      <c r="G29" s="43"/>
      <c r="H29" s="41" t="e">
        <f>#REF!</f>
        <v>#REF!</v>
      </c>
      <c r="I29" s="42"/>
      <c r="J29" s="43"/>
    </row>
    <row r="30" spans="1:13" ht="15.75">
      <c r="A30" s="49"/>
      <c r="B30" s="53" t="s">
        <v>30</v>
      </c>
      <c r="C30" s="43"/>
      <c r="D30" s="43"/>
      <c r="E30" s="41">
        <f>ESTIMATE!K34</f>
        <v>1166.4725962500002</v>
      </c>
      <c r="F30" s="43"/>
      <c r="G30" s="43"/>
      <c r="H30" s="41" t="e">
        <f>#REF!</f>
        <v>#REF!</v>
      </c>
      <c r="I30" s="42"/>
      <c r="J30" s="43"/>
    </row>
    <row r="31" spans="1:13" ht="15.75">
      <c r="A31" s="49"/>
      <c r="B31" s="53"/>
      <c r="C31" s="43"/>
      <c r="D31" s="43"/>
      <c r="E31" s="43"/>
      <c r="F31" s="43"/>
      <c r="G31" s="43"/>
      <c r="H31" s="43"/>
      <c r="I31" s="42"/>
      <c r="J31" s="43"/>
    </row>
    <row r="32" spans="1:13" ht="15.75">
      <c r="A32" s="51">
        <v>7</v>
      </c>
      <c r="B32" s="55" t="s">
        <v>26</v>
      </c>
      <c r="C32" s="42" t="e">
        <f>ESTIMATE!#REF!</f>
        <v>#REF!</v>
      </c>
      <c r="D32" s="41" t="e">
        <f>ESTIMATE!#REF!</f>
        <v>#REF!</v>
      </c>
      <c r="E32" s="41" t="e">
        <f>ESTIMATE!#REF!</f>
        <v>#REF!</v>
      </c>
      <c r="F32" s="42" t="e">
        <f>#REF!</f>
        <v>#REF!</v>
      </c>
      <c r="G32" s="41" t="e">
        <f>#REF!</f>
        <v>#REF!</v>
      </c>
      <c r="H32" s="41" t="e">
        <f>#REF!</f>
        <v>#REF!</v>
      </c>
      <c r="I32" s="42" t="e">
        <f>F32-C32</f>
        <v>#REF!</v>
      </c>
      <c r="J32" s="43"/>
    </row>
    <row r="33" spans="1:10" ht="15.75">
      <c r="A33" s="51"/>
      <c r="B33" s="53" t="s">
        <v>29</v>
      </c>
      <c r="C33" s="43"/>
      <c r="D33" s="43"/>
      <c r="E33" s="41">
        <f>ESTIMATE!K37</f>
        <v>329.24326500000001</v>
      </c>
      <c r="F33" s="43"/>
      <c r="G33" s="43"/>
      <c r="H33" s="41" t="e">
        <f>#REF!</f>
        <v>#REF!</v>
      </c>
      <c r="I33" s="42"/>
      <c r="J33" s="43"/>
    </row>
    <row r="34" spans="1:10" ht="15.75">
      <c r="A34" s="49"/>
      <c r="B34" s="53"/>
      <c r="C34" s="43"/>
      <c r="D34" s="43"/>
      <c r="E34" s="43"/>
      <c r="F34" s="43"/>
      <c r="G34" s="43"/>
      <c r="H34" s="43"/>
      <c r="I34" s="42"/>
      <c r="J34" s="43"/>
    </row>
    <row r="35" spans="1:10" ht="15.75">
      <c r="A35" s="49">
        <v>8</v>
      </c>
      <c r="B35" s="50" t="s">
        <v>39</v>
      </c>
      <c r="C35" s="41">
        <f>ESTIMATE!H43</f>
        <v>22.5</v>
      </c>
      <c r="D35" s="41">
        <f>ESTIMATE!J43</f>
        <v>402.23</v>
      </c>
      <c r="E35" s="41">
        <f>ESTIMATE!K43</f>
        <v>9050.1750000000011</v>
      </c>
      <c r="F35" s="41" t="e">
        <f>#REF!</f>
        <v>#REF!</v>
      </c>
      <c r="G35" s="41" t="e">
        <f>#REF!</f>
        <v>#REF!</v>
      </c>
      <c r="H35" s="41" t="e">
        <f>#REF!</f>
        <v>#REF!</v>
      </c>
      <c r="I35" s="42" t="e">
        <f>F35-C35</f>
        <v>#REF!</v>
      </c>
      <c r="J35" s="43"/>
    </row>
    <row r="36" spans="1:10" ht="15.75">
      <c r="A36" s="49"/>
      <c r="B36" s="53" t="s">
        <v>29</v>
      </c>
      <c r="C36" s="43"/>
      <c r="D36" s="43"/>
      <c r="E36" s="41">
        <f>ESTIMATE!K44</f>
        <v>227.0931975</v>
      </c>
      <c r="F36" s="43"/>
      <c r="G36" s="43"/>
      <c r="H36" s="41" t="e">
        <f>#REF!</f>
        <v>#REF!</v>
      </c>
      <c r="I36" s="42"/>
      <c r="J36" s="43"/>
    </row>
    <row r="37" spans="1:10" ht="15.75">
      <c r="A37" s="49"/>
      <c r="B37" s="53" t="s">
        <v>30</v>
      </c>
      <c r="C37" s="43"/>
      <c r="D37" s="43"/>
      <c r="E37" s="41">
        <f>ESTIMATE!K45</f>
        <v>107.0617275</v>
      </c>
      <c r="F37" s="43"/>
      <c r="G37" s="43"/>
      <c r="H37" s="41" t="e">
        <f>#REF!</f>
        <v>#REF!</v>
      </c>
      <c r="I37" s="42"/>
      <c r="J37" s="43"/>
    </row>
    <row r="38" spans="1:10" ht="15.75">
      <c r="A38" s="51"/>
      <c r="B38" s="53"/>
      <c r="C38" s="43"/>
      <c r="D38" s="43"/>
      <c r="E38" s="43"/>
      <c r="F38" s="43"/>
      <c r="G38" s="43"/>
      <c r="H38" s="43"/>
      <c r="I38" s="42"/>
      <c r="J38" s="43"/>
    </row>
    <row r="39" spans="1:10" ht="15.75">
      <c r="A39" s="49">
        <v>9</v>
      </c>
      <c r="B39" s="50" t="s">
        <v>41</v>
      </c>
      <c r="C39" s="41">
        <f>ESTIMATE!H54</f>
        <v>1</v>
      </c>
      <c r="D39" s="41">
        <f>ESTIMATE!J54</f>
        <v>4659</v>
      </c>
      <c r="E39" s="41">
        <f>ESTIMATE!K54</f>
        <v>4659</v>
      </c>
      <c r="F39" s="41" t="e">
        <f>#REF!</f>
        <v>#REF!</v>
      </c>
      <c r="G39" s="41" t="e">
        <f>#REF!</f>
        <v>#REF!</v>
      </c>
      <c r="H39" s="41" t="e">
        <f>#REF!</f>
        <v>#REF!</v>
      </c>
      <c r="I39" s="42" t="e">
        <f>F39-C39</f>
        <v>#REF!</v>
      </c>
      <c r="J39" s="43"/>
    </row>
    <row r="40" spans="1:10" ht="15.75">
      <c r="A40" s="49"/>
      <c r="B40" s="50"/>
      <c r="C40" s="43"/>
      <c r="D40" s="43"/>
      <c r="E40" s="43"/>
      <c r="F40" s="43"/>
      <c r="G40" s="43"/>
      <c r="H40" s="43"/>
      <c r="I40" s="42"/>
      <c r="J40" s="43"/>
    </row>
    <row r="41" spans="1:10" ht="15.75">
      <c r="A41" s="51">
        <v>10</v>
      </c>
      <c r="B41" s="55" t="s">
        <v>45</v>
      </c>
      <c r="C41" s="42" t="e">
        <f>ESTIMATE!#REF!</f>
        <v>#REF!</v>
      </c>
      <c r="D41" s="41" t="e">
        <f>ESTIMATE!#REF!</f>
        <v>#REF!</v>
      </c>
      <c r="E41" s="41" t="e">
        <f>ESTIMATE!#REF!</f>
        <v>#REF!</v>
      </c>
      <c r="F41" s="42" t="e">
        <f>#REF!</f>
        <v>#REF!</v>
      </c>
      <c r="G41" s="41" t="e">
        <f>#REF!</f>
        <v>#REF!</v>
      </c>
      <c r="H41" s="41" t="e">
        <f>#REF!</f>
        <v>#REF!</v>
      </c>
      <c r="I41" s="42" t="e">
        <f>F41-C41</f>
        <v>#REF!</v>
      </c>
      <c r="J41" s="43"/>
    </row>
    <row r="42" spans="1:10" ht="15.75">
      <c r="A42" s="51"/>
      <c r="B42" s="56" t="s">
        <v>50</v>
      </c>
      <c r="C42" s="43"/>
      <c r="D42" s="41"/>
      <c r="E42" s="41" t="e">
        <f>ESTIMATE!#REF!</f>
        <v>#REF!</v>
      </c>
      <c r="F42" s="43"/>
      <c r="G42" s="43"/>
      <c r="H42" s="41" t="e">
        <f>#REF!</f>
        <v>#REF!</v>
      </c>
      <c r="I42" s="42"/>
      <c r="J42" s="43"/>
    </row>
    <row r="43" spans="1:10" ht="15.75">
      <c r="A43" s="51"/>
      <c r="B43" s="55"/>
      <c r="C43" s="43"/>
      <c r="D43" s="43"/>
      <c r="E43" s="43"/>
      <c r="F43" s="43"/>
      <c r="G43" s="43"/>
      <c r="H43" s="43"/>
      <c r="I43" s="42"/>
      <c r="J43" s="43"/>
    </row>
    <row r="44" spans="1:10" ht="15.75">
      <c r="A44" s="51">
        <v>11</v>
      </c>
      <c r="B44" s="55" t="s">
        <v>46</v>
      </c>
      <c r="C44" s="43" t="e">
        <f>ESTIMATE!#REF!</f>
        <v>#REF!</v>
      </c>
      <c r="D44" s="41" t="e">
        <f>ESTIMATE!#REF!</f>
        <v>#REF!</v>
      </c>
      <c r="E44" s="41" t="e">
        <f>ESTIMATE!#REF!</f>
        <v>#REF!</v>
      </c>
      <c r="F44" s="43" t="e">
        <f>#REF!</f>
        <v>#REF!</v>
      </c>
      <c r="G44" s="41" t="e">
        <f>#REF!</f>
        <v>#REF!</v>
      </c>
      <c r="H44" s="41" t="e">
        <f>#REF!</f>
        <v>#REF!</v>
      </c>
      <c r="I44" s="42" t="e">
        <f>F44-C44</f>
        <v>#REF!</v>
      </c>
      <c r="J44" s="43"/>
    </row>
    <row r="45" spans="1:10" ht="15.75">
      <c r="A45" s="49"/>
      <c r="B45" s="57" t="s">
        <v>51</v>
      </c>
      <c r="C45" s="43"/>
      <c r="D45" s="43"/>
      <c r="E45" s="41" t="e">
        <f>ESTIMATE!#REF!</f>
        <v>#REF!</v>
      </c>
      <c r="F45" s="43"/>
      <c r="G45" s="43"/>
      <c r="H45" s="41" t="e">
        <f>#REF!</f>
        <v>#REF!</v>
      </c>
      <c r="I45" s="42"/>
      <c r="J45" s="43"/>
    </row>
    <row r="46" spans="1:10" ht="15.75">
      <c r="A46" s="49"/>
      <c r="B46" s="50"/>
      <c r="C46" s="43"/>
      <c r="D46" s="43"/>
      <c r="E46" s="43"/>
      <c r="F46" s="43"/>
      <c r="G46" s="43"/>
      <c r="H46" s="43"/>
      <c r="I46" s="42"/>
      <c r="J46" s="43"/>
    </row>
    <row r="47" spans="1:10" ht="15.75">
      <c r="A47" s="58">
        <v>12</v>
      </c>
      <c r="B47" s="59" t="s">
        <v>47</v>
      </c>
      <c r="C47" s="41" t="e">
        <f>ESTIMATE!#REF!</f>
        <v>#REF!</v>
      </c>
      <c r="D47" s="41" t="e">
        <f>ESTIMATE!#REF!</f>
        <v>#REF!</v>
      </c>
      <c r="E47" s="41" t="e">
        <f>ESTIMATE!#REF!</f>
        <v>#REF!</v>
      </c>
      <c r="F47" s="41" t="e">
        <f>#REF!</f>
        <v>#REF!</v>
      </c>
      <c r="G47" s="41" t="e">
        <f>#REF!</f>
        <v>#REF!</v>
      </c>
      <c r="H47" s="41" t="e">
        <f>#REF!</f>
        <v>#REF!</v>
      </c>
      <c r="I47" s="42" t="e">
        <f>F47-C47</f>
        <v>#REF!</v>
      </c>
      <c r="J47" s="43"/>
    </row>
    <row r="48" spans="1:10" ht="15.75">
      <c r="A48" s="47"/>
      <c r="B48" s="60" t="s">
        <v>48</v>
      </c>
      <c r="C48" s="43"/>
      <c r="D48" s="43"/>
      <c r="E48" s="41" t="e">
        <f>ESTIMATE!#REF!</f>
        <v>#REF!</v>
      </c>
      <c r="F48" s="43"/>
      <c r="G48" s="43"/>
      <c r="H48" s="41" t="e">
        <f>#REF!</f>
        <v>#REF!</v>
      </c>
      <c r="I48" s="42"/>
      <c r="J48" s="43"/>
    </row>
    <row r="49" spans="1:10" ht="15.75">
      <c r="A49" s="51"/>
      <c r="B49" s="55"/>
      <c r="C49" s="43"/>
      <c r="D49" s="43"/>
      <c r="E49" s="43"/>
      <c r="F49" s="43"/>
      <c r="G49" s="43"/>
      <c r="H49" s="43"/>
      <c r="I49" s="42"/>
      <c r="J49" s="43"/>
    </row>
    <row r="50" spans="1:10" ht="15.75">
      <c r="A50" s="49">
        <v>12</v>
      </c>
      <c r="B50" s="61" t="s">
        <v>33</v>
      </c>
      <c r="C50" s="43">
        <v>1</v>
      </c>
      <c r="D50" s="43">
        <v>500</v>
      </c>
      <c r="E50" s="43">
        <v>500</v>
      </c>
      <c r="F50" s="42" t="e">
        <f>#REF!</f>
        <v>#REF!</v>
      </c>
      <c r="G50" s="41" t="e">
        <f>#REF!</f>
        <v>#REF!</v>
      </c>
      <c r="H50" s="41" t="e">
        <f>#REF!</f>
        <v>#REF!</v>
      </c>
      <c r="I50" s="42" t="e">
        <f>F50-C50</f>
        <v>#REF!</v>
      </c>
      <c r="J50" s="43"/>
    </row>
    <row r="51" spans="1:10" ht="15.75">
      <c r="A51" s="44"/>
      <c r="B51" s="45" t="s">
        <v>67</v>
      </c>
      <c r="C51" s="45"/>
      <c r="D51" s="45"/>
      <c r="E51" s="46" t="e">
        <f>SUM(E12:E50)</f>
        <v>#REF!</v>
      </c>
      <c r="F51" s="45"/>
      <c r="G51" s="45"/>
      <c r="H51" s="46" t="e">
        <f>SUM(H12:H50)</f>
        <v>#REF!</v>
      </c>
      <c r="I51" s="45"/>
      <c r="J51" s="45"/>
    </row>
  </sheetData>
  <mergeCells count="15">
    <mergeCell ref="A1:J1"/>
    <mergeCell ref="A2:J2"/>
    <mergeCell ref="A3:J3"/>
    <mergeCell ref="A4:J4"/>
    <mergeCell ref="C6:D6"/>
    <mergeCell ref="I6:J6"/>
    <mergeCell ref="C7:D7"/>
    <mergeCell ref="E7:F7"/>
    <mergeCell ref="H7:J7"/>
    <mergeCell ref="A10:A11"/>
    <mergeCell ref="B10:B11"/>
    <mergeCell ref="C10:E10"/>
    <mergeCell ref="F10:H10"/>
    <mergeCell ref="I10:I11"/>
    <mergeCell ref="J10:J11"/>
  </mergeCells>
  <pageMargins left="0.7" right="0.7" top="0.75" bottom="0.75" header="0.3" footer="0.3"/>
  <pageSetup scale="88" orientation="landscape" horizontalDpi="1200" verticalDpi="120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tabSelected="1" topLeftCell="A136" zoomScaleNormal="100" zoomScaleSheetLayoutView="100" workbookViewId="0">
      <selection activeCell="D147" sqref="D147:E147"/>
    </sheetView>
  </sheetViews>
  <sheetFormatPr defaultColWidth="9.140625" defaultRowHeight="16.5"/>
  <cols>
    <col min="1" max="1" width="3.7109375" style="1" customWidth="1"/>
    <col min="2" max="2" width="5.5703125" style="4" customWidth="1"/>
    <col min="3" max="3" width="30.5703125" style="8" customWidth="1"/>
    <col min="4" max="4" width="6.5703125" style="1" bestFit="1" customWidth="1"/>
    <col min="5" max="5" width="8.85546875" style="1" customWidth="1"/>
    <col min="6" max="6" width="10" style="1" customWidth="1"/>
    <col min="7" max="7" width="9.7109375" style="1" customWidth="1"/>
    <col min="8" max="8" width="10.140625" style="1" customWidth="1"/>
    <col min="9" max="9" width="6.85546875" style="1" customWidth="1"/>
    <col min="10" max="10" width="10.85546875" style="2" bestFit="1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155" t="s">
        <v>11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12" ht="20.25">
      <c r="A2" s="156" t="s">
        <v>16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>
      <c r="A3" s="155" t="s">
        <v>17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1:12">
      <c r="A4" s="157" t="s">
        <v>22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</row>
    <row r="5" spans="1:12" ht="20.25">
      <c r="A5" s="6"/>
      <c r="B5" s="28" t="s">
        <v>153</v>
      </c>
      <c r="H5" s="6"/>
      <c r="K5" s="158" t="s">
        <v>101</v>
      </c>
      <c r="L5" s="158"/>
    </row>
    <row r="6" spans="1:12">
      <c r="B6" s="159" t="s">
        <v>28</v>
      </c>
      <c r="C6" s="159"/>
      <c r="D6" s="159"/>
      <c r="E6" s="159"/>
      <c r="F6" s="159"/>
      <c r="G6" s="159"/>
      <c r="H6" s="113"/>
      <c r="I6" s="160" t="s">
        <v>152</v>
      </c>
      <c r="J6" s="160"/>
      <c r="K6" s="160"/>
      <c r="L6" s="160"/>
    </row>
    <row r="7" spans="1:12">
      <c r="C7" s="5"/>
      <c r="D7" s="6"/>
      <c r="E7" s="113"/>
      <c r="F7" s="113"/>
      <c r="G7" s="113"/>
      <c r="H7" s="113"/>
      <c r="J7" s="114"/>
      <c r="K7" s="113"/>
      <c r="L7" s="8"/>
    </row>
    <row r="8" spans="1:12">
      <c r="A8" s="2"/>
      <c r="B8" s="119" t="s">
        <v>0</v>
      </c>
      <c r="C8" s="120" t="s">
        <v>1</v>
      </c>
      <c r="D8" s="121" t="s">
        <v>2</v>
      </c>
      <c r="E8" s="122" t="s">
        <v>3</v>
      </c>
      <c r="F8" s="122" t="s">
        <v>4</v>
      </c>
      <c r="G8" s="122" t="s">
        <v>5</v>
      </c>
      <c r="H8" s="153" t="s">
        <v>6</v>
      </c>
      <c r="I8" s="123" t="s">
        <v>7</v>
      </c>
      <c r="J8" s="122" t="s">
        <v>8</v>
      </c>
      <c r="K8" s="122" t="s">
        <v>9</v>
      </c>
      <c r="L8" s="124" t="s">
        <v>154</v>
      </c>
    </row>
    <row r="9" spans="1:12" ht="18">
      <c r="A9" s="2"/>
      <c r="B9" s="119" t="s">
        <v>94</v>
      </c>
      <c r="C9" s="125" t="s">
        <v>95</v>
      </c>
      <c r="D9" s="121"/>
      <c r="E9" s="122"/>
      <c r="F9" s="122"/>
      <c r="G9" s="122"/>
      <c r="H9" s="122"/>
      <c r="I9" s="123"/>
      <c r="J9" s="122"/>
      <c r="K9" s="122"/>
      <c r="L9" s="124"/>
    </row>
    <row r="10" spans="1:12" ht="35.1" customHeight="1">
      <c r="B10" s="126">
        <v>1</v>
      </c>
      <c r="C10" s="127" t="s">
        <v>103</v>
      </c>
      <c r="D10" s="133"/>
      <c r="E10" s="133"/>
      <c r="F10" s="133"/>
      <c r="G10" s="133"/>
      <c r="H10" s="133"/>
      <c r="I10" s="128"/>
      <c r="J10" s="128"/>
      <c r="K10" s="128"/>
      <c r="L10" s="130"/>
    </row>
    <row r="11" spans="1:12">
      <c r="B11" s="126"/>
      <c r="C11" s="131" t="s">
        <v>155</v>
      </c>
      <c r="D11" s="128">
        <v>1</v>
      </c>
      <c r="E11" s="129">
        <v>5</v>
      </c>
      <c r="F11" s="129">
        <f>11/3.281</f>
        <v>3.3526363913441024</v>
      </c>
      <c r="G11" s="129">
        <v>7.4999999999999997E-2</v>
      </c>
      <c r="H11" s="129">
        <f>D11*E11*F11*G11</f>
        <v>1.2572386467540384</v>
      </c>
      <c r="I11" s="128"/>
      <c r="J11" s="128"/>
      <c r="K11" s="128"/>
      <c r="L11" s="130"/>
    </row>
    <row r="12" spans="1:12">
      <c r="B12" s="126"/>
      <c r="C12" s="131"/>
      <c r="D12" s="128"/>
      <c r="E12" s="129"/>
      <c r="F12" s="129"/>
      <c r="G12" s="129"/>
      <c r="H12" s="129">
        <f>SUM(H11:H11)</f>
        <v>1.2572386467540384</v>
      </c>
      <c r="I12" s="128" t="s">
        <v>35</v>
      </c>
      <c r="J12" s="128">
        <v>3740</v>
      </c>
      <c r="K12" s="128">
        <f>H12*J12</f>
        <v>4702.072538860104</v>
      </c>
      <c r="L12" s="130"/>
    </row>
    <row r="13" spans="1:12" ht="18.75">
      <c r="B13" s="126"/>
      <c r="C13" s="127"/>
      <c r="D13" s="128"/>
      <c r="E13" s="129"/>
      <c r="F13" s="129"/>
      <c r="G13" s="129"/>
      <c r="H13" s="129"/>
      <c r="I13" s="128"/>
      <c r="J13" s="129"/>
      <c r="K13" s="129"/>
      <c r="L13" s="130"/>
    </row>
    <row r="14" spans="1:12" ht="56.25">
      <c r="B14" s="126">
        <v>2</v>
      </c>
      <c r="C14" s="127" t="s">
        <v>102</v>
      </c>
      <c r="D14" s="133"/>
      <c r="E14" s="133"/>
      <c r="F14" s="133"/>
      <c r="G14" s="133"/>
      <c r="H14" s="133"/>
      <c r="I14" s="129"/>
      <c r="J14" s="129"/>
      <c r="K14" s="129"/>
      <c r="L14" s="130"/>
    </row>
    <row r="15" spans="1:12">
      <c r="B15" s="126"/>
      <c r="C15" s="132" t="str">
        <f>C11</f>
        <v>-water tank</v>
      </c>
      <c r="D15" s="128">
        <v>2</v>
      </c>
      <c r="E15" s="129">
        <f>E11</f>
        <v>5</v>
      </c>
      <c r="F15" s="129">
        <v>0.23</v>
      </c>
      <c r="G15" s="129">
        <v>1.4</v>
      </c>
      <c r="H15" s="129">
        <f>D15*E15*G15</f>
        <v>14</v>
      </c>
      <c r="I15" s="129"/>
      <c r="J15" s="129"/>
      <c r="K15" s="129"/>
      <c r="L15" s="130"/>
    </row>
    <row r="16" spans="1:12">
      <c r="B16" s="126"/>
      <c r="C16" s="132"/>
      <c r="D16" s="128">
        <v>2</v>
      </c>
      <c r="E16" s="129">
        <f>F11-0.23*2</f>
        <v>2.8926363913441024</v>
      </c>
      <c r="F16" s="129">
        <v>0.23</v>
      </c>
      <c r="G16" s="129">
        <v>1.4</v>
      </c>
      <c r="H16" s="129">
        <f>D16*E16*G16</f>
        <v>8.0993818957634858</v>
      </c>
      <c r="I16" s="129"/>
      <c r="J16" s="129"/>
      <c r="K16" s="129"/>
      <c r="L16" s="130"/>
    </row>
    <row r="17" spans="2:12">
      <c r="B17" s="126"/>
      <c r="C17" s="132"/>
      <c r="D17" s="128">
        <v>1</v>
      </c>
      <c r="E17" s="129">
        <f>E11</f>
        <v>5</v>
      </c>
      <c r="F17" s="129">
        <v>0.23</v>
      </c>
      <c r="G17" s="129">
        <v>0.45</v>
      </c>
      <c r="H17" s="129">
        <f>D17*E17*G17</f>
        <v>2.25</v>
      </c>
      <c r="I17" s="129"/>
      <c r="J17" s="129"/>
      <c r="K17" s="129"/>
      <c r="L17" s="130"/>
    </row>
    <row r="18" spans="2:12">
      <c r="B18" s="126"/>
      <c r="C18" s="133"/>
      <c r="D18" s="128"/>
      <c r="E18" s="129"/>
      <c r="F18" s="129"/>
      <c r="G18" s="134"/>
      <c r="H18" s="129">
        <f>SUM(H15:H17)</f>
        <v>24.349381895763486</v>
      </c>
      <c r="I18" s="128" t="s">
        <v>24</v>
      </c>
      <c r="J18" s="129">
        <v>1982.2</v>
      </c>
      <c r="K18" s="129">
        <f>H18*J18</f>
        <v>48265.34479378238</v>
      </c>
      <c r="L18" s="130"/>
    </row>
    <row r="19" spans="2:12">
      <c r="B19" s="126"/>
      <c r="C19" s="135"/>
      <c r="D19" s="128"/>
      <c r="E19" s="129"/>
      <c r="F19" s="129"/>
      <c r="G19" s="134"/>
      <c r="H19" s="129"/>
      <c r="I19" s="128"/>
      <c r="J19" s="129"/>
      <c r="K19" s="129"/>
      <c r="L19" s="130"/>
    </row>
    <row r="20" spans="2:12" ht="56.25">
      <c r="B20" s="126">
        <v>3</v>
      </c>
      <c r="C20" s="115" t="s">
        <v>105</v>
      </c>
      <c r="D20" s="128"/>
      <c r="E20" s="129"/>
      <c r="F20" s="129"/>
      <c r="G20" s="134"/>
      <c r="H20" s="129"/>
      <c r="I20" s="128"/>
      <c r="J20" s="129"/>
      <c r="K20" s="129"/>
      <c r="L20" s="130"/>
    </row>
    <row r="21" spans="2:12">
      <c r="B21" s="126"/>
      <c r="C21" s="135"/>
      <c r="D21" s="128">
        <f>D11</f>
        <v>1</v>
      </c>
      <c r="E21" s="129">
        <f>E11</f>
        <v>5</v>
      </c>
      <c r="F21" s="129">
        <f>F11</f>
        <v>3.3526363913441024</v>
      </c>
      <c r="G21" s="134">
        <v>7.4999999999999997E-2</v>
      </c>
      <c r="H21" s="129">
        <f>D21*E21*F21*G21</f>
        <v>1.2572386467540384</v>
      </c>
      <c r="I21" s="128"/>
      <c r="J21" s="129"/>
      <c r="K21" s="129"/>
      <c r="L21" s="130"/>
    </row>
    <row r="22" spans="2:12">
      <c r="B22" s="126"/>
      <c r="C22" s="133"/>
      <c r="D22" s="128"/>
      <c r="E22" s="129"/>
      <c r="F22" s="129"/>
      <c r="G22" s="134"/>
      <c r="H22" s="129">
        <f>SUM(H21)</f>
        <v>1.2572386467540384</v>
      </c>
      <c r="I22" s="128" t="s">
        <v>24</v>
      </c>
      <c r="J22" s="129">
        <v>770.43</v>
      </c>
      <c r="K22" s="129">
        <f>H22*J22</f>
        <v>968.61437061871379</v>
      </c>
      <c r="L22" s="130"/>
    </row>
    <row r="23" spans="2:12">
      <c r="B23" s="126"/>
      <c r="C23" s="133"/>
      <c r="D23" s="128"/>
      <c r="E23" s="129"/>
      <c r="F23" s="129"/>
      <c r="G23" s="134"/>
      <c r="H23" s="129"/>
      <c r="I23" s="128"/>
      <c r="J23" s="129"/>
      <c r="K23" s="129"/>
      <c r="L23" s="130"/>
    </row>
    <row r="24" spans="2:12" ht="18.75">
      <c r="B24" s="136">
        <v>4</v>
      </c>
      <c r="C24" s="116" t="s">
        <v>104</v>
      </c>
      <c r="D24" s="134"/>
      <c r="E24" s="137"/>
      <c r="F24" s="137"/>
      <c r="G24" s="134"/>
      <c r="H24" s="137"/>
      <c r="I24" s="134"/>
      <c r="J24" s="137"/>
      <c r="K24" s="137"/>
      <c r="L24" s="130"/>
    </row>
    <row r="25" spans="2:12">
      <c r="B25" s="136"/>
      <c r="C25" s="138" t="s">
        <v>132</v>
      </c>
      <c r="D25" s="134">
        <f>D17</f>
        <v>1</v>
      </c>
      <c r="E25" s="137">
        <f>E17</f>
        <v>5</v>
      </c>
      <c r="F25" s="137">
        <f>F21</f>
        <v>3.3526363913441024</v>
      </c>
      <c r="G25" s="134"/>
      <c r="H25" s="137">
        <f>PRODUCT(D25:G25)</f>
        <v>16.763181956720512</v>
      </c>
      <c r="I25" s="134"/>
      <c r="J25" s="137"/>
      <c r="K25" s="137"/>
      <c r="L25" s="130"/>
    </row>
    <row r="26" spans="2:12">
      <c r="B26" s="136"/>
      <c r="C26" s="130"/>
      <c r="D26" s="134"/>
      <c r="E26" s="137"/>
      <c r="F26" s="137"/>
      <c r="G26" s="134"/>
      <c r="H26" s="137">
        <f>SUM(H25)</f>
        <v>16.763181956720512</v>
      </c>
      <c r="I26" s="134" t="s">
        <v>23</v>
      </c>
      <c r="J26" s="137">
        <f>Sheet1!H8/10</f>
        <v>155.75</v>
      </c>
      <c r="K26" s="137">
        <f>H26*J26</f>
        <v>2610.8655897592198</v>
      </c>
      <c r="L26" s="130"/>
    </row>
    <row r="27" spans="2:12">
      <c r="B27" s="126"/>
      <c r="C27" s="133"/>
      <c r="D27" s="128"/>
      <c r="E27" s="129"/>
      <c r="F27" s="129"/>
      <c r="G27" s="134"/>
      <c r="H27" s="129"/>
      <c r="I27" s="128"/>
      <c r="J27" s="129"/>
      <c r="K27" s="129"/>
      <c r="L27" s="130"/>
    </row>
    <row r="28" spans="2:12" ht="35.1" customHeight="1">
      <c r="B28" s="126">
        <v>5</v>
      </c>
      <c r="C28" s="127" t="s">
        <v>131</v>
      </c>
      <c r="D28" s="128"/>
      <c r="E28" s="129"/>
      <c r="F28" s="129"/>
      <c r="G28" s="129"/>
      <c r="H28" s="129"/>
      <c r="I28" s="128"/>
      <c r="J28" s="129"/>
      <c r="K28" s="129"/>
      <c r="L28" s="130"/>
    </row>
    <row r="29" spans="2:12">
      <c r="B29" s="126"/>
      <c r="C29" s="139" t="str">
        <f>C25</f>
        <v>-for flooring</v>
      </c>
      <c r="D29" s="128">
        <f>D25</f>
        <v>1</v>
      </c>
      <c r="E29" s="129">
        <f>E25</f>
        <v>5</v>
      </c>
      <c r="F29" s="129">
        <f>F25</f>
        <v>3.3526363913441024</v>
      </c>
      <c r="G29" s="129">
        <v>7.4999999999999997E-2</v>
      </c>
      <c r="H29" s="129">
        <f>D29*E29*F29*G29</f>
        <v>1.2572386467540384</v>
      </c>
      <c r="I29" s="128"/>
      <c r="J29" s="129"/>
      <c r="K29" s="129"/>
      <c r="L29" s="130"/>
    </row>
    <row r="30" spans="2:12">
      <c r="B30" s="126"/>
      <c r="C30" s="140"/>
      <c r="D30" s="128"/>
      <c r="E30" s="129"/>
      <c r="F30" s="129" t="s">
        <v>32</v>
      </c>
      <c r="G30" s="129"/>
      <c r="H30" s="129">
        <f>SUM(H29)</f>
        <v>1.2572386467540384</v>
      </c>
      <c r="I30" s="128" t="s">
        <v>24</v>
      </c>
      <c r="J30" s="129">
        <v>13351.1</v>
      </c>
      <c r="K30" s="129">
        <f>H30*J30</f>
        <v>16785.518896677844</v>
      </c>
      <c r="L30" s="130"/>
    </row>
    <row r="31" spans="2:12">
      <c r="B31" s="126"/>
      <c r="C31" s="139" t="s">
        <v>29</v>
      </c>
      <c r="D31" s="128"/>
      <c r="E31" s="129"/>
      <c r="F31" s="129"/>
      <c r="G31" s="129"/>
      <c r="H31" s="129"/>
      <c r="I31" s="128"/>
      <c r="J31" s="129"/>
      <c r="K31" s="129">
        <f>0.13*H30*4169.92</f>
        <v>681.53599512343794</v>
      </c>
      <c r="L31" s="130"/>
    </row>
    <row r="32" spans="2:12">
      <c r="B32" s="126"/>
      <c r="C32" s="139" t="s">
        <v>30</v>
      </c>
      <c r="D32" s="128"/>
      <c r="E32" s="129"/>
      <c r="F32" s="129"/>
      <c r="G32" s="129"/>
      <c r="H32" s="129"/>
      <c r="I32" s="128"/>
      <c r="J32" s="129"/>
      <c r="K32" s="129">
        <f>0.13*H30*1414.16</f>
        <v>231.13175861017984</v>
      </c>
      <c r="L32" s="130"/>
    </row>
    <row r="33" spans="2:12">
      <c r="B33" s="126"/>
      <c r="C33" s="139" t="s">
        <v>31</v>
      </c>
      <c r="D33" s="128"/>
      <c r="E33" s="129"/>
      <c r="F33" s="129"/>
      <c r="G33" s="129"/>
      <c r="H33" s="129"/>
      <c r="I33" s="128"/>
      <c r="J33" s="129"/>
      <c r="K33" s="129">
        <f>0.13*H30*(1652.5+737.97+349.56)</f>
        <v>447.83330920451084</v>
      </c>
      <c r="L33" s="130"/>
    </row>
    <row r="34" spans="2:12" ht="18.75">
      <c r="B34" s="126"/>
      <c r="C34" s="127"/>
      <c r="D34" s="128"/>
      <c r="E34" s="129"/>
      <c r="F34" s="129"/>
      <c r="G34" s="129"/>
      <c r="H34" s="129"/>
      <c r="I34" s="128"/>
      <c r="J34" s="129"/>
      <c r="K34" s="129"/>
      <c r="L34" s="130"/>
    </row>
    <row r="35" spans="2:12" ht="35.1" customHeight="1">
      <c r="B35" s="126">
        <v>6</v>
      </c>
      <c r="C35" s="127" t="s">
        <v>80</v>
      </c>
      <c r="D35" s="128"/>
      <c r="E35" s="129"/>
      <c r="F35" s="129"/>
      <c r="G35" s="129"/>
      <c r="H35" s="129"/>
      <c r="I35" s="128"/>
      <c r="J35" s="129"/>
      <c r="K35" s="129"/>
      <c r="L35" s="130"/>
    </row>
    <row r="36" spans="2:12">
      <c r="B36" s="126"/>
      <c r="C36" s="141" t="s">
        <v>156</v>
      </c>
      <c r="D36" s="142">
        <v>33</v>
      </c>
      <c r="E36" s="129">
        <f>(2+5.917+16.17+5.917+2)/3.281</f>
        <v>9.7543431880524238</v>
      </c>
      <c r="F36" s="129"/>
      <c r="G36" s="129">
        <f>10*10/162</f>
        <v>0.61728395061728392</v>
      </c>
      <c r="H36" s="129">
        <f>D36*E36*G36</f>
        <v>198.69958346032715</v>
      </c>
      <c r="I36" s="128"/>
      <c r="J36" s="129"/>
      <c r="K36" s="129"/>
      <c r="L36" s="130"/>
    </row>
    <row r="37" spans="2:12">
      <c r="B37" s="126"/>
      <c r="C37" s="139"/>
      <c r="D37" s="142">
        <v>32</v>
      </c>
      <c r="E37" s="129">
        <f>(2+5.5+15.667+5.5+2)/3.281</f>
        <v>9.3468454739408724</v>
      </c>
      <c r="F37" s="129"/>
      <c r="G37" s="129">
        <f>10*10/162</f>
        <v>0.61728395061728392</v>
      </c>
      <c r="H37" s="129">
        <f t="shared" ref="H37" si="0">D37*E37*G37</f>
        <v>184.62904639883203</v>
      </c>
      <c r="I37" s="128"/>
      <c r="J37" s="129"/>
      <c r="K37" s="129"/>
      <c r="L37" s="130"/>
    </row>
    <row r="38" spans="2:12">
      <c r="B38" s="126"/>
      <c r="C38" s="141" t="s">
        <v>133</v>
      </c>
      <c r="D38" s="142">
        <v>23</v>
      </c>
      <c r="E38" s="129">
        <f>(2+5.917+10.75+5.917+2)/3.281</f>
        <v>8.1024078024992381</v>
      </c>
      <c r="F38" s="129"/>
      <c r="G38" s="129">
        <f>10*10/162</f>
        <v>0.61728395061728392</v>
      </c>
      <c r="H38" s="129">
        <f>D38*E38*G38</f>
        <v>115.03418485029782</v>
      </c>
      <c r="I38" s="128"/>
      <c r="J38" s="129"/>
      <c r="K38" s="129"/>
      <c r="L38" s="130"/>
    </row>
    <row r="39" spans="2:12">
      <c r="B39" s="126"/>
      <c r="C39" s="139"/>
      <c r="D39" s="142">
        <v>22</v>
      </c>
      <c r="E39" s="129">
        <f>(2+5.5+10.25+5.5+2)/3.281</f>
        <v>7.6958244437671439</v>
      </c>
      <c r="F39" s="129"/>
      <c r="G39" s="129">
        <f>10*10/162</f>
        <v>0.61728395061728392</v>
      </c>
      <c r="H39" s="129">
        <f t="shared" ref="H39" si="1">D39*E39*G39</f>
        <v>104.51119614992416</v>
      </c>
      <c r="I39" s="128"/>
      <c r="J39" s="129"/>
      <c r="K39" s="129"/>
      <c r="L39" s="130"/>
    </row>
    <row r="40" spans="2:12">
      <c r="B40" s="126"/>
      <c r="C40" s="141" t="s">
        <v>157</v>
      </c>
      <c r="D40" s="142">
        <v>12</v>
      </c>
      <c r="E40" s="129">
        <f>(16.17+10.75+16.17+10.75)/3.281</f>
        <v>16.409631209996952</v>
      </c>
      <c r="F40" s="129"/>
      <c r="G40" s="129">
        <f>8*8/162</f>
        <v>0.39506172839506171</v>
      </c>
      <c r="H40" s="129">
        <f>D40*E40*G40</f>
        <v>77.79380721776333</v>
      </c>
      <c r="I40" s="128"/>
      <c r="J40" s="129"/>
      <c r="K40" s="129"/>
      <c r="L40" s="130"/>
    </row>
    <row r="41" spans="2:12">
      <c r="B41" s="126"/>
      <c r="C41" s="139"/>
      <c r="D41" s="142">
        <v>11</v>
      </c>
      <c r="E41" s="129">
        <f>(15.667+10.25+15.667+10.25)/3.281</f>
        <v>15.798232246266382</v>
      </c>
      <c r="F41" s="129"/>
      <c r="G41" s="129">
        <f>8*8/162</f>
        <v>0.39506172839506171</v>
      </c>
      <c r="H41" s="129">
        <f>D41*E41*G41</f>
        <v>68.654046304762545</v>
      </c>
      <c r="I41" s="128"/>
      <c r="J41" s="129"/>
      <c r="K41" s="129"/>
      <c r="L41" s="130"/>
    </row>
    <row r="42" spans="2:12">
      <c r="B42" s="126"/>
      <c r="C42" s="141" t="s">
        <v>134</v>
      </c>
      <c r="D42" s="142">
        <f>2*TRUNC((E43/0.15),0)</f>
        <v>42</v>
      </c>
      <c r="E42" s="129">
        <f>(16.17/3.281)</f>
        <v>4.928375495275831</v>
      </c>
      <c r="F42" s="129"/>
      <c r="G42" s="129">
        <f t="shared" ref="G42:G46" si="2">8*8/162</f>
        <v>0.39506172839506171</v>
      </c>
      <c r="H42" s="129">
        <f t="shared" ref="H42:H43" si="3">D42*E42*G42</f>
        <v>81.774526736428598</v>
      </c>
      <c r="I42" s="128"/>
      <c r="J42" s="129"/>
      <c r="K42" s="129"/>
      <c r="L42" s="130"/>
    </row>
    <row r="43" spans="2:12">
      <c r="B43" s="126"/>
      <c r="C43" s="139"/>
      <c r="D43" s="142">
        <f>2*TRUNC((E42/0.15),0)</f>
        <v>64</v>
      </c>
      <c r="E43" s="129">
        <f>10.75/3.281</f>
        <v>3.2764401097226452</v>
      </c>
      <c r="F43" s="129"/>
      <c r="G43" s="129">
        <f t="shared" si="2"/>
        <v>0.39506172839506171</v>
      </c>
      <c r="H43" s="129">
        <f t="shared" si="3"/>
        <v>82.841349934715765</v>
      </c>
      <c r="I43" s="128"/>
      <c r="J43" s="129"/>
      <c r="K43" s="129"/>
      <c r="L43" s="130"/>
    </row>
    <row r="44" spans="2:12">
      <c r="B44" s="126"/>
      <c r="C44" s="141" t="s">
        <v>145</v>
      </c>
      <c r="D44" s="142">
        <f>-2*5</f>
        <v>-10</v>
      </c>
      <c r="E44" s="129">
        <v>0.6</v>
      </c>
      <c r="F44" s="129"/>
      <c r="G44" s="129">
        <f t="shared" si="2"/>
        <v>0.39506172839506171</v>
      </c>
      <c r="H44" s="129">
        <f t="shared" ref="H44:H45" si="4">PRODUCT(D44:G44)</f>
        <v>-2.3703703703703702</v>
      </c>
      <c r="I44" s="128"/>
      <c r="J44" s="129"/>
      <c r="K44" s="129"/>
      <c r="L44" s="130"/>
    </row>
    <row r="45" spans="2:12">
      <c r="B45" s="126"/>
      <c r="C45" s="141"/>
      <c r="D45" s="142">
        <f>-2*5</f>
        <v>-10</v>
      </c>
      <c r="E45" s="129">
        <v>0.6</v>
      </c>
      <c r="F45" s="129"/>
      <c r="G45" s="129">
        <f t="shared" si="2"/>
        <v>0.39506172839506171</v>
      </c>
      <c r="H45" s="129">
        <f t="shared" si="4"/>
        <v>-2.3703703703703702</v>
      </c>
      <c r="I45" s="128"/>
      <c r="J45" s="129"/>
      <c r="K45" s="129"/>
      <c r="L45" s="130"/>
    </row>
    <row r="46" spans="2:12">
      <c r="B46" s="126"/>
      <c r="C46" s="141" t="s">
        <v>141</v>
      </c>
      <c r="D46" s="142">
        <f>28*2+17*2</f>
        <v>90</v>
      </c>
      <c r="E46" s="129">
        <f>(1+1.42+1)/3.281</f>
        <v>1.04236513258153</v>
      </c>
      <c r="F46" s="129"/>
      <c r="G46" s="129">
        <f t="shared" si="2"/>
        <v>0.39506172839506171</v>
      </c>
      <c r="H46" s="129">
        <f t="shared" ref="H46" si="5">D46*E46*G46</f>
        <v>37.061871380676621</v>
      </c>
      <c r="I46" s="128"/>
      <c r="J46" s="129"/>
      <c r="K46" s="129"/>
      <c r="L46" s="130"/>
    </row>
    <row r="47" spans="2:12">
      <c r="B47" s="126"/>
      <c r="C47" s="139"/>
      <c r="D47" s="128"/>
      <c r="E47" s="129"/>
      <c r="F47" s="129"/>
      <c r="G47" s="129"/>
      <c r="H47" s="129">
        <f>SUM(H36:H46)</f>
        <v>946.25887169298721</v>
      </c>
      <c r="I47" s="128" t="s">
        <v>18</v>
      </c>
      <c r="J47" s="129">
        <f>132360/1000</f>
        <v>132.36000000000001</v>
      </c>
      <c r="K47" s="129">
        <f>H47*J47</f>
        <v>125246.82425728381</v>
      </c>
      <c r="L47" s="130"/>
    </row>
    <row r="48" spans="2:12">
      <c r="B48" s="126"/>
      <c r="C48" s="139" t="s">
        <v>81</v>
      </c>
      <c r="D48" s="128"/>
      <c r="E48" s="129"/>
      <c r="F48" s="129"/>
      <c r="G48" s="129"/>
      <c r="H48" s="129"/>
      <c r="I48" s="128"/>
      <c r="J48" s="129"/>
      <c r="K48" s="129">
        <f>0.13*H47*106200/1000</f>
        <v>13064.049982593382</v>
      </c>
      <c r="L48" s="130"/>
    </row>
    <row r="49" spans="2:12">
      <c r="B49" s="126"/>
      <c r="C49" s="139"/>
      <c r="D49" s="128"/>
      <c r="E49" s="129"/>
      <c r="F49" s="129"/>
      <c r="G49" s="129"/>
      <c r="H49" s="129"/>
      <c r="I49" s="128"/>
      <c r="J49" s="129"/>
      <c r="K49" s="129"/>
      <c r="L49" s="130"/>
    </row>
    <row r="50" spans="2:12" ht="37.5">
      <c r="B50" s="126">
        <v>7</v>
      </c>
      <c r="C50" s="127" t="s">
        <v>135</v>
      </c>
      <c r="D50" s="128"/>
      <c r="E50" s="129"/>
      <c r="F50" s="129"/>
      <c r="G50" s="129"/>
      <c r="H50" s="129"/>
      <c r="I50" s="128"/>
      <c r="J50" s="129"/>
      <c r="K50" s="129"/>
      <c r="L50" s="130"/>
    </row>
    <row r="51" spans="2:12">
      <c r="B51" s="126"/>
      <c r="C51" s="141" t="s">
        <v>136</v>
      </c>
      <c r="D51" s="142">
        <v>1</v>
      </c>
      <c r="E51" s="129">
        <f>((16.42+11)*2)/3.281</f>
        <v>16.714416336482781</v>
      </c>
      <c r="F51" s="129"/>
      <c r="G51" s="129">
        <f>4.583/3.281</f>
        <v>1.3968302346845474</v>
      </c>
      <c r="H51" s="129">
        <f>PRODUCT(D51:G51)</f>
        <v>23.347202093904475</v>
      </c>
      <c r="I51" s="128"/>
      <c r="J51" s="129"/>
      <c r="K51" s="129"/>
      <c r="L51" s="130"/>
    </row>
    <row r="52" spans="2:12">
      <c r="B52" s="126"/>
      <c r="C52" s="139"/>
      <c r="D52" s="142">
        <v>1</v>
      </c>
      <c r="E52" s="129">
        <f>((15.42+10)*2)/3.281</f>
        <v>15.49527583053947</v>
      </c>
      <c r="F52" s="129"/>
      <c r="G52" s="129">
        <f>4.17/3.281</f>
        <v>1.2709539774459007</v>
      </c>
      <c r="H52" s="129">
        <f t="shared" ref="H52:H54" si="6">PRODUCT(D52:G52)</f>
        <v>19.693782448445472</v>
      </c>
      <c r="I52" s="128"/>
      <c r="J52" s="129"/>
      <c r="K52" s="129"/>
      <c r="L52" s="130"/>
    </row>
    <row r="53" spans="2:12">
      <c r="B53" s="126"/>
      <c r="C53" s="141" t="s">
        <v>137</v>
      </c>
      <c r="D53" s="142">
        <v>1</v>
      </c>
      <c r="E53" s="129">
        <f>(15.42/3.281)</f>
        <v>4.6997866504114594</v>
      </c>
      <c r="F53" s="129">
        <f>10/3.281</f>
        <v>3.047851264858275</v>
      </c>
      <c r="G53" s="129"/>
      <c r="H53" s="129">
        <f t="shared" si="6"/>
        <v>14.324250687020601</v>
      </c>
      <c r="I53" s="128"/>
      <c r="J53" s="129"/>
      <c r="K53" s="129"/>
      <c r="L53" s="130"/>
    </row>
    <row r="54" spans="2:12">
      <c r="B54" s="126"/>
      <c r="C54" s="141" t="s">
        <v>145</v>
      </c>
      <c r="D54" s="142">
        <v>-1</v>
      </c>
      <c r="E54" s="129">
        <v>0.6</v>
      </c>
      <c r="F54" s="129">
        <v>0.6</v>
      </c>
      <c r="G54" s="129"/>
      <c r="H54" s="129">
        <f t="shared" si="6"/>
        <v>-0.36</v>
      </c>
      <c r="I54" s="128"/>
      <c r="J54" s="129"/>
      <c r="K54" s="129"/>
      <c r="L54" s="130"/>
    </row>
    <row r="55" spans="2:12">
      <c r="B55" s="126"/>
      <c r="C55" s="139"/>
      <c r="D55" s="128"/>
      <c r="E55" s="129"/>
      <c r="F55" s="129"/>
      <c r="G55" s="129"/>
      <c r="H55" s="129">
        <f>SUM(H51:H54)</f>
        <v>57.005235229370548</v>
      </c>
      <c r="I55" s="128" t="s">
        <v>23</v>
      </c>
      <c r="J55" s="129">
        <v>922.71</v>
      </c>
      <c r="K55" s="129">
        <f>H55*J55</f>
        <v>52599.300598492504</v>
      </c>
      <c r="L55" s="130"/>
    </row>
    <row r="56" spans="2:12">
      <c r="B56" s="126"/>
      <c r="C56" s="139" t="s">
        <v>81</v>
      </c>
      <c r="D56" s="128"/>
      <c r="E56" s="129"/>
      <c r="F56" s="129"/>
      <c r="G56" s="129"/>
      <c r="H56" s="129"/>
      <c r="I56" s="128"/>
      <c r="J56" s="129"/>
      <c r="K56" s="129">
        <f>0.13*H55*46827.87/100</f>
        <v>3470.2638680324994</v>
      </c>
      <c r="L56" s="130"/>
    </row>
    <row r="57" spans="2:12">
      <c r="B57" s="126"/>
      <c r="C57" s="139"/>
      <c r="D57" s="128"/>
      <c r="E57" s="129"/>
      <c r="F57" s="129"/>
      <c r="G57" s="129"/>
      <c r="H57" s="129"/>
      <c r="I57" s="128"/>
      <c r="J57" s="129"/>
      <c r="K57" s="129"/>
      <c r="L57" s="130"/>
    </row>
    <row r="58" spans="2:12" ht="56.25">
      <c r="B58" s="126">
        <v>8</v>
      </c>
      <c r="C58" s="127" t="s">
        <v>142</v>
      </c>
      <c r="D58" s="128"/>
      <c r="E58" s="129"/>
      <c r="F58" s="129"/>
      <c r="G58" s="129"/>
      <c r="H58" s="129"/>
      <c r="I58" s="128"/>
      <c r="J58" s="129"/>
      <c r="K58" s="129"/>
      <c r="L58" s="130"/>
    </row>
    <row r="59" spans="2:12">
      <c r="B59" s="126"/>
      <c r="C59" s="141" t="s">
        <v>140</v>
      </c>
      <c r="D59" s="142">
        <v>2</v>
      </c>
      <c r="E59" s="129">
        <f>E25</f>
        <v>5</v>
      </c>
      <c r="F59" s="129">
        <f>F25</f>
        <v>3.3526363913441024</v>
      </c>
      <c r="G59" s="129">
        <f>0.42/3.281</f>
        <v>0.12800975312404753</v>
      </c>
      <c r="H59" s="129">
        <f>D59*E59*F59*G59</f>
        <v>4.2917015677065615</v>
      </c>
      <c r="I59" s="128"/>
      <c r="J59" s="129"/>
      <c r="K59" s="129"/>
      <c r="L59" s="130"/>
    </row>
    <row r="60" spans="2:12">
      <c r="B60" s="126"/>
      <c r="C60" s="141" t="s">
        <v>139</v>
      </c>
      <c r="D60" s="142">
        <v>2</v>
      </c>
      <c r="E60" s="129">
        <f>E59</f>
        <v>5</v>
      </c>
      <c r="F60" s="129">
        <v>0.15</v>
      </c>
      <c r="G60" s="129">
        <f>5.25/3.281</f>
        <v>1.6001219140505942</v>
      </c>
      <c r="H60" s="129">
        <f>D60*E60*F60*G60</f>
        <v>2.4001828710758915</v>
      </c>
      <c r="I60" s="128"/>
      <c r="J60" s="129"/>
      <c r="K60" s="129"/>
      <c r="L60" s="130"/>
    </row>
    <row r="61" spans="2:12">
      <c r="B61" s="126"/>
      <c r="C61" s="140"/>
      <c r="D61" s="142">
        <v>2</v>
      </c>
      <c r="E61" s="129">
        <f>10/3.281</f>
        <v>3.047851264858275</v>
      </c>
      <c r="F61" s="129">
        <v>0.15</v>
      </c>
      <c r="G61" s="129">
        <f>5.25/3.281</f>
        <v>1.6001219140505942</v>
      </c>
      <c r="H61" s="129">
        <f>D61*E61*F61*G61</f>
        <v>1.4630800798999641</v>
      </c>
      <c r="I61" s="128"/>
      <c r="J61" s="129"/>
      <c r="K61" s="129"/>
      <c r="L61" s="130"/>
    </row>
    <row r="62" spans="2:12">
      <c r="B62" s="126"/>
      <c r="C62" s="141" t="s">
        <v>138</v>
      </c>
      <c r="D62" s="142">
        <v>0.5</v>
      </c>
      <c r="E62" s="129">
        <f>(13.42*2+8*2)/3.281</f>
        <v>13.05699481865285</v>
      </c>
      <c r="F62" s="129">
        <f>1/3.281</f>
        <v>0.30478512648582745</v>
      </c>
      <c r="G62" s="129">
        <f>1/3.281</f>
        <v>0.30478512648582745</v>
      </c>
      <c r="H62" s="129">
        <f>D62*E62*F62*G62</f>
        <v>0.60645806420723891</v>
      </c>
      <c r="I62" s="128"/>
      <c r="J62" s="129"/>
      <c r="K62" s="129"/>
      <c r="L62" s="130"/>
    </row>
    <row r="63" spans="2:12">
      <c r="B63" s="126"/>
      <c r="C63" s="141" t="s">
        <v>145</v>
      </c>
      <c r="D63" s="142">
        <v>-1</v>
      </c>
      <c r="E63" s="129">
        <v>0.6</v>
      </c>
      <c r="F63" s="129">
        <v>0.6</v>
      </c>
      <c r="G63" s="129">
        <f>0.42/3.281</f>
        <v>0.12800975312404753</v>
      </c>
      <c r="H63" s="129">
        <f>D63*E63*F63*G63</f>
        <v>-4.6083511124657105E-2</v>
      </c>
      <c r="I63" s="128"/>
      <c r="J63" s="129"/>
      <c r="K63" s="129"/>
      <c r="L63" s="130"/>
    </row>
    <row r="64" spans="2:12">
      <c r="B64" s="126"/>
      <c r="C64" s="141"/>
      <c r="D64" s="128"/>
      <c r="E64" s="129"/>
      <c r="F64" s="129" t="s">
        <v>32</v>
      </c>
      <c r="G64" s="129"/>
      <c r="H64" s="129">
        <f>SUM(H59:H63)</f>
        <v>8.7153390717649994</v>
      </c>
      <c r="I64" s="128" t="s">
        <v>24</v>
      </c>
      <c r="J64" s="129">
        <v>13957.29</v>
      </c>
      <c r="K64" s="129">
        <f>H64*J64</f>
        <v>121642.51487295491</v>
      </c>
      <c r="L64" s="130"/>
    </row>
    <row r="65" spans="2:12">
      <c r="B65" s="126"/>
      <c r="C65" s="139" t="s">
        <v>29</v>
      </c>
      <c r="D65" s="128"/>
      <c r="E65" s="129"/>
      <c r="F65" s="129"/>
      <c r="G65" s="129"/>
      <c r="H65" s="129"/>
      <c r="I65" s="128"/>
      <c r="J65" s="129"/>
      <c r="K65" s="129">
        <f>0.13*H64*5212.4</f>
        <v>5905.6183390968245</v>
      </c>
      <c r="L65" s="130"/>
    </row>
    <row r="66" spans="2:12">
      <c r="B66" s="126"/>
      <c r="C66" s="139" t="s">
        <v>30</v>
      </c>
      <c r="D66" s="128"/>
      <c r="E66" s="129"/>
      <c r="F66" s="129"/>
      <c r="G66" s="129"/>
      <c r="H66" s="129"/>
      <c r="I66" s="128"/>
      <c r="J66" s="129"/>
      <c r="K66" s="129">
        <f>0.13*H64*1350.6</f>
        <v>1530.221803542355</v>
      </c>
      <c r="L66" s="130"/>
    </row>
    <row r="67" spans="2:12">
      <c r="B67" s="126"/>
      <c r="C67" s="139" t="s">
        <v>31</v>
      </c>
      <c r="D67" s="128"/>
      <c r="E67" s="129"/>
      <c r="F67" s="129"/>
      <c r="G67" s="129"/>
      <c r="H67" s="129"/>
      <c r="I67" s="128"/>
      <c r="J67" s="129"/>
      <c r="K67" s="129">
        <f>0.13*H64*(1912.03+921.59)</f>
        <v>3210.4746830695158</v>
      </c>
      <c r="L67" s="130"/>
    </row>
    <row r="68" spans="2:12">
      <c r="B68" s="126"/>
      <c r="C68" s="139" t="s">
        <v>143</v>
      </c>
      <c r="D68" s="128"/>
      <c r="E68" s="129"/>
      <c r="F68" s="129"/>
      <c r="G68" s="129"/>
      <c r="H68" s="129"/>
      <c r="I68" s="128"/>
      <c r="J68" s="129"/>
      <c r="K68" s="129">
        <f>0.13*H64*392.92</f>
        <v>445.17603365012752</v>
      </c>
      <c r="L68" s="130"/>
    </row>
    <row r="69" spans="2:12">
      <c r="B69" s="126"/>
      <c r="C69" s="139" t="s">
        <v>144</v>
      </c>
      <c r="D69" s="128"/>
      <c r="E69" s="129"/>
      <c r="F69" s="129"/>
      <c r="G69" s="129"/>
      <c r="H69" s="129"/>
      <c r="I69" s="128"/>
      <c r="J69" s="129"/>
      <c r="K69" s="129">
        <f>0.13*H64*14.15</f>
        <v>16.031866222511717</v>
      </c>
      <c r="L69" s="130"/>
    </row>
    <row r="70" spans="2:12">
      <c r="B70" s="126"/>
      <c r="C70" s="139"/>
      <c r="D70" s="128"/>
      <c r="E70" s="129"/>
      <c r="F70" s="129"/>
      <c r="G70" s="129"/>
      <c r="H70" s="129"/>
      <c r="I70" s="128"/>
      <c r="J70" s="129"/>
      <c r="K70" s="129"/>
      <c r="L70" s="130"/>
    </row>
    <row r="71" spans="2:12" ht="35.1" customHeight="1">
      <c r="B71" s="126">
        <v>9</v>
      </c>
      <c r="C71" s="127" t="s">
        <v>78</v>
      </c>
      <c r="D71" s="128"/>
      <c r="E71" s="128"/>
      <c r="F71" s="128"/>
      <c r="G71" s="128"/>
      <c r="H71" s="129"/>
      <c r="I71" s="128"/>
      <c r="J71" s="129"/>
      <c r="K71" s="129"/>
      <c r="L71" s="130"/>
    </row>
    <row r="72" spans="2:12">
      <c r="B72" s="126"/>
      <c r="C72" s="139" t="s">
        <v>147</v>
      </c>
      <c r="D72" s="128">
        <v>2</v>
      </c>
      <c r="E72" s="128">
        <f>15.42/3.281</f>
        <v>4.6997866504114594</v>
      </c>
      <c r="F72" s="128"/>
      <c r="G72" s="128">
        <f>5.25/3.281</f>
        <v>1.6001219140505942</v>
      </c>
      <c r="H72" s="129">
        <f>D72*E72*G72</f>
        <v>15.040463221371631</v>
      </c>
      <c r="I72" s="128"/>
      <c r="J72" s="129"/>
      <c r="K72" s="129"/>
      <c r="L72" s="130"/>
    </row>
    <row r="73" spans="2:12">
      <c r="B73" s="126"/>
      <c r="C73" s="143"/>
      <c r="D73" s="128">
        <v>2</v>
      </c>
      <c r="E73" s="128">
        <f>10/3.281</f>
        <v>3.047851264858275</v>
      </c>
      <c r="F73" s="128"/>
      <c r="G73" s="128">
        <f>5.25/3.281</f>
        <v>1.6001219140505942</v>
      </c>
      <c r="H73" s="129">
        <f>D73*E73*G73</f>
        <v>9.7538671993330954</v>
      </c>
      <c r="I73" s="128"/>
      <c r="J73" s="144"/>
      <c r="K73" s="129"/>
      <c r="L73" s="130"/>
    </row>
    <row r="74" spans="2:12">
      <c r="B74" s="126"/>
      <c r="C74" s="143"/>
      <c r="D74" s="128"/>
      <c r="E74" s="129"/>
      <c r="F74" s="129"/>
      <c r="G74" s="134"/>
      <c r="H74" s="129">
        <f>SUM(H72:H73)</f>
        <v>24.794330420704725</v>
      </c>
      <c r="I74" s="128" t="s">
        <v>40</v>
      </c>
      <c r="J74" s="129">
        <v>415.5</v>
      </c>
      <c r="K74" s="129">
        <f>H74*J74</f>
        <v>10302.044289802812</v>
      </c>
      <c r="L74" s="130"/>
    </row>
    <row r="75" spans="2:12">
      <c r="B75" s="126"/>
      <c r="C75" s="139" t="s">
        <v>29</v>
      </c>
      <c r="D75" s="128"/>
      <c r="E75" s="129"/>
      <c r="F75" s="129"/>
      <c r="G75" s="134"/>
      <c r="H75" s="129"/>
      <c r="I75" s="128"/>
      <c r="J75" s="144"/>
      <c r="K75" s="129">
        <f>0.13*H74*7010.67/100</f>
        <v>225.97232898567862</v>
      </c>
      <c r="L75" s="130"/>
    </row>
    <row r="76" spans="2:12">
      <c r="B76" s="126"/>
      <c r="C76" s="139" t="s">
        <v>30</v>
      </c>
      <c r="D76" s="128"/>
      <c r="E76" s="129"/>
      <c r="F76" s="129"/>
      <c r="G76" s="134"/>
      <c r="H76" s="129"/>
      <c r="I76" s="128"/>
      <c r="J76" s="144"/>
      <c r="K76" s="129">
        <f>0.13*H74*4639.73/100</f>
        <v>149.55069828771323</v>
      </c>
      <c r="L76" s="130"/>
    </row>
    <row r="77" spans="2:12">
      <c r="B77" s="126"/>
      <c r="C77" s="139"/>
      <c r="D77" s="128"/>
      <c r="E77" s="129"/>
      <c r="F77" s="129"/>
      <c r="G77" s="134"/>
      <c r="H77" s="129"/>
      <c r="I77" s="128"/>
      <c r="J77" s="144"/>
      <c r="K77" s="129"/>
      <c r="L77" s="130"/>
    </row>
    <row r="78" spans="2:12" ht="35.1" customHeight="1">
      <c r="B78" s="126">
        <v>10</v>
      </c>
      <c r="C78" s="127" t="s">
        <v>77</v>
      </c>
      <c r="D78" s="128"/>
      <c r="E78" s="128"/>
      <c r="F78" s="128"/>
      <c r="G78" s="129"/>
      <c r="H78" s="128"/>
      <c r="I78" s="134"/>
      <c r="J78" s="129"/>
      <c r="K78" s="128"/>
      <c r="L78" s="130"/>
    </row>
    <row r="79" spans="2:12">
      <c r="B79" s="126"/>
      <c r="C79" s="139" t="s">
        <v>146</v>
      </c>
      <c r="D79" s="128">
        <v>1</v>
      </c>
      <c r="E79" s="128">
        <f>13.42/3.281</f>
        <v>4.0902163974398045</v>
      </c>
      <c r="F79" s="128">
        <f>8/3.281</f>
        <v>2.4382810118866196</v>
      </c>
      <c r="G79" s="129"/>
      <c r="H79" s="128">
        <f>F79*E79*D79</f>
        <v>9.9730969763847703</v>
      </c>
      <c r="I79" s="134" t="s">
        <v>23</v>
      </c>
      <c r="J79" s="129">
        <v>689.98</v>
      </c>
      <c r="K79" s="128">
        <f>H79*J79</f>
        <v>6881.2374517659637</v>
      </c>
      <c r="L79" s="130"/>
    </row>
    <row r="80" spans="2:12">
      <c r="B80" s="126"/>
      <c r="C80" s="139" t="s">
        <v>29</v>
      </c>
      <c r="D80" s="128"/>
      <c r="E80" s="128"/>
      <c r="F80" s="128"/>
      <c r="G80" s="134"/>
      <c r="H80" s="128"/>
      <c r="I80" s="134"/>
      <c r="J80" s="129"/>
      <c r="K80" s="145">
        <f>0.13*H79*1694.03/10</f>
        <v>219.63143112176621</v>
      </c>
      <c r="L80" s="130"/>
    </row>
    <row r="81" spans="2:12">
      <c r="B81" s="126"/>
      <c r="C81" s="139" t="s">
        <v>30</v>
      </c>
      <c r="D81" s="128"/>
      <c r="E81" s="128"/>
      <c r="F81" s="128"/>
      <c r="G81" s="134"/>
      <c r="H81" s="128"/>
      <c r="I81" s="134"/>
      <c r="J81" s="129"/>
      <c r="K81" s="145">
        <f>0.13*H79*572.02/10</f>
        <v>74.162542121611025</v>
      </c>
      <c r="L81" s="130"/>
    </row>
    <row r="82" spans="2:12">
      <c r="B82" s="126"/>
      <c r="C82" s="139" t="s">
        <v>31</v>
      </c>
      <c r="D82" s="128"/>
      <c r="E82" s="128"/>
      <c r="F82" s="128"/>
      <c r="G82" s="134"/>
      <c r="H82" s="128"/>
      <c r="I82" s="134"/>
      <c r="J82" s="129"/>
      <c r="K82" s="145">
        <f>0.13*H79*1207.6/10</f>
        <v>156.56565481286924</v>
      </c>
      <c r="L82" s="130"/>
    </row>
    <row r="83" spans="2:12" ht="18" customHeight="1">
      <c r="B83" s="126"/>
      <c r="C83" s="139"/>
      <c r="D83" s="128"/>
      <c r="E83" s="129"/>
      <c r="F83" s="129"/>
      <c r="G83" s="134"/>
      <c r="H83" s="129"/>
      <c r="I83" s="128"/>
      <c r="J83" s="129"/>
      <c r="K83" s="129"/>
      <c r="L83" s="130"/>
    </row>
    <row r="84" spans="2:12" ht="35.1" customHeight="1">
      <c r="B84" s="126">
        <v>11</v>
      </c>
      <c r="C84" s="127" t="s">
        <v>79</v>
      </c>
      <c r="D84" s="128"/>
      <c r="E84" s="128"/>
      <c r="F84" s="128"/>
      <c r="G84" s="128"/>
      <c r="H84" s="128"/>
      <c r="I84" s="128"/>
      <c r="J84" s="128"/>
      <c r="K84" s="128"/>
      <c r="L84" s="130"/>
    </row>
    <row r="85" spans="2:12">
      <c r="B85" s="126"/>
      <c r="C85" s="139" t="str">
        <f>C72</f>
        <v>-At shear wall</v>
      </c>
      <c r="D85" s="128">
        <f>D60</f>
        <v>2</v>
      </c>
      <c r="E85" s="128">
        <f>E72</f>
        <v>4.6997866504114594</v>
      </c>
      <c r="F85" s="128"/>
      <c r="G85" s="128">
        <f>G60+0.3+0.3</f>
        <v>2.2001219140505941</v>
      </c>
      <c r="H85" s="129">
        <f>PRODUCT(D85:G85)</f>
        <v>20.680207201865382</v>
      </c>
      <c r="I85" s="128"/>
      <c r="J85" s="128"/>
      <c r="K85" s="128"/>
      <c r="L85" s="130"/>
    </row>
    <row r="86" spans="2:12">
      <c r="B86" s="126"/>
      <c r="C86" s="139"/>
      <c r="D86" s="128">
        <f>D61</f>
        <v>2</v>
      </c>
      <c r="E86" s="128">
        <f>E73</f>
        <v>3.047851264858275</v>
      </c>
      <c r="F86" s="128"/>
      <c r="G86" s="128">
        <f>G61+0.3+0.3</f>
        <v>2.2001219140505941</v>
      </c>
      <c r="H86" s="129">
        <f t="shared" ref="H86:H87" si="7">PRODUCT(D86:G86)</f>
        <v>13.411288717163025</v>
      </c>
      <c r="I86" s="128"/>
      <c r="J86" s="128"/>
      <c r="K86" s="128"/>
      <c r="L86" s="130"/>
    </row>
    <row r="87" spans="2:12">
      <c r="B87" s="126"/>
      <c r="C87" s="141" t="s">
        <v>148</v>
      </c>
      <c r="D87" s="128">
        <v>1</v>
      </c>
      <c r="E87" s="128">
        <f>E79</f>
        <v>4.0902163974398045</v>
      </c>
      <c r="F87" s="128">
        <f>F79</f>
        <v>2.4382810118866196</v>
      </c>
      <c r="G87" s="128"/>
      <c r="H87" s="129">
        <f t="shared" si="7"/>
        <v>9.9730969763847703</v>
      </c>
      <c r="I87" s="128"/>
      <c r="J87" s="128"/>
      <c r="K87" s="128"/>
      <c r="L87" s="130"/>
    </row>
    <row r="88" spans="2:12">
      <c r="B88" s="126"/>
      <c r="C88" s="139"/>
      <c r="D88" s="128"/>
      <c r="E88" s="128"/>
      <c r="F88" s="128"/>
      <c r="G88" s="128"/>
      <c r="H88" s="128">
        <f>SUM(H85:H87)</f>
        <v>44.06459289541317</v>
      </c>
      <c r="I88" s="128" t="s">
        <v>40</v>
      </c>
      <c r="J88" s="128">
        <v>287.32</v>
      </c>
      <c r="K88" s="128">
        <f>H88*J88</f>
        <v>12660.638830710112</v>
      </c>
      <c r="L88" s="130"/>
    </row>
    <row r="89" spans="2:12">
      <c r="B89" s="126"/>
      <c r="C89" s="139" t="s">
        <v>29</v>
      </c>
      <c r="D89" s="128"/>
      <c r="E89" s="128"/>
      <c r="F89" s="128"/>
      <c r="G89" s="128"/>
      <c r="H89" s="128"/>
      <c r="I89" s="128"/>
      <c r="J89" s="128"/>
      <c r="K89" s="128">
        <f>0.13*H88*693.24/10</f>
        <v>397.11539892461093</v>
      </c>
      <c r="L89" s="130"/>
    </row>
    <row r="90" spans="2:12">
      <c r="B90" s="126"/>
      <c r="C90" s="139"/>
      <c r="D90" s="128"/>
      <c r="E90" s="128"/>
      <c r="F90" s="128"/>
      <c r="G90" s="128"/>
      <c r="H90" s="128"/>
      <c r="I90" s="128"/>
      <c r="J90" s="128"/>
      <c r="K90" s="128"/>
      <c r="L90" s="130"/>
    </row>
    <row r="91" spans="2:12">
      <c r="B91" s="126"/>
      <c r="C91" s="139"/>
      <c r="D91" s="128"/>
      <c r="E91" s="128"/>
      <c r="F91" s="128"/>
      <c r="G91" s="128"/>
      <c r="H91" s="128"/>
      <c r="I91" s="128"/>
      <c r="J91" s="128"/>
      <c r="K91" s="128"/>
      <c r="L91" s="130"/>
    </row>
    <row r="92" spans="2:12" ht="33" customHeight="1">
      <c r="B92" s="126">
        <v>12</v>
      </c>
      <c r="C92" s="143" t="s">
        <v>87</v>
      </c>
      <c r="D92" s="128">
        <v>1</v>
      </c>
      <c r="E92" s="129"/>
      <c r="F92" s="129"/>
      <c r="G92" s="134"/>
      <c r="H92" s="129">
        <f>+D92</f>
        <v>1</v>
      </c>
      <c r="I92" s="128" t="s">
        <v>34</v>
      </c>
      <c r="J92" s="129">
        <v>4659</v>
      </c>
      <c r="K92" s="129">
        <f>H92*J92</f>
        <v>4659</v>
      </c>
      <c r="L92" s="130"/>
    </row>
    <row r="93" spans="2:12">
      <c r="B93" s="126"/>
      <c r="C93" s="132" t="s">
        <v>88</v>
      </c>
      <c r="D93" s="128"/>
      <c r="E93" s="129"/>
      <c r="F93" s="129"/>
      <c r="G93" s="134"/>
      <c r="H93" s="129"/>
      <c r="I93" s="128"/>
      <c r="J93" s="129"/>
      <c r="K93" s="129">
        <f>0.13*K92</f>
        <v>605.67000000000007</v>
      </c>
      <c r="L93" s="130"/>
    </row>
    <row r="94" spans="2:12">
      <c r="B94" s="126"/>
      <c r="C94" s="143"/>
      <c r="D94" s="128"/>
      <c r="E94" s="129"/>
      <c r="F94" s="129"/>
      <c r="G94" s="134"/>
      <c r="H94" s="129"/>
      <c r="I94" s="128"/>
      <c r="J94" s="129"/>
      <c r="K94" s="129"/>
      <c r="L94" s="130"/>
    </row>
    <row r="95" spans="2:12" ht="37.5">
      <c r="B95" s="126">
        <v>13</v>
      </c>
      <c r="C95" s="127" t="s">
        <v>149</v>
      </c>
      <c r="D95" s="128"/>
      <c r="E95" s="128"/>
      <c r="F95" s="128"/>
      <c r="G95" s="128"/>
      <c r="H95" s="128"/>
      <c r="I95" s="128"/>
      <c r="J95" s="128"/>
      <c r="K95" s="128"/>
      <c r="L95" s="130"/>
    </row>
    <row r="96" spans="2:12">
      <c r="B96" s="126"/>
      <c r="C96" s="141" t="s">
        <v>146</v>
      </c>
      <c r="D96" s="128">
        <v>1</v>
      </c>
      <c r="E96" s="128">
        <f>(15.42*2+10*2)/3.281</f>
        <v>15.49527583053947</v>
      </c>
      <c r="F96" s="128"/>
      <c r="G96" s="128">
        <f>5.25/3.281</f>
        <v>1.6001219140505942</v>
      </c>
      <c r="H96" s="129">
        <f t="shared" ref="H96:H97" si="8">PRODUCT(D96:G96)</f>
        <v>24.794330420704728</v>
      </c>
      <c r="I96" s="128"/>
      <c r="J96" s="128"/>
      <c r="K96" s="128"/>
      <c r="L96" s="130"/>
    </row>
    <row r="97" spans="2:12">
      <c r="B97" s="126"/>
      <c r="C97" s="139"/>
      <c r="D97" s="128">
        <v>1</v>
      </c>
      <c r="E97" s="128">
        <f>13.42/3.281</f>
        <v>4.0902163974398045</v>
      </c>
      <c r="F97" s="128">
        <f>8/3.281</f>
        <v>2.4382810118866196</v>
      </c>
      <c r="G97" s="128"/>
      <c r="H97" s="129">
        <f t="shared" si="8"/>
        <v>9.9730969763847703</v>
      </c>
      <c r="I97" s="128"/>
      <c r="J97" s="128"/>
      <c r="K97" s="128"/>
      <c r="L97" s="130"/>
    </row>
    <row r="98" spans="2:12">
      <c r="B98" s="126"/>
      <c r="C98" s="139"/>
      <c r="D98" s="128"/>
      <c r="E98" s="128"/>
      <c r="F98" s="128"/>
      <c r="G98" s="128"/>
      <c r="H98" s="128">
        <f>SUM(H96:H97)</f>
        <v>34.767427397089499</v>
      </c>
      <c r="I98" s="128" t="s">
        <v>23</v>
      </c>
      <c r="J98" s="128">
        <v>452.86</v>
      </c>
      <c r="K98" s="128">
        <f>H98*J98</f>
        <v>15744.777171045951</v>
      </c>
      <c r="L98" s="130"/>
    </row>
    <row r="99" spans="2:12">
      <c r="B99" s="126"/>
      <c r="C99" s="139" t="s">
        <v>29</v>
      </c>
      <c r="D99" s="128"/>
      <c r="E99" s="128"/>
      <c r="F99" s="128"/>
      <c r="G99" s="128"/>
      <c r="H99" s="128"/>
      <c r="I99" s="128"/>
      <c r="J99" s="128"/>
      <c r="K99" s="128">
        <f>0.13*H98*1759.18/10</f>
        <v>795.10811806935476</v>
      </c>
      <c r="L99" s="130"/>
    </row>
    <row r="100" spans="2:12">
      <c r="B100" s="126"/>
      <c r="C100" s="139" t="s">
        <v>162</v>
      </c>
      <c r="D100" s="128"/>
      <c r="E100" s="128"/>
      <c r="F100" s="128"/>
      <c r="G100" s="128"/>
      <c r="H100" s="128"/>
      <c r="I100" s="128"/>
      <c r="J100" s="128"/>
      <c r="K100" s="128">
        <f>0.13*H98*572.02/10</f>
        <v>258.53962965588073</v>
      </c>
      <c r="L100" s="130"/>
    </row>
    <row r="101" spans="2:12" ht="33">
      <c r="B101" s="126"/>
      <c r="C101" s="139" t="s">
        <v>163</v>
      </c>
      <c r="D101" s="128"/>
      <c r="E101" s="128"/>
      <c r="F101" s="128"/>
      <c r="G101" s="128"/>
      <c r="H101" s="128"/>
      <c r="I101" s="128"/>
      <c r="J101" s="128"/>
      <c r="K101" s="128">
        <f>0.13*H98*515.7/10</f>
        <v>233.08431001282776</v>
      </c>
      <c r="L101" s="130"/>
    </row>
    <row r="102" spans="2:12">
      <c r="B102" s="126"/>
      <c r="C102" s="139"/>
      <c r="D102" s="128"/>
      <c r="E102" s="128"/>
      <c r="F102" s="128"/>
      <c r="G102" s="128"/>
      <c r="H102" s="128"/>
      <c r="I102" s="128"/>
      <c r="J102" s="128"/>
      <c r="K102" s="128"/>
      <c r="L102" s="130"/>
    </row>
    <row r="103" spans="2:12" ht="37.5">
      <c r="B103" s="126">
        <v>14</v>
      </c>
      <c r="C103" s="127" t="s">
        <v>158</v>
      </c>
      <c r="D103" s="128"/>
      <c r="E103" s="128"/>
      <c r="F103" s="128"/>
      <c r="G103" s="128"/>
      <c r="H103" s="128"/>
      <c r="I103" s="128"/>
      <c r="J103" s="128"/>
      <c r="K103" s="128"/>
      <c r="L103" s="130"/>
    </row>
    <row r="104" spans="2:12">
      <c r="B104" s="126"/>
      <c r="C104" s="141" t="s">
        <v>159</v>
      </c>
      <c r="D104" s="128">
        <v>2</v>
      </c>
      <c r="E104" s="128">
        <v>3.415</v>
      </c>
      <c r="F104" s="128"/>
      <c r="G104" s="128">
        <v>1.43</v>
      </c>
      <c r="H104" s="129">
        <f>PRODUCT(D104:G104)</f>
        <v>9.7668999999999997</v>
      </c>
      <c r="I104" s="128"/>
      <c r="J104" s="128"/>
      <c r="K104" s="128"/>
      <c r="L104" s="130"/>
    </row>
    <row r="105" spans="2:12">
      <c r="B105" s="126"/>
      <c r="C105" s="141"/>
      <c r="D105" s="128">
        <v>2</v>
      </c>
      <c r="E105" s="128">
        <f>0.48*2</f>
        <v>0.96</v>
      </c>
      <c r="F105" s="128"/>
      <c r="G105" s="128">
        <v>2.2000000000000002</v>
      </c>
      <c r="H105" s="129">
        <f t="shared" ref="H105:H134" si="9">PRODUCT(D105:G105)</f>
        <v>4.2240000000000002</v>
      </c>
      <c r="I105" s="128"/>
      <c r="J105" s="128"/>
      <c r="K105" s="128"/>
      <c r="L105" s="130"/>
    </row>
    <row r="106" spans="2:12">
      <c r="B106" s="126"/>
      <c r="C106" s="141"/>
      <c r="D106" s="128"/>
      <c r="E106" s="128">
        <v>4</v>
      </c>
      <c r="F106" s="128"/>
      <c r="G106" s="128">
        <v>1.39</v>
      </c>
      <c r="H106" s="129">
        <f t="shared" si="9"/>
        <v>5.56</v>
      </c>
      <c r="I106" s="128"/>
      <c r="J106" s="128"/>
      <c r="K106" s="128"/>
      <c r="L106" s="130"/>
    </row>
    <row r="107" spans="2:12">
      <c r="B107" s="126"/>
      <c r="C107" s="141"/>
      <c r="D107" s="128"/>
      <c r="E107" s="128">
        <f>0.48*2</f>
        <v>0.96</v>
      </c>
      <c r="F107" s="128"/>
      <c r="G107" s="128">
        <v>2.2000000000000002</v>
      </c>
      <c r="H107" s="129">
        <f t="shared" si="9"/>
        <v>2.1120000000000001</v>
      </c>
      <c r="I107" s="128"/>
      <c r="J107" s="128"/>
      <c r="K107" s="128"/>
      <c r="L107" s="130"/>
    </row>
    <row r="108" spans="2:12">
      <c r="B108" s="126"/>
      <c r="C108" s="141"/>
      <c r="D108" s="128"/>
      <c r="E108" s="128">
        <v>3.91</v>
      </c>
      <c r="F108" s="128"/>
      <c r="G108" s="128">
        <v>1.3</v>
      </c>
      <c r="H108" s="129">
        <f t="shared" si="9"/>
        <v>5.0830000000000002</v>
      </c>
      <c r="I108" s="128"/>
      <c r="J108" s="128"/>
      <c r="K108" s="128"/>
      <c r="L108" s="130"/>
    </row>
    <row r="109" spans="2:12">
      <c r="B109" s="126"/>
      <c r="C109" s="141"/>
      <c r="D109" s="128"/>
      <c r="E109" s="128">
        <f>0.48*2</f>
        <v>0.96</v>
      </c>
      <c r="F109" s="128"/>
      <c r="G109" s="128">
        <v>2.31</v>
      </c>
      <c r="H109" s="129">
        <f t="shared" si="9"/>
        <v>2.2176</v>
      </c>
      <c r="I109" s="128"/>
      <c r="J109" s="128"/>
      <c r="K109" s="128"/>
      <c r="L109" s="130"/>
    </row>
    <row r="110" spans="2:12">
      <c r="B110" s="126"/>
      <c r="C110" s="141"/>
      <c r="D110" s="128"/>
      <c r="E110" s="128">
        <v>3.96</v>
      </c>
      <c r="F110" s="128"/>
      <c r="G110" s="128">
        <v>1.37</v>
      </c>
      <c r="H110" s="129">
        <f t="shared" si="9"/>
        <v>5.4252000000000002</v>
      </c>
      <c r="I110" s="128"/>
      <c r="J110" s="128"/>
      <c r="K110" s="128"/>
      <c r="L110" s="130"/>
    </row>
    <row r="111" spans="2:12">
      <c r="B111" s="126"/>
      <c r="C111" s="141"/>
      <c r="D111" s="128"/>
      <c r="E111" s="128">
        <f>0.48*2</f>
        <v>0.96</v>
      </c>
      <c r="F111" s="128"/>
      <c r="G111" s="128">
        <v>2.29</v>
      </c>
      <c r="H111" s="129">
        <f t="shared" si="9"/>
        <v>2.1983999999999999</v>
      </c>
      <c r="I111" s="128"/>
      <c r="J111" s="128"/>
      <c r="K111" s="128"/>
      <c r="L111" s="130"/>
    </row>
    <row r="112" spans="2:12">
      <c r="B112" s="126"/>
      <c r="C112" s="141"/>
      <c r="D112" s="128"/>
      <c r="E112" s="128">
        <v>3.875</v>
      </c>
      <c r="F112" s="128"/>
      <c r="G112" s="128">
        <v>1.2649999999999999</v>
      </c>
      <c r="H112" s="129">
        <f t="shared" si="9"/>
        <v>4.9018749999999995</v>
      </c>
      <c r="I112" s="128"/>
      <c r="J112" s="128"/>
      <c r="K112" s="128"/>
      <c r="L112" s="130"/>
    </row>
    <row r="113" spans="2:12">
      <c r="B113" s="126"/>
      <c r="C113" s="141"/>
      <c r="D113" s="128"/>
      <c r="E113" s="128">
        <f>0.48*2</f>
        <v>0.96</v>
      </c>
      <c r="F113" s="128"/>
      <c r="G113" s="128">
        <v>2.19</v>
      </c>
      <c r="H113" s="129">
        <f t="shared" si="9"/>
        <v>2.1023999999999998</v>
      </c>
      <c r="I113" s="128"/>
      <c r="J113" s="128"/>
      <c r="K113" s="128"/>
      <c r="L113" s="130"/>
    </row>
    <row r="114" spans="2:12">
      <c r="B114" s="126"/>
      <c r="C114" s="141"/>
      <c r="D114" s="128"/>
      <c r="E114" s="128">
        <v>3.69</v>
      </c>
      <c r="F114" s="128"/>
      <c r="G114" s="128">
        <v>1.28</v>
      </c>
      <c r="H114" s="129">
        <f t="shared" si="9"/>
        <v>4.7232000000000003</v>
      </c>
      <c r="I114" s="128"/>
      <c r="J114" s="128"/>
      <c r="K114" s="128"/>
      <c r="L114" s="130"/>
    </row>
    <row r="115" spans="2:12">
      <c r="B115" s="126"/>
      <c r="C115" s="141"/>
      <c r="D115" s="128"/>
      <c r="E115" s="128">
        <f>0.48*2</f>
        <v>0.96</v>
      </c>
      <c r="F115" s="128"/>
      <c r="G115" s="128">
        <v>2.19</v>
      </c>
      <c r="H115" s="129">
        <f t="shared" si="9"/>
        <v>2.1023999999999998</v>
      </c>
      <c r="I115" s="128"/>
      <c r="J115" s="128"/>
      <c r="K115" s="128"/>
      <c r="L115" s="130"/>
    </row>
    <row r="116" spans="2:12">
      <c r="B116" s="126"/>
      <c r="C116" s="141"/>
      <c r="D116" s="128"/>
      <c r="E116" s="128">
        <f>1.73+2.44</f>
        <v>4.17</v>
      </c>
      <c r="F116" s="128"/>
      <c r="G116" s="128">
        <v>1.1200000000000001</v>
      </c>
      <c r="H116" s="129">
        <f t="shared" si="9"/>
        <v>4.6704000000000008</v>
      </c>
      <c r="I116" s="128"/>
      <c r="J116" s="128"/>
      <c r="K116" s="128"/>
      <c r="L116" s="130"/>
    </row>
    <row r="117" spans="2:12">
      <c r="B117" s="126"/>
      <c r="C117" s="141"/>
      <c r="D117" s="128"/>
      <c r="E117" s="128">
        <f>0.34*2</f>
        <v>0.68</v>
      </c>
      <c r="F117" s="128"/>
      <c r="G117" s="128">
        <v>2.2599999999999998</v>
      </c>
      <c r="H117" s="129">
        <f t="shared" si="9"/>
        <v>1.5367999999999999</v>
      </c>
      <c r="I117" s="128"/>
      <c r="J117" s="128"/>
      <c r="K117" s="128"/>
      <c r="L117" s="130"/>
    </row>
    <row r="118" spans="2:12">
      <c r="B118" s="126"/>
      <c r="C118" s="141"/>
      <c r="D118" s="128"/>
      <c r="E118" s="128">
        <f>0.34*2</f>
        <v>0.68</v>
      </c>
      <c r="F118" s="128"/>
      <c r="G118" s="128">
        <v>2.15</v>
      </c>
      <c r="H118" s="129">
        <f t="shared" si="9"/>
        <v>1.462</v>
      </c>
      <c r="I118" s="128"/>
      <c r="J118" s="128"/>
      <c r="K118" s="128"/>
      <c r="L118" s="130"/>
    </row>
    <row r="119" spans="2:12">
      <c r="B119" s="126"/>
      <c r="C119" s="141"/>
      <c r="D119" s="128"/>
      <c r="E119" s="128">
        <v>2.5</v>
      </c>
      <c r="F119" s="128"/>
      <c r="G119" s="128">
        <v>1.1599999999999999</v>
      </c>
      <c r="H119" s="129">
        <f t="shared" si="9"/>
        <v>2.9</v>
      </c>
      <c r="I119" s="128"/>
      <c r="J119" s="128"/>
      <c r="K119" s="128"/>
      <c r="L119" s="130"/>
    </row>
    <row r="120" spans="2:12">
      <c r="B120" s="126"/>
      <c r="C120" s="141"/>
      <c r="D120" s="128"/>
      <c r="E120" s="128">
        <f>0.48*2</f>
        <v>0.96</v>
      </c>
      <c r="F120" s="128"/>
      <c r="G120" s="128">
        <v>2.1800000000000002</v>
      </c>
      <c r="H120" s="129">
        <f t="shared" si="9"/>
        <v>2.0928</v>
      </c>
      <c r="I120" s="128"/>
      <c r="J120" s="128"/>
      <c r="K120" s="128"/>
      <c r="L120" s="130"/>
    </row>
    <row r="121" spans="2:12">
      <c r="B121" s="126"/>
      <c r="C121" s="141"/>
      <c r="D121" s="128"/>
      <c r="E121" s="128">
        <v>3.94</v>
      </c>
      <c r="F121" s="128"/>
      <c r="G121" s="128">
        <v>1.2</v>
      </c>
      <c r="H121" s="129">
        <f t="shared" si="9"/>
        <v>4.7279999999999998</v>
      </c>
      <c r="I121" s="128"/>
      <c r="J121" s="128"/>
      <c r="K121" s="128"/>
      <c r="L121" s="130"/>
    </row>
    <row r="122" spans="2:12">
      <c r="B122" s="126"/>
      <c r="C122" s="141"/>
      <c r="D122" s="128"/>
      <c r="E122" s="128">
        <f>0.48*2</f>
        <v>0.96</v>
      </c>
      <c r="F122" s="128"/>
      <c r="G122" s="128">
        <v>2.15</v>
      </c>
      <c r="H122" s="129">
        <f t="shared" si="9"/>
        <v>2.0640000000000001</v>
      </c>
      <c r="I122" s="128"/>
      <c r="J122" s="128"/>
      <c r="K122" s="128"/>
      <c r="L122" s="130"/>
    </row>
    <row r="123" spans="2:12">
      <c r="B123" s="126"/>
      <c r="C123" s="141"/>
      <c r="D123" s="128"/>
      <c r="E123" s="128">
        <v>4</v>
      </c>
      <c r="F123" s="128"/>
      <c r="G123" s="128">
        <v>1.1499999999999999</v>
      </c>
      <c r="H123" s="129">
        <f t="shared" si="9"/>
        <v>4.5999999999999996</v>
      </c>
      <c r="I123" s="128"/>
      <c r="J123" s="128"/>
      <c r="K123" s="128"/>
      <c r="L123" s="130"/>
    </row>
    <row r="124" spans="2:12">
      <c r="B124" s="126"/>
      <c r="C124" s="141"/>
      <c r="D124" s="128"/>
      <c r="E124" s="128">
        <f>0.48*2</f>
        <v>0.96</v>
      </c>
      <c r="F124" s="128"/>
      <c r="G124" s="128">
        <v>2.08</v>
      </c>
      <c r="H124" s="129">
        <f t="shared" si="9"/>
        <v>1.9967999999999999</v>
      </c>
      <c r="I124" s="128"/>
      <c r="J124" s="128"/>
      <c r="K124" s="128"/>
      <c r="L124" s="130"/>
    </row>
    <row r="125" spans="2:12">
      <c r="B125" s="126"/>
      <c r="C125" s="141"/>
      <c r="D125" s="128"/>
      <c r="E125" s="128">
        <v>3.97</v>
      </c>
      <c r="F125" s="128"/>
      <c r="G125" s="128">
        <v>1.25</v>
      </c>
      <c r="H125" s="129">
        <f t="shared" si="9"/>
        <v>4.9625000000000004</v>
      </c>
      <c r="I125" s="128"/>
      <c r="J125" s="128"/>
      <c r="K125" s="128"/>
      <c r="L125" s="130"/>
    </row>
    <row r="126" spans="2:12">
      <c r="B126" s="126"/>
      <c r="C126" s="141"/>
      <c r="D126" s="128"/>
      <c r="E126" s="128">
        <f>0.48*2</f>
        <v>0.96</v>
      </c>
      <c r="F126" s="128"/>
      <c r="G126" s="128">
        <v>2.25</v>
      </c>
      <c r="H126" s="129">
        <f t="shared" si="9"/>
        <v>2.16</v>
      </c>
      <c r="I126" s="128"/>
      <c r="J126" s="128"/>
      <c r="K126" s="128"/>
      <c r="L126" s="130"/>
    </row>
    <row r="127" spans="2:12">
      <c r="B127" s="126"/>
      <c r="C127" s="141"/>
      <c r="D127" s="128"/>
      <c r="E127" s="128">
        <v>4</v>
      </c>
      <c r="F127" s="128"/>
      <c r="G127" s="128">
        <v>1.23</v>
      </c>
      <c r="H127" s="129">
        <f t="shared" si="9"/>
        <v>4.92</v>
      </c>
      <c r="I127" s="128"/>
      <c r="J127" s="128"/>
      <c r="K127" s="128"/>
      <c r="L127" s="130"/>
    </row>
    <row r="128" spans="2:12">
      <c r="B128" s="126"/>
      <c r="C128" s="141"/>
      <c r="D128" s="128"/>
      <c r="E128" s="128">
        <f>0.48*2</f>
        <v>0.96</v>
      </c>
      <c r="F128" s="128"/>
      <c r="G128" s="128">
        <v>2.25</v>
      </c>
      <c r="H128" s="129">
        <f t="shared" si="9"/>
        <v>2.16</v>
      </c>
      <c r="I128" s="128"/>
      <c r="J128" s="128"/>
      <c r="K128" s="128"/>
      <c r="L128" s="130"/>
    </row>
    <row r="129" spans="2:12">
      <c r="B129" s="126"/>
      <c r="C129" s="141"/>
      <c r="D129" s="128"/>
      <c r="E129" s="128">
        <v>4.0599999999999996</v>
      </c>
      <c r="F129" s="128"/>
      <c r="G129" s="128">
        <v>1.32</v>
      </c>
      <c r="H129" s="129">
        <f t="shared" si="9"/>
        <v>5.3591999999999995</v>
      </c>
      <c r="I129" s="128"/>
      <c r="J129" s="128"/>
      <c r="K129" s="128"/>
      <c r="L129" s="130"/>
    </row>
    <row r="130" spans="2:12">
      <c r="B130" s="126"/>
      <c r="C130" s="141"/>
      <c r="D130" s="128"/>
      <c r="E130" s="128">
        <f>0.48*2</f>
        <v>0.96</v>
      </c>
      <c r="F130" s="128"/>
      <c r="G130" s="128">
        <v>2.1800000000000002</v>
      </c>
      <c r="H130" s="129">
        <f t="shared" si="9"/>
        <v>2.0928</v>
      </c>
      <c r="I130" s="128"/>
      <c r="J130" s="128"/>
      <c r="K130" s="128"/>
      <c r="L130" s="130"/>
    </row>
    <row r="131" spans="2:12">
      <c r="B131" s="126"/>
      <c r="C131" s="141"/>
      <c r="D131" s="128"/>
      <c r="E131" s="128">
        <f>3.92</f>
        <v>3.92</v>
      </c>
      <c r="F131" s="128"/>
      <c r="G131" s="128">
        <v>1.32</v>
      </c>
      <c r="H131" s="129">
        <f t="shared" si="9"/>
        <v>5.1744000000000003</v>
      </c>
      <c r="I131" s="128"/>
      <c r="J131" s="128"/>
      <c r="K131" s="128"/>
      <c r="L131" s="130"/>
    </row>
    <row r="132" spans="2:12">
      <c r="B132" s="126"/>
      <c r="C132" s="141"/>
      <c r="D132" s="128"/>
      <c r="E132" s="128">
        <f>0.48*2</f>
        <v>0.96</v>
      </c>
      <c r="F132" s="128"/>
      <c r="G132" s="128">
        <v>2.2799999999999998</v>
      </c>
      <c r="H132" s="129">
        <f t="shared" si="9"/>
        <v>2.1887999999999996</v>
      </c>
      <c r="I132" s="128"/>
      <c r="J132" s="128"/>
      <c r="K132" s="128"/>
      <c r="L132" s="130"/>
    </row>
    <row r="133" spans="2:12">
      <c r="B133" s="126"/>
      <c r="C133" s="141"/>
      <c r="D133" s="128"/>
      <c r="E133" s="128">
        <v>3.62</v>
      </c>
      <c r="F133" s="128"/>
      <c r="G133" s="128">
        <v>1.32</v>
      </c>
      <c r="H133" s="129">
        <f t="shared" si="9"/>
        <v>4.7784000000000004</v>
      </c>
      <c r="I133" s="128"/>
      <c r="J133" s="128"/>
      <c r="K133" s="128"/>
      <c r="L133" s="130"/>
    </row>
    <row r="134" spans="2:12">
      <c r="B134" s="126"/>
      <c r="C134" s="141"/>
      <c r="D134" s="128"/>
      <c r="E134" s="128">
        <f>0.48*2</f>
        <v>0.96</v>
      </c>
      <c r="F134" s="128"/>
      <c r="G134" s="128">
        <v>2.2000000000000002</v>
      </c>
      <c r="H134" s="129">
        <f t="shared" si="9"/>
        <v>2.1120000000000001</v>
      </c>
      <c r="I134" s="128"/>
      <c r="J134" s="128"/>
      <c r="K134" s="128"/>
      <c r="L134" s="130"/>
    </row>
    <row r="135" spans="2:12">
      <c r="B135" s="126"/>
      <c r="C135" s="139"/>
      <c r="D135" s="128"/>
      <c r="E135" s="128"/>
      <c r="F135" s="128"/>
      <c r="G135" s="128"/>
      <c r="H135" s="128">
        <f>SUM(H104:H134)</f>
        <v>112.37587499999998</v>
      </c>
      <c r="I135" s="128" t="s">
        <v>23</v>
      </c>
      <c r="J135" s="128">
        <v>253.8</v>
      </c>
      <c r="K135" s="128">
        <f>H135*J135</f>
        <v>28520.997074999996</v>
      </c>
      <c r="L135" s="130"/>
    </row>
    <row r="136" spans="2:12">
      <c r="B136" s="126"/>
      <c r="C136" s="139" t="s">
        <v>160</v>
      </c>
      <c r="D136" s="128"/>
      <c r="E136" s="128"/>
      <c r="F136" s="128"/>
      <c r="G136" s="128"/>
      <c r="H136" s="128"/>
      <c r="I136" s="128"/>
      <c r="J136" s="128"/>
      <c r="K136" s="128">
        <f>0.13*H135*2304/100</f>
        <v>336.58822079999999</v>
      </c>
      <c r="L136" s="130"/>
    </row>
    <row r="137" spans="2:12">
      <c r="B137" s="126"/>
      <c r="C137" s="139" t="s">
        <v>161</v>
      </c>
      <c r="D137" s="128"/>
      <c r="E137" s="128"/>
      <c r="F137" s="128"/>
      <c r="G137" s="128"/>
      <c r="H137" s="128"/>
      <c r="I137" s="128"/>
      <c r="J137" s="128"/>
      <c r="K137" s="128">
        <f>0.13*H135*10432/100</f>
        <v>1523.9966663999999</v>
      </c>
      <c r="L137" s="130"/>
    </row>
    <row r="138" spans="2:12">
      <c r="B138" s="126"/>
      <c r="C138" s="139"/>
      <c r="D138" s="128"/>
      <c r="E138" s="128"/>
      <c r="F138" s="128"/>
      <c r="G138" s="128"/>
      <c r="H138" s="128"/>
      <c r="I138" s="128"/>
      <c r="J138" s="128"/>
      <c r="K138" s="128"/>
      <c r="L138" s="130"/>
    </row>
    <row r="139" spans="2:12" ht="33" customHeight="1">
      <c r="B139" s="126">
        <v>15</v>
      </c>
      <c r="C139" s="140" t="s">
        <v>150</v>
      </c>
      <c r="D139" s="128">
        <v>1</v>
      </c>
      <c r="E139" s="128"/>
      <c r="F139" s="128"/>
      <c r="G139" s="128"/>
      <c r="H139" s="128">
        <v>1</v>
      </c>
      <c r="I139" s="128" t="s">
        <v>151</v>
      </c>
      <c r="J139" s="129">
        <v>5000</v>
      </c>
      <c r="K139" s="129">
        <f>H139*J139</f>
        <v>5000</v>
      </c>
      <c r="L139" s="130"/>
    </row>
    <row r="140" spans="2:12">
      <c r="B140" s="126"/>
      <c r="C140" s="146"/>
      <c r="D140" s="128"/>
      <c r="E140" s="128"/>
      <c r="F140" s="128"/>
      <c r="G140" s="129"/>
      <c r="H140" s="128"/>
      <c r="I140" s="128"/>
      <c r="J140" s="129"/>
      <c r="K140" s="129"/>
      <c r="L140" s="130"/>
    </row>
    <row r="141" spans="2:12" ht="33" customHeight="1">
      <c r="B141" s="126">
        <v>16</v>
      </c>
      <c r="C141" s="140" t="s">
        <v>89</v>
      </c>
      <c r="D141" s="128">
        <v>1</v>
      </c>
      <c r="E141" s="128"/>
      <c r="F141" s="128"/>
      <c r="G141" s="128"/>
      <c r="H141" s="128">
        <v>1</v>
      </c>
      <c r="I141" s="128" t="s">
        <v>34</v>
      </c>
      <c r="J141" s="129">
        <v>500</v>
      </c>
      <c r="K141" s="129">
        <f>H141*J141</f>
        <v>500</v>
      </c>
      <c r="L141" s="130"/>
    </row>
    <row r="142" spans="2:12">
      <c r="B142" s="147"/>
      <c r="C142" s="148"/>
      <c r="D142" s="128"/>
      <c r="E142" s="129"/>
      <c r="F142" s="129"/>
      <c r="G142" s="129"/>
      <c r="H142" s="129"/>
      <c r="I142" s="128"/>
      <c r="J142" s="129"/>
      <c r="K142" s="149">
        <f>SUM(K12:K141)</f>
        <v>491068.07337509195</v>
      </c>
      <c r="L142" s="150"/>
    </row>
    <row r="143" spans="2:12">
      <c r="C143" s="9"/>
      <c r="D143" s="10"/>
      <c r="E143" s="10"/>
      <c r="F143" s="10"/>
      <c r="G143" s="10"/>
      <c r="H143" s="10"/>
      <c r="I143" s="10"/>
      <c r="J143" s="10"/>
      <c r="K143" s="117"/>
      <c r="L143" s="8"/>
    </row>
    <row r="144" spans="2:12">
      <c r="C144" s="123" t="s">
        <v>12</v>
      </c>
      <c r="D144" s="173" t="s">
        <v>71</v>
      </c>
      <c r="E144" s="173"/>
      <c r="F144" s="123" t="s">
        <v>72</v>
      </c>
      <c r="H144" s="2"/>
    </row>
    <row r="145" spans="3:8">
      <c r="C145" s="133" t="s">
        <v>13</v>
      </c>
      <c r="D145" s="154">
        <f>+K142</f>
        <v>491068.07337509195</v>
      </c>
      <c r="E145" s="154"/>
      <c r="F145" s="151"/>
      <c r="H145" s="64"/>
    </row>
    <row r="146" spans="3:8">
      <c r="C146" s="133" t="s">
        <v>14</v>
      </c>
      <c r="D146" s="154">
        <v>430000</v>
      </c>
      <c r="E146" s="154"/>
      <c r="F146" s="152">
        <v>100</v>
      </c>
      <c r="H146" s="64"/>
    </row>
    <row r="147" spans="3:8">
      <c r="C147" s="133" t="s">
        <v>19</v>
      </c>
      <c r="D147" s="154">
        <f>0.95*D146</f>
        <v>408500</v>
      </c>
      <c r="E147" s="154"/>
      <c r="F147" s="152">
        <f>D147/D145*100</f>
        <v>83.186022905621869</v>
      </c>
      <c r="H147" s="64"/>
    </row>
    <row r="148" spans="3:8">
      <c r="C148" s="133" t="s">
        <v>15</v>
      </c>
      <c r="D148" s="154">
        <f>D145-D147</f>
        <v>82568.073375091946</v>
      </c>
      <c r="E148" s="154"/>
      <c r="F148" s="152">
        <f>D148/D146*100</f>
        <v>19.201877529091149</v>
      </c>
      <c r="H148" s="64"/>
    </row>
    <row r="149" spans="3:8">
      <c r="C149" s="133" t="s">
        <v>20</v>
      </c>
      <c r="D149" s="154">
        <f>F149*D146/100</f>
        <v>8600</v>
      </c>
      <c r="E149" s="154"/>
      <c r="F149" s="152">
        <v>2</v>
      </c>
      <c r="H149" s="64"/>
    </row>
    <row r="150" spans="3:8">
      <c r="C150" s="133" t="s">
        <v>21</v>
      </c>
      <c r="D150" s="172">
        <f>F150*D146/100</f>
        <v>12900</v>
      </c>
      <c r="E150" s="172"/>
      <c r="F150" s="152">
        <v>3</v>
      </c>
      <c r="H150" s="118"/>
    </row>
    <row r="151" spans="3:8">
      <c r="G151" s="62"/>
    </row>
  </sheetData>
  <mergeCells count="14">
    <mergeCell ref="D149:E149"/>
    <mergeCell ref="D150:E150"/>
    <mergeCell ref="D144:E144"/>
    <mergeCell ref="D145:E145"/>
    <mergeCell ref="D146:E146"/>
    <mergeCell ref="D147:E147"/>
    <mergeCell ref="D148:E148"/>
    <mergeCell ref="B6:G6"/>
    <mergeCell ref="I6:L6"/>
    <mergeCell ref="A1:L1"/>
    <mergeCell ref="A2:L2"/>
    <mergeCell ref="A3:L3"/>
    <mergeCell ref="A4:L4"/>
    <mergeCell ref="K5:L5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6" fitToHeight="2" orientation="portrait" r:id="rId1"/>
  <headerFooter>
    <oddHeader>&amp;RPage &amp;P of &amp;N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D8" sqref="D8"/>
    </sheetView>
  </sheetViews>
  <sheetFormatPr defaultRowHeight="15"/>
  <cols>
    <col min="1" max="1" width="10.5703125" customWidth="1"/>
    <col min="2" max="3" width="13.85546875" customWidth="1"/>
    <col min="4" max="5" width="14" customWidth="1"/>
    <col min="6" max="6" width="12.5703125" customWidth="1"/>
    <col min="7" max="7" width="13.42578125" customWidth="1"/>
    <col min="8" max="8" width="12.5703125" customWidth="1"/>
  </cols>
  <sheetData>
    <row r="1" spans="1:8" ht="19.5">
      <c r="A1" s="90">
        <v>152</v>
      </c>
      <c r="B1" s="174" t="s">
        <v>106</v>
      </c>
      <c r="C1" s="175"/>
      <c r="D1" s="175"/>
      <c r="E1" s="175"/>
      <c r="F1" s="175"/>
      <c r="G1" s="175"/>
      <c r="H1" s="175"/>
    </row>
    <row r="2" spans="1:8" ht="15.75">
      <c r="A2" s="91" t="s">
        <v>107</v>
      </c>
      <c r="B2" s="176" t="s">
        <v>108</v>
      </c>
      <c r="C2" s="177"/>
      <c r="D2" s="177"/>
      <c r="E2" s="177"/>
      <c r="F2" s="177"/>
      <c r="G2" s="177"/>
      <c r="H2" s="177"/>
    </row>
    <row r="3" spans="1:8" ht="31.5">
      <c r="A3" s="92"/>
      <c r="B3" s="93" t="s">
        <v>109</v>
      </c>
      <c r="C3" s="93" t="s">
        <v>110</v>
      </c>
      <c r="D3" s="93" t="s">
        <v>111</v>
      </c>
      <c r="E3" s="93" t="s">
        <v>112</v>
      </c>
      <c r="F3" s="93" t="s">
        <v>113</v>
      </c>
      <c r="G3" s="93" t="s">
        <v>114</v>
      </c>
      <c r="H3" s="93" t="s">
        <v>115</v>
      </c>
    </row>
    <row r="4" spans="1:8" ht="16.5">
      <c r="A4" s="92"/>
      <c r="B4" s="178" t="s">
        <v>116</v>
      </c>
      <c r="C4" s="94" t="s">
        <v>117</v>
      </c>
      <c r="D4" s="95">
        <v>0.5</v>
      </c>
      <c r="E4" s="96" t="s">
        <v>118</v>
      </c>
      <c r="F4" s="97">
        <v>1245</v>
      </c>
      <c r="G4" s="97">
        <f>FLOOR(D4*F4,0.01)</f>
        <v>622.5</v>
      </c>
      <c r="H4" s="98"/>
    </row>
    <row r="5" spans="1:8" ht="16.5">
      <c r="A5" s="92"/>
      <c r="B5" s="179"/>
      <c r="C5" s="99" t="s">
        <v>119</v>
      </c>
      <c r="D5" s="100">
        <v>1</v>
      </c>
      <c r="E5" s="99" t="s">
        <v>118</v>
      </c>
      <c r="F5" s="101">
        <v>935</v>
      </c>
      <c r="G5" s="101">
        <f>FLOOR(D5*F5,0.01)</f>
        <v>935</v>
      </c>
      <c r="H5" s="102">
        <f>SUM(G4+G5)</f>
        <v>1557.5</v>
      </c>
    </row>
    <row r="6" spans="1:8" ht="16.5">
      <c r="A6" s="92"/>
      <c r="B6" s="180" t="s">
        <v>120</v>
      </c>
      <c r="C6" s="96" t="s">
        <v>121</v>
      </c>
      <c r="D6" s="95">
        <f>420*0</f>
        <v>0</v>
      </c>
      <c r="E6" s="96" t="s">
        <v>122</v>
      </c>
      <c r="F6" s="103">
        <v>15.145</v>
      </c>
      <c r="G6" s="104">
        <f>FLOOR(D6*F6,0.01)</f>
        <v>0</v>
      </c>
      <c r="H6" s="98"/>
    </row>
    <row r="7" spans="1:8" ht="16.5">
      <c r="A7" s="92"/>
      <c r="B7" s="181"/>
      <c r="C7" s="99" t="s">
        <v>123</v>
      </c>
      <c r="D7" s="100">
        <f>0.71*0</f>
        <v>0</v>
      </c>
      <c r="E7" s="99" t="s">
        <v>124</v>
      </c>
      <c r="F7" s="101">
        <v>3177.9</v>
      </c>
      <c r="G7" s="101">
        <f>FLOOR(D7*F7,0.01)</f>
        <v>0</v>
      </c>
      <c r="H7" s="105">
        <f>SUM(G6:G7)</f>
        <v>0</v>
      </c>
    </row>
    <row r="8" spans="1:8" ht="16.5">
      <c r="A8" s="92"/>
      <c r="B8" s="92"/>
      <c r="C8" s="92"/>
      <c r="D8" s="92"/>
      <c r="E8" s="92"/>
      <c r="F8" s="106" t="s">
        <v>125</v>
      </c>
      <c r="G8" s="107"/>
      <c r="H8" s="101">
        <f>SUM(H7,H5)</f>
        <v>1557.5</v>
      </c>
    </row>
    <row r="9" spans="1:8" ht="16.5">
      <c r="A9" s="92"/>
      <c r="B9" s="92" t="s">
        <v>126</v>
      </c>
      <c r="C9" s="92"/>
      <c r="D9" s="92"/>
      <c r="E9" s="92"/>
      <c r="F9" s="106" t="s">
        <v>127</v>
      </c>
      <c r="G9" s="107"/>
      <c r="H9" s="108">
        <f>FLOOR(H8*0.15,0.01)</f>
        <v>233.62</v>
      </c>
    </row>
    <row r="10" spans="1:8" ht="16.5">
      <c r="A10" s="109"/>
      <c r="B10" s="110">
        <f>+H10</f>
        <v>1791.12</v>
      </c>
      <c r="C10" s="111" t="s">
        <v>128</v>
      </c>
      <c r="D10" s="108">
        <f>INT(B10/B11*100)/100</f>
        <v>179.11</v>
      </c>
      <c r="E10" s="92" t="s">
        <v>129</v>
      </c>
      <c r="F10" s="106" t="s">
        <v>130</v>
      </c>
      <c r="G10" s="107"/>
      <c r="H10" s="108">
        <f>SUM(H8:H9)</f>
        <v>1791.12</v>
      </c>
    </row>
    <row r="11" spans="1:8" ht="15.75">
      <c r="A11" s="92"/>
      <c r="B11" s="112">
        <v>10</v>
      </c>
      <c r="C11" s="92"/>
      <c r="D11" s="92"/>
      <c r="E11" s="92"/>
      <c r="F11" s="92"/>
      <c r="G11" s="92"/>
      <c r="H11" s="92"/>
    </row>
  </sheetData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ESTIMATE</vt:lpstr>
      <vt:lpstr>WCR</vt:lpstr>
      <vt:lpstr>me</vt:lpstr>
      <vt:lpstr>Sheet1</vt:lpstr>
      <vt:lpstr>ESTIMATE!Print_Area</vt:lpstr>
      <vt:lpstr>me!Print_Area</vt:lpstr>
      <vt:lpstr>ESTIMATE!Print_Titles</vt:lpstr>
      <vt:lpstr>me!Print_Titles</vt:lpstr>
      <vt:lpstr>WCR!Print_Titles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2026-05-06T09:07:35Z</cp:lastPrinted>
  <dcterms:created xsi:type="dcterms:W3CDTF">2015-02-11T06:39:48Z</dcterms:created>
  <dcterms:modified xsi:type="dcterms:W3CDTF">2026-07-16T09:56:14Z</dcterms:modified>
</cp:coreProperties>
</file>