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"/>
    </mc:Choice>
  </mc:AlternateContent>
  <xr:revisionPtr revIDLastSave="0" documentId="13_ncr:1_{5E1D2F40-C812-4D19-8B67-97794FDE9A98}" xr6:coauthVersionLast="47" xr6:coauthVersionMax="47" xr10:uidLastSave="{00000000-0000-0000-0000-000000000000}"/>
  <bookViews>
    <workbookView xWindow="-120" yWindow="-120" windowWidth="20730" windowHeight="11040" firstSheet="2" activeTab="4" xr2:uid="{00000000-000D-0000-FFFF-FFFF00000000}"/>
  </bookViews>
  <sheets>
    <sheet name="ESTIMATE" sheetId="25" state="hidden" r:id="rId1"/>
    <sheet name="WCR" sheetId="27" state="hidden" r:id="rId2"/>
    <sheet name="me" sheetId="29" r:id="rId3"/>
    <sheet name="Sheet1" sheetId="30" r:id="rId4"/>
    <sheet name="include dhara marmat" sheetId="31" r:id="rId5"/>
  </sheets>
  <externalReferences>
    <externalReference r:id="rId6"/>
    <externalReference r:id="rId7"/>
  </externalReferences>
  <definedNames>
    <definedName name="_xlnm.Print_Area" localSheetId="0">ESTIMATE!$A$1:$L$71</definedName>
    <definedName name="_xlnm.Print_Area" localSheetId="4">'include dhara marmat'!$A$1:$K$173</definedName>
    <definedName name="_xlnm.Print_Area" localSheetId="2">me!$A$1:$K$151</definedName>
    <definedName name="_xlnm.Print_Titles" localSheetId="0">ESTIMATE!$1:$8</definedName>
    <definedName name="_xlnm.Print_Titles" localSheetId="4">'include dhara marmat'!$1:$8</definedName>
    <definedName name="_xlnm.Print_Titles" localSheetId="2">me!$1:$8</definedName>
    <definedName name="_xlnm.Print_Titles" localSheetId="1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" i="31" l="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I26" i="31"/>
  <c r="C25" i="31"/>
  <c r="D21" i="31"/>
  <c r="C21" i="31"/>
  <c r="D17" i="31"/>
  <c r="D15" i="31"/>
  <c r="G15" i="31" s="1"/>
  <c r="B15" i="31"/>
  <c r="E11" i="31"/>
  <c r="C135" i="29"/>
  <c r="G135" i="29"/>
  <c r="G136" i="29" s="1"/>
  <c r="G106" i="29"/>
  <c r="G108" i="29"/>
  <c r="G110" i="29"/>
  <c r="G112" i="29"/>
  <c r="G114" i="29"/>
  <c r="G119" i="29"/>
  <c r="G121" i="29"/>
  <c r="G123" i="29"/>
  <c r="G125" i="29"/>
  <c r="G127" i="29"/>
  <c r="G129" i="29"/>
  <c r="G133" i="29"/>
  <c r="G104" i="29"/>
  <c r="D134" i="29"/>
  <c r="G134" i="29" s="1"/>
  <c r="D132" i="29"/>
  <c r="G132" i="29" s="1"/>
  <c r="D131" i="29"/>
  <c r="G131" i="29" s="1"/>
  <c r="D130" i="29"/>
  <c r="G130" i="29" s="1"/>
  <c r="D128" i="29"/>
  <c r="G128" i="29" s="1"/>
  <c r="D126" i="29"/>
  <c r="G126" i="29" s="1"/>
  <c r="D124" i="29"/>
  <c r="G124" i="29" s="1"/>
  <c r="D122" i="29"/>
  <c r="G122" i="29" s="1"/>
  <c r="D118" i="29"/>
  <c r="G118" i="29" s="1"/>
  <c r="D117" i="29"/>
  <c r="G117" i="29" s="1"/>
  <c r="D120" i="29"/>
  <c r="G120" i="29" s="1"/>
  <c r="D116" i="29"/>
  <c r="G116" i="29" s="1"/>
  <c r="D115" i="29"/>
  <c r="G115" i="29" s="1"/>
  <c r="D113" i="29"/>
  <c r="G113" i="29" s="1"/>
  <c r="D111" i="29"/>
  <c r="G111" i="29" s="1"/>
  <c r="D109" i="29"/>
  <c r="G109" i="29" s="1"/>
  <c r="D107" i="29"/>
  <c r="G107" i="29" s="1"/>
  <c r="D105" i="29"/>
  <c r="G105" i="29" s="1"/>
  <c r="B15" i="29"/>
  <c r="G39" i="31" l="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J140" i="29"/>
  <c r="D97" i="29"/>
  <c r="E97" i="29"/>
  <c r="F96" i="29"/>
  <c r="D96" i="29"/>
  <c r="G96" i="29" s="1"/>
  <c r="C45" i="29"/>
  <c r="C44" i="29"/>
  <c r="F44" i="29"/>
  <c r="F45" i="29"/>
  <c r="G54" i="29"/>
  <c r="F63" i="29"/>
  <c r="G63" i="29" s="1"/>
  <c r="F73" i="29"/>
  <c r="F72" i="29"/>
  <c r="E79" i="29"/>
  <c r="E87" i="29" s="1"/>
  <c r="D79" i="29"/>
  <c r="D87" i="29" s="1"/>
  <c r="D62" i="29"/>
  <c r="F62" i="29"/>
  <c r="E62" i="29"/>
  <c r="F61" i="29"/>
  <c r="F60" i="29"/>
  <c r="C46" i="29"/>
  <c r="D46" i="29"/>
  <c r="D39" i="29"/>
  <c r="D38" i="29"/>
  <c r="D37" i="29"/>
  <c r="D36" i="29"/>
  <c r="G47" i="31" l="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137" i="29"/>
  <c r="J138" i="29"/>
  <c r="J136" i="29"/>
  <c r="G97" i="29"/>
  <c r="G98" i="29" s="1"/>
  <c r="G44" i="29"/>
  <c r="G45" i="29"/>
  <c r="G87" i="29"/>
  <c r="B85" i="29"/>
  <c r="D72" i="29"/>
  <c r="D85" i="29" s="1"/>
  <c r="D73" i="29"/>
  <c r="D86" i="29" s="1"/>
  <c r="J48" i="31" l="1"/>
  <c r="J47" i="31"/>
  <c r="J75" i="31"/>
  <c r="J74" i="31"/>
  <c r="J76" i="31"/>
  <c r="D60" i="31"/>
  <c r="G60" i="31" s="1"/>
  <c r="G25" i="31"/>
  <c r="G26" i="31" s="1"/>
  <c r="J26" i="31" s="1"/>
  <c r="E29" i="31"/>
  <c r="G29" i="31" s="1"/>
  <c r="G30" i="31" s="1"/>
  <c r="E59" i="31"/>
  <c r="G59" i="31" s="1"/>
  <c r="J101" i="29"/>
  <c r="J100" i="29"/>
  <c r="J99" i="29"/>
  <c r="J98" i="29"/>
  <c r="G72" i="29"/>
  <c r="G79" i="29"/>
  <c r="J30" i="31" l="1"/>
  <c r="J31" i="31"/>
  <c r="J32" i="31"/>
  <c r="J33" i="31"/>
  <c r="G64" i="31"/>
  <c r="J79" i="29"/>
  <c r="J82" i="29"/>
  <c r="J80" i="29"/>
  <c r="J81" i="29"/>
  <c r="J68" i="31" l="1"/>
  <c r="J67" i="31"/>
  <c r="J64" i="31"/>
  <c r="J69" i="31"/>
  <c r="J66" i="31"/>
  <c r="J65" i="31"/>
  <c r="F46" i="29"/>
  <c r="D61" i="29"/>
  <c r="F59" i="29"/>
  <c r="E53" i="29"/>
  <c r="D53" i="29"/>
  <c r="F52" i="29"/>
  <c r="F51" i="29"/>
  <c r="D52" i="29"/>
  <c r="D51" i="29"/>
  <c r="I47" i="29"/>
  <c r="F42" i="29"/>
  <c r="F43" i="29"/>
  <c r="D43" i="29"/>
  <c r="C42" i="29" s="1"/>
  <c r="D42" i="29"/>
  <c r="C43" i="29" s="1"/>
  <c r="F39" i="29"/>
  <c r="D40" i="29"/>
  <c r="F38" i="29"/>
  <c r="F41" i="29"/>
  <c r="F40" i="29"/>
  <c r="D41" i="29"/>
  <c r="F36" i="29"/>
  <c r="B29" i="29"/>
  <c r="D7" i="30"/>
  <c r="G7" i="30" s="1"/>
  <c r="D6" i="30"/>
  <c r="G6" i="30" s="1"/>
  <c r="G4" i="30"/>
  <c r="G5" i="30"/>
  <c r="J165" i="31" l="1"/>
  <c r="C168" i="31" s="1"/>
  <c r="G53" i="29"/>
  <c r="G51" i="29"/>
  <c r="G52" i="29"/>
  <c r="G62" i="29"/>
  <c r="G46" i="29"/>
  <c r="G42" i="29"/>
  <c r="G43" i="29"/>
  <c r="G40" i="29"/>
  <c r="G41" i="29"/>
  <c r="G39" i="29"/>
  <c r="G38" i="29"/>
  <c r="H7" i="30"/>
  <c r="H5" i="30"/>
  <c r="H8" i="30" s="1"/>
  <c r="I26" i="29" s="1"/>
  <c r="C25" i="29"/>
  <c r="C29" i="29" s="1"/>
  <c r="D17" i="29"/>
  <c r="D25" i="29" s="1"/>
  <c r="D21" i="29"/>
  <c r="C21" i="29"/>
  <c r="C171" i="31" l="1"/>
  <c r="E171" i="31" s="1"/>
  <c r="E170" i="31"/>
  <c r="G55" i="29"/>
  <c r="J55" i="29" s="1"/>
  <c r="D29" i="29"/>
  <c r="D59" i="29"/>
  <c r="D60" i="29" s="1"/>
  <c r="H9" i="30"/>
  <c r="H10" i="30" s="1"/>
  <c r="B10" i="30" s="1"/>
  <c r="D10" i="30" s="1"/>
  <c r="G17" i="29"/>
  <c r="J56" i="29" l="1"/>
  <c r="E11" i="29"/>
  <c r="C151" i="29"/>
  <c r="C150" i="29"/>
  <c r="C148" i="29"/>
  <c r="J142" i="29"/>
  <c r="G92" i="29"/>
  <c r="J92" i="29" s="1"/>
  <c r="J93" i="29" s="1"/>
  <c r="C86" i="29"/>
  <c r="C85" i="29"/>
  <c r="F86" i="29"/>
  <c r="F85" i="29"/>
  <c r="F37" i="29"/>
  <c r="G37" i="29" s="1"/>
  <c r="D15" i="29"/>
  <c r="G15" i="29" s="1"/>
  <c r="G85" i="29" l="1"/>
  <c r="G86" i="29"/>
  <c r="E21" i="29"/>
  <c r="D16" i="29"/>
  <c r="G16" i="29" s="1"/>
  <c r="G18" i="29" s="1"/>
  <c r="J18" i="29" s="1"/>
  <c r="G11" i="29"/>
  <c r="G12" i="29" s="1"/>
  <c r="J12" i="29" s="1"/>
  <c r="J67" i="25"/>
  <c r="F63" i="25"/>
  <c r="F65" i="25" s="1"/>
  <c r="E63" i="25"/>
  <c r="E65" i="25" s="1"/>
  <c r="E67" i="25" s="1"/>
  <c r="H67" i="25" s="1"/>
  <c r="K68" i="25" s="1"/>
  <c r="J63" i="25"/>
  <c r="G88" i="29" l="1"/>
  <c r="J89" i="29" s="1"/>
  <c r="G21" i="29"/>
  <c r="G22" i="29" s="1"/>
  <c r="J22" i="29" s="1"/>
  <c r="E25" i="29"/>
  <c r="E59" i="29" s="1"/>
  <c r="G59" i="29" s="1"/>
  <c r="K67" i="25"/>
  <c r="H65" i="25"/>
  <c r="H63" i="25"/>
  <c r="K63" i="25" s="1"/>
  <c r="G25" i="29" l="1"/>
  <c r="G26" i="29" s="1"/>
  <c r="J26" i="29" s="1"/>
  <c r="E29" i="29"/>
  <c r="G29" i="29" s="1"/>
  <c r="G30" i="29" s="1"/>
  <c r="G36" i="29"/>
  <c r="G47" i="29" s="1"/>
  <c r="J47" i="29" s="1"/>
  <c r="G73" i="29"/>
  <c r="G74" i="29" s="1"/>
  <c r="J74" i="29" s="1"/>
  <c r="G60" i="29"/>
  <c r="K65" i="25"/>
  <c r="K66" i="25"/>
  <c r="J31" i="29" l="1"/>
  <c r="J32" i="29"/>
  <c r="J30" i="29"/>
  <c r="J33" i="29"/>
  <c r="J76" i="29"/>
  <c r="J75" i="29"/>
  <c r="J48" i="29"/>
  <c r="G61" i="29"/>
  <c r="G64" i="29" s="1"/>
  <c r="J64" i="29" s="1"/>
  <c r="N68" i="25"/>
  <c r="N69" i="25" s="1"/>
  <c r="J68" i="29" l="1"/>
  <c r="J67" i="29"/>
  <c r="J66" i="29"/>
  <c r="J65" i="29"/>
  <c r="J69" i="29"/>
  <c r="J88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J143" i="29" l="1"/>
  <c r="C146" i="29" s="1"/>
  <c r="E148" i="29" l="1"/>
  <c r="C149" i="29"/>
  <c r="E149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<sst xmlns="http://schemas.openxmlformats.org/spreadsheetml/2006/main" count="389" uniqueCount="176">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</sst>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201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43" fontId="51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1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87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6" fillId="0" borderId="19" xfId="0" applyNumberFormat="1" applyFont="1" applyBorder="1" applyAlignment="1">
      <alignment horizontal="right" vertical="center"/>
    </xf>
    <xf numFmtId="0" fontId="81" fillId="0" borderId="19" xfId="0" quotePrefix="1" applyFont="1" applyBorder="1" applyAlignment="1">
      <alignment wrapText="1"/>
    </xf>
    <xf numFmtId="0" fontId="66" fillId="0" borderId="19" xfId="0" applyFont="1" applyBorder="1"/>
    <xf numFmtId="2" fontId="66" fillId="0" borderId="19" xfId="0" applyNumberFormat="1" applyFont="1" applyBorder="1" applyAlignment="1">
      <alignment horizontal="right"/>
    </xf>
    <xf numFmtId="0" fontId="56" fillId="0" borderId="19" xfId="0" applyFont="1" applyBorder="1"/>
    <xf numFmtId="0" fontId="56" fillId="0" borderId="19" xfId="0" quotePrefix="1" applyFont="1" applyBorder="1" applyAlignment="1">
      <alignment horizontal="right" vertical="justify"/>
    </xf>
    <xf numFmtId="182" fontId="66" fillId="0" borderId="19" xfId="0" applyNumberFormat="1" applyFont="1" applyBorder="1" applyAlignment="1">
      <alignment horizontal="right"/>
    </xf>
    <xf numFmtId="2" fontId="66" fillId="0" borderId="19" xfId="1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right" vertical="justify"/>
    </xf>
    <xf numFmtId="2" fontId="56" fillId="0" borderId="19" xfId="0" applyNumberFormat="1" applyFont="1" applyBorder="1" applyAlignment="1">
      <alignment horizontal="right"/>
    </xf>
    <xf numFmtId="0" fontId="66" fillId="0" borderId="19" xfId="0" applyFont="1" applyBorder="1" applyAlignment="1">
      <alignment horizontal="right"/>
    </xf>
    <xf numFmtId="1" fontId="56" fillId="0" borderId="19" xfId="0" applyNumberFormat="1" applyFont="1" applyBorder="1" applyAlignment="1">
      <alignment horizontal="right" vertical="center"/>
    </xf>
    <xf numFmtId="182" fontId="56" fillId="0" borderId="19" xfId="0" applyNumberFormat="1" applyFont="1" applyBorder="1" applyAlignment="1">
      <alignment horizontal="right"/>
    </xf>
    <xf numFmtId="2" fontId="56" fillId="0" borderId="19" xfId="1" applyNumberFormat="1" applyFont="1" applyFill="1" applyBorder="1" applyAlignment="1">
      <alignment horizontal="right"/>
    </xf>
    <xf numFmtId="0" fontId="56" fillId="0" borderId="19" xfId="0" quotePrefix="1" applyFont="1" applyBorder="1" applyAlignment="1">
      <alignment horizontal="right"/>
    </xf>
    <xf numFmtId="0" fontId="66" fillId="0" borderId="19" xfId="0" applyFont="1" applyBorder="1" applyAlignment="1">
      <alignment horizontal="right" vertical="top" wrapText="1"/>
    </xf>
    <xf numFmtId="0" fontId="66" fillId="0" borderId="19" xfId="0" applyFont="1" applyBorder="1" applyAlignment="1">
      <alignment horizontal="left" vertical="top" wrapText="1"/>
    </xf>
    <xf numFmtId="0" fontId="66" fillId="0" borderId="19" xfId="0" quotePrefix="1" applyFont="1" applyBorder="1" applyAlignment="1">
      <alignment horizontal="right" vertical="top" wrapText="1"/>
    </xf>
    <xf numFmtId="182" fontId="66" fillId="0" borderId="19" xfId="1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justify" vertical="justify"/>
    </xf>
    <xf numFmtId="2" fontId="56" fillId="0" borderId="19" xfId="734" applyNumberFormat="1" applyBorder="1" applyAlignment="1">
      <alignment horizontal="right"/>
    </xf>
    <xf numFmtId="2" fontId="66" fillId="0" borderId="19" xfId="32" applyNumberFormat="1" applyFont="1" applyFill="1" applyBorder="1" applyAlignment="1">
      <alignment horizontal="right"/>
    </xf>
    <xf numFmtId="0" fontId="56" fillId="0" borderId="19" xfId="0" applyFont="1" applyBorder="1" applyAlignment="1">
      <alignment horizontal="right" vertical="top" wrapText="1"/>
    </xf>
    <xf numFmtId="1" fontId="66" fillId="0" borderId="19" xfId="0" applyNumberFormat="1" applyFont="1" applyBorder="1" applyAlignment="1">
      <alignment vertical="center"/>
    </xf>
    <xf numFmtId="0" fontId="88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6" fillId="0" borderId="19" xfId="0" applyFont="1" applyBorder="1" applyAlignment="1">
      <alignment wrapText="1"/>
    </xf>
    <xf numFmtId="1" fontId="66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6" fillId="0" borderId="0" xfId="0" applyFont="1" applyAlignment="1">
      <alignment wrapText="1"/>
    </xf>
    <xf numFmtId="0" fontId="66" fillId="0" borderId="0" xfId="0" applyFont="1"/>
    <xf numFmtId="0" fontId="48" fillId="0" borderId="0" xfId="0" applyFont="1"/>
    <xf numFmtId="43" fontId="66" fillId="0" borderId="19" xfId="0" applyNumberFormat="1" applyFont="1" applyBorder="1"/>
    <xf numFmtId="43" fontId="66" fillId="0" borderId="0" xfId="0" applyNumberFormat="1" applyFont="1"/>
    <xf numFmtId="183" fontId="66" fillId="0" borderId="19" xfId="1" applyNumberFormat="1" applyFont="1" applyFill="1" applyBorder="1" applyAlignment="1"/>
    <xf numFmtId="43" fontId="66" fillId="0" borderId="19" xfId="1" applyFont="1" applyFill="1" applyBorder="1" applyAlignment="1"/>
    <xf numFmtId="43" fontId="66" fillId="0" borderId="0" xfId="1" applyFont="1" applyFill="1" applyBorder="1" applyAlignment="1"/>
    <xf numFmtId="0" fontId="89" fillId="0" borderId="19" xfId="0" quotePrefix="1" applyFont="1" applyBorder="1" applyAlignment="1">
      <alignment wrapText="1"/>
    </xf>
    <xf numFmtId="0" fontId="89" fillId="0" borderId="19" xfId="0" applyFont="1" applyBorder="1" applyAlignment="1">
      <alignment wrapText="1"/>
    </xf>
    <xf numFmtId="0" fontId="89" fillId="0" borderId="19" xfId="0" applyFont="1" applyBorder="1"/>
    <xf numFmtId="0" fontId="53" fillId="0" borderId="0" xfId="0" applyFont="1"/>
    <xf numFmtId="1" fontId="90" fillId="0" borderId="0" xfId="0" applyNumberFormat="1" applyFont="1"/>
    <xf numFmtId="43" fontId="66" fillId="0" borderId="19" xfId="0" applyNumberFormat="1" applyFont="1" applyBorder="1" applyAlignment="1">
      <alignment horizontal="center"/>
    </xf>
    <xf numFmtId="43" fontId="66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0" fontId="51" fillId="0" borderId="0" xfId="0" applyFont="1"/>
    <xf numFmtId="0" fontId="51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0" fontId="66" fillId="0" borderId="19" xfId="0" applyFont="1" applyBorder="1" applyAlignment="1">
      <alignment vertical="top" wrapText="1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topLeftCell="A33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77" t="s">
        <v>11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</row>
    <row r="2" spans="1:18" ht="20.25">
      <c r="A2" s="178" t="s">
        <v>16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</row>
    <row r="3" spans="1:18">
      <c r="A3" s="177" t="s">
        <v>17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</row>
    <row r="4" spans="1:18">
      <c r="A4" s="179" t="s">
        <v>22</v>
      </c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</row>
    <row r="5" spans="1:18" ht="19.5">
      <c r="A5" s="6"/>
      <c r="B5" s="4" t="s">
        <v>27</v>
      </c>
      <c r="C5" s="28" t="s">
        <v>93</v>
      </c>
      <c r="H5" s="6"/>
      <c r="K5" s="180" t="s">
        <v>69</v>
      </c>
      <c r="L5" s="180"/>
    </row>
    <row r="6" spans="1:18">
      <c r="B6" s="175" t="s">
        <v>28</v>
      </c>
      <c r="C6" s="175"/>
      <c r="D6" s="175"/>
      <c r="E6" s="175"/>
      <c r="F6" s="175"/>
      <c r="G6" s="175"/>
      <c r="H6" s="3"/>
      <c r="I6" s="176" t="s">
        <v>100</v>
      </c>
      <c r="J6" s="176"/>
      <c r="K6" s="176"/>
      <c r="L6" s="176"/>
      <c r="O6" s="176" t="s">
        <v>70</v>
      </c>
      <c r="P6" s="176"/>
      <c r="Q6" s="176"/>
      <c r="R6" s="176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81" t="s">
        <v>11</v>
      </c>
      <c r="B1" s="181"/>
      <c r="C1" s="181"/>
      <c r="D1" s="181"/>
      <c r="E1" s="181"/>
      <c r="F1" s="181"/>
      <c r="G1" s="181"/>
      <c r="H1" s="181"/>
      <c r="I1" s="181"/>
      <c r="J1" s="181"/>
    </row>
    <row r="2" spans="1:10" ht="25.5">
      <c r="A2" s="182" t="s">
        <v>52</v>
      </c>
      <c r="B2" s="182"/>
      <c r="C2" s="182"/>
      <c r="D2" s="182"/>
      <c r="E2" s="182"/>
      <c r="F2" s="182"/>
      <c r="G2" s="182"/>
      <c r="H2" s="182"/>
      <c r="I2" s="182"/>
      <c r="J2" s="182"/>
    </row>
    <row r="3" spans="1:10" ht="18.75">
      <c r="A3" s="183" t="s">
        <v>53</v>
      </c>
      <c r="B3" s="183"/>
      <c r="C3" s="183"/>
      <c r="D3" s="183"/>
      <c r="E3" s="183"/>
      <c r="F3" s="183"/>
      <c r="G3" s="183"/>
      <c r="H3" s="183"/>
      <c r="I3" s="183"/>
      <c r="J3" s="183"/>
    </row>
    <row r="4" spans="1:10">
      <c r="A4" s="184" t="s">
        <v>54</v>
      </c>
      <c r="B4" s="184"/>
      <c r="C4" s="184"/>
      <c r="D4" s="184"/>
      <c r="E4" s="184"/>
      <c r="F4" s="184"/>
      <c r="G4" s="184"/>
      <c r="H4" s="184"/>
      <c r="I4" s="184"/>
      <c r="J4" s="184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85" t="e">
        <f>E51</f>
        <v>#REF!</v>
      </c>
      <c r="D6" s="186"/>
      <c r="E6" s="31"/>
      <c r="F6" s="31"/>
      <c r="G6" s="31" t="s">
        <v>56</v>
      </c>
      <c r="H6" s="31"/>
      <c r="I6" s="185" t="e">
        <f>H51</f>
        <v>#REF!</v>
      </c>
      <c r="J6" s="186"/>
    </row>
    <row r="7" spans="1:10">
      <c r="A7" s="32"/>
      <c r="B7" s="32"/>
      <c r="C7" s="187"/>
      <c r="D7" s="187"/>
      <c r="E7" s="187"/>
      <c r="F7" s="187"/>
      <c r="H7" s="188"/>
      <c r="I7" s="188"/>
      <c r="J7" s="188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89" t="s">
        <v>60</v>
      </c>
      <c r="B10" s="189" t="s">
        <v>12</v>
      </c>
      <c r="C10" s="191" t="s">
        <v>61</v>
      </c>
      <c r="D10" s="191"/>
      <c r="E10" s="191"/>
      <c r="F10" s="191" t="s">
        <v>62</v>
      </c>
      <c r="G10" s="191"/>
      <c r="H10" s="191"/>
      <c r="I10" s="189" t="s">
        <v>63</v>
      </c>
      <c r="J10" s="189" t="s">
        <v>10</v>
      </c>
    </row>
    <row r="11" spans="1:10">
      <c r="A11" s="190"/>
      <c r="B11" s="190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90"/>
      <c r="J11" s="190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2"/>
  <sheetViews>
    <sheetView view="pageBreakPreview" topLeftCell="A140" zoomScaleNormal="100" zoomScaleSheetLayoutView="100" workbookViewId="0">
      <selection activeCell="C148" sqref="C148:D148"/>
    </sheetView>
  </sheetViews>
  <sheetFormatPr defaultColWidth="9.140625" defaultRowHeight="16.5"/>
  <cols>
    <col min="1" max="1" width="4.42578125" style="121" customWidth="1"/>
    <col min="2" max="2" width="30.5703125" style="8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77" t="s">
        <v>11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61"/>
    </row>
    <row r="2" spans="1:12" ht="20.25">
      <c r="A2" s="178" t="s">
        <v>16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0"/>
    </row>
    <row r="3" spans="1:12">
      <c r="A3" s="177" t="s">
        <v>17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61"/>
    </row>
    <row r="4" spans="1:12">
      <c r="A4" s="179" t="s">
        <v>22</v>
      </c>
      <c r="B4" s="179"/>
      <c r="C4" s="179"/>
      <c r="D4" s="179"/>
      <c r="E4" s="179"/>
      <c r="F4" s="179"/>
      <c r="G4" s="179"/>
      <c r="H4" s="179"/>
      <c r="I4" s="179"/>
      <c r="J4" s="179"/>
      <c r="K4" s="179"/>
    </row>
    <row r="5" spans="1:12" ht="20.25">
      <c r="A5" s="171" t="s">
        <v>162</v>
      </c>
      <c r="G5" s="6"/>
      <c r="J5" s="180" t="s">
        <v>101</v>
      </c>
      <c r="K5" s="180"/>
    </row>
    <row r="6" spans="1:12">
      <c r="A6" s="175" t="s">
        <v>28</v>
      </c>
      <c r="B6" s="175"/>
      <c r="C6" s="175"/>
      <c r="D6" s="175"/>
      <c r="E6" s="175"/>
      <c r="F6" s="175"/>
      <c r="G6" s="113"/>
      <c r="H6" s="176" t="s">
        <v>163</v>
      </c>
      <c r="I6" s="176"/>
      <c r="J6" s="176"/>
      <c r="K6" s="176"/>
    </row>
    <row r="7" spans="1:12">
      <c r="B7" s="5"/>
      <c r="C7" s="6"/>
      <c r="D7" s="113"/>
      <c r="E7" s="113"/>
      <c r="F7" s="113"/>
      <c r="G7" s="113"/>
      <c r="I7" s="114"/>
      <c r="J7" s="113"/>
      <c r="K7" s="8"/>
    </row>
    <row r="8" spans="1:12" s="6" customFormat="1">
      <c r="A8" s="122" t="s">
        <v>0</v>
      </c>
      <c r="B8" s="118" t="s">
        <v>1</v>
      </c>
      <c r="C8" s="115" t="s">
        <v>2</v>
      </c>
      <c r="D8" s="119" t="s">
        <v>3</v>
      </c>
      <c r="E8" s="119" t="s">
        <v>4</v>
      </c>
      <c r="F8" s="119" t="s">
        <v>5</v>
      </c>
      <c r="G8" s="116" t="s">
        <v>6</v>
      </c>
      <c r="H8" s="115" t="s">
        <v>7</v>
      </c>
      <c r="I8" s="119" t="s">
        <v>8</v>
      </c>
      <c r="J8" s="119" t="s">
        <v>9</v>
      </c>
      <c r="K8" s="120" t="s">
        <v>152</v>
      </c>
    </row>
    <row r="9" spans="1:12">
      <c r="A9" s="123" t="s">
        <v>94</v>
      </c>
      <c r="B9" s="124" t="s">
        <v>95</v>
      </c>
      <c r="C9" s="125"/>
      <c r="D9" s="126"/>
      <c r="E9" s="126"/>
      <c r="F9" s="126"/>
      <c r="G9" s="126"/>
      <c r="H9" s="127"/>
      <c r="I9" s="126"/>
      <c r="J9" s="126"/>
      <c r="K9" s="128"/>
    </row>
    <row r="10" spans="1:12" ht="30.75">
      <c r="A10" s="129">
        <v>1</v>
      </c>
      <c r="B10" s="167" t="s">
        <v>103</v>
      </c>
      <c r="C10" s="131"/>
      <c r="D10" s="131"/>
      <c r="E10" s="131"/>
      <c r="F10" s="131"/>
      <c r="G10" s="131"/>
      <c r="H10" s="132"/>
      <c r="I10" s="132"/>
      <c r="J10" s="132"/>
      <c r="K10" s="133"/>
    </row>
    <row r="11" spans="1:12">
      <c r="A11" s="129"/>
      <c r="B11" s="134" t="s">
        <v>153</v>
      </c>
      <c r="C11" s="135">
        <v>1</v>
      </c>
      <c r="D11" s="136">
        <v>5</v>
      </c>
      <c r="E11" s="136">
        <f>11/3.281</f>
        <v>3.3526363913441024</v>
      </c>
      <c r="F11" s="136">
        <v>7.4999999999999997E-2</v>
      </c>
      <c r="G11" s="136">
        <f>C11*D11*E11*F11</f>
        <v>1.2572386467540384</v>
      </c>
      <c r="H11" s="132"/>
      <c r="I11" s="132"/>
      <c r="J11" s="132"/>
      <c r="K11" s="133"/>
    </row>
    <row r="12" spans="1:12">
      <c r="A12" s="129"/>
      <c r="B12" s="134"/>
      <c r="C12" s="135"/>
      <c r="D12" s="136"/>
      <c r="E12" s="136"/>
      <c r="F12" s="136"/>
      <c r="G12" s="136">
        <f>SUM(G11:G11)</f>
        <v>1.2572386467540384</v>
      </c>
      <c r="H12" s="132" t="s">
        <v>24</v>
      </c>
      <c r="I12" s="132">
        <v>3740</v>
      </c>
      <c r="J12" s="132">
        <f>G12*I12</f>
        <v>4702.072538860104</v>
      </c>
      <c r="K12" s="133"/>
    </row>
    <row r="13" spans="1:12">
      <c r="A13" s="129"/>
      <c r="B13" s="130"/>
      <c r="C13" s="135"/>
      <c r="D13" s="136"/>
      <c r="E13" s="136"/>
      <c r="F13" s="136"/>
      <c r="G13" s="136"/>
      <c r="H13" s="132"/>
      <c r="I13" s="136"/>
      <c r="J13" s="136"/>
      <c r="K13" s="133"/>
    </row>
    <row r="14" spans="1:12" ht="45.75">
      <c r="A14" s="129">
        <v>2</v>
      </c>
      <c r="B14" s="167" t="s">
        <v>102</v>
      </c>
      <c r="C14" s="131"/>
      <c r="D14" s="131"/>
      <c r="E14" s="131"/>
      <c r="F14" s="131"/>
      <c r="G14" s="131"/>
      <c r="H14" s="132"/>
      <c r="I14" s="132"/>
      <c r="J14" s="132"/>
      <c r="K14" s="133"/>
    </row>
    <row r="15" spans="1:12">
      <c r="A15" s="129"/>
      <c r="B15" s="137" t="str">
        <f>B11</f>
        <v>-water tank</v>
      </c>
      <c r="C15" s="135">
        <v>2</v>
      </c>
      <c r="D15" s="136">
        <f>D11</f>
        <v>5</v>
      </c>
      <c r="E15" s="136">
        <v>0.23</v>
      </c>
      <c r="F15" s="136">
        <v>1.4</v>
      </c>
      <c r="G15" s="136">
        <f>C15*D15*F15</f>
        <v>14</v>
      </c>
      <c r="H15" s="136"/>
      <c r="I15" s="136"/>
      <c r="J15" s="136"/>
      <c r="K15" s="133"/>
    </row>
    <row r="16" spans="1:12">
      <c r="A16" s="129"/>
      <c r="B16" s="137"/>
      <c r="C16" s="135">
        <v>2</v>
      </c>
      <c r="D16" s="136">
        <f>E11-0.23*2</f>
        <v>2.8926363913441024</v>
      </c>
      <c r="E16" s="136">
        <v>0.23</v>
      </c>
      <c r="F16" s="136">
        <v>1.4</v>
      </c>
      <c r="G16" s="136">
        <f>C16*D16*F16</f>
        <v>8.0993818957634858</v>
      </c>
      <c r="H16" s="136"/>
      <c r="I16" s="136"/>
      <c r="J16" s="136"/>
      <c r="K16" s="133"/>
    </row>
    <row r="17" spans="1:11">
      <c r="A17" s="129"/>
      <c r="B17" s="137"/>
      <c r="C17" s="135">
        <v>1</v>
      </c>
      <c r="D17" s="136">
        <f>D11</f>
        <v>5</v>
      </c>
      <c r="E17" s="136">
        <v>0.23</v>
      </c>
      <c r="F17" s="136">
        <v>0.45</v>
      </c>
      <c r="G17" s="136">
        <f>C17*D17*F17</f>
        <v>2.25</v>
      </c>
      <c r="H17" s="136"/>
      <c r="I17" s="136"/>
      <c r="J17" s="136"/>
      <c r="K17" s="133"/>
    </row>
    <row r="18" spans="1:11">
      <c r="A18" s="129"/>
      <c r="B18" s="131"/>
      <c r="C18" s="135"/>
      <c r="D18" s="136"/>
      <c r="E18" s="136"/>
      <c r="F18" s="138"/>
      <c r="G18" s="136">
        <f>SUM(G15:G17)</f>
        <v>24.349381895763486</v>
      </c>
      <c r="H18" s="132" t="s">
        <v>24</v>
      </c>
      <c r="I18" s="136">
        <v>1982.2</v>
      </c>
      <c r="J18" s="136">
        <f>G18*I18</f>
        <v>48265.34479378238</v>
      </c>
      <c r="K18" s="133"/>
    </row>
    <row r="19" spans="1:11">
      <c r="A19" s="129"/>
      <c r="B19" s="139"/>
      <c r="C19" s="135"/>
      <c r="D19" s="136"/>
      <c r="E19" s="136"/>
      <c r="F19" s="138"/>
      <c r="G19" s="136"/>
      <c r="H19" s="132"/>
      <c r="I19" s="136"/>
      <c r="J19" s="136"/>
      <c r="K19" s="133"/>
    </row>
    <row r="20" spans="1:11" ht="45.75">
      <c r="A20" s="129">
        <v>3</v>
      </c>
      <c r="B20" s="168" t="s">
        <v>105</v>
      </c>
      <c r="C20" s="135"/>
      <c r="D20" s="136"/>
      <c r="E20" s="136"/>
      <c r="F20" s="138"/>
      <c r="G20" s="136"/>
      <c r="H20" s="132"/>
      <c r="I20" s="136"/>
      <c r="J20" s="136"/>
      <c r="K20" s="133"/>
    </row>
    <row r="21" spans="1:11">
      <c r="A21" s="129"/>
      <c r="B21" s="139"/>
      <c r="C21" s="135">
        <f>C11</f>
        <v>1</v>
      </c>
      <c r="D21" s="136">
        <f>D11</f>
        <v>5</v>
      </c>
      <c r="E21" s="136">
        <f>E11</f>
        <v>3.3526363913441024</v>
      </c>
      <c r="F21" s="138">
        <v>7.4999999999999997E-2</v>
      </c>
      <c r="G21" s="136">
        <f>C21*D21*E21*F21</f>
        <v>1.2572386467540384</v>
      </c>
      <c r="H21" s="132"/>
      <c r="I21" s="136"/>
      <c r="J21" s="136"/>
      <c r="K21" s="133"/>
    </row>
    <row r="22" spans="1:11">
      <c r="A22" s="129"/>
      <c r="B22" s="131"/>
      <c r="C22" s="135"/>
      <c r="D22" s="136"/>
      <c r="E22" s="136"/>
      <c r="F22" s="138"/>
      <c r="G22" s="136">
        <f>SUM(G21)</f>
        <v>1.2572386467540384</v>
      </c>
      <c r="H22" s="132" t="s">
        <v>24</v>
      </c>
      <c r="I22" s="136">
        <v>770.43</v>
      </c>
      <c r="J22" s="136">
        <f>G22*I22</f>
        <v>968.61437061871379</v>
      </c>
      <c r="K22" s="133"/>
    </row>
    <row r="23" spans="1:11">
      <c r="A23" s="129"/>
      <c r="B23" s="131"/>
      <c r="C23" s="135"/>
      <c r="D23" s="136"/>
      <c r="E23" s="136"/>
      <c r="F23" s="138"/>
      <c r="G23" s="136"/>
      <c r="H23" s="132"/>
      <c r="I23" s="136"/>
      <c r="J23" s="136"/>
      <c r="K23" s="133"/>
    </row>
    <row r="24" spans="1:11">
      <c r="A24" s="140">
        <v>4</v>
      </c>
      <c r="B24" s="169" t="s">
        <v>104</v>
      </c>
      <c r="C24" s="141"/>
      <c r="D24" s="142"/>
      <c r="E24" s="142"/>
      <c r="F24" s="138"/>
      <c r="G24" s="142"/>
      <c r="H24" s="138"/>
      <c r="I24" s="142"/>
      <c r="J24" s="142"/>
      <c r="K24" s="133"/>
    </row>
    <row r="25" spans="1:11">
      <c r="A25" s="140"/>
      <c r="B25" s="143" t="s">
        <v>132</v>
      </c>
      <c r="C25" s="141">
        <f>C17</f>
        <v>1</v>
      </c>
      <c r="D25" s="142">
        <f>D17</f>
        <v>5</v>
      </c>
      <c r="E25" s="142">
        <f>E21</f>
        <v>3.3526363913441024</v>
      </c>
      <c r="F25" s="138"/>
      <c r="G25" s="142">
        <f>PRODUCT(C25:F25)</f>
        <v>16.763181956720512</v>
      </c>
      <c r="H25" s="138"/>
      <c r="I25" s="142"/>
      <c r="J25" s="142"/>
      <c r="K25" s="133"/>
    </row>
    <row r="26" spans="1:11">
      <c r="A26" s="140"/>
      <c r="B26" s="133"/>
      <c r="C26" s="141"/>
      <c r="D26" s="142"/>
      <c r="E26" s="142"/>
      <c r="F26" s="138"/>
      <c r="G26" s="142">
        <f>SUM(G25)</f>
        <v>16.763181956720512</v>
      </c>
      <c r="H26" s="138" t="s">
        <v>23</v>
      </c>
      <c r="I26" s="142">
        <f>Sheet1!H8/10</f>
        <v>155.75</v>
      </c>
      <c r="J26" s="142">
        <f>G26*I26</f>
        <v>2610.8655897592198</v>
      </c>
      <c r="K26" s="133"/>
    </row>
    <row r="27" spans="1:11">
      <c r="A27" s="129"/>
      <c r="B27" s="131"/>
      <c r="C27" s="135"/>
      <c r="D27" s="136"/>
      <c r="E27" s="136"/>
      <c r="F27" s="138"/>
      <c r="G27" s="136"/>
      <c r="H27" s="132"/>
      <c r="I27" s="136"/>
      <c r="J27" s="136"/>
      <c r="K27" s="133"/>
    </row>
    <row r="28" spans="1:11" ht="30.75">
      <c r="A28" s="129">
        <v>5</v>
      </c>
      <c r="B28" s="167" t="s">
        <v>131</v>
      </c>
      <c r="C28" s="135"/>
      <c r="D28" s="136"/>
      <c r="E28" s="136"/>
      <c r="F28" s="136"/>
      <c r="G28" s="136"/>
      <c r="H28" s="132"/>
      <c r="I28" s="136"/>
      <c r="J28" s="136"/>
      <c r="K28" s="133"/>
    </row>
    <row r="29" spans="1:11">
      <c r="A29" s="129"/>
      <c r="B29" s="144" t="str">
        <f>B25</f>
        <v>-for flooring</v>
      </c>
      <c r="C29" s="135">
        <f>C25</f>
        <v>1</v>
      </c>
      <c r="D29" s="136">
        <f>D25</f>
        <v>5</v>
      </c>
      <c r="E29" s="136">
        <f>E25</f>
        <v>3.3526363913441024</v>
      </c>
      <c r="F29" s="136">
        <v>7.4999999999999997E-2</v>
      </c>
      <c r="G29" s="136">
        <f>C29*D29*E29*F29</f>
        <v>1.2572386467540384</v>
      </c>
      <c r="H29" s="132"/>
      <c r="I29" s="136"/>
      <c r="J29" s="136"/>
      <c r="K29" s="133"/>
    </row>
    <row r="30" spans="1:11">
      <c r="A30" s="129"/>
      <c r="B30" s="145"/>
      <c r="C30" s="135"/>
      <c r="D30" s="136"/>
      <c r="E30" s="136" t="s">
        <v>32</v>
      </c>
      <c r="F30" s="136"/>
      <c r="G30" s="136">
        <f>SUM(G29)</f>
        <v>1.2572386467540384</v>
      </c>
      <c r="H30" s="132" t="s">
        <v>24</v>
      </c>
      <c r="I30" s="136">
        <v>13351.1</v>
      </c>
      <c r="J30" s="136">
        <f>G30*I30</f>
        <v>16785.518896677844</v>
      </c>
      <c r="K30" s="133"/>
    </row>
    <row r="31" spans="1:11">
      <c r="A31" s="129"/>
      <c r="B31" s="144" t="s">
        <v>29</v>
      </c>
      <c r="C31" s="135"/>
      <c r="D31" s="136"/>
      <c r="E31" s="136"/>
      <c r="F31" s="136"/>
      <c r="G31" s="136"/>
      <c r="H31" s="132"/>
      <c r="I31" s="136"/>
      <c r="J31" s="136">
        <f>0.13*G30*4169.92</f>
        <v>681.53599512343794</v>
      </c>
      <c r="K31" s="133"/>
    </row>
    <row r="32" spans="1:11">
      <c r="A32" s="129"/>
      <c r="B32" s="144" t="s">
        <v>30</v>
      </c>
      <c r="C32" s="135"/>
      <c r="D32" s="136"/>
      <c r="E32" s="136"/>
      <c r="F32" s="136"/>
      <c r="G32" s="136"/>
      <c r="H32" s="132"/>
      <c r="I32" s="136"/>
      <c r="J32" s="136">
        <f>0.13*G30*1414.16</f>
        <v>231.13175861017984</v>
      </c>
      <c r="K32" s="133"/>
    </row>
    <row r="33" spans="1:11">
      <c r="A33" s="129"/>
      <c r="B33" s="144" t="s">
        <v>31</v>
      </c>
      <c r="C33" s="135"/>
      <c r="D33" s="136"/>
      <c r="E33" s="136"/>
      <c r="F33" s="136"/>
      <c r="G33" s="136"/>
      <c r="H33" s="132"/>
      <c r="I33" s="136"/>
      <c r="J33" s="136">
        <f>0.13*G30*(1652.5+737.97+349.56)</f>
        <v>447.83330920451084</v>
      </c>
      <c r="K33" s="133"/>
    </row>
    <row r="34" spans="1:11">
      <c r="A34" s="129"/>
      <c r="B34" s="130"/>
      <c r="C34" s="135"/>
      <c r="D34" s="136"/>
      <c r="E34" s="136"/>
      <c r="F34" s="136"/>
      <c r="G34" s="136"/>
      <c r="H34" s="132"/>
      <c r="I34" s="136"/>
      <c r="J34" s="136"/>
      <c r="K34" s="133"/>
    </row>
    <row r="35" spans="1:11" ht="30.75">
      <c r="A35" s="129">
        <v>6</v>
      </c>
      <c r="B35" s="167" t="s">
        <v>80</v>
      </c>
      <c r="C35" s="135"/>
      <c r="D35" s="136"/>
      <c r="E35" s="136"/>
      <c r="F35" s="136"/>
      <c r="G35" s="136"/>
      <c r="H35" s="132"/>
      <c r="I35" s="136"/>
      <c r="J35" s="136"/>
      <c r="K35" s="133"/>
    </row>
    <row r="36" spans="1:11">
      <c r="A36" s="129"/>
      <c r="B36" s="146" t="s">
        <v>154</v>
      </c>
      <c r="C36" s="135">
        <v>33</v>
      </c>
      <c r="D36" s="136">
        <f>(2+5.917+16.17+5.917+2)/3.281</f>
        <v>9.7543431880524238</v>
      </c>
      <c r="E36" s="136"/>
      <c r="F36" s="136">
        <f>10*10/162</f>
        <v>0.61728395061728392</v>
      </c>
      <c r="G36" s="136">
        <f>C36*D36*F36</f>
        <v>198.69958346032715</v>
      </c>
      <c r="H36" s="132"/>
      <c r="I36" s="136"/>
      <c r="J36" s="136"/>
      <c r="K36" s="133"/>
    </row>
    <row r="37" spans="1:11">
      <c r="A37" s="129"/>
      <c r="B37" s="144"/>
      <c r="C37" s="135">
        <v>32</v>
      </c>
      <c r="D37" s="136">
        <f>(2+5.5+15.667+5.5+2)/3.281</f>
        <v>9.3468454739408724</v>
      </c>
      <c r="E37" s="136"/>
      <c r="F37" s="136">
        <f>10*10/162</f>
        <v>0.61728395061728392</v>
      </c>
      <c r="G37" s="136">
        <f t="shared" ref="G37" si="0">C37*D37*F37</f>
        <v>184.62904639883203</v>
      </c>
      <c r="H37" s="132"/>
      <c r="I37" s="136"/>
      <c r="J37" s="136"/>
      <c r="K37" s="133"/>
    </row>
    <row r="38" spans="1:11">
      <c r="A38" s="129"/>
      <c r="B38" s="146" t="s">
        <v>133</v>
      </c>
      <c r="C38" s="135">
        <v>23</v>
      </c>
      <c r="D38" s="136">
        <f>(2+5.917+10.75+5.917+2)/3.281</f>
        <v>8.1024078024992381</v>
      </c>
      <c r="E38" s="136"/>
      <c r="F38" s="136">
        <f>10*10/162</f>
        <v>0.61728395061728392</v>
      </c>
      <c r="G38" s="136">
        <f>C38*D38*F38</f>
        <v>115.03418485029782</v>
      </c>
      <c r="H38" s="132"/>
      <c r="I38" s="136"/>
      <c r="J38" s="136"/>
      <c r="K38" s="133"/>
    </row>
    <row r="39" spans="1:11">
      <c r="A39" s="129"/>
      <c r="B39" s="144"/>
      <c r="C39" s="135">
        <v>22</v>
      </c>
      <c r="D39" s="136">
        <f>(2+5.5+10.25+5.5+2)/3.281</f>
        <v>7.6958244437671439</v>
      </c>
      <c r="E39" s="136"/>
      <c r="F39" s="136">
        <f>10*10/162</f>
        <v>0.61728395061728392</v>
      </c>
      <c r="G39" s="136">
        <f t="shared" ref="G39" si="1">C39*D39*F39</f>
        <v>104.51119614992416</v>
      </c>
      <c r="H39" s="132"/>
      <c r="I39" s="136"/>
      <c r="J39" s="136"/>
      <c r="K39" s="133"/>
    </row>
    <row r="40" spans="1:11">
      <c r="A40" s="129"/>
      <c r="B40" s="146" t="s">
        <v>155</v>
      </c>
      <c r="C40" s="135">
        <v>12</v>
      </c>
      <c r="D40" s="136">
        <f>(16.17+10.75+16.17+10.75)/3.281</f>
        <v>16.409631209996952</v>
      </c>
      <c r="E40" s="136"/>
      <c r="F40" s="136">
        <f>8*8/162</f>
        <v>0.39506172839506171</v>
      </c>
      <c r="G40" s="136">
        <f>C40*D40*F40</f>
        <v>77.79380721776333</v>
      </c>
      <c r="H40" s="132"/>
      <c r="I40" s="136"/>
      <c r="J40" s="136"/>
      <c r="K40" s="133"/>
    </row>
    <row r="41" spans="1:11">
      <c r="A41" s="129"/>
      <c r="B41" s="144"/>
      <c r="C41" s="135">
        <v>11</v>
      </c>
      <c r="D41" s="136">
        <f>(15.667+10.25+15.667+10.25)/3.281</f>
        <v>15.798232246266382</v>
      </c>
      <c r="E41" s="136"/>
      <c r="F41" s="136">
        <f>8*8/162</f>
        <v>0.39506172839506171</v>
      </c>
      <c r="G41" s="136">
        <f>C41*D41*F41</f>
        <v>68.654046304762545</v>
      </c>
      <c r="H41" s="132"/>
      <c r="I41" s="136"/>
      <c r="J41" s="136"/>
      <c r="K41" s="133"/>
    </row>
    <row r="42" spans="1:11">
      <c r="A42" s="129"/>
      <c r="B42" s="146" t="s">
        <v>134</v>
      </c>
      <c r="C42" s="135">
        <f>2*TRUNC((D43/0.15),0)</f>
        <v>42</v>
      </c>
      <c r="D42" s="136">
        <f>(16.17/3.281)</f>
        <v>4.928375495275831</v>
      </c>
      <c r="E42" s="136"/>
      <c r="F42" s="136">
        <f t="shared" ref="F42:F46" si="2">8*8/162</f>
        <v>0.39506172839506171</v>
      </c>
      <c r="G42" s="136">
        <f t="shared" ref="G42:G43" si="3">C42*D42*F42</f>
        <v>81.774526736428598</v>
      </c>
      <c r="H42" s="132"/>
      <c r="I42" s="136"/>
      <c r="J42" s="136"/>
      <c r="K42" s="133"/>
    </row>
    <row r="43" spans="1:11">
      <c r="A43" s="129"/>
      <c r="B43" s="144"/>
      <c r="C43" s="135">
        <f>2*TRUNC((D42/0.15),0)</f>
        <v>64</v>
      </c>
      <c r="D43" s="136">
        <f>10.75/3.281</f>
        <v>3.2764401097226452</v>
      </c>
      <c r="E43" s="136"/>
      <c r="F43" s="136">
        <f t="shared" si="2"/>
        <v>0.39506172839506171</v>
      </c>
      <c r="G43" s="136">
        <f t="shared" si="3"/>
        <v>82.841349934715765</v>
      </c>
      <c r="H43" s="132"/>
      <c r="I43" s="136"/>
      <c r="J43" s="136"/>
      <c r="K43" s="133"/>
    </row>
    <row r="44" spans="1:11">
      <c r="A44" s="129"/>
      <c r="B44" s="146" t="s">
        <v>145</v>
      </c>
      <c r="C44" s="135">
        <f>-2*5</f>
        <v>-10</v>
      </c>
      <c r="D44" s="136">
        <v>0.6</v>
      </c>
      <c r="E44" s="136"/>
      <c r="F44" s="136">
        <f t="shared" si="2"/>
        <v>0.39506172839506171</v>
      </c>
      <c r="G44" s="136">
        <f t="shared" ref="G44:G45" si="4">PRODUCT(C44:F44)</f>
        <v>-2.3703703703703702</v>
      </c>
      <c r="H44" s="132"/>
      <c r="I44" s="136"/>
      <c r="J44" s="136"/>
      <c r="K44" s="133"/>
    </row>
    <row r="45" spans="1:11">
      <c r="A45" s="129"/>
      <c r="B45" s="146"/>
      <c r="C45" s="135">
        <f>-2*5</f>
        <v>-10</v>
      </c>
      <c r="D45" s="136">
        <v>0.6</v>
      </c>
      <c r="E45" s="136"/>
      <c r="F45" s="136">
        <f t="shared" si="2"/>
        <v>0.39506172839506171</v>
      </c>
      <c r="G45" s="136">
        <f t="shared" si="4"/>
        <v>-2.3703703703703702</v>
      </c>
      <c r="H45" s="132"/>
      <c r="I45" s="136"/>
      <c r="J45" s="136"/>
      <c r="K45" s="133"/>
    </row>
    <row r="46" spans="1:11">
      <c r="A46" s="129"/>
      <c r="B46" s="146" t="s">
        <v>141</v>
      </c>
      <c r="C46" s="135">
        <f>28*2+17*2</f>
        <v>90</v>
      </c>
      <c r="D46" s="136">
        <f>(1+1.42+1)/3.281</f>
        <v>1.04236513258153</v>
      </c>
      <c r="E46" s="136"/>
      <c r="F46" s="136">
        <f t="shared" si="2"/>
        <v>0.39506172839506171</v>
      </c>
      <c r="G46" s="136">
        <f t="shared" ref="G46" si="5">C46*D46*F46</f>
        <v>37.061871380676621</v>
      </c>
      <c r="H46" s="132"/>
      <c r="I46" s="136"/>
      <c r="J46" s="136"/>
      <c r="K46" s="133"/>
    </row>
    <row r="47" spans="1:11">
      <c r="A47" s="129"/>
      <c r="B47" s="144"/>
      <c r="C47" s="135"/>
      <c r="D47" s="136"/>
      <c r="E47" s="136"/>
      <c r="F47" s="136"/>
      <c r="G47" s="136">
        <f>SUM(G36:G46)</f>
        <v>946.25887169298721</v>
      </c>
      <c r="H47" s="132" t="s">
        <v>18</v>
      </c>
      <c r="I47" s="136">
        <f>132360/1000</f>
        <v>132.36000000000001</v>
      </c>
      <c r="J47" s="147">
        <f>G47*I47</f>
        <v>125246.82425728381</v>
      </c>
      <c r="K47" s="133"/>
    </row>
    <row r="48" spans="1:11">
      <c r="A48" s="129"/>
      <c r="B48" s="144" t="s">
        <v>81</v>
      </c>
      <c r="C48" s="135"/>
      <c r="D48" s="136"/>
      <c r="E48" s="136"/>
      <c r="F48" s="136"/>
      <c r="G48" s="136"/>
      <c r="H48" s="132"/>
      <c r="I48" s="136"/>
      <c r="J48" s="136">
        <f>0.13*G47*106200/1000</f>
        <v>13064.049982593382</v>
      </c>
      <c r="K48" s="133"/>
    </row>
    <row r="49" spans="1:11">
      <c r="A49" s="129"/>
      <c r="B49" s="144"/>
      <c r="C49" s="135"/>
      <c r="D49" s="136"/>
      <c r="E49" s="136"/>
      <c r="F49" s="136"/>
      <c r="G49" s="136"/>
      <c r="H49" s="132"/>
      <c r="I49" s="136"/>
      <c r="J49" s="136"/>
      <c r="K49" s="133"/>
    </row>
    <row r="50" spans="1:11" ht="30.75">
      <c r="A50" s="129">
        <v>7</v>
      </c>
      <c r="B50" s="167" t="s">
        <v>135</v>
      </c>
      <c r="C50" s="135"/>
      <c r="D50" s="136"/>
      <c r="E50" s="136"/>
      <c r="F50" s="136"/>
      <c r="G50" s="136"/>
      <c r="H50" s="132"/>
      <c r="I50" s="136"/>
      <c r="J50" s="136"/>
      <c r="K50" s="133"/>
    </row>
    <row r="51" spans="1:11">
      <c r="A51" s="129"/>
      <c r="B51" s="146" t="s">
        <v>136</v>
      </c>
      <c r="C51" s="135">
        <v>1</v>
      </c>
      <c r="D51" s="136">
        <f>((16.42+11)*2)/3.281</f>
        <v>16.714416336482781</v>
      </c>
      <c r="E51" s="136"/>
      <c r="F51" s="136">
        <f>4.583/3.281</f>
        <v>1.3968302346845474</v>
      </c>
      <c r="G51" s="136">
        <f>PRODUCT(C51:F51)</f>
        <v>23.347202093904475</v>
      </c>
      <c r="H51" s="132"/>
      <c r="I51" s="136"/>
      <c r="J51" s="136"/>
      <c r="K51" s="133"/>
    </row>
    <row r="52" spans="1:11">
      <c r="A52" s="129"/>
      <c r="B52" s="144"/>
      <c r="C52" s="135">
        <v>1</v>
      </c>
      <c r="D52" s="136">
        <f>((15.42+10)*2)/3.281</f>
        <v>15.49527583053947</v>
      </c>
      <c r="E52" s="136"/>
      <c r="F52" s="136">
        <f>4.17/3.281</f>
        <v>1.2709539774459007</v>
      </c>
      <c r="G52" s="136">
        <f t="shared" ref="G52:G54" si="6">PRODUCT(C52:F52)</f>
        <v>19.693782448445472</v>
      </c>
      <c r="H52" s="132"/>
      <c r="I52" s="136"/>
      <c r="J52" s="136"/>
      <c r="K52" s="133"/>
    </row>
    <row r="53" spans="1:11">
      <c r="A53" s="129"/>
      <c r="B53" s="146" t="s">
        <v>137</v>
      </c>
      <c r="C53" s="135">
        <v>1</v>
      </c>
      <c r="D53" s="136">
        <f>(15.42/3.281)</f>
        <v>4.6997866504114594</v>
      </c>
      <c r="E53" s="136">
        <f>10/3.281</f>
        <v>3.047851264858275</v>
      </c>
      <c r="F53" s="136"/>
      <c r="G53" s="136">
        <f t="shared" si="6"/>
        <v>14.324250687020601</v>
      </c>
      <c r="H53" s="132"/>
      <c r="I53" s="136"/>
      <c r="J53" s="136"/>
      <c r="K53" s="133"/>
    </row>
    <row r="54" spans="1:11">
      <c r="A54" s="129"/>
      <c r="B54" s="146" t="s">
        <v>145</v>
      </c>
      <c r="C54" s="135">
        <v>-1</v>
      </c>
      <c r="D54" s="136">
        <v>0.6</v>
      </c>
      <c r="E54" s="136">
        <v>0.6</v>
      </c>
      <c r="F54" s="136"/>
      <c r="G54" s="136">
        <f t="shared" si="6"/>
        <v>-0.36</v>
      </c>
      <c r="H54" s="132"/>
      <c r="I54" s="136"/>
      <c r="J54" s="136"/>
      <c r="K54" s="133"/>
    </row>
    <row r="55" spans="1:11">
      <c r="A55" s="129"/>
      <c r="B55" s="144"/>
      <c r="C55" s="135"/>
      <c r="D55" s="136"/>
      <c r="E55" s="136"/>
      <c r="F55" s="136"/>
      <c r="G55" s="136">
        <f>SUM(G51:G54)</f>
        <v>57.005235229370548</v>
      </c>
      <c r="H55" s="132" t="s">
        <v>23</v>
      </c>
      <c r="I55" s="136">
        <v>922.71</v>
      </c>
      <c r="J55" s="136">
        <f>G55*I55</f>
        <v>52599.300598492504</v>
      </c>
      <c r="K55" s="133"/>
    </row>
    <row r="56" spans="1:11">
      <c r="A56" s="129"/>
      <c r="B56" s="144" t="s">
        <v>81</v>
      </c>
      <c r="C56" s="135"/>
      <c r="D56" s="136"/>
      <c r="E56" s="136"/>
      <c r="F56" s="136"/>
      <c r="G56" s="136"/>
      <c r="H56" s="132"/>
      <c r="I56" s="136"/>
      <c r="J56" s="136">
        <f>0.13*G55*46827.87/100</f>
        <v>3470.2638680324994</v>
      </c>
      <c r="K56" s="133"/>
    </row>
    <row r="57" spans="1:11">
      <c r="A57" s="129"/>
      <c r="B57" s="144"/>
      <c r="C57" s="135"/>
      <c r="D57" s="136"/>
      <c r="E57" s="136"/>
      <c r="F57" s="136"/>
      <c r="G57" s="136"/>
      <c r="H57" s="132"/>
      <c r="I57" s="136"/>
      <c r="J57" s="136"/>
      <c r="K57" s="133"/>
    </row>
    <row r="58" spans="1:11" ht="30.75">
      <c r="A58" s="129">
        <v>8</v>
      </c>
      <c r="B58" s="167" t="s">
        <v>142</v>
      </c>
      <c r="C58" s="135"/>
      <c r="D58" s="136"/>
      <c r="E58" s="136"/>
      <c r="F58" s="136"/>
      <c r="G58" s="136"/>
      <c r="H58" s="132"/>
      <c r="I58" s="136"/>
      <c r="J58" s="136"/>
      <c r="K58" s="133"/>
    </row>
    <row r="59" spans="1:11">
      <c r="A59" s="129"/>
      <c r="B59" s="146" t="s">
        <v>140</v>
      </c>
      <c r="C59" s="135">
        <v>2</v>
      </c>
      <c r="D59" s="136">
        <f>D25</f>
        <v>5</v>
      </c>
      <c r="E59" s="136">
        <f>E25</f>
        <v>3.3526363913441024</v>
      </c>
      <c r="F59" s="136">
        <f>0.42/3.281</f>
        <v>0.12800975312404753</v>
      </c>
      <c r="G59" s="136">
        <f>C59*D59*E59*F59</f>
        <v>4.2917015677065615</v>
      </c>
      <c r="H59" s="132"/>
      <c r="I59" s="136"/>
      <c r="J59" s="136"/>
      <c r="K59" s="133"/>
    </row>
    <row r="60" spans="1:11">
      <c r="A60" s="129"/>
      <c r="B60" s="146" t="s">
        <v>139</v>
      </c>
      <c r="C60" s="135">
        <v>2</v>
      </c>
      <c r="D60" s="136">
        <f>D59</f>
        <v>5</v>
      </c>
      <c r="E60" s="136">
        <v>0.15</v>
      </c>
      <c r="F60" s="136">
        <f>5.25/3.281</f>
        <v>1.6001219140505942</v>
      </c>
      <c r="G60" s="136">
        <f>C60*D60*E60*F60</f>
        <v>2.4001828710758915</v>
      </c>
      <c r="H60" s="132"/>
      <c r="I60" s="136"/>
      <c r="J60" s="136"/>
      <c r="K60" s="133"/>
    </row>
    <row r="61" spans="1:11">
      <c r="A61" s="129"/>
      <c r="B61" s="145"/>
      <c r="C61" s="135">
        <v>2</v>
      </c>
      <c r="D61" s="136">
        <f>10/3.281</f>
        <v>3.047851264858275</v>
      </c>
      <c r="E61" s="136">
        <v>0.15</v>
      </c>
      <c r="F61" s="136">
        <f>5.25/3.281</f>
        <v>1.6001219140505942</v>
      </c>
      <c r="G61" s="136">
        <f>C61*D61*E61*F61</f>
        <v>1.4630800798999641</v>
      </c>
      <c r="H61" s="132"/>
      <c r="I61" s="136"/>
      <c r="J61" s="136"/>
      <c r="K61" s="133"/>
    </row>
    <row r="62" spans="1:11">
      <c r="A62" s="129"/>
      <c r="B62" s="146" t="s">
        <v>138</v>
      </c>
      <c r="C62" s="135">
        <v>0.5</v>
      </c>
      <c r="D62" s="136">
        <f>(13.42*2+8*2)/3.281</f>
        <v>13.05699481865285</v>
      </c>
      <c r="E62" s="136">
        <f>1/3.281</f>
        <v>0.30478512648582745</v>
      </c>
      <c r="F62" s="136">
        <f>1/3.281</f>
        <v>0.30478512648582745</v>
      </c>
      <c r="G62" s="136">
        <f>C62*D62*E62*F62</f>
        <v>0.60645806420723891</v>
      </c>
      <c r="H62" s="132"/>
      <c r="I62" s="136"/>
      <c r="J62" s="136"/>
      <c r="K62" s="133"/>
    </row>
    <row r="63" spans="1:11">
      <c r="A63" s="129"/>
      <c r="B63" s="146" t="s">
        <v>145</v>
      </c>
      <c r="C63" s="135">
        <v>-1</v>
      </c>
      <c r="D63" s="136">
        <v>0.6</v>
      </c>
      <c r="E63" s="136">
        <v>0.6</v>
      </c>
      <c r="F63" s="136">
        <f>0.42/3.281</f>
        <v>0.12800975312404753</v>
      </c>
      <c r="G63" s="136">
        <f>C63*D63*E63*F63</f>
        <v>-4.6083511124657105E-2</v>
      </c>
      <c r="H63" s="132"/>
      <c r="I63" s="136"/>
      <c r="J63" s="136"/>
      <c r="K63" s="133"/>
    </row>
    <row r="64" spans="1:11">
      <c r="A64" s="129"/>
      <c r="B64" s="146"/>
      <c r="C64" s="135"/>
      <c r="D64" s="136"/>
      <c r="E64" s="136" t="s">
        <v>32</v>
      </c>
      <c r="F64" s="136"/>
      <c r="G64" s="136">
        <f>SUM(G59:G63)</f>
        <v>8.7153390717649994</v>
      </c>
      <c r="H64" s="132" t="s">
        <v>24</v>
      </c>
      <c r="I64" s="136">
        <v>13957.29</v>
      </c>
      <c r="J64" s="147">
        <f>G64*I64</f>
        <v>121642.51487295491</v>
      </c>
      <c r="K64" s="133"/>
    </row>
    <row r="65" spans="1:11">
      <c r="A65" s="129"/>
      <c r="B65" s="144" t="s">
        <v>29</v>
      </c>
      <c r="C65" s="135"/>
      <c r="D65" s="136"/>
      <c r="E65" s="136"/>
      <c r="F65" s="136"/>
      <c r="G65" s="136"/>
      <c r="H65" s="132"/>
      <c r="I65" s="136"/>
      <c r="J65" s="136">
        <f>0.13*G64*5212.4</f>
        <v>5905.6183390968245</v>
      </c>
      <c r="K65" s="133"/>
    </row>
    <row r="66" spans="1:11">
      <c r="A66" s="129"/>
      <c r="B66" s="144" t="s">
        <v>30</v>
      </c>
      <c r="C66" s="135"/>
      <c r="D66" s="136"/>
      <c r="E66" s="136"/>
      <c r="F66" s="136"/>
      <c r="G66" s="136"/>
      <c r="H66" s="132"/>
      <c r="I66" s="136"/>
      <c r="J66" s="136">
        <f>0.13*G64*1350.6</f>
        <v>1530.221803542355</v>
      </c>
      <c r="K66" s="133"/>
    </row>
    <row r="67" spans="1:11">
      <c r="A67" s="129"/>
      <c r="B67" s="144" t="s">
        <v>31</v>
      </c>
      <c r="C67" s="135"/>
      <c r="D67" s="136"/>
      <c r="E67" s="136"/>
      <c r="F67" s="136"/>
      <c r="G67" s="136"/>
      <c r="H67" s="132"/>
      <c r="I67" s="136"/>
      <c r="J67" s="136">
        <f>0.13*G64*(1912.03+921.59)</f>
        <v>3210.4746830695158</v>
      </c>
      <c r="K67" s="133"/>
    </row>
    <row r="68" spans="1:11">
      <c r="A68" s="129"/>
      <c r="B68" s="144" t="s">
        <v>143</v>
      </c>
      <c r="C68" s="135"/>
      <c r="D68" s="136"/>
      <c r="E68" s="136"/>
      <c r="F68" s="136"/>
      <c r="G68" s="136"/>
      <c r="H68" s="132"/>
      <c r="I68" s="136"/>
      <c r="J68" s="136">
        <f>0.13*G64*392.92</f>
        <v>445.17603365012752</v>
      </c>
      <c r="K68" s="133"/>
    </row>
    <row r="69" spans="1:11">
      <c r="A69" s="129"/>
      <c r="B69" s="144" t="s">
        <v>144</v>
      </c>
      <c r="C69" s="135"/>
      <c r="D69" s="136"/>
      <c r="E69" s="136"/>
      <c r="F69" s="136"/>
      <c r="G69" s="136"/>
      <c r="H69" s="132"/>
      <c r="I69" s="136"/>
      <c r="J69" s="136">
        <f>0.13*G64*14.15</f>
        <v>16.031866222511717</v>
      </c>
      <c r="K69" s="133"/>
    </row>
    <row r="70" spans="1:11">
      <c r="A70" s="129"/>
      <c r="B70" s="144"/>
      <c r="C70" s="135"/>
      <c r="D70" s="136"/>
      <c r="E70" s="136"/>
      <c r="F70" s="136"/>
      <c r="G70" s="136"/>
      <c r="H70" s="132"/>
      <c r="I70" s="136"/>
      <c r="J70" s="136"/>
      <c r="K70" s="133"/>
    </row>
    <row r="71" spans="1:11" ht="30.75">
      <c r="A71" s="129">
        <v>9</v>
      </c>
      <c r="B71" s="167" t="s">
        <v>78</v>
      </c>
      <c r="C71" s="135"/>
      <c r="D71" s="132"/>
      <c r="E71" s="132"/>
      <c r="F71" s="132"/>
      <c r="G71" s="136"/>
      <c r="H71" s="132"/>
      <c r="I71" s="136"/>
      <c r="J71" s="136"/>
      <c r="K71" s="133"/>
    </row>
    <row r="72" spans="1:11">
      <c r="A72" s="129"/>
      <c r="B72" s="144" t="s">
        <v>147</v>
      </c>
      <c r="C72" s="135">
        <v>2</v>
      </c>
      <c r="D72" s="132">
        <f>15.42/3.281</f>
        <v>4.6997866504114594</v>
      </c>
      <c r="E72" s="132"/>
      <c r="F72" s="132">
        <f>5.25/3.281</f>
        <v>1.6001219140505942</v>
      </c>
      <c r="G72" s="136">
        <f>C72*D72*F72</f>
        <v>15.040463221371631</v>
      </c>
      <c r="H72" s="132"/>
      <c r="I72" s="136"/>
      <c r="J72" s="136"/>
      <c r="K72" s="133"/>
    </row>
    <row r="73" spans="1:11">
      <c r="A73" s="129"/>
      <c r="B73" s="148"/>
      <c r="C73" s="135">
        <v>2</v>
      </c>
      <c r="D73" s="132">
        <f>10/3.281</f>
        <v>3.047851264858275</v>
      </c>
      <c r="E73" s="132"/>
      <c r="F73" s="132">
        <f>5.25/3.281</f>
        <v>1.6001219140505942</v>
      </c>
      <c r="G73" s="136">
        <f>C73*D73*F73</f>
        <v>9.7538671993330954</v>
      </c>
      <c r="H73" s="132"/>
      <c r="I73" s="149"/>
      <c r="J73" s="136"/>
      <c r="K73" s="133"/>
    </row>
    <row r="74" spans="1:11">
      <c r="A74" s="129"/>
      <c r="B74" s="148"/>
      <c r="C74" s="135"/>
      <c r="D74" s="136"/>
      <c r="E74" s="136"/>
      <c r="F74" s="138"/>
      <c r="G74" s="136">
        <f>SUM(G72:G73)</f>
        <v>24.794330420704725</v>
      </c>
      <c r="H74" s="132" t="s">
        <v>23</v>
      </c>
      <c r="I74" s="136">
        <v>415.5</v>
      </c>
      <c r="J74" s="136">
        <f>G74*I74</f>
        <v>10302.044289802812</v>
      </c>
      <c r="K74" s="133"/>
    </row>
    <row r="75" spans="1:11">
      <c r="A75" s="129"/>
      <c r="B75" s="144" t="s">
        <v>29</v>
      </c>
      <c r="C75" s="135"/>
      <c r="D75" s="136"/>
      <c r="E75" s="136"/>
      <c r="F75" s="138"/>
      <c r="G75" s="136"/>
      <c r="H75" s="132"/>
      <c r="I75" s="149"/>
      <c r="J75" s="136">
        <f>0.13*G74*7010.67/100</f>
        <v>225.97232898567862</v>
      </c>
      <c r="K75" s="133"/>
    </row>
    <row r="76" spans="1:11">
      <c r="A76" s="129"/>
      <c r="B76" s="144" t="s">
        <v>30</v>
      </c>
      <c r="C76" s="135"/>
      <c r="D76" s="136"/>
      <c r="E76" s="136"/>
      <c r="F76" s="138"/>
      <c r="G76" s="136"/>
      <c r="H76" s="132"/>
      <c r="I76" s="149"/>
      <c r="J76" s="136">
        <f>0.13*G74*4639.73/100</f>
        <v>149.55069828771323</v>
      </c>
      <c r="K76" s="133"/>
    </row>
    <row r="77" spans="1:11">
      <c r="A77" s="129"/>
      <c r="B77" s="144"/>
      <c r="C77" s="135"/>
      <c r="D77" s="136"/>
      <c r="E77" s="136"/>
      <c r="F77" s="138"/>
      <c r="G77" s="136"/>
      <c r="H77" s="132"/>
      <c r="I77" s="149"/>
      <c r="J77" s="136"/>
      <c r="K77" s="133"/>
    </row>
    <row r="78" spans="1:11" ht="30.75">
      <c r="A78" s="129">
        <v>10</v>
      </c>
      <c r="B78" s="167" t="s">
        <v>77</v>
      </c>
      <c r="C78" s="135"/>
      <c r="D78" s="132"/>
      <c r="E78" s="132"/>
      <c r="F78" s="136"/>
      <c r="G78" s="132"/>
      <c r="H78" s="138"/>
      <c r="I78" s="136"/>
      <c r="J78" s="132"/>
      <c r="K78" s="133"/>
    </row>
    <row r="79" spans="1:11">
      <c r="A79" s="129"/>
      <c r="B79" s="144" t="s">
        <v>146</v>
      </c>
      <c r="C79" s="135">
        <v>1</v>
      </c>
      <c r="D79" s="132">
        <f>13.42/3.281</f>
        <v>4.0902163974398045</v>
      </c>
      <c r="E79" s="132">
        <f>8/3.281</f>
        <v>2.4382810118866196</v>
      </c>
      <c r="F79" s="136"/>
      <c r="G79" s="132">
        <f>E79*D79*C79</f>
        <v>9.9730969763847703</v>
      </c>
      <c r="H79" s="138" t="s">
        <v>23</v>
      </c>
      <c r="I79" s="136">
        <v>689.98</v>
      </c>
      <c r="J79" s="132">
        <f>G79*I79</f>
        <v>6881.2374517659637</v>
      </c>
      <c r="K79" s="133"/>
    </row>
    <row r="80" spans="1:11">
      <c r="A80" s="129"/>
      <c r="B80" s="144" t="s">
        <v>29</v>
      </c>
      <c r="C80" s="135"/>
      <c r="D80" s="132"/>
      <c r="E80" s="132"/>
      <c r="F80" s="138"/>
      <c r="G80" s="132"/>
      <c r="H80" s="138"/>
      <c r="I80" s="136"/>
      <c r="J80" s="150">
        <f>0.13*G79*1694.03/10</f>
        <v>219.63143112176621</v>
      </c>
      <c r="K80" s="133"/>
    </row>
    <row r="81" spans="1:11">
      <c r="A81" s="129"/>
      <c r="B81" s="144" t="s">
        <v>30</v>
      </c>
      <c r="C81" s="135"/>
      <c r="D81" s="132"/>
      <c r="E81" s="132"/>
      <c r="F81" s="138"/>
      <c r="G81" s="132"/>
      <c r="H81" s="138"/>
      <c r="I81" s="136"/>
      <c r="J81" s="150">
        <f>0.13*G79*572.02/10</f>
        <v>74.162542121611025</v>
      </c>
      <c r="K81" s="133"/>
    </row>
    <row r="82" spans="1:11">
      <c r="A82" s="129"/>
      <c r="B82" s="144" t="s">
        <v>31</v>
      </c>
      <c r="C82" s="135"/>
      <c r="D82" s="132"/>
      <c r="E82" s="132"/>
      <c r="F82" s="138"/>
      <c r="G82" s="132"/>
      <c r="H82" s="138"/>
      <c r="I82" s="136"/>
      <c r="J82" s="150">
        <f>0.13*G79*1207.6/10</f>
        <v>156.56565481286924</v>
      </c>
      <c r="K82" s="133"/>
    </row>
    <row r="83" spans="1:11" ht="18" customHeight="1">
      <c r="A83" s="129"/>
      <c r="B83" s="144"/>
      <c r="C83" s="135"/>
      <c r="D83" s="136"/>
      <c r="E83" s="136"/>
      <c r="F83" s="138"/>
      <c r="G83" s="136"/>
      <c r="H83" s="132"/>
      <c r="I83" s="136"/>
      <c r="J83" s="136"/>
      <c r="K83" s="133"/>
    </row>
    <row r="84" spans="1:11" ht="30.75">
      <c r="A84" s="129">
        <v>11</v>
      </c>
      <c r="B84" s="167" t="s">
        <v>79</v>
      </c>
      <c r="C84" s="135"/>
      <c r="D84" s="132"/>
      <c r="E84" s="132"/>
      <c r="F84" s="132"/>
      <c r="G84" s="132"/>
      <c r="H84" s="132"/>
      <c r="I84" s="132"/>
      <c r="J84" s="132"/>
      <c r="K84" s="133"/>
    </row>
    <row r="85" spans="1:11">
      <c r="A85" s="129"/>
      <c r="B85" s="144" t="str">
        <f>B72</f>
        <v>-At shear wall</v>
      </c>
      <c r="C85" s="135">
        <f>C60</f>
        <v>2</v>
      </c>
      <c r="D85" s="132">
        <f>D72</f>
        <v>4.6997866504114594</v>
      </c>
      <c r="E85" s="132"/>
      <c r="F85" s="132">
        <f>F60+0.3+0.3</f>
        <v>2.2001219140505941</v>
      </c>
      <c r="G85" s="136">
        <f>PRODUCT(C85:F85)</f>
        <v>20.680207201865382</v>
      </c>
      <c r="H85" s="132"/>
      <c r="I85" s="132"/>
      <c r="J85" s="132"/>
      <c r="K85" s="133"/>
    </row>
    <row r="86" spans="1:11">
      <c r="A86" s="129"/>
      <c r="B86" s="144"/>
      <c r="C86" s="135">
        <f>C61</f>
        <v>2</v>
      </c>
      <c r="D86" s="132">
        <f>D73</f>
        <v>3.047851264858275</v>
      </c>
      <c r="E86" s="132"/>
      <c r="F86" s="132">
        <f>F61+0.3+0.3</f>
        <v>2.2001219140505941</v>
      </c>
      <c r="G86" s="136">
        <f t="shared" ref="G86:G87" si="7">PRODUCT(C86:F86)</f>
        <v>13.411288717163025</v>
      </c>
      <c r="H86" s="132"/>
      <c r="I86" s="132"/>
      <c r="J86" s="132"/>
      <c r="K86" s="133"/>
    </row>
    <row r="87" spans="1:11">
      <c r="A87" s="129"/>
      <c r="B87" s="146" t="s">
        <v>148</v>
      </c>
      <c r="C87" s="135">
        <v>1</v>
      </c>
      <c r="D87" s="132">
        <f>D79</f>
        <v>4.0902163974398045</v>
      </c>
      <c r="E87" s="132">
        <f>E79</f>
        <v>2.4382810118866196</v>
      </c>
      <c r="F87" s="132"/>
      <c r="G87" s="136">
        <f t="shared" si="7"/>
        <v>9.9730969763847703</v>
      </c>
      <c r="H87" s="132"/>
      <c r="I87" s="132"/>
      <c r="J87" s="132"/>
      <c r="K87" s="133"/>
    </row>
    <row r="88" spans="1:11">
      <c r="A88" s="129"/>
      <c r="B88" s="144"/>
      <c r="C88" s="135"/>
      <c r="D88" s="132"/>
      <c r="E88" s="132"/>
      <c r="F88" s="132"/>
      <c r="G88" s="132">
        <f>SUM(G85:G87)</f>
        <v>44.06459289541317</v>
      </c>
      <c r="H88" s="132" t="s">
        <v>23</v>
      </c>
      <c r="I88" s="132">
        <v>287.32</v>
      </c>
      <c r="J88" s="132">
        <f>G88*I88</f>
        <v>12660.638830710112</v>
      </c>
      <c r="K88" s="133"/>
    </row>
    <row r="89" spans="1:11">
      <c r="A89" s="129"/>
      <c r="B89" s="144" t="s">
        <v>29</v>
      </c>
      <c r="C89" s="135"/>
      <c r="D89" s="132"/>
      <c r="E89" s="132"/>
      <c r="F89" s="132"/>
      <c r="G89" s="132"/>
      <c r="H89" s="132"/>
      <c r="I89" s="132"/>
      <c r="J89" s="132">
        <f>0.13*G88*693.24/10</f>
        <v>397.11539892461093</v>
      </c>
      <c r="K89" s="133"/>
    </row>
    <row r="90" spans="1:11">
      <c r="A90" s="129"/>
      <c r="B90" s="144"/>
      <c r="C90" s="135"/>
      <c r="D90" s="132"/>
      <c r="E90" s="132"/>
      <c r="F90" s="132"/>
      <c r="G90" s="132"/>
      <c r="H90" s="132"/>
      <c r="I90" s="132"/>
      <c r="J90" s="132"/>
      <c r="K90" s="133"/>
    </row>
    <row r="91" spans="1:11">
      <c r="A91" s="129"/>
      <c r="B91" s="144"/>
      <c r="C91" s="135"/>
      <c r="D91" s="132"/>
      <c r="E91" s="132"/>
      <c r="F91" s="132"/>
      <c r="G91" s="132"/>
      <c r="H91" s="132"/>
      <c r="I91" s="132"/>
      <c r="J91" s="132"/>
      <c r="K91" s="133"/>
    </row>
    <row r="92" spans="1:11" ht="33" customHeight="1">
      <c r="A92" s="129">
        <v>12</v>
      </c>
      <c r="B92" s="148" t="s">
        <v>87</v>
      </c>
      <c r="C92" s="135">
        <v>1</v>
      </c>
      <c r="D92" s="136"/>
      <c r="E92" s="136"/>
      <c r="F92" s="138"/>
      <c r="G92" s="136">
        <f>+C92</f>
        <v>1</v>
      </c>
      <c r="H92" s="132" t="s">
        <v>34</v>
      </c>
      <c r="I92" s="136">
        <v>4659</v>
      </c>
      <c r="J92" s="136">
        <f>G92*I92</f>
        <v>4659</v>
      </c>
      <c r="K92" s="133"/>
    </row>
    <row r="93" spans="1:11">
      <c r="A93" s="129"/>
      <c r="B93" s="137" t="s">
        <v>88</v>
      </c>
      <c r="C93" s="135"/>
      <c r="D93" s="136"/>
      <c r="E93" s="136"/>
      <c r="F93" s="138"/>
      <c r="G93" s="136"/>
      <c r="H93" s="132"/>
      <c r="I93" s="136"/>
      <c r="J93" s="136">
        <f>0.13*J92</f>
        <v>605.67000000000007</v>
      </c>
      <c r="K93" s="133"/>
    </row>
    <row r="94" spans="1:11">
      <c r="A94" s="129"/>
      <c r="B94" s="148"/>
      <c r="C94" s="135"/>
      <c r="D94" s="136"/>
      <c r="E94" s="136"/>
      <c r="F94" s="138"/>
      <c r="G94" s="136"/>
      <c r="H94" s="132"/>
      <c r="I94" s="136"/>
      <c r="J94" s="136"/>
      <c r="K94" s="133"/>
    </row>
    <row r="95" spans="1:11" ht="30.75">
      <c r="A95" s="129">
        <v>13</v>
      </c>
      <c r="B95" s="167" t="s">
        <v>149</v>
      </c>
      <c r="C95" s="135"/>
      <c r="D95" s="132"/>
      <c r="E95" s="132"/>
      <c r="F95" s="132"/>
      <c r="G95" s="132"/>
      <c r="H95" s="132"/>
      <c r="I95" s="132"/>
      <c r="J95" s="132"/>
      <c r="K95" s="133"/>
    </row>
    <row r="96" spans="1:11">
      <c r="A96" s="129"/>
      <c r="B96" s="146" t="s">
        <v>146</v>
      </c>
      <c r="C96" s="135">
        <v>1</v>
      </c>
      <c r="D96" s="132">
        <f>(15.42*2+10*2)/3.281</f>
        <v>15.49527583053947</v>
      </c>
      <c r="E96" s="132"/>
      <c r="F96" s="132">
        <f>5.25/3.281</f>
        <v>1.6001219140505942</v>
      </c>
      <c r="G96" s="136">
        <f t="shared" ref="G96:G97" si="8">PRODUCT(C96:F96)</f>
        <v>24.794330420704728</v>
      </c>
      <c r="H96" s="132"/>
      <c r="I96" s="132"/>
      <c r="J96" s="132"/>
      <c r="K96" s="133"/>
    </row>
    <row r="97" spans="1:11">
      <c r="A97" s="129"/>
      <c r="B97" s="144"/>
      <c r="C97" s="135">
        <v>1</v>
      </c>
      <c r="D97" s="132">
        <f>13.42/3.281</f>
        <v>4.0902163974398045</v>
      </c>
      <c r="E97" s="132">
        <f>8/3.281</f>
        <v>2.4382810118866196</v>
      </c>
      <c r="F97" s="132"/>
      <c r="G97" s="136">
        <f t="shared" si="8"/>
        <v>9.9730969763847703</v>
      </c>
      <c r="H97" s="132"/>
      <c r="I97" s="132"/>
      <c r="J97" s="132"/>
      <c r="K97" s="133"/>
    </row>
    <row r="98" spans="1:11">
      <c r="A98" s="129"/>
      <c r="B98" s="144"/>
      <c r="C98" s="135"/>
      <c r="D98" s="132"/>
      <c r="E98" s="132"/>
      <c r="F98" s="132"/>
      <c r="G98" s="132">
        <f>SUM(G96:G97)</f>
        <v>34.767427397089499</v>
      </c>
      <c r="H98" s="132" t="s">
        <v>23</v>
      </c>
      <c r="I98" s="132">
        <v>452.86</v>
      </c>
      <c r="J98" s="132">
        <f>G98*I98</f>
        <v>15744.777171045951</v>
      </c>
      <c r="K98" s="133"/>
    </row>
    <row r="99" spans="1:11">
      <c r="A99" s="129"/>
      <c r="B99" s="144" t="s">
        <v>29</v>
      </c>
      <c r="C99" s="135"/>
      <c r="D99" s="132"/>
      <c r="E99" s="132"/>
      <c r="F99" s="132"/>
      <c r="G99" s="132"/>
      <c r="H99" s="132"/>
      <c r="I99" s="132"/>
      <c r="J99" s="132">
        <f>0.13*G98*1759.18/10</f>
        <v>795.10811806935476</v>
      </c>
      <c r="K99" s="133"/>
    </row>
    <row r="100" spans="1:11">
      <c r="A100" s="129"/>
      <c r="B100" s="144" t="s">
        <v>160</v>
      </c>
      <c r="C100" s="135"/>
      <c r="D100" s="132"/>
      <c r="E100" s="132"/>
      <c r="F100" s="132"/>
      <c r="G100" s="132"/>
      <c r="H100" s="132"/>
      <c r="I100" s="132"/>
      <c r="J100" s="132">
        <f>0.13*G98*572.02/10</f>
        <v>258.53962965588073</v>
      </c>
      <c r="K100" s="133"/>
    </row>
    <row r="101" spans="1:11">
      <c r="A101" s="129"/>
      <c r="B101" s="144" t="s">
        <v>161</v>
      </c>
      <c r="C101" s="135"/>
      <c r="D101" s="132"/>
      <c r="E101" s="132"/>
      <c r="F101" s="132"/>
      <c r="G101" s="132"/>
      <c r="H101" s="132"/>
      <c r="I101" s="132"/>
      <c r="J101" s="132">
        <f>0.13*G98*515.7/10</f>
        <v>233.08431001282776</v>
      </c>
      <c r="K101" s="133"/>
    </row>
    <row r="102" spans="1:11">
      <c r="A102" s="129"/>
      <c r="B102" s="144"/>
      <c r="C102" s="135"/>
      <c r="D102" s="132"/>
      <c r="E102" s="132"/>
      <c r="F102" s="132"/>
      <c r="G102" s="132"/>
      <c r="H102" s="132"/>
      <c r="I102" s="132"/>
      <c r="J102" s="132"/>
      <c r="K102" s="133"/>
    </row>
    <row r="103" spans="1:11" ht="30.75">
      <c r="A103" s="129">
        <v>14</v>
      </c>
      <c r="B103" s="167" t="s">
        <v>156</v>
      </c>
      <c r="C103" s="135"/>
      <c r="D103" s="132"/>
      <c r="E103" s="132"/>
      <c r="F103" s="132"/>
      <c r="G103" s="132"/>
      <c r="H103" s="132"/>
      <c r="I103" s="132"/>
      <c r="J103" s="132"/>
      <c r="K103" s="133"/>
    </row>
    <row r="104" spans="1:11">
      <c r="A104" s="129"/>
      <c r="B104" s="146" t="s">
        <v>157</v>
      </c>
      <c r="C104" s="135">
        <v>2</v>
      </c>
      <c r="D104" s="132">
        <v>3.415</v>
      </c>
      <c r="E104" s="132"/>
      <c r="F104" s="132">
        <v>1.43</v>
      </c>
      <c r="G104" s="136">
        <f>PRODUCT(C104:F104)</f>
        <v>9.7668999999999997</v>
      </c>
      <c r="H104" s="132"/>
      <c r="I104" s="132"/>
      <c r="J104" s="132"/>
      <c r="K104" s="133"/>
    </row>
    <row r="105" spans="1:11">
      <c r="A105" s="129"/>
      <c r="B105" s="146"/>
      <c r="C105" s="135">
        <v>2</v>
      </c>
      <c r="D105" s="132">
        <f>0.48*2</f>
        <v>0.96</v>
      </c>
      <c r="E105" s="132"/>
      <c r="F105" s="132">
        <v>2.2000000000000002</v>
      </c>
      <c r="G105" s="136">
        <f t="shared" ref="G105:G135" si="9">PRODUCT(C105:F105)</f>
        <v>4.2240000000000002</v>
      </c>
      <c r="H105" s="132"/>
      <c r="I105" s="132"/>
      <c r="J105" s="132"/>
      <c r="K105" s="133"/>
    </row>
    <row r="106" spans="1:11">
      <c r="A106" s="129"/>
      <c r="B106" s="146"/>
      <c r="C106" s="135">
        <v>2</v>
      </c>
      <c r="D106" s="132">
        <v>4</v>
      </c>
      <c r="E106" s="132"/>
      <c r="F106" s="132">
        <v>1.39</v>
      </c>
      <c r="G106" s="136">
        <f t="shared" si="9"/>
        <v>11.12</v>
      </c>
      <c r="H106" s="132"/>
      <c r="I106" s="132"/>
      <c r="J106" s="132"/>
      <c r="K106" s="133"/>
    </row>
    <row r="107" spans="1:11">
      <c r="A107" s="129"/>
      <c r="B107" s="146"/>
      <c r="C107" s="135">
        <v>2</v>
      </c>
      <c r="D107" s="132">
        <f>0.48*2</f>
        <v>0.96</v>
      </c>
      <c r="E107" s="132"/>
      <c r="F107" s="132">
        <v>2.2000000000000002</v>
      </c>
      <c r="G107" s="136">
        <f t="shared" si="9"/>
        <v>4.2240000000000002</v>
      </c>
      <c r="H107" s="132"/>
      <c r="I107" s="132"/>
      <c r="J107" s="132"/>
      <c r="K107" s="133"/>
    </row>
    <row r="108" spans="1:11">
      <c r="A108" s="129"/>
      <c r="B108" s="146"/>
      <c r="C108" s="135">
        <v>2</v>
      </c>
      <c r="D108" s="132">
        <v>3.91</v>
      </c>
      <c r="E108" s="132"/>
      <c r="F108" s="132">
        <v>1.3</v>
      </c>
      <c r="G108" s="136">
        <f t="shared" si="9"/>
        <v>10.166</v>
      </c>
      <c r="H108" s="132"/>
      <c r="I108" s="132"/>
      <c r="J108" s="132"/>
      <c r="K108" s="133"/>
    </row>
    <row r="109" spans="1:11">
      <c r="A109" s="129"/>
      <c r="B109" s="146"/>
      <c r="C109" s="135">
        <v>2</v>
      </c>
      <c r="D109" s="132">
        <f>0.48*2</f>
        <v>0.96</v>
      </c>
      <c r="E109" s="132"/>
      <c r="F109" s="132">
        <v>2.31</v>
      </c>
      <c r="G109" s="136">
        <f t="shared" si="9"/>
        <v>4.4352</v>
      </c>
      <c r="H109" s="132"/>
      <c r="I109" s="132"/>
      <c r="J109" s="132"/>
      <c r="K109" s="133"/>
    </row>
    <row r="110" spans="1:11">
      <c r="A110" s="129"/>
      <c r="B110" s="146"/>
      <c r="C110" s="135">
        <v>2</v>
      </c>
      <c r="D110" s="132">
        <v>3.96</v>
      </c>
      <c r="E110" s="132"/>
      <c r="F110" s="132">
        <v>1.37</v>
      </c>
      <c r="G110" s="136">
        <f t="shared" si="9"/>
        <v>10.8504</v>
      </c>
      <c r="H110" s="132"/>
      <c r="I110" s="132"/>
      <c r="J110" s="132"/>
      <c r="K110" s="133"/>
    </row>
    <row r="111" spans="1:11">
      <c r="A111" s="129"/>
      <c r="B111" s="146"/>
      <c r="C111" s="135">
        <v>2</v>
      </c>
      <c r="D111" s="132">
        <f>0.48*2</f>
        <v>0.96</v>
      </c>
      <c r="E111" s="132"/>
      <c r="F111" s="132">
        <v>2.29</v>
      </c>
      <c r="G111" s="136">
        <f t="shared" si="9"/>
        <v>4.3967999999999998</v>
      </c>
      <c r="H111" s="132"/>
      <c r="I111" s="132"/>
      <c r="J111" s="132"/>
      <c r="K111" s="133"/>
    </row>
    <row r="112" spans="1:11">
      <c r="A112" s="129"/>
      <c r="B112" s="146"/>
      <c r="C112" s="135">
        <v>2</v>
      </c>
      <c r="D112" s="132">
        <v>3.875</v>
      </c>
      <c r="E112" s="132"/>
      <c r="F112" s="132">
        <v>1.2649999999999999</v>
      </c>
      <c r="G112" s="136">
        <f t="shared" si="9"/>
        <v>9.8037499999999991</v>
      </c>
      <c r="H112" s="132"/>
      <c r="I112" s="132"/>
      <c r="J112" s="132"/>
      <c r="K112" s="133"/>
    </row>
    <row r="113" spans="1:11">
      <c r="A113" s="129"/>
      <c r="B113" s="146"/>
      <c r="C113" s="135">
        <v>2</v>
      </c>
      <c r="D113" s="132">
        <f>0.48*2</f>
        <v>0.96</v>
      </c>
      <c r="E113" s="132"/>
      <c r="F113" s="132">
        <v>2.19</v>
      </c>
      <c r="G113" s="136">
        <f t="shared" si="9"/>
        <v>4.2047999999999996</v>
      </c>
      <c r="H113" s="132"/>
      <c r="I113" s="132"/>
      <c r="J113" s="132"/>
      <c r="K113" s="133"/>
    </row>
    <row r="114" spans="1:11">
      <c r="A114" s="129"/>
      <c r="B114" s="146"/>
      <c r="C114" s="135">
        <v>2</v>
      </c>
      <c r="D114" s="132">
        <v>3.69</v>
      </c>
      <c r="E114" s="132"/>
      <c r="F114" s="132">
        <v>1.28</v>
      </c>
      <c r="G114" s="136">
        <f t="shared" si="9"/>
        <v>9.4464000000000006</v>
      </c>
      <c r="H114" s="132"/>
      <c r="I114" s="132"/>
      <c r="J114" s="132"/>
      <c r="K114" s="133"/>
    </row>
    <row r="115" spans="1:11">
      <c r="A115" s="129"/>
      <c r="B115" s="146"/>
      <c r="C115" s="135">
        <v>2</v>
      </c>
      <c r="D115" s="132">
        <f>0.48*2</f>
        <v>0.96</v>
      </c>
      <c r="E115" s="132"/>
      <c r="F115" s="132">
        <v>2.19</v>
      </c>
      <c r="G115" s="136">
        <f t="shared" si="9"/>
        <v>4.2047999999999996</v>
      </c>
      <c r="H115" s="132"/>
      <c r="I115" s="132"/>
      <c r="J115" s="132"/>
      <c r="K115" s="133"/>
    </row>
    <row r="116" spans="1:11">
      <c r="A116" s="129"/>
      <c r="B116" s="146"/>
      <c r="C116" s="135">
        <v>2</v>
      </c>
      <c r="D116" s="132">
        <f>1.73+2.44</f>
        <v>4.17</v>
      </c>
      <c r="E116" s="132"/>
      <c r="F116" s="132">
        <v>1.1200000000000001</v>
      </c>
      <c r="G116" s="136">
        <f t="shared" si="9"/>
        <v>9.3408000000000015</v>
      </c>
      <c r="H116" s="132"/>
      <c r="I116" s="132"/>
      <c r="J116" s="132"/>
      <c r="K116" s="133"/>
    </row>
    <row r="117" spans="1:11">
      <c r="A117" s="129"/>
      <c r="B117" s="146"/>
      <c r="C117" s="135">
        <v>2</v>
      </c>
      <c r="D117" s="132">
        <f>0.34*2</f>
        <v>0.68</v>
      </c>
      <c r="E117" s="132"/>
      <c r="F117" s="132">
        <v>2.2599999999999998</v>
      </c>
      <c r="G117" s="136">
        <f t="shared" si="9"/>
        <v>3.0735999999999999</v>
      </c>
      <c r="H117" s="132"/>
      <c r="I117" s="132"/>
      <c r="J117" s="132"/>
      <c r="K117" s="133"/>
    </row>
    <row r="118" spans="1:11">
      <c r="A118" s="129"/>
      <c r="B118" s="146"/>
      <c r="C118" s="135">
        <v>2</v>
      </c>
      <c r="D118" s="132">
        <f>0.34*2</f>
        <v>0.68</v>
      </c>
      <c r="E118" s="132"/>
      <c r="F118" s="132">
        <v>2.15</v>
      </c>
      <c r="G118" s="136">
        <f t="shared" si="9"/>
        <v>2.9239999999999999</v>
      </c>
      <c r="H118" s="132"/>
      <c r="I118" s="132"/>
      <c r="J118" s="132"/>
      <c r="K118" s="133"/>
    </row>
    <row r="119" spans="1:11">
      <c r="A119" s="129"/>
      <c r="B119" s="146"/>
      <c r="C119" s="135">
        <v>2</v>
      </c>
      <c r="D119" s="132">
        <v>2.5</v>
      </c>
      <c r="E119" s="132"/>
      <c r="F119" s="132">
        <v>1.1599999999999999</v>
      </c>
      <c r="G119" s="136">
        <f t="shared" si="9"/>
        <v>5.8</v>
      </c>
      <c r="H119" s="132"/>
      <c r="I119" s="132"/>
      <c r="J119" s="132"/>
      <c r="K119" s="133"/>
    </row>
    <row r="120" spans="1:11">
      <c r="A120" s="129"/>
      <c r="B120" s="146"/>
      <c r="C120" s="135">
        <v>2</v>
      </c>
      <c r="D120" s="132">
        <f>0.48*2</f>
        <v>0.96</v>
      </c>
      <c r="E120" s="132"/>
      <c r="F120" s="132">
        <v>2.1800000000000002</v>
      </c>
      <c r="G120" s="136">
        <f t="shared" si="9"/>
        <v>4.1856</v>
      </c>
      <c r="H120" s="132"/>
      <c r="I120" s="132"/>
      <c r="J120" s="132"/>
      <c r="K120" s="133"/>
    </row>
    <row r="121" spans="1:11">
      <c r="A121" s="129"/>
      <c r="B121" s="146"/>
      <c r="C121" s="135">
        <v>2</v>
      </c>
      <c r="D121" s="132">
        <v>3.94</v>
      </c>
      <c r="E121" s="132"/>
      <c r="F121" s="132">
        <v>1.2</v>
      </c>
      <c r="G121" s="136">
        <f t="shared" si="9"/>
        <v>9.4559999999999995</v>
      </c>
      <c r="H121" s="132"/>
      <c r="I121" s="132"/>
      <c r="J121" s="132"/>
      <c r="K121" s="133"/>
    </row>
    <row r="122" spans="1:11">
      <c r="A122" s="129"/>
      <c r="B122" s="146"/>
      <c r="C122" s="135">
        <v>2</v>
      </c>
      <c r="D122" s="132">
        <f>0.48*2</f>
        <v>0.96</v>
      </c>
      <c r="E122" s="132"/>
      <c r="F122" s="132">
        <v>2.15</v>
      </c>
      <c r="G122" s="136">
        <f t="shared" si="9"/>
        <v>4.1280000000000001</v>
      </c>
      <c r="H122" s="132"/>
      <c r="I122" s="132"/>
      <c r="J122" s="132"/>
      <c r="K122" s="133"/>
    </row>
    <row r="123" spans="1:11">
      <c r="A123" s="129"/>
      <c r="B123" s="146"/>
      <c r="C123" s="135">
        <v>2</v>
      </c>
      <c r="D123" s="132">
        <v>4</v>
      </c>
      <c r="E123" s="132"/>
      <c r="F123" s="132">
        <v>1.1499999999999999</v>
      </c>
      <c r="G123" s="136">
        <f t="shared" si="9"/>
        <v>9.1999999999999993</v>
      </c>
      <c r="H123" s="132"/>
      <c r="I123" s="132"/>
      <c r="J123" s="132"/>
      <c r="K123" s="133"/>
    </row>
    <row r="124" spans="1:11">
      <c r="A124" s="129"/>
      <c r="B124" s="146"/>
      <c r="C124" s="135">
        <v>2</v>
      </c>
      <c r="D124" s="132">
        <f>0.48*2</f>
        <v>0.96</v>
      </c>
      <c r="E124" s="132"/>
      <c r="F124" s="132">
        <v>2.08</v>
      </c>
      <c r="G124" s="136">
        <f t="shared" si="9"/>
        <v>3.9935999999999998</v>
      </c>
      <c r="H124" s="132"/>
      <c r="I124" s="132"/>
      <c r="J124" s="132"/>
      <c r="K124" s="133"/>
    </row>
    <row r="125" spans="1:11">
      <c r="A125" s="129"/>
      <c r="B125" s="146"/>
      <c r="C125" s="135">
        <v>2</v>
      </c>
      <c r="D125" s="132">
        <v>3.97</v>
      </c>
      <c r="E125" s="132"/>
      <c r="F125" s="132">
        <v>1.25</v>
      </c>
      <c r="G125" s="136">
        <f t="shared" si="9"/>
        <v>9.9250000000000007</v>
      </c>
      <c r="H125" s="132"/>
      <c r="I125" s="132"/>
      <c r="J125" s="132"/>
      <c r="K125" s="133"/>
    </row>
    <row r="126" spans="1:11">
      <c r="A126" s="129"/>
      <c r="B126" s="146"/>
      <c r="C126" s="135">
        <v>2</v>
      </c>
      <c r="D126" s="132">
        <f>0.48*2</f>
        <v>0.96</v>
      </c>
      <c r="E126" s="132"/>
      <c r="F126" s="132">
        <v>2.25</v>
      </c>
      <c r="G126" s="136">
        <f t="shared" si="9"/>
        <v>4.32</v>
      </c>
      <c r="H126" s="132"/>
      <c r="I126" s="132"/>
      <c r="J126" s="132"/>
      <c r="K126" s="133"/>
    </row>
    <row r="127" spans="1:11">
      <c r="A127" s="129"/>
      <c r="B127" s="146"/>
      <c r="C127" s="135">
        <v>2</v>
      </c>
      <c r="D127" s="132">
        <v>4</v>
      </c>
      <c r="E127" s="132"/>
      <c r="F127" s="132">
        <v>1.23</v>
      </c>
      <c r="G127" s="136">
        <f t="shared" si="9"/>
        <v>9.84</v>
      </c>
      <c r="H127" s="132"/>
      <c r="I127" s="132"/>
      <c r="J127" s="132"/>
      <c r="K127" s="133"/>
    </row>
    <row r="128" spans="1:11">
      <c r="A128" s="129"/>
      <c r="B128" s="146"/>
      <c r="C128" s="135">
        <v>2</v>
      </c>
      <c r="D128" s="132">
        <f>0.48*2</f>
        <v>0.96</v>
      </c>
      <c r="E128" s="132"/>
      <c r="F128" s="132">
        <v>2.25</v>
      </c>
      <c r="G128" s="136">
        <f t="shared" si="9"/>
        <v>4.32</v>
      </c>
      <c r="H128" s="132"/>
      <c r="I128" s="132"/>
      <c r="J128" s="132"/>
      <c r="K128" s="133"/>
    </row>
    <row r="129" spans="1:11">
      <c r="A129" s="129"/>
      <c r="B129" s="146"/>
      <c r="C129" s="135">
        <v>2</v>
      </c>
      <c r="D129" s="132">
        <v>4.0599999999999996</v>
      </c>
      <c r="E129" s="132"/>
      <c r="F129" s="132">
        <v>1.32</v>
      </c>
      <c r="G129" s="136">
        <f t="shared" si="9"/>
        <v>10.718399999999999</v>
      </c>
      <c r="H129" s="132"/>
      <c r="I129" s="132"/>
      <c r="J129" s="132"/>
      <c r="K129" s="133"/>
    </row>
    <row r="130" spans="1:11">
      <c r="A130" s="129"/>
      <c r="B130" s="146"/>
      <c r="C130" s="135">
        <v>2</v>
      </c>
      <c r="D130" s="132">
        <f>0.48*2</f>
        <v>0.96</v>
      </c>
      <c r="E130" s="132"/>
      <c r="F130" s="132">
        <v>2.1800000000000002</v>
      </c>
      <c r="G130" s="136">
        <f t="shared" si="9"/>
        <v>4.1856</v>
      </c>
      <c r="H130" s="132"/>
      <c r="I130" s="132"/>
      <c r="J130" s="132"/>
      <c r="K130" s="133"/>
    </row>
    <row r="131" spans="1:11">
      <c r="A131" s="129"/>
      <c r="B131" s="146"/>
      <c r="C131" s="135">
        <v>2</v>
      </c>
      <c r="D131" s="132">
        <f>3.92</f>
        <v>3.92</v>
      </c>
      <c r="E131" s="132"/>
      <c r="F131" s="132">
        <v>1.32</v>
      </c>
      <c r="G131" s="136">
        <f t="shared" si="9"/>
        <v>10.348800000000001</v>
      </c>
      <c r="H131" s="132"/>
      <c r="I131" s="132"/>
      <c r="J131" s="132"/>
      <c r="K131" s="133"/>
    </row>
    <row r="132" spans="1:11">
      <c r="A132" s="129"/>
      <c r="B132" s="146"/>
      <c r="C132" s="135">
        <v>2</v>
      </c>
      <c r="D132" s="132">
        <f>0.48*2</f>
        <v>0.96</v>
      </c>
      <c r="E132" s="132"/>
      <c r="F132" s="132">
        <v>2.2799999999999998</v>
      </c>
      <c r="G132" s="136">
        <f t="shared" si="9"/>
        <v>4.3775999999999993</v>
      </c>
      <c r="H132" s="132"/>
      <c r="I132" s="132"/>
      <c r="J132" s="132"/>
      <c r="K132" s="133"/>
    </row>
    <row r="133" spans="1:11">
      <c r="A133" s="129"/>
      <c r="B133" s="146"/>
      <c r="C133" s="135">
        <v>2</v>
      </c>
      <c r="D133" s="132">
        <v>3.62</v>
      </c>
      <c r="E133" s="132"/>
      <c r="F133" s="132">
        <v>1.32</v>
      </c>
      <c r="G133" s="136">
        <f t="shared" si="9"/>
        <v>9.5568000000000008</v>
      </c>
      <c r="H133" s="132"/>
      <c r="I133" s="132"/>
      <c r="J133" s="132"/>
      <c r="K133" s="133"/>
    </row>
    <row r="134" spans="1:11">
      <c r="A134" s="129"/>
      <c r="B134" s="146"/>
      <c r="C134" s="135">
        <v>2</v>
      </c>
      <c r="D134" s="132">
        <f>0.48*2</f>
        <v>0.96</v>
      </c>
      <c r="E134" s="132"/>
      <c r="F134" s="132">
        <v>2.2000000000000002</v>
      </c>
      <c r="G134" s="136">
        <f t="shared" si="9"/>
        <v>4.2240000000000002</v>
      </c>
      <c r="H134" s="132"/>
      <c r="I134" s="132"/>
      <c r="J134" s="132"/>
      <c r="K134" s="133"/>
    </row>
    <row r="135" spans="1:11">
      <c r="A135" s="129"/>
      <c r="B135" s="146"/>
      <c r="C135" s="135">
        <f>-2*16</f>
        <v>-32</v>
      </c>
      <c r="D135" s="132">
        <v>0.23</v>
      </c>
      <c r="E135" s="132"/>
      <c r="F135" s="132">
        <v>1.35</v>
      </c>
      <c r="G135" s="136">
        <f t="shared" si="9"/>
        <v>-9.9360000000000017</v>
      </c>
      <c r="H135" s="132"/>
      <c r="I135" s="132"/>
      <c r="J135" s="132"/>
      <c r="K135" s="133"/>
    </row>
    <row r="136" spans="1:11">
      <c r="A136" s="129"/>
      <c r="B136" s="144"/>
      <c r="C136" s="135"/>
      <c r="D136" s="132"/>
      <c r="E136" s="132"/>
      <c r="F136" s="132"/>
      <c r="G136" s="132">
        <f>SUM(G104:G135)</f>
        <v>200.82485</v>
      </c>
      <c r="H136" s="132" t="s">
        <v>23</v>
      </c>
      <c r="I136" s="132">
        <v>253.8</v>
      </c>
      <c r="J136" s="132">
        <f>G136*I136</f>
        <v>50969.34693</v>
      </c>
      <c r="K136" s="133"/>
    </row>
    <row r="137" spans="1:11">
      <c r="A137" s="129"/>
      <c r="B137" s="144" t="s">
        <v>158</v>
      </c>
      <c r="C137" s="135"/>
      <c r="D137" s="132"/>
      <c r="E137" s="132"/>
      <c r="F137" s="132"/>
      <c r="G137" s="132"/>
      <c r="H137" s="132"/>
      <c r="I137" s="132"/>
      <c r="J137" s="132">
        <f>0.13*G136*2304/100</f>
        <v>601.51059071999998</v>
      </c>
      <c r="K137" s="133"/>
    </row>
    <row r="138" spans="1:11">
      <c r="A138" s="129"/>
      <c r="B138" s="144" t="s">
        <v>159</v>
      </c>
      <c r="C138" s="135"/>
      <c r="D138" s="132"/>
      <c r="E138" s="132"/>
      <c r="F138" s="132"/>
      <c r="G138" s="132"/>
      <c r="H138" s="132"/>
      <c r="I138" s="132"/>
      <c r="J138" s="132">
        <f>0.13*G136*10432/100</f>
        <v>2723.5062857600001</v>
      </c>
      <c r="K138" s="133"/>
    </row>
    <row r="139" spans="1:11">
      <c r="A139" s="129"/>
      <c r="B139" s="144"/>
      <c r="C139" s="135"/>
      <c r="D139" s="132"/>
      <c r="E139" s="132"/>
      <c r="F139" s="132"/>
      <c r="G139" s="132"/>
      <c r="H139" s="132"/>
      <c r="I139" s="132"/>
      <c r="J139" s="132"/>
      <c r="K139" s="133"/>
    </row>
    <row r="140" spans="1:11" ht="33" customHeight="1">
      <c r="A140" s="129">
        <v>15</v>
      </c>
      <c r="B140" s="145" t="s">
        <v>150</v>
      </c>
      <c r="C140" s="135">
        <v>1</v>
      </c>
      <c r="D140" s="132"/>
      <c r="E140" s="132"/>
      <c r="F140" s="132"/>
      <c r="G140" s="132">
        <v>1</v>
      </c>
      <c r="H140" s="132" t="s">
        <v>151</v>
      </c>
      <c r="I140" s="136">
        <v>5000</v>
      </c>
      <c r="J140" s="136">
        <f>G140*I140</f>
        <v>5000</v>
      </c>
      <c r="K140" s="133"/>
    </row>
    <row r="141" spans="1:11">
      <c r="A141" s="129"/>
      <c r="B141" s="151"/>
      <c r="C141" s="135"/>
      <c r="D141" s="132"/>
      <c r="E141" s="132"/>
      <c r="F141" s="136"/>
      <c r="G141" s="132"/>
      <c r="H141" s="132"/>
      <c r="I141" s="136"/>
      <c r="J141" s="136"/>
      <c r="K141" s="133"/>
    </row>
    <row r="142" spans="1:11" ht="33" customHeight="1">
      <c r="A142" s="129">
        <v>16</v>
      </c>
      <c r="B142" s="145" t="s">
        <v>89</v>
      </c>
      <c r="C142" s="135">
        <v>1</v>
      </c>
      <c r="D142" s="132"/>
      <c r="E142" s="132"/>
      <c r="F142" s="132"/>
      <c r="G142" s="132">
        <v>1</v>
      </c>
      <c r="H142" s="132" t="s">
        <v>34</v>
      </c>
      <c r="I142" s="136">
        <v>500</v>
      </c>
      <c r="J142" s="136">
        <f>G142*I142</f>
        <v>500</v>
      </c>
      <c r="K142" s="133"/>
    </row>
    <row r="143" spans="1:11">
      <c r="A143" s="152"/>
      <c r="B143" s="153"/>
      <c r="C143" s="132"/>
      <c r="D143" s="136"/>
      <c r="E143" s="136"/>
      <c r="F143" s="136"/>
      <c r="G143" s="136"/>
      <c r="H143" s="132"/>
      <c r="I143" s="136"/>
      <c r="J143" s="154">
        <f>SUM(J12:J142)</f>
        <v>514980.85521937197</v>
      </c>
      <c r="K143" s="155"/>
    </row>
    <row r="144" spans="1:11">
      <c r="A144" s="156"/>
      <c r="B144" s="157"/>
      <c r="C144" s="117"/>
      <c r="D144" s="117"/>
      <c r="E144" s="117"/>
      <c r="F144" s="117"/>
      <c r="G144" s="117"/>
      <c r="H144" s="117"/>
      <c r="I144" s="117"/>
      <c r="J144" s="158"/>
      <c r="K144" s="159"/>
    </row>
    <row r="145" spans="1:11">
      <c r="A145" s="156"/>
      <c r="B145" s="127" t="s">
        <v>12</v>
      </c>
      <c r="C145" s="174" t="s">
        <v>71</v>
      </c>
      <c r="D145" s="174"/>
      <c r="E145" s="127" t="s">
        <v>72</v>
      </c>
      <c r="F145" s="160"/>
      <c r="G145" s="161"/>
      <c r="H145" s="160"/>
      <c r="I145" s="161"/>
      <c r="J145" s="160"/>
      <c r="K145" s="160"/>
    </row>
    <row r="146" spans="1:11">
      <c r="A146" s="156"/>
      <c r="B146" s="131" t="s">
        <v>13</v>
      </c>
      <c r="C146" s="172">
        <f>+J143</f>
        <v>514980.85521937197</v>
      </c>
      <c r="D146" s="172"/>
      <c r="E146" s="162"/>
      <c r="F146" s="160"/>
      <c r="G146" s="163"/>
      <c r="H146" s="160"/>
      <c r="I146" s="161"/>
      <c r="J146" s="160"/>
      <c r="K146" s="160"/>
    </row>
    <row r="147" spans="1:11">
      <c r="A147" s="156"/>
      <c r="B147" s="131" t="s">
        <v>14</v>
      </c>
      <c r="C147" s="172">
        <v>450000</v>
      </c>
      <c r="D147" s="172"/>
      <c r="E147" s="164">
        <v>100</v>
      </c>
      <c r="F147" s="160"/>
      <c r="G147" s="163"/>
      <c r="H147" s="160"/>
      <c r="I147" s="161"/>
      <c r="J147" s="160"/>
      <c r="K147" s="160"/>
    </row>
    <row r="148" spans="1:11">
      <c r="A148" s="156"/>
      <c r="B148" s="131" t="s">
        <v>19</v>
      </c>
      <c r="C148" s="172">
        <f>0.95*C147</f>
        <v>427500</v>
      </c>
      <c r="D148" s="172"/>
      <c r="E148" s="165">
        <f>C148/C146*100</f>
        <v>83.012794682997139</v>
      </c>
      <c r="F148" s="160"/>
      <c r="G148" s="163"/>
      <c r="H148" s="160"/>
      <c r="I148" s="161"/>
      <c r="J148" s="160"/>
      <c r="K148" s="160"/>
    </row>
    <row r="149" spans="1:11">
      <c r="A149" s="156"/>
      <c r="B149" s="131" t="s">
        <v>15</v>
      </c>
      <c r="C149" s="172">
        <f>C146-C148</f>
        <v>87480.855219371966</v>
      </c>
      <c r="D149" s="172"/>
      <c r="E149" s="165">
        <f>C149/C147*100</f>
        <v>19.440190048749326</v>
      </c>
      <c r="F149" s="160"/>
      <c r="G149" s="163"/>
      <c r="H149" s="160"/>
      <c r="I149" s="161"/>
      <c r="J149" s="160"/>
      <c r="K149" s="160"/>
    </row>
    <row r="150" spans="1:11">
      <c r="A150" s="156"/>
      <c r="B150" s="131" t="s">
        <v>20</v>
      </c>
      <c r="C150" s="172">
        <f>E150*C147/100</f>
        <v>9000</v>
      </c>
      <c r="D150" s="172"/>
      <c r="E150" s="165">
        <v>2</v>
      </c>
      <c r="F150" s="160"/>
      <c r="G150" s="163"/>
      <c r="H150" s="160"/>
      <c r="I150" s="161"/>
      <c r="J150" s="160"/>
      <c r="K150" s="160"/>
    </row>
    <row r="151" spans="1:11">
      <c r="A151" s="156"/>
      <c r="B151" s="131" t="s">
        <v>21</v>
      </c>
      <c r="C151" s="173">
        <f>E151*C147/100</f>
        <v>13500</v>
      </c>
      <c r="D151" s="173"/>
      <c r="E151" s="165">
        <v>3</v>
      </c>
      <c r="F151" s="160"/>
      <c r="G151" s="166"/>
      <c r="H151" s="160"/>
      <c r="I151" s="161"/>
      <c r="J151" s="160"/>
      <c r="K151" s="160"/>
    </row>
    <row r="152" spans="1:11">
      <c r="F152" s="62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150:D150"/>
    <mergeCell ref="C151:D151"/>
    <mergeCell ref="C145:D145"/>
    <mergeCell ref="C146:D146"/>
    <mergeCell ref="C147:D147"/>
    <mergeCell ref="C148:D148"/>
    <mergeCell ref="C149:D149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0">
        <v>152</v>
      </c>
      <c r="B1" s="192" t="s">
        <v>106</v>
      </c>
      <c r="C1" s="193"/>
      <c r="D1" s="193"/>
      <c r="E1" s="193"/>
      <c r="F1" s="193"/>
      <c r="G1" s="193"/>
      <c r="H1" s="193"/>
    </row>
    <row r="2" spans="1:8" ht="15.75">
      <c r="A2" s="91" t="s">
        <v>107</v>
      </c>
      <c r="B2" s="194" t="s">
        <v>108</v>
      </c>
      <c r="C2" s="195"/>
      <c r="D2" s="195"/>
      <c r="E2" s="195"/>
      <c r="F2" s="195"/>
      <c r="G2" s="195"/>
      <c r="H2" s="195"/>
    </row>
    <row r="3" spans="1:8" ht="31.5">
      <c r="A3" s="92"/>
      <c r="B3" s="93" t="s">
        <v>109</v>
      </c>
      <c r="C3" s="93" t="s">
        <v>110</v>
      </c>
      <c r="D3" s="93" t="s">
        <v>111</v>
      </c>
      <c r="E3" s="93" t="s">
        <v>112</v>
      </c>
      <c r="F3" s="93" t="s">
        <v>113</v>
      </c>
      <c r="G3" s="93" t="s">
        <v>114</v>
      </c>
      <c r="H3" s="93" t="s">
        <v>115</v>
      </c>
    </row>
    <row r="4" spans="1:8" ht="16.5">
      <c r="A4" s="92"/>
      <c r="B4" s="196" t="s">
        <v>116</v>
      </c>
      <c r="C4" s="94" t="s">
        <v>117</v>
      </c>
      <c r="D4" s="95">
        <v>0.5</v>
      </c>
      <c r="E4" s="96" t="s">
        <v>118</v>
      </c>
      <c r="F4" s="97">
        <v>1245</v>
      </c>
      <c r="G4" s="97">
        <f>FLOOR(D4*F4,0.01)</f>
        <v>622.5</v>
      </c>
      <c r="H4" s="98"/>
    </row>
    <row r="5" spans="1:8" ht="16.5">
      <c r="A5" s="92"/>
      <c r="B5" s="197"/>
      <c r="C5" s="99" t="s">
        <v>119</v>
      </c>
      <c r="D5" s="100">
        <v>1</v>
      </c>
      <c r="E5" s="99" t="s">
        <v>118</v>
      </c>
      <c r="F5" s="101">
        <v>935</v>
      </c>
      <c r="G5" s="101">
        <f>FLOOR(D5*F5,0.01)</f>
        <v>935</v>
      </c>
      <c r="H5" s="102">
        <f>SUM(G4+G5)</f>
        <v>1557.5</v>
      </c>
    </row>
    <row r="6" spans="1:8" ht="16.5">
      <c r="A6" s="92"/>
      <c r="B6" s="198" t="s">
        <v>120</v>
      </c>
      <c r="C6" s="96" t="s">
        <v>121</v>
      </c>
      <c r="D6" s="95">
        <f>420*0</f>
        <v>0</v>
      </c>
      <c r="E6" s="96" t="s">
        <v>122</v>
      </c>
      <c r="F6" s="103">
        <v>15.145</v>
      </c>
      <c r="G6" s="104">
        <f>FLOOR(D6*F6,0.01)</f>
        <v>0</v>
      </c>
      <c r="H6" s="98"/>
    </row>
    <row r="7" spans="1:8" ht="16.5">
      <c r="A7" s="92"/>
      <c r="B7" s="199"/>
      <c r="C7" s="99" t="s">
        <v>123</v>
      </c>
      <c r="D7" s="100">
        <f>0.71*0</f>
        <v>0</v>
      </c>
      <c r="E7" s="99" t="s">
        <v>124</v>
      </c>
      <c r="F7" s="101">
        <v>3177.9</v>
      </c>
      <c r="G7" s="101">
        <f>FLOOR(D7*F7,0.01)</f>
        <v>0</v>
      </c>
      <c r="H7" s="105">
        <f>SUM(G6:G7)</f>
        <v>0</v>
      </c>
    </row>
    <row r="8" spans="1:8" ht="16.5">
      <c r="A8" s="92"/>
      <c r="B8" s="92"/>
      <c r="C8" s="92"/>
      <c r="D8" s="92"/>
      <c r="E8" s="92"/>
      <c r="F8" s="106" t="s">
        <v>125</v>
      </c>
      <c r="G8" s="107"/>
      <c r="H8" s="101">
        <f>SUM(H7,H5)</f>
        <v>1557.5</v>
      </c>
    </row>
    <row r="9" spans="1:8" ht="16.5">
      <c r="A9" s="92"/>
      <c r="B9" s="92" t="s">
        <v>126</v>
      </c>
      <c r="C9" s="92"/>
      <c r="D9" s="92"/>
      <c r="E9" s="92"/>
      <c r="F9" s="106" t="s">
        <v>127</v>
      </c>
      <c r="G9" s="107"/>
      <c r="H9" s="108">
        <f>FLOOR(H8*0.15,0.01)</f>
        <v>233.62</v>
      </c>
    </row>
    <row r="10" spans="1:8" ht="16.5">
      <c r="A10" s="109"/>
      <c r="B10" s="110">
        <f>+H10</f>
        <v>1791.12</v>
      </c>
      <c r="C10" s="111" t="s">
        <v>128</v>
      </c>
      <c r="D10" s="108">
        <f>INT(B10/B11*100)/100</f>
        <v>179.11</v>
      </c>
      <c r="E10" s="92" t="s">
        <v>129</v>
      </c>
      <c r="F10" s="106" t="s">
        <v>130</v>
      </c>
      <c r="G10" s="107"/>
      <c r="H10" s="108">
        <f>SUM(H8:H9)</f>
        <v>1791.12</v>
      </c>
    </row>
    <row r="11" spans="1:8" ht="15.75">
      <c r="A11" s="92"/>
      <c r="B11" s="112">
        <v>10</v>
      </c>
      <c r="C11" s="92"/>
      <c r="D11" s="92"/>
      <c r="E11" s="92"/>
      <c r="F11" s="92"/>
      <c r="G11" s="92"/>
      <c r="H11" s="92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tabSelected="1"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121" customWidth="1"/>
    <col min="2" max="2" width="30.5703125" style="8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77" t="s">
        <v>11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61"/>
    </row>
    <row r="2" spans="1:12" ht="20.25">
      <c r="A2" s="178" t="s">
        <v>16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0"/>
    </row>
    <row r="3" spans="1:12">
      <c r="A3" s="177" t="s">
        <v>17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61"/>
    </row>
    <row r="4" spans="1:12">
      <c r="A4" s="179" t="s">
        <v>22</v>
      </c>
      <c r="B4" s="179"/>
      <c r="C4" s="179"/>
      <c r="D4" s="179"/>
      <c r="E4" s="179"/>
      <c r="F4" s="179"/>
      <c r="G4" s="179"/>
      <c r="H4" s="179"/>
      <c r="I4" s="179"/>
      <c r="J4" s="179"/>
      <c r="K4" s="179"/>
    </row>
    <row r="5" spans="1:12" ht="20.25">
      <c r="A5" s="171" t="s">
        <v>162</v>
      </c>
      <c r="G5" s="6"/>
      <c r="J5" s="180" t="s">
        <v>101</v>
      </c>
      <c r="K5" s="180"/>
    </row>
    <row r="6" spans="1:12">
      <c r="A6" s="175" t="s">
        <v>28</v>
      </c>
      <c r="B6" s="175"/>
      <c r="C6" s="175"/>
      <c r="D6" s="175"/>
      <c r="E6" s="175"/>
      <c r="F6" s="175"/>
      <c r="G6" s="113"/>
      <c r="H6" s="176" t="s">
        <v>163</v>
      </c>
      <c r="I6" s="176"/>
      <c r="J6" s="176"/>
      <c r="K6" s="176"/>
    </row>
    <row r="7" spans="1:12">
      <c r="B7" s="5"/>
      <c r="C7" s="6"/>
      <c r="D7" s="113"/>
      <c r="E7" s="113"/>
      <c r="F7" s="113"/>
      <c r="G7" s="113"/>
      <c r="I7" s="114"/>
      <c r="J7" s="113"/>
      <c r="K7" s="8"/>
    </row>
    <row r="8" spans="1:12" s="6" customFormat="1">
      <c r="A8" s="122" t="s">
        <v>0</v>
      </c>
      <c r="B8" s="118" t="s">
        <v>1</v>
      </c>
      <c r="C8" s="115" t="s">
        <v>2</v>
      </c>
      <c r="D8" s="119" t="s">
        <v>3</v>
      </c>
      <c r="E8" s="119" t="s">
        <v>4</v>
      </c>
      <c r="F8" s="119" t="s">
        <v>5</v>
      </c>
      <c r="G8" s="116" t="s">
        <v>6</v>
      </c>
      <c r="H8" s="115" t="s">
        <v>7</v>
      </c>
      <c r="I8" s="119" t="s">
        <v>8</v>
      </c>
      <c r="J8" s="119" t="s">
        <v>9</v>
      </c>
      <c r="K8" s="120" t="s">
        <v>152</v>
      </c>
    </row>
    <row r="9" spans="1:12">
      <c r="A9" s="123" t="s">
        <v>94</v>
      </c>
      <c r="B9" s="124" t="s">
        <v>95</v>
      </c>
      <c r="C9" s="125"/>
      <c r="D9" s="126"/>
      <c r="E9" s="126"/>
      <c r="F9" s="126"/>
      <c r="G9" s="126"/>
      <c r="H9" s="127"/>
      <c r="I9" s="126"/>
      <c r="J9" s="126"/>
      <c r="K9" s="128"/>
    </row>
    <row r="10" spans="1:12" ht="30.75">
      <c r="A10" s="129">
        <v>1</v>
      </c>
      <c r="B10" s="167" t="s">
        <v>103</v>
      </c>
      <c r="C10" s="131"/>
      <c r="D10" s="131"/>
      <c r="E10" s="131"/>
      <c r="F10" s="131"/>
      <c r="G10" s="131"/>
      <c r="H10" s="132"/>
      <c r="I10" s="132"/>
      <c r="J10" s="132"/>
      <c r="K10" s="133"/>
    </row>
    <row r="11" spans="1:12">
      <c r="A11" s="129"/>
      <c r="B11" s="134" t="s">
        <v>153</v>
      </c>
      <c r="C11" s="135">
        <v>1</v>
      </c>
      <c r="D11" s="136">
        <v>5</v>
      </c>
      <c r="E11" s="136">
        <f>11/3.281</f>
        <v>3.3526363913441024</v>
      </c>
      <c r="F11" s="136">
        <v>7.4999999999999997E-2</v>
      </c>
      <c r="G11" s="136">
        <f>C11*D11*E11*F11</f>
        <v>1.2572386467540384</v>
      </c>
      <c r="H11" s="132"/>
      <c r="I11" s="132"/>
      <c r="J11" s="132"/>
      <c r="K11" s="133"/>
    </row>
    <row r="12" spans="1:12">
      <c r="A12" s="129"/>
      <c r="B12" s="134"/>
      <c r="C12" s="135"/>
      <c r="D12" s="136"/>
      <c r="E12" s="136"/>
      <c r="F12" s="136"/>
      <c r="G12" s="136">
        <f>SUM(G11:G11)</f>
        <v>1.2572386467540384</v>
      </c>
      <c r="H12" s="132" t="s">
        <v>24</v>
      </c>
      <c r="I12" s="132">
        <v>3740</v>
      </c>
      <c r="J12" s="132">
        <f>G12*I12</f>
        <v>4702.072538860104</v>
      </c>
      <c r="K12" s="133"/>
    </row>
    <row r="13" spans="1:12">
      <c r="A13" s="129"/>
      <c r="B13" s="130"/>
      <c r="C13" s="135"/>
      <c r="D13" s="136"/>
      <c r="E13" s="136"/>
      <c r="F13" s="136"/>
      <c r="G13" s="136"/>
      <c r="H13" s="132"/>
      <c r="I13" s="136"/>
      <c r="J13" s="136"/>
      <c r="K13" s="133"/>
    </row>
    <row r="14" spans="1:12" ht="45.75">
      <c r="A14" s="129">
        <v>2</v>
      </c>
      <c r="B14" s="167" t="s">
        <v>102</v>
      </c>
      <c r="C14" s="131"/>
      <c r="D14" s="131"/>
      <c r="E14" s="131"/>
      <c r="F14" s="131"/>
      <c r="G14" s="131"/>
      <c r="H14" s="132"/>
      <c r="I14" s="132"/>
      <c r="J14" s="132"/>
      <c r="K14" s="133"/>
    </row>
    <row r="15" spans="1:12">
      <c r="A15" s="129"/>
      <c r="B15" s="137" t="str">
        <f>B11</f>
        <v>-water tank</v>
      </c>
      <c r="C15" s="135">
        <v>2</v>
      </c>
      <c r="D15" s="136">
        <f>D11</f>
        <v>5</v>
      </c>
      <c r="E15" s="136">
        <v>0.23</v>
      </c>
      <c r="F15" s="136">
        <v>1.4</v>
      </c>
      <c r="G15" s="136">
        <f>C15*D15*F15</f>
        <v>14</v>
      </c>
      <c r="H15" s="136"/>
      <c r="I15" s="136"/>
      <c r="J15" s="136"/>
      <c r="K15" s="133"/>
    </row>
    <row r="16" spans="1:12">
      <c r="A16" s="129"/>
      <c r="B16" s="137"/>
      <c r="C16" s="135">
        <v>2</v>
      </c>
      <c r="D16" s="136">
        <f>E11-0.23*2</f>
        <v>2.8926363913441024</v>
      </c>
      <c r="E16" s="136">
        <v>0.23</v>
      </c>
      <c r="F16" s="136">
        <v>1.4</v>
      </c>
      <c r="G16" s="136">
        <f>C16*D16*F16</f>
        <v>8.0993818957634858</v>
      </c>
      <c r="H16" s="136"/>
      <c r="I16" s="136"/>
      <c r="J16" s="136"/>
      <c r="K16" s="133"/>
    </row>
    <row r="17" spans="1:11">
      <c r="A17" s="129"/>
      <c r="B17" s="137"/>
      <c r="C17" s="135">
        <v>1</v>
      </c>
      <c r="D17" s="136">
        <f>D11</f>
        <v>5</v>
      </c>
      <c r="E17" s="136">
        <v>0.23</v>
      </c>
      <c r="F17" s="136">
        <v>0.45</v>
      </c>
      <c r="G17" s="136">
        <f>C17*D17*F17</f>
        <v>2.25</v>
      </c>
      <c r="H17" s="136"/>
      <c r="I17" s="136"/>
      <c r="J17" s="136"/>
      <c r="K17" s="133"/>
    </row>
    <row r="18" spans="1:11">
      <c r="A18" s="129"/>
      <c r="B18" s="131"/>
      <c r="C18" s="135"/>
      <c r="D18" s="136"/>
      <c r="E18" s="136"/>
      <c r="F18" s="138"/>
      <c r="G18" s="136">
        <f>SUM(G15:G17)</f>
        <v>24.349381895763486</v>
      </c>
      <c r="H18" s="132" t="s">
        <v>24</v>
      </c>
      <c r="I18" s="136">
        <v>1982.2</v>
      </c>
      <c r="J18" s="136">
        <f>G18*I18</f>
        <v>48265.34479378238</v>
      </c>
      <c r="K18" s="133"/>
    </row>
    <row r="19" spans="1:11">
      <c r="A19" s="129"/>
      <c r="B19" s="139"/>
      <c r="C19" s="135"/>
      <c r="D19" s="136"/>
      <c r="E19" s="136"/>
      <c r="F19" s="138"/>
      <c r="G19" s="136"/>
      <c r="H19" s="132"/>
      <c r="I19" s="136"/>
      <c r="J19" s="136"/>
      <c r="K19" s="133"/>
    </row>
    <row r="20" spans="1:11" ht="45.75">
      <c r="A20" s="129">
        <v>3</v>
      </c>
      <c r="B20" s="168" t="s">
        <v>105</v>
      </c>
      <c r="C20" s="135"/>
      <c r="D20" s="136"/>
      <c r="E20" s="136"/>
      <c r="F20" s="138"/>
      <c r="G20" s="136"/>
      <c r="H20" s="132"/>
      <c r="I20" s="136"/>
      <c r="J20" s="136"/>
      <c r="K20" s="133"/>
    </row>
    <row r="21" spans="1:11">
      <c r="A21" s="129"/>
      <c r="B21" s="139"/>
      <c r="C21" s="135">
        <f>C11</f>
        <v>1</v>
      </c>
      <c r="D21" s="136">
        <f>D11</f>
        <v>5</v>
      </c>
      <c r="E21" s="136">
        <f>E11</f>
        <v>3.3526363913441024</v>
      </c>
      <c r="F21" s="138">
        <v>7.4999999999999997E-2</v>
      </c>
      <c r="G21" s="136">
        <f>C21*D21*E21*F21</f>
        <v>1.2572386467540384</v>
      </c>
      <c r="H21" s="132"/>
      <c r="I21" s="136"/>
      <c r="J21" s="136"/>
      <c r="K21" s="133"/>
    </row>
    <row r="22" spans="1:11">
      <c r="A22" s="129"/>
      <c r="B22" s="131"/>
      <c r="C22" s="135"/>
      <c r="D22" s="136"/>
      <c r="E22" s="136"/>
      <c r="F22" s="138"/>
      <c r="G22" s="136">
        <f>SUM(G21)</f>
        <v>1.2572386467540384</v>
      </c>
      <c r="H22" s="132" t="s">
        <v>24</v>
      </c>
      <c r="I22" s="136">
        <v>770.43</v>
      </c>
      <c r="J22" s="136">
        <f>G22*I22</f>
        <v>968.61437061871379</v>
      </c>
      <c r="K22" s="133"/>
    </row>
    <row r="23" spans="1:11">
      <c r="A23" s="129"/>
      <c r="B23" s="131"/>
      <c r="C23" s="135"/>
      <c r="D23" s="136"/>
      <c r="E23" s="136"/>
      <c r="F23" s="138"/>
      <c r="G23" s="136"/>
      <c r="H23" s="132"/>
      <c r="I23" s="136"/>
      <c r="J23" s="136"/>
      <c r="K23" s="133"/>
    </row>
    <row r="24" spans="1:11">
      <c r="A24" s="140">
        <v>4</v>
      </c>
      <c r="B24" s="169" t="s">
        <v>104</v>
      </c>
      <c r="C24" s="141"/>
      <c r="D24" s="142"/>
      <c r="E24" s="142"/>
      <c r="F24" s="138"/>
      <c r="G24" s="142"/>
      <c r="H24" s="138"/>
      <c r="I24" s="142"/>
      <c r="J24" s="142"/>
      <c r="K24" s="133"/>
    </row>
    <row r="25" spans="1:11">
      <c r="A25" s="140"/>
      <c r="B25" s="143" t="s">
        <v>132</v>
      </c>
      <c r="C25" s="141">
        <f>C17</f>
        <v>1</v>
      </c>
      <c r="D25" s="142">
        <f>D17</f>
        <v>5</v>
      </c>
      <c r="E25" s="142">
        <f>E21</f>
        <v>3.3526363913441024</v>
      </c>
      <c r="F25" s="138"/>
      <c r="G25" s="142">
        <f>PRODUCT(C25:F25)</f>
        <v>16.763181956720512</v>
      </c>
      <c r="H25" s="138"/>
      <c r="I25" s="142"/>
      <c r="J25" s="142"/>
      <c r="K25" s="133"/>
    </row>
    <row r="26" spans="1:11">
      <c r="A26" s="140"/>
      <c r="B26" s="133"/>
      <c r="C26" s="141"/>
      <c r="D26" s="142"/>
      <c r="E26" s="142"/>
      <c r="F26" s="138"/>
      <c r="G26" s="142">
        <f>SUM(G25)</f>
        <v>16.763181956720512</v>
      </c>
      <c r="H26" s="138" t="s">
        <v>23</v>
      </c>
      <c r="I26" s="142">
        <f>Sheet1!H8/10</f>
        <v>155.75</v>
      </c>
      <c r="J26" s="142">
        <f>G26*I26</f>
        <v>2610.8655897592198</v>
      </c>
      <c r="K26" s="133"/>
    </row>
    <row r="27" spans="1:11">
      <c r="A27" s="129"/>
      <c r="B27" s="131"/>
      <c r="C27" s="135"/>
      <c r="D27" s="136"/>
      <c r="E27" s="136"/>
      <c r="F27" s="138"/>
      <c r="G27" s="136"/>
      <c r="H27" s="132"/>
      <c r="I27" s="136"/>
      <c r="J27" s="136"/>
      <c r="K27" s="133"/>
    </row>
    <row r="28" spans="1:11" ht="30.75">
      <c r="A28" s="129">
        <v>5</v>
      </c>
      <c r="B28" s="167" t="s">
        <v>131</v>
      </c>
      <c r="C28" s="135"/>
      <c r="D28" s="136"/>
      <c r="E28" s="136"/>
      <c r="F28" s="136"/>
      <c r="G28" s="136"/>
      <c r="H28" s="132"/>
      <c r="I28" s="136"/>
      <c r="J28" s="136"/>
      <c r="K28" s="133"/>
    </row>
    <row r="29" spans="1:11">
      <c r="A29" s="129"/>
      <c r="B29" s="144" t="str">
        <f>B25</f>
        <v>-for flooring</v>
      </c>
      <c r="C29" s="135">
        <f>C25</f>
        <v>1</v>
      </c>
      <c r="D29" s="136">
        <f>D25</f>
        <v>5</v>
      </c>
      <c r="E29" s="136">
        <f>E25</f>
        <v>3.3526363913441024</v>
      </c>
      <c r="F29" s="136">
        <v>7.4999999999999997E-2</v>
      </c>
      <c r="G29" s="136">
        <f>C29*D29*E29*F29</f>
        <v>1.2572386467540384</v>
      </c>
      <c r="H29" s="132"/>
      <c r="I29" s="136"/>
      <c r="J29" s="136"/>
      <c r="K29" s="133"/>
    </row>
    <row r="30" spans="1:11">
      <c r="A30" s="129"/>
      <c r="B30" s="145"/>
      <c r="C30" s="135"/>
      <c r="D30" s="136"/>
      <c r="E30" s="136" t="s">
        <v>32</v>
      </c>
      <c r="F30" s="136"/>
      <c r="G30" s="136">
        <f>SUM(G29)</f>
        <v>1.2572386467540384</v>
      </c>
      <c r="H30" s="132" t="s">
        <v>24</v>
      </c>
      <c r="I30" s="136">
        <v>13351.1</v>
      </c>
      <c r="J30" s="136">
        <f>G30*I30</f>
        <v>16785.518896677844</v>
      </c>
      <c r="K30" s="133"/>
    </row>
    <row r="31" spans="1:11">
      <c r="A31" s="129"/>
      <c r="B31" s="144" t="s">
        <v>29</v>
      </c>
      <c r="C31" s="135"/>
      <c r="D31" s="136"/>
      <c r="E31" s="136"/>
      <c r="F31" s="136"/>
      <c r="G31" s="136"/>
      <c r="H31" s="132"/>
      <c r="I31" s="136"/>
      <c r="J31" s="136">
        <f>0.13*G30*4169.92</f>
        <v>681.53599512343794</v>
      </c>
      <c r="K31" s="133"/>
    </row>
    <row r="32" spans="1:11">
      <c r="A32" s="129"/>
      <c r="B32" s="144" t="s">
        <v>30</v>
      </c>
      <c r="C32" s="135"/>
      <c r="D32" s="136"/>
      <c r="E32" s="136"/>
      <c r="F32" s="136"/>
      <c r="G32" s="136"/>
      <c r="H32" s="132"/>
      <c r="I32" s="136"/>
      <c r="J32" s="136">
        <f>0.13*G30*1414.16</f>
        <v>231.13175861017984</v>
      </c>
      <c r="K32" s="133"/>
    </row>
    <row r="33" spans="1:11">
      <c r="A33" s="129"/>
      <c r="B33" s="144" t="s">
        <v>31</v>
      </c>
      <c r="C33" s="135"/>
      <c r="D33" s="136"/>
      <c r="E33" s="136"/>
      <c r="F33" s="136"/>
      <c r="G33" s="136"/>
      <c r="H33" s="132"/>
      <c r="I33" s="136"/>
      <c r="J33" s="136">
        <f>0.13*G30*(1652.5+737.97+349.56)</f>
        <v>447.83330920451084</v>
      </c>
      <c r="K33" s="133"/>
    </row>
    <row r="34" spans="1:11">
      <c r="A34" s="129"/>
      <c r="B34" s="130"/>
      <c r="C34" s="135"/>
      <c r="D34" s="136"/>
      <c r="E34" s="136"/>
      <c r="F34" s="136"/>
      <c r="G34" s="136"/>
      <c r="H34" s="132"/>
      <c r="I34" s="136"/>
      <c r="J34" s="136"/>
      <c r="K34" s="133"/>
    </row>
    <row r="35" spans="1:11" ht="30.75">
      <c r="A35" s="129">
        <v>6</v>
      </c>
      <c r="B35" s="167" t="s">
        <v>80</v>
      </c>
      <c r="C35" s="135"/>
      <c r="D35" s="136"/>
      <c r="E35" s="136"/>
      <c r="F35" s="136"/>
      <c r="G35" s="136"/>
      <c r="H35" s="132"/>
      <c r="I35" s="136"/>
      <c r="J35" s="136"/>
      <c r="K35" s="133"/>
    </row>
    <row r="36" spans="1:11">
      <c r="A36" s="129"/>
      <c r="B36" s="146" t="s">
        <v>154</v>
      </c>
      <c r="C36" s="135">
        <v>33</v>
      </c>
      <c r="D36" s="136">
        <f>(2+5.917+16.17+5.917+2)/3.281</f>
        <v>9.7543431880524238</v>
      </c>
      <c r="E36" s="136"/>
      <c r="F36" s="136">
        <f>10*10/162</f>
        <v>0.61728395061728392</v>
      </c>
      <c r="G36" s="136">
        <f>C36*D36*F36</f>
        <v>198.69958346032715</v>
      </c>
      <c r="H36" s="132"/>
      <c r="I36" s="136"/>
      <c r="J36" s="136"/>
      <c r="K36" s="133"/>
    </row>
    <row r="37" spans="1:11">
      <c r="A37" s="129"/>
      <c r="B37" s="144"/>
      <c r="C37" s="135">
        <v>32</v>
      </c>
      <c r="D37" s="136">
        <f>(2+5.5+15.667+5.5+2)/3.281</f>
        <v>9.3468454739408724</v>
      </c>
      <c r="E37" s="136"/>
      <c r="F37" s="136">
        <f>10*10/162</f>
        <v>0.61728395061728392</v>
      </c>
      <c r="G37" s="136">
        <f t="shared" ref="G37" si="0">C37*D37*F37</f>
        <v>184.62904639883203</v>
      </c>
      <c r="H37" s="132"/>
      <c r="I37" s="136"/>
      <c r="J37" s="136"/>
      <c r="K37" s="133"/>
    </row>
    <row r="38" spans="1:11">
      <c r="A38" s="129"/>
      <c r="B38" s="146" t="s">
        <v>133</v>
      </c>
      <c r="C38" s="135">
        <v>23</v>
      </c>
      <c r="D38" s="136">
        <f>(2+5.917+10.75+5.917+2)/3.281</f>
        <v>8.1024078024992381</v>
      </c>
      <c r="E38" s="136"/>
      <c r="F38" s="136">
        <f>10*10/162</f>
        <v>0.61728395061728392</v>
      </c>
      <c r="G38" s="136">
        <f>C38*D38*F38</f>
        <v>115.03418485029782</v>
      </c>
      <c r="H38" s="132"/>
      <c r="I38" s="136"/>
      <c r="J38" s="136"/>
      <c r="K38" s="133"/>
    </row>
    <row r="39" spans="1:11">
      <c r="A39" s="129"/>
      <c r="B39" s="144"/>
      <c r="C39" s="135">
        <v>22</v>
      </c>
      <c r="D39" s="136">
        <f>(2+5.5+10.25+5.5+2)/3.281</f>
        <v>7.6958244437671439</v>
      </c>
      <c r="E39" s="136"/>
      <c r="F39" s="136">
        <f>10*10/162</f>
        <v>0.61728395061728392</v>
      </c>
      <c r="G39" s="136">
        <f t="shared" ref="G39" si="1">C39*D39*F39</f>
        <v>104.51119614992416</v>
      </c>
      <c r="H39" s="132"/>
      <c r="I39" s="136"/>
      <c r="J39" s="136"/>
      <c r="K39" s="133"/>
    </row>
    <row r="40" spans="1:11">
      <c r="A40" s="129"/>
      <c r="B40" s="146" t="s">
        <v>155</v>
      </c>
      <c r="C40" s="135">
        <v>12</v>
      </c>
      <c r="D40" s="136">
        <f>(16.17+10.75+16.17+10.75)/3.281</f>
        <v>16.409631209996952</v>
      </c>
      <c r="E40" s="136"/>
      <c r="F40" s="136">
        <f>8*8/162</f>
        <v>0.39506172839506171</v>
      </c>
      <c r="G40" s="136">
        <f>C40*D40*F40</f>
        <v>77.79380721776333</v>
      </c>
      <c r="H40" s="132"/>
      <c r="I40" s="136"/>
      <c r="J40" s="136"/>
      <c r="K40" s="133"/>
    </row>
    <row r="41" spans="1:11">
      <c r="A41" s="129"/>
      <c r="B41" s="144"/>
      <c r="C41" s="135">
        <v>11</v>
      </c>
      <c r="D41" s="136">
        <f>(15.667+10.25+15.667+10.25)/3.281</f>
        <v>15.798232246266382</v>
      </c>
      <c r="E41" s="136"/>
      <c r="F41" s="136">
        <f>8*8/162</f>
        <v>0.39506172839506171</v>
      </c>
      <c r="G41" s="136">
        <f>C41*D41*F41</f>
        <v>68.654046304762545</v>
      </c>
      <c r="H41" s="132"/>
      <c r="I41" s="136"/>
      <c r="J41" s="136"/>
      <c r="K41" s="133"/>
    </row>
    <row r="42" spans="1:11">
      <c r="A42" s="129"/>
      <c r="B42" s="146" t="s">
        <v>134</v>
      </c>
      <c r="C42" s="135">
        <f>2*TRUNC((D43/0.15),0)</f>
        <v>42</v>
      </c>
      <c r="D42" s="136">
        <f>(16.17/3.281)</f>
        <v>4.928375495275831</v>
      </c>
      <c r="E42" s="136"/>
      <c r="F42" s="136">
        <f t="shared" ref="F42:F46" si="2">8*8/162</f>
        <v>0.39506172839506171</v>
      </c>
      <c r="G42" s="136">
        <f t="shared" ref="G42:G43" si="3">C42*D42*F42</f>
        <v>81.774526736428598</v>
      </c>
      <c r="H42" s="132"/>
      <c r="I42" s="136"/>
      <c r="J42" s="136"/>
      <c r="K42" s="133"/>
    </row>
    <row r="43" spans="1:11">
      <c r="A43" s="129"/>
      <c r="B43" s="144"/>
      <c r="C43" s="135">
        <f>2*TRUNC((D42/0.15),0)</f>
        <v>64</v>
      </c>
      <c r="D43" s="136">
        <f>10.75/3.281</f>
        <v>3.2764401097226452</v>
      </c>
      <c r="E43" s="136"/>
      <c r="F43" s="136">
        <f t="shared" si="2"/>
        <v>0.39506172839506171</v>
      </c>
      <c r="G43" s="136">
        <f t="shared" si="3"/>
        <v>82.841349934715765</v>
      </c>
      <c r="H43" s="132"/>
      <c r="I43" s="136"/>
      <c r="J43" s="136"/>
      <c r="K43" s="133"/>
    </row>
    <row r="44" spans="1:11">
      <c r="A44" s="129"/>
      <c r="B44" s="146" t="s">
        <v>145</v>
      </c>
      <c r="C44" s="135">
        <f>-2*5</f>
        <v>-10</v>
      </c>
      <c r="D44" s="136">
        <v>0.6</v>
      </c>
      <c r="E44" s="136"/>
      <c r="F44" s="136">
        <f t="shared" si="2"/>
        <v>0.39506172839506171</v>
      </c>
      <c r="G44" s="136">
        <f t="shared" ref="G44:G45" si="4">PRODUCT(C44:F44)</f>
        <v>-2.3703703703703702</v>
      </c>
      <c r="H44" s="132"/>
      <c r="I44" s="136"/>
      <c r="J44" s="136"/>
      <c r="K44" s="133"/>
    </row>
    <row r="45" spans="1:11">
      <c r="A45" s="129"/>
      <c r="B45" s="146"/>
      <c r="C45" s="135">
        <f>-2*5</f>
        <v>-10</v>
      </c>
      <c r="D45" s="136">
        <v>0.6</v>
      </c>
      <c r="E45" s="136"/>
      <c r="F45" s="136">
        <f t="shared" si="2"/>
        <v>0.39506172839506171</v>
      </c>
      <c r="G45" s="136">
        <f t="shared" si="4"/>
        <v>-2.3703703703703702</v>
      </c>
      <c r="H45" s="132"/>
      <c r="I45" s="136"/>
      <c r="J45" s="136"/>
      <c r="K45" s="133"/>
    </row>
    <row r="46" spans="1:11">
      <c r="A46" s="129"/>
      <c r="B46" s="146" t="s">
        <v>141</v>
      </c>
      <c r="C46" s="135">
        <f>28*2+17*2</f>
        <v>90</v>
      </c>
      <c r="D46" s="136">
        <f>(1+1.42+1)/3.281</f>
        <v>1.04236513258153</v>
      </c>
      <c r="E46" s="136"/>
      <c r="F46" s="136">
        <f t="shared" si="2"/>
        <v>0.39506172839506171</v>
      </c>
      <c r="G46" s="136">
        <f t="shared" ref="G46" si="5">C46*D46*F46</f>
        <v>37.061871380676621</v>
      </c>
      <c r="H46" s="132"/>
      <c r="I46" s="136"/>
      <c r="J46" s="136"/>
      <c r="K46" s="133"/>
    </row>
    <row r="47" spans="1:11">
      <c r="A47" s="129"/>
      <c r="B47" s="144"/>
      <c r="C47" s="135"/>
      <c r="D47" s="136"/>
      <c r="E47" s="136"/>
      <c r="F47" s="136"/>
      <c r="G47" s="136">
        <f>SUM(G36:G46)</f>
        <v>946.25887169298721</v>
      </c>
      <c r="H47" s="132" t="s">
        <v>18</v>
      </c>
      <c r="I47" s="136">
        <f>132360/1000</f>
        <v>132.36000000000001</v>
      </c>
      <c r="J47" s="147">
        <f>G47*I47</f>
        <v>125246.82425728381</v>
      </c>
      <c r="K47" s="133"/>
    </row>
    <row r="48" spans="1:11">
      <c r="A48" s="129"/>
      <c r="B48" s="144" t="s">
        <v>81</v>
      </c>
      <c r="C48" s="135"/>
      <c r="D48" s="136"/>
      <c r="E48" s="136"/>
      <c r="F48" s="136"/>
      <c r="G48" s="136"/>
      <c r="H48" s="132"/>
      <c r="I48" s="136"/>
      <c r="J48" s="136">
        <f>0.13*G47*106200/1000</f>
        <v>13064.049982593382</v>
      </c>
      <c r="K48" s="133"/>
    </row>
    <row r="49" spans="1:11">
      <c r="A49" s="129"/>
      <c r="B49" s="144"/>
      <c r="C49" s="135"/>
      <c r="D49" s="136"/>
      <c r="E49" s="136"/>
      <c r="F49" s="136"/>
      <c r="G49" s="136"/>
      <c r="H49" s="132"/>
      <c r="I49" s="136"/>
      <c r="J49" s="136"/>
      <c r="K49" s="133"/>
    </row>
    <row r="50" spans="1:11" ht="30.75">
      <c r="A50" s="129">
        <v>7</v>
      </c>
      <c r="B50" s="167" t="s">
        <v>135</v>
      </c>
      <c r="C50" s="135"/>
      <c r="D50" s="136"/>
      <c r="E50" s="136"/>
      <c r="F50" s="136"/>
      <c r="G50" s="136"/>
      <c r="H50" s="132"/>
      <c r="I50" s="136"/>
      <c r="J50" s="136"/>
      <c r="K50" s="133"/>
    </row>
    <row r="51" spans="1:11">
      <c r="A51" s="129"/>
      <c r="B51" s="146" t="s">
        <v>136</v>
      </c>
      <c r="C51" s="135">
        <v>1</v>
      </c>
      <c r="D51" s="136">
        <f>((16.42+11)*2)/3.281</f>
        <v>16.714416336482781</v>
      </c>
      <c r="E51" s="136"/>
      <c r="F51" s="136">
        <f>4.583/3.281</f>
        <v>1.3968302346845474</v>
      </c>
      <c r="G51" s="136">
        <f>PRODUCT(C51:F51)</f>
        <v>23.347202093904475</v>
      </c>
      <c r="H51" s="132"/>
      <c r="I51" s="136"/>
      <c r="J51" s="136"/>
      <c r="K51" s="133"/>
    </row>
    <row r="52" spans="1:11">
      <c r="A52" s="129"/>
      <c r="B52" s="144"/>
      <c r="C52" s="135">
        <v>1</v>
      </c>
      <c r="D52" s="136">
        <f>((15.42+10)*2)/3.281</f>
        <v>15.49527583053947</v>
      </c>
      <c r="E52" s="136"/>
      <c r="F52" s="136">
        <f>4.17/3.281</f>
        <v>1.2709539774459007</v>
      </c>
      <c r="G52" s="136">
        <f t="shared" ref="G52:G54" si="6">PRODUCT(C52:F52)</f>
        <v>19.693782448445472</v>
      </c>
      <c r="H52" s="132"/>
      <c r="I52" s="136"/>
      <c r="J52" s="136"/>
      <c r="K52" s="133"/>
    </row>
    <row r="53" spans="1:11">
      <c r="A53" s="129"/>
      <c r="B53" s="146" t="s">
        <v>137</v>
      </c>
      <c r="C53" s="135">
        <v>1</v>
      </c>
      <c r="D53" s="136">
        <f>(15.42/3.281)</f>
        <v>4.6997866504114594</v>
      </c>
      <c r="E53" s="136">
        <f>10/3.281</f>
        <v>3.047851264858275</v>
      </c>
      <c r="F53" s="136"/>
      <c r="G53" s="136">
        <f t="shared" si="6"/>
        <v>14.324250687020601</v>
      </c>
      <c r="H53" s="132"/>
      <c r="I53" s="136"/>
      <c r="J53" s="136"/>
      <c r="K53" s="133"/>
    </row>
    <row r="54" spans="1:11">
      <c r="A54" s="129"/>
      <c r="B54" s="146" t="s">
        <v>145</v>
      </c>
      <c r="C54" s="135">
        <v>-1</v>
      </c>
      <c r="D54" s="136">
        <v>0.6</v>
      </c>
      <c r="E54" s="136">
        <v>0.6</v>
      </c>
      <c r="F54" s="136"/>
      <c r="G54" s="136">
        <f t="shared" si="6"/>
        <v>-0.36</v>
      </c>
      <c r="H54" s="132"/>
      <c r="I54" s="136"/>
      <c r="J54" s="136"/>
      <c r="K54" s="133"/>
    </row>
    <row r="55" spans="1:11">
      <c r="A55" s="129"/>
      <c r="B55" s="144"/>
      <c r="C55" s="135"/>
      <c r="D55" s="136"/>
      <c r="E55" s="136"/>
      <c r="F55" s="136"/>
      <c r="G55" s="136">
        <f>SUM(G51:G54)</f>
        <v>57.005235229370548</v>
      </c>
      <c r="H55" s="132" t="s">
        <v>23</v>
      </c>
      <c r="I55" s="136">
        <v>922.71</v>
      </c>
      <c r="J55" s="136">
        <f>G55*I55</f>
        <v>52599.300598492504</v>
      </c>
      <c r="K55" s="133"/>
    </row>
    <row r="56" spans="1:11">
      <c r="A56" s="129"/>
      <c r="B56" s="144" t="s">
        <v>81</v>
      </c>
      <c r="C56" s="135"/>
      <c r="D56" s="136"/>
      <c r="E56" s="136"/>
      <c r="F56" s="136"/>
      <c r="G56" s="136"/>
      <c r="H56" s="132"/>
      <c r="I56" s="136"/>
      <c r="J56" s="136">
        <f>0.13*G55*46827.87/100</f>
        <v>3470.2638680324994</v>
      </c>
      <c r="K56" s="133"/>
    </row>
    <row r="57" spans="1:11">
      <c r="A57" s="129"/>
      <c r="B57" s="144"/>
      <c r="C57" s="135"/>
      <c r="D57" s="136"/>
      <c r="E57" s="136"/>
      <c r="F57" s="136"/>
      <c r="G57" s="136"/>
      <c r="H57" s="132"/>
      <c r="I57" s="136"/>
      <c r="J57" s="136"/>
      <c r="K57" s="133"/>
    </row>
    <row r="58" spans="1:11" ht="30.75">
      <c r="A58" s="129">
        <v>8</v>
      </c>
      <c r="B58" s="167" t="s">
        <v>142</v>
      </c>
      <c r="C58" s="135"/>
      <c r="D58" s="136"/>
      <c r="E58" s="136"/>
      <c r="F58" s="136"/>
      <c r="G58" s="136"/>
      <c r="H58" s="132"/>
      <c r="I58" s="136"/>
      <c r="J58" s="136"/>
      <c r="K58" s="133"/>
    </row>
    <row r="59" spans="1:11">
      <c r="A59" s="129"/>
      <c r="B59" s="146" t="s">
        <v>140</v>
      </c>
      <c r="C59" s="135">
        <v>2</v>
      </c>
      <c r="D59" s="136">
        <f>D25</f>
        <v>5</v>
      </c>
      <c r="E59" s="136">
        <f>E25</f>
        <v>3.3526363913441024</v>
      </c>
      <c r="F59" s="136">
        <f>0.42/3.281</f>
        <v>0.12800975312404753</v>
      </c>
      <c r="G59" s="136">
        <f>C59*D59*E59*F59</f>
        <v>4.2917015677065615</v>
      </c>
      <c r="H59" s="132"/>
      <c r="I59" s="136"/>
      <c r="J59" s="136"/>
      <c r="K59" s="133"/>
    </row>
    <row r="60" spans="1:11">
      <c r="A60" s="129"/>
      <c r="B60" s="146" t="s">
        <v>139</v>
      </c>
      <c r="C60" s="135">
        <v>2</v>
      </c>
      <c r="D60" s="136">
        <f>D59</f>
        <v>5</v>
      </c>
      <c r="E60" s="136">
        <v>0.15</v>
      </c>
      <c r="F60" s="136">
        <f>5.25/3.281</f>
        <v>1.6001219140505942</v>
      </c>
      <c r="G60" s="136">
        <f>C60*D60*E60*F60</f>
        <v>2.4001828710758915</v>
      </c>
      <c r="H60" s="132"/>
      <c r="I60" s="136"/>
      <c r="J60" s="136"/>
      <c r="K60" s="133"/>
    </row>
    <row r="61" spans="1:11">
      <c r="A61" s="129"/>
      <c r="B61" s="145"/>
      <c r="C61" s="135">
        <v>2</v>
      </c>
      <c r="D61" s="136">
        <f>10/3.281</f>
        <v>3.047851264858275</v>
      </c>
      <c r="E61" s="136">
        <v>0.15</v>
      </c>
      <c r="F61" s="136">
        <f>5.25/3.281</f>
        <v>1.6001219140505942</v>
      </c>
      <c r="G61" s="136">
        <f>C61*D61*E61*F61</f>
        <v>1.4630800798999641</v>
      </c>
      <c r="H61" s="132"/>
      <c r="I61" s="136"/>
      <c r="J61" s="136"/>
      <c r="K61" s="133"/>
    </row>
    <row r="62" spans="1:11">
      <c r="A62" s="129"/>
      <c r="B62" s="146" t="s">
        <v>138</v>
      </c>
      <c r="C62" s="135">
        <v>0.5</v>
      </c>
      <c r="D62" s="136">
        <f>(13.42*2+8*2)/3.281</f>
        <v>13.05699481865285</v>
      </c>
      <c r="E62" s="136">
        <f>1/3.281</f>
        <v>0.30478512648582745</v>
      </c>
      <c r="F62" s="136">
        <f>1/3.281</f>
        <v>0.30478512648582745</v>
      </c>
      <c r="G62" s="136">
        <f>C62*D62*E62*F62</f>
        <v>0.60645806420723891</v>
      </c>
      <c r="H62" s="132"/>
      <c r="I62" s="136"/>
      <c r="J62" s="136"/>
      <c r="K62" s="133"/>
    </row>
    <row r="63" spans="1:11">
      <c r="A63" s="129"/>
      <c r="B63" s="146" t="s">
        <v>145</v>
      </c>
      <c r="C63" s="135">
        <v>-1</v>
      </c>
      <c r="D63" s="136">
        <v>0.6</v>
      </c>
      <c r="E63" s="136">
        <v>0.6</v>
      </c>
      <c r="F63" s="136">
        <f>0.42/3.281</f>
        <v>0.12800975312404753</v>
      </c>
      <c r="G63" s="136">
        <f>C63*D63*E63*F63</f>
        <v>-4.6083511124657105E-2</v>
      </c>
      <c r="H63" s="132"/>
      <c r="I63" s="136"/>
      <c r="J63" s="136"/>
      <c r="K63" s="133"/>
    </row>
    <row r="64" spans="1:11">
      <c r="A64" s="129"/>
      <c r="B64" s="146"/>
      <c r="C64" s="135"/>
      <c r="D64" s="136"/>
      <c r="E64" s="136" t="s">
        <v>32</v>
      </c>
      <c r="F64" s="136"/>
      <c r="G64" s="136">
        <f>SUM(G59:G63)</f>
        <v>8.7153390717649994</v>
      </c>
      <c r="H64" s="132" t="s">
        <v>24</v>
      </c>
      <c r="I64" s="136">
        <v>13957.29</v>
      </c>
      <c r="J64" s="147">
        <f>G64*I64</f>
        <v>121642.51487295491</v>
      </c>
      <c r="K64" s="133"/>
    </row>
    <row r="65" spans="1:11">
      <c r="A65" s="129"/>
      <c r="B65" s="144" t="s">
        <v>29</v>
      </c>
      <c r="C65" s="135"/>
      <c r="D65" s="136"/>
      <c r="E65" s="136"/>
      <c r="F65" s="136"/>
      <c r="G65" s="136"/>
      <c r="H65" s="132"/>
      <c r="I65" s="136"/>
      <c r="J65" s="136">
        <f>0.13*G64*5212.4</f>
        <v>5905.6183390968245</v>
      </c>
      <c r="K65" s="133"/>
    </row>
    <row r="66" spans="1:11">
      <c r="A66" s="129"/>
      <c r="B66" s="144" t="s">
        <v>30</v>
      </c>
      <c r="C66" s="135"/>
      <c r="D66" s="136"/>
      <c r="E66" s="136"/>
      <c r="F66" s="136"/>
      <c r="G66" s="136"/>
      <c r="H66" s="132"/>
      <c r="I66" s="136"/>
      <c r="J66" s="136">
        <f>0.13*G64*1350.6</f>
        <v>1530.221803542355</v>
      </c>
      <c r="K66" s="133"/>
    </row>
    <row r="67" spans="1:11">
      <c r="A67" s="129"/>
      <c r="B67" s="144" t="s">
        <v>31</v>
      </c>
      <c r="C67" s="135"/>
      <c r="D67" s="136"/>
      <c r="E67" s="136"/>
      <c r="F67" s="136"/>
      <c r="G67" s="136"/>
      <c r="H67" s="132"/>
      <c r="I67" s="136"/>
      <c r="J67" s="136">
        <f>0.13*G64*(1912.03+921.59)</f>
        <v>3210.4746830695158</v>
      </c>
      <c r="K67" s="133"/>
    </row>
    <row r="68" spans="1:11">
      <c r="A68" s="129"/>
      <c r="B68" s="144" t="s">
        <v>143</v>
      </c>
      <c r="C68" s="135"/>
      <c r="D68" s="136"/>
      <c r="E68" s="136"/>
      <c r="F68" s="136"/>
      <c r="G68" s="136"/>
      <c r="H68" s="132"/>
      <c r="I68" s="136"/>
      <c r="J68" s="136">
        <f>0.13*G64*392.92</f>
        <v>445.17603365012752</v>
      </c>
      <c r="K68" s="133"/>
    </row>
    <row r="69" spans="1:11">
      <c r="A69" s="129"/>
      <c r="B69" s="144" t="s">
        <v>144</v>
      </c>
      <c r="C69" s="135"/>
      <c r="D69" s="136"/>
      <c r="E69" s="136"/>
      <c r="F69" s="136"/>
      <c r="G69" s="136"/>
      <c r="H69" s="132"/>
      <c r="I69" s="136"/>
      <c r="J69" s="136">
        <f>0.13*G64*14.15</f>
        <v>16.031866222511717</v>
      </c>
      <c r="K69" s="133"/>
    </row>
    <row r="70" spans="1:11">
      <c r="A70" s="129"/>
      <c r="B70" s="144"/>
      <c r="C70" s="135"/>
      <c r="D70" s="136"/>
      <c r="E70" s="136"/>
      <c r="F70" s="136"/>
      <c r="G70" s="136"/>
      <c r="H70" s="132"/>
      <c r="I70" s="136"/>
      <c r="J70" s="136"/>
      <c r="K70" s="133"/>
    </row>
    <row r="71" spans="1:11" ht="30.75">
      <c r="A71" s="129">
        <v>9</v>
      </c>
      <c r="B71" s="167" t="s">
        <v>78</v>
      </c>
      <c r="C71" s="135"/>
      <c r="D71" s="132"/>
      <c r="E71" s="132"/>
      <c r="F71" s="132"/>
      <c r="G71" s="136"/>
      <c r="H71" s="132"/>
      <c r="I71" s="136"/>
      <c r="J71" s="136"/>
      <c r="K71" s="133"/>
    </row>
    <row r="72" spans="1:11">
      <c r="A72" s="129"/>
      <c r="B72" s="144" t="s">
        <v>147</v>
      </c>
      <c r="C72" s="135">
        <v>2</v>
      </c>
      <c r="D72" s="132">
        <f>15.42/3.281</f>
        <v>4.6997866504114594</v>
      </c>
      <c r="E72" s="132"/>
      <c r="F72" s="132">
        <f>5.25/3.281</f>
        <v>1.6001219140505942</v>
      </c>
      <c r="G72" s="136">
        <f>C72*D72*F72</f>
        <v>15.040463221371631</v>
      </c>
      <c r="H72" s="132"/>
      <c r="I72" s="136"/>
      <c r="J72" s="136"/>
      <c r="K72" s="133"/>
    </row>
    <row r="73" spans="1:11">
      <c r="A73" s="129"/>
      <c r="B73" s="148"/>
      <c r="C73" s="135">
        <v>2</v>
      </c>
      <c r="D73" s="132">
        <f>10/3.281</f>
        <v>3.047851264858275</v>
      </c>
      <c r="E73" s="132"/>
      <c r="F73" s="132">
        <f>5.25/3.281</f>
        <v>1.6001219140505942</v>
      </c>
      <c r="G73" s="136">
        <f>C73*D73*F73</f>
        <v>9.7538671993330954</v>
      </c>
      <c r="H73" s="132"/>
      <c r="I73" s="149"/>
      <c r="J73" s="136"/>
      <c r="K73" s="133"/>
    </row>
    <row r="74" spans="1:11">
      <c r="A74" s="129"/>
      <c r="B74" s="148"/>
      <c r="C74" s="135"/>
      <c r="D74" s="136"/>
      <c r="E74" s="136"/>
      <c r="F74" s="138"/>
      <c r="G74" s="136">
        <f>SUM(G72:G73)</f>
        <v>24.794330420704725</v>
      </c>
      <c r="H74" s="132" t="s">
        <v>23</v>
      </c>
      <c r="I74" s="136">
        <v>415.5</v>
      </c>
      <c r="J74" s="136">
        <f>G74*I74</f>
        <v>10302.044289802812</v>
      </c>
      <c r="K74" s="133"/>
    </row>
    <row r="75" spans="1:11">
      <c r="A75" s="129"/>
      <c r="B75" s="144" t="s">
        <v>29</v>
      </c>
      <c r="C75" s="135"/>
      <c r="D75" s="136"/>
      <c r="E75" s="136"/>
      <c r="F75" s="138"/>
      <c r="G75" s="136"/>
      <c r="H75" s="132"/>
      <c r="I75" s="149"/>
      <c r="J75" s="136">
        <f>0.13*G74*7010.67/100</f>
        <v>225.97232898567862</v>
      </c>
      <c r="K75" s="133"/>
    </row>
    <row r="76" spans="1:11">
      <c r="A76" s="129"/>
      <c r="B76" s="144" t="s">
        <v>30</v>
      </c>
      <c r="C76" s="135"/>
      <c r="D76" s="136"/>
      <c r="E76" s="136"/>
      <c r="F76" s="138"/>
      <c r="G76" s="136"/>
      <c r="H76" s="132"/>
      <c r="I76" s="149"/>
      <c r="J76" s="136">
        <f>0.13*G74*4639.73/100</f>
        <v>149.55069828771323</v>
      </c>
      <c r="K76" s="133"/>
    </row>
    <row r="77" spans="1:11">
      <c r="A77" s="129"/>
      <c r="B77" s="144"/>
      <c r="C77" s="135"/>
      <c r="D77" s="136"/>
      <c r="E77" s="136"/>
      <c r="F77" s="138"/>
      <c r="G77" s="136"/>
      <c r="H77" s="132"/>
      <c r="I77" s="149"/>
      <c r="J77" s="136"/>
      <c r="K77" s="133"/>
    </row>
    <row r="78" spans="1:11" ht="30.75">
      <c r="A78" s="129">
        <v>10</v>
      </c>
      <c r="B78" s="167" t="s">
        <v>77</v>
      </c>
      <c r="C78" s="135"/>
      <c r="D78" s="132"/>
      <c r="E78" s="132"/>
      <c r="F78" s="136"/>
      <c r="G78" s="132"/>
      <c r="H78" s="138"/>
      <c r="I78" s="136"/>
      <c r="J78" s="132"/>
      <c r="K78" s="133"/>
    </row>
    <row r="79" spans="1:11">
      <c r="A79" s="129"/>
      <c r="B79" s="144" t="s">
        <v>146</v>
      </c>
      <c r="C79" s="135">
        <v>1</v>
      </c>
      <c r="D79" s="132">
        <f>13.42/3.281</f>
        <v>4.0902163974398045</v>
      </c>
      <c r="E79" s="132">
        <f>8/3.281</f>
        <v>2.4382810118866196</v>
      </c>
      <c r="F79" s="136"/>
      <c r="G79" s="132">
        <f>E79*D79*C79</f>
        <v>9.9730969763847703</v>
      </c>
      <c r="H79" s="138" t="s">
        <v>23</v>
      </c>
      <c r="I79" s="136">
        <v>689.98</v>
      </c>
      <c r="J79" s="132">
        <f>G79*I79</f>
        <v>6881.2374517659637</v>
      </c>
      <c r="K79" s="133"/>
    </row>
    <row r="80" spans="1:11">
      <c r="A80" s="129"/>
      <c r="B80" s="144" t="s">
        <v>29</v>
      </c>
      <c r="C80" s="135"/>
      <c r="D80" s="132"/>
      <c r="E80" s="132"/>
      <c r="F80" s="138"/>
      <c r="G80" s="132"/>
      <c r="H80" s="138"/>
      <c r="I80" s="136"/>
      <c r="J80" s="150">
        <f>0.13*G79*1694.03/10</f>
        <v>219.63143112176621</v>
      </c>
      <c r="K80" s="133"/>
    </row>
    <row r="81" spans="1:11">
      <c r="A81" s="129"/>
      <c r="B81" s="144" t="s">
        <v>30</v>
      </c>
      <c r="C81" s="135"/>
      <c r="D81" s="132"/>
      <c r="E81" s="132"/>
      <c r="F81" s="138"/>
      <c r="G81" s="132"/>
      <c r="H81" s="138"/>
      <c r="I81" s="136"/>
      <c r="J81" s="150">
        <f>0.13*G79*572.02/10</f>
        <v>74.162542121611025</v>
      </c>
      <c r="K81" s="133"/>
    </row>
    <row r="82" spans="1:11">
      <c r="A82" s="129"/>
      <c r="B82" s="144" t="s">
        <v>31</v>
      </c>
      <c r="C82" s="135"/>
      <c r="D82" s="132"/>
      <c r="E82" s="132"/>
      <c r="F82" s="138"/>
      <c r="G82" s="132"/>
      <c r="H82" s="138"/>
      <c r="I82" s="136"/>
      <c r="J82" s="150">
        <f>0.13*G79*1207.6/10</f>
        <v>156.56565481286924</v>
      </c>
      <c r="K82" s="133"/>
    </row>
    <row r="83" spans="1:11" ht="18" customHeight="1">
      <c r="A83" s="129"/>
      <c r="B83" s="144"/>
      <c r="C83" s="135"/>
      <c r="D83" s="136"/>
      <c r="E83" s="136"/>
      <c r="F83" s="138"/>
      <c r="G83" s="136"/>
      <c r="H83" s="132"/>
      <c r="I83" s="136"/>
      <c r="J83" s="136"/>
      <c r="K83" s="133"/>
    </row>
    <row r="84" spans="1:11" ht="30.75">
      <c r="A84" s="129">
        <v>11</v>
      </c>
      <c r="B84" s="167" t="s">
        <v>79</v>
      </c>
      <c r="C84" s="135"/>
      <c r="D84" s="132"/>
      <c r="E84" s="132"/>
      <c r="F84" s="132"/>
      <c r="G84" s="132"/>
      <c r="H84" s="132"/>
      <c r="I84" s="132"/>
      <c r="J84" s="132"/>
      <c r="K84" s="133"/>
    </row>
    <row r="85" spans="1:11">
      <c r="A85" s="129"/>
      <c r="B85" s="144" t="str">
        <f>B72</f>
        <v>-At shear wall</v>
      </c>
      <c r="C85" s="135">
        <f>C60</f>
        <v>2</v>
      </c>
      <c r="D85" s="132">
        <f>D72</f>
        <v>4.6997866504114594</v>
      </c>
      <c r="E85" s="132"/>
      <c r="F85" s="132">
        <f>F60+0.3+0.3</f>
        <v>2.2001219140505941</v>
      </c>
      <c r="G85" s="136">
        <f>PRODUCT(C85:F85)</f>
        <v>20.680207201865382</v>
      </c>
      <c r="H85" s="132"/>
      <c r="I85" s="132"/>
      <c r="J85" s="132"/>
      <c r="K85" s="133"/>
    </row>
    <row r="86" spans="1:11">
      <c r="A86" s="129"/>
      <c r="B86" s="144"/>
      <c r="C86" s="135">
        <f>C61</f>
        <v>2</v>
      </c>
      <c r="D86" s="132">
        <f>D73</f>
        <v>3.047851264858275</v>
      </c>
      <c r="E86" s="132"/>
      <c r="F86" s="132">
        <f>F61+0.3+0.3</f>
        <v>2.2001219140505941</v>
      </c>
      <c r="G86" s="136">
        <f t="shared" ref="G86:G87" si="7">PRODUCT(C86:F86)</f>
        <v>13.411288717163025</v>
      </c>
      <c r="H86" s="132"/>
      <c r="I86" s="132"/>
      <c r="J86" s="132"/>
      <c r="K86" s="133"/>
    </row>
    <row r="87" spans="1:11">
      <c r="A87" s="129"/>
      <c r="B87" s="146" t="s">
        <v>148</v>
      </c>
      <c r="C87" s="135">
        <v>1</v>
      </c>
      <c r="D87" s="132">
        <f>D79</f>
        <v>4.0902163974398045</v>
      </c>
      <c r="E87" s="132">
        <f>E79</f>
        <v>2.4382810118866196</v>
      </c>
      <c r="F87" s="132"/>
      <c r="G87" s="136">
        <f t="shared" si="7"/>
        <v>9.9730969763847703</v>
      </c>
      <c r="H87" s="132"/>
      <c r="I87" s="132"/>
      <c r="J87" s="132"/>
      <c r="K87" s="133"/>
    </row>
    <row r="88" spans="1:11">
      <c r="A88" s="129"/>
      <c r="B88" s="144"/>
      <c r="C88" s="135"/>
      <c r="D88" s="132"/>
      <c r="E88" s="132"/>
      <c r="F88" s="132"/>
      <c r="G88" s="132">
        <f>SUM(G85:G87)</f>
        <v>44.06459289541317</v>
      </c>
      <c r="H88" s="132" t="s">
        <v>23</v>
      </c>
      <c r="I88" s="132">
        <v>287.32</v>
      </c>
      <c r="J88" s="132">
        <f>G88*I88</f>
        <v>12660.638830710112</v>
      </c>
      <c r="K88" s="133"/>
    </row>
    <row r="89" spans="1:11">
      <c r="A89" s="129"/>
      <c r="B89" s="144" t="s">
        <v>29</v>
      </c>
      <c r="C89" s="135"/>
      <c r="D89" s="132"/>
      <c r="E89" s="132"/>
      <c r="F89" s="132"/>
      <c r="G89" s="132"/>
      <c r="H89" s="132"/>
      <c r="I89" s="132"/>
      <c r="J89" s="132">
        <f>0.13*G88*693.24/10</f>
        <v>397.11539892461093</v>
      </c>
      <c r="K89" s="133"/>
    </row>
    <row r="90" spans="1:11">
      <c r="A90" s="129"/>
      <c r="B90" s="144"/>
      <c r="C90" s="135"/>
      <c r="D90" s="132"/>
      <c r="E90" s="132"/>
      <c r="F90" s="132"/>
      <c r="G90" s="132"/>
      <c r="H90" s="132"/>
      <c r="I90" s="132"/>
      <c r="J90" s="132"/>
      <c r="K90" s="133"/>
    </row>
    <row r="91" spans="1:11">
      <c r="A91" s="129"/>
      <c r="B91" s="144"/>
      <c r="C91" s="135"/>
      <c r="D91" s="132"/>
      <c r="E91" s="132"/>
      <c r="F91" s="132"/>
      <c r="G91" s="132"/>
      <c r="H91" s="132"/>
      <c r="I91" s="132"/>
      <c r="J91" s="132"/>
      <c r="K91" s="133"/>
    </row>
    <row r="92" spans="1:11" ht="33" customHeight="1">
      <c r="A92" s="129">
        <v>12</v>
      </c>
      <c r="B92" s="148" t="s">
        <v>87</v>
      </c>
      <c r="C92" s="135">
        <v>1</v>
      </c>
      <c r="D92" s="136"/>
      <c r="E92" s="136"/>
      <c r="F92" s="138"/>
      <c r="G92" s="136">
        <f>+C92</f>
        <v>1</v>
      </c>
      <c r="H92" s="132" t="s">
        <v>34</v>
      </c>
      <c r="I92" s="136">
        <v>4659</v>
      </c>
      <c r="J92" s="136">
        <f>G92*I92</f>
        <v>4659</v>
      </c>
      <c r="K92" s="133"/>
    </row>
    <row r="93" spans="1:11">
      <c r="A93" s="129"/>
      <c r="B93" s="137" t="s">
        <v>88</v>
      </c>
      <c r="C93" s="135"/>
      <c r="D93" s="136"/>
      <c r="E93" s="136"/>
      <c r="F93" s="138"/>
      <c r="G93" s="136"/>
      <c r="H93" s="132"/>
      <c r="I93" s="136"/>
      <c r="J93" s="136">
        <f>0.13*J92</f>
        <v>605.67000000000007</v>
      </c>
      <c r="K93" s="133"/>
    </row>
    <row r="94" spans="1:11">
      <c r="A94" s="129"/>
      <c r="B94" s="148"/>
      <c r="C94" s="135"/>
      <c r="D94" s="136"/>
      <c r="E94" s="136"/>
      <c r="F94" s="138"/>
      <c r="G94" s="136"/>
      <c r="H94" s="132"/>
      <c r="I94" s="136"/>
      <c r="J94" s="136"/>
      <c r="K94" s="133"/>
    </row>
    <row r="95" spans="1:11" ht="30.75">
      <c r="A95" s="129">
        <v>13</v>
      </c>
      <c r="B95" s="167" t="s">
        <v>149</v>
      </c>
      <c r="C95" s="135"/>
      <c r="D95" s="132"/>
      <c r="E95" s="132"/>
      <c r="F95" s="132"/>
      <c r="G95" s="132"/>
      <c r="H95" s="132"/>
      <c r="I95" s="132"/>
      <c r="J95" s="132"/>
      <c r="K95" s="133"/>
    </row>
    <row r="96" spans="1:11">
      <c r="A96" s="129"/>
      <c r="B96" s="146" t="s">
        <v>146</v>
      </c>
      <c r="C96" s="135">
        <v>1</v>
      </c>
      <c r="D96" s="132">
        <f>(15.42*2+10*2)/3.281</f>
        <v>15.49527583053947</v>
      </c>
      <c r="E96" s="132"/>
      <c r="F96" s="132">
        <f>5.25/3.281</f>
        <v>1.6001219140505942</v>
      </c>
      <c r="G96" s="136">
        <f t="shared" ref="G96:G97" si="8">PRODUCT(C96:F96)</f>
        <v>24.794330420704728</v>
      </c>
      <c r="H96" s="132"/>
      <c r="I96" s="132"/>
      <c r="J96" s="132"/>
      <c r="K96" s="133"/>
    </row>
    <row r="97" spans="1:11">
      <c r="A97" s="129"/>
      <c r="B97" s="144"/>
      <c r="C97" s="135">
        <v>1</v>
      </c>
      <c r="D97" s="132">
        <f>13.42/3.281</f>
        <v>4.0902163974398045</v>
      </c>
      <c r="E97" s="132">
        <f>8/3.281</f>
        <v>2.4382810118866196</v>
      </c>
      <c r="F97" s="132"/>
      <c r="G97" s="136">
        <f t="shared" si="8"/>
        <v>9.9730969763847703</v>
      </c>
      <c r="H97" s="132"/>
      <c r="I97" s="132"/>
      <c r="J97" s="132"/>
      <c r="K97" s="133"/>
    </row>
    <row r="98" spans="1:11">
      <c r="A98" s="129"/>
      <c r="B98" s="144"/>
      <c r="C98" s="135"/>
      <c r="D98" s="132"/>
      <c r="E98" s="132"/>
      <c r="F98" s="132"/>
      <c r="G98" s="132">
        <f>SUM(G96:G97)</f>
        <v>34.767427397089499</v>
      </c>
      <c r="H98" s="132" t="s">
        <v>23</v>
      </c>
      <c r="I98" s="132">
        <v>452.86</v>
      </c>
      <c r="J98" s="132">
        <f>G98*I98</f>
        <v>15744.777171045951</v>
      </c>
      <c r="K98" s="133"/>
    </row>
    <row r="99" spans="1:11">
      <c r="A99" s="129"/>
      <c r="B99" s="144" t="s">
        <v>29</v>
      </c>
      <c r="C99" s="135"/>
      <c r="D99" s="132"/>
      <c r="E99" s="132"/>
      <c r="F99" s="132"/>
      <c r="G99" s="132"/>
      <c r="H99" s="132"/>
      <c r="I99" s="132"/>
      <c r="J99" s="132">
        <f>0.13*G98*1759.18/10</f>
        <v>795.10811806935476</v>
      </c>
      <c r="K99" s="133"/>
    </row>
    <row r="100" spans="1:11">
      <c r="A100" s="129"/>
      <c r="B100" s="144" t="s">
        <v>160</v>
      </c>
      <c r="C100" s="135"/>
      <c r="D100" s="132"/>
      <c r="E100" s="132"/>
      <c r="F100" s="132"/>
      <c r="G100" s="132"/>
      <c r="H100" s="132"/>
      <c r="I100" s="132"/>
      <c r="J100" s="132">
        <f>0.13*G98*572.02/10</f>
        <v>258.53962965588073</v>
      </c>
      <c r="K100" s="133"/>
    </row>
    <row r="101" spans="1:11">
      <c r="A101" s="129"/>
      <c r="B101" s="144" t="s">
        <v>161</v>
      </c>
      <c r="C101" s="135"/>
      <c r="D101" s="132"/>
      <c r="E101" s="132"/>
      <c r="F101" s="132"/>
      <c r="G101" s="132"/>
      <c r="H101" s="132"/>
      <c r="I101" s="132"/>
      <c r="J101" s="132">
        <f>0.13*G98*515.7/10</f>
        <v>233.08431001282776</v>
      </c>
      <c r="K101" s="133"/>
    </row>
    <row r="102" spans="1:11">
      <c r="A102" s="129"/>
      <c r="B102" s="144"/>
      <c r="C102" s="135"/>
      <c r="D102" s="132"/>
      <c r="E102" s="132"/>
      <c r="F102" s="132"/>
      <c r="G102" s="132"/>
      <c r="H102" s="132"/>
      <c r="I102" s="132"/>
      <c r="J102" s="132"/>
      <c r="K102" s="133"/>
    </row>
    <row r="103" spans="1:11" ht="30.75">
      <c r="A103" s="129">
        <v>14</v>
      </c>
      <c r="B103" s="167" t="s">
        <v>156</v>
      </c>
      <c r="C103" s="135"/>
      <c r="D103" s="132"/>
      <c r="E103" s="132"/>
      <c r="F103" s="132"/>
      <c r="G103" s="132"/>
      <c r="H103" s="132"/>
      <c r="I103" s="132"/>
      <c r="J103" s="132"/>
      <c r="K103" s="133"/>
    </row>
    <row r="104" spans="1:11">
      <c r="A104" s="129"/>
      <c r="B104" s="146" t="s">
        <v>157</v>
      </c>
      <c r="C104" s="135">
        <v>2</v>
      </c>
      <c r="D104" s="132">
        <v>3.415</v>
      </c>
      <c r="E104" s="132"/>
      <c r="F104" s="132">
        <v>1.43</v>
      </c>
      <c r="G104" s="136">
        <f>PRODUCT(C104:F104)</f>
        <v>9.7668999999999997</v>
      </c>
      <c r="H104" s="132"/>
      <c r="I104" s="132"/>
      <c r="J104" s="132"/>
      <c r="K104" s="133"/>
    </row>
    <row r="105" spans="1:11">
      <c r="A105" s="129"/>
      <c r="B105" s="146"/>
      <c r="C105" s="135">
        <v>2</v>
      </c>
      <c r="D105" s="132">
        <f>0.48*2</f>
        <v>0.96</v>
      </c>
      <c r="E105" s="132"/>
      <c r="F105" s="132">
        <v>2.2000000000000002</v>
      </c>
      <c r="G105" s="136">
        <f t="shared" ref="G105:G135" si="9">PRODUCT(C105:F105)</f>
        <v>4.2240000000000002</v>
      </c>
      <c r="H105" s="132"/>
      <c r="I105" s="132"/>
      <c r="J105" s="132"/>
      <c r="K105" s="133"/>
    </row>
    <row r="106" spans="1:11">
      <c r="A106" s="129"/>
      <c r="B106" s="146"/>
      <c r="C106" s="135">
        <v>2</v>
      </c>
      <c r="D106" s="132">
        <v>4</v>
      </c>
      <c r="E106" s="132"/>
      <c r="F106" s="132">
        <v>1.39</v>
      </c>
      <c r="G106" s="136">
        <f t="shared" si="9"/>
        <v>11.12</v>
      </c>
      <c r="H106" s="132"/>
      <c r="I106" s="132"/>
      <c r="J106" s="132"/>
      <c r="K106" s="133"/>
    </row>
    <row r="107" spans="1:11">
      <c r="A107" s="129"/>
      <c r="B107" s="146"/>
      <c r="C107" s="135">
        <v>2</v>
      </c>
      <c r="D107" s="132">
        <f>0.48*2</f>
        <v>0.96</v>
      </c>
      <c r="E107" s="132"/>
      <c r="F107" s="132">
        <v>2.2000000000000002</v>
      </c>
      <c r="G107" s="136">
        <f t="shared" si="9"/>
        <v>4.2240000000000002</v>
      </c>
      <c r="H107" s="132"/>
      <c r="I107" s="132"/>
      <c r="J107" s="132"/>
      <c r="K107" s="133"/>
    </row>
    <row r="108" spans="1:11">
      <c r="A108" s="129"/>
      <c r="B108" s="146"/>
      <c r="C108" s="135">
        <v>2</v>
      </c>
      <c r="D108" s="132">
        <v>3.91</v>
      </c>
      <c r="E108" s="132"/>
      <c r="F108" s="132">
        <v>1.3</v>
      </c>
      <c r="G108" s="136">
        <f t="shared" si="9"/>
        <v>10.166</v>
      </c>
      <c r="H108" s="132"/>
      <c r="I108" s="132"/>
      <c r="J108" s="132"/>
      <c r="K108" s="133"/>
    </row>
    <row r="109" spans="1:11">
      <c r="A109" s="129"/>
      <c r="B109" s="146"/>
      <c r="C109" s="135">
        <v>2</v>
      </c>
      <c r="D109" s="132">
        <f>0.48*2</f>
        <v>0.96</v>
      </c>
      <c r="E109" s="132"/>
      <c r="F109" s="132">
        <v>2.31</v>
      </c>
      <c r="G109" s="136">
        <f t="shared" si="9"/>
        <v>4.4352</v>
      </c>
      <c r="H109" s="132"/>
      <c r="I109" s="132"/>
      <c r="J109" s="132"/>
      <c r="K109" s="133"/>
    </row>
    <row r="110" spans="1:11">
      <c r="A110" s="129"/>
      <c r="B110" s="146"/>
      <c r="C110" s="135">
        <v>2</v>
      </c>
      <c r="D110" s="132">
        <v>3.96</v>
      </c>
      <c r="E110" s="132"/>
      <c r="F110" s="132">
        <v>1.37</v>
      </c>
      <c r="G110" s="136">
        <f t="shared" si="9"/>
        <v>10.8504</v>
      </c>
      <c r="H110" s="132"/>
      <c r="I110" s="132"/>
      <c r="J110" s="132"/>
      <c r="K110" s="133"/>
    </row>
    <row r="111" spans="1:11">
      <c r="A111" s="129"/>
      <c r="B111" s="146"/>
      <c r="C111" s="135">
        <v>2</v>
      </c>
      <c r="D111" s="132">
        <f>0.48*2</f>
        <v>0.96</v>
      </c>
      <c r="E111" s="132"/>
      <c r="F111" s="132">
        <v>2.29</v>
      </c>
      <c r="G111" s="136">
        <f t="shared" si="9"/>
        <v>4.3967999999999998</v>
      </c>
      <c r="H111" s="132"/>
      <c r="I111" s="132"/>
      <c r="J111" s="132"/>
      <c r="K111" s="133"/>
    </row>
    <row r="112" spans="1:11">
      <c r="A112" s="129"/>
      <c r="B112" s="146"/>
      <c r="C112" s="135">
        <v>2</v>
      </c>
      <c r="D112" s="132">
        <v>3.875</v>
      </c>
      <c r="E112" s="132"/>
      <c r="F112" s="132">
        <v>1.2649999999999999</v>
      </c>
      <c r="G112" s="136">
        <f t="shared" si="9"/>
        <v>9.8037499999999991</v>
      </c>
      <c r="H112" s="132"/>
      <c r="I112" s="132"/>
      <c r="J112" s="132"/>
      <c r="K112" s="133"/>
    </row>
    <row r="113" spans="1:11">
      <c r="A113" s="129"/>
      <c r="B113" s="146"/>
      <c r="C113" s="135">
        <v>2</v>
      </c>
      <c r="D113" s="132">
        <f>0.48*2</f>
        <v>0.96</v>
      </c>
      <c r="E113" s="132"/>
      <c r="F113" s="132">
        <v>2.19</v>
      </c>
      <c r="G113" s="136">
        <f t="shared" si="9"/>
        <v>4.2047999999999996</v>
      </c>
      <c r="H113" s="132"/>
      <c r="I113" s="132"/>
      <c r="J113" s="132"/>
      <c r="K113" s="133"/>
    </row>
    <row r="114" spans="1:11">
      <c r="A114" s="129"/>
      <c r="B114" s="146"/>
      <c r="C114" s="135">
        <v>2</v>
      </c>
      <c r="D114" s="132">
        <v>3.69</v>
      </c>
      <c r="E114" s="132"/>
      <c r="F114" s="132">
        <v>1.28</v>
      </c>
      <c r="G114" s="136">
        <f t="shared" si="9"/>
        <v>9.4464000000000006</v>
      </c>
      <c r="H114" s="132"/>
      <c r="I114" s="132"/>
      <c r="J114" s="132"/>
      <c r="K114" s="133"/>
    </row>
    <row r="115" spans="1:11">
      <c r="A115" s="129"/>
      <c r="B115" s="146"/>
      <c r="C115" s="135">
        <v>2</v>
      </c>
      <c r="D115" s="132">
        <f>0.48*2</f>
        <v>0.96</v>
      </c>
      <c r="E115" s="132"/>
      <c r="F115" s="132">
        <v>2.19</v>
      </c>
      <c r="G115" s="136">
        <f t="shared" si="9"/>
        <v>4.2047999999999996</v>
      </c>
      <c r="H115" s="132"/>
      <c r="I115" s="132"/>
      <c r="J115" s="132"/>
      <c r="K115" s="133"/>
    </row>
    <row r="116" spans="1:11">
      <c r="A116" s="129"/>
      <c r="B116" s="146"/>
      <c r="C116" s="135">
        <v>2</v>
      </c>
      <c r="D116" s="132">
        <f>1.73+2.44</f>
        <v>4.17</v>
      </c>
      <c r="E116" s="132"/>
      <c r="F116" s="132">
        <v>1.1200000000000001</v>
      </c>
      <c r="G116" s="136">
        <f t="shared" si="9"/>
        <v>9.3408000000000015</v>
      </c>
      <c r="H116" s="132"/>
      <c r="I116" s="132"/>
      <c r="J116" s="132"/>
      <c r="K116" s="133"/>
    </row>
    <row r="117" spans="1:11">
      <c r="A117" s="129"/>
      <c r="B117" s="146"/>
      <c r="C117" s="135">
        <v>2</v>
      </c>
      <c r="D117" s="132">
        <f>0.34*2</f>
        <v>0.68</v>
      </c>
      <c r="E117" s="132"/>
      <c r="F117" s="132">
        <v>2.2599999999999998</v>
      </c>
      <c r="G117" s="136">
        <f t="shared" si="9"/>
        <v>3.0735999999999999</v>
      </c>
      <c r="H117" s="132"/>
      <c r="I117" s="132"/>
      <c r="J117" s="132"/>
      <c r="K117" s="133"/>
    </row>
    <row r="118" spans="1:11">
      <c r="A118" s="129"/>
      <c r="B118" s="146"/>
      <c r="C118" s="135">
        <v>2</v>
      </c>
      <c r="D118" s="132">
        <f>0.34*2</f>
        <v>0.68</v>
      </c>
      <c r="E118" s="132"/>
      <c r="F118" s="132">
        <v>2.15</v>
      </c>
      <c r="G118" s="136">
        <f t="shared" si="9"/>
        <v>2.9239999999999999</v>
      </c>
      <c r="H118" s="132"/>
      <c r="I118" s="132"/>
      <c r="J118" s="132"/>
      <c r="K118" s="133"/>
    </row>
    <row r="119" spans="1:11">
      <c r="A119" s="129"/>
      <c r="B119" s="146"/>
      <c r="C119" s="135">
        <v>2</v>
      </c>
      <c r="D119" s="132">
        <v>2.5</v>
      </c>
      <c r="E119" s="132"/>
      <c r="F119" s="132">
        <v>1.1599999999999999</v>
      </c>
      <c r="G119" s="136">
        <f t="shared" si="9"/>
        <v>5.8</v>
      </c>
      <c r="H119" s="132"/>
      <c r="I119" s="132"/>
      <c r="J119" s="132"/>
      <c r="K119" s="133"/>
    </row>
    <row r="120" spans="1:11">
      <c r="A120" s="129"/>
      <c r="B120" s="146"/>
      <c r="C120" s="135">
        <v>2</v>
      </c>
      <c r="D120" s="132">
        <f>0.48*2</f>
        <v>0.96</v>
      </c>
      <c r="E120" s="132"/>
      <c r="F120" s="132">
        <v>2.1800000000000002</v>
      </c>
      <c r="G120" s="136">
        <f t="shared" si="9"/>
        <v>4.1856</v>
      </c>
      <c r="H120" s="132"/>
      <c r="I120" s="132"/>
      <c r="J120" s="132"/>
      <c r="K120" s="133"/>
    </row>
    <row r="121" spans="1:11">
      <c r="A121" s="129"/>
      <c r="B121" s="146"/>
      <c r="C121" s="135">
        <v>2</v>
      </c>
      <c r="D121" s="132">
        <v>3.94</v>
      </c>
      <c r="E121" s="132"/>
      <c r="F121" s="132">
        <v>1.2</v>
      </c>
      <c r="G121" s="136">
        <f t="shared" si="9"/>
        <v>9.4559999999999995</v>
      </c>
      <c r="H121" s="132"/>
      <c r="I121" s="132"/>
      <c r="J121" s="132"/>
      <c r="K121" s="133"/>
    </row>
    <row r="122" spans="1:11">
      <c r="A122" s="129"/>
      <c r="B122" s="146"/>
      <c r="C122" s="135">
        <v>2</v>
      </c>
      <c r="D122" s="132">
        <f>0.48*2</f>
        <v>0.96</v>
      </c>
      <c r="E122" s="132"/>
      <c r="F122" s="132">
        <v>2.15</v>
      </c>
      <c r="G122" s="136">
        <f t="shared" si="9"/>
        <v>4.1280000000000001</v>
      </c>
      <c r="H122" s="132"/>
      <c r="I122" s="132"/>
      <c r="J122" s="132"/>
      <c r="K122" s="133"/>
    </row>
    <row r="123" spans="1:11">
      <c r="A123" s="129"/>
      <c r="B123" s="146"/>
      <c r="C123" s="135">
        <v>2</v>
      </c>
      <c r="D123" s="132">
        <v>4</v>
      </c>
      <c r="E123" s="132"/>
      <c r="F123" s="132">
        <v>1.1499999999999999</v>
      </c>
      <c r="G123" s="136">
        <f t="shared" si="9"/>
        <v>9.1999999999999993</v>
      </c>
      <c r="H123" s="132"/>
      <c r="I123" s="132"/>
      <c r="J123" s="132"/>
      <c r="K123" s="133"/>
    </row>
    <row r="124" spans="1:11">
      <c r="A124" s="129"/>
      <c r="B124" s="146"/>
      <c r="C124" s="135">
        <v>2</v>
      </c>
      <c r="D124" s="132">
        <f>0.48*2</f>
        <v>0.96</v>
      </c>
      <c r="E124" s="132"/>
      <c r="F124" s="132">
        <v>2.08</v>
      </c>
      <c r="G124" s="136">
        <f t="shared" si="9"/>
        <v>3.9935999999999998</v>
      </c>
      <c r="H124" s="132"/>
      <c r="I124" s="132"/>
      <c r="J124" s="132"/>
      <c r="K124" s="133"/>
    </row>
    <row r="125" spans="1:11">
      <c r="A125" s="129"/>
      <c r="B125" s="146"/>
      <c r="C125" s="135">
        <v>2</v>
      </c>
      <c r="D125" s="132">
        <v>3.97</v>
      </c>
      <c r="E125" s="132"/>
      <c r="F125" s="132">
        <v>1.25</v>
      </c>
      <c r="G125" s="136">
        <f t="shared" si="9"/>
        <v>9.9250000000000007</v>
      </c>
      <c r="H125" s="132"/>
      <c r="I125" s="132"/>
      <c r="J125" s="132"/>
      <c r="K125" s="133"/>
    </row>
    <row r="126" spans="1:11">
      <c r="A126" s="129"/>
      <c r="B126" s="146"/>
      <c r="C126" s="135">
        <v>2</v>
      </c>
      <c r="D126" s="132">
        <f>0.48*2</f>
        <v>0.96</v>
      </c>
      <c r="E126" s="132"/>
      <c r="F126" s="132">
        <v>2.25</v>
      </c>
      <c r="G126" s="136">
        <f t="shared" si="9"/>
        <v>4.32</v>
      </c>
      <c r="H126" s="132"/>
      <c r="I126" s="132"/>
      <c r="J126" s="132"/>
      <c r="K126" s="133"/>
    </row>
    <row r="127" spans="1:11">
      <c r="A127" s="129"/>
      <c r="B127" s="146"/>
      <c r="C127" s="135">
        <v>2</v>
      </c>
      <c r="D127" s="132">
        <v>4</v>
      </c>
      <c r="E127" s="132"/>
      <c r="F127" s="132">
        <v>1.23</v>
      </c>
      <c r="G127" s="136">
        <f t="shared" si="9"/>
        <v>9.84</v>
      </c>
      <c r="H127" s="132"/>
      <c r="I127" s="132"/>
      <c r="J127" s="132"/>
      <c r="K127" s="133"/>
    </row>
    <row r="128" spans="1:11">
      <c r="A128" s="129"/>
      <c r="B128" s="146"/>
      <c r="C128" s="135">
        <v>2</v>
      </c>
      <c r="D128" s="132">
        <f>0.48*2</f>
        <v>0.96</v>
      </c>
      <c r="E128" s="132"/>
      <c r="F128" s="132">
        <v>2.25</v>
      </c>
      <c r="G128" s="136">
        <f t="shared" si="9"/>
        <v>4.32</v>
      </c>
      <c r="H128" s="132"/>
      <c r="I128" s="132"/>
      <c r="J128" s="132"/>
      <c r="K128" s="133"/>
    </row>
    <row r="129" spans="1:11">
      <c r="A129" s="129"/>
      <c r="B129" s="146"/>
      <c r="C129" s="135">
        <v>2</v>
      </c>
      <c r="D129" s="132">
        <v>4.0599999999999996</v>
      </c>
      <c r="E129" s="132"/>
      <c r="F129" s="132">
        <v>1.32</v>
      </c>
      <c r="G129" s="136">
        <f t="shared" si="9"/>
        <v>10.718399999999999</v>
      </c>
      <c r="H129" s="132"/>
      <c r="I129" s="132"/>
      <c r="J129" s="132"/>
      <c r="K129" s="133"/>
    </row>
    <row r="130" spans="1:11">
      <c r="A130" s="129"/>
      <c r="B130" s="146"/>
      <c r="C130" s="135">
        <v>2</v>
      </c>
      <c r="D130" s="132">
        <f>0.48*2</f>
        <v>0.96</v>
      </c>
      <c r="E130" s="132"/>
      <c r="F130" s="132">
        <v>2.1800000000000002</v>
      </c>
      <c r="G130" s="136">
        <f t="shared" si="9"/>
        <v>4.1856</v>
      </c>
      <c r="H130" s="132"/>
      <c r="I130" s="132"/>
      <c r="J130" s="132"/>
      <c r="K130" s="133"/>
    </row>
    <row r="131" spans="1:11">
      <c r="A131" s="129"/>
      <c r="B131" s="146"/>
      <c r="C131" s="135">
        <v>2</v>
      </c>
      <c r="D131" s="132">
        <f>3.92</f>
        <v>3.92</v>
      </c>
      <c r="E131" s="132"/>
      <c r="F131" s="132">
        <v>1.32</v>
      </c>
      <c r="G131" s="136">
        <f t="shared" si="9"/>
        <v>10.348800000000001</v>
      </c>
      <c r="H131" s="132"/>
      <c r="I131" s="132"/>
      <c r="J131" s="132"/>
      <c r="K131" s="133"/>
    </row>
    <row r="132" spans="1:11">
      <c r="A132" s="129"/>
      <c r="B132" s="146"/>
      <c r="C132" s="135">
        <v>2</v>
      </c>
      <c r="D132" s="132">
        <f>0.48*2</f>
        <v>0.96</v>
      </c>
      <c r="E132" s="132"/>
      <c r="F132" s="132">
        <v>2.2799999999999998</v>
      </c>
      <c r="G132" s="136">
        <f t="shared" si="9"/>
        <v>4.3775999999999993</v>
      </c>
      <c r="H132" s="132"/>
      <c r="I132" s="132"/>
      <c r="J132" s="132"/>
      <c r="K132" s="133"/>
    </row>
    <row r="133" spans="1:11">
      <c r="A133" s="129"/>
      <c r="B133" s="146"/>
      <c r="C133" s="135">
        <v>2</v>
      </c>
      <c r="D133" s="132">
        <v>3.62</v>
      </c>
      <c r="E133" s="132"/>
      <c r="F133" s="132">
        <v>1.32</v>
      </c>
      <c r="G133" s="136">
        <f t="shared" si="9"/>
        <v>9.5568000000000008</v>
      </c>
      <c r="H133" s="132"/>
      <c r="I133" s="132"/>
      <c r="J133" s="132"/>
      <c r="K133" s="133"/>
    </row>
    <row r="134" spans="1:11">
      <c r="A134" s="129"/>
      <c r="B134" s="146"/>
      <c r="C134" s="135">
        <v>2</v>
      </c>
      <c r="D134" s="132">
        <f>0.48*2</f>
        <v>0.96</v>
      </c>
      <c r="E134" s="132"/>
      <c r="F134" s="132">
        <v>2.2000000000000002</v>
      </c>
      <c r="G134" s="136">
        <f t="shared" si="9"/>
        <v>4.2240000000000002</v>
      </c>
      <c r="H134" s="132"/>
      <c r="I134" s="132"/>
      <c r="J134" s="132"/>
      <c r="K134" s="133"/>
    </row>
    <row r="135" spans="1:11">
      <c r="A135" s="129"/>
      <c r="B135" s="146"/>
      <c r="C135" s="135">
        <f>-2*16</f>
        <v>-32</v>
      </c>
      <c r="D135" s="132">
        <v>0.23</v>
      </c>
      <c r="E135" s="132"/>
      <c r="F135" s="132">
        <v>1.35</v>
      </c>
      <c r="G135" s="136">
        <f t="shared" si="9"/>
        <v>-9.9360000000000017</v>
      </c>
      <c r="H135" s="132"/>
      <c r="I135" s="132"/>
      <c r="J135" s="132"/>
      <c r="K135" s="133"/>
    </row>
    <row r="136" spans="1:11">
      <c r="A136" s="129"/>
      <c r="B136" s="144"/>
      <c r="C136" s="135"/>
      <c r="D136" s="132"/>
      <c r="E136" s="132"/>
      <c r="F136" s="132"/>
      <c r="G136" s="132">
        <f>SUM(G104:G135)</f>
        <v>200.82485</v>
      </c>
      <c r="H136" s="132" t="s">
        <v>23</v>
      </c>
      <c r="I136" s="132">
        <v>253.8</v>
      </c>
      <c r="J136" s="132">
        <f>G136*I136</f>
        <v>50969.34693</v>
      </c>
      <c r="K136" s="133"/>
    </row>
    <row r="137" spans="1:11">
      <c r="A137" s="129"/>
      <c r="B137" s="144" t="s">
        <v>158</v>
      </c>
      <c r="C137" s="135"/>
      <c r="D137" s="132"/>
      <c r="E137" s="132"/>
      <c r="F137" s="132"/>
      <c r="G137" s="132"/>
      <c r="H137" s="132"/>
      <c r="I137" s="132"/>
      <c r="J137" s="132">
        <f>0.13*G136*2304/100</f>
        <v>601.51059071999998</v>
      </c>
      <c r="K137" s="133"/>
    </row>
    <row r="138" spans="1:11">
      <c r="A138" s="129"/>
      <c r="B138" s="144" t="s">
        <v>159</v>
      </c>
      <c r="C138" s="135"/>
      <c r="D138" s="132"/>
      <c r="E138" s="132"/>
      <c r="F138" s="132"/>
      <c r="G138" s="132"/>
      <c r="H138" s="132"/>
      <c r="I138" s="132"/>
      <c r="J138" s="132">
        <f>0.13*G136*10432/100</f>
        <v>2723.5062857600001</v>
      </c>
      <c r="K138" s="133"/>
    </row>
    <row r="139" spans="1:11">
      <c r="A139" s="129"/>
      <c r="B139" s="144"/>
      <c r="C139" s="135"/>
      <c r="D139" s="132"/>
      <c r="E139" s="132"/>
      <c r="F139" s="132"/>
      <c r="G139" s="132"/>
      <c r="H139" s="132"/>
      <c r="I139" s="132"/>
      <c r="J139" s="132"/>
      <c r="K139" s="133"/>
    </row>
    <row r="140" spans="1:11" ht="31.5">
      <c r="A140" s="129">
        <v>15</v>
      </c>
      <c r="B140" s="200" t="s">
        <v>164</v>
      </c>
      <c r="C140" s="135"/>
      <c r="D140" s="132"/>
      <c r="E140" s="132"/>
      <c r="F140" s="132"/>
      <c r="G140" s="132"/>
      <c r="H140" s="132"/>
      <c r="I140" s="132"/>
      <c r="J140" s="132"/>
      <c r="K140" s="133"/>
    </row>
    <row r="141" spans="1:11">
      <c r="A141" s="129"/>
      <c r="B141" s="146" t="s">
        <v>165</v>
      </c>
      <c r="C141" s="135">
        <v>1</v>
      </c>
      <c r="D141" s="132">
        <f>0.9</f>
        <v>0.9</v>
      </c>
      <c r="E141" s="132"/>
      <c r="F141" s="132"/>
      <c r="G141" s="136">
        <f t="shared" ref="G141:G143" si="10">PRODUCT(C141:F141)</f>
        <v>0.9</v>
      </c>
      <c r="H141" s="132"/>
      <c r="I141" s="132"/>
      <c r="J141" s="132"/>
      <c r="K141" s="133"/>
    </row>
    <row r="142" spans="1:11">
      <c r="A142" s="129"/>
      <c r="B142" s="146" t="s">
        <v>166</v>
      </c>
      <c r="C142" s="135">
        <v>1</v>
      </c>
      <c r="D142" s="132">
        <f>1.5</f>
        <v>1.5</v>
      </c>
      <c r="E142" s="132"/>
      <c r="F142" s="132"/>
      <c r="G142" s="136">
        <f t="shared" si="10"/>
        <v>1.5</v>
      </c>
      <c r="H142" s="132"/>
      <c r="I142" s="132"/>
      <c r="J142" s="132"/>
      <c r="K142" s="133"/>
    </row>
    <row r="143" spans="1:11">
      <c r="A143" s="129"/>
      <c r="B143" s="146" t="s">
        <v>167</v>
      </c>
      <c r="C143" s="135">
        <v>2</v>
      </c>
      <c r="D143" s="132">
        <v>0.9</v>
      </c>
      <c r="E143" s="132"/>
      <c r="F143" s="132"/>
      <c r="G143" s="136">
        <f t="shared" si="10"/>
        <v>1.8</v>
      </c>
      <c r="H143" s="132"/>
      <c r="I143" s="132"/>
      <c r="J143" s="132"/>
      <c r="K143" s="133"/>
    </row>
    <row r="144" spans="1:11">
      <c r="A144" s="129"/>
      <c r="B144" s="144"/>
      <c r="C144" s="135"/>
      <c r="D144" s="132"/>
      <c r="E144" s="132"/>
      <c r="F144" s="132"/>
      <c r="G144" s="132">
        <f>SUM(G141:G143)</f>
        <v>4.2</v>
      </c>
      <c r="H144" s="132" t="s">
        <v>168</v>
      </c>
      <c r="I144" s="132">
        <v>248</v>
      </c>
      <c r="J144" s="132">
        <f>G144*I144</f>
        <v>1041.6000000000001</v>
      </c>
      <c r="K144" s="133"/>
    </row>
    <row r="145" spans="1:11">
      <c r="A145" s="129"/>
      <c r="B145" s="146" t="s">
        <v>169</v>
      </c>
      <c r="C145" s="135"/>
      <c r="D145" s="132"/>
      <c r="E145" s="132"/>
      <c r="F145" s="132"/>
      <c r="G145" s="132"/>
      <c r="H145" s="132"/>
      <c r="I145" s="132"/>
      <c r="J145" s="132">
        <f>0.13*J144</f>
        <v>135.40800000000002</v>
      </c>
      <c r="K145" s="133"/>
    </row>
    <row r="146" spans="1:11">
      <c r="A146" s="129"/>
      <c r="B146" s="144"/>
      <c r="C146" s="135"/>
      <c r="D146" s="132"/>
      <c r="E146" s="132"/>
      <c r="F146" s="132"/>
      <c r="G146" s="132"/>
      <c r="H146" s="132"/>
      <c r="I146" s="132"/>
      <c r="J146" s="132"/>
      <c r="K146" s="133"/>
    </row>
    <row r="147" spans="1:11" ht="31.5">
      <c r="A147" s="129">
        <v>16</v>
      </c>
      <c r="B147" s="200" t="s">
        <v>170</v>
      </c>
      <c r="C147" s="135"/>
      <c r="D147" s="132"/>
      <c r="E147" s="132"/>
      <c r="F147" s="132"/>
      <c r="G147" s="132"/>
      <c r="H147" s="132"/>
      <c r="I147" s="132"/>
      <c r="J147" s="132"/>
      <c r="K147" s="133"/>
    </row>
    <row r="148" spans="1:11">
      <c r="A148" s="129"/>
      <c r="B148" s="146" t="s">
        <v>171</v>
      </c>
      <c r="C148" s="135">
        <v>1</v>
      </c>
      <c r="D148" s="132">
        <v>9</v>
      </c>
      <c r="E148" s="132"/>
      <c r="F148" s="132"/>
      <c r="G148" s="136">
        <f t="shared" ref="G148" si="11">PRODUCT(C148:F148)</f>
        <v>9</v>
      </c>
      <c r="H148" s="132"/>
      <c r="I148" s="132"/>
      <c r="J148" s="132"/>
      <c r="K148" s="133"/>
    </row>
    <row r="149" spans="1:11">
      <c r="A149" s="129"/>
      <c r="B149" s="144"/>
      <c r="C149" s="135"/>
      <c r="D149" s="132"/>
      <c r="E149" s="132"/>
      <c r="F149" s="132"/>
      <c r="G149" s="132">
        <f>SUM(G148:G148)</f>
        <v>9</v>
      </c>
      <c r="H149" s="132" t="s">
        <v>168</v>
      </c>
      <c r="I149" s="132">
        <v>75</v>
      </c>
      <c r="J149" s="132">
        <f>G149*I149</f>
        <v>675</v>
      </c>
      <c r="K149" s="133"/>
    </row>
    <row r="150" spans="1:11">
      <c r="A150" s="129"/>
      <c r="B150" s="146" t="s">
        <v>169</v>
      </c>
      <c r="C150" s="135"/>
      <c r="D150" s="132"/>
      <c r="E150" s="132"/>
      <c r="F150" s="132"/>
      <c r="G150" s="132"/>
      <c r="H150" s="132"/>
      <c r="I150" s="132"/>
      <c r="J150" s="132">
        <f>0.13*J149</f>
        <v>87.75</v>
      </c>
      <c r="K150" s="133"/>
    </row>
    <row r="151" spans="1:11">
      <c r="A151" s="129"/>
      <c r="B151" s="144"/>
      <c r="C151" s="135"/>
      <c r="D151" s="132"/>
      <c r="E151" s="132"/>
      <c r="F151" s="132"/>
      <c r="G151" s="132"/>
      <c r="H151" s="132"/>
      <c r="I151" s="132"/>
      <c r="J151" s="132"/>
      <c r="K151" s="133"/>
    </row>
    <row r="152" spans="1:11" ht="47.25">
      <c r="A152" s="129">
        <v>17</v>
      </c>
      <c r="B152" s="200" t="s">
        <v>173</v>
      </c>
      <c r="C152" s="135"/>
      <c r="D152" s="132"/>
      <c r="E152" s="132"/>
      <c r="F152" s="132"/>
      <c r="G152" s="132"/>
      <c r="H152" s="132"/>
      <c r="I152" s="132"/>
      <c r="J152" s="132"/>
      <c r="K152" s="133"/>
    </row>
    <row r="153" spans="1:11">
      <c r="A153" s="129"/>
      <c r="B153" s="146" t="s">
        <v>171</v>
      </c>
      <c r="C153" s="135">
        <v>1</v>
      </c>
      <c r="D153" s="132"/>
      <c r="E153" s="132"/>
      <c r="F153" s="132"/>
      <c r="G153" s="136">
        <f t="shared" ref="G153" si="12">PRODUCT(C153:F153)</f>
        <v>1</v>
      </c>
      <c r="H153" s="132"/>
      <c r="I153" s="132"/>
      <c r="J153" s="132"/>
      <c r="K153" s="133"/>
    </row>
    <row r="154" spans="1:11">
      <c r="A154" s="129"/>
      <c r="B154" s="144"/>
      <c r="C154" s="135"/>
      <c r="D154" s="132"/>
      <c r="E154" s="132"/>
      <c r="F154" s="132"/>
      <c r="G154" s="132">
        <f>SUM(G153:G153)</f>
        <v>1</v>
      </c>
      <c r="H154" s="132" t="s">
        <v>172</v>
      </c>
      <c r="I154" s="132">
        <v>1070</v>
      </c>
      <c r="J154" s="132">
        <f>G154*I154</f>
        <v>1070</v>
      </c>
      <c r="K154" s="133"/>
    </row>
    <row r="155" spans="1:11">
      <c r="A155" s="129"/>
      <c r="B155" s="146" t="s">
        <v>169</v>
      </c>
      <c r="C155" s="135"/>
      <c r="D155" s="132"/>
      <c r="E155" s="132"/>
      <c r="F155" s="132"/>
      <c r="G155" s="132"/>
      <c r="H155" s="132"/>
      <c r="I155" s="132"/>
      <c r="J155" s="132">
        <f>0.13*J154</f>
        <v>139.1</v>
      </c>
      <c r="K155" s="133"/>
    </row>
    <row r="156" spans="1:11">
      <c r="A156" s="129"/>
      <c r="B156" s="144"/>
      <c r="C156" s="135"/>
      <c r="D156" s="132"/>
      <c r="E156" s="132"/>
      <c r="F156" s="132"/>
      <c r="G156" s="132"/>
      <c r="H156" s="132"/>
      <c r="I156" s="132"/>
      <c r="J156" s="132"/>
      <c r="K156" s="133"/>
    </row>
    <row r="157" spans="1:11">
      <c r="A157" s="129">
        <v>18</v>
      </c>
      <c r="B157" s="200" t="s">
        <v>174</v>
      </c>
      <c r="C157" s="135"/>
      <c r="D157" s="132"/>
      <c r="E157" s="132"/>
      <c r="F157" s="132"/>
      <c r="G157" s="132"/>
      <c r="H157" s="132"/>
      <c r="I157" s="132"/>
      <c r="J157" s="132"/>
      <c r="K157" s="133"/>
    </row>
    <row r="158" spans="1:11">
      <c r="A158" s="129"/>
      <c r="B158" s="146" t="s">
        <v>175</v>
      </c>
      <c r="C158" s="135">
        <v>2</v>
      </c>
      <c r="D158" s="132"/>
      <c r="E158" s="132"/>
      <c r="F158" s="132"/>
      <c r="G158" s="136">
        <f t="shared" ref="G158" si="13">PRODUCT(C158:F158)</f>
        <v>2</v>
      </c>
      <c r="H158" s="132"/>
      <c r="I158" s="132"/>
      <c r="J158" s="132"/>
      <c r="K158" s="133"/>
    </row>
    <row r="159" spans="1:11">
      <c r="A159" s="129"/>
      <c r="B159" s="144"/>
      <c r="C159" s="135"/>
      <c r="D159" s="132"/>
      <c r="E159" s="132"/>
      <c r="F159" s="132"/>
      <c r="G159" s="132">
        <f>SUM(G158:G158)</f>
        <v>2</v>
      </c>
      <c r="H159" s="132" t="s">
        <v>172</v>
      </c>
      <c r="I159" s="132">
        <v>750</v>
      </c>
      <c r="J159" s="132">
        <f>G159*I159</f>
        <v>1500</v>
      </c>
      <c r="K159" s="133"/>
    </row>
    <row r="160" spans="1:11">
      <c r="A160" s="129"/>
      <c r="B160" s="146" t="s">
        <v>169</v>
      </c>
      <c r="C160" s="135"/>
      <c r="D160" s="132"/>
      <c r="E160" s="132"/>
      <c r="F160" s="132"/>
      <c r="G160" s="132"/>
      <c r="H160" s="132"/>
      <c r="I160" s="132"/>
      <c r="J160" s="132">
        <f>0.13*J159</f>
        <v>195</v>
      </c>
      <c r="K160" s="133"/>
    </row>
    <row r="161" spans="1:11">
      <c r="A161" s="129"/>
      <c r="B161" s="144"/>
      <c r="C161" s="135"/>
      <c r="D161" s="132"/>
      <c r="E161" s="132"/>
      <c r="F161" s="132"/>
      <c r="G161" s="132"/>
      <c r="H161" s="132"/>
      <c r="I161" s="132"/>
      <c r="J161" s="132"/>
      <c r="K161" s="133"/>
    </row>
    <row r="162" spans="1:11" ht="33" customHeight="1">
      <c r="A162" s="129">
        <v>19</v>
      </c>
      <c r="B162" s="145" t="s">
        <v>150</v>
      </c>
      <c r="C162" s="135">
        <v>1</v>
      </c>
      <c r="D162" s="132"/>
      <c r="E162" s="132"/>
      <c r="F162" s="132"/>
      <c r="G162" s="132">
        <v>1</v>
      </c>
      <c r="H162" s="132" t="s">
        <v>151</v>
      </c>
      <c r="I162" s="136">
        <v>15000</v>
      </c>
      <c r="J162" s="136">
        <f>G162*I162</f>
        <v>15000</v>
      </c>
      <c r="K162" s="133"/>
    </row>
    <row r="163" spans="1:11">
      <c r="A163" s="129"/>
      <c r="B163" s="151"/>
      <c r="C163" s="135"/>
      <c r="D163" s="132"/>
      <c r="E163" s="132"/>
      <c r="F163" s="136"/>
      <c r="G163" s="132"/>
      <c r="H163" s="132"/>
      <c r="I163" s="136"/>
      <c r="J163" s="136"/>
      <c r="K163" s="133"/>
    </row>
    <row r="164" spans="1:11" ht="33" customHeight="1">
      <c r="A164" s="129">
        <v>20</v>
      </c>
      <c r="B164" s="145" t="s">
        <v>89</v>
      </c>
      <c r="C164" s="135">
        <v>1</v>
      </c>
      <c r="D164" s="132"/>
      <c r="E164" s="132"/>
      <c r="F164" s="132"/>
      <c r="G164" s="132">
        <v>1</v>
      </c>
      <c r="H164" s="132" t="s">
        <v>34</v>
      </c>
      <c r="I164" s="136">
        <v>500</v>
      </c>
      <c r="J164" s="136">
        <f>G164*I164</f>
        <v>500</v>
      </c>
      <c r="K164" s="133"/>
    </row>
    <row r="165" spans="1:11">
      <c r="A165" s="152"/>
      <c r="B165" s="153"/>
      <c r="C165" s="132"/>
      <c r="D165" s="136"/>
      <c r="E165" s="136"/>
      <c r="F165" s="136"/>
      <c r="G165" s="136"/>
      <c r="H165" s="132"/>
      <c r="I165" s="136"/>
      <c r="J165" s="154">
        <f>SUM(J12:J164)</f>
        <v>529824.71321937186</v>
      </c>
      <c r="K165" s="155"/>
    </row>
    <row r="166" spans="1:11">
      <c r="A166" s="156"/>
      <c r="B166" s="157"/>
      <c r="C166" s="117"/>
      <c r="D166" s="117"/>
      <c r="E166" s="117"/>
      <c r="F166" s="117"/>
      <c r="G166" s="117"/>
      <c r="H166" s="117"/>
      <c r="I166" s="117"/>
      <c r="J166" s="158"/>
      <c r="K166" s="159"/>
    </row>
    <row r="167" spans="1:11">
      <c r="A167" s="156"/>
      <c r="B167" s="127" t="s">
        <v>12</v>
      </c>
      <c r="C167" s="174" t="s">
        <v>71</v>
      </c>
      <c r="D167" s="174"/>
      <c r="E167" s="127" t="s">
        <v>72</v>
      </c>
      <c r="F167" s="160"/>
      <c r="G167" s="161"/>
      <c r="H167" s="160"/>
      <c r="I167" s="161"/>
      <c r="J167" s="160"/>
      <c r="K167" s="160"/>
    </row>
    <row r="168" spans="1:11">
      <c r="A168" s="156"/>
      <c r="B168" s="131" t="s">
        <v>13</v>
      </c>
      <c r="C168" s="172">
        <f>+J165</f>
        <v>529824.71321937186</v>
      </c>
      <c r="D168" s="172"/>
      <c r="E168" s="162"/>
      <c r="F168" s="160"/>
      <c r="G168" s="163"/>
      <c r="H168" s="160"/>
      <c r="I168" s="161"/>
      <c r="J168" s="160"/>
      <c r="K168" s="160"/>
    </row>
    <row r="169" spans="1:11">
      <c r="A169" s="156"/>
      <c r="B169" s="131" t="s">
        <v>14</v>
      </c>
      <c r="C169" s="172">
        <v>480000</v>
      </c>
      <c r="D169" s="172"/>
      <c r="E169" s="164">
        <v>100</v>
      </c>
      <c r="F169" s="160"/>
      <c r="G169" s="163"/>
      <c r="H169" s="160"/>
      <c r="I169" s="161"/>
      <c r="J169" s="160"/>
      <c r="K169" s="160"/>
    </row>
    <row r="170" spans="1:11">
      <c r="A170" s="156"/>
      <c r="B170" s="131" t="s">
        <v>19</v>
      </c>
      <c r="C170" s="172">
        <f>0.95*C169</f>
        <v>456000</v>
      </c>
      <c r="D170" s="172"/>
      <c r="E170" s="165">
        <f>C170/C168*100</f>
        <v>86.066200504164655</v>
      </c>
      <c r="F170" s="160"/>
      <c r="G170" s="163"/>
      <c r="H170" s="160"/>
      <c r="I170" s="161"/>
      <c r="J170" s="160"/>
      <c r="K170" s="160"/>
    </row>
    <row r="171" spans="1:11">
      <c r="A171" s="156"/>
      <c r="B171" s="131" t="s">
        <v>15</v>
      </c>
      <c r="C171" s="172">
        <f>C168-C170</f>
        <v>73824.713219371857</v>
      </c>
      <c r="D171" s="172"/>
      <c r="E171" s="165">
        <f>C171/C169*100</f>
        <v>15.380148587369135</v>
      </c>
      <c r="F171" s="160"/>
      <c r="G171" s="163"/>
      <c r="H171" s="160"/>
      <c r="I171" s="161"/>
      <c r="J171" s="160"/>
      <c r="K171" s="160"/>
    </row>
    <row r="172" spans="1:11">
      <c r="A172" s="156"/>
      <c r="B172" s="131" t="s">
        <v>20</v>
      </c>
      <c r="C172" s="172">
        <f>E172*C169/100</f>
        <v>9600</v>
      </c>
      <c r="D172" s="172"/>
      <c r="E172" s="165">
        <v>2</v>
      </c>
      <c r="F172" s="160"/>
      <c r="G172" s="163"/>
      <c r="H172" s="160"/>
      <c r="I172" s="161"/>
      <c r="J172" s="160"/>
      <c r="K172" s="160"/>
    </row>
    <row r="173" spans="1:11">
      <c r="A173" s="156"/>
      <c r="B173" s="131" t="s">
        <v>21</v>
      </c>
      <c r="C173" s="173">
        <f>E173*C169/100</f>
        <v>14400</v>
      </c>
      <c r="D173" s="173"/>
      <c r="E173" s="165">
        <v>3</v>
      </c>
      <c r="F173" s="160"/>
      <c r="G173" s="166"/>
      <c r="H173" s="160"/>
      <c r="I173" s="161"/>
      <c r="J173" s="160"/>
      <c r="K173" s="160"/>
    </row>
    <row r="174" spans="1:11">
      <c r="F174" s="62"/>
    </row>
  </sheetData>
  <mergeCells count="14">
    <mergeCell ref="C173:D173"/>
    <mergeCell ref="C167:D167"/>
    <mergeCell ref="C168:D168"/>
    <mergeCell ref="C169:D169"/>
    <mergeCell ref="C170:D170"/>
    <mergeCell ref="C171:D171"/>
    <mergeCell ref="C172:D172"/>
    <mergeCell ref="A1:K1"/>
    <mergeCell ref="A2:K2"/>
    <mergeCell ref="A3:K3"/>
    <mergeCell ref="A4:K4"/>
    <mergeCell ref="J5:K5"/>
    <mergeCell ref="A6:F6"/>
    <mergeCell ref="H6:K6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ESTIMATE</vt:lpstr>
      <vt:lpstr>WCR</vt:lpstr>
      <vt:lpstr>me</vt:lpstr>
      <vt:lpstr>Sheet1</vt:lpstr>
      <vt:lpstr>include dhara marmat</vt:lpstr>
      <vt:lpstr>ESTIMATE!Print_Area</vt:lpstr>
      <vt:lpstr>'include dhara marmat'!Print_Area</vt:lpstr>
      <vt:lpstr>me!Print_Area</vt:lpstr>
      <vt:lpstr>ESTIMATE!Print_Titles</vt:lpstr>
      <vt:lpstr>'include dhara marmat'!Print_Titles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2026-07-23T05:47:00Z</cp:lastPrinted>
  <dcterms:created xsi:type="dcterms:W3CDTF">2015-02-11T06:39:48Z</dcterms:created>
  <dcterms:modified xsi:type="dcterms:W3CDTF">2026-07-23T05:47:37Z</dcterms:modified>
</cp:coreProperties>
</file>