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082_083\ward1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O6" i="1" s="1"/>
  <c r="G6" i="1"/>
  <c r="O3" i="1"/>
  <c r="E3" i="1"/>
  <c r="G3" i="1" s="1"/>
  <c r="E5" i="1"/>
  <c r="G5" i="1" s="1"/>
  <c r="L5" i="1"/>
  <c r="E4" i="1"/>
  <c r="G4" i="1" s="1"/>
  <c r="J6" i="1" l="1"/>
  <c r="U6" i="1" s="1"/>
  <c r="H6" i="1"/>
  <c r="R6" i="1" s="1"/>
  <c r="V6" i="1" s="1"/>
  <c r="J3" i="1"/>
  <c r="U3" i="1" s="1"/>
  <c r="H3" i="1"/>
  <c r="R3" i="1" s="1"/>
  <c r="V3" i="1" s="1"/>
  <c r="J5" i="1"/>
  <c r="U5" i="1" s="1"/>
  <c r="O5" i="1"/>
  <c r="H5" i="1"/>
  <c r="R5" i="1" s="1"/>
  <c r="M4" i="1"/>
  <c r="J4" i="1"/>
  <c r="U4" i="1" s="1"/>
  <c r="H4" i="1"/>
  <c r="R4" i="1" s="1"/>
  <c r="L4" i="1"/>
  <c r="K6" i="1" l="1"/>
  <c r="P6" i="1" s="1"/>
  <c r="X6" i="1" s="1"/>
  <c r="K3" i="1"/>
  <c r="P3" i="1" s="1"/>
  <c r="X3" i="1" s="1"/>
  <c r="W3" i="1" s="1"/>
  <c r="K5" i="1"/>
  <c r="P5" i="1" s="1"/>
  <c r="V5" i="1"/>
  <c r="O4" i="1"/>
  <c r="K4" i="1"/>
  <c r="V4" i="1"/>
  <c r="W6" i="1" l="1"/>
  <c r="Y6" i="1"/>
  <c r="Z6" i="1" s="1"/>
  <c r="Y3" i="1"/>
  <c r="Z3" i="1" s="1"/>
  <c r="X5" i="1"/>
  <c r="P4" i="1"/>
  <c r="X4" i="1" s="1"/>
  <c r="W4" i="1" s="1"/>
  <c r="Y4" i="1" l="1"/>
  <c r="Z4" i="1" s="1"/>
  <c r="W5" i="1"/>
  <c r="Y5" i="1"/>
  <c r="Z5" i="1" s="1"/>
</calcChain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<sst xmlns="http://schemas.openxmlformats.org/spreadsheetml/2006/main" count="32" uniqueCount="30">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</sst>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6"/>
  <sheetViews>
    <sheetView tabSelected="1" workbookViewId="0">
      <selection activeCell="J8" sqref="J8:K8"/>
    </sheetView>
  </sheetViews>
  <sheetFormatPr defaultRowHeight="14.4" x14ac:dyDescent="0.3"/>
  <cols>
    <col min="1" max="1" width="5.109375" bestFit="1" customWidth="1"/>
    <col min="2" max="2" width="4.109375" hidden="1" customWidth="1"/>
    <col min="3" max="3" width="4.33203125" customWidth="1"/>
    <col min="4" max="5" width="8.88671875" style="7"/>
    <col min="6" max="6" width="6.21875" customWidth="1"/>
    <col min="7" max="7" width="8.88671875" style="11"/>
    <col min="11" max="11" width="8.88671875" style="11"/>
    <col min="13" max="13" width="7.21875" customWidth="1"/>
    <col min="14" max="14" width="5.109375" customWidth="1"/>
    <col min="15" max="15" width="8.5546875" style="7" customWidth="1"/>
    <col min="16" max="16" width="8" style="11" customWidth="1"/>
    <col min="17" max="17" width="6.88671875" customWidth="1"/>
    <col min="18" max="18" width="7.6640625" customWidth="1"/>
    <col min="20" max="20" width="8.88671875" customWidth="1"/>
    <col min="21" max="21" width="14.44140625" customWidth="1"/>
    <col min="22" max="22" width="8.88671875" style="7"/>
    <col min="24" max="24" width="8.88671875" style="14"/>
    <col min="27" max="27" width="8.88671875" customWidth="1"/>
  </cols>
  <sheetData>
    <row r="1" spans="1:28" s="1" customFormat="1" ht="15" customHeight="1" x14ac:dyDescent="0.25">
      <c r="A1" s="5" t="s">
        <v>0</v>
      </c>
      <c r="B1" s="5" t="s">
        <v>1</v>
      </c>
      <c r="C1" s="5" t="s">
        <v>2</v>
      </c>
      <c r="D1" s="4" t="s">
        <v>24</v>
      </c>
      <c r="E1" s="4"/>
      <c r="F1" s="4"/>
      <c r="G1" s="4"/>
      <c r="H1" s="4" t="s">
        <v>24</v>
      </c>
      <c r="I1" s="4"/>
      <c r="J1" s="4"/>
      <c r="K1" s="4"/>
      <c r="L1" s="4" t="s">
        <v>25</v>
      </c>
      <c r="M1" s="4"/>
      <c r="N1" s="4"/>
      <c r="O1" s="4"/>
      <c r="P1" s="12" t="s">
        <v>13</v>
      </c>
      <c r="Q1" s="4" t="s">
        <v>26</v>
      </c>
      <c r="R1" s="4"/>
      <c r="S1" s="4"/>
      <c r="T1" s="4"/>
      <c r="U1" s="4"/>
      <c r="V1" s="4"/>
      <c r="W1" s="5" t="s">
        <v>27</v>
      </c>
      <c r="X1" s="12" t="s">
        <v>19</v>
      </c>
      <c r="Y1" s="5" t="s">
        <v>20</v>
      </c>
      <c r="Z1" s="5" t="s">
        <v>21</v>
      </c>
      <c r="AA1" s="5" t="s">
        <v>22</v>
      </c>
      <c r="AB1" s="5" t="s">
        <v>23</v>
      </c>
    </row>
    <row r="2" spans="1:28" s="8" customFormat="1" ht="55.2" x14ac:dyDescent="0.3">
      <c r="A2" s="5"/>
      <c r="B2" s="5"/>
      <c r="C2" s="5"/>
      <c r="D2" s="3" t="s">
        <v>3</v>
      </c>
      <c r="E2" s="3" t="s">
        <v>4</v>
      </c>
      <c r="F2" s="3" t="s">
        <v>5</v>
      </c>
      <c r="G2" s="9" t="s">
        <v>6</v>
      </c>
      <c r="H2" s="3" t="s">
        <v>7</v>
      </c>
      <c r="I2" s="3" t="s">
        <v>8</v>
      </c>
      <c r="J2" s="3" t="s">
        <v>9</v>
      </c>
      <c r="K2" s="9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2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5"/>
      <c r="X2" s="12"/>
      <c r="Y2" s="5"/>
      <c r="Z2" s="5"/>
      <c r="AA2" s="5"/>
      <c r="AB2" s="5"/>
    </row>
    <row r="3" spans="1:28" x14ac:dyDescent="0.3">
      <c r="A3" s="2"/>
      <c r="B3" s="2"/>
      <c r="C3" s="2"/>
      <c r="D3" s="6">
        <v>32902</v>
      </c>
      <c r="E3" s="6">
        <f>ROUNDUP(D3/30,0)*4</f>
        <v>4388</v>
      </c>
      <c r="F3" s="2"/>
      <c r="G3" s="10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10">
        <f>SUM(G3:J3)</f>
        <v>43656.4</v>
      </c>
      <c r="L3" s="2">
        <v>2000</v>
      </c>
      <c r="M3" s="2">
        <v>0</v>
      </c>
      <c r="N3" s="2"/>
      <c r="O3" s="6">
        <f>SUM(L3:M3)</f>
        <v>2000</v>
      </c>
      <c r="P3" s="10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6">
        <f>SUM(Q3:U3)</f>
        <v>17732.8</v>
      </c>
      <c r="W3" s="2">
        <f>X3+U3</f>
        <v>32398.400000000001</v>
      </c>
      <c r="X3" s="13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3">
      <c r="A4" s="2"/>
      <c r="B4" s="2"/>
      <c r="C4" s="2"/>
      <c r="D4" s="6">
        <v>34730</v>
      </c>
      <c r="E4" s="6">
        <f>ROUNDUP(D4/30,0)*4</f>
        <v>4632</v>
      </c>
      <c r="F4" s="2"/>
      <c r="G4" s="10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10">
        <f>SUM(G4:J4)</f>
        <v>46059.92</v>
      </c>
      <c r="L4" s="2">
        <f>2000+3000</f>
        <v>5000</v>
      </c>
      <c r="M4" s="2">
        <f>G4</f>
        <v>39362</v>
      </c>
      <c r="N4" s="2"/>
      <c r="O4" s="6">
        <f>SUM(L4:M4)</f>
        <v>44362</v>
      </c>
      <c r="P4" s="10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6">
        <f>SUM(Q4:U4)</f>
        <v>18395.84</v>
      </c>
      <c r="W4" s="2">
        <f>X4+U4</f>
        <v>76749.52</v>
      </c>
      <c r="X4" s="13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3">
      <c r="A5" s="2"/>
      <c r="B5" s="2"/>
      <c r="C5" s="2"/>
      <c r="D5" s="6">
        <v>34730</v>
      </c>
      <c r="E5" s="6">
        <f>ROUNDUP(D5/30,0)*4</f>
        <v>4632</v>
      </c>
      <c r="F5" s="2"/>
      <c r="G5" s="10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10">
        <f>SUM(G5:J5)</f>
        <v>46059.92</v>
      </c>
      <c r="L5" s="2">
        <f>2000+3000</f>
        <v>5000</v>
      </c>
      <c r="M5" s="2">
        <v>0</v>
      </c>
      <c r="N5" s="2"/>
      <c r="O5" s="6">
        <f>SUM(L5:M5)</f>
        <v>5000</v>
      </c>
      <c r="P5" s="10">
        <f>K5+O5</f>
        <v>51059.92</v>
      </c>
      <c r="Q5" s="2">
        <v>801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6">
        <f>SUM(Q5:U5)</f>
        <v>18396.84</v>
      </c>
      <c r="W5" s="2">
        <f>X5+U5</f>
        <v>37386.519999999997</v>
      </c>
      <c r="X5" s="13">
        <f>P5-V5</f>
        <v>32663.079999999998</v>
      </c>
      <c r="Y5" s="2">
        <f>IF(X5*13&gt;600000,1%*X5,0)</f>
        <v>0</v>
      </c>
      <c r="Z5" s="2">
        <f>X5-Y5</f>
        <v>32663.079999999998</v>
      </c>
      <c r="AA5" s="2"/>
      <c r="AB5" s="2"/>
    </row>
    <row r="6" spans="1:28" x14ac:dyDescent="0.3">
      <c r="A6" s="2"/>
      <c r="B6" s="2"/>
      <c r="C6" s="2"/>
      <c r="D6" s="6">
        <v>43689</v>
      </c>
      <c r="E6" s="6">
        <v>0</v>
      </c>
      <c r="F6" s="2"/>
      <c r="G6" s="10">
        <f>SUM(D6:F6)</f>
        <v>43689</v>
      </c>
      <c r="H6" s="2">
        <f>10%*G6</f>
        <v>4368.9000000000005</v>
      </c>
      <c r="I6" s="2">
        <v>400</v>
      </c>
      <c r="J6" s="2">
        <f>6%*G6</f>
        <v>2621.3399999999997</v>
      </c>
      <c r="K6" s="10">
        <f>SUM(G6:J6)</f>
        <v>51079.24</v>
      </c>
      <c r="L6" s="2">
        <f>2000+3000</f>
        <v>5000</v>
      </c>
      <c r="M6" s="2">
        <v>0</v>
      </c>
      <c r="N6" s="2"/>
      <c r="O6" s="6">
        <f>SUM(L6:M6)</f>
        <v>5000</v>
      </c>
      <c r="P6" s="10">
        <f>K6+O6</f>
        <v>56079.24</v>
      </c>
      <c r="Q6" s="2">
        <v>801</v>
      </c>
      <c r="R6" s="2">
        <f>H6*2</f>
        <v>8737.8000000000011</v>
      </c>
      <c r="S6" s="2">
        <v>1000</v>
      </c>
      <c r="T6" s="2"/>
      <c r="U6" s="2">
        <f>J6*2</f>
        <v>5242.6799999999994</v>
      </c>
      <c r="V6" s="6">
        <f>SUM(Q6:U6)</f>
        <v>15781.48</v>
      </c>
      <c r="W6" s="2">
        <f>X6+U6</f>
        <v>45540.439999999995</v>
      </c>
      <c r="X6" s="13">
        <f>P6-V6</f>
        <v>40297.759999999995</v>
      </c>
      <c r="Y6" s="2">
        <f>IF(X6*13&gt;600000,1%*X6,0)</f>
        <v>0</v>
      </c>
      <c r="Z6" s="2">
        <f>X6-Y6</f>
        <v>40297.759999999995</v>
      </c>
      <c r="AA6" s="2"/>
      <c r="AB6" s="2"/>
    </row>
    <row r="7" spans="1:28" x14ac:dyDescent="0.3">
      <c r="A7" s="2"/>
      <c r="B7" s="2"/>
      <c r="C7" s="2"/>
      <c r="D7" s="6"/>
      <c r="E7" s="6"/>
      <c r="F7" s="2"/>
      <c r="G7" s="10"/>
      <c r="H7" s="2"/>
      <c r="I7" s="2"/>
      <c r="J7" s="2"/>
      <c r="K7" s="10"/>
      <c r="L7" s="2"/>
      <c r="M7" s="2"/>
      <c r="N7" s="2"/>
      <c r="O7" s="6"/>
      <c r="P7" s="10"/>
      <c r="Q7" s="2"/>
      <c r="R7" s="2"/>
      <c r="S7" s="2"/>
      <c r="T7" s="2"/>
      <c r="U7" s="2"/>
      <c r="V7" s="6"/>
      <c r="W7" s="2"/>
      <c r="X7" s="13"/>
      <c r="Y7" s="2"/>
      <c r="Z7" s="2"/>
      <c r="AA7" s="2"/>
      <c r="AB7" s="2"/>
    </row>
    <row r="8" spans="1:28" x14ac:dyDescent="0.3">
      <c r="A8" s="2"/>
      <c r="B8" s="2"/>
      <c r="C8" s="2"/>
      <c r="D8" s="6"/>
      <c r="E8" s="6"/>
      <c r="F8" s="2"/>
      <c r="G8" s="10"/>
      <c r="H8" s="2"/>
      <c r="I8" s="2"/>
      <c r="J8" s="2"/>
      <c r="K8" s="10"/>
      <c r="L8" s="2"/>
      <c r="M8" s="2"/>
      <c r="N8" s="2"/>
      <c r="O8" s="6"/>
      <c r="P8" s="10"/>
      <c r="Q8" s="2"/>
      <c r="R8" s="2"/>
      <c r="S8" s="2"/>
      <c r="T8" s="2"/>
      <c r="U8" s="2"/>
      <c r="V8" s="6"/>
      <c r="W8" s="2"/>
      <c r="X8" s="13"/>
      <c r="Y8" s="2"/>
      <c r="Z8" s="2"/>
      <c r="AA8" s="2"/>
      <c r="AB8" s="2"/>
    </row>
    <row r="9" spans="1:28" x14ac:dyDescent="0.3">
      <c r="A9" s="2"/>
      <c r="B9" s="2"/>
      <c r="C9" s="2"/>
      <c r="D9" s="6"/>
      <c r="E9" s="6"/>
      <c r="F9" s="2"/>
      <c r="G9" s="10"/>
      <c r="H9" s="2"/>
      <c r="I9" s="2"/>
      <c r="J9" s="2"/>
      <c r="K9" s="10"/>
      <c r="L9" s="2"/>
      <c r="M9" s="2"/>
      <c r="N9" s="2"/>
      <c r="O9" s="6"/>
      <c r="P9" s="10"/>
      <c r="Q9" s="2"/>
      <c r="R9" s="2"/>
      <c r="S9" s="2"/>
      <c r="T9" s="2"/>
      <c r="U9" s="2"/>
      <c r="V9" s="6"/>
      <c r="W9" s="2"/>
      <c r="X9" s="13"/>
      <c r="Y9" s="2"/>
      <c r="Z9" s="2"/>
      <c r="AA9" s="2"/>
      <c r="AB9" s="2"/>
    </row>
    <row r="10" spans="1:28" x14ac:dyDescent="0.3">
      <c r="A10" s="2"/>
      <c r="B10" s="2"/>
      <c r="C10" s="2"/>
      <c r="D10" s="6"/>
      <c r="E10" s="6"/>
      <c r="F10" s="2"/>
      <c r="G10" s="10"/>
      <c r="H10" s="2"/>
      <c r="I10" s="2"/>
      <c r="J10" s="2"/>
      <c r="K10" s="10"/>
      <c r="L10" s="2"/>
      <c r="M10" s="2"/>
      <c r="N10" s="2"/>
      <c r="O10" s="6"/>
      <c r="P10" s="10"/>
      <c r="Q10" s="2"/>
      <c r="R10" s="2"/>
      <c r="S10" s="2"/>
      <c r="T10" s="2"/>
      <c r="U10" s="2"/>
      <c r="V10" s="6"/>
      <c r="W10" s="2"/>
      <c r="X10" s="13"/>
      <c r="Y10" s="2"/>
      <c r="Z10" s="2"/>
      <c r="AA10" s="2"/>
      <c r="AB10" s="2"/>
    </row>
    <row r="11" spans="1:28" x14ac:dyDescent="0.3">
      <c r="A11" s="2"/>
      <c r="B11" s="2"/>
      <c r="C11" s="2"/>
      <c r="D11" s="6"/>
      <c r="E11" s="6"/>
      <c r="F11" s="2"/>
      <c r="G11" s="10"/>
      <c r="H11" s="2"/>
      <c r="I11" s="2"/>
      <c r="J11" s="2"/>
      <c r="K11" s="10"/>
      <c r="L11" s="2"/>
      <c r="M11" s="2"/>
      <c r="N11" s="2"/>
      <c r="O11" s="6"/>
      <c r="P11" s="10"/>
      <c r="Q11" s="2"/>
      <c r="R11" s="2"/>
      <c r="S11" s="2"/>
      <c r="T11" s="2"/>
      <c r="U11" s="2"/>
      <c r="V11" s="6"/>
      <c r="W11" s="2"/>
      <c r="X11" s="13"/>
      <c r="Y11" s="2"/>
      <c r="Z11" s="2"/>
      <c r="AA11" s="2"/>
      <c r="AB11" s="2"/>
    </row>
    <row r="12" spans="1:28" x14ac:dyDescent="0.3">
      <c r="A12" s="2"/>
      <c r="B12" s="2"/>
      <c r="C12" s="2"/>
      <c r="D12" s="6"/>
      <c r="E12" s="6"/>
      <c r="F12" s="2"/>
      <c r="G12" s="10"/>
      <c r="H12" s="2"/>
      <c r="I12" s="2"/>
      <c r="J12" s="2"/>
      <c r="K12" s="10"/>
      <c r="L12" s="2"/>
      <c r="M12" s="2"/>
      <c r="N12" s="2"/>
      <c r="O12" s="6"/>
      <c r="P12" s="10"/>
      <c r="Q12" s="2"/>
      <c r="R12" s="2"/>
      <c r="S12" s="2"/>
      <c r="T12" s="2"/>
      <c r="U12" s="2"/>
      <c r="V12" s="6"/>
      <c r="W12" s="2"/>
      <c r="X12" s="13"/>
      <c r="Y12" s="2"/>
      <c r="Z12" s="2"/>
      <c r="AA12" s="2"/>
      <c r="AB12" s="2"/>
    </row>
    <row r="13" spans="1:28" x14ac:dyDescent="0.3">
      <c r="A13" s="2"/>
      <c r="B13" s="2"/>
      <c r="C13" s="2"/>
      <c r="D13" s="6"/>
      <c r="E13" s="6"/>
      <c r="F13" s="2"/>
      <c r="G13" s="10"/>
      <c r="H13" s="2"/>
      <c r="I13" s="2"/>
      <c r="J13" s="2"/>
      <c r="K13" s="10"/>
      <c r="L13" s="2"/>
      <c r="M13" s="2"/>
      <c r="N13" s="2"/>
      <c r="O13" s="6"/>
      <c r="P13" s="10"/>
      <c r="Q13" s="2"/>
      <c r="R13" s="2"/>
      <c r="S13" s="2"/>
      <c r="T13" s="2"/>
      <c r="U13" s="2"/>
      <c r="V13" s="6"/>
      <c r="W13" s="2"/>
      <c r="X13" s="13"/>
      <c r="Y13" s="2"/>
      <c r="Z13" s="2"/>
      <c r="AA13" s="2"/>
      <c r="AB13" s="2"/>
    </row>
    <row r="14" spans="1:28" x14ac:dyDescent="0.3">
      <c r="A14" s="2"/>
      <c r="B14" s="2"/>
      <c r="C14" s="2"/>
      <c r="D14" s="6"/>
      <c r="E14" s="6"/>
      <c r="F14" s="2"/>
      <c r="G14" s="10"/>
      <c r="H14" s="2"/>
      <c r="I14" s="2"/>
      <c r="J14" s="2"/>
      <c r="K14" s="10"/>
      <c r="L14" s="2"/>
      <c r="M14" s="2"/>
      <c r="N14" s="2"/>
      <c r="O14" s="6"/>
      <c r="P14" s="10"/>
      <c r="Q14" s="2"/>
      <c r="R14" s="2"/>
      <c r="S14" s="2"/>
      <c r="T14" s="2"/>
      <c r="U14" s="2"/>
      <c r="V14" s="6"/>
      <c r="W14" s="2"/>
      <c r="X14" s="13"/>
      <c r="Y14" s="2"/>
      <c r="Z14" s="2"/>
      <c r="AA14" s="2"/>
      <c r="AB14" s="2"/>
    </row>
    <row r="15" spans="1:28" x14ac:dyDescent="0.3">
      <c r="A15" s="2"/>
      <c r="B15" s="2"/>
      <c r="C15" s="2"/>
      <c r="D15" s="6"/>
      <c r="E15" s="6"/>
      <c r="F15" s="2"/>
      <c r="G15" s="10"/>
      <c r="H15" s="2"/>
      <c r="I15" s="2"/>
      <c r="J15" s="2"/>
      <c r="K15" s="10"/>
      <c r="L15" s="2"/>
      <c r="M15" s="2"/>
      <c r="N15" s="2"/>
      <c r="O15" s="6"/>
      <c r="P15" s="10"/>
      <c r="Q15" s="2"/>
      <c r="R15" s="2"/>
      <c r="S15" s="2"/>
      <c r="T15" s="2"/>
      <c r="U15" s="2"/>
      <c r="V15" s="6"/>
      <c r="W15" s="2"/>
      <c r="X15" s="13"/>
      <c r="Y15" s="2"/>
      <c r="Z15" s="2"/>
      <c r="AA15" s="2"/>
      <c r="AB15" s="2"/>
    </row>
    <row r="16" spans="1:28" x14ac:dyDescent="0.3">
      <c r="A16" s="2"/>
      <c r="B16" s="2"/>
      <c r="C16" s="2"/>
      <c r="D16" s="6"/>
      <c r="E16" s="6"/>
      <c r="F16" s="2"/>
      <c r="G16" s="10"/>
      <c r="H16" s="2"/>
      <c r="I16" s="2"/>
      <c r="J16" s="2"/>
      <c r="K16" s="10"/>
      <c r="L16" s="2"/>
      <c r="M16" s="2"/>
      <c r="N16" s="2"/>
      <c r="O16" s="6"/>
      <c r="P16" s="10"/>
      <c r="Q16" s="2"/>
      <c r="R16" s="2"/>
      <c r="S16" s="2"/>
      <c r="T16" s="2"/>
      <c r="U16" s="2"/>
      <c r="V16" s="6"/>
      <c r="W16" s="2"/>
      <c r="X16" s="13"/>
      <c r="Y16" s="2"/>
      <c r="Z16" s="2"/>
      <c r="AA16" s="2"/>
      <c r="AB16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DELL</cp:lastModifiedBy>
  <dcterms:created xsi:type="dcterms:W3CDTF">2015-06-05T18:17:20Z</dcterms:created>
  <dcterms:modified xsi:type="dcterms:W3CDTF">2025-09-17T12:23:16Z</dcterms:modified>
</cp:coreProperties>
</file>