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BA314E9E-2DE7-4550-8C33-A289610C30D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" l="1"/>
  <c r="L7" i="1"/>
  <c r="E7" i="1"/>
  <c r="G7" i="1" s="1"/>
  <c r="E6" i="1"/>
  <c r="G6" i="1" s="1"/>
  <c r="L6" i="1"/>
  <c r="O6" i="1" s="1"/>
  <c r="L9" i="1"/>
  <c r="O9" i="1" s="1"/>
  <c r="G9" i="1"/>
  <c r="O3" i="1"/>
  <c r="E3" i="1"/>
  <c r="G3" i="1" s="1"/>
  <c r="E5" i="1"/>
  <c r="G5" i="1" s="1"/>
  <c r="L5" i="1"/>
  <c r="E4" i="1"/>
  <c r="G4" i="1" s="1"/>
  <c r="H7" i="1" l="1"/>
  <c r="R7" i="1" s="1"/>
  <c r="V7" i="1" s="1"/>
  <c r="J7" i="1"/>
  <c r="U7" i="1" s="1"/>
  <c r="H6" i="1"/>
  <c r="R6" i="1" s="1"/>
  <c r="J6" i="1"/>
  <c r="U6" i="1" s="1"/>
  <c r="K6" i="1"/>
  <c r="P6" i="1" s="1"/>
  <c r="J9" i="1"/>
  <c r="U9" i="1" s="1"/>
  <c r="H9" i="1"/>
  <c r="R9" i="1" s="1"/>
  <c r="V9" i="1" s="1"/>
  <c r="J3" i="1"/>
  <c r="U3" i="1" s="1"/>
  <c r="H3" i="1"/>
  <c r="R3" i="1" s="1"/>
  <c r="V3" i="1" s="1"/>
  <c r="J5" i="1"/>
  <c r="U5" i="1" s="1"/>
  <c r="O5" i="1"/>
  <c r="H5" i="1"/>
  <c r="R5" i="1" s="1"/>
  <c r="M4" i="1"/>
  <c r="J4" i="1"/>
  <c r="U4" i="1" s="1"/>
  <c r="H4" i="1"/>
  <c r="R4" i="1" s="1"/>
  <c r="L4" i="1"/>
  <c r="K7" i="1" l="1"/>
  <c r="P7" i="1" s="1"/>
  <c r="X7" i="1" s="1"/>
  <c r="V6" i="1"/>
  <c r="X6" i="1" s="1"/>
  <c r="K9" i="1"/>
  <c r="P9" i="1" s="1"/>
  <c r="X9" i="1" s="1"/>
  <c r="K3" i="1"/>
  <c r="P3" i="1" s="1"/>
  <c r="X3" i="1" s="1"/>
  <c r="W3" i="1" s="1"/>
  <c r="K5" i="1"/>
  <c r="P5" i="1" s="1"/>
  <c r="V5" i="1"/>
  <c r="O4" i="1"/>
  <c r="K4" i="1"/>
  <c r="V4" i="1"/>
  <c r="Y7" i="1" l="1"/>
  <c r="Z7" i="1" s="1"/>
  <c r="W7" i="1"/>
  <c r="Y6" i="1"/>
  <c r="Z6" i="1" s="1"/>
  <c r="W6" i="1"/>
  <c r="W9" i="1"/>
  <c r="Y9" i="1"/>
  <c r="Z9" i="1" s="1"/>
  <c r="Y3" i="1"/>
  <c r="Z3" i="1" s="1"/>
  <c r="X5" i="1"/>
  <c r="P4" i="1"/>
  <c r="X4" i="1" s="1"/>
  <c r="W4" i="1" s="1"/>
  <c r="Y4" i="1" l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" authorId="0" shapeId="0" xr:uid="{AD28CD2A-6F95-4BA7-BF55-9966A8699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9336CFC1-3459-4BF8-B3A8-5B547874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8713AFB4-3DF0-432A-8F9E-0D0B99DA63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B599E665-7579-4A84-B571-B267676937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<sst xmlns="http://schemas.openxmlformats.org/spreadsheetml/2006/main" count="32" uniqueCount="30">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</sst>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"/>
  <sheetViews>
    <sheetView tabSelected="1" topLeftCell="I1" workbookViewId="0">
      <selection activeCell="Q9" sqref="Q9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5" width="8.85546875" style="5"/>
    <col min="6" max="6" width="6.28515625" customWidth="1"/>
    <col min="7" max="7" width="8.85546875" style="9"/>
    <col min="11" max="11" width="8.85546875" style="9"/>
    <col min="13" max="13" width="7.28515625" customWidth="1"/>
    <col min="14" max="14" width="5.140625" customWidth="1"/>
    <col min="15" max="15" width="8.5703125" style="5" customWidth="1"/>
    <col min="16" max="16" width="8" style="9" customWidth="1"/>
    <col min="17" max="17" width="6.85546875" customWidth="1"/>
    <col min="18" max="18" width="7.7109375" customWidth="1"/>
    <col min="20" max="20" width="8.85546875" customWidth="1"/>
    <col min="21" max="21" width="14.42578125" customWidth="1"/>
    <col min="22" max="22" width="8.85546875" style="5"/>
    <col min="24" max="24" width="8.85546875" style="11"/>
    <col min="27" max="27" width="8.8554687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/>
      <c r="E8" s="4"/>
      <c r="F8" s="2"/>
      <c r="G8" s="8"/>
      <c r="H8" s="2"/>
      <c r="I8" s="2"/>
      <c r="J8" s="2"/>
      <c r="K8" s="8"/>
      <c r="L8" s="2"/>
      <c r="M8" s="2"/>
      <c r="N8" s="2"/>
      <c r="O8" s="4"/>
      <c r="P8" s="8"/>
      <c r="Q8" s="2"/>
      <c r="R8" s="2"/>
      <c r="S8" s="2"/>
      <c r="T8" s="2"/>
      <c r="U8" s="2"/>
      <c r="V8" s="4"/>
      <c r="W8" s="2"/>
      <c r="X8" s="10"/>
      <c r="Y8" s="2"/>
      <c r="Z8" s="2"/>
      <c r="AA8" s="2"/>
      <c r="AB8" s="2"/>
    </row>
    <row r="9" spans="1:28" x14ac:dyDescent="0.25">
      <c r="A9" s="2"/>
      <c r="B9" s="2"/>
      <c r="C9" s="2"/>
      <c r="D9" s="4">
        <v>43689</v>
      </c>
      <c r="E9" s="4">
        <v>0</v>
      </c>
      <c r="F9" s="2"/>
      <c r="G9" s="8">
        <f>SUM(D9:F9)</f>
        <v>43689</v>
      </c>
      <c r="H9" s="2">
        <f>10%*G9</f>
        <v>4368.9000000000005</v>
      </c>
      <c r="I9" s="2">
        <v>400</v>
      </c>
      <c r="J9" s="2">
        <f>6%*G9</f>
        <v>2621.3399999999997</v>
      </c>
      <c r="K9" s="8">
        <f>SUM(G9:J9)</f>
        <v>51079.24</v>
      </c>
      <c r="L9" s="2">
        <f>2000+3000</f>
        <v>5000</v>
      </c>
      <c r="M9" s="2">
        <v>0</v>
      </c>
      <c r="N9" s="2"/>
      <c r="O9" s="4">
        <f>SUM(L9:M9)</f>
        <v>5000</v>
      </c>
      <c r="P9" s="8">
        <f>K9+O9</f>
        <v>56079.24</v>
      </c>
      <c r="Q9" s="2">
        <v>801</v>
      </c>
      <c r="R9" s="2">
        <f>H9*2</f>
        <v>8737.8000000000011</v>
      </c>
      <c r="S9" s="2">
        <v>1000</v>
      </c>
      <c r="T9" s="2"/>
      <c r="U9" s="2">
        <f>J9*2</f>
        <v>5242.6799999999994</v>
      </c>
      <c r="V9" s="4">
        <f>SUM(Q9:U9)</f>
        <v>15781.48</v>
      </c>
      <c r="W9" s="2">
        <f>X9+U9</f>
        <v>45540.439999999995</v>
      </c>
      <c r="X9" s="10">
        <f>P9-V9</f>
        <v>40297.759999999995</v>
      </c>
      <c r="Y9" s="2">
        <f>IF(X9*13&gt;600000,1%*X9,0)</f>
        <v>0</v>
      </c>
      <c r="Z9" s="2">
        <f>X9-Y9</f>
        <v>40297.759999999995</v>
      </c>
      <c r="AA9" s="2"/>
      <c r="AB9" s="2"/>
    </row>
    <row r="10" spans="1:28" x14ac:dyDescent="0.25">
      <c r="A10" s="2"/>
      <c r="B10" s="2"/>
      <c r="C10" s="2"/>
      <c r="D10" s="4"/>
      <c r="E10" s="4"/>
      <c r="F10" s="2"/>
      <c r="G10" s="8"/>
      <c r="H10" s="2"/>
      <c r="I10" s="2"/>
      <c r="J10" s="2"/>
      <c r="K10" s="8"/>
      <c r="L10" s="2"/>
      <c r="M10" s="2"/>
      <c r="N10" s="2"/>
      <c r="O10" s="4"/>
      <c r="P10" s="8"/>
      <c r="Q10" s="2"/>
      <c r="R10" s="2"/>
      <c r="S10" s="2"/>
      <c r="T10" s="2"/>
      <c r="U10" s="2"/>
      <c r="V10" s="4"/>
      <c r="W10" s="2"/>
      <c r="X10" s="10"/>
      <c r="Y10" s="2"/>
      <c r="Z10" s="2"/>
      <c r="AA10" s="2"/>
      <c r="AB10" s="2"/>
    </row>
    <row r="11" spans="1:28" x14ac:dyDescent="0.25">
      <c r="A11" s="2"/>
      <c r="B11" s="2"/>
      <c r="C11" s="2"/>
      <c r="D11" s="4"/>
      <c r="E11" s="4"/>
      <c r="F11" s="2"/>
      <c r="G11" s="8"/>
      <c r="H11" s="2"/>
      <c r="I11" s="2"/>
      <c r="J11" s="2"/>
      <c r="K11" s="8"/>
      <c r="L11" s="2"/>
      <c r="M11" s="2"/>
      <c r="N11" s="2"/>
      <c r="O11" s="4"/>
      <c r="P11" s="8"/>
      <c r="Q11" s="2"/>
      <c r="R11" s="2"/>
      <c r="S11" s="2"/>
      <c r="T11" s="2"/>
      <c r="U11" s="2"/>
      <c r="V11" s="4"/>
      <c r="W11" s="2"/>
      <c r="X11" s="10"/>
      <c r="Y11" s="2"/>
      <c r="Z11" s="2"/>
      <c r="AA11" s="2"/>
      <c r="AB11" s="2"/>
    </row>
    <row r="12" spans="1:28" x14ac:dyDescent="0.25">
      <c r="A12" s="2"/>
      <c r="B12" s="2"/>
      <c r="C12" s="2"/>
      <c r="D12" s="4"/>
      <c r="E12" s="4"/>
      <c r="F12" s="2"/>
      <c r="G12" s="8"/>
      <c r="H12" s="2"/>
      <c r="I12" s="2"/>
      <c r="J12" s="2"/>
      <c r="K12" s="8"/>
      <c r="L12" s="2"/>
      <c r="M12" s="2"/>
      <c r="N12" s="2"/>
      <c r="O12" s="4"/>
      <c r="P12" s="8"/>
      <c r="Q12" s="2"/>
      <c r="R12" s="2"/>
      <c r="S12" s="2"/>
      <c r="T12" s="2"/>
      <c r="U12" s="2"/>
      <c r="V12" s="4"/>
      <c r="W12" s="2"/>
      <c r="X12" s="10"/>
      <c r="Y12" s="2"/>
      <c r="Z12" s="2"/>
      <c r="AA12" s="2"/>
      <c r="AB12" s="2"/>
    </row>
    <row r="13" spans="1:28" x14ac:dyDescent="0.25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25">
      <c r="A14" s="2"/>
      <c r="B14" s="2"/>
      <c r="C14" s="2"/>
      <c r="D14" s="4"/>
      <c r="E14" s="4"/>
      <c r="F14" s="2"/>
      <c r="G14" s="8"/>
      <c r="H14" s="2"/>
      <c r="I14" s="2"/>
      <c r="J14" s="2"/>
      <c r="K14" s="8"/>
      <c r="L14" s="2"/>
      <c r="M14" s="2"/>
      <c r="N14" s="2"/>
      <c r="O14" s="4"/>
      <c r="P14" s="8"/>
      <c r="Q14" s="2"/>
      <c r="R14" s="2"/>
      <c r="S14" s="2"/>
      <c r="T14" s="2"/>
      <c r="U14" s="2"/>
      <c r="V14" s="4"/>
      <c r="W14" s="2"/>
      <c r="X14" s="10"/>
      <c r="Y14" s="2"/>
      <c r="Z14" s="2"/>
      <c r="AA14" s="2"/>
      <c r="AB14" s="2"/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/>
      <c r="L15" s="2"/>
      <c r="M15" s="2"/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4"/>
      <c r="W17" s="2"/>
      <c r="X17" s="10"/>
      <c r="Y17" s="2"/>
      <c r="Z17" s="2"/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2025-11-26T05:46:18Z</dcterms:modified>
</cp:coreProperties>
</file>