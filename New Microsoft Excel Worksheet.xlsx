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G:\2082_2083\"/>
    </mc:Choice>
  </mc:AlternateContent>
  <xr:revisionPtr revIDLastSave="0" documentId="13_ncr:1_{8D324B80-E6C5-40BB-8BA0-568CC1F90A4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1" l="1"/>
  <c r="G6" i="1" s="1"/>
  <c r="L6" i="1"/>
  <c r="O6" i="1" s="1"/>
  <c r="L9" i="1"/>
  <c r="O9" i="1" s="1"/>
  <c r="G9" i="1"/>
  <c r="O3" i="1"/>
  <c r="E3" i="1"/>
  <c r="G3" i="1" s="1"/>
  <c r="E5" i="1"/>
  <c r="G5" i="1" s="1"/>
  <c r="L5" i="1"/>
  <c r="E4" i="1"/>
  <c r="G4" i="1" s="1"/>
  <c r="H6" i="1" l="1"/>
  <c r="R6" i="1" s="1"/>
  <c r="J6" i="1"/>
  <c r="U6" i="1" s="1"/>
  <c r="K6" i="1"/>
  <c r="P6" i="1" s="1"/>
  <c r="J9" i="1"/>
  <c r="U9" i="1" s="1"/>
  <c r="H9" i="1"/>
  <c r="R9" i="1" s="1"/>
  <c r="V9" i="1" s="1"/>
  <c r="J3" i="1"/>
  <c r="U3" i="1" s="1"/>
  <c r="H3" i="1"/>
  <c r="R3" i="1" s="1"/>
  <c r="V3" i="1" s="1"/>
  <c r="J5" i="1"/>
  <c r="U5" i="1" s="1"/>
  <c r="O5" i="1"/>
  <c r="H5" i="1"/>
  <c r="R5" i="1" s="1"/>
  <c r="M4" i="1"/>
  <c r="J4" i="1"/>
  <c r="U4" i="1" s="1"/>
  <c r="H4" i="1"/>
  <c r="R4" i="1" s="1"/>
  <c r="L4" i="1"/>
  <c r="V6" i="1" l="1"/>
  <c r="X6" i="1" s="1"/>
  <c r="K9" i="1"/>
  <c r="P9" i="1" s="1"/>
  <c r="X9" i="1" s="1"/>
  <c r="K3" i="1"/>
  <c r="P3" i="1" s="1"/>
  <c r="X3" i="1" s="1"/>
  <c r="W3" i="1" s="1"/>
  <c r="K5" i="1"/>
  <c r="P5" i="1" s="1"/>
  <c r="V5" i="1"/>
  <c r="O4" i="1"/>
  <c r="K4" i="1"/>
  <c r="V4" i="1"/>
  <c r="Y6" i="1" l="1"/>
  <c r="Z6" i="1" s="1"/>
  <c r="W6" i="1"/>
  <c r="W9" i="1"/>
  <c r="Y9" i="1"/>
  <c r="Z9" i="1" s="1"/>
  <c r="Y3" i="1"/>
  <c r="Z3" i="1" s="1"/>
  <c r="X5" i="1"/>
  <c r="P4" i="1"/>
  <c r="X4" i="1" s="1"/>
  <c r="W4" i="1" s="1"/>
  <c r="Y4" i="1" l="1"/>
  <c r="Z4" i="1" s="1"/>
  <c r="W5" i="1"/>
  <c r="Y5" i="1"/>
  <c r="Z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" authorId="0" shapeId="0" xr:uid="{AD28CD2A-6F95-4BA7-BF55-9966A8699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bhadra</t>
        </r>
      </text>
    </comment>
    <comment ref="D5" authorId="0" shapeId="0" xr:uid="{9336CFC1-3459-4BF8-B3A8-5B54787456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Ashwin</t>
        </r>
      </text>
    </comment>
    <comment ref="D6" authorId="0" shapeId="0" xr:uid="{8713AFB4-3DF0-432A-8F9E-0D0B99DA63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Kartik</t>
        </r>
      </text>
    </comment>
  </commentList>
</comments>
</file>

<file path=xl/sharedStrings.xml><?xml version="1.0" encoding="utf-8"?>
<sst xmlns="http://schemas.openxmlformats.org/spreadsheetml/2006/main" count="32" uniqueCount="30">
  <si>
    <t>l;= g+=</t>
  </si>
  <si>
    <t>bhf{</t>
  </si>
  <si>
    <t>gfd, y/</t>
  </si>
  <si>
    <t>tna :s]n</t>
  </si>
  <si>
    <t>u|]8 ?</t>
  </si>
  <si>
    <t>;dfof]hg u|]8</t>
  </si>
  <si>
    <t>hDdf tna</t>
  </si>
  <si>
    <t>s=;= sf];</t>
  </si>
  <si>
    <t>aLdf yk</t>
  </si>
  <si>
    <t>k]G;g sf]if</t>
  </si>
  <si>
    <t>dx+uL eQf</t>
  </si>
  <si>
    <t>kf]iffs vr{</t>
  </si>
  <si>
    <t>hDdf eQf</t>
  </si>
  <si>
    <t>hDdf tna eQf</t>
  </si>
  <si>
    <t>ladf s6\6L</t>
  </si>
  <si>
    <t>s= ;= sf]if</t>
  </si>
  <si>
    <t>gf= nufgL sf]if</t>
  </si>
  <si>
    <t>s= ;+= sf]if ;fk6L</t>
  </si>
  <si>
    <t>hDdf s6\6L</t>
  </si>
  <si>
    <t>afFsL kfpg]</t>
  </si>
  <si>
    <t>! k|ltzt ;fdflhs ;'/Iff s/</t>
  </si>
  <si>
    <t>v'b kfpg] /sd</t>
  </si>
  <si>
    <t>kfg g+</t>
  </si>
  <si>
    <t>u|]8 a[l4 x'g] dlxgf</t>
  </si>
  <si>
    <t>tna</t>
  </si>
  <si>
    <t>eQf</t>
  </si>
  <si>
    <t>s6\6L</t>
  </si>
  <si>
    <t>s/ of]Uo cfo</t>
  </si>
  <si>
    <t>k]G;g sf]if yk -of]ubfgdf cfwfl/t lgj[Qe/0f tyf pkbfg sf]if_</t>
  </si>
  <si>
    <t>cGo eQf -rfF8kj{ vr{_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</si>
</sst>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Preeti"/>
    </font>
    <font>
      <b/>
      <sz val="11"/>
      <color theme="1"/>
      <name val="Preeti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3" fillId="0" borderId="0" xfId="0" applyFont="1"/>
    <xf numFmtId="0" fontId="2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3" fillId="2" borderId="0" xfId="0" applyFont="1" applyFill="1"/>
    <xf numFmtId="0" fontId="0" fillId="2" borderId="1" xfId="0" applyFill="1" applyBorder="1"/>
    <xf numFmtId="0" fontId="0" fillId="2" borderId="0" xfId="0" applyFill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9"/>
  <sheetViews>
    <sheetView tabSelected="1" topLeftCell="H1" workbookViewId="0">
      <selection activeCell="G11" sqref="G11"/>
    </sheetView>
  </sheetViews>
  <sheetFormatPr defaultRowHeight="15" x14ac:dyDescent="0.25"/>
  <cols>
    <col min="1" max="1" width="5.140625" bestFit="1" customWidth="1"/>
    <col min="2" max="2" width="4.140625" hidden="1" customWidth="1"/>
    <col min="3" max="3" width="4.28515625" customWidth="1"/>
    <col min="4" max="5" width="8.85546875" style="5"/>
    <col min="6" max="6" width="6.28515625" customWidth="1"/>
    <col min="7" max="7" width="8.85546875" style="9"/>
    <col min="11" max="11" width="8.85546875" style="9"/>
    <col min="13" max="13" width="7.28515625" customWidth="1"/>
    <col min="14" max="14" width="5.140625" customWidth="1"/>
    <col min="15" max="15" width="8.5703125" style="5" customWidth="1"/>
    <col min="16" max="16" width="8" style="9" customWidth="1"/>
    <col min="17" max="17" width="6.85546875" customWidth="1"/>
    <col min="18" max="18" width="7.7109375" customWidth="1"/>
    <col min="20" max="20" width="8.85546875" customWidth="1"/>
    <col min="21" max="21" width="14.42578125" customWidth="1"/>
    <col min="22" max="22" width="8.85546875" style="5"/>
    <col min="24" max="24" width="8.85546875" style="11"/>
    <col min="27" max="27" width="8.85546875" customWidth="1"/>
  </cols>
  <sheetData>
    <row r="1" spans="1:28" s="1" customFormat="1" ht="15" customHeight="1" x14ac:dyDescent="0.2">
      <c r="A1" s="12" t="s">
        <v>0</v>
      </c>
      <c r="B1" s="12" t="s">
        <v>1</v>
      </c>
      <c r="C1" s="12" t="s">
        <v>2</v>
      </c>
      <c r="D1" s="13" t="s">
        <v>24</v>
      </c>
      <c r="E1" s="13"/>
      <c r="F1" s="13"/>
      <c r="G1" s="13"/>
      <c r="H1" s="13" t="s">
        <v>24</v>
      </c>
      <c r="I1" s="13"/>
      <c r="J1" s="13"/>
      <c r="K1" s="13"/>
      <c r="L1" s="13" t="s">
        <v>25</v>
      </c>
      <c r="M1" s="13"/>
      <c r="N1" s="13"/>
      <c r="O1" s="13"/>
      <c r="P1" s="14" t="s">
        <v>13</v>
      </c>
      <c r="Q1" s="13" t="s">
        <v>26</v>
      </c>
      <c r="R1" s="13"/>
      <c r="S1" s="13"/>
      <c r="T1" s="13"/>
      <c r="U1" s="13"/>
      <c r="V1" s="13"/>
      <c r="W1" s="12" t="s">
        <v>27</v>
      </c>
      <c r="X1" s="14" t="s">
        <v>19</v>
      </c>
      <c r="Y1" s="12" t="s">
        <v>20</v>
      </c>
      <c r="Z1" s="12" t="s">
        <v>21</v>
      </c>
      <c r="AA1" s="12" t="s">
        <v>22</v>
      </c>
      <c r="AB1" s="12" t="s">
        <v>23</v>
      </c>
    </row>
    <row r="2" spans="1:28" s="6" customFormat="1" ht="71.25" x14ac:dyDescent="0.25">
      <c r="A2" s="12"/>
      <c r="B2" s="12"/>
      <c r="C2" s="12"/>
      <c r="D2" s="3" t="s">
        <v>3</v>
      </c>
      <c r="E2" s="3" t="s">
        <v>4</v>
      </c>
      <c r="F2" s="3" t="s">
        <v>5</v>
      </c>
      <c r="G2" s="7" t="s">
        <v>6</v>
      </c>
      <c r="H2" s="3" t="s">
        <v>7</v>
      </c>
      <c r="I2" s="3" t="s">
        <v>8</v>
      </c>
      <c r="J2" s="3" t="s">
        <v>9</v>
      </c>
      <c r="K2" s="7" t="s">
        <v>6</v>
      </c>
      <c r="L2" s="3" t="s">
        <v>10</v>
      </c>
      <c r="M2" s="3" t="s">
        <v>29</v>
      </c>
      <c r="N2" s="3" t="s">
        <v>11</v>
      </c>
      <c r="O2" s="3" t="s">
        <v>12</v>
      </c>
      <c r="P2" s="14"/>
      <c r="Q2" s="3" t="s">
        <v>14</v>
      </c>
      <c r="R2" s="3" t="s">
        <v>15</v>
      </c>
      <c r="S2" s="3" t="s">
        <v>16</v>
      </c>
      <c r="T2" s="3" t="s">
        <v>17</v>
      </c>
      <c r="U2" s="3" t="s">
        <v>28</v>
      </c>
      <c r="V2" s="3" t="s">
        <v>18</v>
      </c>
      <c r="W2" s="12"/>
      <c r="X2" s="14"/>
      <c r="Y2" s="12"/>
      <c r="Z2" s="12"/>
      <c r="AA2" s="12"/>
      <c r="AB2" s="12"/>
    </row>
    <row r="3" spans="1:28" x14ac:dyDescent="0.25">
      <c r="A3" s="2"/>
      <c r="B3" s="2"/>
      <c r="C3" s="2"/>
      <c r="D3" s="4">
        <v>32902</v>
      </c>
      <c r="E3" s="4">
        <f>ROUNDUP(D3/30,0)*4</f>
        <v>4388</v>
      </c>
      <c r="F3" s="2"/>
      <c r="G3" s="8">
        <f>SUM(D3:F3)</f>
        <v>37290</v>
      </c>
      <c r="H3" s="2">
        <f>10%*G3</f>
        <v>3729</v>
      </c>
      <c r="I3" s="2">
        <v>400</v>
      </c>
      <c r="J3" s="2">
        <f>6%*G3</f>
        <v>2237.4</v>
      </c>
      <c r="K3" s="8">
        <f>SUM(G3:J3)</f>
        <v>43656.4</v>
      </c>
      <c r="L3" s="2">
        <v>2000</v>
      </c>
      <c r="M3" s="2">
        <v>0</v>
      </c>
      <c r="N3" s="2"/>
      <c r="O3" s="4">
        <f>SUM(L3:M3)</f>
        <v>2000</v>
      </c>
      <c r="P3" s="8">
        <f>K3+O3</f>
        <v>45656.4</v>
      </c>
      <c r="Q3" s="2">
        <v>800</v>
      </c>
      <c r="R3" s="2">
        <f>H3*2</f>
        <v>7458</v>
      </c>
      <c r="S3" s="2">
        <v>5000</v>
      </c>
      <c r="T3" s="2"/>
      <c r="U3" s="2">
        <f>J3*2</f>
        <v>4474.8</v>
      </c>
      <c r="V3" s="4">
        <f>SUM(Q3:U3)</f>
        <v>17732.8</v>
      </c>
      <c r="W3" s="2">
        <f>X3+U3</f>
        <v>32398.400000000001</v>
      </c>
      <c r="X3" s="10">
        <f>P3-V3</f>
        <v>27923.600000000002</v>
      </c>
      <c r="Y3" s="2">
        <f>IF(X3*13&gt;600000,1%*X3,0)</f>
        <v>0</v>
      </c>
      <c r="Z3" s="2">
        <f>X3-Y3</f>
        <v>27923.600000000002</v>
      </c>
      <c r="AA3" s="2"/>
      <c r="AB3" s="2"/>
    </row>
    <row r="4" spans="1:28" x14ac:dyDescent="0.25">
      <c r="A4" s="2"/>
      <c r="B4" s="2"/>
      <c r="C4" s="2"/>
      <c r="D4" s="4">
        <v>34730</v>
      </c>
      <c r="E4" s="4">
        <f>ROUNDUP(D4/30,0)*4</f>
        <v>4632</v>
      </c>
      <c r="F4" s="2"/>
      <c r="G4" s="8">
        <f>SUM(D4:F4)</f>
        <v>39362</v>
      </c>
      <c r="H4" s="2">
        <f>10%*G4</f>
        <v>3936.2000000000003</v>
      </c>
      <c r="I4" s="2">
        <v>400</v>
      </c>
      <c r="J4" s="2">
        <f>6%*G4</f>
        <v>2361.7199999999998</v>
      </c>
      <c r="K4" s="8">
        <f>SUM(G4:J4)</f>
        <v>46059.92</v>
      </c>
      <c r="L4" s="2">
        <f>2000+3000</f>
        <v>5000</v>
      </c>
      <c r="M4" s="2">
        <f>G4</f>
        <v>39362</v>
      </c>
      <c r="N4" s="2"/>
      <c r="O4" s="4">
        <f>SUM(L4:M4)</f>
        <v>44362</v>
      </c>
      <c r="P4" s="8">
        <f>K4+O4</f>
        <v>90421.92</v>
      </c>
      <c r="Q4" s="2">
        <v>800</v>
      </c>
      <c r="R4" s="2">
        <f>H4*2</f>
        <v>7872.4000000000005</v>
      </c>
      <c r="S4" s="2">
        <v>5000</v>
      </c>
      <c r="T4" s="2"/>
      <c r="U4" s="2">
        <f>J4*2</f>
        <v>4723.4399999999996</v>
      </c>
      <c r="V4" s="4">
        <f>SUM(Q4:U4)</f>
        <v>18395.84</v>
      </c>
      <c r="W4" s="2">
        <f>X4+U4</f>
        <v>76749.52</v>
      </c>
      <c r="X4" s="10">
        <f>P4-V4</f>
        <v>72026.080000000002</v>
      </c>
      <c r="Y4" s="2">
        <f>IF(X4*13&gt;600000,1%*X4,0)</f>
        <v>720.26080000000002</v>
      </c>
      <c r="Z4" s="2">
        <f>X4-Y4</f>
        <v>71305.819199999998</v>
      </c>
      <c r="AA4" s="2"/>
      <c r="AB4" s="2"/>
    </row>
    <row r="5" spans="1:28" x14ac:dyDescent="0.25">
      <c r="A5" s="2"/>
      <c r="B5" s="2"/>
      <c r="C5" s="2"/>
      <c r="D5" s="4">
        <v>34730</v>
      </c>
      <c r="E5" s="4">
        <f>ROUNDUP(D5/30,0)*4</f>
        <v>4632</v>
      </c>
      <c r="F5" s="2"/>
      <c r="G5" s="8">
        <f>SUM(D5:F5)</f>
        <v>39362</v>
      </c>
      <c r="H5" s="2">
        <f>10%*G5</f>
        <v>3936.2000000000003</v>
      </c>
      <c r="I5" s="2">
        <v>400</v>
      </c>
      <c r="J5" s="2">
        <f>6%*G5</f>
        <v>2361.7199999999998</v>
      </c>
      <c r="K5" s="8">
        <f>SUM(G5:J5)</f>
        <v>46059.92</v>
      </c>
      <c r="L5" s="2">
        <f>2000+3000</f>
        <v>5000</v>
      </c>
      <c r="M5" s="2">
        <v>0</v>
      </c>
      <c r="N5" s="2"/>
      <c r="O5" s="4">
        <f>SUM(L5:M5)</f>
        <v>5000</v>
      </c>
      <c r="P5" s="8">
        <f>K5+O5</f>
        <v>51059.92</v>
      </c>
      <c r="Q5" s="2">
        <v>800</v>
      </c>
      <c r="R5" s="2">
        <f>H5*2</f>
        <v>7872.4000000000005</v>
      </c>
      <c r="S5" s="2">
        <v>5000</v>
      </c>
      <c r="T5" s="2"/>
      <c r="U5" s="2">
        <f>J5*2</f>
        <v>4723.4399999999996</v>
      </c>
      <c r="V5" s="4">
        <f>SUM(Q5:U5)</f>
        <v>18395.84</v>
      </c>
      <c r="W5" s="2">
        <f>X5+U5</f>
        <v>37387.519999999997</v>
      </c>
      <c r="X5" s="10">
        <f>P5-V5</f>
        <v>32664.079999999998</v>
      </c>
      <c r="Y5" s="2">
        <f>IF(X5*13&gt;600000,1%*X5,0)</f>
        <v>0</v>
      </c>
      <c r="Z5" s="2">
        <f>X5-Y5</f>
        <v>32664.079999999998</v>
      </c>
      <c r="AA5" s="2"/>
      <c r="AB5" s="2"/>
    </row>
    <row r="6" spans="1:28" x14ac:dyDescent="0.25">
      <c r="A6" s="2"/>
      <c r="B6" s="2"/>
      <c r="C6" s="2"/>
      <c r="D6" s="4">
        <v>34730</v>
      </c>
      <c r="E6" s="4">
        <f>ROUNDUP(D6/30,0)*4</f>
        <v>4632</v>
      </c>
      <c r="F6" s="2"/>
      <c r="G6" s="8">
        <f>SUM(D6:F6)</f>
        <v>39362</v>
      </c>
      <c r="H6" s="2">
        <f>10%*G6</f>
        <v>3936.2000000000003</v>
      </c>
      <c r="I6" s="2">
        <v>400</v>
      </c>
      <c r="J6" s="2">
        <f>6%*G6</f>
        <v>2361.7199999999998</v>
      </c>
      <c r="K6" s="8">
        <f>SUM(G6:J6)</f>
        <v>46059.92</v>
      </c>
      <c r="L6" s="2">
        <f>2000+3000</f>
        <v>5000</v>
      </c>
      <c r="M6" s="2">
        <v>0</v>
      </c>
      <c r="N6" s="2"/>
      <c r="O6" s="4">
        <f>SUM(L6:M6)</f>
        <v>5000</v>
      </c>
      <c r="P6" s="8">
        <f>K6+O6</f>
        <v>51059.92</v>
      </c>
      <c r="Q6" s="2">
        <v>800</v>
      </c>
      <c r="R6" s="2">
        <f>H6*2</f>
        <v>7872.4000000000005</v>
      </c>
      <c r="S6" s="2">
        <v>5000</v>
      </c>
      <c r="T6" s="2"/>
      <c r="U6" s="2">
        <f>J6*2</f>
        <v>4723.4399999999996</v>
      </c>
      <c r="V6" s="4">
        <f>SUM(Q6:U6)</f>
        <v>18395.84</v>
      </c>
      <c r="W6" s="2">
        <f>X6+U6</f>
        <v>37387.519999999997</v>
      </c>
      <c r="X6" s="10">
        <f>P6-V6</f>
        <v>32664.079999999998</v>
      </c>
      <c r="Y6" s="2">
        <f>IF(X6*13&gt;600000,1%*X6,0)</f>
        <v>0</v>
      </c>
      <c r="Z6" s="2">
        <f>X6-Y6</f>
        <v>32664.079999999998</v>
      </c>
      <c r="AA6" s="2"/>
      <c r="AB6" s="2"/>
    </row>
    <row r="7" spans="1:28" x14ac:dyDescent="0.25">
      <c r="A7" s="2"/>
      <c r="B7" s="2"/>
      <c r="C7" s="2"/>
      <c r="D7" s="4"/>
      <c r="E7" s="4"/>
      <c r="F7" s="2"/>
      <c r="G7" s="8"/>
      <c r="H7" s="2"/>
      <c r="I7" s="2"/>
      <c r="J7" s="2"/>
      <c r="K7" s="8"/>
      <c r="L7" s="2"/>
      <c r="M7" s="2"/>
      <c r="N7" s="2"/>
      <c r="O7" s="4"/>
      <c r="P7" s="8"/>
      <c r="Q7" s="2"/>
      <c r="R7" s="2"/>
      <c r="S7" s="2"/>
      <c r="T7" s="2"/>
      <c r="U7" s="2"/>
      <c r="V7" s="4"/>
      <c r="W7" s="2"/>
      <c r="X7" s="10"/>
      <c r="Y7" s="2"/>
      <c r="Z7" s="2"/>
      <c r="AA7" s="2"/>
      <c r="AB7" s="2"/>
    </row>
    <row r="8" spans="1:28" x14ac:dyDescent="0.25">
      <c r="A8" s="2"/>
      <c r="B8" s="2"/>
      <c r="C8" s="2"/>
      <c r="D8" s="4"/>
      <c r="E8" s="4"/>
      <c r="F8" s="2"/>
      <c r="G8" s="8"/>
      <c r="H8" s="2"/>
      <c r="I8" s="2"/>
      <c r="J8" s="2"/>
      <c r="K8" s="8"/>
      <c r="L8" s="2"/>
      <c r="M8" s="2"/>
      <c r="N8" s="2"/>
      <c r="O8" s="4"/>
      <c r="P8" s="8"/>
      <c r="Q8" s="2"/>
      <c r="R8" s="2"/>
      <c r="S8" s="2"/>
      <c r="T8" s="2"/>
      <c r="U8" s="2"/>
      <c r="V8" s="4"/>
      <c r="W8" s="2"/>
      <c r="X8" s="10"/>
      <c r="Y8" s="2"/>
      <c r="Z8" s="2"/>
      <c r="AA8" s="2"/>
      <c r="AB8" s="2"/>
    </row>
    <row r="9" spans="1:28" x14ac:dyDescent="0.25">
      <c r="A9" s="2"/>
      <c r="B9" s="2"/>
      <c r="C9" s="2"/>
      <c r="D9" s="4">
        <v>43689</v>
      </c>
      <c r="E9" s="4">
        <v>0</v>
      </c>
      <c r="F9" s="2"/>
      <c r="G9" s="8">
        <f>SUM(D9:F9)</f>
        <v>43689</v>
      </c>
      <c r="H9" s="2">
        <f>10%*G9</f>
        <v>4368.9000000000005</v>
      </c>
      <c r="I9" s="2">
        <v>400</v>
      </c>
      <c r="J9" s="2">
        <f>6%*G9</f>
        <v>2621.3399999999997</v>
      </c>
      <c r="K9" s="8">
        <f>SUM(G9:J9)</f>
        <v>51079.24</v>
      </c>
      <c r="L9" s="2">
        <f>2000+3000</f>
        <v>5000</v>
      </c>
      <c r="M9" s="2">
        <v>0</v>
      </c>
      <c r="N9" s="2"/>
      <c r="O9" s="4">
        <f>SUM(L9:M9)</f>
        <v>5000</v>
      </c>
      <c r="P9" s="8">
        <f>K9+O9</f>
        <v>56079.24</v>
      </c>
      <c r="Q9" s="2">
        <v>801</v>
      </c>
      <c r="R9" s="2">
        <f>H9*2</f>
        <v>8737.8000000000011</v>
      </c>
      <c r="S9" s="2">
        <v>1000</v>
      </c>
      <c r="T9" s="2"/>
      <c r="U9" s="2">
        <f>J9*2</f>
        <v>5242.6799999999994</v>
      </c>
      <c r="V9" s="4">
        <f>SUM(Q9:U9)</f>
        <v>15781.48</v>
      </c>
      <c r="W9" s="2">
        <f>X9+U9</f>
        <v>45540.439999999995</v>
      </c>
      <c r="X9" s="10">
        <f>P9-V9</f>
        <v>40297.759999999995</v>
      </c>
      <c r="Y9" s="2">
        <f>IF(X9*13&gt;600000,1%*X9,0)</f>
        <v>0</v>
      </c>
      <c r="Z9" s="2">
        <f>X9-Y9</f>
        <v>40297.759999999995</v>
      </c>
      <c r="AA9" s="2"/>
      <c r="AB9" s="2"/>
    </row>
    <row r="10" spans="1:28" x14ac:dyDescent="0.25">
      <c r="A10" s="2"/>
      <c r="B10" s="2"/>
      <c r="C10" s="2"/>
      <c r="D10" s="4"/>
      <c r="E10" s="4"/>
      <c r="F10" s="2"/>
      <c r="G10" s="8"/>
      <c r="H10" s="2"/>
      <c r="I10" s="2"/>
      <c r="J10" s="2"/>
      <c r="K10" s="8"/>
      <c r="L10" s="2"/>
      <c r="M10" s="2"/>
      <c r="N10" s="2"/>
      <c r="O10" s="4"/>
      <c r="P10" s="8"/>
      <c r="Q10" s="2"/>
      <c r="R10" s="2"/>
      <c r="S10" s="2"/>
      <c r="T10" s="2"/>
      <c r="U10" s="2"/>
      <c r="V10" s="4"/>
      <c r="W10" s="2"/>
      <c r="X10" s="10"/>
      <c r="Y10" s="2"/>
      <c r="Z10" s="2"/>
      <c r="AA10" s="2"/>
      <c r="AB10" s="2"/>
    </row>
    <row r="11" spans="1:28" x14ac:dyDescent="0.25">
      <c r="A11" s="2"/>
      <c r="B11" s="2"/>
      <c r="C11" s="2"/>
      <c r="D11" s="4"/>
      <c r="E11" s="4"/>
      <c r="F11" s="2"/>
      <c r="G11" s="8"/>
      <c r="H11" s="2"/>
      <c r="I11" s="2"/>
      <c r="J11" s="2"/>
      <c r="K11" s="8"/>
      <c r="L11" s="2"/>
      <c r="M11" s="2"/>
      <c r="N11" s="2"/>
      <c r="O11" s="4"/>
      <c r="P11" s="8"/>
      <c r="Q11" s="2"/>
      <c r="R11" s="2"/>
      <c r="S11" s="2"/>
      <c r="T11" s="2"/>
      <c r="U11" s="2"/>
      <c r="V11" s="4"/>
      <c r="W11" s="2"/>
      <c r="X11" s="10"/>
      <c r="Y11" s="2"/>
      <c r="Z11" s="2"/>
      <c r="AA11" s="2"/>
      <c r="AB11" s="2"/>
    </row>
    <row r="12" spans="1:28" x14ac:dyDescent="0.25">
      <c r="A12" s="2"/>
      <c r="B12" s="2"/>
      <c r="C12" s="2"/>
      <c r="D12" s="4"/>
      <c r="E12" s="4"/>
      <c r="F12" s="2"/>
      <c r="G12" s="8"/>
      <c r="H12" s="2"/>
      <c r="I12" s="2"/>
      <c r="J12" s="2"/>
      <c r="K12" s="8"/>
      <c r="L12" s="2"/>
      <c r="M12" s="2"/>
      <c r="N12" s="2"/>
      <c r="O12" s="4"/>
      <c r="P12" s="8"/>
      <c r="Q12" s="2"/>
      <c r="R12" s="2"/>
      <c r="S12" s="2"/>
      <c r="T12" s="2"/>
      <c r="U12" s="2"/>
      <c r="V12" s="4"/>
      <c r="W12" s="2"/>
      <c r="X12" s="10"/>
      <c r="Y12" s="2"/>
      <c r="Z12" s="2"/>
      <c r="AA12" s="2"/>
      <c r="AB12" s="2"/>
    </row>
    <row r="13" spans="1:28" x14ac:dyDescent="0.25">
      <c r="A13" s="2"/>
      <c r="B13" s="2"/>
      <c r="C13" s="2"/>
      <c r="D13" s="4"/>
      <c r="E13" s="4"/>
      <c r="F13" s="2"/>
      <c r="G13" s="8"/>
      <c r="H13" s="2"/>
      <c r="I13" s="2"/>
      <c r="J13" s="2"/>
      <c r="K13" s="8"/>
      <c r="L13" s="2"/>
      <c r="M13" s="2"/>
      <c r="N13" s="2"/>
      <c r="O13" s="4"/>
      <c r="P13" s="8"/>
      <c r="Q13" s="2"/>
      <c r="R13" s="2"/>
      <c r="S13" s="2"/>
      <c r="T13" s="2"/>
      <c r="U13" s="2"/>
      <c r="V13" s="4"/>
      <c r="W13" s="2"/>
      <c r="X13" s="10"/>
      <c r="Y13" s="2"/>
      <c r="Z13" s="2"/>
      <c r="AA13" s="2"/>
      <c r="AB13" s="2"/>
    </row>
    <row r="14" spans="1:28" x14ac:dyDescent="0.25">
      <c r="A14" s="2"/>
      <c r="B14" s="2"/>
      <c r="C14" s="2"/>
      <c r="D14" s="4"/>
      <c r="E14" s="4"/>
      <c r="F14" s="2"/>
      <c r="G14" s="8"/>
      <c r="H14" s="2"/>
      <c r="I14" s="2"/>
      <c r="J14" s="2"/>
      <c r="K14" s="8"/>
      <c r="L14" s="2"/>
      <c r="M14" s="2"/>
      <c r="N14" s="2"/>
      <c r="O14" s="4"/>
      <c r="P14" s="8"/>
      <c r="Q14" s="2"/>
      <c r="R14" s="2"/>
      <c r="S14" s="2"/>
      <c r="T14" s="2"/>
      <c r="U14" s="2"/>
      <c r="V14" s="4"/>
      <c r="W14" s="2"/>
      <c r="X14" s="10"/>
      <c r="Y14" s="2"/>
      <c r="Z14" s="2"/>
      <c r="AA14" s="2"/>
      <c r="AB14" s="2"/>
    </row>
    <row r="15" spans="1:28" x14ac:dyDescent="0.25">
      <c r="A15" s="2"/>
      <c r="B15" s="2"/>
      <c r="C15" s="2"/>
      <c r="D15" s="4"/>
      <c r="E15" s="4"/>
      <c r="F15" s="2"/>
      <c r="G15" s="8"/>
      <c r="H15" s="2"/>
      <c r="I15" s="2"/>
      <c r="J15" s="2"/>
      <c r="K15" s="8"/>
      <c r="L15" s="2"/>
      <c r="M15" s="2"/>
      <c r="N15" s="2"/>
      <c r="O15" s="4"/>
      <c r="P15" s="8"/>
      <c r="Q15" s="2"/>
      <c r="R15" s="2"/>
      <c r="S15" s="2"/>
      <c r="T15" s="2"/>
      <c r="U15" s="2"/>
      <c r="V15" s="4"/>
      <c r="W15" s="2"/>
      <c r="X15" s="10"/>
      <c r="Y15" s="2"/>
      <c r="Z15" s="2"/>
      <c r="AA15" s="2"/>
      <c r="AB15" s="2"/>
    </row>
    <row r="16" spans="1:28" x14ac:dyDescent="0.25">
      <c r="A16" s="2"/>
      <c r="B16" s="2"/>
      <c r="C16" s="2"/>
      <c r="D16" s="4"/>
      <c r="E16" s="4"/>
      <c r="F16" s="2"/>
      <c r="G16" s="8"/>
      <c r="H16" s="2"/>
      <c r="I16" s="2"/>
      <c r="J16" s="2"/>
      <c r="K16" s="8"/>
      <c r="L16" s="2"/>
      <c r="M16" s="2"/>
      <c r="N16" s="2"/>
      <c r="O16" s="4"/>
      <c r="P16" s="8"/>
      <c r="Q16" s="2"/>
      <c r="R16" s="2"/>
      <c r="S16" s="2"/>
      <c r="T16" s="2"/>
      <c r="U16" s="2"/>
      <c r="V16" s="4"/>
      <c r="W16" s="2"/>
      <c r="X16" s="10"/>
      <c r="Y16" s="2"/>
      <c r="Z16" s="2"/>
      <c r="AA16" s="2"/>
      <c r="AB16" s="2"/>
    </row>
    <row r="17" spans="1:28" x14ac:dyDescent="0.25">
      <c r="A17" s="2"/>
      <c r="B17" s="2"/>
      <c r="C17" s="2"/>
      <c r="D17" s="4"/>
      <c r="E17" s="4"/>
      <c r="F17" s="2"/>
      <c r="G17" s="8"/>
      <c r="H17" s="2"/>
      <c r="I17" s="2"/>
      <c r="J17" s="2"/>
      <c r="K17" s="8"/>
      <c r="L17" s="2"/>
      <c r="M17" s="2"/>
      <c r="N17" s="2"/>
      <c r="O17" s="4"/>
      <c r="P17" s="8"/>
      <c r="Q17" s="2"/>
      <c r="R17" s="2"/>
      <c r="S17" s="2"/>
      <c r="T17" s="2"/>
      <c r="U17" s="2"/>
      <c r="V17" s="4"/>
      <c r="W17" s="2"/>
      <c r="X17" s="10"/>
      <c r="Y17" s="2"/>
      <c r="Z17" s="2"/>
      <c r="AA17" s="2"/>
      <c r="AB17" s="2"/>
    </row>
    <row r="18" spans="1:28" x14ac:dyDescent="0.25">
      <c r="A18" s="2"/>
      <c r="B18" s="2"/>
      <c r="C18" s="2"/>
      <c r="D18" s="4"/>
      <c r="E18" s="4"/>
      <c r="F18" s="2"/>
      <c r="G18" s="8"/>
      <c r="H18" s="2"/>
      <c r="I18" s="2"/>
      <c r="J18" s="2"/>
      <c r="K18" s="8"/>
      <c r="L18" s="2"/>
      <c r="M18" s="2"/>
      <c r="N18" s="2"/>
      <c r="O18" s="4"/>
      <c r="P18" s="8"/>
      <c r="Q18" s="2"/>
      <c r="R18" s="2"/>
      <c r="S18" s="2"/>
      <c r="T18" s="2"/>
      <c r="U18" s="2"/>
      <c r="V18" s="4"/>
      <c r="W18" s="2"/>
      <c r="X18" s="10"/>
      <c r="Y18" s="2"/>
      <c r="Z18" s="2"/>
      <c r="AA18" s="2"/>
      <c r="AB18" s="2"/>
    </row>
    <row r="19" spans="1:28" x14ac:dyDescent="0.25">
      <c r="A19" s="2"/>
      <c r="B19" s="2"/>
      <c r="C19" s="2"/>
      <c r="D19" s="4"/>
      <c r="E19" s="4"/>
      <c r="F19" s="2"/>
      <c r="G19" s="8"/>
      <c r="H19" s="2"/>
      <c r="I19" s="2"/>
      <c r="J19" s="2"/>
      <c r="K19" s="8"/>
      <c r="L19" s="2"/>
      <c r="M19" s="2"/>
      <c r="N19" s="2"/>
      <c r="O19" s="4"/>
      <c r="P19" s="8"/>
      <c r="Q19" s="2"/>
      <c r="R19" s="2"/>
      <c r="S19" s="2"/>
      <c r="T19" s="2"/>
      <c r="U19" s="2"/>
      <c r="V19" s="4"/>
      <c r="W19" s="2"/>
      <c r="X19" s="10"/>
      <c r="Y19" s="2"/>
      <c r="Z19" s="2"/>
      <c r="AA19" s="2"/>
      <c r="AB19" s="2"/>
    </row>
  </sheetData>
  <mergeCells count="14">
    <mergeCell ref="W1:W2"/>
    <mergeCell ref="AB1:AB2"/>
    <mergeCell ref="L1:O1"/>
    <mergeCell ref="P1:P2"/>
    <mergeCell ref="A1:A2"/>
    <mergeCell ref="B1:B2"/>
    <mergeCell ref="C1:C2"/>
    <mergeCell ref="H1:K1"/>
    <mergeCell ref="D1:G1"/>
    <mergeCell ref="Q1:V1"/>
    <mergeCell ref="X1:X2"/>
    <mergeCell ref="Y1:Y2"/>
    <mergeCell ref="Z1:Z2"/>
    <mergeCell ref="AA1:AA2"/>
  </mergeCells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2025-11-02T05:27:22Z</dcterms:modified>
</cp:coreProperties>
</file>