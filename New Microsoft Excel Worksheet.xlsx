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40014554-901F-4B74-B7BE-F2A6A0538C2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1" l="1"/>
  <c r="E4" i="1"/>
  <c r="G4" i="1" s="1"/>
  <c r="H4" i="1"/>
  <c r="R4" i="1" s="1"/>
  <c r="J4" i="1"/>
  <c r="U4" i="1" s="1"/>
  <c r="O4" i="1"/>
  <c r="Y3" i="1"/>
  <c r="X3" i="1"/>
  <c r="W3" i="1"/>
  <c r="V3" i="1"/>
  <c r="J3" i="1"/>
  <c r="K3" i="1"/>
  <c r="P3" i="1" s="1"/>
  <c r="R3" i="1"/>
  <c r="O3" i="1"/>
  <c r="J5" i="1"/>
  <c r="H3" i="1"/>
  <c r="G3" i="1"/>
  <c r="E3" i="1"/>
  <c r="V4" i="1" l="1"/>
  <c r="K4" i="1"/>
  <c r="P4" i="1" s="1"/>
  <c r="U3" i="1"/>
  <c r="W4" i="1" l="1"/>
  <c r="X4" i="1"/>
  <c r="Y4" i="1" s="1"/>
</calcChain>
</file>

<file path=xl/sharedStrings.xml><?xml version="1.0" encoding="utf-8"?>
<sst xmlns="http://schemas.openxmlformats.org/spreadsheetml/2006/main" count="30" uniqueCount="29">
  <si>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</si>
  <si>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</si>
  <si>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</si>
  <si>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</si>
  <si>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</si>
  <si>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</si>
  <si>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</si>
  <si>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</si>
  <si>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</si>
  <si>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</si>
  <si>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</si>
  <si>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cGo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</si>
  <si>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</si>
  <si>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</si>
  <si>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</si>
  <si>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</si>
  <si>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</si>
  <si>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</si>
  <si>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</si>
  <si>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 xml:space="preserve">k]G;g sf]if yk 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</si>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</sst>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"/>
  <sheetViews>
    <sheetView tabSelected="1" workbookViewId="0">
      <selection activeCell="U11" sqref="U11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6" max="6" width="0" hidden="1" customWidth="1"/>
    <col min="14" max="14" width="5.140625" hidden="1" customWidth="1"/>
    <col min="15" max="15" width="8.5703125" customWidth="1"/>
    <col min="16" max="16" width="8" customWidth="1"/>
    <col min="17" max="17" width="6.85546875" customWidth="1"/>
    <col min="18" max="18" width="7.7109375" customWidth="1"/>
    <col min="20" max="20" width="0" hidden="1" customWidth="1"/>
    <col min="26" max="26" width="0" hidden="1" customWidth="1"/>
  </cols>
  <sheetData>
    <row r="1" spans="1:27" s="1" customFormat="1" ht="15" customHeight="1" x14ac:dyDescent="0.2">
      <c r="A1" s="6" t="s">
        <v>0</v>
      </c>
      <c r="B1" s="6" t="s">
        <v>1</v>
      </c>
      <c r="C1" s="6" t="s">
        <v>2</v>
      </c>
      <c r="D1" s="5" t="s">
        <v>26</v>
      </c>
      <c r="E1" s="5"/>
      <c r="F1" s="5"/>
      <c r="G1" s="5"/>
      <c r="H1" s="5"/>
      <c r="I1" s="5"/>
      <c r="J1" s="5"/>
      <c r="K1" s="5"/>
      <c r="L1" s="5" t="s">
        <v>27</v>
      </c>
      <c r="M1" s="5"/>
      <c r="N1" s="5"/>
      <c r="O1" s="5"/>
      <c r="P1" s="6" t="s">
        <v>14</v>
      </c>
      <c r="Q1" s="5" t="s">
        <v>28</v>
      </c>
      <c r="R1" s="5"/>
      <c r="S1" s="5"/>
      <c r="T1" s="5"/>
      <c r="U1" s="5"/>
      <c r="V1" s="5"/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</row>
    <row r="2" spans="1:27" s="2" customFormat="1" ht="28.5" x14ac:dyDescent="0.25">
      <c r="A2" s="6"/>
      <c r="B2" s="6"/>
      <c r="C2" s="6"/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11</v>
      </c>
      <c r="N2" s="3" t="s">
        <v>12</v>
      </c>
      <c r="O2" s="7" t="s">
        <v>13</v>
      </c>
      <c r="P2" s="6"/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7" t="s">
        <v>20</v>
      </c>
      <c r="W2" s="6"/>
      <c r="X2" s="6"/>
      <c r="Y2" s="6"/>
      <c r="Z2" s="6"/>
      <c r="AA2" s="6"/>
    </row>
    <row r="3" spans="1:27" x14ac:dyDescent="0.25">
      <c r="A3" s="4"/>
      <c r="B3" s="4"/>
      <c r="C3" s="4"/>
      <c r="D3" s="4">
        <v>32902</v>
      </c>
      <c r="E3" s="4">
        <f>D3/30*4</f>
        <v>4386.9333333333334</v>
      </c>
      <c r="F3" s="4"/>
      <c r="G3" s="4">
        <f>SUM(D3:F3)</f>
        <v>37288.933333333334</v>
      </c>
      <c r="H3" s="4">
        <f>11.333%*D3</f>
        <v>3728.7836600000001</v>
      </c>
      <c r="I3" s="4">
        <v>400</v>
      </c>
      <c r="J3" s="4">
        <f>6.8%*D3</f>
        <v>2237.3360000000002</v>
      </c>
      <c r="K3" s="4">
        <f>SUM(G3:J3)</f>
        <v>43655.052993333338</v>
      </c>
      <c r="L3" s="4">
        <v>2000</v>
      </c>
      <c r="M3" s="4">
        <v>0</v>
      </c>
      <c r="N3" s="4"/>
      <c r="O3" s="4">
        <f>SUM(L3:M3)</f>
        <v>2000</v>
      </c>
      <c r="P3" s="4">
        <f>K3+O3</f>
        <v>45655.052993333338</v>
      </c>
      <c r="Q3" s="4">
        <v>800</v>
      </c>
      <c r="R3" s="4">
        <f>H3*2</f>
        <v>7457.5673200000001</v>
      </c>
      <c r="S3" s="4">
        <v>5000</v>
      </c>
      <c r="T3" s="4"/>
      <c r="U3" s="4">
        <f>J3*2</f>
        <v>4474.6720000000005</v>
      </c>
      <c r="V3" s="4">
        <f>SUM(Q3:U3)</f>
        <v>17732.239320000001</v>
      </c>
      <c r="W3" s="4">
        <f>P3-V3</f>
        <v>27922.813673333338</v>
      </c>
      <c r="X3" s="4">
        <f>IF(W3*13&gt;600000,1%*W3,0)</f>
        <v>0</v>
      </c>
      <c r="Y3" s="4">
        <f>W3-X3</f>
        <v>27922.813673333338</v>
      </c>
      <c r="Z3" s="4"/>
      <c r="AA3" s="4"/>
    </row>
    <row r="4" spans="1:27" x14ac:dyDescent="0.25">
      <c r="A4" s="4"/>
      <c r="B4" s="4"/>
      <c r="C4" s="4"/>
      <c r="D4" s="4">
        <v>34730</v>
      </c>
      <c r="E4" s="4">
        <f>D4/30*5</f>
        <v>5788.3333333333339</v>
      </c>
      <c r="F4" s="4"/>
      <c r="G4" s="4">
        <f>SUM(D4:F4)</f>
        <v>40518.333333333336</v>
      </c>
      <c r="H4" s="4">
        <f>11.333%*D4</f>
        <v>3935.9508999999998</v>
      </c>
      <c r="I4" s="4">
        <v>401</v>
      </c>
      <c r="J4" s="4">
        <f>6.8%*D4</f>
        <v>2361.6400000000003</v>
      </c>
      <c r="K4" s="4">
        <f>SUM(G4:J4)</f>
        <v>47216.924233333339</v>
      </c>
      <c r="L4" s="4">
        <f>2000+3000</f>
        <v>5000</v>
      </c>
      <c r="M4" s="4">
        <v>0</v>
      </c>
      <c r="N4" s="4"/>
      <c r="O4" s="4">
        <f>SUM(L4:M4)</f>
        <v>5000</v>
      </c>
      <c r="P4" s="4">
        <f>K4+O4</f>
        <v>52216.924233333339</v>
      </c>
      <c r="Q4" s="4">
        <v>801</v>
      </c>
      <c r="R4" s="4">
        <f>H4*2</f>
        <v>7871.9017999999996</v>
      </c>
      <c r="S4" s="4">
        <v>5001</v>
      </c>
      <c r="T4" s="4"/>
      <c r="U4" s="4">
        <f>J4*2</f>
        <v>4723.2800000000007</v>
      </c>
      <c r="V4" s="4">
        <f>SUM(Q4:U4)</f>
        <v>18397.181799999998</v>
      </c>
      <c r="W4" s="4">
        <f>P4-V4</f>
        <v>33819.74243333334</v>
      </c>
      <c r="X4" s="4">
        <f>IF(W4*13&gt;600000,1%*W4,0)</f>
        <v>0</v>
      </c>
      <c r="Y4" s="4">
        <f>W4-X4</f>
        <v>33819.74243333334</v>
      </c>
      <c r="Z4" s="4"/>
      <c r="AA4" s="4"/>
    </row>
    <row r="5" spans="1:27" x14ac:dyDescent="0.25">
      <c r="J5">
        <f>2237/32902</f>
        <v>6.7989787854841652E-2</v>
      </c>
    </row>
  </sheetData>
  <mergeCells count="12">
    <mergeCell ref="Q1:V1"/>
    <mergeCell ref="W1:W2"/>
    <mergeCell ref="X1:X2"/>
    <mergeCell ref="Y1:Y2"/>
    <mergeCell ref="Z1:Z2"/>
    <mergeCell ref="AA1:AA2"/>
    <mergeCell ref="D1:K1"/>
    <mergeCell ref="L1:O1"/>
    <mergeCell ref="P1:P2"/>
    <mergeCell ref="A1:A2"/>
    <mergeCell ref="B1:B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2025-09-15T07:44:41Z</dcterms:modified>
</cp:coreProperties>
</file>