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F82F1D3E-A415-450B-B437-48686E68F5E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G8" i="1" s="1"/>
  <c r="L8" i="1"/>
  <c r="O8" i="1"/>
  <c r="E9" i="1"/>
  <c r="G9" i="1" s="1"/>
  <c r="L9" i="1"/>
  <c r="O9" i="1"/>
  <c r="E10" i="1"/>
  <c r="G10" i="1" s="1"/>
  <c r="L10" i="1"/>
  <c r="O10" i="1"/>
  <c r="O7" i="1"/>
  <c r="L7" i="1"/>
  <c r="E7" i="1"/>
  <c r="G7" i="1" s="1"/>
  <c r="E6" i="1"/>
  <c r="G6" i="1" s="1"/>
  <c r="L6" i="1"/>
  <c r="O6" i="1" s="1"/>
  <c r="L12" i="1"/>
  <c r="O12" i="1" s="1"/>
  <c r="G12" i="1"/>
  <c r="O3" i="1"/>
  <c r="E3" i="1"/>
  <c r="G3" i="1" s="1"/>
  <c r="E5" i="1"/>
  <c r="G5" i="1" s="1"/>
  <c r="L5" i="1"/>
  <c r="E4" i="1"/>
  <c r="G4" i="1" s="1"/>
  <c r="J8" i="1" l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K6" i="1"/>
  <c r="P6" i="1" s="1"/>
  <c r="J12" i="1"/>
  <c r="U12" i="1" s="1"/>
  <c r="H12" i="1"/>
  <c r="R12" i="1" s="1"/>
  <c r="V12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R9" i="1" l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X6" i="1" s="1"/>
  <c r="K12" i="1"/>
  <c r="P12" i="1" s="1"/>
  <c r="X12" i="1" s="1"/>
  <c r="K3" i="1"/>
  <c r="P3" i="1" s="1"/>
  <c r="X3" i="1" s="1"/>
  <c r="W3" i="1" s="1"/>
  <c r="K5" i="1"/>
  <c r="P5" i="1" s="1"/>
  <c r="V5" i="1"/>
  <c r="O4" i="1"/>
  <c r="K4" i="1"/>
  <c r="V4" i="1"/>
  <c r="X9" i="1" l="1"/>
  <c r="X8" i="1"/>
  <c r="W9" i="1"/>
  <c r="Y9" i="1"/>
  <c r="Z9" i="1" s="1"/>
  <c r="X10" i="1"/>
  <c r="X7" i="1"/>
  <c r="Y7" i="1"/>
  <c r="Z7" i="1" s="1"/>
  <c r="W7" i="1"/>
  <c r="Y6" i="1"/>
  <c r="Z6" i="1" s="1"/>
  <c r="W6" i="1"/>
  <c r="W12" i="1"/>
  <c r="Y12" i="1"/>
  <c r="Z12" i="1" s="1"/>
  <c r="Y3" i="1"/>
  <c r="Z3" i="1" s="1"/>
  <c r="X5" i="1"/>
  <c r="P4" i="1"/>
  <c r="X4" i="1" s="1"/>
  <c r="W4" i="1" s="1"/>
  <c r="Y8" i="1" l="1"/>
  <c r="Z8" i="1" s="1"/>
  <c r="W8" i="1"/>
  <c r="Y10" i="1"/>
  <c r="Z10" i="1" s="1"/>
  <c r="W10" i="1"/>
  <c r="Y4" i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" authorId="0" shapeId="0" xr:uid="{AD28CD2A-6F95-4BA7-BF55-9966A8699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9336CFC1-3459-4BF8-B3A8-5B54787456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8713AFB4-3DF0-432A-8F9E-0D0B99DA63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B599E665-7579-4A84-B571-B267676937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 xr:uid="{87073B8F-9072-4EF6-B208-947AACA7D7EC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 xr:uid="{5E7E19E1-C15B-4922-ACAF-F55EACE46A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 xr:uid="{DFCBDEA9-2C22-4E5E-9B42-6533BB080AF6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</commentList>
</comments>
</file>

<file path=xl/sharedStrings.xml><?xml version="1.0" encoding="utf-8"?>
<sst xmlns="http://schemas.openxmlformats.org/spreadsheetml/2006/main" count="32" uniqueCount="30">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</sst>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2"/>
  <sheetViews>
    <sheetView tabSelected="1" workbookViewId="0">
      <selection activeCell="F17" sqref="F17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5" width="8.85546875" style="5"/>
    <col min="6" max="6" width="6.28515625" customWidth="1"/>
    <col min="7" max="7" width="8.85546875" style="9"/>
    <col min="11" max="11" width="8.85546875" style="9"/>
    <col min="13" max="13" width="7.28515625" customWidth="1"/>
    <col min="14" max="14" width="5.140625" customWidth="1"/>
    <col min="15" max="15" width="8.5703125" style="5" customWidth="1"/>
    <col min="16" max="16" width="8" style="9" customWidth="1"/>
    <col min="17" max="17" width="6.85546875" customWidth="1"/>
    <col min="18" max="18" width="7.7109375" customWidth="1"/>
    <col min="20" max="20" width="8.85546875" customWidth="1"/>
    <col min="21" max="21" width="14.42578125" customWidth="1"/>
    <col min="22" max="22" width="8.85546875" style="5"/>
    <col min="24" max="24" width="8.85546875" style="11"/>
    <col min="27" max="27" width="8.85546875" customWidth="1"/>
  </cols>
  <sheetData>
    <row r="1" spans="1:28" s="1" customFormat="1" ht="15" customHeight="1" x14ac:dyDescent="0.2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71.25" x14ac:dyDescent="0.25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2">
        <f>IF(X4*13&gt;600000,1%*X4,0)</f>
        <v>720.26080000000002</v>
      </c>
      <c r="Z4" s="2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0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25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25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25">
      <c r="A11" s="2"/>
      <c r="B11" s="2"/>
      <c r="C11" s="2"/>
      <c r="D11" s="4"/>
      <c r="E11" s="4"/>
      <c r="F11" s="2"/>
      <c r="G11" s="8"/>
      <c r="H11" s="2"/>
      <c r="I11" s="2"/>
      <c r="J11" s="2"/>
      <c r="K11" s="8"/>
      <c r="L11" s="2"/>
      <c r="M11" s="2"/>
      <c r="N11" s="2"/>
      <c r="O11" s="4"/>
      <c r="P11" s="8"/>
      <c r="Q11" s="2"/>
      <c r="R11" s="2"/>
      <c r="S11" s="2"/>
      <c r="T11" s="2"/>
      <c r="U11" s="2"/>
      <c r="V11" s="4"/>
      <c r="W11" s="2"/>
      <c r="X11" s="10"/>
      <c r="Y11" s="2"/>
      <c r="Z11" s="2"/>
      <c r="AA11" s="2"/>
      <c r="AB11" s="2"/>
    </row>
    <row r="12" spans="1:28" x14ac:dyDescent="0.25">
      <c r="A12" s="2"/>
      <c r="B12" s="2"/>
      <c r="C12" s="2"/>
      <c r="D12" s="4">
        <v>43689</v>
      </c>
      <c r="E12" s="4">
        <v>0</v>
      </c>
      <c r="F12" s="2"/>
      <c r="G12" s="8">
        <f>SUM(D12:F12)</f>
        <v>43689</v>
      </c>
      <c r="H12" s="2">
        <f>10%*G12</f>
        <v>4368.9000000000005</v>
      </c>
      <c r="I12" s="2">
        <v>400</v>
      </c>
      <c r="J12" s="2">
        <f>6%*G12</f>
        <v>2621.3399999999997</v>
      </c>
      <c r="K12" s="8">
        <f>SUM(G12:J12)</f>
        <v>51079.24</v>
      </c>
      <c r="L12" s="2">
        <f>2000+3000</f>
        <v>5000</v>
      </c>
      <c r="M12" s="2">
        <v>0</v>
      </c>
      <c r="N12" s="2"/>
      <c r="O12" s="4">
        <f>SUM(L12:M12)</f>
        <v>5000</v>
      </c>
      <c r="P12" s="8">
        <f>K12+O12</f>
        <v>56079.24</v>
      </c>
      <c r="Q12" s="2">
        <v>801</v>
      </c>
      <c r="R12" s="2">
        <f>H12*2</f>
        <v>8737.8000000000011</v>
      </c>
      <c r="S12" s="2">
        <v>1000</v>
      </c>
      <c r="T12" s="2"/>
      <c r="U12" s="2">
        <f>J12*2</f>
        <v>5242.6799999999994</v>
      </c>
      <c r="V12" s="4">
        <f>SUM(Q12:U12)</f>
        <v>15781.48</v>
      </c>
      <c r="W12" s="2">
        <f>X12+U12</f>
        <v>45540.439999999995</v>
      </c>
      <c r="X12" s="10">
        <f>P12-V12</f>
        <v>40297.759999999995</v>
      </c>
      <c r="Y12" s="2">
        <f>IF(X12*13&gt;600000,1%*X12,0)</f>
        <v>0</v>
      </c>
      <c r="Z12" s="2">
        <f>X12-Y12</f>
        <v>40297.759999999995</v>
      </c>
      <c r="AA12" s="2"/>
      <c r="AB12" s="2"/>
    </row>
    <row r="13" spans="1:28" x14ac:dyDescent="0.25">
      <c r="A13" s="2"/>
      <c r="B13" s="2"/>
      <c r="C13" s="2"/>
      <c r="D13" s="4"/>
      <c r="E13" s="4"/>
      <c r="F13" s="2"/>
      <c r="G13" s="8"/>
      <c r="H13" s="2"/>
      <c r="I13" s="2"/>
      <c r="J13" s="2"/>
      <c r="K13" s="8"/>
      <c r="L13" s="2"/>
      <c r="M13" s="2"/>
      <c r="N13" s="2"/>
      <c r="O13" s="4"/>
      <c r="P13" s="8"/>
      <c r="Q13" s="2"/>
      <c r="R13" s="2"/>
      <c r="S13" s="2"/>
      <c r="T13" s="2"/>
      <c r="U13" s="2"/>
      <c r="V13" s="4"/>
      <c r="W13" s="2"/>
      <c r="X13" s="10"/>
      <c r="Y13" s="2"/>
      <c r="Z13" s="2"/>
      <c r="AA13" s="2"/>
      <c r="AB13" s="2"/>
    </row>
    <row r="14" spans="1:28" x14ac:dyDescent="0.25">
      <c r="A14" s="2"/>
      <c r="B14" s="2"/>
      <c r="C14" s="2"/>
      <c r="D14" s="4"/>
      <c r="E14" s="4"/>
      <c r="F14" s="2"/>
      <c r="G14" s="8"/>
      <c r="H14" s="2"/>
      <c r="I14" s="2"/>
      <c r="J14" s="2"/>
      <c r="K14" s="8"/>
      <c r="L14" s="2"/>
      <c r="M14" s="2"/>
      <c r="N14" s="2"/>
      <c r="O14" s="4"/>
      <c r="P14" s="8"/>
      <c r="Q14" s="2"/>
      <c r="R14" s="2"/>
      <c r="S14" s="2"/>
      <c r="T14" s="2"/>
      <c r="U14" s="2"/>
      <c r="V14" s="4"/>
      <c r="W14" s="2"/>
      <c r="X14" s="10"/>
      <c r="Y14" s="2"/>
      <c r="Z14" s="2"/>
      <c r="AA14" s="2"/>
      <c r="AB14" s="2"/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/>
      <c r="L15" s="2"/>
      <c r="M15" s="2"/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/>
      <c r="E17" s="4"/>
      <c r="F17" s="2"/>
      <c r="G17" s="8"/>
      <c r="H17" s="2"/>
      <c r="I17" s="2"/>
      <c r="J17" s="2"/>
      <c r="K17" s="8"/>
      <c r="L17" s="2"/>
      <c r="M17" s="2"/>
      <c r="N17" s="2"/>
      <c r="O17" s="4"/>
      <c r="P17" s="8"/>
      <c r="Q17" s="2"/>
      <c r="R17" s="2"/>
      <c r="S17" s="2"/>
      <c r="T17" s="2"/>
      <c r="U17" s="2"/>
      <c r="V17" s="4"/>
      <c r="W17" s="2"/>
      <c r="X17" s="10"/>
      <c r="Y17" s="2"/>
      <c r="Z17" s="2"/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/>
      <c r="E19" s="4"/>
      <c r="F19" s="2"/>
      <c r="G19" s="8"/>
      <c r="H19" s="2"/>
      <c r="I19" s="2"/>
      <c r="J19" s="2"/>
      <c r="K19" s="8"/>
      <c r="L19" s="2"/>
      <c r="M19" s="2"/>
      <c r="N19" s="2"/>
      <c r="O19" s="4"/>
      <c r="P19" s="8"/>
      <c r="Q19" s="2"/>
      <c r="R19" s="2"/>
      <c r="S19" s="2"/>
      <c r="T19" s="2"/>
      <c r="U19" s="2"/>
      <c r="V19" s="4"/>
      <c r="W19" s="2"/>
      <c r="X19" s="10"/>
      <c r="Y19" s="2"/>
      <c r="Z19" s="2"/>
      <c r="AA19" s="2"/>
      <c r="AB19" s="2"/>
    </row>
    <row r="20" spans="1:28" x14ac:dyDescent="0.25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25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25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2026-03-11T05:27:01Z</dcterms:modified>
</cp:coreProperties>
</file>