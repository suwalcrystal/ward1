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2082_2083\"/>
    </mc:Choice>
  </mc:AlternateContent>
  <xr:revisionPtr revIDLastSave="0" documentId="13_ncr:1_{0D8FB979-6E37-4509-AC1A-24150444DD8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E11" i="1"/>
  <c r="G11" i="1" s="1"/>
  <c r="L11" i="1"/>
  <c r="E12" i="1"/>
  <c r="G12" i="1" s="1"/>
  <c r="L12" i="1"/>
  <c r="O12" i="1"/>
  <c r="E8" i="1"/>
  <c r="G8" i="1" s="1"/>
  <c r="L8" i="1"/>
  <c r="O8" i="1" s="1"/>
  <c r="E9" i="1"/>
  <c r="G9" i="1" s="1"/>
  <c r="L9" i="1"/>
  <c r="O9" i="1" s="1"/>
  <c r="E10" i="1"/>
  <c r="G10" i="1" s="1"/>
  <c r="L10" i="1"/>
  <c r="O10" i="1" s="1"/>
  <c r="L7" i="1"/>
  <c r="O7" i="1" s="1"/>
  <c r="E7" i="1"/>
  <c r="G7" i="1" s="1"/>
  <c r="E6" i="1"/>
  <c r="G6" i="1" s="1"/>
  <c r="L6" i="1"/>
  <c r="O6" i="1" s="1"/>
  <c r="L14" i="1"/>
  <c r="O14" i="1" s="1"/>
  <c r="G14" i="1"/>
  <c r="O3" i="1"/>
  <c r="E3" i="1"/>
  <c r="G3" i="1" s="1"/>
  <c r="E5" i="1"/>
  <c r="G5" i="1" s="1"/>
  <c r="L5" i="1"/>
  <c r="E4" i="1"/>
  <c r="G4" i="1" s="1"/>
  <c r="H11" i="1" l="1"/>
  <c r="R11" i="1" s="1"/>
  <c r="J11" i="1"/>
  <c r="U11" i="1" s="1"/>
  <c r="H12" i="1"/>
  <c r="R12" i="1" s="1"/>
  <c r="J12" i="1"/>
  <c r="U12" i="1" s="1"/>
  <c r="K12" i="1"/>
  <c r="P12" i="1" s="1"/>
  <c r="J8" i="1"/>
  <c r="U8" i="1" s="1"/>
  <c r="H8" i="1"/>
  <c r="J9" i="1"/>
  <c r="U9" i="1" s="1"/>
  <c r="H9" i="1"/>
  <c r="H10" i="1"/>
  <c r="J10" i="1"/>
  <c r="U10" i="1" s="1"/>
  <c r="H7" i="1"/>
  <c r="R7" i="1" s="1"/>
  <c r="J7" i="1"/>
  <c r="U7" i="1" s="1"/>
  <c r="H6" i="1"/>
  <c r="R6" i="1" s="1"/>
  <c r="J6" i="1"/>
  <c r="U6" i="1" s="1"/>
  <c r="J14" i="1"/>
  <c r="U14" i="1" s="1"/>
  <c r="H14" i="1"/>
  <c r="R14" i="1" s="1"/>
  <c r="V14" i="1" s="1"/>
  <c r="J3" i="1"/>
  <c r="U3" i="1" s="1"/>
  <c r="H3" i="1"/>
  <c r="R3" i="1" s="1"/>
  <c r="J5" i="1"/>
  <c r="U5" i="1" s="1"/>
  <c r="O5" i="1"/>
  <c r="H5" i="1"/>
  <c r="R5" i="1" s="1"/>
  <c r="M4" i="1"/>
  <c r="J4" i="1"/>
  <c r="U4" i="1" s="1"/>
  <c r="H4" i="1"/>
  <c r="R4" i="1" s="1"/>
  <c r="L4" i="1"/>
  <c r="V11" i="1" l="1"/>
  <c r="K11" i="1"/>
  <c r="P11" i="1" s="1"/>
  <c r="V12" i="1"/>
  <c r="X12" i="1" s="1"/>
  <c r="K6" i="1"/>
  <c r="P6" i="1" s="1"/>
  <c r="R9" i="1"/>
  <c r="V9" i="1" s="1"/>
  <c r="K9" i="1"/>
  <c r="P9" i="1" s="1"/>
  <c r="R8" i="1"/>
  <c r="V8" i="1" s="1"/>
  <c r="K8" i="1"/>
  <c r="P8" i="1" s="1"/>
  <c r="R10" i="1"/>
  <c r="V10" i="1" s="1"/>
  <c r="K10" i="1"/>
  <c r="P10" i="1" s="1"/>
  <c r="V3" i="1"/>
  <c r="V7" i="1"/>
  <c r="K7" i="1"/>
  <c r="P7" i="1" s="1"/>
  <c r="V6" i="1"/>
  <c r="K14" i="1"/>
  <c r="P14" i="1" s="1"/>
  <c r="X14" i="1" s="1"/>
  <c r="K3" i="1"/>
  <c r="P3" i="1" s="1"/>
  <c r="X3" i="1" s="1"/>
  <c r="W3" i="1" s="1"/>
  <c r="K5" i="1"/>
  <c r="P5" i="1" s="1"/>
  <c r="V5" i="1"/>
  <c r="O4" i="1"/>
  <c r="K4" i="1"/>
  <c r="V4" i="1"/>
  <c r="X11" i="1" l="1"/>
  <c r="W11" i="1" s="1"/>
  <c r="Y12" i="1"/>
  <c r="Z12" i="1" s="1"/>
  <c r="W12" i="1"/>
  <c r="X6" i="1"/>
  <c r="X9" i="1"/>
  <c r="W9" i="1" s="1"/>
  <c r="X8" i="1"/>
  <c r="X10" i="1"/>
  <c r="X7" i="1"/>
  <c r="Y7" i="1" s="1"/>
  <c r="Z7" i="1" s="1"/>
  <c r="W7" i="1"/>
  <c r="Y6" i="1"/>
  <c r="Z6" i="1" s="1"/>
  <c r="W6" i="1"/>
  <c r="W14" i="1"/>
  <c r="Y14" i="1"/>
  <c r="Z14" i="1" s="1"/>
  <c r="Y3" i="1"/>
  <c r="Z3" i="1" s="1"/>
  <c r="X5" i="1"/>
  <c r="P4" i="1"/>
  <c r="X4" i="1" s="1"/>
  <c r="W4" i="1" s="1"/>
  <c r="Y11" i="1" l="1"/>
  <c r="Z11" i="1" s="1"/>
  <c r="Y9" i="1"/>
  <c r="Z9" i="1" s="1"/>
  <c r="Y8" i="1"/>
  <c r="Z8" i="1" s="1"/>
  <c r="W8" i="1"/>
  <c r="Y10" i="1"/>
  <c r="Z10" i="1" s="1"/>
  <c r="W10" i="1"/>
  <c r="Y4" i="1"/>
  <c r="Z4" i="1" s="1"/>
  <c r="W5" i="1"/>
  <c r="Y5" i="1"/>
  <c r="Z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" authorId="0" shapeId="0" xr:uid="{AD28CD2A-6F95-4BA7-BF55-9966A8699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 xr:uid="{9336CFC1-3459-4BF8-B3A8-5B54787456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 xr:uid="{8713AFB4-3DF0-432A-8F9E-0D0B99DA63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" authorId="0" shapeId="0" xr:uid="{B599E665-7579-4A84-B571-B267676937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8" authorId="0" shapeId="0" xr:uid="{87073B8F-9072-4EF6-B208-947AACA7D7EC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9" authorId="0" shapeId="0" xr:uid="{5E7E19E1-C15B-4922-ACAF-F55EACE46A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10" authorId="0" shapeId="0" xr:uid="{DFCBDEA9-2C22-4E5E-9B42-6533BB080AF6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  <comment ref="D11" authorId="0" shapeId="0" xr:uid="{378A8198-0773-4DBB-81FF-3C343652B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</t>
        </r>
      </text>
    </comment>
    <comment ref="D12" authorId="0" shapeId="0" xr:uid="{A419E87C-F262-442D-8355-622B62EF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Baisakh</t>
        </r>
      </text>
    </comment>
  </commentList>
</comments>
</file>

<file path=xl/sharedStrings.xml><?xml version="1.0" encoding="utf-8"?>
<sst xmlns="http://schemas.openxmlformats.org/spreadsheetml/2006/main" count="32" uniqueCount="30">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</sst>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4"/>
  <sheetViews>
    <sheetView tabSelected="1" workbookViewId="0">
      <selection activeCell="O12" sqref="O12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4" max="5" width="8.85546875" style="5"/>
    <col min="6" max="6" width="6.28515625" customWidth="1"/>
    <col min="7" max="7" width="8.85546875" style="9"/>
    <col min="11" max="11" width="8.85546875" style="9"/>
    <col min="13" max="13" width="7.28515625" customWidth="1"/>
    <col min="14" max="14" width="6.42578125" customWidth="1"/>
    <col min="15" max="15" width="8.5703125" style="5" customWidth="1"/>
    <col min="16" max="16" width="8" style="9" customWidth="1"/>
    <col min="17" max="17" width="6.85546875" customWidth="1"/>
    <col min="18" max="18" width="7.7109375" customWidth="1"/>
    <col min="20" max="20" width="8.85546875" customWidth="1"/>
    <col min="21" max="21" width="14.42578125" customWidth="1"/>
    <col min="22" max="22" width="8.85546875" style="5"/>
    <col min="24" max="24" width="8.85546875" style="11"/>
    <col min="27" max="27" width="8.85546875" customWidth="1"/>
  </cols>
  <sheetData>
    <row r="1" spans="1:28" s="1" customFormat="1" ht="15" customHeight="1" x14ac:dyDescent="0.2">
      <c r="A1" s="12" t="s">
        <v>0</v>
      </c>
      <c r="B1" s="12" t="s">
        <v>1</v>
      </c>
      <c r="C1" s="12" t="s">
        <v>2</v>
      </c>
      <c r="D1" s="13" t="s">
        <v>24</v>
      </c>
      <c r="E1" s="13"/>
      <c r="F1" s="13"/>
      <c r="G1" s="13"/>
      <c r="H1" s="13" t="s">
        <v>24</v>
      </c>
      <c r="I1" s="13"/>
      <c r="J1" s="13"/>
      <c r="K1" s="13"/>
      <c r="L1" s="13" t="s">
        <v>25</v>
      </c>
      <c r="M1" s="13"/>
      <c r="N1" s="13"/>
      <c r="O1" s="13"/>
      <c r="P1" s="14" t="s">
        <v>13</v>
      </c>
      <c r="Q1" s="13" t="s">
        <v>26</v>
      </c>
      <c r="R1" s="13"/>
      <c r="S1" s="13"/>
      <c r="T1" s="13"/>
      <c r="U1" s="13"/>
      <c r="V1" s="13"/>
      <c r="W1" s="12" t="s">
        <v>27</v>
      </c>
      <c r="X1" s="14" t="s">
        <v>19</v>
      </c>
      <c r="Y1" s="12" t="s">
        <v>20</v>
      </c>
      <c r="Z1" s="12" t="s">
        <v>21</v>
      </c>
      <c r="AA1" s="12" t="s">
        <v>22</v>
      </c>
      <c r="AB1" s="12" t="s">
        <v>23</v>
      </c>
    </row>
    <row r="2" spans="1:28" s="6" customFormat="1" ht="71.25" x14ac:dyDescent="0.25">
      <c r="A2" s="12"/>
      <c r="B2" s="12"/>
      <c r="C2" s="12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4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2"/>
      <c r="X2" s="14"/>
      <c r="Y2" s="12"/>
      <c r="Z2" s="12"/>
      <c r="AA2" s="12"/>
      <c r="AB2" s="12"/>
    </row>
    <row r="3" spans="1:28" x14ac:dyDescent="0.25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25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2">
        <f>IF(X4*13&gt;600000,1%*X4,0)</f>
        <v>720.26080000000002</v>
      </c>
      <c r="Z4" s="2">
        <f>X4-Y4</f>
        <v>71305.819199999998</v>
      </c>
      <c r="AA4" s="2"/>
      <c r="AB4" s="2"/>
    </row>
    <row r="5" spans="1:28" x14ac:dyDescent="0.25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25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25">
      <c r="A7" s="2"/>
      <c r="B7" s="2"/>
      <c r="C7" s="2"/>
      <c r="D7" s="4">
        <v>34730</v>
      </c>
      <c r="E7" s="4">
        <f>ROUNDUP(D7/30,0)*4</f>
        <v>4632</v>
      </c>
      <c r="F7" s="2"/>
      <c r="G7" s="8">
        <f>SUM(D7:F7)</f>
        <v>39362</v>
      </c>
      <c r="H7" s="2">
        <f>10%*G7</f>
        <v>3936.2000000000003</v>
      </c>
      <c r="I7" s="2">
        <v>400</v>
      </c>
      <c r="J7" s="2">
        <f>6%*G7</f>
        <v>2361.7199999999998</v>
      </c>
      <c r="K7" s="8">
        <f>SUM(G7:J7)</f>
        <v>46059.92</v>
      </c>
      <c r="L7" s="2">
        <f>2000+3000</f>
        <v>5000</v>
      </c>
      <c r="M7" s="2">
        <v>0</v>
      </c>
      <c r="N7" s="2"/>
      <c r="O7" s="4">
        <f>SUM(L7:M7)</f>
        <v>5000</v>
      </c>
      <c r="P7" s="8">
        <f>K7+O7</f>
        <v>51059.92</v>
      </c>
      <c r="Q7" s="2">
        <v>800</v>
      </c>
      <c r="R7" s="2">
        <f>H7*2</f>
        <v>7872.4000000000005</v>
      </c>
      <c r="S7" s="2">
        <v>5000</v>
      </c>
      <c r="T7" s="2"/>
      <c r="U7" s="2">
        <f>J7*2</f>
        <v>4723.4399999999996</v>
      </c>
      <c r="V7" s="4">
        <f>SUM(Q7:U7)</f>
        <v>18395.84</v>
      </c>
      <c r="W7" s="2">
        <f>X7+U7</f>
        <v>37387.519999999997</v>
      </c>
      <c r="X7" s="10">
        <f>P7-V7</f>
        <v>32664.079999999998</v>
      </c>
      <c r="Y7" s="2">
        <f>IF(X7*13&gt;600000,1%*X7,0)</f>
        <v>0</v>
      </c>
      <c r="Z7" s="2">
        <f>X7-Y7</f>
        <v>32664.079999999998</v>
      </c>
      <c r="AA7" s="2"/>
      <c r="AB7" s="2"/>
    </row>
    <row r="8" spans="1:28" x14ac:dyDescent="0.25">
      <c r="A8" s="2"/>
      <c r="B8" s="2"/>
      <c r="C8" s="2"/>
      <c r="D8" s="4">
        <v>34730</v>
      </c>
      <c r="E8" s="4">
        <f t="shared" ref="E8:E10" si="0">ROUNDUP(D8/30,0)*4</f>
        <v>4632</v>
      </c>
      <c r="F8" s="2"/>
      <c r="G8" s="8">
        <f t="shared" ref="G8:G10" si="1">SUM(D8:F8)</f>
        <v>39362</v>
      </c>
      <c r="H8" s="2">
        <f t="shared" ref="H8:H10" si="2">10%*G8</f>
        <v>3936.2000000000003</v>
      </c>
      <c r="I8" s="2">
        <v>400</v>
      </c>
      <c r="J8" s="2">
        <f t="shared" ref="J8:J10" si="3">6%*G8</f>
        <v>2361.7199999999998</v>
      </c>
      <c r="K8" s="8">
        <f t="shared" ref="K8:K10" si="4">SUM(G8:J8)</f>
        <v>46059.92</v>
      </c>
      <c r="L8" s="2">
        <f t="shared" ref="L8:L12" si="5">2000+3000</f>
        <v>5000</v>
      </c>
      <c r="M8" s="2">
        <v>0</v>
      </c>
      <c r="N8" s="2"/>
      <c r="O8" s="4">
        <f t="shared" ref="O8:O10" si="6">SUM(L8:M8)</f>
        <v>5000</v>
      </c>
      <c r="P8" s="8">
        <f t="shared" ref="P8:P10" si="7">K8+O8</f>
        <v>51059.92</v>
      </c>
      <c r="Q8" s="2">
        <v>800</v>
      </c>
      <c r="R8" s="2">
        <f t="shared" ref="R8:R10" si="8">H8*2</f>
        <v>7872.4000000000005</v>
      </c>
      <c r="S8" s="2">
        <v>5000</v>
      </c>
      <c r="T8" s="2"/>
      <c r="U8" s="2">
        <f t="shared" ref="U8:U10" si="9">J8*2</f>
        <v>4723.4399999999996</v>
      </c>
      <c r="V8" s="4">
        <f t="shared" ref="V8:V10" si="10">SUM(Q8:U8)</f>
        <v>18395.84</v>
      </c>
      <c r="W8" s="2">
        <f t="shared" ref="W8:W10" si="11">X8+U8</f>
        <v>37387.519999999997</v>
      </c>
      <c r="X8" s="10">
        <f t="shared" ref="X8:X10" si="12">P8-V8</f>
        <v>32664.079999999998</v>
      </c>
      <c r="Y8" s="2">
        <f t="shared" ref="Y8:Y10" si="13">IF(X8*13&gt;600000,1%*X8,0)</f>
        <v>0</v>
      </c>
      <c r="Z8" s="2">
        <f t="shared" ref="Z8:Z10" si="14">X8-Y8</f>
        <v>32664.079999999998</v>
      </c>
      <c r="AA8" s="2"/>
      <c r="AB8" s="2"/>
    </row>
    <row r="9" spans="1:28" x14ac:dyDescent="0.25">
      <c r="A9" s="2"/>
      <c r="B9" s="2"/>
      <c r="C9" s="2"/>
      <c r="D9" s="4">
        <v>34730</v>
      </c>
      <c r="E9" s="4">
        <f t="shared" si="0"/>
        <v>4632</v>
      </c>
      <c r="F9" s="2"/>
      <c r="G9" s="8">
        <f t="shared" si="1"/>
        <v>39362</v>
      </c>
      <c r="H9" s="2">
        <f t="shared" si="2"/>
        <v>3936.2000000000003</v>
      </c>
      <c r="I9" s="2">
        <v>400</v>
      </c>
      <c r="J9" s="2">
        <f t="shared" si="3"/>
        <v>2361.7199999999998</v>
      </c>
      <c r="K9" s="8">
        <f t="shared" si="4"/>
        <v>46059.92</v>
      </c>
      <c r="L9" s="2">
        <f t="shared" si="5"/>
        <v>5000</v>
      </c>
      <c r="M9" s="2">
        <v>0</v>
      </c>
      <c r="N9" s="2"/>
      <c r="O9" s="4">
        <f t="shared" si="6"/>
        <v>5000</v>
      </c>
      <c r="P9" s="8">
        <f t="shared" si="7"/>
        <v>51059.92</v>
      </c>
      <c r="Q9" s="2">
        <v>800</v>
      </c>
      <c r="R9" s="2">
        <f t="shared" si="8"/>
        <v>7872.4000000000005</v>
      </c>
      <c r="S9" s="2">
        <v>5000</v>
      </c>
      <c r="T9" s="2"/>
      <c r="U9" s="2">
        <f t="shared" si="9"/>
        <v>4723.4399999999996</v>
      </c>
      <c r="V9" s="4">
        <f t="shared" si="10"/>
        <v>18395.84</v>
      </c>
      <c r="W9" s="2">
        <f t="shared" si="11"/>
        <v>37387.519999999997</v>
      </c>
      <c r="X9" s="10">
        <f t="shared" si="12"/>
        <v>32664.079999999998</v>
      </c>
      <c r="Y9" s="2">
        <f t="shared" si="13"/>
        <v>0</v>
      </c>
      <c r="Z9" s="2">
        <f t="shared" si="14"/>
        <v>32664.079999999998</v>
      </c>
      <c r="AA9" s="2"/>
      <c r="AB9" s="2"/>
    </row>
    <row r="10" spans="1:28" x14ac:dyDescent="0.25">
      <c r="A10" s="2"/>
      <c r="B10" s="2"/>
      <c r="C10" s="2"/>
      <c r="D10" s="4">
        <v>34730</v>
      </c>
      <c r="E10" s="4">
        <f t="shared" si="0"/>
        <v>4632</v>
      </c>
      <c r="F10" s="2"/>
      <c r="G10" s="8">
        <f t="shared" si="1"/>
        <v>39362</v>
      </c>
      <c r="H10" s="2">
        <f t="shared" si="2"/>
        <v>3936.2000000000003</v>
      </c>
      <c r="I10" s="2">
        <v>400</v>
      </c>
      <c r="J10" s="2">
        <f t="shared" si="3"/>
        <v>2361.7199999999998</v>
      </c>
      <c r="K10" s="8">
        <f t="shared" si="4"/>
        <v>46059.92</v>
      </c>
      <c r="L10" s="2">
        <f t="shared" si="5"/>
        <v>5000</v>
      </c>
      <c r="M10" s="2">
        <v>0</v>
      </c>
      <c r="N10" s="2"/>
      <c r="O10" s="4">
        <f t="shared" si="6"/>
        <v>5000</v>
      </c>
      <c r="P10" s="8">
        <f t="shared" si="7"/>
        <v>51059.92</v>
      </c>
      <c r="Q10" s="2">
        <v>800</v>
      </c>
      <c r="R10" s="2">
        <f t="shared" si="8"/>
        <v>7872.4000000000005</v>
      </c>
      <c r="S10" s="2">
        <v>5000</v>
      </c>
      <c r="T10" s="2"/>
      <c r="U10" s="2">
        <f t="shared" si="9"/>
        <v>4723.4399999999996</v>
      </c>
      <c r="V10" s="4">
        <f t="shared" si="10"/>
        <v>18395.84</v>
      </c>
      <c r="W10" s="2">
        <f t="shared" si="11"/>
        <v>37387.519999999997</v>
      </c>
      <c r="X10" s="10">
        <f t="shared" si="12"/>
        <v>32664.079999999998</v>
      </c>
      <c r="Y10" s="2">
        <f t="shared" si="13"/>
        <v>0</v>
      </c>
      <c r="Z10" s="2">
        <f t="shared" si="14"/>
        <v>32664.079999999998</v>
      </c>
      <c r="AA10" s="2"/>
      <c r="AB10" s="2"/>
    </row>
    <row r="11" spans="1:28" x14ac:dyDescent="0.25">
      <c r="A11" s="2"/>
      <c r="B11" s="2"/>
      <c r="C11" s="2"/>
      <c r="D11" s="4">
        <v>34730</v>
      </c>
      <c r="E11" s="4">
        <f t="shared" ref="E11:E12" si="15">ROUNDUP(D11/30,0)*4</f>
        <v>4632</v>
      </c>
      <c r="F11" s="2"/>
      <c r="G11" s="8">
        <f t="shared" ref="G11:G12" si="16">SUM(D11:F11)</f>
        <v>39362</v>
      </c>
      <c r="H11" s="2">
        <f t="shared" ref="H11:H12" si="17">10%*G11</f>
        <v>3936.2000000000003</v>
      </c>
      <c r="I11" s="2">
        <v>400</v>
      </c>
      <c r="J11" s="2">
        <f t="shared" ref="J11:J12" si="18">6%*G11</f>
        <v>2361.7199999999998</v>
      </c>
      <c r="K11" s="8">
        <f t="shared" ref="K11:K12" si="19">SUM(G11:J11)</f>
        <v>46059.92</v>
      </c>
      <c r="L11" s="2">
        <f t="shared" si="5"/>
        <v>5000</v>
      </c>
      <c r="M11" s="2">
        <v>0</v>
      </c>
      <c r="N11" s="2">
        <v>10000</v>
      </c>
      <c r="O11" s="4">
        <f>SUM(L11:N11)</f>
        <v>15000</v>
      </c>
      <c r="P11" s="8">
        <f t="shared" ref="P11:P12" si="20">K11+O11</f>
        <v>61059.92</v>
      </c>
      <c r="Q11" s="2">
        <v>800</v>
      </c>
      <c r="R11" s="2">
        <f t="shared" ref="R11:R12" si="21">H11*2</f>
        <v>7872.4000000000005</v>
      </c>
      <c r="S11" s="2">
        <v>5000</v>
      </c>
      <c r="T11" s="2"/>
      <c r="U11" s="2">
        <f t="shared" ref="U11:U12" si="22">J11*2</f>
        <v>4723.4399999999996</v>
      </c>
      <c r="V11" s="4">
        <f t="shared" ref="V11:V12" si="23">SUM(Q11:U11)</f>
        <v>18395.84</v>
      </c>
      <c r="W11" s="2">
        <f t="shared" ref="W11:W12" si="24">X11+U11</f>
        <v>47387.520000000004</v>
      </c>
      <c r="X11" s="10">
        <f t="shared" ref="X11:X12" si="25">P11-V11</f>
        <v>42664.08</v>
      </c>
      <c r="Y11" s="2">
        <f t="shared" ref="Y11:Y12" si="26">IF(X11*13&gt;600000,1%*X11,0)</f>
        <v>0</v>
      </c>
      <c r="Z11" s="2">
        <f t="shared" ref="Z11:Z12" si="27">X11-Y11</f>
        <v>42664.08</v>
      </c>
      <c r="AA11" s="2"/>
      <c r="AB11" s="2"/>
    </row>
    <row r="12" spans="1:28" x14ac:dyDescent="0.25">
      <c r="A12" s="2"/>
      <c r="B12" s="2"/>
      <c r="C12" s="2"/>
      <c r="D12" s="4">
        <v>34730</v>
      </c>
      <c r="E12" s="4">
        <f t="shared" si="15"/>
        <v>4632</v>
      </c>
      <c r="F12" s="2"/>
      <c r="G12" s="8">
        <f t="shared" si="16"/>
        <v>39362</v>
      </c>
      <c r="H12" s="2">
        <f t="shared" si="17"/>
        <v>3936.2000000000003</v>
      </c>
      <c r="I12" s="2">
        <v>400</v>
      </c>
      <c r="J12" s="2">
        <f t="shared" si="18"/>
        <v>2361.7199999999998</v>
      </c>
      <c r="K12" s="8">
        <f t="shared" si="19"/>
        <v>46059.92</v>
      </c>
      <c r="L12" s="2">
        <f t="shared" si="5"/>
        <v>5000</v>
      </c>
      <c r="M12" s="2">
        <v>0</v>
      </c>
      <c r="N12" s="2"/>
      <c r="O12" s="4">
        <f t="shared" ref="O11:O12" si="28">SUM(L12:M12)</f>
        <v>5000</v>
      </c>
      <c r="P12" s="8">
        <f t="shared" si="20"/>
        <v>51059.92</v>
      </c>
      <c r="Q12" s="2">
        <v>800</v>
      </c>
      <c r="R12" s="2">
        <f t="shared" si="21"/>
        <v>7872.4000000000005</v>
      </c>
      <c r="S12" s="2">
        <v>5000</v>
      </c>
      <c r="T12" s="2"/>
      <c r="U12" s="2">
        <f t="shared" si="22"/>
        <v>4723.4399999999996</v>
      </c>
      <c r="V12" s="4">
        <f t="shared" si="23"/>
        <v>18395.84</v>
      </c>
      <c r="W12" s="2">
        <f t="shared" si="24"/>
        <v>37387.519999999997</v>
      </c>
      <c r="X12" s="10">
        <f t="shared" si="25"/>
        <v>32664.079999999998</v>
      </c>
      <c r="Y12" s="2">
        <f t="shared" si="26"/>
        <v>0</v>
      </c>
      <c r="Z12" s="2">
        <f t="shared" si="27"/>
        <v>32664.079999999998</v>
      </c>
      <c r="AA12" s="2"/>
      <c r="AB12" s="2"/>
    </row>
    <row r="13" spans="1:28" x14ac:dyDescent="0.25">
      <c r="A13" s="2"/>
      <c r="B13" s="2"/>
      <c r="C13" s="2"/>
      <c r="D13" s="4"/>
      <c r="E13" s="4"/>
      <c r="F13" s="2"/>
      <c r="G13" s="8"/>
      <c r="H13" s="2"/>
      <c r="I13" s="2"/>
      <c r="J13" s="2"/>
      <c r="K13" s="8"/>
      <c r="L13" s="2"/>
      <c r="M13" s="2"/>
      <c r="N13" s="2"/>
      <c r="O13" s="4"/>
      <c r="P13" s="8"/>
      <c r="Q13" s="2"/>
      <c r="R13" s="2"/>
      <c r="S13" s="2"/>
      <c r="T13" s="2"/>
      <c r="U13" s="2"/>
      <c r="V13" s="4"/>
      <c r="W13" s="2"/>
      <c r="X13" s="10"/>
      <c r="Y13" s="2"/>
      <c r="Z13" s="2"/>
      <c r="AA13" s="2"/>
      <c r="AB13" s="2"/>
    </row>
    <row r="14" spans="1:28" x14ac:dyDescent="0.25">
      <c r="A14" s="2"/>
      <c r="B14" s="2"/>
      <c r="C14" s="2"/>
      <c r="D14" s="4">
        <v>43689</v>
      </c>
      <c r="E14" s="4">
        <v>0</v>
      </c>
      <c r="F14" s="2"/>
      <c r="G14" s="8">
        <f>SUM(D14:F14)</f>
        <v>43689</v>
      </c>
      <c r="H14" s="2">
        <f>10%*G14</f>
        <v>4368.9000000000005</v>
      </c>
      <c r="I14" s="2">
        <v>400</v>
      </c>
      <c r="J14" s="2">
        <f>6%*G14</f>
        <v>2621.3399999999997</v>
      </c>
      <c r="K14" s="8">
        <f>SUM(G14:J14)</f>
        <v>51079.24</v>
      </c>
      <c r="L14" s="2">
        <f>2000+3000</f>
        <v>5000</v>
      </c>
      <c r="M14" s="2">
        <v>0</v>
      </c>
      <c r="N14" s="2"/>
      <c r="O14" s="4">
        <f>SUM(L14:M14)</f>
        <v>5000</v>
      </c>
      <c r="P14" s="8">
        <f>K14+O14</f>
        <v>56079.24</v>
      </c>
      <c r="Q14" s="2">
        <v>801</v>
      </c>
      <c r="R14" s="2">
        <f>H14*2</f>
        <v>8737.8000000000011</v>
      </c>
      <c r="S14" s="2">
        <v>1000</v>
      </c>
      <c r="T14" s="2"/>
      <c r="U14" s="2">
        <f>J14*2</f>
        <v>5242.6799999999994</v>
      </c>
      <c r="V14" s="4">
        <f>SUM(Q14:U14)</f>
        <v>15781.48</v>
      </c>
      <c r="W14" s="2">
        <f>X14+U14</f>
        <v>45540.439999999995</v>
      </c>
      <c r="X14" s="10">
        <f>P14-V14</f>
        <v>40297.759999999995</v>
      </c>
      <c r="Y14" s="2">
        <f>IF(X14*13&gt;600000,1%*X14,0)</f>
        <v>0</v>
      </c>
      <c r="Z14" s="2">
        <f>X14-Y14</f>
        <v>40297.759999999995</v>
      </c>
      <c r="AA14" s="2"/>
      <c r="AB14" s="2"/>
    </row>
    <row r="15" spans="1:28" x14ac:dyDescent="0.25">
      <c r="A15" s="2"/>
      <c r="B15" s="2"/>
      <c r="C15" s="2"/>
      <c r="D15" s="4"/>
      <c r="E15" s="4"/>
      <c r="F15" s="2"/>
      <c r="G15" s="8"/>
      <c r="H15" s="2"/>
      <c r="I15" s="2"/>
      <c r="J15" s="2"/>
      <c r="K15" s="8"/>
      <c r="L15" s="2"/>
      <c r="M15" s="2"/>
      <c r="N15" s="2"/>
      <c r="O15" s="4"/>
      <c r="P15" s="8"/>
      <c r="Q15" s="2"/>
      <c r="R15" s="2"/>
      <c r="S15" s="2"/>
      <c r="T15" s="2"/>
      <c r="U15" s="2"/>
      <c r="V15" s="4"/>
      <c r="W15" s="2"/>
      <c r="X15" s="10"/>
      <c r="Y15" s="2"/>
      <c r="Z15" s="2"/>
      <c r="AA15" s="2"/>
      <c r="AB15" s="2"/>
    </row>
    <row r="16" spans="1:28" x14ac:dyDescent="0.25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25">
      <c r="A17" s="2"/>
      <c r="B17" s="2"/>
      <c r="C17" s="2"/>
      <c r="D17" s="4"/>
      <c r="E17" s="4"/>
      <c r="F17" s="2"/>
      <c r="G17" s="8"/>
      <c r="H17" s="2"/>
      <c r="I17" s="2"/>
      <c r="J17" s="2"/>
      <c r="K17" s="8"/>
      <c r="L17" s="2"/>
      <c r="M17" s="2"/>
      <c r="N17" s="2"/>
      <c r="O17" s="4"/>
      <c r="P17" s="8"/>
      <c r="Q17" s="2"/>
      <c r="R17" s="2"/>
      <c r="S17" s="2"/>
      <c r="T17" s="2"/>
      <c r="U17" s="2"/>
      <c r="V17" s="4"/>
      <c r="W17" s="2"/>
      <c r="X17" s="10"/>
      <c r="Y17" s="2"/>
      <c r="Z17" s="2"/>
      <c r="AA17" s="2"/>
      <c r="AB17" s="2"/>
    </row>
    <row r="18" spans="1:28" x14ac:dyDescent="0.25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25">
      <c r="A19" s="2"/>
      <c r="B19" s="2"/>
      <c r="C19" s="2"/>
      <c r="D19" s="4"/>
      <c r="E19" s="4"/>
      <c r="F19" s="2"/>
      <c r="G19" s="8"/>
      <c r="H19" s="2"/>
      <c r="I19" s="2"/>
      <c r="J19" s="2"/>
      <c r="K19" s="8"/>
      <c r="L19" s="2"/>
      <c r="M19" s="2"/>
      <c r="N19" s="2"/>
      <c r="O19" s="4"/>
      <c r="P19" s="8"/>
      <c r="Q19" s="2"/>
      <c r="R19" s="2"/>
      <c r="S19" s="2"/>
      <c r="T19" s="2"/>
      <c r="U19" s="2"/>
      <c r="V19" s="4"/>
      <c r="W19" s="2"/>
      <c r="X19" s="10"/>
      <c r="Y19" s="2"/>
      <c r="Z19" s="2"/>
      <c r="AA19" s="2"/>
      <c r="AB19" s="2"/>
    </row>
    <row r="20" spans="1:28" x14ac:dyDescent="0.25">
      <c r="A20" s="2"/>
      <c r="B20" s="2"/>
      <c r="C20" s="2"/>
      <c r="D20" s="4"/>
      <c r="E20" s="4"/>
      <c r="F20" s="2"/>
      <c r="G20" s="8"/>
      <c r="H20" s="2"/>
      <c r="I20" s="2"/>
      <c r="J20" s="2"/>
      <c r="K20" s="8"/>
      <c r="L20" s="2"/>
      <c r="M20" s="2"/>
      <c r="N20" s="2"/>
      <c r="O20" s="4"/>
      <c r="P20" s="8"/>
      <c r="Q20" s="2"/>
      <c r="R20" s="2"/>
      <c r="S20" s="2"/>
      <c r="T20" s="2"/>
      <c r="U20" s="2"/>
      <c r="V20" s="4"/>
      <c r="W20" s="2"/>
      <c r="X20" s="10"/>
      <c r="Y20" s="2"/>
      <c r="Z20" s="2"/>
      <c r="AA20" s="2"/>
      <c r="AB20" s="2"/>
    </row>
    <row r="21" spans="1:28" x14ac:dyDescent="0.25">
      <c r="A21" s="2"/>
      <c r="B21" s="2"/>
      <c r="C21" s="2"/>
      <c r="D21" s="4"/>
      <c r="E21" s="4"/>
      <c r="F21" s="2"/>
      <c r="G21" s="8"/>
      <c r="H21" s="2"/>
      <c r="I21" s="2"/>
      <c r="J21" s="2"/>
      <c r="K21" s="8"/>
      <c r="L21" s="2"/>
      <c r="M21" s="2"/>
      <c r="N21" s="2"/>
      <c r="O21" s="4"/>
      <c r="P21" s="8"/>
      <c r="Q21" s="2"/>
      <c r="R21" s="2"/>
      <c r="S21" s="2"/>
      <c r="T21" s="2"/>
      <c r="U21" s="2"/>
      <c r="V21" s="4"/>
      <c r="W21" s="2"/>
      <c r="X21" s="10"/>
      <c r="Y21" s="2"/>
      <c r="Z21" s="2"/>
      <c r="AA21" s="2"/>
      <c r="AB21" s="2"/>
    </row>
    <row r="22" spans="1:28" x14ac:dyDescent="0.25">
      <c r="A22" s="2"/>
      <c r="B22" s="2"/>
      <c r="C22" s="2"/>
      <c r="D22" s="4"/>
      <c r="E22" s="4"/>
      <c r="F22" s="2"/>
      <c r="G22" s="8"/>
      <c r="H22" s="2"/>
      <c r="I22" s="2"/>
      <c r="J22" s="2"/>
      <c r="K22" s="8"/>
      <c r="L22" s="2"/>
      <c r="M22" s="2"/>
      <c r="N22" s="2"/>
      <c r="O22" s="4"/>
      <c r="P22" s="8"/>
      <c r="Q22" s="2"/>
      <c r="R22" s="2"/>
      <c r="S22" s="2"/>
      <c r="T22" s="2"/>
      <c r="U22" s="2"/>
      <c r="V22" s="4"/>
      <c r="W22" s="2"/>
      <c r="X22" s="10"/>
      <c r="Y22" s="2"/>
      <c r="Z22" s="2"/>
      <c r="AA22" s="2"/>
      <c r="AB22" s="2"/>
    </row>
    <row r="23" spans="1:28" x14ac:dyDescent="0.25">
      <c r="A23" s="2"/>
      <c r="B23" s="2"/>
      <c r="C23" s="2"/>
      <c r="D23" s="4"/>
      <c r="E23" s="4"/>
      <c r="F23" s="2"/>
      <c r="G23" s="8"/>
      <c r="H23" s="2"/>
      <c r="I23" s="2"/>
      <c r="J23" s="2"/>
      <c r="K23" s="8"/>
      <c r="L23" s="2"/>
      <c r="M23" s="2"/>
      <c r="N23" s="2"/>
      <c r="O23" s="4"/>
      <c r="P23" s="8"/>
      <c r="Q23" s="2"/>
      <c r="R23" s="2"/>
      <c r="S23" s="2"/>
      <c r="T23" s="2"/>
      <c r="U23" s="2"/>
      <c r="V23" s="4"/>
      <c r="W23" s="2"/>
      <c r="X23" s="10"/>
      <c r="Y23" s="2"/>
      <c r="Z23" s="2"/>
      <c r="AA23" s="2"/>
      <c r="AB23" s="2"/>
    </row>
    <row r="24" spans="1:28" x14ac:dyDescent="0.25">
      <c r="A24" s="2"/>
      <c r="B24" s="2"/>
      <c r="C24" s="2"/>
      <c r="D24" s="4"/>
      <c r="E24" s="4"/>
      <c r="F24" s="2"/>
      <c r="G24" s="8"/>
      <c r="H24" s="2"/>
      <c r="I24" s="2"/>
      <c r="J24" s="2"/>
      <c r="K24" s="8"/>
      <c r="L24" s="2"/>
      <c r="M24" s="2"/>
      <c r="N24" s="2"/>
      <c r="O24" s="4"/>
      <c r="P24" s="8"/>
      <c r="Q24" s="2"/>
      <c r="R24" s="2"/>
      <c r="S24" s="2"/>
      <c r="T24" s="2"/>
      <c r="U24" s="2"/>
      <c r="V24" s="4"/>
      <c r="W24" s="2"/>
      <c r="X24" s="10"/>
      <c r="Y24" s="2"/>
      <c r="Z24" s="2"/>
      <c r="AA24" s="2"/>
      <c r="AB24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2026-05-11T07:01:28Z</dcterms:modified>
</cp:coreProperties>
</file>