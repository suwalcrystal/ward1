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H:\082_083\ward1\"/>
    </mc:Choice>
  </mc:AlternateContent>
  <bookViews>
    <workbookView xWindow="-120" yWindow="-120" windowWidth="20736" windowHeight="1104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" i="1" l="1"/>
  <c r="E15" i="1" s="1"/>
  <c r="G15" i="1" s="1"/>
  <c r="L15" i="1"/>
  <c r="O15" i="1"/>
  <c r="J15" i="1" l="1"/>
  <c r="U15" i="1" s="1"/>
  <c r="H15" i="1"/>
  <c r="R15" i="1" s="1"/>
  <c r="O11" i="1"/>
  <c r="E11" i="1"/>
  <c r="G11" i="1" s="1"/>
  <c r="L11" i="1"/>
  <c r="E12" i="1"/>
  <c r="G12" i="1" s="1"/>
  <c r="L12" i="1"/>
  <c r="O12" i="1"/>
  <c r="E8" i="1"/>
  <c r="G8" i="1" s="1"/>
  <c r="L8" i="1"/>
  <c r="O8" i="1" s="1"/>
  <c r="E9" i="1"/>
  <c r="G9" i="1" s="1"/>
  <c r="L9" i="1"/>
  <c r="O9" i="1" s="1"/>
  <c r="E10" i="1"/>
  <c r="G10" i="1" s="1"/>
  <c r="L10" i="1"/>
  <c r="O10" i="1" s="1"/>
  <c r="L7" i="1"/>
  <c r="O7" i="1" s="1"/>
  <c r="E7" i="1"/>
  <c r="G7" i="1" s="1"/>
  <c r="E6" i="1"/>
  <c r="G6" i="1" s="1"/>
  <c r="L6" i="1"/>
  <c r="O6" i="1" s="1"/>
  <c r="L17" i="1"/>
  <c r="O17" i="1" s="1"/>
  <c r="G17" i="1"/>
  <c r="O3" i="1"/>
  <c r="E3" i="1"/>
  <c r="G3" i="1" s="1"/>
  <c r="E5" i="1"/>
  <c r="G5" i="1" s="1"/>
  <c r="L5" i="1"/>
  <c r="E4" i="1"/>
  <c r="G4" i="1" s="1"/>
  <c r="V15" i="1" l="1"/>
  <c r="K15" i="1"/>
  <c r="P15" i="1" s="1"/>
  <c r="H11" i="1"/>
  <c r="R11" i="1" s="1"/>
  <c r="J11" i="1"/>
  <c r="U11" i="1" s="1"/>
  <c r="H12" i="1"/>
  <c r="R12" i="1" s="1"/>
  <c r="J12" i="1"/>
  <c r="U12" i="1" s="1"/>
  <c r="K12" i="1"/>
  <c r="P12" i="1" s="1"/>
  <c r="J8" i="1"/>
  <c r="U8" i="1" s="1"/>
  <c r="H8" i="1"/>
  <c r="J9" i="1"/>
  <c r="U9" i="1" s="1"/>
  <c r="H9" i="1"/>
  <c r="H10" i="1"/>
  <c r="J10" i="1"/>
  <c r="U10" i="1" s="1"/>
  <c r="H7" i="1"/>
  <c r="R7" i="1" s="1"/>
  <c r="J7" i="1"/>
  <c r="U7" i="1" s="1"/>
  <c r="H6" i="1"/>
  <c r="R6" i="1" s="1"/>
  <c r="J6" i="1"/>
  <c r="U6" i="1" s="1"/>
  <c r="J17" i="1"/>
  <c r="U17" i="1" s="1"/>
  <c r="H17" i="1"/>
  <c r="R17" i="1" s="1"/>
  <c r="V17" i="1" s="1"/>
  <c r="J3" i="1"/>
  <c r="U3" i="1" s="1"/>
  <c r="H3" i="1"/>
  <c r="R3" i="1" s="1"/>
  <c r="J5" i="1"/>
  <c r="U5" i="1" s="1"/>
  <c r="O5" i="1"/>
  <c r="H5" i="1"/>
  <c r="R5" i="1" s="1"/>
  <c r="M4" i="1"/>
  <c r="J4" i="1"/>
  <c r="U4" i="1" s="1"/>
  <c r="H4" i="1"/>
  <c r="R4" i="1" s="1"/>
  <c r="L4" i="1"/>
  <c r="X15" i="1" l="1"/>
  <c r="W15" i="1" s="1"/>
  <c r="V11" i="1"/>
  <c r="K11" i="1"/>
  <c r="P11" i="1" s="1"/>
  <c r="V12" i="1"/>
  <c r="X12" i="1" s="1"/>
  <c r="K6" i="1"/>
  <c r="P6" i="1" s="1"/>
  <c r="R9" i="1"/>
  <c r="V9" i="1" s="1"/>
  <c r="K9" i="1"/>
  <c r="P9" i="1" s="1"/>
  <c r="R8" i="1"/>
  <c r="V8" i="1" s="1"/>
  <c r="K8" i="1"/>
  <c r="P8" i="1" s="1"/>
  <c r="R10" i="1"/>
  <c r="V10" i="1" s="1"/>
  <c r="K10" i="1"/>
  <c r="P10" i="1" s="1"/>
  <c r="V3" i="1"/>
  <c r="V7" i="1"/>
  <c r="K7" i="1"/>
  <c r="P7" i="1" s="1"/>
  <c r="V6" i="1"/>
  <c r="K17" i="1"/>
  <c r="P17" i="1" s="1"/>
  <c r="X17" i="1" s="1"/>
  <c r="K3" i="1"/>
  <c r="P3" i="1" s="1"/>
  <c r="X3" i="1" s="1"/>
  <c r="W3" i="1" s="1"/>
  <c r="K5" i="1"/>
  <c r="P5" i="1" s="1"/>
  <c r="V5" i="1"/>
  <c r="O4" i="1"/>
  <c r="K4" i="1"/>
  <c r="V4" i="1"/>
  <c r="Y15" i="1" l="1"/>
  <c r="Z15" i="1" s="1"/>
  <c r="X11" i="1"/>
  <c r="W11" i="1" s="1"/>
  <c r="Y12" i="1"/>
  <c r="Z12" i="1" s="1"/>
  <c r="W12" i="1"/>
  <c r="X6" i="1"/>
  <c r="X9" i="1"/>
  <c r="W9" i="1" s="1"/>
  <c r="X8" i="1"/>
  <c r="X10" i="1"/>
  <c r="X7" i="1"/>
  <c r="Y7" i="1" s="1"/>
  <c r="Z7" i="1" s="1"/>
  <c r="W7" i="1"/>
  <c r="Y6" i="1"/>
  <c r="Z6" i="1" s="1"/>
  <c r="W6" i="1"/>
  <c r="W17" i="1"/>
  <c r="Y17" i="1"/>
  <c r="Z17" i="1" s="1"/>
  <c r="Y3" i="1"/>
  <c r="Z3" i="1" s="1"/>
  <c r="X5" i="1"/>
  <c r="P4" i="1"/>
  <c r="X4" i="1" s="1"/>
  <c r="W4" i="1" s="1"/>
  <c r="Y11" i="1" l="1"/>
  <c r="Z11" i="1" s="1"/>
  <c r="Y9" i="1"/>
  <c r="Z9" i="1" s="1"/>
  <c r="Y8" i="1"/>
  <c r="Z8" i="1" s="1"/>
  <c r="W8" i="1"/>
  <c r="Y10" i="1"/>
  <c r="Z10" i="1" s="1"/>
  <c r="W10" i="1"/>
  <c r="Y4" i="1"/>
  <c r="Z4" i="1" s="1"/>
  <c r="W5" i="1"/>
  <c r="Y5" i="1"/>
  <c r="Z5" i="1" s="1"/>
</calcChain>
</file>

<file path=xl/comments1.xml><?xml version="1.0" encoding="utf-8"?>
<comments xmlns="http://schemas.openxmlformats.org/spreadsheetml/2006/main">
  <authors>
    <author>User</author>
    <author>DELL</author>
  </authors>
  <commentList>
    <comment ref="D4" authorId="0" shapeId="0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bhadra</t>
        </r>
      </text>
    </comment>
    <comment ref="D5" authorId="0" shapeId="0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Ashwin</t>
        </r>
      </text>
    </comment>
    <comment ref="D6" authorId="0" shapeId="0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Kartik</t>
        </r>
      </text>
    </comment>
    <comment ref="D7" authorId="0" shapeId="0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Mangsir</t>
        </r>
      </text>
    </comment>
    <comment ref="D8" authorId="0" shapeId="0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poush</t>
        </r>
      </text>
    </comment>
    <comment ref="D9" authorId="0" shapeId="0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Magh</t>
        </r>
      </text>
    </comment>
    <comment ref="D10" authorId="0" shapeId="0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falgun</t>
        </r>
      </text>
    </comment>
    <comment ref="D11" authorId="0" shapeId="0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chaitra</t>
        </r>
      </text>
    </comment>
    <comment ref="D12" authorId="0" shapeId="0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Baisakh</t>
        </r>
      </text>
    </comment>
    <comment ref="D15" authorId="1" shapeId="0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From shrawan</t>
        </r>
      </text>
    </comment>
  </commentList>
</comments>
</file>

<file path=xl/sharedStrings.xml><?xml version="1.0" encoding="utf-8"?>
<sst xmlns="http://schemas.openxmlformats.org/spreadsheetml/2006/main" count="32" uniqueCount="30">
  <si>
    <t>l;= g+=</t>
  </si>
  <si>
    <t>bhf{</t>
  </si>
  <si>
    <t>gfd, y/</t>
  </si>
  <si>
    <t>tna :s]n</t>
  </si>
  <si>
    <t>u|]8 ?</t>
  </si>
  <si>
    <t>;dfof]hg u|]8</t>
  </si>
  <si>
    <t>hDdf tna</t>
  </si>
  <si>
    <t>s=;= sf];</t>
  </si>
  <si>
    <t>aLdf yk</t>
  </si>
  <si>
    <t>k]G;g sf]if</t>
  </si>
  <si>
    <t>dx+uL eQf</t>
  </si>
  <si>
    <t>kf]iffs vr{</t>
  </si>
  <si>
    <t>hDdf eQf</t>
  </si>
  <si>
    <t>hDdf tna eQf</t>
  </si>
  <si>
    <t>ladf s6\6L</t>
  </si>
  <si>
    <t>s= ;= sf]if</t>
  </si>
  <si>
    <t>gf= nufgL sf]if</t>
  </si>
  <si>
    <t>s= ;+= sf]if ;fk6L</t>
  </si>
  <si>
    <t>hDdf s6\6L</t>
  </si>
  <si>
    <t>afFsL kfpg]</t>
  </si>
  <si>
    <t>! k|ltzt ;fdflhs ;'/Iff s/</t>
  </si>
  <si>
    <t>v'b kfpg] /sd</t>
  </si>
  <si>
    <t>kfg g+</t>
  </si>
  <si>
    <t>u|]8 a[l4 x'g] dlxgf</t>
  </si>
  <si>
    <t>tna</t>
  </si>
  <si>
    <t>eQf</t>
  </si>
  <si>
    <t>s6\6L</t>
  </si>
  <si>
    <t>s/ of]Uo cfo</t>
  </si>
  <si>
    <t>k]G;g sf]if yk -of]ubfgdf cfwfl/t lgj[Qe/0f tyf pkbfg sf]if_</t>
  </si>
  <si>
    <t>cGo eQf -rfF8kj{ vr{_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</si>
</sst>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1"/>
      <color theme="1"/>
      <name val="Preeti"/>
    </font>
    <font>
      <b/>
      <sz val="11"/>
      <color theme="1"/>
      <name val="Preeti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</font>
    <font>
      <b/>
      <sz val="9"/>
      <color indexed="81"/>
      <name val="Tahoma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1" xfId="0" applyBorder="1"/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/>
    <xf numFmtId="0" fontId="3" fillId="0" borderId="0" xfId="0" applyFont="1"/>
    <xf numFmtId="0" fontId="2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/>
    <xf numFmtId="0" fontId="3" fillId="2" borderId="0" xfId="0" applyFont="1" applyFill="1"/>
    <xf numFmtId="0" fontId="0" fillId="2" borderId="1" xfId="0" applyFill="1" applyBorder="1"/>
    <xf numFmtId="0" fontId="0" fillId="2" borderId="0" xfId="0" applyFill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B27"/>
  <sheetViews>
    <sheetView tabSelected="1" workbookViewId="0">
      <selection activeCell="E17" sqref="E17"/>
    </sheetView>
  </sheetViews>
  <sheetFormatPr defaultRowHeight="14.4" x14ac:dyDescent="0.3"/>
  <cols>
    <col min="1" max="1" width="5.109375" bestFit="1" customWidth="1"/>
    <col min="2" max="2" width="4.109375" hidden="1" customWidth="1"/>
    <col min="3" max="3" width="4.33203125" customWidth="1"/>
    <col min="4" max="5" width="8.88671875" style="5"/>
    <col min="6" max="6" width="6.33203125" customWidth="1"/>
    <col min="7" max="7" width="8.88671875" style="9"/>
    <col min="11" max="11" width="8.88671875" style="9"/>
    <col min="13" max="13" width="7.33203125" customWidth="1"/>
    <col min="14" max="14" width="6.44140625" customWidth="1"/>
    <col min="15" max="15" width="8.5546875" style="5" customWidth="1"/>
    <col min="16" max="16" width="8" style="9" customWidth="1"/>
    <col min="17" max="17" width="6.88671875" customWidth="1"/>
    <col min="18" max="18" width="7.6640625" customWidth="1"/>
    <col min="20" max="20" width="8.88671875" customWidth="1"/>
    <col min="21" max="21" width="14.44140625" customWidth="1"/>
    <col min="22" max="22" width="8.88671875" style="5"/>
    <col min="24" max="24" width="8.88671875" style="11"/>
    <col min="27" max="27" width="8.88671875" customWidth="1"/>
  </cols>
  <sheetData>
    <row r="1" spans="1:28" s="1" customFormat="1" ht="15" customHeight="1" x14ac:dyDescent="0.25">
      <c r="A1" s="12" t="s">
        <v>0</v>
      </c>
      <c r="B1" s="12" t="s">
        <v>1</v>
      </c>
      <c r="C1" s="12" t="s">
        <v>2</v>
      </c>
      <c r="D1" s="13" t="s">
        <v>24</v>
      </c>
      <c r="E1" s="13"/>
      <c r="F1" s="13"/>
      <c r="G1" s="13"/>
      <c r="H1" s="13" t="s">
        <v>24</v>
      </c>
      <c r="I1" s="13"/>
      <c r="J1" s="13"/>
      <c r="K1" s="13"/>
      <c r="L1" s="13" t="s">
        <v>25</v>
      </c>
      <c r="M1" s="13"/>
      <c r="N1" s="13"/>
      <c r="O1" s="13"/>
      <c r="P1" s="14" t="s">
        <v>13</v>
      </c>
      <c r="Q1" s="13" t="s">
        <v>26</v>
      </c>
      <c r="R1" s="13"/>
      <c r="S1" s="13"/>
      <c r="T1" s="13"/>
      <c r="U1" s="13"/>
      <c r="V1" s="13"/>
      <c r="W1" s="12" t="s">
        <v>27</v>
      </c>
      <c r="X1" s="14" t="s">
        <v>19</v>
      </c>
      <c r="Y1" s="12" t="s">
        <v>20</v>
      </c>
      <c r="Z1" s="12" t="s">
        <v>21</v>
      </c>
      <c r="AA1" s="12" t="s">
        <v>22</v>
      </c>
      <c r="AB1" s="12" t="s">
        <v>23</v>
      </c>
    </row>
    <row r="2" spans="1:28" s="6" customFormat="1" ht="55.2" x14ac:dyDescent="0.3">
      <c r="A2" s="12"/>
      <c r="B2" s="12"/>
      <c r="C2" s="12"/>
      <c r="D2" s="3" t="s">
        <v>3</v>
      </c>
      <c r="E2" s="3" t="s">
        <v>4</v>
      </c>
      <c r="F2" s="3" t="s">
        <v>5</v>
      </c>
      <c r="G2" s="7" t="s">
        <v>6</v>
      </c>
      <c r="H2" s="3" t="s">
        <v>7</v>
      </c>
      <c r="I2" s="3" t="s">
        <v>8</v>
      </c>
      <c r="J2" s="3" t="s">
        <v>9</v>
      </c>
      <c r="K2" s="7" t="s">
        <v>6</v>
      </c>
      <c r="L2" s="3" t="s">
        <v>10</v>
      </c>
      <c r="M2" s="3" t="s">
        <v>29</v>
      </c>
      <c r="N2" s="3" t="s">
        <v>11</v>
      </c>
      <c r="O2" s="3" t="s">
        <v>12</v>
      </c>
      <c r="P2" s="14"/>
      <c r="Q2" s="3" t="s">
        <v>14</v>
      </c>
      <c r="R2" s="3" t="s">
        <v>15</v>
      </c>
      <c r="S2" s="3" t="s">
        <v>16</v>
      </c>
      <c r="T2" s="3" t="s">
        <v>17</v>
      </c>
      <c r="U2" s="3" t="s">
        <v>28</v>
      </c>
      <c r="V2" s="3" t="s">
        <v>18</v>
      </c>
      <c r="W2" s="12"/>
      <c r="X2" s="14"/>
      <c r="Y2" s="12"/>
      <c r="Z2" s="12"/>
      <c r="AA2" s="12"/>
      <c r="AB2" s="12"/>
    </row>
    <row r="3" spans="1:28" x14ac:dyDescent="0.3">
      <c r="A3" s="2"/>
      <c r="B3" s="2"/>
      <c r="C3" s="2"/>
      <c r="D3" s="4">
        <v>32902</v>
      </c>
      <c r="E3" s="4">
        <f>ROUNDUP(D3/30,0)*4</f>
        <v>4388</v>
      </c>
      <c r="F3" s="2"/>
      <c r="G3" s="8">
        <f>SUM(D3:F3)</f>
        <v>37290</v>
      </c>
      <c r="H3" s="2">
        <f>10%*G3</f>
        <v>3729</v>
      </c>
      <c r="I3" s="2">
        <v>400</v>
      </c>
      <c r="J3" s="2">
        <f>6%*G3</f>
        <v>2237.4</v>
      </c>
      <c r="K3" s="8">
        <f>SUM(G3:J3)</f>
        <v>43656.4</v>
      </c>
      <c r="L3" s="2">
        <v>2000</v>
      </c>
      <c r="M3" s="2">
        <v>0</v>
      </c>
      <c r="N3" s="2"/>
      <c r="O3" s="4">
        <f>SUM(L3:M3)</f>
        <v>2000</v>
      </c>
      <c r="P3" s="8">
        <f>K3+O3</f>
        <v>45656.4</v>
      </c>
      <c r="Q3" s="2">
        <v>800</v>
      </c>
      <c r="R3" s="2">
        <f>H3*2</f>
        <v>7458</v>
      </c>
      <c r="S3" s="2">
        <v>5000</v>
      </c>
      <c r="T3" s="2"/>
      <c r="U3" s="2">
        <f>J3*2</f>
        <v>4474.8</v>
      </c>
      <c r="V3" s="4">
        <f>SUM(Q3:U3)</f>
        <v>17732.8</v>
      </c>
      <c r="W3" s="2">
        <f>X3+U3</f>
        <v>32398.400000000001</v>
      </c>
      <c r="X3" s="10">
        <f>P3-V3</f>
        <v>27923.600000000002</v>
      </c>
      <c r="Y3" s="2">
        <f>IF(X3*13&gt;600000,1%*X3,0)</f>
        <v>0</v>
      </c>
      <c r="Z3" s="2">
        <f>X3-Y3</f>
        <v>27923.600000000002</v>
      </c>
      <c r="AA3" s="2"/>
      <c r="AB3" s="2"/>
    </row>
    <row r="4" spans="1:28" x14ac:dyDescent="0.3">
      <c r="A4" s="2"/>
      <c r="B4" s="2"/>
      <c r="C4" s="2"/>
      <c r="D4" s="4">
        <v>34730</v>
      </c>
      <c r="E4" s="4">
        <f>ROUNDUP(D4/30,0)*4</f>
        <v>4632</v>
      </c>
      <c r="F4" s="2"/>
      <c r="G4" s="8">
        <f>SUM(D4:F4)</f>
        <v>39362</v>
      </c>
      <c r="H4" s="2">
        <f>10%*G4</f>
        <v>3936.2000000000003</v>
      </c>
      <c r="I4" s="2">
        <v>400</v>
      </c>
      <c r="J4" s="2">
        <f>6%*G4</f>
        <v>2361.7199999999998</v>
      </c>
      <c r="K4" s="8">
        <f>SUM(G4:J4)</f>
        <v>46059.92</v>
      </c>
      <c r="L4" s="2">
        <f>2000+3000</f>
        <v>5000</v>
      </c>
      <c r="M4" s="2">
        <f>G4</f>
        <v>39362</v>
      </c>
      <c r="N4" s="2"/>
      <c r="O4" s="4">
        <f>SUM(L4:M4)</f>
        <v>44362</v>
      </c>
      <c r="P4" s="8">
        <f>K4+O4</f>
        <v>90421.92</v>
      </c>
      <c r="Q4" s="2">
        <v>800</v>
      </c>
      <c r="R4" s="2">
        <f>H4*2</f>
        <v>7872.4000000000005</v>
      </c>
      <c r="S4" s="2">
        <v>5000</v>
      </c>
      <c r="T4" s="2"/>
      <c r="U4" s="2">
        <f>J4*2</f>
        <v>4723.4399999999996</v>
      </c>
      <c r="V4" s="4">
        <f>SUM(Q4:U4)</f>
        <v>18395.84</v>
      </c>
      <c r="W4" s="2">
        <f>X4+U4</f>
        <v>76749.52</v>
      </c>
      <c r="X4" s="10">
        <f>P4-V4</f>
        <v>72026.080000000002</v>
      </c>
      <c r="Y4" s="2">
        <f>IF(X4*13&gt;600000,1%*X4,0)</f>
        <v>720.26080000000002</v>
      </c>
      <c r="Z4" s="2">
        <f>X4-Y4</f>
        <v>71305.819199999998</v>
      </c>
      <c r="AA4" s="2"/>
      <c r="AB4" s="2"/>
    </row>
    <row r="5" spans="1:28" x14ac:dyDescent="0.3">
      <c r="A5" s="2"/>
      <c r="B5" s="2"/>
      <c r="C5" s="2"/>
      <c r="D5" s="4">
        <v>34730</v>
      </c>
      <c r="E5" s="4">
        <f>ROUNDUP(D5/30,0)*4</f>
        <v>4632</v>
      </c>
      <c r="F5" s="2"/>
      <c r="G5" s="8">
        <f>SUM(D5:F5)</f>
        <v>39362</v>
      </c>
      <c r="H5" s="2">
        <f>10%*G5</f>
        <v>3936.2000000000003</v>
      </c>
      <c r="I5" s="2">
        <v>400</v>
      </c>
      <c r="J5" s="2">
        <f>6%*G5</f>
        <v>2361.7199999999998</v>
      </c>
      <c r="K5" s="8">
        <f>SUM(G5:J5)</f>
        <v>46059.92</v>
      </c>
      <c r="L5" s="2">
        <f>2000+3000</f>
        <v>5000</v>
      </c>
      <c r="M5" s="2">
        <v>0</v>
      </c>
      <c r="N5" s="2"/>
      <c r="O5" s="4">
        <f>SUM(L5:M5)</f>
        <v>5000</v>
      </c>
      <c r="P5" s="8">
        <f>K5+O5</f>
        <v>51059.92</v>
      </c>
      <c r="Q5" s="2">
        <v>800</v>
      </c>
      <c r="R5" s="2">
        <f>H5*2</f>
        <v>7872.4000000000005</v>
      </c>
      <c r="S5" s="2">
        <v>5000</v>
      </c>
      <c r="T5" s="2"/>
      <c r="U5" s="2">
        <f>J5*2</f>
        <v>4723.4399999999996</v>
      </c>
      <c r="V5" s="4">
        <f>SUM(Q5:U5)</f>
        <v>18395.84</v>
      </c>
      <c r="W5" s="2">
        <f>X5+U5</f>
        <v>37387.519999999997</v>
      </c>
      <c r="X5" s="10">
        <f>P5-V5</f>
        <v>32664.079999999998</v>
      </c>
      <c r="Y5" s="2">
        <f>IF(X5*13&gt;600000,1%*X5,0)</f>
        <v>0</v>
      </c>
      <c r="Z5" s="2">
        <f>X5-Y5</f>
        <v>32664.079999999998</v>
      </c>
      <c r="AA5" s="2"/>
      <c r="AB5" s="2"/>
    </row>
    <row r="6" spans="1:28" x14ac:dyDescent="0.3">
      <c r="A6" s="2"/>
      <c r="B6" s="2"/>
      <c r="C6" s="2"/>
      <c r="D6" s="4">
        <v>34730</v>
      </c>
      <c r="E6" s="4">
        <f>ROUNDUP(D6/30,0)*4</f>
        <v>4632</v>
      </c>
      <c r="F6" s="2"/>
      <c r="G6" s="8">
        <f>SUM(D6:F6)</f>
        <v>39362</v>
      </c>
      <c r="H6" s="2">
        <f>10%*G6</f>
        <v>3936.2000000000003</v>
      </c>
      <c r="I6" s="2">
        <v>400</v>
      </c>
      <c r="J6" s="2">
        <f>6%*G6</f>
        <v>2361.7199999999998</v>
      </c>
      <c r="K6" s="8">
        <f>SUM(G6:J6)</f>
        <v>46059.92</v>
      </c>
      <c r="L6" s="2">
        <f>2000+3000</f>
        <v>5000</v>
      </c>
      <c r="M6" s="2">
        <v>0</v>
      </c>
      <c r="N6" s="2"/>
      <c r="O6" s="4">
        <f>SUM(L6:M6)</f>
        <v>5000</v>
      </c>
      <c r="P6" s="8">
        <f>K6+O6</f>
        <v>51059.92</v>
      </c>
      <c r="Q6" s="2">
        <v>800</v>
      </c>
      <c r="R6" s="2">
        <f>H6*2</f>
        <v>7872.4000000000005</v>
      </c>
      <c r="S6" s="2">
        <v>5000</v>
      </c>
      <c r="T6" s="2"/>
      <c r="U6" s="2">
        <f>J6*2</f>
        <v>4723.4399999999996</v>
      </c>
      <c r="V6" s="4">
        <f>SUM(Q6:U6)</f>
        <v>18395.84</v>
      </c>
      <c r="W6" s="2">
        <f>X6+U6</f>
        <v>37387.519999999997</v>
      </c>
      <c r="X6" s="10">
        <f>P6-V6</f>
        <v>32664.079999999998</v>
      </c>
      <c r="Y6" s="2">
        <f>IF(X6*13&gt;600000,1%*X6,0)</f>
        <v>0</v>
      </c>
      <c r="Z6" s="2">
        <f>X6-Y6</f>
        <v>32664.079999999998</v>
      </c>
      <c r="AA6" s="2"/>
      <c r="AB6" s="2"/>
    </row>
    <row r="7" spans="1:28" x14ac:dyDescent="0.3">
      <c r="A7" s="2"/>
      <c r="B7" s="2"/>
      <c r="C7" s="2"/>
      <c r="D7" s="4">
        <v>34730</v>
      </c>
      <c r="E7" s="4">
        <f>ROUNDUP(D7/30,0)*4</f>
        <v>4632</v>
      </c>
      <c r="F7" s="2"/>
      <c r="G7" s="8">
        <f>SUM(D7:F7)</f>
        <v>39362</v>
      </c>
      <c r="H7" s="2">
        <f>10%*G7</f>
        <v>3936.2000000000003</v>
      </c>
      <c r="I7" s="2">
        <v>400</v>
      </c>
      <c r="J7" s="2">
        <f>6%*G7</f>
        <v>2361.7199999999998</v>
      </c>
      <c r="K7" s="8">
        <f>SUM(G7:J7)</f>
        <v>46059.92</v>
      </c>
      <c r="L7" s="2">
        <f>2000+3000</f>
        <v>5000</v>
      </c>
      <c r="M7" s="2">
        <v>0</v>
      </c>
      <c r="N7" s="2"/>
      <c r="O7" s="4">
        <f>SUM(L7:M7)</f>
        <v>5000</v>
      </c>
      <c r="P7" s="8">
        <f>K7+O7</f>
        <v>51059.92</v>
      </c>
      <c r="Q7" s="2">
        <v>800</v>
      </c>
      <c r="R7" s="2">
        <f>H7*2</f>
        <v>7872.4000000000005</v>
      </c>
      <c r="S7" s="2">
        <v>5000</v>
      </c>
      <c r="T7" s="2"/>
      <c r="U7" s="2">
        <f>J7*2</f>
        <v>4723.4399999999996</v>
      </c>
      <c r="V7" s="4">
        <f>SUM(Q7:U7)</f>
        <v>18395.84</v>
      </c>
      <c r="W7" s="2">
        <f>X7+U7</f>
        <v>37387.519999999997</v>
      </c>
      <c r="X7" s="10">
        <f>P7-V7</f>
        <v>32664.079999999998</v>
      </c>
      <c r="Y7" s="2">
        <f>IF(X7*13&gt;600000,1%*X7,0)</f>
        <v>0</v>
      </c>
      <c r="Z7" s="2">
        <f>X7-Y7</f>
        <v>32664.079999999998</v>
      </c>
      <c r="AA7" s="2"/>
      <c r="AB7" s="2"/>
    </row>
    <row r="8" spans="1:28" x14ac:dyDescent="0.3">
      <c r="A8" s="2"/>
      <c r="B8" s="2"/>
      <c r="C8" s="2"/>
      <c r="D8" s="4">
        <v>34730</v>
      </c>
      <c r="E8" s="4">
        <f t="shared" ref="E8:E10" si="0">ROUNDUP(D8/30,0)*4</f>
        <v>4632</v>
      </c>
      <c r="F8" s="2"/>
      <c r="G8" s="8">
        <f t="shared" ref="G8:G10" si="1">SUM(D8:F8)</f>
        <v>39362</v>
      </c>
      <c r="H8" s="2">
        <f t="shared" ref="H8:H10" si="2">10%*G8</f>
        <v>3936.2000000000003</v>
      </c>
      <c r="I8" s="2">
        <v>400</v>
      </c>
      <c r="J8" s="2">
        <f t="shared" ref="J8:J10" si="3">6%*G8</f>
        <v>2361.7199999999998</v>
      </c>
      <c r="K8" s="8">
        <f t="shared" ref="K8:K10" si="4">SUM(G8:J8)</f>
        <v>46059.92</v>
      </c>
      <c r="L8" s="2">
        <f t="shared" ref="L8:L15" si="5">2000+3000</f>
        <v>5000</v>
      </c>
      <c r="M8" s="2">
        <v>0</v>
      </c>
      <c r="N8" s="2"/>
      <c r="O8" s="4">
        <f t="shared" ref="O8:O10" si="6">SUM(L8:M8)</f>
        <v>5000</v>
      </c>
      <c r="P8" s="8">
        <f t="shared" ref="P8:P10" si="7">K8+O8</f>
        <v>51059.92</v>
      </c>
      <c r="Q8" s="2">
        <v>800</v>
      </c>
      <c r="R8" s="2">
        <f t="shared" ref="R8:R10" si="8">H8*2</f>
        <v>7872.4000000000005</v>
      </c>
      <c r="S8" s="2">
        <v>5000</v>
      </c>
      <c r="T8" s="2"/>
      <c r="U8" s="2">
        <f t="shared" ref="U8:U10" si="9">J8*2</f>
        <v>4723.4399999999996</v>
      </c>
      <c r="V8" s="4">
        <f t="shared" ref="V8:V10" si="10">SUM(Q8:U8)</f>
        <v>18395.84</v>
      </c>
      <c r="W8" s="2">
        <f t="shared" ref="W8:W10" si="11">X8+U8</f>
        <v>37387.519999999997</v>
      </c>
      <c r="X8" s="10">
        <f t="shared" ref="X8:X10" si="12">P8-V8</f>
        <v>32664.079999999998</v>
      </c>
      <c r="Y8" s="2">
        <f t="shared" ref="Y8:Y10" si="13">IF(X8*13&gt;600000,1%*X8,0)</f>
        <v>0</v>
      </c>
      <c r="Z8" s="2">
        <f t="shared" ref="Z8:Z10" si="14">X8-Y8</f>
        <v>32664.079999999998</v>
      </c>
      <c r="AA8" s="2"/>
      <c r="AB8" s="2"/>
    </row>
    <row r="9" spans="1:28" x14ac:dyDescent="0.3">
      <c r="A9" s="2"/>
      <c r="B9" s="2"/>
      <c r="C9" s="2"/>
      <c r="D9" s="4">
        <v>34730</v>
      </c>
      <c r="E9" s="4">
        <f t="shared" si="0"/>
        <v>4632</v>
      </c>
      <c r="F9" s="2"/>
      <c r="G9" s="8">
        <f t="shared" si="1"/>
        <v>39362</v>
      </c>
      <c r="H9" s="2">
        <f t="shared" si="2"/>
        <v>3936.2000000000003</v>
      </c>
      <c r="I9" s="2">
        <v>400</v>
      </c>
      <c r="J9" s="2">
        <f t="shared" si="3"/>
        <v>2361.7199999999998</v>
      </c>
      <c r="K9" s="8">
        <f t="shared" si="4"/>
        <v>46059.92</v>
      </c>
      <c r="L9" s="2">
        <f t="shared" si="5"/>
        <v>5000</v>
      </c>
      <c r="M9" s="2">
        <v>0</v>
      </c>
      <c r="N9" s="2"/>
      <c r="O9" s="4">
        <f t="shared" si="6"/>
        <v>5000</v>
      </c>
      <c r="P9" s="8">
        <f t="shared" si="7"/>
        <v>51059.92</v>
      </c>
      <c r="Q9" s="2">
        <v>800</v>
      </c>
      <c r="R9" s="2">
        <f t="shared" si="8"/>
        <v>7872.4000000000005</v>
      </c>
      <c r="S9" s="2">
        <v>5000</v>
      </c>
      <c r="T9" s="2"/>
      <c r="U9" s="2">
        <f t="shared" si="9"/>
        <v>4723.4399999999996</v>
      </c>
      <c r="V9" s="4">
        <f t="shared" si="10"/>
        <v>18395.84</v>
      </c>
      <c r="W9" s="2">
        <f t="shared" si="11"/>
        <v>37387.519999999997</v>
      </c>
      <c r="X9" s="10">
        <f t="shared" si="12"/>
        <v>32664.079999999998</v>
      </c>
      <c r="Y9" s="2">
        <f t="shared" si="13"/>
        <v>0</v>
      </c>
      <c r="Z9" s="2">
        <f t="shared" si="14"/>
        <v>32664.079999999998</v>
      </c>
      <c r="AA9" s="2"/>
      <c r="AB9" s="2"/>
    </row>
    <row r="10" spans="1:28" x14ac:dyDescent="0.3">
      <c r="A10" s="2"/>
      <c r="B10" s="2"/>
      <c r="C10" s="2"/>
      <c r="D10" s="4">
        <v>34730</v>
      </c>
      <c r="E10" s="4">
        <f t="shared" si="0"/>
        <v>4632</v>
      </c>
      <c r="F10" s="2"/>
      <c r="G10" s="8">
        <f t="shared" si="1"/>
        <v>39362</v>
      </c>
      <c r="H10" s="2">
        <f t="shared" si="2"/>
        <v>3936.2000000000003</v>
      </c>
      <c r="I10" s="2">
        <v>400</v>
      </c>
      <c r="J10" s="2">
        <f t="shared" si="3"/>
        <v>2361.7199999999998</v>
      </c>
      <c r="K10" s="8">
        <f t="shared" si="4"/>
        <v>46059.92</v>
      </c>
      <c r="L10" s="2">
        <f t="shared" si="5"/>
        <v>5000</v>
      </c>
      <c r="M10" s="2">
        <v>0</v>
      </c>
      <c r="N10" s="2"/>
      <c r="O10" s="4">
        <f t="shared" si="6"/>
        <v>5000</v>
      </c>
      <c r="P10" s="8">
        <f t="shared" si="7"/>
        <v>51059.92</v>
      </c>
      <c r="Q10" s="2">
        <v>800</v>
      </c>
      <c r="R10" s="2">
        <f t="shared" si="8"/>
        <v>7872.4000000000005</v>
      </c>
      <c r="S10" s="2">
        <v>5000</v>
      </c>
      <c r="T10" s="2"/>
      <c r="U10" s="2">
        <f t="shared" si="9"/>
        <v>4723.4399999999996</v>
      </c>
      <c r="V10" s="4">
        <f t="shared" si="10"/>
        <v>18395.84</v>
      </c>
      <c r="W10" s="2">
        <f t="shared" si="11"/>
        <v>37387.519999999997</v>
      </c>
      <c r="X10" s="10">
        <f t="shared" si="12"/>
        <v>32664.079999999998</v>
      </c>
      <c r="Y10" s="2">
        <f t="shared" si="13"/>
        <v>0</v>
      </c>
      <c r="Z10" s="2">
        <f t="shared" si="14"/>
        <v>32664.079999999998</v>
      </c>
      <c r="AA10" s="2"/>
      <c r="AB10" s="2"/>
    </row>
    <row r="11" spans="1:28" x14ac:dyDescent="0.3">
      <c r="A11" s="2"/>
      <c r="B11" s="2"/>
      <c r="C11" s="2"/>
      <c r="D11" s="4">
        <v>34730</v>
      </c>
      <c r="E11" s="4">
        <f t="shared" ref="E11:E12" si="15">ROUNDUP(D11/30,0)*4</f>
        <v>4632</v>
      </c>
      <c r="F11" s="2"/>
      <c r="G11" s="8">
        <f t="shared" ref="G11:G12" si="16">SUM(D11:F11)</f>
        <v>39362</v>
      </c>
      <c r="H11" s="2">
        <f t="shared" ref="H11:H12" si="17">10%*G11</f>
        <v>3936.2000000000003</v>
      </c>
      <c r="I11" s="2">
        <v>400</v>
      </c>
      <c r="J11" s="2">
        <f t="shared" ref="J11:J12" si="18">6%*G11</f>
        <v>2361.7199999999998</v>
      </c>
      <c r="K11" s="8">
        <f t="shared" ref="K11:K12" si="19">SUM(G11:J11)</f>
        <v>46059.92</v>
      </c>
      <c r="L11" s="2">
        <f t="shared" si="5"/>
        <v>5000</v>
      </c>
      <c r="M11" s="2">
        <v>0</v>
      </c>
      <c r="N11" s="2">
        <v>10000</v>
      </c>
      <c r="O11" s="4">
        <f>SUM(L11:N11)</f>
        <v>15000</v>
      </c>
      <c r="P11" s="8">
        <f t="shared" ref="P11:P12" si="20">K11+O11</f>
        <v>61059.92</v>
      </c>
      <c r="Q11" s="2">
        <v>800</v>
      </c>
      <c r="R11" s="2">
        <f t="shared" ref="R11:R12" si="21">H11*2</f>
        <v>7872.4000000000005</v>
      </c>
      <c r="S11" s="2">
        <v>5000</v>
      </c>
      <c r="T11" s="2"/>
      <c r="U11" s="2">
        <f t="shared" ref="U11:U12" si="22">J11*2</f>
        <v>4723.4399999999996</v>
      </c>
      <c r="V11" s="4">
        <f t="shared" ref="V11:V12" si="23">SUM(Q11:U11)</f>
        <v>18395.84</v>
      </c>
      <c r="W11" s="2">
        <f t="shared" ref="W11:W12" si="24">X11+U11</f>
        <v>47387.520000000004</v>
      </c>
      <c r="X11" s="10">
        <f t="shared" ref="X11:X12" si="25">P11-V11</f>
        <v>42664.08</v>
      </c>
      <c r="Y11" s="2">
        <f t="shared" ref="Y11:Y12" si="26">IF(X11*13&gt;600000,1%*X11,0)</f>
        <v>0</v>
      </c>
      <c r="Z11" s="2">
        <f t="shared" ref="Z11:Z12" si="27">X11-Y11</f>
        <v>42664.08</v>
      </c>
      <c r="AA11" s="2"/>
      <c r="AB11" s="2"/>
    </row>
    <row r="12" spans="1:28" x14ac:dyDescent="0.3">
      <c r="A12" s="2"/>
      <c r="B12" s="2"/>
      <c r="C12" s="2"/>
      <c r="D12" s="4">
        <v>34730</v>
      </c>
      <c r="E12" s="4">
        <f t="shared" si="15"/>
        <v>4632</v>
      </c>
      <c r="F12" s="2"/>
      <c r="G12" s="8">
        <f t="shared" si="16"/>
        <v>39362</v>
      </c>
      <c r="H12" s="2">
        <f t="shared" si="17"/>
        <v>3936.2000000000003</v>
      </c>
      <c r="I12" s="2">
        <v>400</v>
      </c>
      <c r="J12" s="2">
        <f t="shared" si="18"/>
        <v>2361.7199999999998</v>
      </c>
      <c r="K12" s="8">
        <f t="shared" si="19"/>
        <v>46059.92</v>
      </c>
      <c r="L12" s="2">
        <f t="shared" si="5"/>
        <v>5000</v>
      </c>
      <c r="M12" s="2">
        <v>0</v>
      </c>
      <c r="N12" s="2"/>
      <c r="O12" s="4">
        <f t="shared" ref="O12" si="28">SUM(L12:M12)</f>
        <v>5000</v>
      </c>
      <c r="P12" s="8">
        <f t="shared" si="20"/>
        <v>51059.92</v>
      </c>
      <c r="Q12" s="2">
        <v>800</v>
      </c>
      <c r="R12" s="2">
        <f t="shared" si="21"/>
        <v>7872.4000000000005</v>
      </c>
      <c r="S12" s="2">
        <v>5000</v>
      </c>
      <c r="T12" s="2"/>
      <c r="U12" s="2">
        <f t="shared" si="22"/>
        <v>4723.4399999999996</v>
      </c>
      <c r="V12" s="4">
        <f t="shared" si="23"/>
        <v>18395.84</v>
      </c>
      <c r="W12" s="2">
        <f t="shared" si="24"/>
        <v>37387.519999999997</v>
      </c>
      <c r="X12" s="10">
        <f t="shared" si="25"/>
        <v>32664.079999999998</v>
      </c>
      <c r="Y12" s="2">
        <f t="shared" si="26"/>
        <v>0</v>
      </c>
      <c r="Z12" s="2">
        <f t="shared" si="27"/>
        <v>32664.079999999998</v>
      </c>
      <c r="AA12" s="2"/>
      <c r="AB12" s="2"/>
    </row>
    <row r="13" spans="1:28" x14ac:dyDescent="0.3">
      <c r="A13" s="2"/>
      <c r="B13" s="2"/>
      <c r="C13" s="2"/>
      <c r="D13" s="4"/>
      <c r="E13" s="4"/>
      <c r="F13" s="2"/>
      <c r="G13" s="8"/>
      <c r="H13" s="2"/>
      <c r="I13" s="2"/>
      <c r="J13" s="2"/>
      <c r="K13" s="8"/>
      <c r="L13" s="2"/>
      <c r="M13" s="2"/>
      <c r="N13" s="2"/>
      <c r="O13" s="4"/>
      <c r="P13" s="8"/>
      <c r="Q13" s="2"/>
      <c r="R13" s="2"/>
      <c r="S13" s="2"/>
      <c r="T13" s="2"/>
      <c r="U13" s="2"/>
      <c r="V13" s="4"/>
      <c r="W13" s="2"/>
      <c r="X13" s="10"/>
      <c r="Y13" s="2"/>
      <c r="Z13" s="2"/>
      <c r="AA13" s="2"/>
      <c r="AB13" s="2"/>
    </row>
    <row r="14" spans="1:28" x14ac:dyDescent="0.3">
      <c r="A14" s="2"/>
      <c r="B14" s="2"/>
      <c r="C14" s="2"/>
      <c r="D14" s="4"/>
      <c r="E14" s="4"/>
      <c r="F14" s="2"/>
      <c r="G14" s="8"/>
      <c r="H14" s="2"/>
      <c r="I14" s="2"/>
      <c r="J14" s="2"/>
      <c r="K14" s="8"/>
      <c r="L14" s="2"/>
      <c r="M14" s="2"/>
      <c r="N14" s="2"/>
      <c r="O14" s="4"/>
      <c r="P14" s="8"/>
      <c r="Q14" s="2"/>
      <c r="R14" s="2"/>
      <c r="S14" s="2"/>
      <c r="T14" s="2"/>
      <c r="U14" s="2"/>
      <c r="V14" s="4"/>
      <c r="W14" s="2"/>
      <c r="X14" s="10"/>
      <c r="Y14" s="2"/>
      <c r="Z14" s="2"/>
      <c r="AA14" s="2"/>
      <c r="AB14" s="2"/>
    </row>
    <row r="15" spans="1:28" x14ac:dyDescent="0.3">
      <c r="A15" s="2"/>
      <c r="B15" s="2"/>
      <c r="C15" s="2"/>
      <c r="D15" s="4">
        <f>34730*1.1</f>
        <v>38203</v>
      </c>
      <c r="E15" s="4">
        <f t="shared" ref="E15" si="29">ROUNDUP(D15/30,0)*4</f>
        <v>5096</v>
      </c>
      <c r="F15" s="2"/>
      <c r="G15" s="8">
        <f t="shared" ref="G15" si="30">SUM(D15:F15)</f>
        <v>43299</v>
      </c>
      <c r="H15" s="2">
        <f t="shared" ref="H15" si="31">10%*G15</f>
        <v>4329.9000000000005</v>
      </c>
      <c r="I15" s="2">
        <v>400</v>
      </c>
      <c r="J15" s="2">
        <f t="shared" ref="J15" si="32">6%*G15</f>
        <v>2597.94</v>
      </c>
      <c r="K15" s="8">
        <f t="shared" ref="K15" si="33">SUM(G15:J15)</f>
        <v>50626.840000000004</v>
      </c>
      <c r="L15" s="2">
        <f t="shared" si="5"/>
        <v>5000</v>
      </c>
      <c r="M15" s="2">
        <v>0</v>
      </c>
      <c r="N15" s="2"/>
      <c r="O15" s="4">
        <f t="shared" ref="O15" si="34">SUM(L15:M15)</f>
        <v>5000</v>
      </c>
      <c r="P15" s="8">
        <f t="shared" ref="P15" si="35">K15+O15</f>
        <v>55626.840000000004</v>
      </c>
      <c r="Q15" s="2">
        <v>800</v>
      </c>
      <c r="R15" s="2">
        <f t="shared" ref="R15" si="36">H15*2</f>
        <v>8659.8000000000011</v>
      </c>
      <c r="S15" s="2">
        <v>5000</v>
      </c>
      <c r="T15" s="2"/>
      <c r="U15" s="2">
        <f t="shared" ref="U15" si="37">J15*2</f>
        <v>5195.88</v>
      </c>
      <c r="V15" s="4">
        <f t="shared" ref="V15" si="38">SUM(Q15:U15)</f>
        <v>19655.68</v>
      </c>
      <c r="W15" s="2">
        <f t="shared" ref="W15" si="39">X15+U15</f>
        <v>41167.040000000001</v>
      </c>
      <c r="X15" s="10">
        <f t="shared" ref="X15" si="40">P15-V15</f>
        <v>35971.160000000003</v>
      </c>
      <c r="Y15" s="2">
        <f t="shared" ref="Y15" si="41">IF(X15*13&gt;600000,1%*X15,0)</f>
        <v>0</v>
      </c>
      <c r="Z15" s="2">
        <f t="shared" ref="Z15" si="42">X15-Y15</f>
        <v>35971.160000000003</v>
      </c>
      <c r="AA15" s="2"/>
      <c r="AB15" s="2"/>
    </row>
    <row r="16" spans="1:28" x14ac:dyDescent="0.3">
      <c r="A16" s="2"/>
      <c r="B16" s="2"/>
      <c r="C16" s="2"/>
      <c r="D16" s="4"/>
      <c r="E16" s="4"/>
      <c r="F16" s="2"/>
      <c r="G16" s="8"/>
      <c r="H16" s="2"/>
      <c r="I16" s="2"/>
      <c r="J16" s="2"/>
      <c r="K16" s="8"/>
      <c r="L16" s="2"/>
      <c r="M16" s="2"/>
      <c r="N16" s="2"/>
      <c r="O16" s="4"/>
      <c r="P16" s="8"/>
      <c r="Q16" s="2"/>
      <c r="R16" s="2"/>
      <c r="S16" s="2"/>
      <c r="T16" s="2"/>
      <c r="U16" s="2"/>
      <c r="V16" s="4"/>
      <c r="W16" s="2"/>
      <c r="X16" s="10"/>
      <c r="Y16" s="2"/>
      <c r="Z16" s="2"/>
      <c r="AA16" s="2"/>
      <c r="AB16" s="2"/>
    </row>
    <row r="17" spans="1:28" x14ac:dyDescent="0.3">
      <c r="A17" s="2"/>
      <c r="B17" s="2"/>
      <c r="C17" s="2"/>
      <c r="D17" s="4">
        <v>43689</v>
      </c>
      <c r="E17" s="4">
        <v>0</v>
      </c>
      <c r="F17" s="2"/>
      <c r="G17" s="8">
        <f>SUM(D17:F17)</f>
        <v>43689</v>
      </c>
      <c r="H17" s="2">
        <f>10%*G17</f>
        <v>4368.9000000000005</v>
      </c>
      <c r="I17" s="2">
        <v>400</v>
      </c>
      <c r="J17" s="2">
        <f>6%*G17</f>
        <v>2621.3399999999997</v>
      </c>
      <c r="K17" s="8">
        <f>SUM(G17:J17)</f>
        <v>51079.24</v>
      </c>
      <c r="L17" s="2">
        <f>2000+3000</f>
        <v>5000</v>
      </c>
      <c r="M17" s="2">
        <v>0</v>
      </c>
      <c r="N17" s="2"/>
      <c r="O17" s="4">
        <f>SUM(L17:M17)</f>
        <v>5000</v>
      </c>
      <c r="P17" s="8">
        <f>K17+O17</f>
        <v>56079.24</v>
      </c>
      <c r="Q17" s="2">
        <v>801</v>
      </c>
      <c r="R17" s="2">
        <f>H17*2</f>
        <v>8737.8000000000011</v>
      </c>
      <c r="S17" s="2">
        <v>1000</v>
      </c>
      <c r="T17" s="2"/>
      <c r="U17" s="2">
        <f>J17*2</f>
        <v>5242.6799999999994</v>
      </c>
      <c r="V17" s="4">
        <f>SUM(Q17:U17)</f>
        <v>15781.48</v>
      </c>
      <c r="W17" s="2">
        <f>X17+U17</f>
        <v>45540.439999999995</v>
      </c>
      <c r="X17" s="10">
        <f>P17-V17</f>
        <v>40297.759999999995</v>
      </c>
      <c r="Y17" s="2">
        <f>IF(X17*13&gt;600000,1%*X17,0)</f>
        <v>0</v>
      </c>
      <c r="Z17" s="2">
        <f>X17-Y17</f>
        <v>40297.759999999995</v>
      </c>
      <c r="AA17" s="2"/>
      <c r="AB17" s="2"/>
    </row>
    <row r="18" spans="1:28" x14ac:dyDescent="0.3">
      <c r="A18" s="2"/>
      <c r="B18" s="2"/>
      <c r="C18" s="2"/>
      <c r="D18" s="4"/>
      <c r="E18" s="4"/>
      <c r="F18" s="2"/>
      <c r="G18" s="8"/>
      <c r="H18" s="2"/>
      <c r="I18" s="2"/>
      <c r="J18" s="2"/>
      <c r="K18" s="8"/>
      <c r="L18" s="2"/>
      <c r="M18" s="2"/>
      <c r="N18" s="2"/>
      <c r="O18" s="4"/>
      <c r="P18" s="8"/>
      <c r="Q18" s="2"/>
      <c r="R18" s="2"/>
      <c r="S18" s="2"/>
      <c r="T18" s="2"/>
      <c r="U18" s="2"/>
      <c r="V18" s="4"/>
      <c r="W18" s="2"/>
      <c r="X18" s="10"/>
      <c r="Y18" s="2"/>
      <c r="Z18" s="2"/>
      <c r="AA18" s="2"/>
      <c r="AB18" s="2"/>
    </row>
    <row r="19" spans="1:28" x14ac:dyDescent="0.3">
      <c r="A19" s="2"/>
      <c r="B19" s="2"/>
      <c r="C19" s="2"/>
      <c r="D19" s="4"/>
      <c r="E19" s="4"/>
      <c r="F19" s="2"/>
      <c r="G19" s="8"/>
      <c r="H19" s="2"/>
      <c r="I19" s="2"/>
      <c r="J19" s="2"/>
      <c r="K19" s="8"/>
      <c r="L19" s="2"/>
      <c r="M19" s="2"/>
      <c r="N19" s="2"/>
      <c r="O19" s="4"/>
      <c r="P19" s="8"/>
      <c r="Q19" s="2"/>
      <c r="R19" s="2"/>
      <c r="S19" s="2"/>
      <c r="T19" s="2"/>
      <c r="U19" s="2"/>
      <c r="V19" s="4"/>
      <c r="W19" s="2"/>
      <c r="X19" s="10"/>
      <c r="Y19" s="2"/>
      <c r="Z19" s="2"/>
      <c r="AA19" s="2"/>
      <c r="AB19" s="2"/>
    </row>
    <row r="20" spans="1:28" x14ac:dyDescent="0.3">
      <c r="A20" s="2"/>
      <c r="B20" s="2"/>
      <c r="C20" s="2"/>
      <c r="D20" s="4"/>
      <c r="E20" s="4"/>
      <c r="F20" s="2"/>
      <c r="G20" s="8"/>
      <c r="H20" s="2"/>
      <c r="I20" s="2"/>
      <c r="J20" s="2"/>
      <c r="K20" s="8"/>
      <c r="L20" s="2"/>
      <c r="M20" s="2"/>
      <c r="N20" s="2"/>
      <c r="O20" s="4"/>
      <c r="P20" s="8"/>
      <c r="Q20" s="2"/>
      <c r="R20" s="2"/>
      <c r="S20" s="2"/>
      <c r="T20" s="2"/>
      <c r="U20" s="2"/>
      <c r="V20" s="4"/>
      <c r="W20" s="2"/>
      <c r="X20" s="10"/>
      <c r="Y20" s="2"/>
      <c r="Z20" s="2"/>
      <c r="AA20" s="2"/>
      <c r="AB20" s="2"/>
    </row>
    <row r="21" spans="1:28" x14ac:dyDescent="0.3">
      <c r="A21" s="2"/>
      <c r="B21" s="2"/>
      <c r="C21" s="2"/>
      <c r="D21" s="4"/>
      <c r="E21" s="4"/>
      <c r="F21" s="2"/>
      <c r="G21" s="8"/>
      <c r="H21" s="2"/>
      <c r="I21" s="2"/>
      <c r="J21" s="2"/>
      <c r="K21" s="8"/>
      <c r="L21" s="2"/>
      <c r="M21" s="2"/>
      <c r="N21" s="2"/>
      <c r="O21" s="4"/>
      <c r="P21" s="8"/>
      <c r="Q21" s="2"/>
      <c r="R21" s="2"/>
      <c r="S21" s="2"/>
      <c r="T21" s="2"/>
      <c r="U21" s="2"/>
      <c r="V21" s="4"/>
      <c r="W21" s="2"/>
      <c r="X21" s="10"/>
      <c r="Y21" s="2"/>
      <c r="Z21" s="2"/>
      <c r="AA21" s="2"/>
      <c r="AB21" s="2"/>
    </row>
    <row r="22" spans="1:28" x14ac:dyDescent="0.3">
      <c r="A22" s="2"/>
      <c r="B22" s="2"/>
      <c r="C22" s="2"/>
      <c r="D22" s="4"/>
      <c r="E22" s="4"/>
      <c r="F22" s="2"/>
      <c r="G22" s="8"/>
      <c r="H22" s="2"/>
      <c r="I22" s="2"/>
      <c r="J22" s="2"/>
      <c r="K22" s="8"/>
      <c r="L22" s="2"/>
      <c r="M22" s="2"/>
      <c r="N22" s="2"/>
      <c r="O22" s="4"/>
      <c r="P22" s="8"/>
      <c r="Q22" s="2"/>
      <c r="R22" s="2"/>
      <c r="S22" s="2"/>
      <c r="T22" s="2"/>
      <c r="U22" s="2"/>
      <c r="V22" s="4"/>
      <c r="W22" s="2"/>
      <c r="X22" s="10"/>
      <c r="Y22" s="2"/>
      <c r="Z22" s="2"/>
      <c r="AA22" s="2"/>
      <c r="AB22" s="2"/>
    </row>
    <row r="23" spans="1:28" x14ac:dyDescent="0.3">
      <c r="A23" s="2"/>
      <c r="B23" s="2"/>
      <c r="C23" s="2"/>
      <c r="D23" s="4"/>
      <c r="E23" s="4"/>
      <c r="F23" s="2"/>
      <c r="G23" s="8"/>
      <c r="H23" s="2"/>
      <c r="I23" s="2"/>
      <c r="J23" s="2"/>
      <c r="K23" s="8"/>
      <c r="L23" s="2"/>
      <c r="M23" s="2"/>
      <c r="N23" s="2"/>
      <c r="O23" s="4"/>
      <c r="P23" s="8"/>
      <c r="Q23" s="2"/>
      <c r="R23" s="2"/>
      <c r="S23" s="2"/>
      <c r="T23" s="2"/>
      <c r="U23" s="2"/>
      <c r="V23" s="4"/>
      <c r="W23" s="2"/>
      <c r="X23" s="10"/>
      <c r="Y23" s="2"/>
      <c r="Z23" s="2"/>
      <c r="AA23" s="2"/>
      <c r="AB23" s="2"/>
    </row>
    <row r="24" spans="1:28" x14ac:dyDescent="0.3">
      <c r="A24" s="2"/>
      <c r="B24" s="2"/>
      <c r="C24" s="2"/>
      <c r="D24" s="4"/>
      <c r="E24" s="4"/>
      <c r="F24" s="2"/>
      <c r="G24" s="8"/>
      <c r="H24" s="2"/>
      <c r="I24" s="2"/>
      <c r="J24" s="2"/>
      <c r="K24" s="8"/>
      <c r="L24" s="2"/>
      <c r="M24" s="2"/>
      <c r="N24" s="2"/>
      <c r="O24" s="4"/>
      <c r="P24" s="8"/>
      <c r="Q24" s="2"/>
      <c r="R24" s="2"/>
      <c r="S24" s="2"/>
      <c r="T24" s="2"/>
      <c r="U24" s="2"/>
      <c r="V24" s="4"/>
      <c r="W24" s="2"/>
      <c r="X24" s="10"/>
      <c r="Y24" s="2"/>
      <c r="Z24" s="2"/>
      <c r="AA24" s="2"/>
      <c r="AB24" s="2"/>
    </row>
    <row r="25" spans="1:28" x14ac:dyDescent="0.3">
      <c r="A25" s="2"/>
      <c r="B25" s="2"/>
      <c r="C25" s="2"/>
      <c r="D25" s="4"/>
      <c r="E25" s="4"/>
      <c r="F25" s="2"/>
      <c r="G25" s="8"/>
      <c r="H25" s="2"/>
      <c r="I25" s="2"/>
      <c r="J25" s="2"/>
      <c r="K25" s="8"/>
      <c r="L25" s="2"/>
      <c r="M25" s="2"/>
      <c r="N25" s="2"/>
      <c r="O25" s="4"/>
      <c r="P25" s="8"/>
      <c r="Q25" s="2"/>
      <c r="R25" s="2"/>
      <c r="S25" s="2"/>
      <c r="T25" s="2"/>
      <c r="U25" s="2"/>
      <c r="V25" s="4"/>
      <c r="W25" s="2"/>
      <c r="X25" s="10"/>
      <c r="Y25" s="2"/>
      <c r="Z25" s="2"/>
      <c r="AA25" s="2"/>
      <c r="AB25" s="2"/>
    </row>
    <row r="26" spans="1:28" x14ac:dyDescent="0.3">
      <c r="A26" s="2"/>
      <c r="B26" s="2"/>
      <c r="C26" s="2"/>
      <c r="D26" s="4"/>
      <c r="E26" s="4"/>
      <c r="F26" s="2"/>
      <c r="G26" s="8"/>
      <c r="H26" s="2"/>
      <c r="I26" s="2"/>
      <c r="J26" s="2"/>
      <c r="K26" s="8"/>
      <c r="L26" s="2"/>
      <c r="M26" s="2"/>
      <c r="N26" s="2"/>
      <c r="O26" s="4"/>
      <c r="P26" s="8"/>
      <c r="Q26" s="2"/>
      <c r="R26" s="2"/>
      <c r="S26" s="2"/>
      <c r="T26" s="2"/>
      <c r="U26" s="2"/>
      <c r="V26" s="4"/>
      <c r="W26" s="2"/>
      <c r="X26" s="10"/>
      <c r="Y26" s="2"/>
      <c r="Z26" s="2"/>
      <c r="AA26" s="2"/>
      <c r="AB26" s="2"/>
    </row>
    <row r="27" spans="1:28" x14ac:dyDescent="0.3">
      <c r="A27" s="2"/>
      <c r="B27" s="2"/>
      <c r="C27" s="2"/>
      <c r="D27" s="4"/>
      <c r="E27" s="4"/>
      <c r="F27" s="2"/>
      <c r="G27" s="8"/>
      <c r="H27" s="2"/>
      <c r="I27" s="2"/>
      <c r="J27" s="2"/>
      <c r="K27" s="8"/>
      <c r="L27" s="2"/>
      <c r="M27" s="2"/>
      <c r="N27" s="2"/>
      <c r="O27" s="4"/>
      <c r="P27" s="8"/>
      <c r="Q27" s="2"/>
      <c r="R27" s="2"/>
      <c r="S27" s="2"/>
      <c r="T27" s="2"/>
      <c r="U27" s="2"/>
      <c r="V27" s="4"/>
      <c r="W27" s="2"/>
      <c r="X27" s="10"/>
      <c r="Y27" s="2"/>
      <c r="Z27" s="2"/>
      <c r="AA27" s="2"/>
      <c r="AB27" s="2"/>
    </row>
  </sheetData>
  <mergeCells count="14">
    <mergeCell ref="W1:W2"/>
    <mergeCell ref="AB1:AB2"/>
    <mergeCell ref="L1:O1"/>
    <mergeCell ref="P1:P2"/>
    <mergeCell ref="A1:A2"/>
    <mergeCell ref="B1:B2"/>
    <mergeCell ref="C1:C2"/>
    <mergeCell ref="H1:K1"/>
    <mergeCell ref="D1:G1"/>
    <mergeCell ref="Q1:V1"/>
    <mergeCell ref="X1:X2"/>
    <mergeCell ref="Y1:Y2"/>
    <mergeCell ref="Z1:Z2"/>
    <mergeCell ref="AA1:AA2"/>
  </mergeCells>
  <pageMargins left="0.7" right="0.7" top="0.75" bottom="0.75" header="0.3" footer="0.3"/>
  <pageSetup orientation="portrait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DELL</cp:lastModifiedBy>
  <dcterms:created xsi:type="dcterms:W3CDTF">2015-06-05T18:17:20Z</dcterms:created>
  <dcterms:modified xsi:type="dcterms:W3CDTF">2026-05-29T16:11:10Z</dcterms:modified>
</cp:coreProperties>
</file>