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2082_2083\"/>
    </mc:Choice>
  </mc:AlternateContent>
  <xr:revisionPtr revIDLastSave="0" documentId="13_ncr:1_{4A18DF91-9997-4D9A-8553-BD2A17C3DE3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  <sheet name="for check" sheetId="2" r:id="rId2"/>
  </sheets>
  <definedNames>
    <definedName name="_xlnm.Print_Area" localSheetId="1">'for check'!$A$1:$AC$93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" i="1" l="1"/>
  <c r="E18" i="1"/>
  <c r="L18" i="1"/>
  <c r="D18" i="1"/>
  <c r="E17" i="1"/>
  <c r="Q93" i="2"/>
  <c r="S93" i="2"/>
  <c r="L89" i="2"/>
  <c r="D90" i="2"/>
  <c r="I85" i="2"/>
  <c r="I88" i="2" s="1"/>
  <c r="I93" i="2" s="1"/>
  <c r="M85" i="2"/>
  <c r="M88" i="2" s="1"/>
  <c r="Q85" i="2"/>
  <c r="Q88" i="2" s="1"/>
  <c r="S85" i="2"/>
  <c r="S88" i="2" s="1"/>
  <c r="D85" i="2"/>
  <c r="L81" i="2"/>
  <c r="O81" i="2" s="1"/>
  <c r="E81" i="2"/>
  <c r="G81" i="2" s="1"/>
  <c r="D87" i="2"/>
  <c r="M87" i="2" s="1"/>
  <c r="L87" i="2"/>
  <c r="E68" i="2"/>
  <c r="G68" i="2" s="1"/>
  <c r="E58" i="2"/>
  <c r="G58" i="2" s="1"/>
  <c r="E59" i="2"/>
  <c r="G59" i="2" s="1"/>
  <c r="E60" i="2"/>
  <c r="G60" i="2" s="1"/>
  <c r="E61" i="2"/>
  <c r="G61" i="2" s="1"/>
  <c r="E62" i="2"/>
  <c r="G62" i="2" s="1"/>
  <c r="E63" i="2"/>
  <c r="G63" i="2" s="1"/>
  <c r="E64" i="2"/>
  <c r="G64" i="2" s="1"/>
  <c r="E65" i="2"/>
  <c r="G65" i="2" s="1"/>
  <c r="E66" i="2"/>
  <c r="G66" i="2" s="1"/>
  <c r="E67" i="2"/>
  <c r="G67" i="2" s="1"/>
  <c r="E57" i="2"/>
  <c r="G57" i="2" s="1"/>
  <c r="E45" i="2"/>
  <c r="G45" i="2" s="1"/>
  <c r="E46" i="2"/>
  <c r="G46" i="2" s="1"/>
  <c r="E47" i="2"/>
  <c r="G47" i="2" s="1"/>
  <c r="E48" i="2"/>
  <c r="G48" i="2" s="1"/>
  <c r="E49" i="2"/>
  <c r="G49" i="2" s="1"/>
  <c r="E50" i="2"/>
  <c r="G50" i="2" s="1"/>
  <c r="E51" i="2"/>
  <c r="G51" i="2" s="1"/>
  <c r="E52" i="2"/>
  <c r="G52" i="2" s="1"/>
  <c r="E53" i="2"/>
  <c r="G53" i="2" s="1"/>
  <c r="E54" i="2"/>
  <c r="G54" i="2" s="1"/>
  <c r="E44" i="2"/>
  <c r="G44" i="2" s="1"/>
  <c r="E42" i="2"/>
  <c r="G42" i="2" s="1"/>
  <c r="E32" i="2"/>
  <c r="G32" i="2" s="1"/>
  <c r="E33" i="2"/>
  <c r="G33" i="2" s="1"/>
  <c r="E34" i="2"/>
  <c r="G34" i="2" s="1"/>
  <c r="E35" i="2"/>
  <c r="G35" i="2" s="1"/>
  <c r="E36" i="2"/>
  <c r="G36" i="2" s="1"/>
  <c r="E37" i="2"/>
  <c r="G37" i="2" s="1"/>
  <c r="E38" i="2"/>
  <c r="G38" i="2" s="1"/>
  <c r="E39" i="2"/>
  <c r="G39" i="2" s="1"/>
  <c r="E40" i="2"/>
  <c r="G40" i="2" s="1"/>
  <c r="E41" i="2"/>
  <c r="G41" i="2" s="1"/>
  <c r="E31" i="2"/>
  <c r="G31" i="2" s="1"/>
  <c r="E29" i="2"/>
  <c r="G29" i="2" s="1"/>
  <c r="E19" i="2"/>
  <c r="G19" i="2" s="1"/>
  <c r="E20" i="2"/>
  <c r="G20" i="2" s="1"/>
  <c r="E21" i="2"/>
  <c r="G21" i="2" s="1"/>
  <c r="E22" i="2"/>
  <c r="G22" i="2" s="1"/>
  <c r="E23" i="2"/>
  <c r="G23" i="2" s="1"/>
  <c r="E24" i="2"/>
  <c r="G24" i="2" s="1"/>
  <c r="E25" i="2"/>
  <c r="G25" i="2" s="1"/>
  <c r="E26" i="2"/>
  <c r="G26" i="2" s="1"/>
  <c r="E27" i="2"/>
  <c r="G27" i="2" s="1"/>
  <c r="E28" i="2"/>
  <c r="G28" i="2" s="1"/>
  <c r="E18" i="2"/>
  <c r="G18" i="2" s="1"/>
  <c r="E6" i="2"/>
  <c r="G6" i="2" s="1"/>
  <c r="E7" i="2"/>
  <c r="G7" i="2" s="1"/>
  <c r="E8" i="2"/>
  <c r="G8" i="2" s="1"/>
  <c r="E9" i="2"/>
  <c r="G9" i="2" s="1"/>
  <c r="H9" i="2" s="1"/>
  <c r="R9" i="2" s="1"/>
  <c r="E10" i="2"/>
  <c r="G10" i="2" s="1"/>
  <c r="E11" i="2"/>
  <c r="G11" i="2" s="1"/>
  <c r="E12" i="2"/>
  <c r="G12" i="2" s="1"/>
  <c r="E13" i="2"/>
  <c r="G13" i="2" s="1"/>
  <c r="E14" i="2"/>
  <c r="G14" i="2" s="1"/>
  <c r="E15" i="2"/>
  <c r="G15" i="2" s="1"/>
  <c r="E5" i="2"/>
  <c r="G5" i="2" s="1"/>
  <c r="E55" i="2"/>
  <c r="G55" i="2" s="1"/>
  <c r="E16" i="2"/>
  <c r="G16" i="2" s="1"/>
  <c r="M68" i="2"/>
  <c r="O68" i="2" s="1"/>
  <c r="I68" i="2"/>
  <c r="M67" i="2"/>
  <c r="O67" i="2" s="1"/>
  <c r="I67" i="2"/>
  <c r="M66" i="2"/>
  <c r="O66" i="2" s="1"/>
  <c r="I66" i="2"/>
  <c r="M65" i="2"/>
  <c r="O65" i="2" s="1"/>
  <c r="I65" i="2"/>
  <c r="M64" i="2"/>
  <c r="O64" i="2" s="1"/>
  <c r="I64" i="2"/>
  <c r="M63" i="2"/>
  <c r="O63" i="2" s="1"/>
  <c r="I63" i="2"/>
  <c r="M62" i="2"/>
  <c r="O62" i="2" s="1"/>
  <c r="I62" i="2"/>
  <c r="M61" i="2"/>
  <c r="O61" i="2" s="1"/>
  <c r="I61" i="2"/>
  <c r="M60" i="2"/>
  <c r="O60" i="2" s="1"/>
  <c r="I60" i="2"/>
  <c r="M59" i="2"/>
  <c r="O59" i="2" s="1"/>
  <c r="I59" i="2"/>
  <c r="M58" i="2"/>
  <c r="O58" i="2" s="1"/>
  <c r="I58" i="2"/>
  <c r="M57" i="2"/>
  <c r="O57" i="2" s="1"/>
  <c r="I57" i="2"/>
  <c r="M55" i="2"/>
  <c r="O55" i="2" s="1"/>
  <c r="I55" i="2"/>
  <c r="M54" i="2"/>
  <c r="O54" i="2" s="1"/>
  <c r="I54" i="2"/>
  <c r="M53" i="2"/>
  <c r="O53" i="2" s="1"/>
  <c r="I53" i="2"/>
  <c r="M52" i="2"/>
  <c r="O52" i="2" s="1"/>
  <c r="I52" i="2"/>
  <c r="M51" i="2"/>
  <c r="O51" i="2" s="1"/>
  <c r="I51" i="2"/>
  <c r="M50" i="2"/>
  <c r="O50" i="2" s="1"/>
  <c r="I50" i="2"/>
  <c r="M49" i="2"/>
  <c r="O49" i="2" s="1"/>
  <c r="I49" i="2"/>
  <c r="M48" i="2"/>
  <c r="O48" i="2" s="1"/>
  <c r="I48" i="2"/>
  <c r="M47" i="2"/>
  <c r="O47" i="2" s="1"/>
  <c r="I47" i="2"/>
  <c r="M46" i="2"/>
  <c r="O46" i="2" s="1"/>
  <c r="I46" i="2"/>
  <c r="M45" i="2"/>
  <c r="O45" i="2" s="1"/>
  <c r="I45" i="2"/>
  <c r="M44" i="2"/>
  <c r="O44" i="2" s="1"/>
  <c r="I44" i="2"/>
  <c r="M42" i="2"/>
  <c r="O42" i="2" s="1"/>
  <c r="I42" i="2"/>
  <c r="M41" i="2"/>
  <c r="O41" i="2" s="1"/>
  <c r="I41" i="2"/>
  <c r="M40" i="2"/>
  <c r="O40" i="2" s="1"/>
  <c r="I40" i="2"/>
  <c r="M39" i="2"/>
  <c r="O39" i="2" s="1"/>
  <c r="I39" i="2"/>
  <c r="M38" i="2"/>
  <c r="O38" i="2" s="1"/>
  <c r="I38" i="2"/>
  <c r="M37" i="2"/>
  <c r="O37" i="2" s="1"/>
  <c r="I37" i="2"/>
  <c r="M36" i="2"/>
  <c r="O36" i="2" s="1"/>
  <c r="I36" i="2"/>
  <c r="M35" i="2"/>
  <c r="O35" i="2" s="1"/>
  <c r="I35" i="2"/>
  <c r="M34" i="2"/>
  <c r="O34" i="2" s="1"/>
  <c r="I34" i="2"/>
  <c r="M33" i="2"/>
  <c r="O33" i="2" s="1"/>
  <c r="I33" i="2"/>
  <c r="M32" i="2"/>
  <c r="O32" i="2" s="1"/>
  <c r="I32" i="2"/>
  <c r="M31" i="2"/>
  <c r="O31" i="2" s="1"/>
  <c r="I31" i="2"/>
  <c r="M29" i="2"/>
  <c r="O29" i="2" s="1"/>
  <c r="I29" i="2"/>
  <c r="M28" i="2"/>
  <c r="O28" i="2" s="1"/>
  <c r="I28" i="2"/>
  <c r="M27" i="2"/>
  <c r="O27" i="2" s="1"/>
  <c r="I27" i="2"/>
  <c r="M26" i="2"/>
  <c r="O26" i="2" s="1"/>
  <c r="I26" i="2"/>
  <c r="M25" i="2"/>
  <c r="O25" i="2" s="1"/>
  <c r="I25" i="2"/>
  <c r="M24" i="2"/>
  <c r="O24" i="2" s="1"/>
  <c r="I24" i="2"/>
  <c r="M23" i="2"/>
  <c r="O23" i="2" s="1"/>
  <c r="I23" i="2"/>
  <c r="M22" i="2"/>
  <c r="O22" i="2" s="1"/>
  <c r="I22" i="2"/>
  <c r="M21" i="2"/>
  <c r="O21" i="2" s="1"/>
  <c r="I21" i="2"/>
  <c r="M20" i="2"/>
  <c r="O20" i="2" s="1"/>
  <c r="I20" i="2"/>
  <c r="M19" i="2"/>
  <c r="O19" i="2" s="1"/>
  <c r="I19" i="2"/>
  <c r="M18" i="2"/>
  <c r="O18" i="2" s="1"/>
  <c r="I18" i="2"/>
  <c r="M7" i="2"/>
  <c r="O7" i="2" s="1"/>
  <c r="M16" i="2"/>
  <c r="O16" i="2" s="1"/>
  <c r="I16" i="2"/>
  <c r="M15" i="2"/>
  <c r="O15" i="2" s="1"/>
  <c r="I15" i="2"/>
  <c r="M14" i="2"/>
  <c r="O14" i="2" s="1"/>
  <c r="I14" i="2"/>
  <c r="M13" i="2"/>
  <c r="O13" i="2" s="1"/>
  <c r="I13" i="2"/>
  <c r="M12" i="2"/>
  <c r="O12" i="2" s="1"/>
  <c r="I12" i="2"/>
  <c r="M11" i="2"/>
  <c r="O11" i="2" s="1"/>
  <c r="I11" i="2"/>
  <c r="M10" i="2"/>
  <c r="O10" i="2" s="1"/>
  <c r="I10" i="2"/>
  <c r="M9" i="2"/>
  <c r="O9" i="2" s="1"/>
  <c r="I9" i="2"/>
  <c r="M8" i="2"/>
  <c r="O8" i="2" s="1"/>
  <c r="I8" i="2"/>
  <c r="I7" i="2"/>
  <c r="M6" i="2"/>
  <c r="O6" i="2" s="1"/>
  <c r="I6" i="2"/>
  <c r="M5" i="2"/>
  <c r="O5" i="2" s="1"/>
  <c r="I5" i="2"/>
  <c r="M3" i="2"/>
  <c r="O3" i="2" s="1"/>
  <c r="I3" i="2"/>
  <c r="G3" i="2"/>
  <c r="L92" i="2"/>
  <c r="O92" i="2" s="1"/>
  <c r="G92" i="2"/>
  <c r="L90" i="2"/>
  <c r="E90" i="2"/>
  <c r="L82" i="2"/>
  <c r="O82" i="2" s="1"/>
  <c r="O85" i="2" s="1"/>
  <c r="E82" i="2"/>
  <c r="G82" i="2" s="1"/>
  <c r="G85" i="2" s="1"/>
  <c r="L80" i="2"/>
  <c r="O80" i="2" s="1"/>
  <c r="E80" i="2"/>
  <c r="G80" i="2" s="1"/>
  <c r="L79" i="2"/>
  <c r="O79" i="2" s="1"/>
  <c r="E79" i="2"/>
  <c r="G79" i="2" s="1"/>
  <c r="L78" i="2"/>
  <c r="O78" i="2" s="1"/>
  <c r="E78" i="2"/>
  <c r="G78" i="2" s="1"/>
  <c r="L77" i="2"/>
  <c r="O77" i="2" s="1"/>
  <c r="G77" i="2"/>
  <c r="L76" i="2"/>
  <c r="O76" i="2" s="1"/>
  <c r="E76" i="2"/>
  <c r="G76" i="2" s="1"/>
  <c r="L75" i="2"/>
  <c r="O75" i="2" s="1"/>
  <c r="E75" i="2"/>
  <c r="G75" i="2" s="1"/>
  <c r="L74" i="2"/>
  <c r="O74" i="2" s="1"/>
  <c r="E74" i="2"/>
  <c r="G74" i="2" s="1"/>
  <c r="L73" i="2"/>
  <c r="O73" i="2" s="1"/>
  <c r="E73" i="2"/>
  <c r="G73" i="2" s="1"/>
  <c r="L72" i="2"/>
  <c r="O72" i="2" s="1"/>
  <c r="E72" i="2"/>
  <c r="G72" i="2" s="1"/>
  <c r="L71" i="2"/>
  <c r="E71" i="2"/>
  <c r="G71" i="2" s="1"/>
  <c r="O70" i="2"/>
  <c r="E70" i="2"/>
  <c r="G70" i="2" s="1"/>
  <c r="E14" i="1"/>
  <c r="G14" i="1" s="1"/>
  <c r="L14" i="1"/>
  <c r="P14" i="1" s="1"/>
  <c r="E13" i="1"/>
  <c r="G13" i="1" s="1"/>
  <c r="L13" i="1"/>
  <c r="P13" i="1"/>
  <c r="D17" i="1"/>
  <c r="L17" i="1"/>
  <c r="N18" i="1" l="1"/>
  <c r="G18" i="1"/>
  <c r="M18" i="1" s="1"/>
  <c r="L88" i="2"/>
  <c r="L93" i="2" s="1"/>
  <c r="D88" i="2"/>
  <c r="L85" i="2"/>
  <c r="E85" i="2"/>
  <c r="H81" i="2"/>
  <c r="R81" i="2" s="1"/>
  <c r="J81" i="2"/>
  <c r="U81" i="2" s="1"/>
  <c r="O87" i="2"/>
  <c r="O88" i="2" s="1"/>
  <c r="V90" i="2"/>
  <c r="E87" i="2"/>
  <c r="H68" i="2"/>
  <c r="J68" i="2"/>
  <c r="U68" i="2" s="1"/>
  <c r="J67" i="2"/>
  <c r="U67" i="2" s="1"/>
  <c r="H67" i="2"/>
  <c r="H66" i="2"/>
  <c r="R66" i="2" s="1"/>
  <c r="J66" i="2"/>
  <c r="U66" i="2" s="1"/>
  <c r="J65" i="2"/>
  <c r="U65" i="2" s="1"/>
  <c r="H65" i="2"/>
  <c r="H64" i="2"/>
  <c r="R64" i="2" s="1"/>
  <c r="J64" i="2"/>
  <c r="H63" i="2"/>
  <c r="R63" i="2" s="1"/>
  <c r="J63" i="2"/>
  <c r="U63" i="2" s="1"/>
  <c r="J62" i="2"/>
  <c r="U62" i="2" s="1"/>
  <c r="H62" i="2"/>
  <c r="H61" i="2"/>
  <c r="J61" i="2"/>
  <c r="U61" i="2" s="1"/>
  <c r="H60" i="2"/>
  <c r="J60" i="2"/>
  <c r="U60" i="2" s="1"/>
  <c r="H59" i="2"/>
  <c r="R59" i="2" s="1"/>
  <c r="J59" i="2"/>
  <c r="J58" i="2"/>
  <c r="U58" i="2" s="1"/>
  <c r="H58" i="2"/>
  <c r="J57" i="2"/>
  <c r="U57" i="2" s="1"/>
  <c r="H57" i="2"/>
  <c r="H55" i="2"/>
  <c r="R55" i="2" s="1"/>
  <c r="J55" i="2"/>
  <c r="H54" i="2"/>
  <c r="R54" i="2" s="1"/>
  <c r="J54" i="2"/>
  <c r="U54" i="2" s="1"/>
  <c r="H53" i="2"/>
  <c r="R53" i="2" s="1"/>
  <c r="J53" i="2"/>
  <c r="U53" i="2" s="1"/>
  <c r="J52" i="2"/>
  <c r="U52" i="2" s="1"/>
  <c r="H52" i="2"/>
  <c r="R52" i="2" s="1"/>
  <c r="H51" i="2"/>
  <c r="R51" i="2" s="1"/>
  <c r="J51" i="2"/>
  <c r="U51" i="2" s="1"/>
  <c r="H50" i="2"/>
  <c r="J50" i="2"/>
  <c r="U50" i="2" s="1"/>
  <c r="H49" i="2"/>
  <c r="R49" i="2" s="1"/>
  <c r="J49" i="2"/>
  <c r="H48" i="2"/>
  <c r="R48" i="2" s="1"/>
  <c r="J48" i="2"/>
  <c r="H47" i="2"/>
  <c r="R47" i="2" s="1"/>
  <c r="J47" i="2"/>
  <c r="U47" i="2" s="1"/>
  <c r="H46" i="2"/>
  <c r="R46" i="2" s="1"/>
  <c r="J46" i="2"/>
  <c r="H45" i="2"/>
  <c r="R45" i="2" s="1"/>
  <c r="J45" i="2"/>
  <c r="U45" i="2" s="1"/>
  <c r="H44" i="2"/>
  <c r="J44" i="2"/>
  <c r="U44" i="2" s="1"/>
  <c r="J42" i="2"/>
  <c r="U42" i="2" s="1"/>
  <c r="H42" i="2"/>
  <c r="H41" i="2"/>
  <c r="J41" i="2"/>
  <c r="U41" i="2" s="1"/>
  <c r="J40" i="2"/>
  <c r="U40" i="2" s="1"/>
  <c r="H40" i="2"/>
  <c r="H39" i="2"/>
  <c r="J39" i="2"/>
  <c r="U39" i="2" s="1"/>
  <c r="H38" i="2"/>
  <c r="R38" i="2" s="1"/>
  <c r="J38" i="2"/>
  <c r="U38" i="2" s="1"/>
  <c r="H37" i="2"/>
  <c r="R37" i="2" s="1"/>
  <c r="J37" i="2"/>
  <c r="U37" i="2" s="1"/>
  <c r="H36" i="2"/>
  <c r="J36" i="2"/>
  <c r="U36" i="2" s="1"/>
  <c r="H35" i="2"/>
  <c r="J35" i="2"/>
  <c r="U35" i="2" s="1"/>
  <c r="H34" i="2"/>
  <c r="R34" i="2" s="1"/>
  <c r="J34" i="2"/>
  <c r="U34" i="2" s="1"/>
  <c r="H33" i="2"/>
  <c r="J33" i="2"/>
  <c r="U33" i="2" s="1"/>
  <c r="H32" i="2"/>
  <c r="J32" i="2"/>
  <c r="U32" i="2" s="1"/>
  <c r="J31" i="2"/>
  <c r="U31" i="2" s="1"/>
  <c r="H31" i="2"/>
  <c r="H29" i="2"/>
  <c r="R29" i="2" s="1"/>
  <c r="J29" i="2"/>
  <c r="J28" i="2"/>
  <c r="U28" i="2" s="1"/>
  <c r="H28" i="2"/>
  <c r="H27" i="2"/>
  <c r="J27" i="2"/>
  <c r="U27" i="2" s="1"/>
  <c r="J26" i="2"/>
  <c r="U26" i="2" s="1"/>
  <c r="H26" i="2"/>
  <c r="H25" i="2"/>
  <c r="J25" i="2"/>
  <c r="U25" i="2" s="1"/>
  <c r="H24" i="2"/>
  <c r="R24" i="2" s="1"/>
  <c r="J24" i="2"/>
  <c r="U24" i="2" s="1"/>
  <c r="H23" i="2"/>
  <c r="R23" i="2" s="1"/>
  <c r="J23" i="2"/>
  <c r="H22" i="2"/>
  <c r="J22" i="2"/>
  <c r="U22" i="2" s="1"/>
  <c r="H21" i="2"/>
  <c r="R21" i="2" s="1"/>
  <c r="J21" i="2"/>
  <c r="H20" i="2"/>
  <c r="J20" i="2"/>
  <c r="U20" i="2" s="1"/>
  <c r="H19" i="2"/>
  <c r="J19" i="2"/>
  <c r="U19" i="2" s="1"/>
  <c r="J18" i="2"/>
  <c r="U18" i="2" s="1"/>
  <c r="H18" i="2"/>
  <c r="H16" i="2"/>
  <c r="R16" i="2" s="1"/>
  <c r="J16" i="2"/>
  <c r="H15" i="2"/>
  <c r="J15" i="2"/>
  <c r="U15" i="2" s="1"/>
  <c r="H14" i="2"/>
  <c r="J14" i="2"/>
  <c r="U14" i="2" s="1"/>
  <c r="J13" i="2"/>
  <c r="U13" i="2" s="1"/>
  <c r="H13" i="2"/>
  <c r="J12" i="2"/>
  <c r="H12" i="2"/>
  <c r="R12" i="2" s="1"/>
  <c r="J11" i="2"/>
  <c r="U11" i="2" s="1"/>
  <c r="H11" i="2"/>
  <c r="J10" i="2"/>
  <c r="U10" i="2" s="1"/>
  <c r="H10" i="2"/>
  <c r="J9" i="2"/>
  <c r="J8" i="2"/>
  <c r="U8" i="2" s="1"/>
  <c r="H8" i="2"/>
  <c r="J7" i="2"/>
  <c r="U7" i="2" s="1"/>
  <c r="H7" i="2"/>
  <c r="J6" i="2"/>
  <c r="U6" i="2" s="1"/>
  <c r="H6" i="2"/>
  <c r="J5" i="2"/>
  <c r="U5" i="2" s="1"/>
  <c r="H5" i="2"/>
  <c r="H3" i="2"/>
  <c r="R3" i="2" s="1"/>
  <c r="J3" i="2"/>
  <c r="J92" i="2"/>
  <c r="U92" i="2" s="1"/>
  <c r="H92" i="2"/>
  <c r="G90" i="2"/>
  <c r="M90" i="2"/>
  <c r="O90" i="2" s="1"/>
  <c r="H82" i="2"/>
  <c r="J82" i="2"/>
  <c r="H80" i="2"/>
  <c r="J80" i="2"/>
  <c r="U80" i="2" s="1"/>
  <c r="H79" i="2"/>
  <c r="J79" i="2"/>
  <c r="U79" i="2" s="1"/>
  <c r="H78" i="2"/>
  <c r="J78" i="2"/>
  <c r="U78" i="2" s="1"/>
  <c r="H77" i="2"/>
  <c r="R77" i="2" s="1"/>
  <c r="J77" i="2"/>
  <c r="H76" i="2"/>
  <c r="R76" i="2" s="1"/>
  <c r="J76" i="2"/>
  <c r="H75" i="2"/>
  <c r="J75" i="2"/>
  <c r="U75" i="2" s="1"/>
  <c r="H74" i="2"/>
  <c r="J74" i="2"/>
  <c r="U74" i="2" s="1"/>
  <c r="H73" i="2"/>
  <c r="J73" i="2"/>
  <c r="U73" i="2" s="1"/>
  <c r="H72" i="2"/>
  <c r="J72" i="2"/>
  <c r="U72" i="2" s="1"/>
  <c r="H71" i="2"/>
  <c r="R71" i="2" s="1"/>
  <c r="J71" i="2"/>
  <c r="M71" i="2"/>
  <c r="O71" i="2" s="1"/>
  <c r="H70" i="2"/>
  <c r="J70" i="2"/>
  <c r="U70" i="2" s="1"/>
  <c r="G17" i="1"/>
  <c r="N17" i="1"/>
  <c r="P17" i="1" s="1"/>
  <c r="H14" i="1"/>
  <c r="S14" i="1" s="1"/>
  <c r="J14" i="1"/>
  <c r="J13" i="1"/>
  <c r="V13" i="1" s="1"/>
  <c r="H13" i="1"/>
  <c r="E11" i="1"/>
  <c r="G11" i="1" s="1"/>
  <c r="L11" i="1"/>
  <c r="E12" i="1"/>
  <c r="G12" i="1" s="1"/>
  <c r="L12" i="1"/>
  <c r="P12" i="1" s="1"/>
  <c r="E8" i="1"/>
  <c r="G8" i="1" s="1"/>
  <c r="L8" i="1"/>
  <c r="P8" i="1" s="1"/>
  <c r="E9" i="1"/>
  <c r="G9" i="1" s="1"/>
  <c r="L9" i="1"/>
  <c r="P9" i="1" s="1"/>
  <c r="E10" i="1"/>
  <c r="G10" i="1" s="1"/>
  <c r="L10" i="1"/>
  <c r="P10" i="1" s="1"/>
  <c r="L7" i="1"/>
  <c r="P7" i="1" s="1"/>
  <c r="E7" i="1"/>
  <c r="G7" i="1" s="1"/>
  <c r="E6" i="1"/>
  <c r="G6" i="1" s="1"/>
  <c r="L6" i="1"/>
  <c r="P6" i="1" s="1"/>
  <c r="L22" i="1"/>
  <c r="P22" i="1" s="1"/>
  <c r="G22" i="1"/>
  <c r="P3" i="1"/>
  <c r="E3" i="1"/>
  <c r="G3" i="1" s="1"/>
  <c r="E5" i="1"/>
  <c r="G5" i="1" s="1"/>
  <c r="L5" i="1"/>
  <c r="E4" i="1"/>
  <c r="G4" i="1" s="1"/>
  <c r="J18" i="1" l="1"/>
  <c r="V18" i="1" s="1"/>
  <c r="H18" i="1"/>
  <c r="S18" i="1" s="1"/>
  <c r="D89" i="2"/>
  <c r="E88" i="2"/>
  <c r="E93" i="2" s="1"/>
  <c r="J85" i="2"/>
  <c r="K81" i="2"/>
  <c r="P81" i="2" s="1"/>
  <c r="H85" i="2"/>
  <c r="W81" i="2"/>
  <c r="Y81" i="2" s="1"/>
  <c r="K47" i="2"/>
  <c r="P47" i="2" s="1"/>
  <c r="G87" i="2"/>
  <c r="U82" i="2"/>
  <c r="U85" i="2" s="1"/>
  <c r="K34" i="2"/>
  <c r="P34" i="2" s="1"/>
  <c r="K52" i="2"/>
  <c r="P52" i="2" s="1"/>
  <c r="K24" i="2"/>
  <c r="P24" i="2" s="1"/>
  <c r="K37" i="2"/>
  <c r="P37" i="2" s="1"/>
  <c r="K53" i="2"/>
  <c r="P53" i="2" s="1"/>
  <c r="K38" i="2"/>
  <c r="P38" i="2" s="1"/>
  <c r="K54" i="2"/>
  <c r="P54" i="2" s="1"/>
  <c r="K66" i="2"/>
  <c r="P66" i="2" s="1"/>
  <c r="K45" i="2"/>
  <c r="P45" i="2" s="1"/>
  <c r="K51" i="2"/>
  <c r="P51" i="2" s="1"/>
  <c r="K63" i="2"/>
  <c r="P63" i="2" s="1"/>
  <c r="R57" i="2"/>
  <c r="W57" i="2" s="1"/>
  <c r="K57" i="2"/>
  <c r="P57" i="2" s="1"/>
  <c r="W52" i="2"/>
  <c r="Y52" i="2" s="1"/>
  <c r="X52" i="2" s="1"/>
  <c r="R50" i="2"/>
  <c r="W50" i="2" s="1"/>
  <c r="K50" i="2"/>
  <c r="P50" i="2" s="1"/>
  <c r="R28" i="2"/>
  <c r="W28" i="2" s="1"/>
  <c r="K28" i="2"/>
  <c r="P28" i="2" s="1"/>
  <c r="R27" i="2"/>
  <c r="W27" i="2" s="1"/>
  <c r="K27" i="2"/>
  <c r="P27" i="2" s="1"/>
  <c r="U46" i="2"/>
  <c r="W46" i="2" s="1"/>
  <c r="K46" i="2"/>
  <c r="P46" i="2" s="1"/>
  <c r="R20" i="2"/>
  <c r="W20" i="2" s="1"/>
  <c r="K20" i="2"/>
  <c r="P20" i="2" s="1"/>
  <c r="R5" i="2"/>
  <c r="W5" i="2" s="1"/>
  <c r="K5" i="2"/>
  <c r="P5" i="2" s="1"/>
  <c r="W66" i="2"/>
  <c r="W63" i="2"/>
  <c r="R68" i="2"/>
  <c r="W68" i="2" s="1"/>
  <c r="K68" i="2"/>
  <c r="P68" i="2" s="1"/>
  <c r="R67" i="2"/>
  <c r="W67" i="2" s="1"/>
  <c r="K67" i="2"/>
  <c r="P67" i="2" s="1"/>
  <c r="R65" i="2"/>
  <c r="W65" i="2" s="1"/>
  <c r="K65" i="2"/>
  <c r="P65" i="2" s="1"/>
  <c r="U64" i="2"/>
  <c r="W64" i="2" s="1"/>
  <c r="K64" i="2"/>
  <c r="P64" i="2" s="1"/>
  <c r="R62" i="2"/>
  <c r="W62" i="2" s="1"/>
  <c r="K62" i="2"/>
  <c r="P62" i="2" s="1"/>
  <c r="R61" i="2"/>
  <c r="W61" i="2" s="1"/>
  <c r="K61" i="2"/>
  <c r="P61" i="2" s="1"/>
  <c r="R60" i="2"/>
  <c r="W60" i="2" s="1"/>
  <c r="K60" i="2"/>
  <c r="P60" i="2" s="1"/>
  <c r="U59" i="2"/>
  <c r="W59" i="2" s="1"/>
  <c r="K59" i="2"/>
  <c r="P59" i="2" s="1"/>
  <c r="R58" i="2"/>
  <c r="W58" i="2" s="1"/>
  <c r="K58" i="2"/>
  <c r="P58" i="2" s="1"/>
  <c r="W54" i="2"/>
  <c r="R44" i="2"/>
  <c r="W44" i="2" s="1"/>
  <c r="K44" i="2"/>
  <c r="P44" i="2" s="1"/>
  <c r="U48" i="2"/>
  <c r="W48" i="2" s="1"/>
  <c r="K48" i="2"/>
  <c r="P48" i="2" s="1"/>
  <c r="W51" i="2"/>
  <c r="W47" i="2"/>
  <c r="W53" i="2"/>
  <c r="W45" i="2"/>
  <c r="U55" i="2"/>
  <c r="W55" i="2" s="1"/>
  <c r="K55" i="2"/>
  <c r="P55" i="2" s="1"/>
  <c r="U49" i="2"/>
  <c r="W49" i="2" s="1"/>
  <c r="K49" i="2"/>
  <c r="P49" i="2" s="1"/>
  <c r="R36" i="2"/>
  <c r="W36" i="2" s="1"/>
  <c r="K36" i="2"/>
  <c r="P36" i="2" s="1"/>
  <c r="R33" i="2"/>
  <c r="W33" i="2" s="1"/>
  <c r="K33" i="2"/>
  <c r="P33" i="2" s="1"/>
  <c r="R32" i="2"/>
  <c r="W32" i="2" s="1"/>
  <c r="K32" i="2"/>
  <c r="P32" i="2" s="1"/>
  <c r="W34" i="2"/>
  <c r="W38" i="2"/>
  <c r="W37" i="2"/>
  <c r="R42" i="2"/>
  <c r="W42" i="2" s="1"/>
  <c r="K42" i="2"/>
  <c r="P42" i="2" s="1"/>
  <c r="R41" i="2"/>
  <c r="W41" i="2" s="1"/>
  <c r="K41" i="2"/>
  <c r="P41" i="2" s="1"/>
  <c r="R40" i="2"/>
  <c r="W40" i="2" s="1"/>
  <c r="K40" i="2"/>
  <c r="P40" i="2" s="1"/>
  <c r="R39" i="2"/>
  <c r="W39" i="2" s="1"/>
  <c r="K39" i="2"/>
  <c r="P39" i="2" s="1"/>
  <c r="R35" i="2"/>
  <c r="W35" i="2" s="1"/>
  <c r="K35" i="2"/>
  <c r="P35" i="2" s="1"/>
  <c r="R31" i="2"/>
  <c r="W31" i="2" s="1"/>
  <c r="K31" i="2"/>
  <c r="P31" i="2" s="1"/>
  <c r="R18" i="2"/>
  <c r="W18" i="2" s="1"/>
  <c r="K18" i="2"/>
  <c r="P18" i="2" s="1"/>
  <c r="U23" i="2"/>
  <c r="W23" i="2" s="1"/>
  <c r="K23" i="2"/>
  <c r="P23" i="2" s="1"/>
  <c r="U21" i="2"/>
  <c r="W21" i="2" s="1"/>
  <c r="K21" i="2"/>
  <c r="P21" i="2" s="1"/>
  <c r="R19" i="2"/>
  <c r="W19" i="2" s="1"/>
  <c r="K19" i="2"/>
  <c r="P19" i="2" s="1"/>
  <c r="U12" i="2"/>
  <c r="W12" i="2" s="1"/>
  <c r="K12" i="2"/>
  <c r="P12" i="2" s="1"/>
  <c r="W24" i="2"/>
  <c r="U29" i="2"/>
  <c r="W29" i="2" s="1"/>
  <c r="K29" i="2"/>
  <c r="P29" i="2" s="1"/>
  <c r="R26" i="2"/>
  <c r="W26" i="2" s="1"/>
  <c r="K26" i="2"/>
  <c r="P26" i="2" s="1"/>
  <c r="R25" i="2"/>
  <c r="W25" i="2" s="1"/>
  <c r="K25" i="2"/>
  <c r="P25" i="2" s="1"/>
  <c r="R22" i="2"/>
  <c r="W22" i="2" s="1"/>
  <c r="K22" i="2"/>
  <c r="P22" i="2" s="1"/>
  <c r="R6" i="2"/>
  <c r="W6" i="2" s="1"/>
  <c r="K6" i="2"/>
  <c r="P6" i="2" s="1"/>
  <c r="U16" i="2"/>
  <c r="W16" i="2" s="1"/>
  <c r="K16" i="2"/>
  <c r="P16" i="2" s="1"/>
  <c r="R15" i="2"/>
  <c r="W15" i="2" s="1"/>
  <c r="K15" i="2"/>
  <c r="P15" i="2" s="1"/>
  <c r="R14" i="2"/>
  <c r="W14" i="2" s="1"/>
  <c r="K14" i="2"/>
  <c r="P14" i="2" s="1"/>
  <c r="R13" i="2"/>
  <c r="W13" i="2" s="1"/>
  <c r="K13" i="2"/>
  <c r="P13" i="2" s="1"/>
  <c r="R11" i="2"/>
  <c r="W11" i="2" s="1"/>
  <c r="K11" i="2"/>
  <c r="P11" i="2" s="1"/>
  <c r="R10" i="2"/>
  <c r="W10" i="2" s="1"/>
  <c r="K10" i="2"/>
  <c r="P10" i="2" s="1"/>
  <c r="U9" i="2"/>
  <c r="W9" i="2" s="1"/>
  <c r="K9" i="2"/>
  <c r="P9" i="2" s="1"/>
  <c r="R8" i="2"/>
  <c r="W8" i="2" s="1"/>
  <c r="K8" i="2"/>
  <c r="P8" i="2" s="1"/>
  <c r="R7" i="2"/>
  <c r="W7" i="2" s="1"/>
  <c r="K7" i="2"/>
  <c r="P7" i="2" s="1"/>
  <c r="U76" i="2"/>
  <c r="W76" i="2" s="1"/>
  <c r="K76" i="2"/>
  <c r="P76" i="2" s="1"/>
  <c r="R79" i="2"/>
  <c r="W79" i="2" s="1"/>
  <c r="K79" i="2"/>
  <c r="P79" i="2" s="1"/>
  <c r="R75" i="2"/>
  <c r="W75" i="2" s="1"/>
  <c r="K75" i="2"/>
  <c r="P75" i="2" s="1"/>
  <c r="R70" i="2"/>
  <c r="W70" i="2" s="1"/>
  <c r="K70" i="2"/>
  <c r="P70" i="2" s="1"/>
  <c r="U3" i="2"/>
  <c r="W3" i="2" s="1"/>
  <c r="K3" i="2"/>
  <c r="P3" i="2" s="1"/>
  <c r="R80" i="2"/>
  <c r="W80" i="2" s="1"/>
  <c r="K80" i="2"/>
  <c r="P80" i="2" s="1"/>
  <c r="U77" i="2"/>
  <c r="W77" i="2" s="1"/>
  <c r="K77" i="2"/>
  <c r="P77" i="2" s="1"/>
  <c r="U71" i="2"/>
  <c r="W71" i="2" s="1"/>
  <c r="K71" i="2"/>
  <c r="P71" i="2" s="1"/>
  <c r="R73" i="2"/>
  <c r="W73" i="2" s="1"/>
  <c r="K73" i="2"/>
  <c r="P73" i="2" s="1"/>
  <c r="R78" i="2"/>
  <c r="W78" i="2" s="1"/>
  <c r="K78" i="2"/>
  <c r="P78" i="2" s="1"/>
  <c r="R74" i="2"/>
  <c r="W74" i="2" s="1"/>
  <c r="K74" i="2"/>
  <c r="P74" i="2" s="1"/>
  <c r="R72" i="2"/>
  <c r="W72" i="2" s="1"/>
  <c r="K72" i="2"/>
  <c r="P72" i="2" s="1"/>
  <c r="H90" i="2"/>
  <c r="J90" i="2"/>
  <c r="U90" i="2" s="1"/>
  <c r="R92" i="2"/>
  <c r="W92" i="2" s="1"/>
  <c r="K92" i="2"/>
  <c r="P92" i="2" s="1"/>
  <c r="R82" i="2"/>
  <c r="R85" i="2" s="1"/>
  <c r="K82" i="2"/>
  <c r="J17" i="1"/>
  <c r="V17" i="1" s="1"/>
  <c r="H17" i="1"/>
  <c r="S17" i="1" s="1"/>
  <c r="V14" i="1"/>
  <c r="W14" i="1" s="1"/>
  <c r="K14" i="1"/>
  <c r="Q14" i="1" s="1"/>
  <c r="S13" i="1"/>
  <c r="W13" i="1" s="1"/>
  <c r="K13" i="1"/>
  <c r="Q13" i="1" s="1"/>
  <c r="P11" i="1"/>
  <c r="H11" i="1"/>
  <c r="S11" i="1" s="1"/>
  <c r="J11" i="1"/>
  <c r="V11" i="1" s="1"/>
  <c r="H12" i="1"/>
  <c r="S12" i="1" s="1"/>
  <c r="J12" i="1"/>
  <c r="V12" i="1" s="1"/>
  <c r="J8" i="1"/>
  <c r="V8" i="1" s="1"/>
  <c r="H8" i="1"/>
  <c r="J9" i="1"/>
  <c r="V9" i="1" s="1"/>
  <c r="H9" i="1"/>
  <c r="H10" i="1"/>
  <c r="J10" i="1"/>
  <c r="V10" i="1" s="1"/>
  <c r="H7" i="1"/>
  <c r="S7" i="1" s="1"/>
  <c r="J7" i="1"/>
  <c r="V7" i="1" s="1"/>
  <c r="H6" i="1"/>
  <c r="S6" i="1" s="1"/>
  <c r="J6" i="1"/>
  <c r="V6" i="1" s="1"/>
  <c r="J22" i="1"/>
  <c r="V22" i="1" s="1"/>
  <c r="H22" i="1"/>
  <c r="S22" i="1" s="1"/>
  <c r="W22" i="1" s="1"/>
  <c r="J3" i="1"/>
  <c r="V3" i="1" s="1"/>
  <c r="H3" i="1"/>
  <c r="S3" i="1" s="1"/>
  <c r="J5" i="1"/>
  <c r="V5" i="1" s="1"/>
  <c r="P5" i="1"/>
  <c r="H5" i="1"/>
  <c r="S5" i="1" s="1"/>
  <c r="M4" i="1"/>
  <c r="J4" i="1"/>
  <c r="V4" i="1" s="1"/>
  <c r="H4" i="1"/>
  <c r="S4" i="1" s="1"/>
  <c r="L4" i="1"/>
  <c r="K12" i="1" l="1"/>
  <c r="Q12" i="1" s="1"/>
  <c r="K18" i="1"/>
  <c r="Q18" i="1" s="1"/>
  <c r="W18" i="1"/>
  <c r="W17" i="1"/>
  <c r="K17" i="1"/>
  <c r="Q17" i="1" s="1"/>
  <c r="D93" i="2"/>
  <c r="M89" i="2"/>
  <c r="G89" i="2"/>
  <c r="H87" i="2"/>
  <c r="R87" i="2" s="1"/>
  <c r="R88" i="2" s="1"/>
  <c r="G88" i="2"/>
  <c r="G93" i="2" s="1"/>
  <c r="K85" i="2"/>
  <c r="Y47" i="2"/>
  <c r="X47" i="2" s="1"/>
  <c r="AA81" i="2"/>
  <c r="X81" i="2"/>
  <c r="Y46" i="2"/>
  <c r="X46" i="2" s="1"/>
  <c r="J87" i="2"/>
  <c r="U87" i="2" s="1"/>
  <c r="U88" i="2" s="1"/>
  <c r="Y37" i="2"/>
  <c r="Z37" i="2" s="1"/>
  <c r="AA37" i="2" s="1"/>
  <c r="Y28" i="2"/>
  <c r="Z28" i="2" s="1"/>
  <c r="AA28" i="2" s="1"/>
  <c r="Y23" i="2"/>
  <c r="Z23" i="2" s="1"/>
  <c r="AA23" i="2" s="1"/>
  <c r="Y62" i="2"/>
  <c r="Z62" i="2" s="1"/>
  <c r="AA62" i="2" s="1"/>
  <c r="Y44" i="2"/>
  <c r="X44" i="2" s="1"/>
  <c r="Y24" i="2"/>
  <c r="X24" i="2" s="1"/>
  <c r="Y38" i="2"/>
  <c r="X38" i="2" s="1"/>
  <c r="Y45" i="2"/>
  <c r="X45" i="2" s="1"/>
  <c r="Y59" i="2"/>
  <c r="AA59" i="2" s="1"/>
  <c r="P82" i="2"/>
  <c r="P85" i="2" s="1"/>
  <c r="W82" i="2"/>
  <c r="W85" i="2" s="1"/>
  <c r="Y57" i="2"/>
  <c r="Z57" i="2" s="1"/>
  <c r="AA57" i="2" s="1"/>
  <c r="Y54" i="2"/>
  <c r="X54" i="2" s="1"/>
  <c r="Y8" i="2"/>
  <c r="X8" i="2" s="1"/>
  <c r="Y58" i="2"/>
  <c r="X58" i="2" s="1"/>
  <c r="Y65" i="2"/>
  <c r="Z65" i="2" s="1"/>
  <c r="AA65" i="2" s="1"/>
  <c r="Y10" i="2"/>
  <c r="Z10" i="2" s="1"/>
  <c r="AA10" i="2" s="1"/>
  <c r="Y6" i="2"/>
  <c r="X6" i="2" s="1"/>
  <c r="Y34" i="2"/>
  <c r="X34" i="2" s="1"/>
  <c r="Y27" i="2"/>
  <c r="X27" i="2" s="1"/>
  <c r="Y51" i="2"/>
  <c r="Z51" i="2" s="1"/>
  <c r="AA51" i="2" s="1"/>
  <c r="Y63" i="2"/>
  <c r="X63" i="2" s="1"/>
  <c r="Y66" i="2"/>
  <c r="Z66" i="2" s="1"/>
  <c r="AA66" i="2" s="1"/>
  <c r="Y50" i="2"/>
  <c r="X50" i="2" s="1"/>
  <c r="Y64" i="2"/>
  <c r="Z64" i="2" s="1"/>
  <c r="AA64" i="2" s="1"/>
  <c r="Y5" i="2"/>
  <c r="X5" i="2" s="1"/>
  <c r="Z52" i="2"/>
  <c r="AA52" i="2" s="1"/>
  <c r="Y9" i="2"/>
  <c r="X9" i="2" s="1"/>
  <c r="Y16" i="2"/>
  <c r="X16" i="2" s="1"/>
  <c r="Y60" i="2"/>
  <c r="X60" i="2" s="1"/>
  <c r="Y48" i="2"/>
  <c r="Y61" i="2"/>
  <c r="Z61" i="2" s="1"/>
  <c r="AA61" i="2" s="1"/>
  <c r="Y53" i="2"/>
  <c r="X53" i="2" s="1"/>
  <c r="Y68" i="2"/>
  <c r="X68" i="2" s="1"/>
  <c r="Y67" i="2"/>
  <c r="X67" i="2" s="1"/>
  <c r="Y29" i="2"/>
  <c r="Y20" i="2"/>
  <c r="X20" i="2" s="1"/>
  <c r="Y18" i="2"/>
  <c r="Y36" i="2"/>
  <c r="X36" i="2" s="1"/>
  <c r="Y33" i="2"/>
  <c r="AA33" i="2" s="1"/>
  <c r="Y32" i="2"/>
  <c r="X32" i="2" s="1"/>
  <c r="Y19" i="2"/>
  <c r="Y55" i="2"/>
  <c r="Y49" i="2"/>
  <c r="Y21" i="2"/>
  <c r="Y35" i="2"/>
  <c r="X35" i="2" s="1"/>
  <c r="Y41" i="2"/>
  <c r="X41" i="2" s="1"/>
  <c r="Y40" i="2"/>
  <c r="Z40" i="2" s="1"/>
  <c r="AA40" i="2" s="1"/>
  <c r="Y39" i="2"/>
  <c r="X39" i="2" s="1"/>
  <c r="Y31" i="2"/>
  <c r="Y12" i="2"/>
  <c r="Y76" i="2"/>
  <c r="Y42" i="2"/>
  <c r="Y75" i="2"/>
  <c r="Y26" i="2"/>
  <c r="Y25" i="2"/>
  <c r="Y22" i="2"/>
  <c r="Y14" i="2"/>
  <c r="X14" i="2" s="1"/>
  <c r="Y7" i="2"/>
  <c r="Y15" i="2"/>
  <c r="Y13" i="2"/>
  <c r="Z13" i="2" s="1"/>
  <c r="AA13" i="2" s="1"/>
  <c r="Y11" i="2"/>
  <c r="Y79" i="2"/>
  <c r="Y3" i="2"/>
  <c r="Y70" i="2"/>
  <c r="R90" i="2"/>
  <c r="W90" i="2" s="1"/>
  <c r="K90" i="2"/>
  <c r="P90" i="2" s="1"/>
  <c r="Y73" i="2"/>
  <c r="Y77" i="2"/>
  <c r="Y78" i="2"/>
  <c r="Y74" i="2"/>
  <c r="Y92" i="2"/>
  <c r="Y71" i="2"/>
  <c r="Y72" i="2"/>
  <c r="Y80" i="2"/>
  <c r="Y14" i="1"/>
  <c r="Y13" i="1"/>
  <c r="X13" i="1" s="1"/>
  <c r="Z13" i="1"/>
  <c r="AA13" i="1" s="1"/>
  <c r="W11" i="1"/>
  <c r="K11" i="1"/>
  <c r="Q11" i="1" s="1"/>
  <c r="W12" i="1"/>
  <c r="Y12" i="1" s="1"/>
  <c r="K6" i="1"/>
  <c r="Q6" i="1" s="1"/>
  <c r="S9" i="1"/>
  <c r="W9" i="1" s="1"/>
  <c r="K9" i="1"/>
  <c r="Q9" i="1" s="1"/>
  <c r="S8" i="1"/>
  <c r="W8" i="1" s="1"/>
  <c r="K8" i="1"/>
  <c r="Q8" i="1" s="1"/>
  <c r="S10" i="1"/>
  <c r="W10" i="1" s="1"/>
  <c r="K10" i="1"/>
  <c r="Q10" i="1" s="1"/>
  <c r="W3" i="1"/>
  <c r="W7" i="1"/>
  <c r="K7" i="1"/>
  <c r="Q7" i="1" s="1"/>
  <c r="W6" i="1"/>
  <c r="K22" i="1"/>
  <c r="Q22" i="1" s="1"/>
  <c r="Y22" i="1" s="1"/>
  <c r="K3" i="1"/>
  <c r="Q3" i="1" s="1"/>
  <c r="K5" i="1"/>
  <c r="Q5" i="1" s="1"/>
  <c r="W5" i="1"/>
  <c r="P4" i="1"/>
  <c r="K4" i="1"/>
  <c r="W4" i="1"/>
  <c r="Y17" i="1" l="1"/>
  <c r="X17" i="1" s="1"/>
  <c r="Y18" i="1"/>
  <c r="Y3" i="1"/>
  <c r="X3" i="1" s="1"/>
  <c r="X62" i="2"/>
  <c r="H89" i="2"/>
  <c r="R89" i="2" s="1"/>
  <c r="J89" i="2"/>
  <c r="U89" i="2" s="1"/>
  <c r="U93" i="2" s="1"/>
  <c r="K89" i="2"/>
  <c r="P89" i="2" s="1"/>
  <c r="M93" i="2"/>
  <c r="O89" i="2"/>
  <c r="O93" i="2" s="1"/>
  <c r="J88" i="2"/>
  <c r="J93" i="2" s="1"/>
  <c r="H88" i="2"/>
  <c r="H93" i="2" s="1"/>
  <c r="X51" i="2"/>
  <c r="X37" i="2"/>
  <c r="Z47" i="2"/>
  <c r="AA47" i="2" s="1"/>
  <c r="X23" i="2"/>
  <c r="X57" i="2"/>
  <c r="AA46" i="2"/>
  <c r="Z9" i="2"/>
  <c r="AA9" i="2" s="1"/>
  <c r="X33" i="2"/>
  <c r="X28" i="2"/>
  <c r="Z27" i="2"/>
  <c r="AA27" i="2" s="1"/>
  <c r="W87" i="2"/>
  <c r="W88" i="2" s="1"/>
  <c r="K87" i="2"/>
  <c r="P87" i="2" s="1"/>
  <c r="P88" i="2" s="1"/>
  <c r="P93" i="2" s="1"/>
  <c r="Z34" i="2"/>
  <c r="AA34" i="2" s="1"/>
  <c r="Z60" i="2"/>
  <c r="AA60" i="2" s="1"/>
  <c r="Y82" i="2"/>
  <c r="Z44" i="2"/>
  <c r="AA44" i="2" s="1"/>
  <c r="Z39" i="2"/>
  <c r="AA39" i="2" s="1"/>
  <c r="X10" i="2"/>
  <c r="Z24" i="2"/>
  <c r="AA24" i="2" s="1"/>
  <c r="Z14" i="2"/>
  <c r="AA14" i="2" s="1"/>
  <c r="Z6" i="2"/>
  <c r="AA6" i="2" s="1"/>
  <c r="X61" i="2"/>
  <c r="Z16" i="2"/>
  <c r="AA16" i="2" s="1"/>
  <c r="Z38" i="2"/>
  <c r="AA38" i="2" s="1"/>
  <c r="Z45" i="2"/>
  <c r="AA45" i="2" s="1"/>
  <c r="X65" i="2"/>
  <c r="Z8" i="2"/>
  <c r="AA8" i="2" s="1"/>
  <c r="Z58" i="2"/>
  <c r="AA58" i="2" s="1"/>
  <c r="Z63" i="2"/>
  <c r="AA63" i="2" s="1"/>
  <c r="Z54" i="2"/>
  <c r="AA54" i="2" s="1"/>
  <c r="X66" i="2"/>
  <c r="Z36" i="2"/>
  <c r="AA36" i="2" s="1"/>
  <c r="X59" i="2"/>
  <c r="Z32" i="2"/>
  <c r="AA32" i="2" s="1"/>
  <c r="Z67" i="2"/>
  <c r="AA67" i="2" s="1"/>
  <c r="Z35" i="2"/>
  <c r="AA35" i="2" s="1"/>
  <c r="X13" i="2"/>
  <c r="Z68" i="2"/>
  <c r="AA68" i="2" s="1"/>
  <c r="Z41" i="2"/>
  <c r="AA41" i="2" s="1"/>
  <c r="Z5" i="2"/>
  <c r="AA5" i="2" s="1"/>
  <c r="Z50" i="2"/>
  <c r="AA50" i="2" s="1"/>
  <c r="Z53" i="2"/>
  <c r="AA53" i="2" s="1"/>
  <c r="X64" i="2"/>
  <c r="X40" i="2"/>
  <c r="AA20" i="2"/>
  <c r="Z48" i="2"/>
  <c r="AA48" i="2" s="1"/>
  <c r="X48" i="2"/>
  <c r="Z29" i="2"/>
  <c r="AA29" i="2" s="1"/>
  <c r="X29" i="2"/>
  <c r="X12" i="2"/>
  <c r="Z12" i="2"/>
  <c r="AA12" i="2" s="1"/>
  <c r="X18" i="2"/>
  <c r="Z18" i="2"/>
  <c r="AA18" i="2" s="1"/>
  <c r="X55" i="2"/>
  <c r="Z55" i="2"/>
  <c r="AA55" i="2" s="1"/>
  <c r="Z49" i="2"/>
  <c r="AA49" i="2" s="1"/>
  <c r="X49" i="2"/>
  <c r="X11" i="2"/>
  <c r="Z11" i="2"/>
  <c r="AA11" i="2" s="1"/>
  <c r="Z19" i="2"/>
  <c r="AA19" i="2" s="1"/>
  <c r="X19" i="2"/>
  <c r="X21" i="2"/>
  <c r="Z21" i="2"/>
  <c r="AA21" i="2" s="1"/>
  <c r="X76" i="2"/>
  <c r="Z76" i="2"/>
  <c r="AA76" i="2" s="1"/>
  <c r="X26" i="2"/>
  <c r="Z26" i="2"/>
  <c r="AA26" i="2" s="1"/>
  <c r="X25" i="2"/>
  <c r="Z25" i="2"/>
  <c r="AA25" i="2" s="1"/>
  <c r="X22" i="2"/>
  <c r="Z22" i="2"/>
  <c r="AA22" i="2" s="1"/>
  <c r="X42" i="2"/>
  <c r="Z42" i="2"/>
  <c r="AA42" i="2" s="1"/>
  <c r="X31" i="2"/>
  <c r="Z31" i="2"/>
  <c r="AA31" i="2" s="1"/>
  <c r="AA7" i="2"/>
  <c r="X7" i="2"/>
  <c r="X75" i="2"/>
  <c r="Z75" i="2"/>
  <c r="AA75" i="2" s="1"/>
  <c r="Z70" i="2"/>
  <c r="AA70" i="2" s="1"/>
  <c r="X70" i="2"/>
  <c r="X15" i="2"/>
  <c r="Z15" i="2"/>
  <c r="AA15" i="2" s="1"/>
  <c r="Z3" i="2"/>
  <c r="AA3" i="2" s="1"/>
  <c r="X3" i="2"/>
  <c r="X79" i="2"/>
  <c r="Z79" i="2"/>
  <c r="AA79" i="2" s="1"/>
  <c r="Y90" i="2"/>
  <c r="X73" i="2"/>
  <c r="Z73" i="2"/>
  <c r="AA73" i="2" s="1"/>
  <c r="X77" i="2"/>
  <c r="Z77" i="2"/>
  <c r="AA77" i="2" s="1"/>
  <c r="X78" i="2"/>
  <c r="Z78" i="2"/>
  <c r="AA78" i="2" s="1"/>
  <c r="X74" i="2"/>
  <c r="Z74" i="2"/>
  <c r="AA74" i="2" s="1"/>
  <c r="X92" i="2"/>
  <c r="AA92" i="2"/>
  <c r="X71" i="2"/>
  <c r="Z71" i="2"/>
  <c r="AA71" i="2" s="1"/>
  <c r="X72" i="2"/>
  <c r="Z72" i="2"/>
  <c r="AA72" i="2" s="1"/>
  <c r="X80" i="2"/>
  <c r="Z80" i="2"/>
  <c r="AA80" i="2" s="1"/>
  <c r="Z14" i="1"/>
  <c r="AA14" i="1" s="1"/>
  <c r="X14" i="1"/>
  <c r="Z17" i="1"/>
  <c r="AA17" i="1" s="1"/>
  <c r="Y11" i="1"/>
  <c r="X11" i="1" s="1"/>
  <c r="Z12" i="1"/>
  <c r="AA12" i="1" s="1"/>
  <c r="X12" i="1"/>
  <c r="Y6" i="1"/>
  <c r="Y9" i="1"/>
  <c r="X9" i="1" s="1"/>
  <c r="Y8" i="1"/>
  <c r="Y10" i="1"/>
  <c r="Y7" i="1"/>
  <c r="X22" i="1"/>
  <c r="Z22" i="1"/>
  <c r="AA22" i="1" s="1"/>
  <c r="Y5" i="1"/>
  <c r="Q4" i="1"/>
  <c r="Y4" i="1" s="1"/>
  <c r="X4" i="1" s="1"/>
  <c r="Z18" i="1" l="1"/>
  <c r="AA18" i="1" s="1"/>
  <c r="X18" i="1"/>
  <c r="Z3" i="1"/>
  <c r="AA3" i="1" s="1"/>
  <c r="W89" i="2"/>
  <c r="Y89" i="2" s="1"/>
  <c r="R93" i="2"/>
  <c r="X89" i="2"/>
  <c r="K88" i="2"/>
  <c r="K93" i="2" s="1"/>
  <c r="Y85" i="2"/>
  <c r="X82" i="2"/>
  <c r="X85" i="2" s="1"/>
  <c r="Y87" i="2"/>
  <c r="AA87" i="2" s="1"/>
  <c r="Y94" i="2"/>
  <c r="X90" i="2"/>
  <c r="AA90" i="2"/>
  <c r="Z7" i="1"/>
  <c r="AA7" i="1" s="1"/>
  <c r="X7" i="1"/>
  <c r="Z6" i="1"/>
  <c r="AA6" i="1" s="1"/>
  <c r="X6" i="1"/>
  <c r="Z11" i="1"/>
  <c r="AA11" i="1" s="1"/>
  <c r="Z9" i="1"/>
  <c r="AA9" i="1" s="1"/>
  <c r="Z8" i="1"/>
  <c r="AA8" i="1" s="1"/>
  <c r="X8" i="1"/>
  <c r="Z10" i="1"/>
  <c r="AA10" i="1" s="1"/>
  <c r="X10" i="1"/>
  <c r="Z4" i="1"/>
  <c r="AA4" i="1" s="1"/>
  <c r="X5" i="1"/>
  <c r="Z5" i="1"/>
  <c r="AA5" i="1" s="1"/>
  <c r="W93" i="2" l="1"/>
  <c r="AA89" i="2"/>
  <c r="Y88" i="2"/>
  <c r="Y93" i="2" s="1"/>
  <c r="AA82" i="2"/>
  <c r="AA85" i="2" s="1"/>
  <c r="AA88" i="2" s="1"/>
  <c r="X87" i="2"/>
  <c r="X88" i="2" s="1"/>
  <c r="X93" i="2" s="1"/>
  <c r="AA9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DELL</author>
  </authors>
  <commentList>
    <comment ref="D4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bhadra</t>
        </r>
      </text>
    </comment>
    <comment ref="D5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Ashwin</t>
        </r>
      </text>
    </comment>
    <comment ref="D6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Kartik</t>
        </r>
      </text>
    </comment>
    <comment ref="D7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Mangsir</t>
        </r>
      </text>
    </comment>
    <comment ref="D8" authorId="0" shapeId="0" xr:uid="{00000000-0006-0000-0000-000005000000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poush</t>
        </r>
      </text>
    </comment>
    <comment ref="D9" authorId="0" shapeId="0" xr:uid="{00000000-0006-0000-0000-000006000000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Magh</t>
        </r>
      </text>
    </comment>
    <comment ref="D10" authorId="0" shapeId="0" xr:uid="{00000000-0006-0000-0000-000007000000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falgun</t>
        </r>
      </text>
    </comment>
    <comment ref="D11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chaitra</t>
        </r>
      </text>
    </comment>
    <comment ref="D12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Baisakh</t>
        </r>
      </text>
    </comment>
    <comment ref="D13" authorId="0" shapeId="0" xr:uid="{5D35B49C-F6A5-44F5-BD0B-3CCA5B32ED7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jestha</t>
        </r>
      </text>
    </comment>
    <comment ref="D14" authorId="0" shapeId="0" xr:uid="{CC553876-1D1F-402D-BAD2-E6D2FCB02E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Asadh</t>
        </r>
      </text>
    </comment>
    <comment ref="E14" authorId="0" shapeId="0" xr:uid="{5B7F8F01-034B-4B9A-A2C9-B8CCCEC8818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Asadh grade bridhhi mistaken by lekha</t>
        </r>
      </text>
    </comment>
    <comment ref="M15" authorId="0" shapeId="0" xr:uid="{BBB80961-844E-4A46-AB15-ECDE6FEA226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asadh anugaman bhatta 2083/03/25</t>
        </r>
      </text>
    </comment>
    <comment ref="D17" authorId="1" shapeId="0" xr:uid="{00000000-0006-0000-0000-00000A000000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From shrawan</t>
        </r>
      </text>
    </comment>
    <comment ref="D18" authorId="1" shapeId="0" xr:uid="{A8704AFB-8DCA-4627-B43C-BEDAF3D78001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From Ashwin</t>
        </r>
      </text>
    </comment>
    <comment ref="M18" authorId="0" shapeId="0" xr:uid="{CCBE993C-0077-4499-A14D-993908A9E6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Dashain bonus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" authorId="0" shapeId="0" xr:uid="{B868339A-E22D-43B4-B7DD-A5CCA0F0A9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Asadh 2077</t>
        </r>
      </text>
    </comment>
    <comment ref="D5" authorId="0" shapeId="0" xr:uid="{838E0AB7-3511-4264-8B53-DB7A8A6000A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Shrawan 2077</t>
        </r>
      </text>
    </comment>
    <comment ref="D7" authorId="0" shapeId="0" xr:uid="{CE997E4B-CC82-4638-9E10-66EE82621F7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Aswin 2077</t>
        </r>
      </text>
    </comment>
    <comment ref="D13" authorId="0" shapeId="0" xr:uid="{D5F3039C-9AA2-4478-8177-A80D5CC4D3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Chaitra 2077</t>
        </r>
      </text>
    </comment>
    <comment ref="D18" authorId="0" shapeId="0" xr:uid="{0101992F-2016-4611-A038-5D398A7E86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Shrawan 2078</t>
        </r>
      </text>
    </comment>
    <comment ref="D20" authorId="0" shapeId="0" xr:uid="{406F2FD4-59C2-49D7-B564-FACFDEAEC2D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Aswin 2077</t>
        </r>
      </text>
    </comment>
    <comment ref="D26" authorId="0" shapeId="0" xr:uid="{57F0913E-FB11-443D-8D0E-50C3A3BE63F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Chaitra 2077</t>
        </r>
      </text>
    </comment>
    <comment ref="D31" authorId="0" shapeId="0" xr:uid="{61922606-D422-4B14-B4D2-F2F64C89FC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Shrawan 2079</t>
        </r>
      </text>
    </comment>
    <comment ref="D33" authorId="0" shapeId="0" xr:uid="{1CD94DED-B9CE-48AB-A1D4-907EBF9233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Aswin 2077</t>
        </r>
      </text>
    </comment>
    <comment ref="D39" authorId="0" shapeId="0" xr:uid="{F67E3D40-751F-45CD-9A8D-F5FF36BA84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Chaitra 2077</t>
        </r>
      </text>
    </comment>
    <comment ref="D44" authorId="0" shapeId="0" xr:uid="{F1737FF4-EAC3-46E7-B74D-92CAFDE4E9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Shrawan 2080</t>
        </r>
      </text>
    </comment>
    <comment ref="D46" authorId="0" shapeId="0" xr:uid="{35E0968B-D5F9-4101-B904-661AA4637E1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Aswin 2077</t>
        </r>
      </text>
    </comment>
    <comment ref="D52" authorId="0" shapeId="0" xr:uid="{0A295F54-8C85-4B00-A407-63F1240626E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Chaitra 2077</t>
        </r>
      </text>
    </comment>
    <comment ref="D57" authorId="0" shapeId="0" xr:uid="{363930B6-DF27-4439-8BB5-BA6DBB3A62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Shrawan 2080</t>
        </r>
      </text>
    </comment>
    <comment ref="D59" authorId="0" shapeId="0" xr:uid="{125070B4-9D32-4BFD-99C1-58A9110076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Aswin 2077</t>
        </r>
      </text>
    </comment>
    <comment ref="D65" authorId="0" shapeId="0" xr:uid="{76612F6F-4157-4FB6-B7FF-3FB8BDE4E8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Chaitra 2077</t>
        </r>
      </text>
    </comment>
    <comment ref="D70" authorId="0" shapeId="0" xr:uid="{8EC8D1FA-2BB9-448C-AE95-0915B309B4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Shrawan 2082/2083</t>
        </r>
      </text>
    </comment>
    <comment ref="D71" authorId="0" shapeId="0" xr:uid="{7D3038DB-5E71-4E9B-AA13-B0DC69356A9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bhadra</t>
        </r>
      </text>
    </comment>
    <comment ref="D72" authorId="0" shapeId="0" xr:uid="{8FA0EC66-86EE-4469-AF70-BF83FB22E02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Ashwin</t>
        </r>
      </text>
    </comment>
    <comment ref="D73" authorId="0" shapeId="0" xr:uid="{2D8F676D-98DE-448C-B00F-BF44175C682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Kartik</t>
        </r>
      </text>
    </comment>
    <comment ref="D74" authorId="0" shapeId="0" xr:uid="{2DD03DC4-0819-4F4B-BB0C-94EC7468EE8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Mangsir</t>
        </r>
      </text>
    </comment>
    <comment ref="D75" authorId="0" shapeId="0" xr:uid="{48E7EB78-3897-4809-A954-24EC7EB99C5A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poush</t>
        </r>
      </text>
    </comment>
    <comment ref="D76" authorId="0" shapeId="0" xr:uid="{5600AD6D-48E0-4FBF-87BE-A609E5658122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Magh</t>
        </r>
      </text>
    </comment>
    <comment ref="D77" authorId="0" shapeId="0" xr:uid="{3FF119A5-131C-47C5-B06E-FF897516B77B}">
      <text>
        <r>
          <rPr>
            <b/>
            <sz val="9"/>
            <color indexed="81"/>
            <rFont val="Tahoma"/>
          </rPr>
          <t>User:</t>
        </r>
        <r>
          <rPr>
            <sz val="9"/>
            <color indexed="81"/>
            <rFont val="Tahoma"/>
          </rPr>
          <t xml:space="preserve">
falgun</t>
        </r>
      </text>
    </comment>
    <comment ref="D78" authorId="0" shapeId="0" xr:uid="{0F9FCA2B-CE09-43CC-B4FD-9F40F5A918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chaitra</t>
        </r>
      </text>
    </comment>
    <comment ref="D79" authorId="0" shapeId="0" xr:uid="{86C840E2-6462-4446-AF90-A8B3FF00F4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Baisakh</t>
        </r>
      </text>
    </comment>
    <comment ref="D80" authorId="0" shapeId="0" xr:uid="{5D51E2EE-A448-4389-A372-E4BBFB552B7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jestha</t>
        </r>
      </text>
    </comment>
    <comment ref="D81" authorId="0" shapeId="0" xr:uid="{B6C5563C-478D-47C6-AE6E-42F6B0801AB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Asadh supposed to be</t>
        </r>
      </text>
    </comment>
    <comment ref="D82" authorId="0" shapeId="0" xr:uid="{AB71EC1D-DF05-4D0B-9379-E7DCF797F2C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Asadh actual</t>
        </r>
      </text>
    </comment>
    <comment ref="E82" authorId="0" shapeId="0" xr:uid="{3834E43B-C7B9-403D-9AB6-404396A32B8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Asadh grade bridhhi mistaken by lekha</t>
        </r>
      </text>
    </comment>
    <comment ref="M83" authorId="0" shapeId="0" xr:uid="{DF0DAF17-9556-4E92-8611-A136E25F8C2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asadh anugaman bhatta 2083/03/25</t>
        </r>
      </text>
    </comment>
    <comment ref="D87" authorId="0" shapeId="0" xr:uid="{07C2709F-ED6A-4DB9-B52E-7EB2FDB180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shrawan supposed to be</t>
        </r>
      </text>
    </comment>
    <comment ref="D88" authorId="0" shapeId="0" xr:uid="{DF1371C2-8627-4678-9826-92127D3A143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shrawan actual</t>
        </r>
      </text>
    </comment>
    <comment ref="D89" authorId="0" shapeId="0" xr:uid="{4D3A85A8-F648-4993-AC85-A778145CF8C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shrawan actual</t>
        </r>
      </text>
    </comment>
    <comment ref="D90" authorId="0" shapeId="0" xr:uid="{6B6B2DA6-B027-410A-949D-5FF619044C8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Bhadra</t>
        </r>
      </text>
    </comment>
  </commentList>
</comments>
</file>

<file path=xl/sharedStrings.xml><?xml version="1.0" encoding="utf-8"?>
<sst xmlns="http://schemas.openxmlformats.org/spreadsheetml/2006/main" count="73" uniqueCount="39">
  <si>
    <t>l;= g+=</t>
  </si>
  <si>
    <t>bhf{</t>
  </si>
  <si>
    <t>gfd, y/</t>
  </si>
  <si>
    <t>tna :s]n</t>
  </si>
  <si>
    <t>u|]8 ?</t>
  </si>
  <si>
    <t>;dfof]hg u|]8</t>
  </si>
  <si>
    <t>hDdf tna</t>
  </si>
  <si>
    <t>s=;= sf];</t>
  </si>
  <si>
    <t>aLdf yk</t>
  </si>
  <si>
    <t>k]G;g sf]if</t>
  </si>
  <si>
    <t>dx+uL eQf</t>
  </si>
  <si>
    <t>kf]iffs vr{</t>
  </si>
  <si>
    <t>hDdf eQf</t>
  </si>
  <si>
    <t>hDdf tna eQf</t>
  </si>
  <si>
    <t>ladf s6\6L</t>
  </si>
  <si>
    <t>s= ;= sf]if</t>
  </si>
  <si>
    <t>gf= nufgL sf]if</t>
  </si>
  <si>
    <t>s= ;+= sf]if ;fk6L</t>
  </si>
  <si>
    <t>hDdf s6\6L</t>
  </si>
  <si>
    <t>afFsL kfpg]</t>
  </si>
  <si>
    <t>! k|ltzt ;fdflhs ;'/Iff s/</t>
  </si>
  <si>
    <t>v'b kfpg] /sd</t>
  </si>
  <si>
    <t>kfg g+</t>
  </si>
  <si>
    <t>u|]8 a[l4 x'g] dlxgf</t>
  </si>
  <si>
    <t>tna</t>
  </si>
  <si>
    <t>eQf</t>
  </si>
  <si>
    <t>s6\6L</t>
  </si>
  <si>
    <t>s/ of]Uo cfo</t>
  </si>
  <si>
    <t>k]G;g sf]if yk -of]ubfgdf cfwfl/t lgj[Qe/0f tyf pkbfg sf]if_</t>
  </si>
  <si>
    <t>cGo eQf -rfF8kj{ vr{_</t>
  </si>
  <si>
    <t>Asadh</t>
  </si>
  <si>
    <t>k|wfgdGqL /fxt sf]if s§L</t>
  </si>
  <si>
    <r>
      <t>Shrawan (</t>
    </r>
    <r>
      <rPr>
        <sz val="11"/>
        <color theme="1"/>
        <rFont val="Preeti"/>
      </rPr>
      <t>x'g'kg]{</t>
    </r>
    <r>
      <rPr>
        <sz val="11"/>
        <color theme="1"/>
        <rFont val="Calibri"/>
        <family val="2"/>
        <scheme val="minor"/>
      </rPr>
      <t>)</t>
    </r>
  </si>
  <si>
    <r>
      <t>Shrawan (</t>
    </r>
    <r>
      <rPr>
        <sz val="11"/>
        <color theme="1"/>
        <rFont val="Preeti"/>
      </rPr>
      <t>c;f/df a9L uPsf] s§L ubf{ x'g'kg]{</t>
    </r>
    <r>
      <rPr>
        <sz val="11"/>
        <color theme="1"/>
        <rFont val="Calibri"/>
        <family val="2"/>
        <scheme val="minor"/>
      </rPr>
      <t>)</t>
    </r>
  </si>
  <si>
    <r>
      <t>Shrawan actual (</t>
    </r>
    <r>
      <rPr>
        <sz val="11"/>
        <color rgb="FFFF0000"/>
        <rFont val="Preeti"/>
      </rPr>
      <t>ePsf]</t>
    </r>
    <r>
      <rPr>
        <sz val="11"/>
        <color rgb="FFFF0000"/>
        <rFont val="Calibri"/>
        <family val="2"/>
        <scheme val="minor"/>
      </rPr>
      <t>)</t>
    </r>
  </si>
  <si>
    <r>
      <t>Asadh (</t>
    </r>
    <r>
      <rPr>
        <sz val="11"/>
        <color theme="9" tint="-0.499984740745262"/>
        <rFont val="Preeti"/>
      </rPr>
      <t>x'g'kg]{</t>
    </r>
    <r>
      <rPr>
        <sz val="11"/>
        <color theme="9" tint="-0.499984740745262"/>
        <rFont val="Calibri"/>
        <family val="2"/>
        <scheme val="minor"/>
      </rPr>
      <t>)</t>
    </r>
  </si>
  <si>
    <r>
      <t>Asadh (</t>
    </r>
    <r>
      <rPr>
        <sz val="11"/>
        <color rgb="FFFF0000"/>
        <rFont val="Preeti"/>
      </rPr>
      <t>ePsf]</t>
    </r>
    <r>
      <rPr>
        <sz val="11"/>
        <color rgb="FFFF0000"/>
        <rFont val="Calibri"/>
        <family val="2"/>
        <scheme val="minor"/>
      </rPr>
      <t>)</t>
    </r>
  </si>
  <si>
    <t>3f6f</t>
  </si>
  <si>
    <t>km/s -c;f/df a9L uPsf] s§L x'g'kg]{_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</si>
</sst>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Preeti"/>
    </font>
    <font>
      <b/>
      <sz val="11"/>
      <color theme="1"/>
      <name val="Preeti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</font>
    <font>
      <b/>
      <sz val="9"/>
      <color indexed="81"/>
      <name val="Tahoma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2F2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.5"/>
      <color rgb="FFC00000"/>
      <name val="Preeti"/>
    </font>
    <font>
      <sz val="11"/>
      <color rgb="FFFF0000"/>
      <name val="Preeti"/>
    </font>
    <font>
      <sz val="11"/>
      <color theme="9" tint="-0.499984740745262"/>
      <name val="Calibri"/>
      <family val="2"/>
      <scheme val="minor"/>
    </font>
    <font>
      <sz val="11"/>
      <color theme="9" tint="-0.499984740745262"/>
      <name val="Preet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3" fillId="2" borderId="0" xfId="0" applyFont="1" applyFill="1"/>
    <xf numFmtId="0" fontId="0" fillId="2" borderId="1" xfId="0" applyFill="1" applyBorder="1"/>
    <xf numFmtId="0" fontId="0" fillId="2" borderId="0" xfId="0" applyFill="1"/>
    <xf numFmtId="164" fontId="0" fillId="0" borderId="1" xfId="0" applyNumberFormat="1" applyBorder="1"/>
    <xf numFmtId="2" fontId="0" fillId="0" borderId="1" xfId="0" applyNumberFormat="1" applyBorder="1"/>
    <xf numFmtId="2" fontId="3" fillId="2" borderId="1" xfId="0" applyNumberFormat="1" applyFont="1" applyFill="1" applyBorder="1"/>
    <xf numFmtId="1" fontId="3" fillId="0" borderId="1" xfId="0" applyNumberFormat="1" applyFont="1" applyBorder="1"/>
    <xf numFmtId="0" fontId="8" fillId="0" borderId="1" xfId="0" applyFont="1" applyBorder="1"/>
    <xf numFmtId="0" fontId="9" fillId="0" borderId="1" xfId="0" applyFont="1" applyBorder="1"/>
    <xf numFmtId="0" fontId="8" fillId="0" borderId="0" xfId="0" applyFont="1"/>
    <xf numFmtId="0" fontId="9" fillId="2" borderId="1" xfId="0" applyFont="1" applyFill="1" applyBorder="1"/>
    <xf numFmtId="0" fontId="8" fillId="2" borderId="1" xfId="0" applyFont="1" applyFill="1" applyBorder="1"/>
    <xf numFmtId="0" fontId="10" fillId="0" borderId="1" xfId="0" applyFont="1" applyBorder="1"/>
    <xf numFmtId="0" fontId="11" fillId="0" borderId="1" xfId="0" applyFont="1" applyBorder="1"/>
    <xf numFmtId="0" fontId="11" fillId="2" borderId="1" xfId="0" applyFont="1" applyFill="1" applyBorder="1"/>
    <xf numFmtId="0" fontId="10" fillId="0" borderId="0" xfId="0" applyFont="1"/>
    <xf numFmtId="0" fontId="12" fillId="0" borderId="1" xfId="0" applyFont="1" applyBorder="1"/>
    <xf numFmtId="0" fontId="12" fillId="0" borderId="0" xfId="0" applyFont="1"/>
    <xf numFmtId="0" fontId="13" fillId="0" borderId="1" xfId="0" applyFont="1" applyBorder="1"/>
    <xf numFmtId="0" fontId="14" fillId="0" borderId="1" xfId="0" applyFont="1" applyBorder="1"/>
    <xf numFmtId="0" fontId="14" fillId="2" borderId="1" xfId="0" applyFont="1" applyFill="1" applyBorder="1"/>
    <xf numFmtId="0" fontId="13" fillId="2" borderId="1" xfId="0" applyFont="1" applyFill="1" applyBorder="1"/>
    <xf numFmtId="0" fontId="0" fillId="0" borderId="1" xfId="0" applyBorder="1" applyAlignment="1">
      <alignment wrapText="1"/>
    </xf>
    <xf numFmtId="0" fontId="15" fillId="0" borderId="1" xfId="0" applyFont="1" applyBorder="1"/>
    <xf numFmtId="0" fontId="16" fillId="0" borderId="1" xfId="0" applyFont="1" applyBorder="1"/>
    <xf numFmtId="0" fontId="8" fillId="0" borderId="1" xfId="0" applyFont="1" applyBorder="1" applyAlignment="1">
      <alignment wrapText="1"/>
    </xf>
    <xf numFmtId="164" fontId="9" fillId="2" borderId="1" xfId="0" applyNumberFormat="1" applyFont="1" applyFill="1" applyBorder="1"/>
    <xf numFmtId="2" fontId="8" fillId="0" borderId="1" xfId="0" applyNumberFormat="1" applyFont="1" applyBorder="1"/>
    <xf numFmtId="0" fontId="18" fillId="0" borderId="1" xfId="0" applyFont="1" applyBorder="1"/>
    <xf numFmtId="0" fontId="15" fillId="2" borderId="1" xfId="0" applyFont="1" applyFill="1" applyBorder="1"/>
    <xf numFmtId="0" fontId="18" fillId="2" borderId="1" xfId="0" applyFont="1" applyFill="1" applyBorder="1"/>
    <xf numFmtId="0" fontId="18" fillId="0" borderId="0" xfId="0" applyFont="1"/>
    <xf numFmtId="0" fontId="10" fillId="3" borderId="1" xfId="0" applyFont="1" applyFill="1" applyBorder="1"/>
    <xf numFmtId="0" fontId="16" fillId="3" borderId="1" xfId="0" applyFont="1" applyFill="1" applyBorder="1" applyAlignment="1">
      <alignment wrapText="1"/>
    </xf>
    <xf numFmtId="0" fontId="11" fillId="3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"/>
  <sheetViews>
    <sheetView tabSelected="1" topLeftCell="A7" workbookViewId="0">
      <selection activeCell="K18" sqref="K18"/>
    </sheetView>
  </sheetViews>
  <sheetFormatPr defaultRowHeight="15" x14ac:dyDescent="0.25"/>
  <cols>
    <col min="1" max="1" width="5.140625" bestFit="1" customWidth="1"/>
    <col min="2" max="2" width="4.140625" hidden="1" customWidth="1"/>
    <col min="3" max="3" width="4.28515625" hidden="1" customWidth="1"/>
    <col min="4" max="4" width="6" style="5" bestFit="1" customWidth="1"/>
    <col min="5" max="5" width="5.42578125" style="5" bestFit="1" customWidth="1"/>
    <col min="6" max="6" width="6.140625" bestFit="1" customWidth="1"/>
    <col min="7" max="7" width="6" style="9" bestFit="1" customWidth="1"/>
    <col min="8" max="8" width="7.85546875" customWidth="1"/>
    <col min="9" max="9" width="7.85546875" bestFit="1" customWidth="1"/>
    <col min="10" max="10" width="8" bestFit="1" customWidth="1"/>
    <col min="11" max="11" width="9" style="9" bestFit="1" customWidth="1"/>
    <col min="12" max="12" width="5.28515625" bestFit="1" customWidth="1"/>
    <col min="13" max="13" width="7" bestFit="1" customWidth="1"/>
    <col min="14" max="14" width="7" customWidth="1"/>
    <col min="15" max="15" width="6" bestFit="1" customWidth="1"/>
    <col min="16" max="16" width="7" style="5" bestFit="1" customWidth="1"/>
    <col min="17" max="17" width="9.5703125" style="9" customWidth="1"/>
    <col min="18" max="18" width="5.140625" bestFit="1" customWidth="1"/>
    <col min="19" max="19" width="7" bestFit="1" customWidth="1"/>
    <col min="21" max="21" width="5.85546875" bestFit="1" customWidth="1"/>
    <col min="22" max="22" width="14" bestFit="1" customWidth="1"/>
    <col min="23" max="23" width="9" style="5" bestFit="1" customWidth="1"/>
    <col min="24" max="24" width="8" customWidth="1"/>
    <col min="25" max="25" width="9.7109375" style="11" bestFit="1" customWidth="1"/>
    <col min="27" max="27" width="8.7109375" customWidth="1"/>
    <col min="28" max="28" width="6" bestFit="1" customWidth="1"/>
    <col min="29" max="29" width="7.140625" customWidth="1"/>
  </cols>
  <sheetData>
    <row r="1" spans="1:29" s="1" customFormat="1" ht="15" customHeight="1" x14ac:dyDescent="0.2">
      <c r="A1" s="44" t="s">
        <v>0</v>
      </c>
      <c r="B1" s="44" t="s">
        <v>1</v>
      </c>
      <c r="C1" s="44" t="s">
        <v>2</v>
      </c>
      <c r="D1" s="46" t="s">
        <v>24</v>
      </c>
      <c r="E1" s="46"/>
      <c r="F1" s="46"/>
      <c r="G1" s="46"/>
      <c r="H1" s="46" t="s">
        <v>24</v>
      </c>
      <c r="I1" s="46"/>
      <c r="J1" s="46"/>
      <c r="K1" s="46"/>
      <c r="L1" s="46" t="s">
        <v>25</v>
      </c>
      <c r="M1" s="46"/>
      <c r="N1" s="46"/>
      <c r="O1" s="46"/>
      <c r="P1" s="46"/>
      <c r="Q1" s="45" t="s">
        <v>13</v>
      </c>
      <c r="R1" s="46" t="s">
        <v>26</v>
      </c>
      <c r="S1" s="46"/>
      <c r="T1" s="46"/>
      <c r="U1" s="46"/>
      <c r="V1" s="46"/>
      <c r="W1" s="46"/>
      <c r="X1" s="44" t="s">
        <v>27</v>
      </c>
      <c r="Y1" s="45" t="s">
        <v>19</v>
      </c>
      <c r="Z1" s="44" t="s">
        <v>20</v>
      </c>
      <c r="AA1" s="44" t="s">
        <v>21</v>
      </c>
      <c r="AB1" s="44" t="s">
        <v>22</v>
      </c>
      <c r="AC1" s="44" t="s">
        <v>23</v>
      </c>
    </row>
    <row r="2" spans="1:29" s="6" customFormat="1" ht="71.25" x14ac:dyDescent="0.25">
      <c r="A2" s="44"/>
      <c r="B2" s="44"/>
      <c r="C2" s="44"/>
      <c r="D2" s="3" t="s">
        <v>3</v>
      </c>
      <c r="E2" s="3" t="s">
        <v>4</v>
      </c>
      <c r="F2" s="3" t="s">
        <v>5</v>
      </c>
      <c r="G2" s="7" t="s">
        <v>6</v>
      </c>
      <c r="H2" s="3" t="s">
        <v>7</v>
      </c>
      <c r="I2" s="3" t="s">
        <v>8</v>
      </c>
      <c r="J2" s="3" t="s">
        <v>9</v>
      </c>
      <c r="K2" s="7" t="s">
        <v>6</v>
      </c>
      <c r="L2" s="3" t="s">
        <v>10</v>
      </c>
      <c r="M2" s="3" t="s">
        <v>29</v>
      </c>
      <c r="N2" s="3"/>
      <c r="O2" s="3" t="s">
        <v>11</v>
      </c>
      <c r="P2" s="3" t="s">
        <v>12</v>
      </c>
      <c r="Q2" s="45"/>
      <c r="R2" s="3" t="s">
        <v>14</v>
      </c>
      <c r="S2" s="3" t="s">
        <v>15</v>
      </c>
      <c r="T2" s="3" t="s">
        <v>16</v>
      </c>
      <c r="U2" s="3" t="s">
        <v>17</v>
      </c>
      <c r="V2" s="3" t="s">
        <v>28</v>
      </c>
      <c r="W2" s="3" t="s">
        <v>18</v>
      </c>
      <c r="X2" s="44"/>
      <c r="Y2" s="45"/>
      <c r="Z2" s="44"/>
      <c r="AA2" s="44"/>
      <c r="AB2" s="44"/>
      <c r="AC2" s="44"/>
    </row>
    <row r="3" spans="1:29" x14ac:dyDescent="0.25">
      <c r="A3" s="2"/>
      <c r="B3" s="2"/>
      <c r="C3" s="2"/>
      <c r="D3" s="4">
        <v>32902</v>
      </c>
      <c r="E3" s="4">
        <f>ROUNDUP(D3/30,0)*4</f>
        <v>4388</v>
      </c>
      <c r="F3" s="2"/>
      <c r="G3" s="8">
        <f>SUM(D3:F3)</f>
        <v>37290</v>
      </c>
      <c r="H3" s="2">
        <f>10%*G3</f>
        <v>3729</v>
      </c>
      <c r="I3" s="2">
        <v>400</v>
      </c>
      <c r="J3" s="2">
        <f>6%*G3</f>
        <v>2237.4</v>
      </c>
      <c r="K3" s="8">
        <f>SUM(G3:J3)</f>
        <v>43656.4</v>
      </c>
      <c r="L3" s="2">
        <v>2000</v>
      </c>
      <c r="M3" s="2">
        <v>0</v>
      </c>
      <c r="N3" s="2"/>
      <c r="O3" s="2"/>
      <c r="P3" s="4">
        <f>SUM(L3:M3)</f>
        <v>2000</v>
      </c>
      <c r="Q3" s="8">
        <f>K3+P3</f>
        <v>45656.4</v>
      </c>
      <c r="R3" s="2">
        <v>800</v>
      </c>
      <c r="S3" s="2">
        <f>H3*2</f>
        <v>7458</v>
      </c>
      <c r="T3" s="2">
        <v>5000</v>
      </c>
      <c r="U3" s="2"/>
      <c r="V3" s="2">
        <f>J3*2</f>
        <v>4474.8</v>
      </c>
      <c r="W3" s="4">
        <f>SUM(R3:V3)</f>
        <v>17732.8</v>
      </c>
      <c r="X3" s="2">
        <f>Y3+V3</f>
        <v>32398.400000000001</v>
      </c>
      <c r="Y3" s="10">
        <f>Q3-W3</f>
        <v>27923.600000000002</v>
      </c>
      <c r="Z3" s="2">
        <f>IF(Y3*13&gt;600000,1%*Y3,0)</f>
        <v>0</v>
      </c>
      <c r="AA3" s="2">
        <f>Y3-Z3</f>
        <v>27923.600000000002</v>
      </c>
      <c r="AB3" s="2"/>
      <c r="AC3" s="2"/>
    </row>
    <row r="4" spans="1:29" x14ac:dyDescent="0.25">
      <c r="A4" s="2"/>
      <c r="B4" s="2"/>
      <c r="C4" s="2"/>
      <c r="D4" s="4">
        <v>34730</v>
      </c>
      <c r="E4" s="4">
        <f>ROUNDUP(D4/30,0)*4</f>
        <v>4632</v>
      </c>
      <c r="F4" s="2"/>
      <c r="G4" s="8">
        <f>SUM(D4:F4)</f>
        <v>39362</v>
      </c>
      <c r="H4" s="2">
        <f>10%*G4</f>
        <v>3936.2000000000003</v>
      </c>
      <c r="I4" s="2">
        <v>400</v>
      </c>
      <c r="J4" s="2">
        <f>6%*G4</f>
        <v>2361.7199999999998</v>
      </c>
      <c r="K4" s="8">
        <f>SUM(G4:J4)</f>
        <v>46059.92</v>
      </c>
      <c r="L4" s="2">
        <f>2000+3000</f>
        <v>5000</v>
      </c>
      <c r="M4" s="2">
        <f>G4</f>
        <v>39362</v>
      </c>
      <c r="N4" s="2"/>
      <c r="O4" s="2"/>
      <c r="P4" s="4">
        <f>SUM(L4:M4)</f>
        <v>44362</v>
      </c>
      <c r="Q4" s="8">
        <f>K4+P4</f>
        <v>90421.92</v>
      </c>
      <c r="R4" s="2">
        <v>800</v>
      </c>
      <c r="S4" s="2">
        <f>H4*2</f>
        <v>7872.4000000000005</v>
      </c>
      <c r="T4" s="2">
        <v>5000</v>
      </c>
      <c r="U4" s="2"/>
      <c r="V4" s="2">
        <f>J4*2</f>
        <v>4723.4399999999996</v>
      </c>
      <c r="W4" s="4">
        <f>SUM(R4:V4)</f>
        <v>18395.84</v>
      </c>
      <c r="X4" s="2">
        <f>Y4+V4</f>
        <v>76749.52</v>
      </c>
      <c r="Y4" s="10">
        <f>Q4-W4</f>
        <v>72026.080000000002</v>
      </c>
      <c r="Z4" s="12">
        <f>IF(Y4*13&gt;600000,1%*Y4,0)</f>
        <v>720.26080000000002</v>
      </c>
      <c r="AA4" s="12">
        <f>Y4-Z4</f>
        <v>71305.819199999998</v>
      </c>
      <c r="AB4" s="2"/>
      <c r="AC4" s="2"/>
    </row>
    <row r="5" spans="1:29" x14ac:dyDescent="0.25">
      <c r="A5" s="2"/>
      <c r="B5" s="2"/>
      <c r="C5" s="2"/>
      <c r="D5" s="4">
        <v>34730</v>
      </c>
      <c r="E5" s="4">
        <f>ROUNDUP(D5/30,0)*4</f>
        <v>4632</v>
      </c>
      <c r="F5" s="2"/>
      <c r="G5" s="8">
        <f>SUM(D5:F5)</f>
        <v>39362</v>
      </c>
      <c r="H5" s="2">
        <f>10%*G5</f>
        <v>3936.2000000000003</v>
      </c>
      <c r="I5" s="2">
        <v>400</v>
      </c>
      <c r="J5" s="2">
        <f>6%*G5</f>
        <v>2361.7199999999998</v>
      </c>
      <c r="K5" s="8">
        <f>SUM(G5:J5)</f>
        <v>46059.92</v>
      </c>
      <c r="L5" s="2">
        <f>2000+3000</f>
        <v>5000</v>
      </c>
      <c r="M5" s="2">
        <v>0</v>
      </c>
      <c r="N5" s="2"/>
      <c r="O5" s="2"/>
      <c r="P5" s="4">
        <f>SUM(L5:M5)</f>
        <v>5000</v>
      </c>
      <c r="Q5" s="8">
        <f>K5+P5</f>
        <v>51059.92</v>
      </c>
      <c r="R5" s="2">
        <v>800</v>
      </c>
      <c r="S5" s="2">
        <f>H5*2</f>
        <v>7872.4000000000005</v>
      </c>
      <c r="T5" s="2">
        <v>5000</v>
      </c>
      <c r="U5" s="2"/>
      <c r="V5" s="2">
        <f>J5*2</f>
        <v>4723.4399999999996</v>
      </c>
      <c r="W5" s="4">
        <f>SUM(R5:V5)</f>
        <v>18395.84</v>
      </c>
      <c r="X5" s="2">
        <f>Y5+V5</f>
        <v>37387.519999999997</v>
      </c>
      <c r="Y5" s="10">
        <f>Q5-W5</f>
        <v>32664.079999999998</v>
      </c>
      <c r="Z5" s="2">
        <f>IF(Y5*13&gt;600000,1%*Y5,0)</f>
        <v>0</v>
      </c>
      <c r="AA5" s="2">
        <f>Y5-Z5</f>
        <v>32664.079999999998</v>
      </c>
      <c r="AB5" s="2"/>
      <c r="AC5" s="2"/>
    </row>
    <row r="6" spans="1:29" x14ac:dyDescent="0.25">
      <c r="A6" s="2"/>
      <c r="B6" s="2"/>
      <c r="C6" s="2"/>
      <c r="D6" s="4">
        <v>34730</v>
      </c>
      <c r="E6" s="4">
        <f>ROUNDUP(D6/30,0)*4</f>
        <v>4632</v>
      </c>
      <c r="F6" s="2"/>
      <c r="G6" s="8">
        <f>SUM(D6:F6)</f>
        <v>39362</v>
      </c>
      <c r="H6" s="2">
        <f>10%*G6</f>
        <v>3936.2000000000003</v>
      </c>
      <c r="I6" s="2">
        <v>400</v>
      </c>
      <c r="J6" s="2">
        <f>6%*G6</f>
        <v>2361.7199999999998</v>
      </c>
      <c r="K6" s="8">
        <f>SUM(G6:J6)</f>
        <v>46059.92</v>
      </c>
      <c r="L6" s="2">
        <f>2000+3000</f>
        <v>5000</v>
      </c>
      <c r="M6" s="2">
        <v>0</v>
      </c>
      <c r="N6" s="2"/>
      <c r="O6" s="2"/>
      <c r="P6" s="4">
        <f>SUM(L6:M6)</f>
        <v>5000</v>
      </c>
      <c r="Q6" s="8">
        <f>K6+P6</f>
        <v>51059.92</v>
      </c>
      <c r="R6" s="2">
        <v>800</v>
      </c>
      <c r="S6" s="2">
        <f>H6*2</f>
        <v>7872.4000000000005</v>
      </c>
      <c r="T6" s="2">
        <v>5000</v>
      </c>
      <c r="U6" s="2"/>
      <c r="V6" s="2">
        <f>J6*2</f>
        <v>4723.4399999999996</v>
      </c>
      <c r="W6" s="4">
        <f>SUM(R6:V6)</f>
        <v>18395.84</v>
      </c>
      <c r="X6" s="2">
        <f>Y6+V6</f>
        <v>37387.519999999997</v>
      </c>
      <c r="Y6" s="10">
        <f>Q6-W6</f>
        <v>32664.079999999998</v>
      </c>
      <c r="Z6" s="2">
        <f>IF(Y6*13&gt;600000,1%*Y6,0)</f>
        <v>0</v>
      </c>
      <c r="AA6" s="2">
        <f>Y6-Z6</f>
        <v>32664.079999999998</v>
      </c>
      <c r="AB6" s="2"/>
      <c r="AC6" s="2"/>
    </row>
    <row r="7" spans="1:29" x14ac:dyDescent="0.25">
      <c r="A7" s="2"/>
      <c r="B7" s="2"/>
      <c r="C7" s="2"/>
      <c r="D7" s="4">
        <v>34730</v>
      </c>
      <c r="E7" s="4">
        <f>ROUNDUP(D7/30,0)*4</f>
        <v>4632</v>
      </c>
      <c r="F7" s="2"/>
      <c r="G7" s="8">
        <f>SUM(D7:F7)</f>
        <v>39362</v>
      </c>
      <c r="H7" s="2">
        <f>10%*G7</f>
        <v>3936.2000000000003</v>
      </c>
      <c r="I7" s="2">
        <v>400</v>
      </c>
      <c r="J7" s="2">
        <f>6%*G7</f>
        <v>2361.7199999999998</v>
      </c>
      <c r="K7" s="8">
        <f>SUM(G7:J7)</f>
        <v>46059.92</v>
      </c>
      <c r="L7" s="2">
        <f>2000+3000</f>
        <v>5000</v>
      </c>
      <c r="M7" s="2">
        <v>0</v>
      </c>
      <c r="N7" s="2"/>
      <c r="O7" s="2"/>
      <c r="P7" s="4">
        <f>SUM(L7:M7)</f>
        <v>5000</v>
      </c>
      <c r="Q7" s="8">
        <f>K7+P7</f>
        <v>51059.92</v>
      </c>
      <c r="R7" s="2">
        <v>800</v>
      </c>
      <c r="S7" s="2">
        <f>H7*2</f>
        <v>7872.4000000000005</v>
      </c>
      <c r="T7" s="2">
        <v>5000</v>
      </c>
      <c r="U7" s="2"/>
      <c r="V7" s="2">
        <f>J7*2</f>
        <v>4723.4399999999996</v>
      </c>
      <c r="W7" s="4">
        <f>SUM(R7:V7)</f>
        <v>18395.84</v>
      </c>
      <c r="X7" s="2">
        <f>Y7+V7</f>
        <v>37387.519999999997</v>
      </c>
      <c r="Y7" s="10">
        <f>Q7-W7</f>
        <v>32664.079999999998</v>
      </c>
      <c r="Z7" s="2">
        <f>IF(Y7*13&gt;600000,1%*Y7,0)</f>
        <v>0</v>
      </c>
      <c r="AA7" s="2">
        <f>Y7-Z7</f>
        <v>32664.079999999998</v>
      </c>
      <c r="AB7" s="2"/>
      <c r="AC7" s="2"/>
    </row>
    <row r="8" spans="1:29" x14ac:dyDescent="0.25">
      <c r="A8" s="2"/>
      <c r="B8" s="2"/>
      <c r="C8" s="2"/>
      <c r="D8" s="4">
        <v>34730</v>
      </c>
      <c r="E8" s="4">
        <f t="shared" ref="E8:E10" si="0">ROUNDUP(D8/30,0)*4</f>
        <v>4632</v>
      </c>
      <c r="F8" s="2"/>
      <c r="G8" s="8">
        <f t="shared" ref="G8:G10" si="1">SUM(D8:F8)</f>
        <v>39362</v>
      </c>
      <c r="H8" s="2">
        <f t="shared" ref="H8:H10" si="2">10%*G8</f>
        <v>3936.2000000000003</v>
      </c>
      <c r="I8" s="2">
        <v>400</v>
      </c>
      <c r="J8" s="2">
        <f t="shared" ref="J8:J10" si="3">6%*G8</f>
        <v>2361.7199999999998</v>
      </c>
      <c r="K8" s="8">
        <f t="shared" ref="K8:K10" si="4">SUM(G8:J8)</f>
        <v>46059.92</v>
      </c>
      <c r="L8" s="2">
        <f t="shared" ref="L8:L18" si="5">2000+3000</f>
        <v>5000</v>
      </c>
      <c r="M8" s="2">
        <v>0</v>
      </c>
      <c r="N8" s="2"/>
      <c r="O8" s="2"/>
      <c r="P8" s="4">
        <f t="shared" ref="P8:P10" si="6">SUM(L8:M8)</f>
        <v>5000</v>
      </c>
      <c r="Q8" s="8">
        <f t="shared" ref="Q8:Q10" si="7">K8+P8</f>
        <v>51059.92</v>
      </c>
      <c r="R8" s="2">
        <v>800</v>
      </c>
      <c r="S8" s="2">
        <f t="shared" ref="S8:S10" si="8">H8*2</f>
        <v>7872.4000000000005</v>
      </c>
      <c r="T8" s="2">
        <v>5000</v>
      </c>
      <c r="U8" s="2"/>
      <c r="V8" s="2">
        <f t="shared" ref="V8:V10" si="9">J8*2</f>
        <v>4723.4399999999996</v>
      </c>
      <c r="W8" s="4">
        <f t="shared" ref="W8:W10" si="10">SUM(R8:V8)</f>
        <v>18395.84</v>
      </c>
      <c r="X8" s="2">
        <f t="shared" ref="X8:X10" si="11">Y8+V8</f>
        <v>37387.519999999997</v>
      </c>
      <c r="Y8" s="10">
        <f t="shared" ref="Y8:Y10" si="12">Q8-W8</f>
        <v>32664.079999999998</v>
      </c>
      <c r="Z8" s="2">
        <f t="shared" ref="Z8:Z10" si="13">IF(Y8*13&gt;600000,1%*Y8,0)</f>
        <v>0</v>
      </c>
      <c r="AA8" s="2">
        <f t="shared" ref="AA8:AA10" si="14">Y8-Z8</f>
        <v>32664.079999999998</v>
      </c>
      <c r="AB8" s="2"/>
      <c r="AC8" s="2"/>
    </row>
    <row r="9" spans="1:29" x14ac:dyDescent="0.25">
      <c r="A9" s="2"/>
      <c r="B9" s="2"/>
      <c r="C9" s="2"/>
      <c r="D9" s="4">
        <v>34730</v>
      </c>
      <c r="E9" s="4">
        <f t="shared" si="0"/>
        <v>4632</v>
      </c>
      <c r="F9" s="2"/>
      <c r="G9" s="8">
        <f t="shared" si="1"/>
        <v>39362</v>
      </c>
      <c r="H9" s="2">
        <f t="shared" si="2"/>
        <v>3936.2000000000003</v>
      </c>
      <c r="I9" s="2">
        <v>400</v>
      </c>
      <c r="J9" s="2">
        <f t="shared" si="3"/>
        <v>2361.7199999999998</v>
      </c>
      <c r="K9" s="8">
        <f t="shared" si="4"/>
        <v>46059.92</v>
      </c>
      <c r="L9" s="2">
        <f t="shared" si="5"/>
        <v>5000</v>
      </c>
      <c r="M9" s="2">
        <v>0</v>
      </c>
      <c r="N9" s="2"/>
      <c r="O9" s="2"/>
      <c r="P9" s="4">
        <f t="shared" si="6"/>
        <v>5000</v>
      </c>
      <c r="Q9" s="8">
        <f t="shared" si="7"/>
        <v>51059.92</v>
      </c>
      <c r="R9" s="2">
        <v>800</v>
      </c>
      <c r="S9" s="2">
        <f t="shared" si="8"/>
        <v>7872.4000000000005</v>
      </c>
      <c r="T9" s="2">
        <v>5000</v>
      </c>
      <c r="U9" s="2"/>
      <c r="V9" s="2">
        <f t="shared" si="9"/>
        <v>4723.4399999999996</v>
      </c>
      <c r="W9" s="4">
        <f t="shared" si="10"/>
        <v>18395.84</v>
      </c>
      <c r="X9" s="2">
        <f t="shared" si="11"/>
        <v>37387.519999999997</v>
      </c>
      <c r="Y9" s="10">
        <f t="shared" si="12"/>
        <v>32664.079999999998</v>
      </c>
      <c r="Z9" s="2">
        <f t="shared" si="13"/>
        <v>0</v>
      </c>
      <c r="AA9" s="2">
        <f t="shared" si="14"/>
        <v>32664.079999999998</v>
      </c>
      <c r="AB9" s="2"/>
      <c r="AC9" s="2"/>
    </row>
    <row r="10" spans="1:29" x14ac:dyDescent="0.25">
      <c r="A10" s="2"/>
      <c r="B10" s="2"/>
      <c r="C10" s="2"/>
      <c r="D10" s="4">
        <v>34730</v>
      </c>
      <c r="E10" s="4">
        <f t="shared" si="0"/>
        <v>4632</v>
      </c>
      <c r="F10" s="2"/>
      <c r="G10" s="8">
        <f t="shared" si="1"/>
        <v>39362</v>
      </c>
      <c r="H10" s="2">
        <f t="shared" si="2"/>
        <v>3936.2000000000003</v>
      </c>
      <c r="I10" s="2">
        <v>400</v>
      </c>
      <c r="J10" s="2">
        <f t="shared" si="3"/>
        <v>2361.7199999999998</v>
      </c>
      <c r="K10" s="8">
        <f t="shared" si="4"/>
        <v>46059.92</v>
      </c>
      <c r="L10" s="2">
        <f t="shared" si="5"/>
        <v>5000</v>
      </c>
      <c r="M10" s="2">
        <v>0</v>
      </c>
      <c r="N10" s="2"/>
      <c r="O10" s="2"/>
      <c r="P10" s="4">
        <f t="shared" si="6"/>
        <v>5000</v>
      </c>
      <c r="Q10" s="8">
        <f t="shared" si="7"/>
        <v>51059.92</v>
      </c>
      <c r="R10" s="2">
        <v>800</v>
      </c>
      <c r="S10" s="2">
        <f t="shared" si="8"/>
        <v>7872.4000000000005</v>
      </c>
      <c r="T10" s="2">
        <v>5000</v>
      </c>
      <c r="U10" s="2"/>
      <c r="V10" s="2">
        <f t="shared" si="9"/>
        <v>4723.4399999999996</v>
      </c>
      <c r="W10" s="4">
        <f t="shared" si="10"/>
        <v>18395.84</v>
      </c>
      <c r="X10" s="2">
        <f t="shared" si="11"/>
        <v>37387.519999999997</v>
      </c>
      <c r="Y10" s="10">
        <f t="shared" si="12"/>
        <v>32664.079999999998</v>
      </c>
      <c r="Z10" s="2">
        <f t="shared" si="13"/>
        <v>0</v>
      </c>
      <c r="AA10" s="2">
        <f t="shared" si="14"/>
        <v>32664.079999999998</v>
      </c>
      <c r="AB10" s="2"/>
      <c r="AC10" s="2"/>
    </row>
    <row r="11" spans="1:29" x14ac:dyDescent="0.25">
      <c r="A11" s="2"/>
      <c r="B11" s="2"/>
      <c r="C11" s="2"/>
      <c r="D11" s="4">
        <v>34730</v>
      </c>
      <c r="E11" s="4">
        <f t="shared" ref="E11:E12" si="15">ROUNDUP(D11/30,0)*4</f>
        <v>4632</v>
      </c>
      <c r="F11" s="2"/>
      <c r="G11" s="8">
        <f t="shared" ref="G11:G12" si="16">SUM(D11:F11)</f>
        <v>39362</v>
      </c>
      <c r="H11" s="2">
        <f t="shared" ref="H11:H12" si="17">10%*G11</f>
        <v>3936.2000000000003</v>
      </c>
      <c r="I11" s="2">
        <v>400</v>
      </c>
      <c r="J11" s="2">
        <f t="shared" ref="J11:J12" si="18">6%*G11</f>
        <v>2361.7199999999998</v>
      </c>
      <c r="K11" s="8">
        <f t="shared" ref="K11:K12" si="19">SUM(G11:J11)</f>
        <v>46059.92</v>
      </c>
      <c r="L11" s="2">
        <f t="shared" si="5"/>
        <v>5000</v>
      </c>
      <c r="M11" s="2">
        <v>0</v>
      </c>
      <c r="N11" s="2"/>
      <c r="O11" s="2">
        <v>10000</v>
      </c>
      <c r="P11" s="4">
        <f>SUM(L11:O11)</f>
        <v>15000</v>
      </c>
      <c r="Q11" s="8">
        <f t="shared" ref="Q11:Q12" si="20">K11+P11</f>
        <v>61059.92</v>
      </c>
      <c r="R11" s="2">
        <v>800</v>
      </c>
      <c r="S11" s="2">
        <f t="shared" ref="S11:S12" si="21">H11*2</f>
        <v>7872.4000000000005</v>
      </c>
      <c r="T11" s="2">
        <v>5000</v>
      </c>
      <c r="U11" s="2"/>
      <c r="V11" s="2">
        <f t="shared" ref="V11:V12" si="22">J11*2</f>
        <v>4723.4399999999996</v>
      </c>
      <c r="W11" s="4">
        <f t="shared" ref="W11:W12" si="23">SUM(R11:V11)</f>
        <v>18395.84</v>
      </c>
      <c r="X11" s="2">
        <f t="shared" ref="X11:X12" si="24">Y11+V11</f>
        <v>47387.520000000004</v>
      </c>
      <c r="Y11" s="10">
        <f t="shared" ref="Y11:Y12" si="25">Q11-W11</f>
        <v>42664.08</v>
      </c>
      <c r="Z11" s="2">
        <f t="shared" ref="Z11:Z12" si="26">IF(Y11*13&gt;600000,1%*Y11,0)</f>
        <v>0</v>
      </c>
      <c r="AA11" s="2">
        <f t="shared" ref="AA11:AA12" si="27">Y11-Z11</f>
        <v>42664.08</v>
      </c>
      <c r="AB11" s="2"/>
      <c r="AC11" s="2"/>
    </row>
    <row r="12" spans="1:29" x14ac:dyDescent="0.25">
      <c r="A12" s="2"/>
      <c r="B12" s="2"/>
      <c r="C12" s="2"/>
      <c r="D12" s="4">
        <v>34730</v>
      </c>
      <c r="E12" s="4">
        <f t="shared" si="15"/>
        <v>4632</v>
      </c>
      <c r="F12" s="2"/>
      <c r="G12" s="8">
        <f t="shared" si="16"/>
        <v>39362</v>
      </c>
      <c r="H12" s="2">
        <f t="shared" si="17"/>
        <v>3936.2000000000003</v>
      </c>
      <c r="I12" s="2">
        <v>400</v>
      </c>
      <c r="J12" s="2">
        <f t="shared" si="18"/>
        <v>2361.7199999999998</v>
      </c>
      <c r="K12" s="8">
        <f t="shared" si="19"/>
        <v>46059.92</v>
      </c>
      <c r="L12" s="2">
        <f t="shared" si="5"/>
        <v>5000</v>
      </c>
      <c r="M12" s="2">
        <v>0</v>
      </c>
      <c r="N12" s="2"/>
      <c r="O12" s="2"/>
      <c r="P12" s="4">
        <f t="shared" ref="P12" si="28">SUM(L12:M12)</f>
        <v>5000</v>
      </c>
      <c r="Q12" s="8">
        <f t="shared" si="20"/>
        <v>51059.92</v>
      </c>
      <c r="R12" s="2">
        <v>800</v>
      </c>
      <c r="S12" s="2">
        <f t="shared" si="21"/>
        <v>7872.4000000000005</v>
      </c>
      <c r="T12" s="2">
        <v>5000</v>
      </c>
      <c r="U12" s="2"/>
      <c r="V12" s="2">
        <f t="shared" si="22"/>
        <v>4723.4399999999996</v>
      </c>
      <c r="W12" s="4">
        <f t="shared" si="23"/>
        <v>18395.84</v>
      </c>
      <c r="X12" s="2">
        <f t="shared" si="24"/>
        <v>37387.519999999997</v>
      </c>
      <c r="Y12" s="10">
        <f t="shared" si="25"/>
        <v>32664.079999999998</v>
      </c>
      <c r="Z12" s="2">
        <f t="shared" si="26"/>
        <v>0</v>
      </c>
      <c r="AA12" s="2">
        <f t="shared" si="27"/>
        <v>32664.079999999998</v>
      </c>
      <c r="AB12" s="2"/>
      <c r="AC12" s="2"/>
    </row>
    <row r="13" spans="1:29" x14ac:dyDescent="0.25">
      <c r="A13" s="2"/>
      <c r="B13" s="2"/>
      <c r="C13" s="2"/>
      <c r="D13" s="4">
        <v>34730</v>
      </c>
      <c r="E13" s="4">
        <f t="shared" ref="E13" si="29">ROUNDUP(D13/30,0)*4</f>
        <v>4632</v>
      </c>
      <c r="F13" s="2"/>
      <c r="G13" s="8">
        <f t="shared" ref="G13" si="30">SUM(D13:F13)</f>
        <v>39362</v>
      </c>
      <c r="H13" s="2">
        <f t="shared" ref="H13" si="31">10%*G13</f>
        <v>3936.2000000000003</v>
      </c>
      <c r="I13" s="2">
        <v>400</v>
      </c>
      <c r="J13" s="2">
        <f t="shared" ref="J13" si="32">6%*G13</f>
        <v>2361.7199999999998</v>
      </c>
      <c r="K13" s="8">
        <f t="shared" ref="K13" si="33">SUM(G13:J13)</f>
        <v>46059.92</v>
      </c>
      <c r="L13" s="2">
        <f t="shared" si="5"/>
        <v>5000</v>
      </c>
      <c r="M13" s="2">
        <v>0</v>
      </c>
      <c r="N13" s="2"/>
      <c r="O13" s="2"/>
      <c r="P13" s="4">
        <f t="shared" ref="P13" si="34">SUM(L13:M13)</f>
        <v>5000</v>
      </c>
      <c r="Q13" s="8">
        <f t="shared" ref="Q13" si="35">K13+P13</f>
        <v>51059.92</v>
      </c>
      <c r="R13" s="2">
        <v>800</v>
      </c>
      <c r="S13" s="2">
        <f t="shared" ref="S13" si="36">H13*2</f>
        <v>7872.4000000000005</v>
      </c>
      <c r="T13" s="2">
        <v>5000</v>
      </c>
      <c r="U13" s="2"/>
      <c r="V13" s="2">
        <f t="shared" ref="V13" si="37">J13*2</f>
        <v>4723.4399999999996</v>
      </c>
      <c r="W13" s="4">
        <f t="shared" ref="W13" si="38">SUM(R13:V13)</f>
        <v>18395.84</v>
      </c>
      <c r="X13" s="2">
        <f t="shared" ref="X13" si="39">Y13+V13</f>
        <v>37387.519999999997</v>
      </c>
      <c r="Y13" s="10">
        <f t="shared" ref="Y13" si="40">Q13-W13</f>
        <v>32664.079999999998</v>
      </c>
      <c r="Z13" s="2">
        <f t="shared" ref="Z13" si="41">IF(Y13*13&gt;600000,1%*Y13,0)</f>
        <v>0</v>
      </c>
      <c r="AA13" s="2">
        <f t="shared" ref="AA13" si="42">Y13-Z13</f>
        <v>32664.079999999998</v>
      </c>
      <c r="AB13" s="2"/>
      <c r="AC13" s="2"/>
    </row>
    <row r="14" spans="1:29" x14ac:dyDescent="0.25">
      <c r="A14" s="2"/>
      <c r="B14" s="2"/>
      <c r="C14" s="2"/>
      <c r="D14" s="4">
        <v>34730</v>
      </c>
      <c r="E14" s="4">
        <f>ROUNDUP(D14/30,0)*5</f>
        <v>5790</v>
      </c>
      <c r="F14" s="2"/>
      <c r="G14" s="8">
        <f t="shared" ref="G14" si="43">SUM(D14:F14)</f>
        <v>40520</v>
      </c>
      <c r="H14" s="2">
        <f t="shared" ref="H14" si="44">10%*G14</f>
        <v>4052</v>
      </c>
      <c r="I14" s="2">
        <v>400</v>
      </c>
      <c r="J14" s="2">
        <f t="shared" ref="J14" si="45">6%*G14</f>
        <v>2431.1999999999998</v>
      </c>
      <c r="K14" s="8">
        <f t="shared" ref="K14" si="46">SUM(G14:J14)</f>
        <v>47403.199999999997</v>
      </c>
      <c r="L14" s="2">
        <f t="shared" si="5"/>
        <v>5000</v>
      </c>
      <c r="M14" s="2">
        <v>0</v>
      </c>
      <c r="N14" s="2"/>
      <c r="O14" s="2"/>
      <c r="P14" s="4">
        <f t="shared" ref="P14" si="47">SUM(L14:M14)</f>
        <v>5000</v>
      </c>
      <c r="Q14" s="8">
        <f t="shared" ref="Q14" si="48">K14+P14</f>
        <v>52403.199999999997</v>
      </c>
      <c r="R14" s="2">
        <v>800</v>
      </c>
      <c r="S14" s="2">
        <f t="shared" ref="S14" si="49">H14*2</f>
        <v>8104</v>
      </c>
      <c r="T14" s="2">
        <v>5000</v>
      </c>
      <c r="U14" s="2"/>
      <c r="V14" s="2">
        <f t="shared" ref="V14" si="50">J14*2</f>
        <v>4862.3999999999996</v>
      </c>
      <c r="W14" s="4">
        <f t="shared" ref="W14" si="51">SUM(R14:V14)</f>
        <v>18766.400000000001</v>
      </c>
      <c r="X14" s="2">
        <f t="shared" ref="X14" si="52">Y14+V14</f>
        <v>38499.199999999997</v>
      </c>
      <c r="Y14" s="10">
        <f t="shared" ref="Y14" si="53">Q14-W14</f>
        <v>33636.799999999996</v>
      </c>
      <c r="Z14" s="2">
        <f t="shared" ref="Z14" si="54">IF(Y14*13&gt;600000,1%*Y14,0)</f>
        <v>0</v>
      </c>
      <c r="AA14" s="2">
        <f t="shared" ref="AA14" si="55">Y14-Z14</f>
        <v>33636.799999999996</v>
      </c>
      <c r="AB14" s="2"/>
      <c r="AC14" s="2" t="s">
        <v>30</v>
      </c>
    </row>
    <row r="15" spans="1:29" x14ac:dyDescent="0.25">
      <c r="A15" s="2"/>
      <c r="B15" s="2"/>
      <c r="C15" s="2"/>
      <c r="D15" s="4"/>
      <c r="E15" s="4"/>
      <c r="F15" s="2"/>
      <c r="G15" s="8"/>
      <c r="H15" s="2"/>
      <c r="I15" s="2"/>
      <c r="J15" s="2"/>
      <c r="K15" s="8">
        <v>0</v>
      </c>
      <c r="L15" s="2"/>
      <c r="M15" s="2">
        <v>5100</v>
      </c>
      <c r="N15" s="2"/>
      <c r="O15" s="2"/>
      <c r="P15" s="4"/>
      <c r="Q15" s="8"/>
      <c r="R15" s="2"/>
      <c r="S15" s="2"/>
      <c r="T15" s="2"/>
      <c r="U15" s="2"/>
      <c r="V15" s="2"/>
      <c r="W15" s="4"/>
      <c r="X15" s="2"/>
      <c r="Y15" s="10"/>
      <c r="Z15" s="2"/>
      <c r="AA15" s="2"/>
      <c r="AB15" s="2"/>
      <c r="AC15" s="2"/>
    </row>
    <row r="16" spans="1:29" x14ac:dyDescent="0.25">
      <c r="A16" s="2"/>
      <c r="B16" s="2"/>
      <c r="C16" s="2"/>
      <c r="D16" s="4"/>
      <c r="E16" s="4"/>
      <c r="F16" s="2"/>
      <c r="G16" s="8"/>
      <c r="H16" s="2"/>
      <c r="I16" s="2"/>
      <c r="J16" s="2"/>
      <c r="K16" s="8"/>
      <c r="L16" s="2"/>
      <c r="M16" s="2"/>
      <c r="N16" s="2"/>
      <c r="O16" s="2"/>
      <c r="P16" s="4"/>
      <c r="Q16" s="8"/>
      <c r="R16" s="2"/>
      <c r="S16" s="2"/>
      <c r="T16" s="2"/>
      <c r="U16" s="2"/>
      <c r="V16" s="2"/>
      <c r="W16" s="4"/>
      <c r="X16" s="2"/>
      <c r="Y16" s="10"/>
      <c r="Z16" s="2"/>
      <c r="AA16" s="2"/>
      <c r="AB16" s="2"/>
      <c r="AC16" s="2"/>
    </row>
    <row r="17" spans="1:29" x14ac:dyDescent="0.25">
      <c r="A17" s="2"/>
      <c r="B17" s="2"/>
      <c r="C17" s="2"/>
      <c r="D17" s="4">
        <f>34730*1.1</f>
        <v>38203</v>
      </c>
      <c r="E17" s="4">
        <f>ROUNDUP(D17/30,0)*4</f>
        <v>5096</v>
      </c>
      <c r="F17" s="2"/>
      <c r="G17" s="8">
        <f t="shared" ref="G17" si="56">SUM(D17:F17)</f>
        <v>43299</v>
      </c>
      <c r="H17" s="2">
        <f t="shared" ref="H17" si="57">10%*G17</f>
        <v>4329.9000000000005</v>
      </c>
      <c r="I17" s="2">
        <v>400</v>
      </c>
      <c r="J17" s="2">
        <f t="shared" ref="J17" si="58">6%*G17</f>
        <v>2597.94</v>
      </c>
      <c r="K17" s="8">
        <f t="shared" ref="K17" si="59">SUM(G17:J17)</f>
        <v>50626.840000000004</v>
      </c>
      <c r="L17" s="2">
        <f t="shared" si="5"/>
        <v>5000</v>
      </c>
      <c r="M17" s="2"/>
      <c r="N17" s="2">
        <f>10%*D17</f>
        <v>3820.3</v>
      </c>
      <c r="O17" s="2"/>
      <c r="P17" s="4">
        <f>SUM(L17:N17)</f>
        <v>8820.2999999999993</v>
      </c>
      <c r="Q17" s="8">
        <f t="shared" ref="Q17" si="60">K17+P17</f>
        <v>59447.14</v>
      </c>
      <c r="R17" s="2">
        <v>800</v>
      </c>
      <c r="S17" s="2">
        <f t="shared" ref="S17" si="61">H17*2</f>
        <v>8659.8000000000011</v>
      </c>
      <c r="T17" s="2">
        <v>5000</v>
      </c>
      <c r="U17" s="2"/>
      <c r="V17" s="2">
        <f t="shared" ref="V17" si="62">J17*2</f>
        <v>5195.88</v>
      </c>
      <c r="W17" s="4">
        <f t="shared" ref="W17" si="63">SUM(R17:V17)</f>
        <v>19655.68</v>
      </c>
      <c r="X17" s="2">
        <f t="shared" ref="X17" si="64">Y17+V17</f>
        <v>44987.34</v>
      </c>
      <c r="Y17" s="10">
        <f t="shared" ref="Y17" si="65">Q17-W17</f>
        <v>39791.46</v>
      </c>
      <c r="Z17" s="2">
        <f t="shared" ref="Z17" si="66">IF(Y17*13&gt;600000,1%*Y17,0)</f>
        <v>0</v>
      </c>
      <c r="AA17" s="2">
        <f t="shared" ref="AA17" si="67">Y17-Z17</f>
        <v>39791.46</v>
      </c>
      <c r="AB17" s="2"/>
      <c r="AC17" s="2"/>
    </row>
    <row r="18" spans="1:29" x14ac:dyDescent="0.25">
      <c r="A18" s="2"/>
      <c r="B18" s="2"/>
      <c r="C18" s="2"/>
      <c r="D18" s="4">
        <f>34730*1.1</f>
        <v>38203</v>
      </c>
      <c r="E18" s="4">
        <f>(D18/30)*5</f>
        <v>6367.166666666667</v>
      </c>
      <c r="F18" s="2"/>
      <c r="G18" s="8">
        <f t="shared" ref="G18" si="68">SUM(D18:F18)</f>
        <v>44570.166666666664</v>
      </c>
      <c r="H18" s="2">
        <f t="shared" ref="H18" si="69">10%*G18</f>
        <v>4457.0166666666664</v>
      </c>
      <c r="I18" s="2">
        <v>400</v>
      </c>
      <c r="J18" s="2">
        <f t="shared" ref="J18" si="70">6%*G18</f>
        <v>2674.2099999999996</v>
      </c>
      <c r="K18" s="8">
        <f t="shared" ref="K18" si="71">SUM(G18:J18)</f>
        <v>52101.393333333333</v>
      </c>
      <c r="L18" s="2">
        <f t="shared" si="5"/>
        <v>5000</v>
      </c>
      <c r="M18" s="2">
        <f>G18</f>
        <v>44570.166666666664</v>
      </c>
      <c r="N18" s="2">
        <f>10%*D18</f>
        <v>3820.3</v>
      </c>
      <c r="O18" s="2"/>
      <c r="P18" s="4">
        <f>SUM(L18:O18)</f>
        <v>53390.466666666667</v>
      </c>
      <c r="Q18" s="8">
        <f t="shared" ref="Q18" si="72">K18+P18</f>
        <v>105491.86</v>
      </c>
      <c r="R18" s="2">
        <v>800</v>
      </c>
      <c r="S18" s="2">
        <f t="shared" ref="S18" si="73">H18*2</f>
        <v>8914.0333333333328</v>
      </c>
      <c r="T18" s="2">
        <v>5000</v>
      </c>
      <c r="U18" s="2"/>
      <c r="V18" s="2">
        <f t="shared" ref="V18" si="74">J18*2</f>
        <v>5348.4199999999992</v>
      </c>
      <c r="W18" s="4">
        <f t="shared" ref="W18" si="75">SUM(R18:V18)</f>
        <v>20062.453333333331</v>
      </c>
      <c r="X18" s="2">
        <f t="shared" ref="X18" si="76">Y18+V18</f>
        <v>90777.826666666675</v>
      </c>
      <c r="Y18" s="10">
        <f t="shared" ref="Y18" si="77">Q18-W18</f>
        <v>85429.406666666677</v>
      </c>
      <c r="Z18" s="2">
        <f>IF(Y18*13&gt;600000,1%*Y18,0)-IF(Y18*13&gt;600000,1%*Y18,0)</f>
        <v>0</v>
      </c>
      <c r="AA18" s="2">
        <f>Y18-Z18-4</f>
        <v>85425.406666666677</v>
      </c>
      <c r="AB18" s="2"/>
      <c r="AC18" s="2"/>
    </row>
    <row r="19" spans="1:29" x14ac:dyDescent="0.25">
      <c r="A19" s="2"/>
      <c r="B19" s="2"/>
      <c r="C19" s="2"/>
      <c r="D19" s="4"/>
      <c r="E19" s="4"/>
      <c r="F19" s="2"/>
      <c r="G19" s="8"/>
      <c r="H19" s="2"/>
      <c r="I19" s="2"/>
      <c r="J19" s="2"/>
      <c r="K19" s="8"/>
      <c r="L19" s="2"/>
      <c r="M19" s="2"/>
      <c r="N19" s="2"/>
      <c r="O19" s="2"/>
      <c r="P19" s="4"/>
      <c r="Q19" s="8"/>
      <c r="R19" s="2"/>
      <c r="S19" s="2"/>
      <c r="T19" s="2"/>
      <c r="U19" s="2"/>
      <c r="V19" s="2"/>
      <c r="W19" s="4"/>
      <c r="X19" s="2"/>
      <c r="Y19" s="10"/>
      <c r="Z19" s="2"/>
      <c r="AA19" s="2"/>
      <c r="AB19" s="2"/>
      <c r="AC19" s="2"/>
    </row>
    <row r="20" spans="1:29" x14ac:dyDescent="0.25">
      <c r="A20" s="2"/>
      <c r="B20" s="2"/>
      <c r="C20" s="2"/>
      <c r="D20" s="4"/>
      <c r="E20" s="4"/>
      <c r="F20" s="2"/>
      <c r="G20" s="8"/>
      <c r="H20" s="2"/>
      <c r="I20" s="2"/>
      <c r="J20" s="2"/>
      <c r="K20" s="8"/>
      <c r="L20" s="2"/>
      <c r="M20" s="2"/>
      <c r="N20" s="2"/>
      <c r="O20" s="2"/>
      <c r="P20" s="4"/>
      <c r="Q20" s="8"/>
      <c r="R20" s="2"/>
      <c r="S20" s="2"/>
      <c r="T20" s="2"/>
      <c r="U20" s="2"/>
      <c r="V20" s="2"/>
      <c r="W20" s="4"/>
      <c r="X20" s="2"/>
      <c r="Y20" s="10"/>
      <c r="Z20" s="2"/>
      <c r="AA20" s="2"/>
      <c r="AB20" s="2"/>
      <c r="AC20" s="2"/>
    </row>
    <row r="21" spans="1:29" x14ac:dyDescent="0.25">
      <c r="A21" s="2"/>
      <c r="B21" s="2"/>
      <c r="C21" s="2"/>
      <c r="D21" s="4"/>
      <c r="E21" s="4"/>
      <c r="F21" s="2"/>
      <c r="G21" s="8"/>
      <c r="H21" s="2"/>
      <c r="I21" s="2"/>
      <c r="J21" s="2"/>
      <c r="K21" s="8"/>
      <c r="L21" s="2"/>
      <c r="M21" s="2"/>
      <c r="N21" s="2"/>
      <c r="O21" s="2"/>
      <c r="P21" s="4"/>
      <c r="Q21" s="8"/>
      <c r="R21" s="2"/>
      <c r="S21" s="2"/>
      <c r="T21" s="2"/>
      <c r="U21" s="2"/>
      <c r="V21" s="2"/>
      <c r="W21" s="4"/>
      <c r="X21" s="2"/>
      <c r="Y21" s="10"/>
      <c r="Z21" s="2"/>
      <c r="AA21" s="2"/>
      <c r="AB21" s="2"/>
      <c r="AC21" s="2"/>
    </row>
    <row r="22" spans="1:29" x14ac:dyDescent="0.25">
      <c r="A22" s="2"/>
      <c r="B22" s="2"/>
      <c r="C22" s="2"/>
      <c r="D22" s="4">
        <v>43689</v>
      </c>
      <c r="E22" s="4">
        <v>0</v>
      </c>
      <c r="F22" s="2"/>
      <c r="G22" s="8">
        <f>SUM(D22:F22)</f>
        <v>43689</v>
      </c>
      <c r="H22" s="2">
        <f>10%*G22</f>
        <v>4368.9000000000005</v>
      </c>
      <c r="I22" s="2">
        <v>400</v>
      </c>
      <c r="J22" s="2">
        <f>6%*G22</f>
        <v>2621.3399999999997</v>
      </c>
      <c r="K22" s="8">
        <f>SUM(G22:J22)</f>
        <v>51079.24</v>
      </c>
      <c r="L22" s="2">
        <f>2000+3000</f>
        <v>5000</v>
      </c>
      <c r="M22" s="2">
        <v>0</v>
      </c>
      <c r="N22" s="2"/>
      <c r="O22" s="2"/>
      <c r="P22" s="4">
        <f>SUM(L22:M22)</f>
        <v>5000</v>
      </c>
      <c r="Q22" s="8">
        <f>K22+P22</f>
        <v>56079.24</v>
      </c>
      <c r="R22" s="2">
        <v>801</v>
      </c>
      <c r="S22" s="2">
        <f>H22*2</f>
        <v>8737.8000000000011</v>
      </c>
      <c r="T22" s="2">
        <v>1000</v>
      </c>
      <c r="U22" s="2"/>
      <c r="V22" s="2">
        <f>J22*2</f>
        <v>5242.6799999999994</v>
      </c>
      <c r="W22" s="4">
        <f>SUM(R22:V22)</f>
        <v>15781.48</v>
      </c>
      <c r="X22" s="2">
        <f>Y22+V22</f>
        <v>45540.439999999995</v>
      </c>
      <c r="Y22" s="10">
        <f>Q22-W22</f>
        <v>40297.759999999995</v>
      </c>
      <c r="Z22" s="2">
        <f>IF(Y22*13&gt;600000,1%*Y22,0)</f>
        <v>0</v>
      </c>
      <c r="AA22" s="2">
        <f>Y22-Z22</f>
        <v>40297.759999999995</v>
      </c>
      <c r="AB22" s="2"/>
      <c r="AC22" s="2"/>
    </row>
    <row r="23" spans="1:29" x14ac:dyDescent="0.25">
      <c r="A23" s="2"/>
      <c r="B23" s="2"/>
      <c r="C23" s="2"/>
      <c r="D23" s="4"/>
      <c r="E23" s="4"/>
      <c r="F23" s="2"/>
      <c r="G23" s="8"/>
      <c r="H23" s="2"/>
      <c r="I23" s="2"/>
      <c r="J23" s="2"/>
      <c r="K23" s="8"/>
      <c r="L23" s="2"/>
      <c r="M23" s="2"/>
      <c r="N23" s="2"/>
      <c r="O23" s="2"/>
      <c r="P23" s="4"/>
      <c r="Q23" s="8"/>
      <c r="R23" s="2"/>
      <c r="S23" s="2"/>
      <c r="T23" s="2"/>
      <c r="U23" s="2"/>
      <c r="V23" s="2"/>
      <c r="W23" s="4"/>
      <c r="X23" s="2"/>
      <c r="Y23" s="10"/>
      <c r="Z23" s="2"/>
      <c r="AA23" s="2"/>
      <c r="AB23" s="2"/>
      <c r="AC23" s="2"/>
    </row>
    <row r="24" spans="1:29" x14ac:dyDescent="0.25">
      <c r="A24" s="2"/>
      <c r="B24" s="2"/>
      <c r="C24" s="2"/>
      <c r="D24" s="4"/>
      <c r="E24" s="4"/>
      <c r="F24" s="2"/>
      <c r="G24" s="8"/>
      <c r="H24" s="2"/>
      <c r="I24" s="2"/>
      <c r="J24" s="2"/>
      <c r="K24" s="8"/>
      <c r="L24" s="2"/>
      <c r="M24" s="2"/>
      <c r="N24" s="2"/>
      <c r="O24" s="2"/>
      <c r="P24" s="4"/>
      <c r="Q24" s="8"/>
      <c r="R24" s="2"/>
      <c r="S24" s="2"/>
      <c r="T24" s="2"/>
      <c r="U24" s="2"/>
      <c r="V24" s="2"/>
      <c r="W24" s="4"/>
      <c r="X24" s="2"/>
      <c r="Y24" s="10"/>
      <c r="Z24" s="2"/>
      <c r="AA24" s="2"/>
      <c r="AB24" s="2"/>
      <c r="AC24" s="2"/>
    </row>
    <row r="25" spans="1:29" x14ac:dyDescent="0.25">
      <c r="A25" s="2"/>
      <c r="B25" s="2"/>
      <c r="C25" s="2"/>
      <c r="D25" s="4"/>
      <c r="E25" s="4"/>
      <c r="F25" s="2"/>
      <c r="G25" s="8"/>
      <c r="H25" s="2"/>
      <c r="I25" s="2"/>
      <c r="J25" s="2"/>
      <c r="K25" s="8"/>
      <c r="L25" s="2"/>
      <c r="M25" s="2"/>
      <c r="N25" s="2"/>
      <c r="O25" s="2"/>
      <c r="P25" s="4"/>
      <c r="Q25" s="8"/>
      <c r="R25" s="2"/>
      <c r="S25" s="2"/>
      <c r="T25" s="2"/>
      <c r="U25" s="2"/>
      <c r="V25" s="2"/>
      <c r="W25" s="4"/>
      <c r="X25" s="2"/>
      <c r="Y25" s="10"/>
      <c r="Z25" s="2"/>
      <c r="AA25" s="2"/>
      <c r="AB25" s="2"/>
      <c r="AC25" s="2"/>
    </row>
    <row r="26" spans="1:29" x14ac:dyDescent="0.25">
      <c r="A26" s="2"/>
      <c r="B26" s="2"/>
      <c r="C26" s="2"/>
      <c r="D26" s="4"/>
      <c r="E26" s="4"/>
      <c r="F26" s="2"/>
      <c r="G26" s="8"/>
      <c r="H26" s="2"/>
      <c r="I26" s="2"/>
      <c r="J26" s="2"/>
      <c r="K26" s="8"/>
      <c r="L26" s="2"/>
      <c r="M26" s="2"/>
      <c r="N26" s="2"/>
      <c r="O26" s="2"/>
      <c r="P26" s="4"/>
      <c r="Q26" s="8"/>
      <c r="R26" s="2"/>
      <c r="S26" s="2"/>
      <c r="T26" s="2"/>
      <c r="U26" s="2"/>
      <c r="V26" s="2"/>
      <c r="W26" s="4"/>
      <c r="X26" s="2"/>
      <c r="Y26" s="10"/>
      <c r="Z26" s="2"/>
      <c r="AA26" s="2"/>
      <c r="AB26" s="2"/>
      <c r="AC26" s="2"/>
    </row>
    <row r="27" spans="1:29" x14ac:dyDescent="0.25">
      <c r="A27" s="2"/>
      <c r="B27" s="2"/>
      <c r="C27" s="2"/>
      <c r="D27" s="4"/>
      <c r="E27" s="4"/>
      <c r="F27" s="2"/>
      <c r="G27" s="8"/>
      <c r="H27" s="2"/>
      <c r="I27" s="2"/>
      <c r="J27" s="2"/>
      <c r="K27" s="8"/>
      <c r="L27" s="2"/>
      <c r="M27" s="2"/>
      <c r="N27" s="2"/>
      <c r="O27" s="2"/>
      <c r="P27" s="4"/>
      <c r="Q27" s="8"/>
      <c r="R27" s="2"/>
      <c r="S27" s="2"/>
      <c r="T27" s="2"/>
      <c r="U27" s="2"/>
      <c r="V27" s="2"/>
      <c r="W27" s="4"/>
      <c r="X27" s="2"/>
      <c r="Y27" s="10"/>
      <c r="Z27" s="2"/>
      <c r="AA27" s="2"/>
      <c r="AB27" s="2"/>
      <c r="AC27" s="2"/>
    </row>
    <row r="28" spans="1:29" x14ac:dyDescent="0.25">
      <c r="A28" s="2"/>
      <c r="B28" s="2"/>
      <c r="C28" s="2"/>
      <c r="D28" s="4"/>
      <c r="E28" s="4"/>
      <c r="F28" s="2"/>
      <c r="G28" s="8"/>
      <c r="H28" s="2"/>
      <c r="I28" s="2"/>
      <c r="J28" s="2"/>
      <c r="K28" s="8"/>
      <c r="L28" s="2"/>
      <c r="M28" s="2"/>
      <c r="N28" s="2"/>
      <c r="O28" s="2"/>
      <c r="P28" s="4"/>
      <c r="Q28" s="8"/>
      <c r="R28" s="2"/>
      <c r="S28" s="2"/>
      <c r="T28" s="2"/>
      <c r="U28" s="2"/>
      <c r="V28" s="2"/>
      <c r="W28" s="4"/>
      <c r="X28" s="2"/>
      <c r="Y28" s="10"/>
      <c r="Z28" s="2"/>
      <c r="AA28" s="2"/>
      <c r="AB28" s="2"/>
      <c r="AC28" s="2"/>
    </row>
    <row r="29" spans="1:29" x14ac:dyDescent="0.25">
      <c r="A29" s="2"/>
      <c r="B29" s="2"/>
      <c r="C29" s="2"/>
      <c r="D29" s="4"/>
      <c r="E29" s="4"/>
      <c r="F29" s="2"/>
      <c r="G29" s="8"/>
      <c r="H29" s="2"/>
      <c r="I29" s="2"/>
      <c r="J29" s="2"/>
      <c r="K29" s="8"/>
      <c r="L29" s="2"/>
      <c r="M29" s="2"/>
      <c r="N29" s="2"/>
      <c r="O29" s="2"/>
      <c r="P29" s="4"/>
      <c r="Q29" s="8"/>
      <c r="R29" s="2"/>
      <c r="S29" s="2"/>
      <c r="T29" s="2"/>
      <c r="U29" s="2"/>
      <c r="V29" s="2"/>
      <c r="W29" s="4"/>
      <c r="X29" s="2"/>
      <c r="Y29" s="10"/>
      <c r="Z29" s="2"/>
      <c r="AA29" s="2"/>
      <c r="AB29" s="2"/>
      <c r="AC29" s="2"/>
    </row>
    <row r="30" spans="1:29" x14ac:dyDescent="0.25">
      <c r="A30" s="2"/>
      <c r="B30" s="2"/>
      <c r="C30" s="2"/>
      <c r="D30" s="4"/>
      <c r="E30" s="4"/>
      <c r="F30" s="2"/>
      <c r="G30" s="8"/>
      <c r="H30" s="2"/>
      <c r="I30" s="2"/>
      <c r="J30" s="2"/>
      <c r="K30" s="8"/>
      <c r="L30" s="2"/>
      <c r="M30" s="2"/>
      <c r="N30" s="2"/>
      <c r="O30" s="2"/>
      <c r="P30" s="4"/>
      <c r="Q30" s="8"/>
      <c r="R30" s="2"/>
      <c r="S30" s="2"/>
      <c r="T30" s="2"/>
      <c r="U30" s="2"/>
      <c r="V30" s="2"/>
      <c r="W30" s="4"/>
      <c r="X30" s="2"/>
      <c r="Y30" s="10"/>
      <c r="Z30" s="2"/>
      <c r="AA30" s="2"/>
      <c r="AB30" s="2"/>
      <c r="AC30" s="2"/>
    </row>
    <row r="31" spans="1:29" x14ac:dyDescent="0.25">
      <c r="A31" s="2"/>
      <c r="B31" s="2"/>
      <c r="C31" s="2"/>
      <c r="D31" s="4"/>
      <c r="E31" s="4"/>
      <c r="F31" s="2"/>
      <c r="G31" s="8"/>
      <c r="H31" s="2"/>
      <c r="I31" s="2"/>
      <c r="J31" s="2"/>
      <c r="K31" s="8"/>
      <c r="L31" s="2"/>
      <c r="M31" s="2"/>
      <c r="N31" s="2"/>
      <c r="O31" s="2"/>
      <c r="P31" s="4"/>
      <c r="Q31" s="8"/>
      <c r="R31" s="2"/>
      <c r="S31" s="2"/>
      <c r="T31" s="2"/>
      <c r="U31" s="2"/>
      <c r="V31" s="2"/>
      <c r="W31" s="4"/>
      <c r="X31" s="2"/>
      <c r="Y31" s="10"/>
      <c r="Z31" s="2"/>
      <c r="AA31" s="2"/>
      <c r="AB31" s="2"/>
      <c r="AC31" s="2"/>
    </row>
    <row r="32" spans="1:29" x14ac:dyDescent="0.25">
      <c r="A32" s="2"/>
      <c r="B32" s="2"/>
      <c r="C32" s="2"/>
      <c r="D32" s="4"/>
      <c r="E32" s="4"/>
      <c r="F32" s="2"/>
      <c r="G32" s="8"/>
      <c r="H32" s="2"/>
      <c r="I32" s="2"/>
      <c r="J32" s="2"/>
      <c r="K32" s="8"/>
      <c r="L32" s="2"/>
      <c r="M32" s="2"/>
      <c r="N32" s="2"/>
      <c r="O32" s="2"/>
      <c r="P32" s="4"/>
      <c r="Q32" s="8"/>
      <c r="R32" s="2"/>
      <c r="S32" s="2"/>
      <c r="T32" s="2"/>
      <c r="U32" s="2"/>
      <c r="V32" s="2"/>
      <c r="W32" s="4"/>
      <c r="X32" s="2"/>
      <c r="Y32" s="10"/>
      <c r="Z32" s="2"/>
      <c r="AA32" s="2"/>
      <c r="AB32" s="2"/>
      <c r="AC32" s="2"/>
    </row>
  </sheetData>
  <mergeCells count="14">
    <mergeCell ref="X1:X2"/>
    <mergeCell ref="AC1:AC2"/>
    <mergeCell ref="L1:P1"/>
    <mergeCell ref="Q1:Q2"/>
    <mergeCell ref="A1:A2"/>
    <mergeCell ref="B1:B2"/>
    <mergeCell ref="C1:C2"/>
    <mergeCell ref="H1:K1"/>
    <mergeCell ref="D1:G1"/>
    <mergeCell ref="R1:W1"/>
    <mergeCell ref="Y1:Y2"/>
    <mergeCell ref="Z1:Z2"/>
    <mergeCell ref="AA1:AA2"/>
    <mergeCell ref="AB1:AB2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5475-327E-4983-B60B-CF7593014FA5}">
  <dimension ref="A1:AC101"/>
  <sheetViews>
    <sheetView view="pageBreakPreview" zoomScale="80" zoomScaleNormal="95" zoomScaleSheetLayoutView="80" workbookViewId="0">
      <pane ySplit="2" topLeftCell="A3" activePane="bottomLeft" state="frozen"/>
      <selection activeCell="D1" sqref="D1"/>
      <selection pane="bottomLeft" activeCell="H85" sqref="H85"/>
    </sheetView>
  </sheetViews>
  <sheetFormatPr defaultRowHeight="15" x14ac:dyDescent="0.25"/>
  <cols>
    <col min="1" max="1" width="5.140625" bestFit="1" customWidth="1"/>
    <col min="2" max="2" width="4.140625" customWidth="1"/>
    <col min="3" max="3" width="14.28515625" bestFit="1" customWidth="1"/>
    <col min="4" max="4" width="6.28515625" style="5" bestFit="1" customWidth="1"/>
    <col min="5" max="5" width="8.42578125" style="5" bestFit="1" customWidth="1"/>
    <col min="6" max="6" width="6.140625" bestFit="1" customWidth="1"/>
    <col min="7" max="7" width="10" style="9" bestFit="1" customWidth="1"/>
    <col min="8" max="8" width="7.85546875" customWidth="1"/>
    <col min="9" max="9" width="7.85546875" bestFit="1" customWidth="1"/>
    <col min="10" max="10" width="8" bestFit="1" customWidth="1"/>
    <col min="11" max="11" width="9" style="9" bestFit="1" customWidth="1"/>
    <col min="12" max="12" width="5.28515625" bestFit="1" customWidth="1"/>
    <col min="13" max="13" width="7" bestFit="1" customWidth="1"/>
    <col min="14" max="14" width="6" bestFit="1" customWidth="1"/>
    <col min="15" max="15" width="7" style="5" bestFit="1" customWidth="1"/>
    <col min="16" max="16" width="9.5703125" style="9" customWidth="1"/>
    <col min="17" max="17" width="5.140625" bestFit="1" customWidth="1"/>
    <col min="18" max="18" width="7" bestFit="1" customWidth="1"/>
    <col min="20" max="20" width="5.85546875" bestFit="1" customWidth="1"/>
    <col min="21" max="21" width="14" bestFit="1" customWidth="1"/>
    <col min="22" max="22" width="14" customWidth="1"/>
    <col min="23" max="23" width="9" style="5" bestFit="1" customWidth="1"/>
    <col min="24" max="24" width="8" customWidth="1"/>
    <col min="25" max="25" width="9.7109375" style="11" bestFit="1" customWidth="1"/>
    <col min="27" max="27" width="10.140625" customWidth="1"/>
    <col min="28" max="28" width="6" hidden="1" customWidth="1"/>
    <col min="29" max="29" width="16.140625" hidden="1" customWidth="1"/>
  </cols>
  <sheetData>
    <row r="1" spans="1:29" s="1" customFormat="1" ht="15" customHeight="1" x14ac:dyDescent="0.2">
      <c r="A1" s="44" t="s">
        <v>0</v>
      </c>
      <c r="B1" s="44" t="s">
        <v>1</v>
      </c>
      <c r="C1" s="44" t="s">
        <v>2</v>
      </c>
      <c r="D1" s="46" t="s">
        <v>24</v>
      </c>
      <c r="E1" s="46"/>
      <c r="F1" s="46"/>
      <c r="G1" s="46"/>
      <c r="H1" s="46" t="s">
        <v>24</v>
      </c>
      <c r="I1" s="46"/>
      <c r="J1" s="46"/>
      <c r="K1" s="46"/>
      <c r="L1" s="46" t="s">
        <v>25</v>
      </c>
      <c r="M1" s="46"/>
      <c r="N1" s="46"/>
      <c r="O1" s="46"/>
      <c r="P1" s="45" t="s">
        <v>13</v>
      </c>
      <c r="Q1" s="46" t="s">
        <v>26</v>
      </c>
      <c r="R1" s="46"/>
      <c r="S1" s="46"/>
      <c r="T1" s="46"/>
      <c r="U1" s="46"/>
      <c r="V1" s="46"/>
      <c r="W1" s="46"/>
      <c r="X1" s="44" t="s">
        <v>27</v>
      </c>
      <c r="Y1" s="45" t="s">
        <v>19</v>
      </c>
      <c r="Z1" s="44" t="s">
        <v>20</v>
      </c>
      <c r="AA1" s="44" t="s">
        <v>21</v>
      </c>
      <c r="AB1" s="44" t="s">
        <v>22</v>
      </c>
      <c r="AC1" s="44" t="s">
        <v>23</v>
      </c>
    </row>
    <row r="2" spans="1:29" s="6" customFormat="1" ht="71.25" x14ac:dyDescent="0.25">
      <c r="A2" s="44"/>
      <c r="B2" s="44"/>
      <c r="C2" s="44"/>
      <c r="D2" s="3" t="s">
        <v>3</v>
      </c>
      <c r="E2" s="3" t="s">
        <v>4</v>
      </c>
      <c r="F2" s="3" t="s">
        <v>5</v>
      </c>
      <c r="G2" s="7" t="s">
        <v>6</v>
      </c>
      <c r="H2" s="3" t="s">
        <v>7</v>
      </c>
      <c r="I2" s="3" t="s">
        <v>8</v>
      </c>
      <c r="J2" s="3" t="s">
        <v>9</v>
      </c>
      <c r="K2" s="7" t="s">
        <v>6</v>
      </c>
      <c r="L2" s="3" t="s">
        <v>10</v>
      </c>
      <c r="M2" s="3" t="s">
        <v>29</v>
      </c>
      <c r="N2" s="3" t="s">
        <v>11</v>
      </c>
      <c r="O2" s="3" t="s">
        <v>12</v>
      </c>
      <c r="P2" s="45"/>
      <c r="Q2" s="3" t="s">
        <v>14</v>
      </c>
      <c r="R2" s="3" t="s">
        <v>15</v>
      </c>
      <c r="S2" s="3" t="s">
        <v>16</v>
      </c>
      <c r="T2" s="3" t="s">
        <v>17</v>
      </c>
      <c r="U2" s="3" t="s">
        <v>28</v>
      </c>
      <c r="V2" s="3" t="s">
        <v>31</v>
      </c>
      <c r="W2" s="3" t="s">
        <v>18</v>
      </c>
      <c r="X2" s="44"/>
      <c r="Y2" s="45"/>
      <c r="Z2" s="44"/>
      <c r="AA2" s="44"/>
      <c r="AB2" s="44"/>
      <c r="AC2" s="44"/>
    </row>
    <row r="3" spans="1:29" s="6" customFormat="1" hidden="1" x14ac:dyDescent="0.25">
      <c r="A3" s="3"/>
      <c r="B3" s="3"/>
      <c r="C3" s="3"/>
      <c r="D3" s="4">
        <v>26610</v>
      </c>
      <c r="E3" s="4">
        <v>0</v>
      </c>
      <c r="F3" s="2"/>
      <c r="G3" s="8">
        <f t="shared" ref="G3" si="0">SUM(D3:F3)</f>
        <v>26610</v>
      </c>
      <c r="H3" s="2">
        <f t="shared" ref="H3:H66" si="1">10%*G3</f>
        <v>2661</v>
      </c>
      <c r="I3" s="2">
        <f>400</f>
        <v>400</v>
      </c>
      <c r="J3" s="2">
        <f t="shared" ref="J3" si="2">6%*G3</f>
        <v>1596.6</v>
      </c>
      <c r="K3" s="8">
        <f t="shared" ref="K3" si="3">SUM(G3:J3)</f>
        <v>31267.599999999999</v>
      </c>
      <c r="L3" s="2">
        <v>0</v>
      </c>
      <c r="M3" s="2">
        <f>10%*D3</f>
        <v>2661</v>
      </c>
      <c r="N3" s="2"/>
      <c r="O3" s="4">
        <f>SUM(L3:N3)</f>
        <v>2661</v>
      </c>
      <c r="P3" s="8">
        <f t="shared" ref="P3" si="4">K3+O3</f>
        <v>33928.6</v>
      </c>
      <c r="Q3" s="2">
        <v>800</v>
      </c>
      <c r="R3" s="2">
        <f t="shared" ref="R3" si="5">H3*2</f>
        <v>5322</v>
      </c>
      <c r="S3" s="2">
        <v>5000</v>
      </c>
      <c r="T3" s="2"/>
      <c r="U3" s="2">
        <f t="shared" ref="U3" si="6">J3*2</f>
        <v>3193.2</v>
      </c>
      <c r="V3" s="2"/>
      <c r="W3" s="4">
        <f t="shared" ref="W3" si="7">SUM(Q3:U3)</f>
        <v>14315.2</v>
      </c>
      <c r="X3" s="2">
        <f>Y3+U3</f>
        <v>22806.6</v>
      </c>
      <c r="Y3" s="10">
        <f>P3-W3</f>
        <v>19613.399999999998</v>
      </c>
      <c r="Z3" s="2">
        <f t="shared" ref="Z3:Z66" si="8">IF(Y3*13&gt;600000,1%*Y3,0)</f>
        <v>0</v>
      </c>
      <c r="AA3" s="2">
        <f t="shared" ref="AA3" si="9">Y3-Z3</f>
        <v>19613.399999999998</v>
      </c>
      <c r="AB3" s="2"/>
      <c r="AC3" s="2"/>
    </row>
    <row r="4" spans="1:29" s="6" customFormat="1" hidden="1" x14ac:dyDescent="0.25">
      <c r="A4" s="3"/>
      <c r="B4" s="3"/>
      <c r="C4" s="3"/>
      <c r="D4" s="4"/>
      <c r="E4" s="4"/>
      <c r="F4" s="2"/>
      <c r="G4" s="8"/>
      <c r="H4" s="2"/>
      <c r="I4" s="2"/>
      <c r="J4" s="2"/>
      <c r="K4" s="8"/>
      <c r="L4" s="2"/>
      <c r="M4" s="2"/>
      <c r="N4" s="2"/>
      <c r="O4" s="4"/>
      <c r="P4" s="8"/>
      <c r="Q4" s="2"/>
      <c r="R4" s="2"/>
      <c r="S4" s="2"/>
      <c r="T4" s="2"/>
      <c r="U4" s="2"/>
      <c r="V4" s="2"/>
      <c r="W4" s="4"/>
      <c r="X4" s="2"/>
      <c r="Y4" s="10"/>
      <c r="Z4" s="2"/>
      <c r="AA4" s="2"/>
      <c r="AB4" s="2"/>
      <c r="AC4" s="2"/>
    </row>
    <row r="5" spans="1:29" s="6" customFormat="1" hidden="1" x14ac:dyDescent="0.25">
      <c r="A5" s="3"/>
      <c r="B5" s="3"/>
      <c r="C5" s="3"/>
      <c r="D5" s="4">
        <v>26610</v>
      </c>
      <c r="E5" s="4">
        <f>ROUNDUP(D5/30,0)*0</f>
        <v>0</v>
      </c>
      <c r="F5" s="2"/>
      <c r="G5" s="8">
        <f t="shared" ref="G5:G16" si="10">SUM(D5:F5)</f>
        <v>26610</v>
      </c>
      <c r="H5" s="2">
        <f t="shared" si="1"/>
        <v>2661</v>
      </c>
      <c r="I5" s="2">
        <f>400</f>
        <v>400</v>
      </c>
      <c r="J5" s="2">
        <f t="shared" ref="J5:J16" si="11">6%*G5</f>
        <v>1596.6</v>
      </c>
      <c r="K5" s="8">
        <f t="shared" ref="K5:K16" si="12">SUM(G5:J5)</f>
        <v>31267.599999999999</v>
      </c>
      <c r="L5" s="2">
        <v>0</v>
      </c>
      <c r="M5" s="2">
        <f>10%*D5</f>
        <v>2661</v>
      </c>
      <c r="N5" s="2"/>
      <c r="O5" s="4">
        <f t="shared" ref="O5:O16" si="13">SUM(L5:N5)</f>
        <v>2661</v>
      </c>
      <c r="P5" s="8">
        <f t="shared" ref="P5:P16" si="14">K5+O5</f>
        <v>33928.6</v>
      </c>
      <c r="Q5" s="2">
        <v>800</v>
      </c>
      <c r="R5" s="2">
        <f t="shared" ref="R5:R16" si="15">H5*2</f>
        <v>5322</v>
      </c>
      <c r="S5" s="2">
        <v>5000</v>
      </c>
      <c r="T5" s="2"/>
      <c r="U5" s="2">
        <f t="shared" ref="U5:U16" si="16">J5*2</f>
        <v>3193.2</v>
      </c>
      <c r="V5" s="2"/>
      <c r="W5" s="4">
        <f t="shared" ref="W5:W16" si="17">SUM(Q5:U5)</f>
        <v>14315.2</v>
      </c>
      <c r="X5" s="2">
        <f t="shared" ref="X5:X16" si="18">Y5+U5</f>
        <v>22806.6</v>
      </c>
      <c r="Y5" s="10">
        <f t="shared" ref="Y5:Y16" si="19">P5-W5</f>
        <v>19613.399999999998</v>
      </c>
      <c r="Z5" s="2">
        <f t="shared" si="8"/>
        <v>0</v>
      </c>
      <c r="AA5" s="2">
        <f t="shared" ref="AA5:AA16" si="20">Y5-Z5</f>
        <v>19613.399999999998</v>
      </c>
      <c r="AB5" s="2"/>
      <c r="AC5" s="2"/>
    </row>
    <row r="6" spans="1:29" s="6" customFormat="1" hidden="1" x14ac:dyDescent="0.25">
      <c r="A6" s="3"/>
      <c r="B6" s="3"/>
      <c r="C6" s="3"/>
      <c r="D6" s="4">
        <v>26610</v>
      </c>
      <c r="E6" s="4">
        <f t="shared" ref="E6:E15" si="21">ROUNDUP(D6/30,0)*0</f>
        <v>0</v>
      </c>
      <c r="F6" s="2"/>
      <c r="G6" s="8">
        <f t="shared" si="10"/>
        <v>26610</v>
      </c>
      <c r="H6" s="2">
        <f t="shared" si="1"/>
        <v>2661</v>
      </c>
      <c r="I6" s="2">
        <f>400</f>
        <v>400</v>
      </c>
      <c r="J6" s="2">
        <f t="shared" si="11"/>
        <v>1596.6</v>
      </c>
      <c r="K6" s="8">
        <f t="shared" si="12"/>
        <v>31267.599999999999</v>
      </c>
      <c r="L6" s="2">
        <v>0</v>
      </c>
      <c r="M6" s="2">
        <f>10%*D6</f>
        <v>2661</v>
      </c>
      <c r="N6" s="2"/>
      <c r="O6" s="4">
        <f t="shared" si="13"/>
        <v>2661</v>
      </c>
      <c r="P6" s="8">
        <f t="shared" si="14"/>
        <v>33928.6</v>
      </c>
      <c r="Q6" s="2">
        <v>800</v>
      </c>
      <c r="R6" s="2">
        <f t="shared" si="15"/>
        <v>5322</v>
      </c>
      <c r="S6" s="2">
        <v>5000</v>
      </c>
      <c r="T6" s="2"/>
      <c r="U6" s="2">
        <f t="shared" si="16"/>
        <v>3193.2</v>
      </c>
      <c r="V6" s="2"/>
      <c r="W6" s="4">
        <f t="shared" si="17"/>
        <v>14315.2</v>
      </c>
      <c r="X6" s="2">
        <f t="shared" si="18"/>
        <v>22806.6</v>
      </c>
      <c r="Y6" s="10">
        <f t="shared" si="19"/>
        <v>19613.399999999998</v>
      </c>
      <c r="Z6" s="2">
        <f t="shared" si="8"/>
        <v>0</v>
      </c>
      <c r="AA6" s="2">
        <f t="shared" si="20"/>
        <v>19613.399999999998</v>
      </c>
      <c r="AB6" s="2"/>
      <c r="AC6" s="2"/>
    </row>
    <row r="7" spans="1:29" s="6" customFormat="1" hidden="1" x14ac:dyDescent="0.25">
      <c r="A7" s="3"/>
      <c r="B7" s="3"/>
      <c r="C7" s="3"/>
      <c r="D7" s="4">
        <v>26610</v>
      </c>
      <c r="E7" s="4">
        <f t="shared" si="21"/>
        <v>0</v>
      </c>
      <c r="F7" s="2"/>
      <c r="G7" s="8">
        <f t="shared" si="10"/>
        <v>26610</v>
      </c>
      <c r="H7" s="2">
        <f t="shared" si="1"/>
        <v>2661</v>
      </c>
      <c r="I7" s="2">
        <f>400</f>
        <v>400</v>
      </c>
      <c r="J7" s="2">
        <f t="shared" si="11"/>
        <v>1596.6</v>
      </c>
      <c r="K7" s="8">
        <f t="shared" si="12"/>
        <v>31267.599999999999</v>
      </c>
      <c r="L7" s="2">
        <v>0</v>
      </c>
      <c r="M7" s="2">
        <f>10%*D7+D7</f>
        <v>29271</v>
      </c>
      <c r="N7" s="2"/>
      <c r="O7" s="4">
        <f t="shared" si="13"/>
        <v>29271</v>
      </c>
      <c r="P7" s="8">
        <f t="shared" si="14"/>
        <v>60538.6</v>
      </c>
      <c r="Q7" s="2">
        <v>800</v>
      </c>
      <c r="R7" s="2">
        <f t="shared" si="15"/>
        <v>5322</v>
      </c>
      <c r="S7" s="2">
        <v>5000</v>
      </c>
      <c r="T7" s="2"/>
      <c r="U7" s="2">
        <f t="shared" si="16"/>
        <v>3193.2</v>
      </c>
      <c r="V7" s="2"/>
      <c r="W7" s="4">
        <f t="shared" si="17"/>
        <v>14315.2</v>
      </c>
      <c r="X7" s="2">
        <f t="shared" si="18"/>
        <v>49416.599999999991</v>
      </c>
      <c r="Y7" s="10">
        <f t="shared" si="19"/>
        <v>46223.399999999994</v>
      </c>
      <c r="Z7" s="2"/>
      <c r="AA7" s="2">
        <f t="shared" si="20"/>
        <v>46223.399999999994</v>
      </c>
      <c r="AB7" s="2"/>
      <c r="AC7" s="2"/>
    </row>
    <row r="8" spans="1:29" s="6" customFormat="1" hidden="1" x14ac:dyDescent="0.25">
      <c r="A8" s="3"/>
      <c r="B8" s="3"/>
      <c r="C8" s="3"/>
      <c r="D8" s="4">
        <v>26610</v>
      </c>
      <c r="E8" s="4">
        <f t="shared" si="21"/>
        <v>0</v>
      </c>
      <c r="F8" s="2"/>
      <c r="G8" s="8">
        <f t="shared" si="10"/>
        <v>26610</v>
      </c>
      <c r="H8" s="2">
        <f t="shared" si="1"/>
        <v>2661</v>
      </c>
      <c r="I8" s="2">
        <f>400</f>
        <v>400</v>
      </c>
      <c r="J8" s="2">
        <f t="shared" si="11"/>
        <v>1596.6</v>
      </c>
      <c r="K8" s="8">
        <f t="shared" si="12"/>
        <v>31267.599999999999</v>
      </c>
      <c r="L8" s="2">
        <v>0</v>
      </c>
      <c r="M8" s="2">
        <f t="shared" ref="M8:M16" si="22">10%*D8</f>
        <v>2661</v>
      </c>
      <c r="N8" s="2"/>
      <c r="O8" s="4">
        <f t="shared" si="13"/>
        <v>2661</v>
      </c>
      <c r="P8" s="8">
        <f t="shared" si="14"/>
        <v>33928.6</v>
      </c>
      <c r="Q8" s="2">
        <v>800</v>
      </c>
      <c r="R8" s="2">
        <f t="shared" si="15"/>
        <v>5322</v>
      </c>
      <c r="S8" s="2">
        <v>5000</v>
      </c>
      <c r="T8" s="2"/>
      <c r="U8" s="2">
        <f t="shared" si="16"/>
        <v>3193.2</v>
      </c>
      <c r="V8" s="2"/>
      <c r="W8" s="4">
        <f t="shared" si="17"/>
        <v>14315.2</v>
      </c>
      <c r="X8" s="2">
        <f t="shared" si="18"/>
        <v>22806.6</v>
      </c>
      <c r="Y8" s="10">
        <f t="shared" si="19"/>
        <v>19613.399999999998</v>
      </c>
      <c r="Z8" s="2">
        <f t="shared" si="8"/>
        <v>0</v>
      </c>
      <c r="AA8" s="2">
        <f t="shared" si="20"/>
        <v>19613.399999999998</v>
      </c>
      <c r="AB8" s="2"/>
      <c r="AC8" s="2"/>
    </row>
    <row r="9" spans="1:29" s="6" customFormat="1" hidden="1" x14ac:dyDescent="0.25">
      <c r="A9" s="3"/>
      <c r="B9" s="3"/>
      <c r="C9" s="3"/>
      <c r="D9" s="4">
        <v>26610</v>
      </c>
      <c r="E9" s="4">
        <f t="shared" si="21"/>
        <v>0</v>
      </c>
      <c r="F9" s="2"/>
      <c r="G9" s="8">
        <f t="shared" si="10"/>
        <v>26610</v>
      </c>
      <c r="H9" s="2">
        <f t="shared" si="1"/>
        <v>2661</v>
      </c>
      <c r="I9" s="2">
        <f>400</f>
        <v>400</v>
      </c>
      <c r="J9" s="2">
        <f t="shared" si="11"/>
        <v>1596.6</v>
      </c>
      <c r="K9" s="8">
        <f t="shared" si="12"/>
        <v>31267.599999999999</v>
      </c>
      <c r="L9" s="2">
        <v>0</v>
      </c>
      <c r="M9" s="2">
        <f t="shared" si="22"/>
        <v>2661</v>
      </c>
      <c r="N9" s="2"/>
      <c r="O9" s="4">
        <f t="shared" si="13"/>
        <v>2661</v>
      </c>
      <c r="P9" s="8">
        <f t="shared" si="14"/>
        <v>33928.6</v>
      </c>
      <c r="Q9" s="2">
        <v>800</v>
      </c>
      <c r="R9" s="2">
        <f t="shared" si="15"/>
        <v>5322</v>
      </c>
      <c r="S9" s="2">
        <v>5000</v>
      </c>
      <c r="T9" s="2"/>
      <c r="U9" s="2">
        <f t="shared" si="16"/>
        <v>3193.2</v>
      </c>
      <c r="V9" s="2"/>
      <c r="W9" s="4">
        <f t="shared" si="17"/>
        <v>14315.2</v>
      </c>
      <c r="X9" s="2">
        <f t="shared" si="18"/>
        <v>22806.6</v>
      </c>
      <c r="Y9" s="10">
        <f t="shared" si="19"/>
        <v>19613.399999999998</v>
      </c>
      <c r="Z9" s="2">
        <f t="shared" si="8"/>
        <v>0</v>
      </c>
      <c r="AA9" s="2">
        <f t="shared" si="20"/>
        <v>19613.399999999998</v>
      </c>
      <c r="AB9" s="2"/>
      <c r="AC9" s="2"/>
    </row>
    <row r="10" spans="1:29" s="6" customFormat="1" hidden="1" x14ac:dyDescent="0.25">
      <c r="A10" s="3"/>
      <c r="B10" s="3"/>
      <c r="C10" s="3"/>
      <c r="D10" s="4">
        <v>26610</v>
      </c>
      <c r="E10" s="4">
        <f t="shared" si="21"/>
        <v>0</v>
      </c>
      <c r="F10" s="2"/>
      <c r="G10" s="8">
        <f t="shared" si="10"/>
        <v>26610</v>
      </c>
      <c r="H10" s="2">
        <f t="shared" si="1"/>
        <v>2661</v>
      </c>
      <c r="I10" s="2">
        <f>400</f>
        <v>400</v>
      </c>
      <c r="J10" s="2">
        <f t="shared" si="11"/>
        <v>1596.6</v>
      </c>
      <c r="K10" s="8">
        <f t="shared" si="12"/>
        <v>31267.599999999999</v>
      </c>
      <c r="L10" s="2">
        <v>0</v>
      </c>
      <c r="M10" s="2">
        <f t="shared" si="22"/>
        <v>2661</v>
      </c>
      <c r="N10" s="2"/>
      <c r="O10" s="4">
        <f t="shared" si="13"/>
        <v>2661</v>
      </c>
      <c r="P10" s="8">
        <f t="shared" si="14"/>
        <v>33928.6</v>
      </c>
      <c r="Q10" s="2">
        <v>800</v>
      </c>
      <c r="R10" s="2">
        <f t="shared" si="15"/>
        <v>5322</v>
      </c>
      <c r="S10" s="2">
        <v>5000</v>
      </c>
      <c r="T10" s="2"/>
      <c r="U10" s="2">
        <f t="shared" si="16"/>
        <v>3193.2</v>
      </c>
      <c r="V10" s="2"/>
      <c r="W10" s="4">
        <f t="shared" si="17"/>
        <v>14315.2</v>
      </c>
      <c r="X10" s="2">
        <f t="shared" si="18"/>
        <v>22806.6</v>
      </c>
      <c r="Y10" s="10">
        <f t="shared" si="19"/>
        <v>19613.399999999998</v>
      </c>
      <c r="Z10" s="2">
        <f t="shared" si="8"/>
        <v>0</v>
      </c>
      <c r="AA10" s="2">
        <f t="shared" si="20"/>
        <v>19613.399999999998</v>
      </c>
      <c r="AB10" s="2"/>
      <c r="AC10" s="2"/>
    </row>
    <row r="11" spans="1:29" s="6" customFormat="1" hidden="1" x14ac:dyDescent="0.25">
      <c r="A11" s="3"/>
      <c r="B11" s="3"/>
      <c r="C11" s="3"/>
      <c r="D11" s="4">
        <v>26610</v>
      </c>
      <c r="E11" s="4">
        <f t="shared" si="21"/>
        <v>0</v>
      </c>
      <c r="F11" s="2"/>
      <c r="G11" s="8">
        <f t="shared" si="10"/>
        <v>26610</v>
      </c>
      <c r="H11" s="2">
        <f t="shared" si="1"/>
        <v>2661</v>
      </c>
      <c r="I11" s="2">
        <f>400</f>
        <v>400</v>
      </c>
      <c r="J11" s="2">
        <f t="shared" si="11"/>
        <v>1596.6</v>
      </c>
      <c r="K11" s="8">
        <f t="shared" si="12"/>
        <v>31267.599999999999</v>
      </c>
      <c r="L11" s="2">
        <v>0</v>
      </c>
      <c r="M11" s="2">
        <f t="shared" si="22"/>
        <v>2661</v>
      </c>
      <c r="N11" s="2"/>
      <c r="O11" s="4">
        <f t="shared" si="13"/>
        <v>2661</v>
      </c>
      <c r="P11" s="8">
        <f t="shared" si="14"/>
        <v>33928.6</v>
      </c>
      <c r="Q11" s="2">
        <v>800</v>
      </c>
      <c r="R11" s="2">
        <f t="shared" si="15"/>
        <v>5322</v>
      </c>
      <c r="S11" s="2">
        <v>5000</v>
      </c>
      <c r="T11" s="2"/>
      <c r="U11" s="2">
        <f t="shared" si="16"/>
        <v>3193.2</v>
      </c>
      <c r="V11" s="2"/>
      <c r="W11" s="4">
        <f t="shared" si="17"/>
        <v>14315.2</v>
      </c>
      <c r="X11" s="2">
        <f t="shared" si="18"/>
        <v>22806.6</v>
      </c>
      <c r="Y11" s="10">
        <f t="shared" si="19"/>
        <v>19613.399999999998</v>
      </c>
      <c r="Z11" s="2">
        <f t="shared" si="8"/>
        <v>0</v>
      </c>
      <c r="AA11" s="2">
        <f t="shared" si="20"/>
        <v>19613.399999999998</v>
      </c>
      <c r="AB11" s="2"/>
      <c r="AC11" s="2"/>
    </row>
    <row r="12" spans="1:29" s="6" customFormat="1" hidden="1" x14ac:dyDescent="0.25">
      <c r="A12" s="3"/>
      <c r="B12" s="3"/>
      <c r="C12" s="3"/>
      <c r="D12" s="4">
        <v>26610</v>
      </c>
      <c r="E12" s="4">
        <f t="shared" si="21"/>
        <v>0</v>
      </c>
      <c r="F12" s="2"/>
      <c r="G12" s="8">
        <f t="shared" si="10"/>
        <v>26610</v>
      </c>
      <c r="H12" s="2">
        <f t="shared" si="1"/>
        <v>2661</v>
      </c>
      <c r="I12" s="2">
        <f>400</f>
        <v>400</v>
      </c>
      <c r="J12" s="2">
        <f t="shared" si="11"/>
        <v>1596.6</v>
      </c>
      <c r="K12" s="8">
        <f t="shared" si="12"/>
        <v>31267.599999999999</v>
      </c>
      <c r="L12" s="2">
        <v>0</v>
      </c>
      <c r="M12" s="2">
        <f t="shared" si="22"/>
        <v>2661</v>
      </c>
      <c r="N12" s="2"/>
      <c r="O12" s="4">
        <f t="shared" si="13"/>
        <v>2661</v>
      </c>
      <c r="P12" s="8">
        <f t="shared" si="14"/>
        <v>33928.6</v>
      </c>
      <c r="Q12" s="2">
        <v>800</v>
      </c>
      <c r="R12" s="2">
        <f t="shared" si="15"/>
        <v>5322</v>
      </c>
      <c r="S12" s="2">
        <v>5000</v>
      </c>
      <c r="T12" s="2"/>
      <c r="U12" s="2">
        <f t="shared" si="16"/>
        <v>3193.2</v>
      </c>
      <c r="V12" s="2"/>
      <c r="W12" s="4">
        <f t="shared" si="17"/>
        <v>14315.2</v>
      </c>
      <c r="X12" s="2">
        <f t="shared" si="18"/>
        <v>22806.6</v>
      </c>
      <c r="Y12" s="10">
        <f t="shared" si="19"/>
        <v>19613.399999999998</v>
      </c>
      <c r="Z12" s="2">
        <f t="shared" si="8"/>
        <v>0</v>
      </c>
      <c r="AA12" s="2">
        <f t="shared" si="20"/>
        <v>19613.399999999998</v>
      </c>
      <c r="AB12" s="2"/>
      <c r="AC12" s="2"/>
    </row>
    <row r="13" spans="1:29" s="6" customFormat="1" hidden="1" x14ac:dyDescent="0.25">
      <c r="A13" s="3"/>
      <c r="B13" s="3"/>
      <c r="C13" s="3"/>
      <c r="D13" s="4">
        <v>26610</v>
      </c>
      <c r="E13" s="4">
        <f t="shared" si="21"/>
        <v>0</v>
      </c>
      <c r="F13" s="2"/>
      <c r="G13" s="8">
        <f t="shared" si="10"/>
        <v>26610</v>
      </c>
      <c r="H13" s="2">
        <f t="shared" si="1"/>
        <v>2661</v>
      </c>
      <c r="I13" s="2">
        <f>400</f>
        <v>400</v>
      </c>
      <c r="J13" s="2">
        <f t="shared" si="11"/>
        <v>1596.6</v>
      </c>
      <c r="K13" s="8">
        <f t="shared" si="12"/>
        <v>31267.599999999999</v>
      </c>
      <c r="L13" s="2">
        <v>0</v>
      </c>
      <c r="M13" s="2">
        <f t="shared" si="22"/>
        <v>2661</v>
      </c>
      <c r="N13" s="2">
        <v>10000</v>
      </c>
      <c r="O13" s="4">
        <f t="shared" si="13"/>
        <v>12661</v>
      </c>
      <c r="P13" s="8">
        <f t="shared" si="14"/>
        <v>43928.6</v>
      </c>
      <c r="Q13" s="2">
        <v>800</v>
      </c>
      <c r="R13" s="2">
        <f t="shared" si="15"/>
        <v>5322</v>
      </c>
      <c r="S13" s="2">
        <v>5000</v>
      </c>
      <c r="T13" s="2"/>
      <c r="U13" s="2">
        <f t="shared" si="16"/>
        <v>3193.2</v>
      </c>
      <c r="V13" s="2"/>
      <c r="W13" s="4">
        <f t="shared" si="17"/>
        <v>14315.2</v>
      </c>
      <c r="X13" s="2">
        <f t="shared" si="18"/>
        <v>32806.6</v>
      </c>
      <c r="Y13" s="10">
        <f t="shared" si="19"/>
        <v>29613.399999999998</v>
      </c>
      <c r="Z13" s="2">
        <f t="shared" si="8"/>
        <v>0</v>
      </c>
      <c r="AA13" s="2">
        <f t="shared" si="20"/>
        <v>29613.399999999998</v>
      </c>
      <c r="AB13" s="2"/>
      <c r="AC13" s="2"/>
    </row>
    <row r="14" spans="1:29" s="6" customFormat="1" hidden="1" x14ac:dyDescent="0.25">
      <c r="A14" s="3"/>
      <c r="B14" s="3"/>
      <c r="C14" s="3"/>
      <c r="D14" s="4">
        <v>26610</v>
      </c>
      <c r="E14" s="4">
        <f t="shared" si="21"/>
        <v>0</v>
      </c>
      <c r="F14" s="2"/>
      <c r="G14" s="8">
        <f t="shared" si="10"/>
        <v>26610</v>
      </c>
      <c r="H14" s="2">
        <f t="shared" si="1"/>
        <v>2661</v>
      </c>
      <c r="I14" s="2">
        <f>400</f>
        <v>400</v>
      </c>
      <c r="J14" s="2">
        <f t="shared" si="11"/>
        <v>1596.6</v>
      </c>
      <c r="K14" s="8">
        <f t="shared" si="12"/>
        <v>31267.599999999999</v>
      </c>
      <c r="L14" s="2">
        <v>0</v>
      </c>
      <c r="M14" s="2">
        <f t="shared" si="22"/>
        <v>2661</v>
      </c>
      <c r="N14" s="2"/>
      <c r="O14" s="4">
        <f t="shared" si="13"/>
        <v>2661</v>
      </c>
      <c r="P14" s="8">
        <f t="shared" si="14"/>
        <v>33928.6</v>
      </c>
      <c r="Q14" s="2">
        <v>800</v>
      </c>
      <c r="R14" s="2">
        <f t="shared" si="15"/>
        <v>5322</v>
      </c>
      <c r="S14" s="2">
        <v>5000</v>
      </c>
      <c r="T14" s="2"/>
      <c r="U14" s="2">
        <f t="shared" si="16"/>
        <v>3193.2</v>
      </c>
      <c r="V14" s="2"/>
      <c r="W14" s="4">
        <f t="shared" si="17"/>
        <v>14315.2</v>
      </c>
      <c r="X14" s="2">
        <f t="shared" si="18"/>
        <v>22806.6</v>
      </c>
      <c r="Y14" s="10">
        <f t="shared" si="19"/>
        <v>19613.399999999998</v>
      </c>
      <c r="Z14" s="2">
        <f t="shared" si="8"/>
        <v>0</v>
      </c>
      <c r="AA14" s="2">
        <f t="shared" si="20"/>
        <v>19613.399999999998</v>
      </c>
      <c r="AB14" s="2"/>
      <c r="AC14" s="2"/>
    </row>
    <row r="15" spans="1:29" s="6" customFormat="1" hidden="1" x14ac:dyDescent="0.25">
      <c r="A15" s="3"/>
      <c r="B15" s="3"/>
      <c r="C15" s="3"/>
      <c r="D15" s="4">
        <v>26610</v>
      </c>
      <c r="E15" s="4">
        <f t="shared" si="21"/>
        <v>0</v>
      </c>
      <c r="F15" s="2"/>
      <c r="G15" s="8">
        <f t="shared" si="10"/>
        <v>26610</v>
      </c>
      <c r="H15" s="2">
        <f t="shared" si="1"/>
        <v>2661</v>
      </c>
      <c r="I15" s="2">
        <f>400</f>
        <v>400</v>
      </c>
      <c r="J15" s="2">
        <f t="shared" si="11"/>
        <v>1596.6</v>
      </c>
      <c r="K15" s="8">
        <f t="shared" si="12"/>
        <v>31267.599999999999</v>
      </c>
      <c r="L15" s="2">
        <v>0</v>
      </c>
      <c r="M15" s="2">
        <f t="shared" si="22"/>
        <v>2661</v>
      </c>
      <c r="N15" s="2"/>
      <c r="O15" s="4">
        <f t="shared" si="13"/>
        <v>2661</v>
      </c>
      <c r="P15" s="8">
        <f t="shared" si="14"/>
        <v>33928.6</v>
      </c>
      <c r="Q15" s="2">
        <v>800</v>
      </c>
      <c r="R15" s="2">
        <f t="shared" si="15"/>
        <v>5322</v>
      </c>
      <c r="S15" s="2">
        <v>5000</v>
      </c>
      <c r="T15" s="2"/>
      <c r="U15" s="2">
        <f t="shared" si="16"/>
        <v>3193.2</v>
      </c>
      <c r="V15" s="2"/>
      <c r="W15" s="4">
        <f t="shared" si="17"/>
        <v>14315.2</v>
      </c>
      <c r="X15" s="2">
        <f t="shared" si="18"/>
        <v>22806.6</v>
      </c>
      <c r="Y15" s="10">
        <f t="shared" si="19"/>
        <v>19613.399999999998</v>
      </c>
      <c r="Z15" s="2">
        <f t="shared" si="8"/>
        <v>0</v>
      </c>
      <c r="AA15" s="2">
        <f t="shared" si="20"/>
        <v>19613.399999999998</v>
      </c>
      <c r="AB15" s="2"/>
      <c r="AC15" s="2"/>
    </row>
    <row r="16" spans="1:29" s="6" customFormat="1" hidden="1" x14ac:dyDescent="0.25">
      <c r="A16" s="3"/>
      <c r="B16" s="3"/>
      <c r="C16" s="3"/>
      <c r="D16" s="4">
        <v>26610</v>
      </c>
      <c r="E16" s="4">
        <f t="shared" ref="E16" si="23">ROUNDUP(D16/30,0)</f>
        <v>887</v>
      </c>
      <c r="F16" s="2"/>
      <c r="G16" s="8">
        <f t="shared" si="10"/>
        <v>27497</v>
      </c>
      <c r="H16" s="2">
        <f t="shared" si="1"/>
        <v>2749.7000000000003</v>
      </c>
      <c r="I16" s="2">
        <f>400</f>
        <v>400</v>
      </c>
      <c r="J16" s="2">
        <f t="shared" si="11"/>
        <v>1649.82</v>
      </c>
      <c r="K16" s="8">
        <f t="shared" si="12"/>
        <v>32296.52</v>
      </c>
      <c r="L16" s="2">
        <v>0</v>
      </c>
      <c r="M16" s="2">
        <f t="shared" si="22"/>
        <v>2661</v>
      </c>
      <c r="N16" s="2"/>
      <c r="O16" s="4">
        <f t="shared" si="13"/>
        <v>2661</v>
      </c>
      <c r="P16" s="8">
        <f t="shared" si="14"/>
        <v>34957.520000000004</v>
      </c>
      <c r="Q16" s="2">
        <v>800</v>
      </c>
      <c r="R16" s="2">
        <f t="shared" si="15"/>
        <v>5499.4000000000005</v>
      </c>
      <c r="S16" s="2">
        <v>5000</v>
      </c>
      <c r="T16" s="2"/>
      <c r="U16" s="2">
        <f t="shared" si="16"/>
        <v>3299.64</v>
      </c>
      <c r="V16" s="2"/>
      <c r="W16" s="4">
        <f t="shared" si="17"/>
        <v>14599.04</v>
      </c>
      <c r="X16" s="2">
        <f t="shared" si="18"/>
        <v>23658.120000000003</v>
      </c>
      <c r="Y16" s="10">
        <f t="shared" si="19"/>
        <v>20358.480000000003</v>
      </c>
      <c r="Z16" s="2">
        <f t="shared" si="8"/>
        <v>0</v>
      </c>
      <c r="AA16" s="2">
        <f t="shared" si="20"/>
        <v>20358.480000000003</v>
      </c>
      <c r="AB16" s="2"/>
      <c r="AC16" s="2"/>
    </row>
    <row r="17" spans="1:29" s="6" customFormat="1" hidden="1" x14ac:dyDescent="0.25">
      <c r="A17" s="3"/>
      <c r="B17" s="3"/>
      <c r="C17" s="3"/>
      <c r="D17" s="4"/>
      <c r="E17" s="4"/>
      <c r="F17" s="2"/>
      <c r="G17" s="8"/>
      <c r="H17" s="2"/>
      <c r="I17" s="2"/>
      <c r="J17" s="2"/>
      <c r="K17" s="8"/>
      <c r="L17" s="2"/>
      <c r="M17" s="2"/>
      <c r="N17" s="2"/>
      <c r="O17" s="4"/>
      <c r="P17" s="8"/>
      <c r="Q17" s="2"/>
      <c r="R17" s="2"/>
      <c r="S17" s="2"/>
      <c r="T17" s="2"/>
      <c r="U17" s="2"/>
      <c r="V17" s="2"/>
      <c r="W17" s="4"/>
      <c r="X17" s="2"/>
      <c r="Y17" s="10"/>
      <c r="Z17" s="2"/>
      <c r="AA17" s="2"/>
      <c r="AB17" s="2"/>
      <c r="AC17" s="2"/>
    </row>
    <row r="18" spans="1:29" s="6" customFormat="1" hidden="1" x14ac:dyDescent="0.25">
      <c r="A18" s="3"/>
      <c r="B18" s="3"/>
      <c r="C18" s="3"/>
      <c r="D18" s="4">
        <v>28610</v>
      </c>
      <c r="E18" s="4">
        <f>ROUNDUP(D18/30,0)*1</f>
        <v>954</v>
      </c>
      <c r="F18" s="2"/>
      <c r="G18" s="8">
        <f t="shared" ref="G18:G29" si="24">SUM(D18:F18)</f>
        <v>29564</v>
      </c>
      <c r="H18" s="2">
        <f t="shared" si="1"/>
        <v>2956.4</v>
      </c>
      <c r="I18" s="2">
        <f>400</f>
        <v>400</v>
      </c>
      <c r="J18" s="2">
        <f t="shared" ref="J18:J29" si="25">6%*G18</f>
        <v>1773.84</v>
      </c>
      <c r="K18" s="8">
        <f t="shared" ref="K18:K29" si="26">SUM(G18:J18)</f>
        <v>34694.239999999998</v>
      </c>
      <c r="L18" s="2">
        <v>0</v>
      </c>
      <c r="M18" s="2">
        <f>10%*D18</f>
        <v>2861</v>
      </c>
      <c r="N18" s="2"/>
      <c r="O18" s="4">
        <f t="shared" ref="O18:O29" si="27">SUM(L18:N18)</f>
        <v>2861</v>
      </c>
      <c r="P18" s="8">
        <f t="shared" ref="P18:P29" si="28">K18+O18</f>
        <v>37555.24</v>
      </c>
      <c r="Q18" s="2">
        <v>800</v>
      </c>
      <c r="R18" s="2">
        <f t="shared" ref="R18:R29" si="29">H18*2</f>
        <v>5912.8</v>
      </c>
      <c r="S18" s="2">
        <v>5000</v>
      </c>
      <c r="T18" s="2"/>
      <c r="U18" s="2">
        <f t="shared" ref="U18:U29" si="30">J18*2</f>
        <v>3547.68</v>
      </c>
      <c r="V18" s="2"/>
      <c r="W18" s="4">
        <f t="shared" ref="W18:W29" si="31">SUM(Q18:U18)</f>
        <v>15260.48</v>
      </c>
      <c r="X18" s="2">
        <f t="shared" ref="X18:X29" si="32">Y18+U18</f>
        <v>25842.44</v>
      </c>
      <c r="Y18" s="10">
        <f t="shared" ref="Y18:Y29" si="33">P18-W18</f>
        <v>22294.76</v>
      </c>
      <c r="Z18" s="2">
        <f t="shared" si="8"/>
        <v>0</v>
      </c>
      <c r="AA18" s="2">
        <f t="shared" ref="AA18:AA29" si="34">Y18-Z18</f>
        <v>22294.76</v>
      </c>
      <c r="AB18" s="2"/>
      <c r="AC18" s="2"/>
    </row>
    <row r="19" spans="1:29" s="6" customFormat="1" hidden="1" x14ac:dyDescent="0.25">
      <c r="A19" s="3"/>
      <c r="B19" s="3"/>
      <c r="C19" s="3"/>
      <c r="D19" s="4">
        <v>28610</v>
      </c>
      <c r="E19" s="4">
        <f t="shared" ref="E19:E28" si="35">ROUNDUP(D19/30,0)*1</f>
        <v>954</v>
      </c>
      <c r="F19" s="2"/>
      <c r="G19" s="8">
        <f t="shared" si="24"/>
        <v>29564</v>
      </c>
      <c r="H19" s="2">
        <f t="shared" si="1"/>
        <v>2956.4</v>
      </c>
      <c r="I19" s="2">
        <f>400</f>
        <v>400</v>
      </c>
      <c r="J19" s="2">
        <f t="shared" si="25"/>
        <v>1773.84</v>
      </c>
      <c r="K19" s="8">
        <f t="shared" si="26"/>
        <v>34694.239999999998</v>
      </c>
      <c r="L19" s="2">
        <v>0</v>
      </c>
      <c r="M19" s="2">
        <f>10%*D19</f>
        <v>2861</v>
      </c>
      <c r="N19" s="2"/>
      <c r="O19" s="4">
        <f t="shared" si="27"/>
        <v>2861</v>
      </c>
      <c r="P19" s="8">
        <f t="shared" si="28"/>
        <v>37555.24</v>
      </c>
      <c r="Q19" s="2">
        <v>800</v>
      </c>
      <c r="R19" s="2">
        <f t="shared" si="29"/>
        <v>5912.8</v>
      </c>
      <c r="S19" s="2">
        <v>5000</v>
      </c>
      <c r="T19" s="2"/>
      <c r="U19" s="2">
        <f t="shared" si="30"/>
        <v>3547.68</v>
      </c>
      <c r="V19" s="2"/>
      <c r="W19" s="4">
        <f t="shared" si="31"/>
        <v>15260.48</v>
      </c>
      <c r="X19" s="2">
        <f t="shared" si="32"/>
        <v>25842.44</v>
      </c>
      <c r="Y19" s="10">
        <f t="shared" si="33"/>
        <v>22294.76</v>
      </c>
      <c r="Z19" s="2">
        <f t="shared" si="8"/>
        <v>0</v>
      </c>
      <c r="AA19" s="2">
        <f t="shared" si="34"/>
        <v>22294.76</v>
      </c>
      <c r="AB19" s="2"/>
      <c r="AC19" s="2"/>
    </row>
    <row r="20" spans="1:29" s="6" customFormat="1" hidden="1" x14ac:dyDescent="0.25">
      <c r="A20" s="3"/>
      <c r="B20" s="3"/>
      <c r="C20" s="3"/>
      <c r="D20" s="4">
        <v>28610</v>
      </c>
      <c r="E20" s="4">
        <f t="shared" si="35"/>
        <v>954</v>
      </c>
      <c r="F20" s="2"/>
      <c r="G20" s="8">
        <f t="shared" si="24"/>
        <v>29564</v>
      </c>
      <c r="H20" s="2">
        <f t="shared" si="1"/>
        <v>2956.4</v>
      </c>
      <c r="I20" s="2">
        <f>400</f>
        <v>400</v>
      </c>
      <c r="J20" s="2">
        <f t="shared" si="25"/>
        <v>1773.84</v>
      </c>
      <c r="K20" s="8">
        <f t="shared" si="26"/>
        <v>34694.239999999998</v>
      </c>
      <c r="L20" s="2">
        <v>0</v>
      </c>
      <c r="M20" s="2">
        <f>10%*D20+D20</f>
        <v>31471</v>
      </c>
      <c r="N20" s="2"/>
      <c r="O20" s="4">
        <f t="shared" si="27"/>
        <v>31471</v>
      </c>
      <c r="P20" s="8">
        <f t="shared" si="28"/>
        <v>66165.239999999991</v>
      </c>
      <c r="Q20" s="2">
        <v>800</v>
      </c>
      <c r="R20" s="2">
        <f t="shared" si="29"/>
        <v>5912.8</v>
      </c>
      <c r="S20" s="2">
        <v>5000</v>
      </c>
      <c r="T20" s="2"/>
      <c r="U20" s="2">
        <f t="shared" si="30"/>
        <v>3547.68</v>
      </c>
      <c r="V20" s="2"/>
      <c r="W20" s="4">
        <f t="shared" si="31"/>
        <v>15260.48</v>
      </c>
      <c r="X20" s="2">
        <f t="shared" si="32"/>
        <v>54452.439999999995</v>
      </c>
      <c r="Y20" s="10">
        <f t="shared" si="33"/>
        <v>50904.759999999995</v>
      </c>
      <c r="Z20" s="2"/>
      <c r="AA20" s="2">
        <f t="shared" si="34"/>
        <v>50904.759999999995</v>
      </c>
      <c r="AB20" s="2"/>
      <c r="AC20" s="2"/>
    </row>
    <row r="21" spans="1:29" s="6" customFormat="1" hidden="1" x14ac:dyDescent="0.25">
      <c r="A21" s="3"/>
      <c r="B21" s="3"/>
      <c r="C21" s="3"/>
      <c r="D21" s="4">
        <v>28610</v>
      </c>
      <c r="E21" s="4">
        <f t="shared" si="35"/>
        <v>954</v>
      </c>
      <c r="F21" s="2"/>
      <c r="G21" s="8">
        <f t="shared" si="24"/>
        <v>29564</v>
      </c>
      <c r="H21" s="2">
        <f t="shared" si="1"/>
        <v>2956.4</v>
      </c>
      <c r="I21" s="2">
        <f>400</f>
        <v>400</v>
      </c>
      <c r="J21" s="2">
        <f t="shared" si="25"/>
        <v>1773.84</v>
      </c>
      <c r="K21" s="8">
        <f t="shared" si="26"/>
        <v>34694.239999999998</v>
      </c>
      <c r="L21" s="2">
        <v>0</v>
      </c>
      <c r="M21" s="2">
        <f t="shared" ref="M21:M29" si="36">10%*D21</f>
        <v>2861</v>
      </c>
      <c r="N21" s="2"/>
      <c r="O21" s="4">
        <f t="shared" si="27"/>
        <v>2861</v>
      </c>
      <c r="P21" s="8">
        <f t="shared" si="28"/>
        <v>37555.24</v>
      </c>
      <c r="Q21" s="2">
        <v>800</v>
      </c>
      <c r="R21" s="2">
        <f t="shared" si="29"/>
        <v>5912.8</v>
      </c>
      <c r="S21" s="2">
        <v>5000</v>
      </c>
      <c r="T21" s="2"/>
      <c r="U21" s="2">
        <f t="shared" si="30"/>
        <v>3547.68</v>
      </c>
      <c r="V21" s="2"/>
      <c r="W21" s="4">
        <f t="shared" si="31"/>
        <v>15260.48</v>
      </c>
      <c r="X21" s="2">
        <f t="shared" si="32"/>
        <v>25842.44</v>
      </c>
      <c r="Y21" s="10">
        <f t="shared" si="33"/>
        <v>22294.76</v>
      </c>
      <c r="Z21" s="2">
        <f t="shared" si="8"/>
        <v>0</v>
      </c>
      <c r="AA21" s="2">
        <f t="shared" si="34"/>
        <v>22294.76</v>
      </c>
      <c r="AB21" s="2"/>
      <c r="AC21" s="2"/>
    </row>
    <row r="22" spans="1:29" s="6" customFormat="1" hidden="1" x14ac:dyDescent="0.25">
      <c r="A22" s="3"/>
      <c r="B22" s="3"/>
      <c r="C22" s="3"/>
      <c r="D22" s="4">
        <v>28610</v>
      </c>
      <c r="E22" s="4">
        <f t="shared" si="35"/>
        <v>954</v>
      </c>
      <c r="F22" s="2"/>
      <c r="G22" s="8">
        <f t="shared" si="24"/>
        <v>29564</v>
      </c>
      <c r="H22" s="2">
        <f t="shared" si="1"/>
        <v>2956.4</v>
      </c>
      <c r="I22" s="2">
        <f>400</f>
        <v>400</v>
      </c>
      <c r="J22" s="2">
        <f t="shared" si="25"/>
        <v>1773.84</v>
      </c>
      <c r="K22" s="8">
        <f t="shared" si="26"/>
        <v>34694.239999999998</v>
      </c>
      <c r="L22" s="2">
        <v>0</v>
      </c>
      <c r="M22" s="2">
        <f t="shared" si="36"/>
        <v>2861</v>
      </c>
      <c r="N22" s="2"/>
      <c r="O22" s="4">
        <f t="shared" si="27"/>
        <v>2861</v>
      </c>
      <c r="P22" s="8">
        <f t="shared" si="28"/>
        <v>37555.24</v>
      </c>
      <c r="Q22" s="2">
        <v>800</v>
      </c>
      <c r="R22" s="2">
        <f t="shared" si="29"/>
        <v>5912.8</v>
      </c>
      <c r="S22" s="2">
        <v>5000</v>
      </c>
      <c r="T22" s="2"/>
      <c r="U22" s="2">
        <f t="shared" si="30"/>
        <v>3547.68</v>
      </c>
      <c r="V22" s="2"/>
      <c r="W22" s="4">
        <f t="shared" si="31"/>
        <v>15260.48</v>
      </c>
      <c r="X22" s="2">
        <f t="shared" si="32"/>
        <v>25842.44</v>
      </c>
      <c r="Y22" s="10">
        <f t="shared" si="33"/>
        <v>22294.76</v>
      </c>
      <c r="Z22" s="2">
        <f t="shared" si="8"/>
        <v>0</v>
      </c>
      <c r="AA22" s="2">
        <f t="shared" si="34"/>
        <v>22294.76</v>
      </c>
      <c r="AB22" s="2"/>
      <c r="AC22" s="2"/>
    </row>
    <row r="23" spans="1:29" s="6" customFormat="1" hidden="1" x14ac:dyDescent="0.25">
      <c r="A23" s="3"/>
      <c r="B23" s="3"/>
      <c r="C23" s="3"/>
      <c r="D23" s="4">
        <v>28610</v>
      </c>
      <c r="E23" s="4">
        <f t="shared" si="35"/>
        <v>954</v>
      </c>
      <c r="F23" s="2"/>
      <c r="G23" s="8">
        <f t="shared" si="24"/>
        <v>29564</v>
      </c>
      <c r="H23" s="2">
        <f t="shared" si="1"/>
        <v>2956.4</v>
      </c>
      <c r="I23" s="2">
        <f>400</f>
        <v>400</v>
      </c>
      <c r="J23" s="2">
        <f t="shared" si="25"/>
        <v>1773.84</v>
      </c>
      <c r="K23" s="8">
        <f t="shared" si="26"/>
        <v>34694.239999999998</v>
      </c>
      <c r="L23" s="2">
        <v>0</v>
      </c>
      <c r="M23" s="2">
        <f t="shared" si="36"/>
        <v>2861</v>
      </c>
      <c r="N23" s="2"/>
      <c r="O23" s="4">
        <f t="shared" si="27"/>
        <v>2861</v>
      </c>
      <c r="P23" s="8">
        <f t="shared" si="28"/>
        <v>37555.24</v>
      </c>
      <c r="Q23" s="2">
        <v>800</v>
      </c>
      <c r="R23" s="2">
        <f t="shared" si="29"/>
        <v>5912.8</v>
      </c>
      <c r="S23" s="2">
        <v>5000</v>
      </c>
      <c r="T23" s="2"/>
      <c r="U23" s="2">
        <f t="shared" si="30"/>
        <v>3547.68</v>
      </c>
      <c r="V23" s="2"/>
      <c r="W23" s="4">
        <f t="shared" si="31"/>
        <v>15260.48</v>
      </c>
      <c r="X23" s="2">
        <f t="shared" si="32"/>
        <v>25842.44</v>
      </c>
      <c r="Y23" s="10">
        <f t="shared" si="33"/>
        <v>22294.76</v>
      </c>
      <c r="Z23" s="2">
        <f t="shared" si="8"/>
        <v>0</v>
      </c>
      <c r="AA23" s="2">
        <f t="shared" si="34"/>
        <v>22294.76</v>
      </c>
      <c r="AB23" s="2"/>
      <c r="AC23" s="2"/>
    </row>
    <row r="24" spans="1:29" s="6" customFormat="1" hidden="1" x14ac:dyDescent="0.25">
      <c r="A24" s="3"/>
      <c r="B24" s="3"/>
      <c r="C24" s="3"/>
      <c r="D24" s="4">
        <v>28610</v>
      </c>
      <c r="E24" s="4">
        <f t="shared" si="35"/>
        <v>954</v>
      </c>
      <c r="F24" s="2"/>
      <c r="G24" s="8">
        <f t="shared" si="24"/>
        <v>29564</v>
      </c>
      <c r="H24" s="2">
        <f t="shared" si="1"/>
        <v>2956.4</v>
      </c>
      <c r="I24" s="2">
        <f>400</f>
        <v>400</v>
      </c>
      <c r="J24" s="2">
        <f t="shared" si="25"/>
        <v>1773.84</v>
      </c>
      <c r="K24" s="8">
        <f t="shared" si="26"/>
        <v>34694.239999999998</v>
      </c>
      <c r="L24" s="2">
        <v>0</v>
      </c>
      <c r="M24" s="2">
        <f t="shared" si="36"/>
        <v>2861</v>
      </c>
      <c r="N24" s="2"/>
      <c r="O24" s="4">
        <f t="shared" si="27"/>
        <v>2861</v>
      </c>
      <c r="P24" s="8">
        <f t="shared" si="28"/>
        <v>37555.24</v>
      </c>
      <c r="Q24" s="2">
        <v>800</v>
      </c>
      <c r="R24" s="2">
        <f t="shared" si="29"/>
        <v>5912.8</v>
      </c>
      <c r="S24" s="2">
        <v>5000</v>
      </c>
      <c r="T24" s="2"/>
      <c r="U24" s="2">
        <f t="shared" si="30"/>
        <v>3547.68</v>
      </c>
      <c r="V24" s="2"/>
      <c r="W24" s="4">
        <f t="shared" si="31"/>
        <v>15260.48</v>
      </c>
      <c r="X24" s="2">
        <f t="shared" si="32"/>
        <v>25842.44</v>
      </c>
      <c r="Y24" s="10">
        <f t="shared" si="33"/>
        <v>22294.76</v>
      </c>
      <c r="Z24" s="2">
        <f t="shared" si="8"/>
        <v>0</v>
      </c>
      <c r="AA24" s="2">
        <f t="shared" si="34"/>
        <v>22294.76</v>
      </c>
      <c r="AB24" s="2"/>
      <c r="AC24" s="2"/>
    </row>
    <row r="25" spans="1:29" s="6" customFormat="1" hidden="1" x14ac:dyDescent="0.25">
      <c r="A25" s="3"/>
      <c r="B25" s="3"/>
      <c r="C25" s="3"/>
      <c r="D25" s="4">
        <v>28610</v>
      </c>
      <c r="E25" s="4">
        <f t="shared" si="35"/>
        <v>954</v>
      </c>
      <c r="F25" s="2"/>
      <c r="G25" s="8">
        <f t="shared" si="24"/>
        <v>29564</v>
      </c>
      <c r="H25" s="2">
        <f t="shared" si="1"/>
        <v>2956.4</v>
      </c>
      <c r="I25" s="2">
        <f>400</f>
        <v>400</v>
      </c>
      <c r="J25" s="2">
        <f t="shared" si="25"/>
        <v>1773.84</v>
      </c>
      <c r="K25" s="8">
        <f t="shared" si="26"/>
        <v>34694.239999999998</v>
      </c>
      <c r="L25" s="2">
        <v>0</v>
      </c>
      <c r="M25" s="2">
        <f t="shared" si="36"/>
        <v>2861</v>
      </c>
      <c r="N25" s="2"/>
      <c r="O25" s="4">
        <f t="shared" si="27"/>
        <v>2861</v>
      </c>
      <c r="P25" s="8">
        <f t="shared" si="28"/>
        <v>37555.24</v>
      </c>
      <c r="Q25" s="2">
        <v>800</v>
      </c>
      <c r="R25" s="2">
        <f t="shared" si="29"/>
        <v>5912.8</v>
      </c>
      <c r="S25" s="2">
        <v>5000</v>
      </c>
      <c r="T25" s="2"/>
      <c r="U25" s="2">
        <f t="shared" si="30"/>
        <v>3547.68</v>
      </c>
      <c r="V25" s="2"/>
      <c r="W25" s="4">
        <f t="shared" si="31"/>
        <v>15260.48</v>
      </c>
      <c r="X25" s="2">
        <f t="shared" si="32"/>
        <v>25842.44</v>
      </c>
      <c r="Y25" s="10">
        <f t="shared" si="33"/>
        <v>22294.76</v>
      </c>
      <c r="Z25" s="2">
        <f t="shared" si="8"/>
        <v>0</v>
      </c>
      <c r="AA25" s="2">
        <f t="shared" si="34"/>
        <v>22294.76</v>
      </c>
      <c r="AB25" s="2"/>
      <c r="AC25" s="2"/>
    </row>
    <row r="26" spans="1:29" s="6" customFormat="1" hidden="1" x14ac:dyDescent="0.25">
      <c r="A26" s="3"/>
      <c r="B26" s="3"/>
      <c r="C26" s="3"/>
      <c r="D26" s="4">
        <v>28610</v>
      </c>
      <c r="E26" s="4">
        <f t="shared" si="35"/>
        <v>954</v>
      </c>
      <c r="F26" s="2"/>
      <c r="G26" s="8">
        <f t="shared" si="24"/>
        <v>29564</v>
      </c>
      <c r="H26" s="2">
        <f t="shared" si="1"/>
        <v>2956.4</v>
      </c>
      <c r="I26" s="2">
        <f>400</f>
        <v>400</v>
      </c>
      <c r="J26" s="2">
        <f t="shared" si="25"/>
        <v>1773.84</v>
      </c>
      <c r="K26" s="8">
        <f t="shared" si="26"/>
        <v>34694.239999999998</v>
      </c>
      <c r="L26" s="2">
        <v>0</v>
      </c>
      <c r="M26" s="2">
        <f t="shared" si="36"/>
        <v>2861</v>
      </c>
      <c r="N26" s="2">
        <v>10000</v>
      </c>
      <c r="O26" s="4">
        <f t="shared" si="27"/>
        <v>12861</v>
      </c>
      <c r="P26" s="8">
        <f t="shared" si="28"/>
        <v>47555.24</v>
      </c>
      <c r="Q26" s="2">
        <v>800</v>
      </c>
      <c r="R26" s="2">
        <f t="shared" si="29"/>
        <v>5912.8</v>
      </c>
      <c r="S26" s="2">
        <v>5000</v>
      </c>
      <c r="T26" s="2"/>
      <c r="U26" s="2">
        <f t="shared" si="30"/>
        <v>3547.68</v>
      </c>
      <c r="V26" s="2"/>
      <c r="W26" s="4">
        <f t="shared" si="31"/>
        <v>15260.48</v>
      </c>
      <c r="X26" s="2">
        <f t="shared" si="32"/>
        <v>35842.439999999995</v>
      </c>
      <c r="Y26" s="10">
        <f t="shared" si="33"/>
        <v>32294.76</v>
      </c>
      <c r="Z26" s="2">
        <f t="shared" si="8"/>
        <v>0</v>
      </c>
      <c r="AA26" s="2">
        <f t="shared" si="34"/>
        <v>32294.76</v>
      </c>
      <c r="AB26" s="2"/>
      <c r="AC26" s="2"/>
    </row>
    <row r="27" spans="1:29" s="6" customFormat="1" hidden="1" x14ac:dyDescent="0.25">
      <c r="A27" s="3"/>
      <c r="B27" s="3"/>
      <c r="C27" s="3"/>
      <c r="D27" s="4">
        <v>28610</v>
      </c>
      <c r="E27" s="4">
        <f t="shared" si="35"/>
        <v>954</v>
      </c>
      <c r="F27" s="2"/>
      <c r="G27" s="8">
        <f t="shared" si="24"/>
        <v>29564</v>
      </c>
      <c r="H27" s="2">
        <f t="shared" si="1"/>
        <v>2956.4</v>
      </c>
      <c r="I27" s="2">
        <f>400</f>
        <v>400</v>
      </c>
      <c r="J27" s="2">
        <f t="shared" si="25"/>
        <v>1773.84</v>
      </c>
      <c r="K27" s="8">
        <f t="shared" si="26"/>
        <v>34694.239999999998</v>
      </c>
      <c r="L27" s="2">
        <v>0</v>
      </c>
      <c r="M27" s="2">
        <f t="shared" si="36"/>
        <v>2861</v>
      </c>
      <c r="N27" s="2"/>
      <c r="O27" s="4">
        <f t="shared" si="27"/>
        <v>2861</v>
      </c>
      <c r="P27" s="8">
        <f t="shared" si="28"/>
        <v>37555.24</v>
      </c>
      <c r="Q27" s="2">
        <v>800</v>
      </c>
      <c r="R27" s="2">
        <f t="shared" si="29"/>
        <v>5912.8</v>
      </c>
      <c r="S27" s="2">
        <v>5000</v>
      </c>
      <c r="T27" s="2"/>
      <c r="U27" s="2">
        <f t="shared" si="30"/>
        <v>3547.68</v>
      </c>
      <c r="V27" s="2"/>
      <c r="W27" s="4">
        <f t="shared" si="31"/>
        <v>15260.48</v>
      </c>
      <c r="X27" s="2">
        <f t="shared" si="32"/>
        <v>25842.44</v>
      </c>
      <c r="Y27" s="10">
        <f t="shared" si="33"/>
        <v>22294.76</v>
      </c>
      <c r="Z27" s="2">
        <f t="shared" si="8"/>
        <v>0</v>
      </c>
      <c r="AA27" s="2">
        <f t="shared" si="34"/>
        <v>22294.76</v>
      </c>
      <c r="AB27" s="2"/>
      <c r="AC27" s="2"/>
    </row>
    <row r="28" spans="1:29" s="6" customFormat="1" hidden="1" x14ac:dyDescent="0.25">
      <c r="A28" s="3"/>
      <c r="B28" s="3"/>
      <c r="C28" s="3"/>
      <c r="D28" s="4">
        <v>28610</v>
      </c>
      <c r="E28" s="4">
        <f t="shared" si="35"/>
        <v>954</v>
      </c>
      <c r="F28" s="2"/>
      <c r="G28" s="8">
        <f t="shared" si="24"/>
        <v>29564</v>
      </c>
      <c r="H28" s="2">
        <f t="shared" si="1"/>
        <v>2956.4</v>
      </c>
      <c r="I28" s="2">
        <f>400</f>
        <v>400</v>
      </c>
      <c r="J28" s="2">
        <f t="shared" si="25"/>
        <v>1773.84</v>
      </c>
      <c r="K28" s="8">
        <f t="shared" si="26"/>
        <v>34694.239999999998</v>
      </c>
      <c r="L28" s="2">
        <v>0</v>
      </c>
      <c r="M28" s="2">
        <f t="shared" si="36"/>
        <v>2861</v>
      </c>
      <c r="N28" s="2"/>
      <c r="O28" s="4">
        <f t="shared" si="27"/>
        <v>2861</v>
      </c>
      <c r="P28" s="8">
        <f t="shared" si="28"/>
        <v>37555.24</v>
      </c>
      <c r="Q28" s="2">
        <v>800</v>
      </c>
      <c r="R28" s="2">
        <f t="shared" si="29"/>
        <v>5912.8</v>
      </c>
      <c r="S28" s="2">
        <v>5000</v>
      </c>
      <c r="T28" s="2"/>
      <c r="U28" s="2">
        <f t="shared" si="30"/>
        <v>3547.68</v>
      </c>
      <c r="V28" s="2"/>
      <c r="W28" s="4">
        <f t="shared" si="31"/>
        <v>15260.48</v>
      </c>
      <c r="X28" s="2">
        <f t="shared" si="32"/>
        <v>25842.44</v>
      </c>
      <c r="Y28" s="10">
        <f t="shared" si="33"/>
        <v>22294.76</v>
      </c>
      <c r="Z28" s="2">
        <f t="shared" si="8"/>
        <v>0</v>
      </c>
      <c r="AA28" s="2">
        <f t="shared" si="34"/>
        <v>22294.76</v>
      </c>
      <c r="AB28" s="2"/>
      <c r="AC28" s="2"/>
    </row>
    <row r="29" spans="1:29" s="6" customFormat="1" hidden="1" x14ac:dyDescent="0.25">
      <c r="A29" s="3"/>
      <c r="B29" s="3"/>
      <c r="C29" s="3"/>
      <c r="D29" s="4">
        <v>28610</v>
      </c>
      <c r="E29" s="4">
        <f>ROUNDUP(D29/30,0)*2</f>
        <v>1908</v>
      </c>
      <c r="F29" s="2"/>
      <c r="G29" s="8">
        <f t="shared" si="24"/>
        <v>30518</v>
      </c>
      <c r="H29" s="2">
        <f t="shared" si="1"/>
        <v>3051.8</v>
      </c>
      <c r="I29" s="2">
        <f>400</f>
        <v>400</v>
      </c>
      <c r="J29" s="2">
        <f t="shared" si="25"/>
        <v>1831.08</v>
      </c>
      <c r="K29" s="8">
        <f t="shared" si="26"/>
        <v>35800.880000000005</v>
      </c>
      <c r="L29" s="2">
        <v>0</v>
      </c>
      <c r="M29" s="2">
        <f t="shared" si="36"/>
        <v>2861</v>
      </c>
      <c r="N29" s="2"/>
      <c r="O29" s="4">
        <f t="shared" si="27"/>
        <v>2861</v>
      </c>
      <c r="P29" s="8">
        <f t="shared" si="28"/>
        <v>38661.880000000005</v>
      </c>
      <c r="Q29" s="2">
        <v>800</v>
      </c>
      <c r="R29" s="2">
        <f t="shared" si="29"/>
        <v>6103.6</v>
      </c>
      <c r="S29" s="2">
        <v>5000</v>
      </c>
      <c r="T29" s="2"/>
      <c r="U29" s="2">
        <f t="shared" si="30"/>
        <v>3662.16</v>
      </c>
      <c r="V29" s="2"/>
      <c r="W29" s="4">
        <f t="shared" si="31"/>
        <v>15565.76</v>
      </c>
      <c r="X29" s="2">
        <f t="shared" si="32"/>
        <v>26758.280000000002</v>
      </c>
      <c r="Y29" s="10">
        <f t="shared" si="33"/>
        <v>23096.120000000003</v>
      </c>
      <c r="Z29" s="2">
        <f t="shared" si="8"/>
        <v>0</v>
      </c>
      <c r="AA29" s="2">
        <f t="shared" si="34"/>
        <v>23096.120000000003</v>
      </c>
      <c r="AB29" s="2"/>
      <c r="AC29" s="2"/>
    </row>
    <row r="30" spans="1:29" s="6" customFormat="1" hidden="1" x14ac:dyDescent="0.25">
      <c r="A30" s="3"/>
      <c r="B30" s="3"/>
      <c r="C30" s="3"/>
      <c r="D30" s="4"/>
      <c r="E30" s="4"/>
      <c r="F30" s="2"/>
      <c r="G30" s="8"/>
      <c r="H30" s="2"/>
      <c r="I30" s="2"/>
      <c r="J30" s="2"/>
      <c r="K30" s="8"/>
      <c r="L30" s="2"/>
      <c r="M30" s="2"/>
      <c r="N30" s="2"/>
      <c r="O30" s="4"/>
      <c r="P30" s="8"/>
      <c r="Q30" s="2"/>
      <c r="R30" s="2"/>
      <c r="S30" s="2"/>
      <c r="T30" s="2"/>
      <c r="U30" s="2"/>
      <c r="V30" s="2"/>
      <c r="W30" s="4"/>
      <c r="X30" s="2"/>
      <c r="Y30" s="10"/>
      <c r="Z30" s="2"/>
      <c r="AA30" s="2"/>
      <c r="AB30" s="2"/>
      <c r="AC30" s="2"/>
    </row>
    <row r="31" spans="1:29" s="6" customFormat="1" hidden="1" x14ac:dyDescent="0.25">
      <c r="A31" s="3"/>
      <c r="B31" s="3"/>
      <c r="C31" s="3"/>
      <c r="D31" s="4">
        <v>32902</v>
      </c>
      <c r="E31" s="4">
        <f>ROUNDUP(D31/30,0)*2</f>
        <v>2194</v>
      </c>
      <c r="F31" s="2"/>
      <c r="G31" s="8">
        <f t="shared" ref="G31:G42" si="37">SUM(D31:F31)</f>
        <v>35096</v>
      </c>
      <c r="H31" s="2">
        <f t="shared" si="1"/>
        <v>3509.6000000000004</v>
      </c>
      <c r="I31" s="2">
        <f>400</f>
        <v>400</v>
      </c>
      <c r="J31" s="2">
        <f t="shared" ref="J31:J42" si="38">6%*G31</f>
        <v>2105.7599999999998</v>
      </c>
      <c r="K31" s="8">
        <f t="shared" ref="K31:K42" si="39">SUM(G31:J31)</f>
        <v>41111.360000000001</v>
      </c>
      <c r="L31" s="2">
        <v>0</v>
      </c>
      <c r="M31" s="2">
        <f>10%*D31</f>
        <v>3290.2000000000003</v>
      </c>
      <c r="N31" s="2"/>
      <c r="O31" s="4">
        <f t="shared" ref="O31:O42" si="40">SUM(L31:N31)</f>
        <v>3290.2000000000003</v>
      </c>
      <c r="P31" s="8">
        <f t="shared" ref="P31:P42" si="41">K31+O31</f>
        <v>44401.56</v>
      </c>
      <c r="Q31" s="2">
        <v>800</v>
      </c>
      <c r="R31" s="2">
        <f t="shared" ref="R31:R42" si="42">H31*2</f>
        <v>7019.2000000000007</v>
      </c>
      <c r="S31" s="2">
        <v>5000</v>
      </c>
      <c r="T31" s="2"/>
      <c r="U31" s="2">
        <f t="shared" ref="U31:U42" si="43">J31*2</f>
        <v>4211.5199999999995</v>
      </c>
      <c r="V31" s="2"/>
      <c r="W31" s="4">
        <f t="shared" ref="W31:W42" si="44">SUM(Q31:U31)</f>
        <v>17030.72</v>
      </c>
      <c r="X31" s="2">
        <f t="shared" ref="X31:X42" si="45">Y31+U31</f>
        <v>31582.359999999997</v>
      </c>
      <c r="Y31" s="10">
        <f t="shared" ref="Y31:Y42" si="46">P31-W31</f>
        <v>27370.839999999997</v>
      </c>
      <c r="Z31" s="2">
        <f t="shared" si="8"/>
        <v>0</v>
      </c>
      <c r="AA31" s="2">
        <f t="shared" ref="AA31:AA42" si="47">Y31-Z31</f>
        <v>27370.839999999997</v>
      </c>
      <c r="AB31" s="2"/>
      <c r="AC31" s="2"/>
    </row>
    <row r="32" spans="1:29" s="6" customFormat="1" hidden="1" x14ac:dyDescent="0.25">
      <c r="A32" s="3"/>
      <c r="B32" s="3"/>
      <c r="C32" s="3"/>
      <c r="D32" s="4">
        <v>32902</v>
      </c>
      <c r="E32" s="4">
        <f t="shared" ref="E32:E41" si="48">ROUNDUP(D32/30,0)*2</f>
        <v>2194</v>
      </c>
      <c r="F32" s="2"/>
      <c r="G32" s="8">
        <f t="shared" si="37"/>
        <v>35096</v>
      </c>
      <c r="H32" s="2">
        <f t="shared" si="1"/>
        <v>3509.6000000000004</v>
      </c>
      <c r="I32" s="2">
        <f>400</f>
        <v>400</v>
      </c>
      <c r="J32" s="2">
        <f t="shared" si="38"/>
        <v>2105.7599999999998</v>
      </c>
      <c r="K32" s="8">
        <f t="shared" si="39"/>
        <v>41111.360000000001</v>
      </c>
      <c r="L32" s="2">
        <v>0</v>
      </c>
      <c r="M32" s="2">
        <f>10%*D32</f>
        <v>3290.2000000000003</v>
      </c>
      <c r="N32" s="2"/>
      <c r="O32" s="4">
        <f t="shared" si="40"/>
        <v>3290.2000000000003</v>
      </c>
      <c r="P32" s="8">
        <f t="shared" si="41"/>
        <v>44401.56</v>
      </c>
      <c r="Q32" s="2">
        <v>800</v>
      </c>
      <c r="R32" s="2">
        <f t="shared" si="42"/>
        <v>7019.2000000000007</v>
      </c>
      <c r="S32" s="2">
        <v>5000</v>
      </c>
      <c r="T32" s="2"/>
      <c r="U32" s="2">
        <f t="shared" si="43"/>
        <v>4211.5199999999995</v>
      </c>
      <c r="V32" s="2"/>
      <c r="W32" s="4">
        <f t="shared" si="44"/>
        <v>17030.72</v>
      </c>
      <c r="X32" s="2">
        <f t="shared" si="45"/>
        <v>31582.359999999997</v>
      </c>
      <c r="Y32" s="10">
        <f t="shared" si="46"/>
        <v>27370.839999999997</v>
      </c>
      <c r="Z32" s="2">
        <f t="shared" si="8"/>
        <v>0</v>
      </c>
      <c r="AA32" s="2">
        <f t="shared" si="47"/>
        <v>27370.839999999997</v>
      </c>
      <c r="AB32" s="2"/>
      <c r="AC32" s="2"/>
    </row>
    <row r="33" spans="1:29" s="6" customFormat="1" hidden="1" x14ac:dyDescent="0.25">
      <c r="A33" s="3"/>
      <c r="B33" s="3"/>
      <c r="C33" s="3"/>
      <c r="D33" s="4">
        <v>32902</v>
      </c>
      <c r="E33" s="4">
        <f t="shared" si="48"/>
        <v>2194</v>
      </c>
      <c r="F33" s="2"/>
      <c r="G33" s="8">
        <f t="shared" si="37"/>
        <v>35096</v>
      </c>
      <c r="H33" s="2">
        <f t="shared" si="1"/>
        <v>3509.6000000000004</v>
      </c>
      <c r="I33" s="2">
        <f>400</f>
        <v>400</v>
      </c>
      <c r="J33" s="2">
        <f t="shared" si="38"/>
        <v>2105.7599999999998</v>
      </c>
      <c r="K33" s="8">
        <f t="shared" si="39"/>
        <v>41111.360000000001</v>
      </c>
      <c r="L33" s="2">
        <v>0</v>
      </c>
      <c r="M33" s="2">
        <f>10%*D33+D33</f>
        <v>36192.199999999997</v>
      </c>
      <c r="N33" s="2"/>
      <c r="O33" s="4">
        <f t="shared" si="40"/>
        <v>36192.199999999997</v>
      </c>
      <c r="P33" s="8">
        <f t="shared" si="41"/>
        <v>77303.56</v>
      </c>
      <c r="Q33" s="2">
        <v>800</v>
      </c>
      <c r="R33" s="2">
        <f t="shared" si="42"/>
        <v>7019.2000000000007</v>
      </c>
      <c r="S33" s="2">
        <v>5000</v>
      </c>
      <c r="T33" s="2"/>
      <c r="U33" s="2">
        <f t="shared" si="43"/>
        <v>4211.5199999999995</v>
      </c>
      <c r="V33" s="2"/>
      <c r="W33" s="4">
        <f t="shared" si="44"/>
        <v>17030.72</v>
      </c>
      <c r="X33" s="2">
        <f t="shared" si="45"/>
        <v>64484.359999999993</v>
      </c>
      <c r="Y33" s="10">
        <f t="shared" si="46"/>
        <v>60272.84</v>
      </c>
      <c r="Z33" s="2"/>
      <c r="AA33" s="2">
        <f t="shared" si="47"/>
        <v>60272.84</v>
      </c>
      <c r="AB33" s="2"/>
      <c r="AC33" s="2"/>
    </row>
    <row r="34" spans="1:29" s="6" customFormat="1" hidden="1" x14ac:dyDescent="0.25">
      <c r="A34" s="3"/>
      <c r="B34" s="3"/>
      <c r="C34" s="3"/>
      <c r="D34" s="4">
        <v>32902</v>
      </c>
      <c r="E34" s="4">
        <f t="shared" si="48"/>
        <v>2194</v>
      </c>
      <c r="F34" s="2"/>
      <c r="G34" s="8">
        <f t="shared" si="37"/>
        <v>35096</v>
      </c>
      <c r="H34" s="2">
        <f t="shared" si="1"/>
        <v>3509.6000000000004</v>
      </c>
      <c r="I34" s="2">
        <f>400</f>
        <v>400</v>
      </c>
      <c r="J34" s="2">
        <f t="shared" si="38"/>
        <v>2105.7599999999998</v>
      </c>
      <c r="K34" s="8">
        <f t="shared" si="39"/>
        <v>41111.360000000001</v>
      </c>
      <c r="L34" s="2">
        <v>0</v>
      </c>
      <c r="M34" s="2">
        <f t="shared" ref="M34:M42" si="49">10%*D34</f>
        <v>3290.2000000000003</v>
      </c>
      <c r="N34" s="2"/>
      <c r="O34" s="4">
        <f t="shared" si="40"/>
        <v>3290.2000000000003</v>
      </c>
      <c r="P34" s="8">
        <f t="shared" si="41"/>
        <v>44401.56</v>
      </c>
      <c r="Q34" s="2">
        <v>800</v>
      </c>
      <c r="R34" s="2">
        <f t="shared" si="42"/>
        <v>7019.2000000000007</v>
      </c>
      <c r="S34" s="2">
        <v>5000</v>
      </c>
      <c r="T34" s="2"/>
      <c r="U34" s="2">
        <f t="shared" si="43"/>
        <v>4211.5199999999995</v>
      </c>
      <c r="V34" s="2"/>
      <c r="W34" s="4">
        <f t="shared" si="44"/>
        <v>17030.72</v>
      </c>
      <c r="X34" s="2">
        <f t="shared" si="45"/>
        <v>31582.359999999997</v>
      </c>
      <c r="Y34" s="10">
        <f t="shared" si="46"/>
        <v>27370.839999999997</v>
      </c>
      <c r="Z34" s="2">
        <f t="shared" si="8"/>
        <v>0</v>
      </c>
      <c r="AA34" s="2">
        <f t="shared" si="47"/>
        <v>27370.839999999997</v>
      </c>
      <c r="AB34" s="2"/>
      <c r="AC34" s="2"/>
    </row>
    <row r="35" spans="1:29" s="6" customFormat="1" hidden="1" x14ac:dyDescent="0.25">
      <c r="A35" s="3"/>
      <c r="B35" s="3"/>
      <c r="C35" s="3"/>
      <c r="D35" s="4">
        <v>32902</v>
      </c>
      <c r="E35" s="4">
        <f t="shared" si="48"/>
        <v>2194</v>
      </c>
      <c r="F35" s="2"/>
      <c r="G35" s="8">
        <f t="shared" si="37"/>
        <v>35096</v>
      </c>
      <c r="H35" s="2">
        <f t="shared" si="1"/>
        <v>3509.6000000000004</v>
      </c>
      <c r="I35" s="2">
        <f>400</f>
        <v>400</v>
      </c>
      <c r="J35" s="2">
        <f t="shared" si="38"/>
        <v>2105.7599999999998</v>
      </c>
      <c r="K35" s="8">
        <f t="shared" si="39"/>
        <v>41111.360000000001</v>
      </c>
      <c r="L35" s="2">
        <v>0</v>
      </c>
      <c r="M35" s="2">
        <f t="shared" si="49"/>
        <v>3290.2000000000003</v>
      </c>
      <c r="N35" s="2"/>
      <c r="O35" s="4">
        <f t="shared" si="40"/>
        <v>3290.2000000000003</v>
      </c>
      <c r="P35" s="8">
        <f t="shared" si="41"/>
        <v>44401.56</v>
      </c>
      <c r="Q35" s="2">
        <v>800</v>
      </c>
      <c r="R35" s="2">
        <f t="shared" si="42"/>
        <v>7019.2000000000007</v>
      </c>
      <c r="S35" s="2">
        <v>5000</v>
      </c>
      <c r="T35" s="2"/>
      <c r="U35" s="2">
        <f t="shared" si="43"/>
        <v>4211.5199999999995</v>
      </c>
      <c r="V35" s="2"/>
      <c r="W35" s="4">
        <f t="shared" si="44"/>
        <v>17030.72</v>
      </c>
      <c r="X35" s="2">
        <f t="shared" si="45"/>
        <v>31582.359999999997</v>
      </c>
      <c r="Y35" s="10">
        <f t="shared" si="46"/>
        <v>27370.839999999997</v>
      </c>
      <c r="Z35" s="2">
        <f t="shared" si="8"/>
        <v>0</v>
      </c>
      <c r="AA35" s="2">
        <f t="shared" si="47"/>
        <v>27370.839999999997</v>
      </c>
      <c r="AB35" s="2"/>
      <c r="AC35" s="2"/>
    </row>
    <row r="36" spans="1:29" s="6" customFormat="1" hidden="1" x14ac:dyDescent="0.25">
      <c r="A36" s="3"/>
      <c r="B36" s="3"/>
      <c r="C36" s="3"/>
      <c r="D36" s="4">
        <v>32902</v>
      </c>
      <c r="E36" s="4">
        <f t="shared" si="48"/>
        <v>2194</v>
      </c>
      <c r="F36" s="2"/>
      <c r="G36" s="8">
        <f t="shared" si="37"/>
        <v>35096</v>
      </c>
      <c r="H36" s="2">
        <f t="shared" si="1"/>
        <v>3509.6000000000004</v>
      </c>
      <c r="I36" s="2">
        <f>400</f>
        <v>400</v>
      </c>
      <c r="J36" s="2">
        <f t="shared" si="38"/>
        <v>2105.7599999999998</v>
      </c>
      <c r="K36" s="8">
        <f t="shared" si="39"/>
        <v>41111.360000000001</v>
      </c>
      <c r="L36" s="2">
        <v>0</v>
      </c>
      <c r="M36" s="2">
        <f t="shared" si="49"/>
        <v>3290.2000000000003</v>
      </c>
      <c r="N36" s="2"/>
      <c r="O36" s="4">
        <f t="shared" si="40"/>
        <v>3290.2000000000003</v>
      </c>
      <c r="P36" s="8">
        <f t="shared" si="41"/>
        <v>44401.56</v>
      </c>
      <c r="Q36" s="2">
        <v>800</v>
      </c>
      <c r="R36" s="2">
        <f t="shared" si="42"/>
        <v>7019.2000000000007</v>
      </c>
      <c r="S36" s="2">
        <v>5000</v>
      </c>
      <c r="T36" s="2"/>
      <c r="U36" s="2">
        <f t="shared" si="43"/>
        <v>4211.5199999999995</v>
      </c>
      <c r="V36" s="2"/>
      <c r="W36" s="4">
        <f t="shared" si="44"/>
        <v>17030.72</v>
      </c>
      <c r="X36" s="2">
        <f t="shared" si="45"/>
        <v>31582.359999999997</v>
      </c>
      <c r="Y36" s="10">
        <f t="shared" si="46"/>
        <v>27370.839999999997</v>
      </c>
      <c r="Z36" s="2">
        <f t="shared" si="8"/>
        <v>0</v>
      </c>
      <c r="AA36" s="2">
        <f t="shared" si="47"/>
        <v>27370.839999999997</v>
      </c>
      <c r="AB36" s="2"/>
      <c r="AC36" s="2"/>
    </row>
    <row r="37" spans="1:29" s="6" customFormat="1" hidden="1" x14ac:dyDescent="0.25">
      <c r="A37" s="3"/>
      <c r="B37" s="3"/>
      <c r="C37" s="3"/>
      <c r="D37" s="4">
        <v>32902</v>
      </c>
      <c r="E37" s="4">
        <f t="shared" si="48"/>
        <v>2194</v>
      </c>
      <c r="F37" s="2"/>
      <c r="G37" s="8">
        <f t="shared" si="37"/>
        <v>35096</v>
      </c>
      <c r="H37" s="2">
        <f t="shared" si="1"/>
        <v>3509.6000000000004</v>
      </c>
      <c r="I37" s="2">
        <f>400</f>
        <v>400</v>
      </c>
      <c r="J37" s="2">
        <f t="shared" si="38"/>
        <v>2105.7599999999998</v>
      </c>
      <c r="K37" s="8">
        <f t="shared" si="39"/>
        <v>41111.360000000001</v>
      </c>
      <c r="L37" s="2">
        <v>0</v>
      </c>
      <c r="M37" s="2">
        <f t="shared" si="49"/>
        <v>3290.2000000000003</v>
      </c>
      <c r="N37" s="2"/>
      <c r="O37" s="4">
        <f t="shared" si="40"/>
        <v>3290.2000000000003</v>
      </c>
      <c r="P37" s="8">
        <f t="shared" si="41"/>
        <v>44401.56</v>
      </c>
      <c r="Q37" s="2">
        <v>800</v>
      </c>
      <c r="R37" s="2">
        <f t="shared" si="42"/>
        <v>7019.2000000000007</v>
      </c>
      <c r="S37" s="2">
        <v>5000</v>
      </c>
      <c r="T37" s="2"/>
      <c r="U37" s="2">
        <f t="shared" si="43"/>
        <v>4211.5199999999995</v>
      </c>
      <c r="V37" s="2"/>
      <c r="W37" s="4">
        <f t="shared" si="44"/>
        <v>17030.72</v>
      </c>
      <c r="X37" s="2">
        <f t="shared" si="45"/>
        <v>31582.359999999997</v>
      </c>
      <c r="Y37" s="10">
        <f t="shared" si="46"/>
        <v>27370.839999999997</v>
      </c>
      <c r="Z37" s="2">
        <f t="shared" si="8"/>
        <v>0</v>
      </c>
      <c r="AA37" s="2">
        <f t="shared" si="47"/>
        <v>27370.839999999997</v>
      </c>
      <c r="AB37" s="2"/>
      <c r="AC37" s="2"/>
    </row>
    <row r="38" spans="1:29" s="6" customFormat="1" hidden="1" x14ac:dyDescent="0.25">
      <c r="A38" s="3"/>
      <c r="B38" s="3"/>
      <c r="C38" s="3"/>
      <c r="D38" s="4">
        <v>32902</v>
      </c>
      <c r="E38" s="4">
        <f t="shared" si="48"/>
        <v>2194</v>
      </c>
      <c r="F38" s="2"/>
      <c r="G38" s="8">
        <f t="shared" si="37"/>
        <v>35096</v>
      </c>
      <c r="H38" s="2">
        <f t="shared" si="1"/>
        <v>3509.6000000000004</v>
      </c>
      <c r="I38" s="2">
        <f>400</f>
        <v>400</v>
      </c>
      <c r="J38" s="2">
        <f t="shared" si="38"/>
        <v>2105.7599999999998</v>
      </c>
      <c r="K38" s="8">
        <f t="shared" si="39"/>
        <v>41111.360000000001</v>
      </c>
      <c r="L38" s="2">
        <v>0</v>
      </c>
      <c r="M38" s="2">
        <f t="shared" si="49"/>
        <v>3290.2000000000003</v>
      </c>
      <c r="N38" s="2"/>
      <c r="O38" s="4">
        <f t="shared" si="40"/>
        <v>3290.2000000000003</v>
      </c>
      <c r="P38" s="8">
        <f t="shared" si="41"/>
        <v>44401.56</v>
      </c>
      <c r="Q38" s="2">
        <v>800</v>
      </c>
      <c r="R38" s="2">
        <f t="shared" si="42"/>
        <v>7019.2000000000007</v>
      </c>
      <c r="S38" s="2">
        <v>5000</v>
      </c>
      <c r="T38" s="2"/>
      <c r="U38" s="2">
        <f t="shared" si="43"/>
        <v>4211.5199999999995</v>
      </c>
      <c r="V38" s="2"/>
      <c r="W38" s="4">
        <f t="shared" si="44"/>
        <v>17030.72</v>
      </c>
      <c r="X38" s="2">
        <f t="shared" si="45"/>
        <v>31582.359999999997</v>
      </c>
      <c r="Y38" s="10">
        <f t="shared" si="46"/>
        <v>27370.839999999997</v>
      </c>
      <c r="Z38" s="2">
        <f t="shared" si="8"/>
        <v>0</v>
      </c>
      <c r="AA38" s="2">
        <f t="shared" si="47"/>
        <v>27370.839999999997</v>
      </c>
      <c r="AB38" s="2"/>
      <c r="AC38" s="2"/>
    </row>
    <row r="39" spans="1:29" s="6" customFormat="1" hidden="1" x14ac:dyDescent="0.25">
      <c r="A39" s="3"/>
      <c r="B39" s="3"/>
      <c r="C39" s="3"/>
      <c r="D39" s="4">
        <v>32902</v>
      </c>
      <c r="E39" s="4">
        <f t="shared" si="48"/>
        <v>2194</v>
      </c>
      <c r="F39" s="2"/>
      <c r="G39" s="8">
        <f t="shared" si="37"/>
        <v>35096</v>
      </c>
      <c r="H39" s="2">
        <f t="shared" si="1"/>
        <v>3509.6000000000004</v>
      </c>
      <c r="I39" s="2">
        <f>400</f>
        <v>400</v>
      </c>
      <c r="J39" s="2">
        <f t="shared" si="38"/>
        <v>2105.7599999999998</v>
      </c>
      <c r="K39" s="8">
        <f t="shared" si="39"/>
        <v>41111.360000000001</v>
      </c>
      <c r="L39" s="2">
        <v>0</v>
      </c>
      <c r="M39" s="2">
        <f t="shared" si="49"/>
        <v>3290.2000000000003</v>
      </c>
      <c r="N39" s="2">
        <v>10000</v>
      </c>
      <c r="O39" s="4">
        <f t="shared" si="40"/>
        <v>13290.2</v>
      </c>
      <c r="P39" s="8">
        <f t="shared" si="41"/>
        <v>54401.56</v>
      </c>
      <c r="Q39" s="2">
        <v>800</v>
      </c>
      <c r="R39" s="2">
        <f t="shared" si="42"/>
        <v>7019.2000000000007</v>
      </c>
      <c r="S39" s="2">
        <v>5000</v>
      </c>
      <c r="T39" s="2"/>
      <c r="U39" s="2">
        <f t="shared" si="43"/>
        <v>4211.5199999999995</v>
      </c>
      <c r="V39" s="2"/>
      <c r="W39" s="4">
        <f t="shared" si="44"/>
        <v>17030.72</v>
      </c>
      <c r="X39" s="2">
        <f t="shared" si="45"/>
        <v>41582.359999999993</v>
      </c>
      <c r="Y39" s="10">
        <f t="shared" si="46"/>
        <v>37370.839999999997</v>
      </c>
      <c r="Z39" s="2">
        <f t="shared" si="8"/>
        <v>0</v>
      </c>
      <c r="AA39" s="2">
        <f t="shared" si="47"/>
        <v>37370.839999999997</v>
      </c>
      <c r="AB39" s="2"/>
      <c r="AC39" s="2"/>
    </row>
    <row r="40" spans="1:29" s="6" customFormat="1" hidden="1" x14ac:dyDescent="0.25">
      <c r="A40" s="3"/>
      <c r="B40" s="3"/>
      <c r="C40" s="3"/>
      <c r="D40" s="4">
        <v>32902</v>
      </c>
      <c r="E40" s="4">
        <f t="shared" si="48"/>
        <v>2194</v>
      </c>
      <c r="F40" s="2"/>
      <c r="G40" s="8">
        <f t="shared" si="37"/>
        <v>35096</v>
      </c>
      <c r="H40" s="2">
        <f t="shared" si="1"/>
        <v>3509.6000000000004</v>
      </c>
      <c r="I40" s="2">
        <f>400</f>
        <v>400</v>
      </c>
      <c r="J40" s="2">
        <f t="shared" si="38"/>
        <v>2105.7599999999998</v>
      </c>
      <c r="K40" s="8">
        <f t="shared" si="39"/>
        <v>41111.360000000001</v>
      </c>
      <c r="L40" s="2">
        <v>0</v>
      </c>
      <c r="M40" s="2">
        <f t="shared" si="49"/>
        <v>3290.2000000000003</v>
      </c>
      <c r="N40" s="2"/>
      <c r="O40" s="4">
        <f t="shared" si="40"/>
        <v>3290.2000000000003</v>
      </c>
      <c r="P40" s="8">
        <f t="shared" si="41"/>
        <v>44401.56</v>
      </c>
      <c r="Q40" s="2">
        <v>800</v>
      </c>
      <c r="R40" s="2">
        <f t="shared" si="42"/>
        <v>7019.2000000000007</v>
      </c>
      <c r="S40" s="2">
        <v>5000</v>
      </c>
      <c r="T40" s="2"/>
      <c r="U40" s="2">
        <f t="shared" si="43"/>
        <v>4211.5199999999995</v>
      </c>
      <c r="V40" s="2"/>
      <c r="W40" s="4">
        <f t="shared" si="44"/>
        <v>17030.72</v>
      </c>
      <c r="X40" s="2">
        <f t="shared" si="45"/>
        <v>31582.359999999997</v>
      </c>
      <c r="Y40" s="10">
        <f t="shared" si="46"/>
        <v>27370.839999999997</v>
      </c>
      <c r="Z40" s="2">
        <f t="shared" si="8"/>
        <v>0</v>
      </c>
      <c r="AA40" s="2">
        <f t="shared" si="47"/>
        <v>27370.839999999997</v>
      </c>
      <c r="AB40" s="2"/>
      <c r="AC40" s="2"/>
    </row>
    <row r="41" spans="1:29" s="6" customFormat="1" hidden="1" x14ac:dyDescent="0.25">
      <c r="A41" s="3"/>
      <c r="B41" s="3"/>
      <c r="C41" s="3"/>
      <c r="D41" s="4">
        <v>32902</v>
      </c>
      <c r="E41" s="4">
        <f t="shared" si="48"/>
        <v>2194</v>
      </c>
      <c r="F41" s="2"/>
      <c r="G41" s="8">
        <f t="shared" si="37"/>
        <v>35096</v>
      </c>
      <c r="H41" s="2">
        <f t="shared" si="1"/>
        <v>3509.6000000000004</v>
      </c>
      <c r="I41" s="2">
        <f>400</f>
        <v>400</v>
      </c>
      <c r="J41" s="2">
        <f t="shared" si="38"/>
        <v>2105.7599999999998</v>
      </c>
      <c r="K41" s="8">
        <f t="shared" si="39"/>
        <v>41111.360000000001</v>
      </c>
      <c r="L41" s="2">
        <v>0</v>
      </c>
      <c r="M41" s="2">
        <f t="shared" si="49"/>
        <v>3290.2000000000003</v>
      </c>
      <c r="N41" s="2"/>
      <c r="O41" s="4">
        <f t="shared" si="40"/>
        <v>3290.2000000000003</v>
      </c>
      <c r="P41" s="8">
        <f t="shared" si="41"/>
        <v>44401.56</v>
      </c>
      <c r="Q41" s="2">
        <v>800</v>
      </c>
      <c r="R41" s="2">
        <f t="shared" si="42"/>
        <v>7019.2000000000007</v>
      </c>
      <c r="S41" s="2">
        <v>5000</v>
      </c>
      <c r="T41" s="2"/>
      <c r="U41" s="2">
        <f t="shared" si="43"/>
        <v>4211.5199999999995</v>
      </c>
      <c r="V41" s="2"/>
      <c r="W41" s="4">
        <f t="shared" si="44"/>
        <v>17030.72</v>
      </c>
      <c r="X41" s="2">
        <f t="shared" si="45"/>
        <v>31582.359999999997</v>
      </c>
      <c r="Y41" s="10">
        <f t="shared" si="46"/>
        <v>27370.839999999997</v>
      </c>
      <c r="Z41" s="2">
        <f t="shared" si="8"/>
        <v>0</v>
      </c>
      <c r="AA41" s="2">
        <f t="shared" si="47"/>
        <v>27370.839999999997</v>
      </c>
      <c r="AB41" s="2"/>
      <c r="AC41" s="2"/>
    </row>
    <row r="42" spans="1:29" s="6" customFormat="1" hidden="1" x14ac:dyDescent="0.25">
      <c r="A42" s="3"/>
      <c r="B42" s="3"/>
      <c r="C42" s="3"/>
      <c r="D42" s="4">
        <v>32902</v>
      </c>
      <c r="E42" s="4">
        <f>ROUNDUP(D42/30,0)*3</f>
        <v>3291</v>
      </c>
      <c r="F42" s="2"/>
      <c r="G42" s="8">
        <f t="shared" si="37"/>
        <v>36193</v>
      </c>
      <c r="H42" s="2">
        <f t="shared" si="1"/>
        <v>3619.3</v>
      </c>
      <c r="I42" s="2">
        <f>400</f>
        <v>400</v>
      </c>
      <c r="J42" s="2">
        <f t="shared" si="38"/>
        <v>2171.58</v>
      </c>
      <c r="K42" s="8">
        <f t="shared" si="39"/>
        <v>42383.880000000005</v>
      </c>
      <c r="L42" s="2">
        <v>0</v>
      </c>
      <c r="M42" s="2">
        <f t="shared" si="49"/>
        <v>3290.2000000000003</v>
      </c>
      <c r="N42" s="2"/>
      <c r="O42" s="4">
        <f t="shared" si="40"/>
        <v>3290.2000000000003</v>
      </c>
      <c r="P42" s="8">
        <f t="shared" si="41"/>
        <v>45674.080000000002</v>
      </c>
      <c r="Q42" s="2">
        <v>800</v>
      </c>
      <c r="R42" s="2">
        <f t="shared" si="42"/>
        <v>7238.6</v>
      </c>
      <c r="S42" s="2">
        <v>5000</v>
      </c>
      <c r="T42" s="2"/>
      <c r="U42" s="2">
        <f t="shared" si="43"/>
        <v>4343.16</v>
      </c>
      <c r="V42" s="2"/>
      <c r="W42" s="4">
        <f t="shared" si="44"/>
        <v>17381.760000000002</v>
      </c>
      <c r="X42" s="2">
        <f t="shared" si="45"/>
        <v>32635.48</v>
      </c>
      <c r="Y42" s="10">
        <f t="shared" si="46"/>
        <v>28292.32</v>
      </c>
      <c r="Z42" s="2">
        <f t="shared" si="8"/>
        <v>0</v>
      </c>
      <c r="AA42" s="2">
        <f t="shared" si="47"/>
        <v>28292.32</v>
      </c>
      <c r="AB42" s="2"/>
      <c r="AC42" s="2"/>
    </row>
    <row r="43" spans="1:29" s="6" customFormat="1" hidden="1" x14ac:dyDescent="0.25">
      <c r="A43" s="3"/>
      <c r="B43" s="3"/>
      <c r="C43" s="3"/>
      <c r="D43" s="4"/>
      <c r="E43" s="4"/>
      <c r="F43" s="2"/>
      <c r="G43" s="8"/>
      <c r="H43" s="2"/>
      <c r="I43" s="2"/>
      <c r="J43" s="2"/>
      <c r="K43" s="8"/>
      <c r="L43" s="2"/>
      <c r="M43" s="2"/>
      <c r="N43" s="2"/>
      <c r="O43" s="4"/>
      <c r="P43" s="8"/>
      <c r="Q43" s="2"/>
      <c r="R43" s="2"/>
      <c r="S43" s="2"/>
      <c r="T43" s="2"/>
      <c r="U43" s="2"/>
      <c r="V43" s="2"/>
      <c r="W43" s="4"/>
      <c r="X43" s="2"/>
      <c r="Y43" s="10"/>
      <c r="Z43" s="2"/>
      <c r="AA43" s="2"/>
      <c r="AB43" s="2"/>
      <c r="AC43" s="2"/>
    </row>
    <row r="44" spans="1:29" s="6" customFormat="1" hidden="1" x14ac:dyDescent="0.25">
      <c r="A44" s="3"/>
      <c r="B44" s="3"/>
      <c r="C44" s="3"/>
      <c r="D44" s="4">
        <v>32902</v>
      </c>
      <c r="E44" s="4">
        <f>ROUNDUP(D44/30,0)*3</f>
        <v>3291</v>
      </c>
      <c r="F44" s="2"/>
      <c r="G44" s="8">
        <f t="shared" ref="G44:G55" si="50">SUM(D44:F44)</f>
        <v>36193</v>
      </c>
      <c r="H44" s="2">
        <f t="shared" si="1"/>
        <v>3619.3</v>
      </c>
      <c r="I44" s="2">
        <f>400</f>
        <v>400</v>
      </c>
      <c r="J44" s="2">
        <f t="shared" ref="J44:J55" si="51">6%*G44</f>
        <v>2171.58</v>
      </c>
      <c r="K44" s="8">
        <f t="shared" ref="K44:K55" si="52">SUM(G44:J44)</f>
        <v>42383.880000000005</v>
      </c>
      <c r="L44" s="2">
        <v>0</v>
      </c>
      <c r="M44" s="2">
        <f>10%*D44</f>
        <v>3290.2000000000003</v>
      </c>
      <c r="N44" s="2"/>
      <c r="O44" s="4">
        <f t="shared" ref="O44:O55" si="53">SUM(L44:N44)</f>
        <v>3290.2000000000003</v>
      </c>
      <c r="P44" s="8">
        <f t="shared" ref="P44:P55" si="54">K44+O44</f>
        <v>45674.080000000002</v>
      </c>
      <c r="Q44" s="2">
        <v>800</v>
      </c>
      <c r="R44" s="2">
        <f t="shared" ref="R44:R55" si="55">H44*2</f>
        <v>7238.6</v>
      </c>
      <c r="S44" s="2">
        <v>5000</v>
      </c>
      <c r="T44" s="2"/>
      <c r="U44" s="2">
        <f t="shared" ref="U44:U55" si="56">J44*2</f>
        <v>4343.16</v>
      </c>
      <c r="V44" s="2"/>
      <c r="W44" s="4">
        <f t="shared" ref="W44:W55" si="57">SUM(Q44:U44)</f>
        <v>17381.760000000002</v>
      </c>
      <c r="X44" s="2">
        <f t="shared" ref="X44:X55" si="58">Y44+U44</f>
        <v>32635.48</v>
      </c>
      <c r="Y44" s="10">
        <f t="shared" ref="Y44:Y55" si="59">P44-W44</f>
        <v>28292.32</v>
      </c>
      <c r="Z44" s="2">
        <f t="shared" si="8"/>
        <v>0</v>
      </c>
      <c r="AA44" s="2">
        <f t="shared" ref="AA44:AA55" si="60">Y44-Z44</f>
        <v>28292.32</v>
      </c>
      <c r="AB44" s="2"/>
      <c r="AC44" s="2"/>
    </row>
    <row r="45" spans="1:29" s="6" customFormat="1" hidden="1" x14ac:dyDescent="0.25">
      <c r="A45" s="3"/>
      <c r="B45" s="3"/>
      <c r="C45" s="3"/>
      <c r="D45" s="4">
        <v>32902</v>
      </c>
      <c r="E45" s="4">
        <f t="shared" ref="E45:E54" si="61">ROUNDUP(D45/30,0)*3</f>
        <v>3291</v>
      </c>
      <c r="F45" s="2"/>
      <c r="G45" s="8">
        <f t="shared" si="50"/>
        <v>36193</v>
      </c>
      <c r="H45" s="2">
        <f t="shared" si="1"/>
        <v>3619.3</v>
      </c>
      <c r="I45" s="2">
        <f>400</f>
        <v>400</v>
      </c>
      <c r="J45" s="2">
        <f t="shared" si="51"/>
        <v>2171.58</v>
      </c>
      <c r="K45" s="8">
        <f t="shared" si="52"/>
        <v>42383.880000000005</v>
      </c>
      <c r="L45" s="2">
        <v>0</v>
      </c>
      <c r="M45" s="2">
        <f>10%*D45</f>
        <v>3290.2000000000003</v>
      </c>
      <c r="N45" s="2"/>
      <c r="O45" s="4">
        <f t="shared" si="53"/>
        <v>3290.2000000000003</v>
      </c>
      <c r="P45" s="8">
        <f t="shared" si="54"/>
        <v>45674.080000000002</v>
      </c>
      <c r="Q45" s="2">
        <v>800</v>
      </c>
      <c r="R45" s="2">
        <f t="shared" si="55"/>
        <v>7238.6</v>
      </c>
      <c r="S45" s="2">
        <v>5000</v>
      </c>
      <c r="T45" s="2"/>
      <c r="U45" s="2">
        <f t="shared" si="56"/>
        <v>4343.16</v>
      </c>
      <c r="V45" s="2"/>
      <c r="W45" s="4">
        <f t="shared" si="57"/>
        <v>17381.760000000002</v>
      </c>
      <c r="X45" s="2">
        <f t="shared" si="58"/>
        <v>32635.48</v>
      </c>
      <c r="Y45" s="10">
        <f t="shared" si="59"/>
        <v>28292.32</v>
      </c>
      <c r="Z45" s="2">
        <f t="shared" si="8"/>
        <v>0</v>
      </c>
      <c r="AA45" s="2">
        <f t="shared" si="60"/>
        <v>28292.32</v>
      </c>
      <c r="AB45" s="2"/>
      <c r="AC45" s="2"/>
    </row>
    <row r="46" spans="1:29" s="6" customFormat="1" hidden="1" x14ac:dyDescent="0.25">
      <c r="A46" s="3"/>
      <c r="B46" s="3"/>
      <c r="C46" s="3"/>
      <c r="D46" s="4">
        <v>32902</v>
      </c>
      <c r="E46" s="4">
        <f t="shared" si="61"/>
        <v>3291</v>
      </c>
      <c r="F46" s="2"/>
      <c r="G46" s="8">
        <f t="shared" si="50"/>
        <v>36193</v>
      </c>
      <c r="H46" s="2">
        <f t="shared" si="1"/>
        <v>3619.3</v>
      </c>
      <c r="I46" s="2">
        <f>400</f>
        <v>400</v>
      </c>
      <c r="J46" s="2">
        <f t="shared" si="51"/>
        <v>2171.58</v>
      </c>
      <c r="K46" s="8">
        <f t="shared" si="52"/>
        <v>42383.880000000005</v>
      </c>
      <c r="L46" s="2">
        <v>0</v>
      </c>
      <c r="M46" s="2">
        <f>10%*D46+D46</f>
        <v>36192.199999999997</v>
      </c>
      <c r="N46" s="2"/>
      <c r="O46" s="4">
        <f t="shared" si="53"/>
        <v>36192.199999999997</v>
      </c>
      <c r="P46" s="8">
        <f t="shared" si="54"/>
        <v>78576.08</v>
      </c>
      <c r="Q46" s="2">
        <v>800</v>
      </c>
      <c r="R46" s="2">
        <f t="shared" si="55"/>
        <v>7238.6</v>
      </c>
      <c r="S46" s="2">
        <v>5000</v>
      </c>
      <c r="T46" s="2"/>
      <c r="U46" s="2">
        <f t="shared" si="56"/>
        <v>4343.16</v>
      </c>
      <c r="V46" s="2"/>
      <c r="W46" s="4">
        <f t="shared" si="57"/>
        <v>17381.760000000002</v>
      </c>
      <c r="X46" s="2">
        <f t="shared" si="58"/>
        <v>65537.48</v>
      </c>
      <c r="Y46" s="10">
        <f t="shared" si="59"/>
        <v>61194.32</v>
      </c>
      <c r="Z46" s="2"/>
      <c r="AA46" s="2">
        <f t="shared" si="60"/>
        <v>61194.32</v>
      </c>
      <c r="AB46" s="2"/>
      <c r="AC46" s="2"/>
    </row>
    <row r="47" spans="1:29" s="6" customFormat="1" hidden="1" x14ac:dyDescent="0.25">
      <c r="A47" s="3"/>
      <c r="B47" s="3"/>
      <c r="C47" s="3"/>
      <c r="D47" s="4">
        <v>32902</v>
      </c>
      <c r="E47" s="4">
        <f t="shared" si="61"/>
        <v>3291</v>
      </c>
      <c r="F47" s="2"/>
      <c r="G47" s="8">
        <f t="shared" si="50"/>
        <v>36193</v>
      </c>
      <c r="H47" s="2">
        <f t="shared" si="1"/>
        <v>3619.3</v>
      </c>
      <c r="I47" s="2">
        <f>400</f>
        <v>400</v>
      </c>
      <c r="J47" s="2">
        <f t="shared" si="51"/>
        <v>2171.58</v>
      </c>
      <c r="K47" s="8">
        <f t="shared" si="52"/>
        <v>42383.880000000005</v>
      </c>
      <c r="L47" s="2">
        <v>0</v>
      </c>
      <c r="M47" s="2">
        <f t="shared" ref="M47:M55" si="62">10%*D47</f>
        <v>3290.2000000000003</v>
      </c>
      <c r="N47" s="2"/>
      <c r="O47" s="4">
        <f t="shared" si="53"/>
        <v>3290.2000000000003</v>
      </c>
      <c r="P47" s="8">
        <f t="shared" si="54"/>
        <v>45674.080000000002</v>
      </c>
      <c r="Q47" s="2">
        <v>800</v>
      </c>
      <c r="R47" s="2">
        <f t="shared" si="55"/>
        <v>7238.6</v>
      </c>
      <c r="S47" s="2">
        <v>5000</v>
      </c>
      <c r="T47" s="2"/>
      <c r="U47" s="2">
        <f t="shared" si="56"/>
        <v>4343.16</v>
      </c>
      <c r="V47" s="2"/>
      <c r="W47" s="4">
        <f t="shared" si="57"/>
        <v>17381.760000000002</v>
      </c>
      <c r="X47" s="2">
        <f t="shared" si="58"/>
        <v>32635.48</v>
      </c>
      <c r="Y47" s="10">
        <f t="shared" si="59"/>
        <v>28292.32</v>
      </c>
      <c r="Z47" s="2">
        <f t="shared" si="8"/>
        <v>0</v>
      </c>
      <c r="AA47" s="2">
        <f t="shared" si="60"/>
        <v>28292.32</v>
      </c>
      <c r="AB47" s="2"/>
      <c r="AC47" s="2"/>
    </row>
    <row r="48" spans="1:29" s="6" customFormat="1" hidden="1" x14ac:dyDescent="0.25">
      <c r="A48" s="3"/>
      <c r="B48" s="3"/>
      <c r="C48" s="3"/>
      <c r="D48" s="4">
        <v>32902</v>
      </c>
      <c r="E48" s="4">
        <f t="shared" si="61"/>
        <v>3291</v>
      </c>
      <c r="F48" s="2"/>
      <c r="G48" s="8">
        <f t="shared" si="50"/>
        <v>36193</v>
      </c>
      <c r="H48" s="2">
        <f t="shared" si="1"/>
        <v>3619.3</v>
      </c>
      <c r="I48" s="2">
        <f>400</f>
        <v>400</v>
      </c>
      <c r="J48" s="2">
        <f t="shared" si="51"/>
        <v>2171.58</v>
      </c>
      <c r="K48" s="8">
        <f t="shared" si="52"/>
        <v>42383.880000000005</v>
      </c>
      <c r="L48" s="2">
        <v>0</v>
      </c>
      <c r="M48" s="2">
        <f t="shared" si="62"/>
        <v>3290.2000000000003</v>
      </c>
      <c r="N48" s="2"/>
      <c r="O48" s="4">
        <f t="shared" si="53"/>
        <v>3290.2000000000003</v>
      </c>
      <c r="P48" s="8">
        <f t="shared" si="54"/>
        <v>45674.080000000002</v>
      </c>
      <c r="Q48" s="2">
        <v>800</v>
      </c>
      <c r="R48" s="2">
        <f t="shared" si="55"/>
        <v>7238.6</v>
      </c>
      <c r="S48" s="2">
        <v>5000</v>
      </c>
      <c r="T48" s="2"/>
      <c r="U48" s="2">
        <f t="shared" si="56"/>
        <v>4343.16</v>
      </c>
      <c r="V48" s="2"/>
      <c r="W48" s="4">
        <f t="shared" si="57"/>
        <v>17381.760000000002</v>
      </c>
      <c r="X48" s="2">
        <f t="shared" si="58"/>
        <v>32635.48</v>
      </c>
      <c r="Y48" s="10">
        <f t="shared" si="59"/>
        <v>28292.32</v>
      </c>
      <c r="Z48" s="2">
        <f t="shared" si="8"/>
        <v>0</v>
      </c>
      <c r="AA48" s="2">
        <f t="shared" si="60"/>
        <v>28292.32</v>
      </c>
      <c r="AB48" s="2"/>
      <c r="AC48" s="2"/>
    </row>
    <row r="49" spans="1:29" s="6" customFormat="1" hidden="1" x14ac:dyDescent="0.25">
      <c r="A49" s="3"/>
      <c r="B49" s="3"/>
      <c r="C49" s="3"/>
      <c r="D49" s="4">
        <v>32902</v>
      </c>
      <c r="E49" s="4">
        <f t="shared" si="61"/>
        <v>3291</v>
      </c>
      <c r="F49" s="2"/>
      <c r="G49" s="8">
        <f t="shared" si="50"/>
        <v>36193</v>
      </c>
      <c r="H49" s="2">
        <f t="shared" si="1"/>
        <v>3619.3</v>
      </c>
      <c r="I49" s="2">
        <f>400</f>
        <v>400</v>
      </c>
      <c r="J49" s="2">
        <f t="shared" si="51"/>
        <v>2171.58</v>
      </c>
      <c r="K49" s="8">
        <f t="shared" si="52"/>
        <v>42383.880000000005</v>
      </c>
      <c r="L49" s="2">
        <v>0</v>
      </c>
      <c r="M49" s="2">
        <f t="shared" si="62"/>
        <v>3290.2000000000003</v>
      </c>
      <c r="N49" s="2"/>
      <c r="O49" s="4">
        <f t="shared" si="53"/>
        <v>3290.2000000000003</v>
      </c>
      <c r="P49" s="8">
        <f t="shared" si="54"/>
        <v>45674.080000000002</v>
      </c>
      <c r="Q49" s="2">
        <v>800</v>
      </c>
      <c r="R49" s="2">
        <f t="shared" si="55"/>
        <v>7238.6</v>
      </c>
      <c r="S49" s="2">
        <v>5000</v>
      </c>
      <c r="T49" s="2"/>
      <c r="U49" s="2">
        <f t="shared" si="56"/>
        <v>4343.16</v>
      </c>
      <c r="V49" s="2"/>
      <c r="W49" s="4">
        <f t="shared" si="57"/>
        <v>17381.760000000002</v>
      </c>
      <c r="X49" s="2">
        <f t="shared" si="58"/>
        <v>32635.48</v>
      </c>
      <c r="Y49" s="10">
        <f t="shared" si="59"/>
        <v>28292.32</v>
      </c>
      <c r="Z49" s="2">
        <f t="shared" si="8"/>
        <v>0</v>
      </c>
      <c r="AA49" s="2">
        <f t="shared" si="60"/>
        <v>28292.32</v>
      </c>
      <c r="AB49" s="2"/>
      <c r="AC49" s="2"/>
    </row>
    <row r="50" spans="1:29" s="6" customFormat="1" hidden="1" x14ac:dyDescent="0.25">
      <c r="A50" s="3"/>
      <c r="B50" s="3"/>
      <c r="C50" s="3"/>
      <c r="D50" s="4">
        <v>32902</v>
      </c>
      <c r="E50" s="4">
        <f t="shared" si="61"/>
        <v>3291</v>
      </c>
      <c r="F50" s="2"/>
      <c r="G50" s="8">
        <f t="shared" si="50"/>
        <v>36193</v>
      </c>
      <c r="H50" s="2">
        <f t="shared" si="1"/>
        <v>3619.3</v>
      </c>
      <c r="I50" s="2">
        <f>400</f>
        <v>400</v>
      </c>
      <c r="J50" s="2">
        <f t="shared" si="51"/>
        <v>2171.58</v>
      </c>
      <c r="K50" s="8">
        <f t="shared" si="52"/>
        <v>42383.880000000005</v>
      </c>
      <c r="L50" s="2">
        <v>0</v>
      </c>
      <c r="M50" s="2">
        <f t="shared" si="62"/>
        <v>3290.2000000000003</v>
      </c>
      <c r="N50" s="2"/>
      <c r="O50" s="4">
        <f t="shared" si="53"/>
        <v>3290.2000000000003</v>
      </c>
      <c r="P50" s="8">
        <f t="shared" si="54"/>
        <v>45674.080000000002</v>
      </c>
      <c r="Q50" s="2">
        <v>800</v>
      </c>
      <c r="R50" s="2">
        <f t="shared" si="55"/>
        <v>7238.6</v>
      </c>
      <c r="S50" s="2">
        <v>5000</v>
      </c>
      <c r="T50" s="2"/>
      <c r="U50" s="2">
        <f t="shared" si="56"/>
        <v>4343.16</v>
      </c>
      <c r="V50" s="2"/>
      <c r="W50" s="4">
        <f t="shared" si="57"/>
        <v>17381.760000000002</v>
      </c>
      <c r="X50" s="2">
        <f t="shared" si="58"/>
        <v>32635.48</v>
      </c>
      <c r="Y50" s="10">
        <f t="shared" si="59"/>
        <v>28292.32</v>
      </c>
      <c r="Z50" s="2">
        <f t="shared" si="8"/>
        <v>0</v>
      </c>
      <c r="AA50" s="2">
        <f t="shared" si="60"/>
        <v>28292.32</v>
      </c>
      <c r="AB50" s="2"/>
      <c r="AC50" s="2"/>
    </row>
    <row r="51" spans="1:29" s="6" customFormat="1" hidden="1" x14ac:dyDescent="0.25">
      <c r="A51" s="3"/>
      <c r="B51" s="3"/>
      <c r="C51" s="3"/>
      <c r="D51" s="4">
        <v>32902</v>
      </c>
      <c r="E51" s="4">
        <f t="shared" si="61"/>
        <v>3291</v>
      </c>
      <c r="F51" s="2"/>
      <c r="G51" s="8">
        <f t="shared" si="50"/>
        <v>36193</v>
      </c>
      <c r="H51" s="2">
        <f t="shared" si="1"/>
        <v>3619.3</v>
      </c>
      <c r="I51" s="2">
        <f>400</f>
        <v>400</v>
      </c>
      <c r="J51" s="2">
        <f t="shared" si="51"/>
        <v>2171.58</v>
      </c>
      <c r="K51" s="8">
        <f t="shared" si="52"/>
        <v>42383.880000000005</v>
      </c>
      <c r="L51" s="2">
        <v>0</v>
      </c>
      <c r="M51" s="2">
        <f t="shared" si="62"/>
        <v>3290.2000000000003</v>
      </c>
      <c r="N51" s="2"/>
      <c r="O51" s="4">
        <f t="shared" si="53"/>
        <v>3290.2000000000003</v>
      </c>
      <c r="P51" s="8">
        <f t="shared" si="54"/>
        <v>45674.080000000002</v>
      </c>
      <c r="Q51" s="2">
        <v>800</v>
      </c>
      <c r="R51" s="2">
        <f t="shared" si="55"/>
        <v>7238.6</v>
      </c>
      <c r="S51" s="2">
        <v>5000</v>
      </c>
      <c r="T51" s="2"/>
      <c r="U51" s="2">
        <f t="shared" si="56"/>
        <v>4343.16</v>
      </c>
      <c r="V51" s="2"/>
      <c r="W51" s="4">
        <f t="shared" si="57"/>
        <v>17381.760000000002</v>
      </c>
      <c r="X51" s="2">
        <f t="shared" si="58"/>
        <v>32635.48</v>
      </c>
      <c r="Y51" s="10">
        <f t="shared" si="59"/>
        <v>28292.32</v>
      </c>
      <c r="Z51" s="2">
        <f t="shared" si="8"/>
        <v>0</v>
      </c>
      <c r="AA51" s="2">
        <f t="shared" si="60"/>
        <v>28292.32</v>
      </c>
      <c r="AB51" s="2"/>
      <c r="AC51" s="2"/>
    </row>
    <row r="52" spans="1:29" s="6" customFormat="1" hidden="1" x14ac:dyDescent="0.25">
      <c r="A52" s="3"/>
      <c r="B52" s="3"/>
      <c r="C52" s="3"/>
      <c r="D52" s="4">
        <v>32902</v>
      </c>
      <c r="E52" s="4">
        <f t="shared" si="61"/>
        <v>3291</v>
      </c>
      <c r="F52" s="2"/>
      <c r="G52" s="8">
        <f t="shared" si="50"/>
        <v>36193</v>
      </c>
      <c r="H52" s="2">
        <f t="shared" si="1"/>
        <v>3619.3</v>
      </c>
      <c r="I52" s="2">
        <f>400</f>
        <v>400</v>
      </c>
      <c r="J52" s="2">
        <f t="shared" si="51"/>
        <v>2171.58</v>
      </c>
      <c r="K52" s="8">
        <f t="shared" si="52"/>
        <v>42383.880000000005</v>
      </c>
      <c r="L52" s="2">
        <v>0</v>
      </c>
      <c r="M52" s="2">
        <f t="shared" si="62"/>
        <v>3290.2000000000003</v>
      </c>
      <c r="N52" s="2">
        <v>10000</v>
      </c>
      <c r="O52" s="4">
        <f t="shared" si="53"/>
        <v>13290.2</v>
      </c>
      <c r="P52" s="8">
        <f t="shared" si="54"/>
        <v>55674.080000000002</v>
      </c>
      <c r="Q52" s="2">
        <v>800</v>
      </c>
      <c r="R52" s="2">
        <f t="shared" si="55"/>
        <v>7238.6</v>
      </c>
      <c r="S52" s="2">
        <v>5000</v>
      </c>
      <c r="T52" s="2"/>
      <c r="U52" s="2">
        <f t="shared" si="56"/>
        <v>4343.16</v>
      </c>
      <c r="V52" s="2"/>
      <c r="W52" s="4">
        <f t="shared" si="57"/>
        <v>17381.760000000002</v>
      </c>
      <c r="X52" s="2">
        <f t="shared" si="58"/>
        <v>42635.479999999996</v>
      </c>
      <c r="Y52" s="10">
        <f t="shared" si="59"/>
        <v>38292.32</v>
      </c>
      <c r="Z52" s="2">
        <f t="shared" si="8"/>
        <v>0</v>
      </c>
      <c r="AA52" s="2">
        <f t="shared" si="60"/>
        <v>38292.32</v>
      </c>
      <c r="AB52" s="2"/>
      <c r="AC52" s="2"/>
    </row>
    <row r="53" spans="1:29" s="6" customFormat="1" hidden="1" x14ac:dyDescent="0.25">
      <c r="A53" s="3"/>
      <c r="B53" s="3"/>
      <c r="C53" s="3"/>
      <c r="D53" s="4">
        <v>32902</v>
      </c>
      <c r="E53" s="4">
        <f t="shared" si="61"/>
        <v>3291</v>
      </c>
      <c r="F53" s="2"/>
      <c r="G53" s="8">
        <f t="shared" si="50"/>
        <v>36193</v>
      </c>
      <c r="H53" s="2">
        <f t="shared" si="1"/>
        <v>3619.3</v>
      </c>
      <c r="I53" s="2">
        <f>400</f>
        <v>400</v>
      </c>
      <c r="J53" s="2">
        <f t="shared" si="51"/>
        <v>2171.58</v>
      </c>
      <c r="K53" s="8">
        <f t="shared" si="52"/>
        <v>42383.880000000005</v>
      </c>
      <c r="L53" s="2">
        <v>0</v>
      </c>
      <c r="M53" s="2">
        <f t="shared" si="62"/>
        <v>3290.2000000000003</v>
      </c>
      <c r="N53" s="2"/>
      <c r="O53" s="4">
        <f t="shared" si="53"/>
        <v>3290.2000000000003</v>
      </c>
      <c r="P53" s="8">
        <f t="shared" si="54"/>
        <v>45674.080000000002</v>
      </c>
      <c r="Q53" s="2">
        <v>800</v>
      </c>
      <c r="R53" s="2">
        <f t="shared" si="55"/>
        <v>7238.6</v>
      </c>
      <c r="S53" s="2">
        <v>5000</v>
      </c>
      <c r="T53" s="2"/>
      <c r="U53" s="2">
        <f t="shared" si="56"/>
        <v>4343.16</v>
      </c>
      <c r="V53" s="2"/>
      <c r="W53" s="4">
        <f t="shared" si="57"/>
        <v>17381.760000000002</v>
      </c>
      <c r="X53" s="2">
        <f t="shared" si="58"/>
        <v>32635.48</v>
      </c>
      <c r="Y53" s="10">
        <f t="shared" si="59"/>
        <v>28292.32</v>
      </c>
      <c r="Z53" s="2">
        <f t="shared" si="8"/>
        <v>0</v>
      </c>
      <c r="AA53" s="2">
        <f t="shared" si="60"/>
        <v>28292.32</v>
      </c>
      <c r="AB53" s="2"/>
      <c r="AC53" s="2"/>
    </row>
    <row r="54" spans="1:29" s="6" customFormat="1" hidden="1" x14ac:dyDescent="0.25">
      <c r="A54" s="3"/>
      <c r="B54" s="3"/>
      <c r="C54" s="3"/>
      <c r="D54" s="4">
        <v>32902</v>
      </c>
      <c r="E54" s="4">
        <f t="shared" si="61"/>
        <v>3291</v>
      </c>
      <c r="F54" s="2"/>
      <c r="G54" s="8">
        <f t="shared" si="50"/>
        <v>36193</v>
      </c>
      <c r="H54" s="2">
        <f t="shared" si="1"/>
        <v>3619.3</v>
      </c>
      <c r="I54" s="2">
        <f>400</f>
        <v>400</v>
      </c>
      <c r="J54" s="2">
        <f t="shared" si="51"/>
        <v>2171.58</v>
      </c>
      <c r="K54" s="8">
        <f t="shared" si="52"/>
        <v>42383.880000000005</v>
      </c>
      <c r="L54" s="2">
        <v>0</v>
      </c>
      <c r="M54" s="2">
        <f t="shared" si="62"/>
        <v>3290.2000000000003</v>
      </c>
      <c r="N54" s="2"/>
      <c r="O54" s="4">
        <f t="shared" si="53"/>
        <v>3290.2000000000003</v>
      </c>
      <c r="P54" s="8">
        <f t="shared" si="54"/>
        <v>45674.080000000002</v>
      </c>
      <c r="Q54" s="2">
        <v>800</v>
      </c>
      <c r="R54" s="2">
        <f t="shared" si="55"/>
        <v>7238.6</v>
      </c>
      <c r="S54" s="2">
        <v>5000</v>
      </c>
      <c r="T54" s="2"/>
      <c r="U54" s="2">
        <f t="shared" si="56"/>
        <v>4343.16</v>
      </c>
      <c r="V54" s="2"/>
      <c r="W54" s="4">
        <f t="shared" si="57"/>
        <v>17381.760000000002</v>
      </c>
      <c r="X54" s="2">
        <f t="shared" si="58"/>
        <v>32635.48</v>
      </c>
      <c r="Y54" s="10">
        <f t="shared" si="59"/>
        <v>28292.32</v>
      </c>
      <c r="Z54" s="2">
        <f t="shared" si="8"/>
        <v>0</v>
      </c>
      <c r="AA54" s="2">
        <f t="shared" si="60"/>
        <v>28292.32</v>
      </c>
      <c r="AB54" s="2"/>
      <c r="AC54" s="2"/>
    </row>
    <row r="55" spans="1:29" s="6" customFormat="1" hidden="1" x14ac:dyDescent="0.25">
      <c r="A55" s="3"/>
      <c r="B55" s="3"/>
      <c r="C55" s="3"/>
      <c r="D55" s="4">
        <v>32902</v>
      </c>
      <c r="E55" s="4">
        <f t="shared" ref="E55:E67" si="63">ROUNDUP(D55/30,0)*4</f>
        <v>4388</v>
      </c>
      <c r="F55" s="2"/>
      <c r="G55" s="8">
        <f t="shared" si="50"/>
        <v>37290</v>
      </c>
      <c r="H55" s="2">
        <f t="shared" si="1"/>
        <v>3729</v>
      </c>
      <c r="I55" s="2">
        <f>400</f>
        <v>400</v>
      </c>
      <c r="J55" s="2">
        <f t="shared" si="51"/>
        <v>2237.4</v>
      </c>
      <c r="K55" s="8">
        <f t="shared" si="52"/>
        <v>43656.4</v>
      </c>
      <c r="L55" s="2">
        <v>0</v>
      </c>
      <c r="M55" s="2">
        <f t="shared" si="62"/>
        <v>3290.2000000000003</v>
      </c>
      <c r="N55" s="2"/>
      <c r="O55" s="4">
        <f t="shared" si="53"/>
        <v>3290.2000000000003</v>
      </c>
      <c r="P55" s="8">
        <f t="shared" si="54"/>
        <v>46946.6</v>
      </c>
      <c r="Q55" s="2">
        <v>800</v>
      </c>
      <c r="R55" s="2">
        <f t="shared" si="55"/>
        <v>7458</v>
      </c>
      <c r="S55" s="2">
        <v>5000</v>
      </c>
      <c r="T55" s="2"/>
      <c r="U55" s="2">
        <f t="shared" si="56"/>
        <v>4474.8</v>
      </c>
      <c r="V55" s="2"/>
      <c r="W55" s="4">
        <f t="shared" si="57"/>
        <v>17732.8</v>
      </c>
      <c r="X55" s="2">
        <f t="shared" si="58"/>
        <v>33688.6</v>
      </c>
      <c r="Y55" s="10">
        <f t="shared" si="59"/>
        <v>29213.8</v>
      </c>
      <c r="Z55" s="2">
        <f t="shared" si="8"/>
        <v>0</v>
      </c>
      <c r="AA55" s="2">
        <f t="shared" si="60"/>
        <v>29213.8</v>
      </c>
      <c r="AB55" s="2"/>
      <c r="AC55" s="2"/>
    </row>
    <row r="56" spans="1:29" s="6" customFormat="1" hidden="1" x14ac:dyDescent="0.25">
      <c r="A56" s="3"/>
      <c r="B56" s="3"/>
      <c r="C56" s="3"/>
      <c r="D56" s="4"/>
      <c r="E56" s="4"/>
      <c r="F56" s="2"/>
      <c r="G56" s="8"/>
      <c r="H56" s="2"/>
      <c r="I56" s="2"/>
      <c r="J56" s="2"/>
      <c r="K56" s="8"/>
      <c r="L56" s="2"/>
      <c r="M56" s="2"/>
      <c r="N56" s="2"/>
      <c r="O56" s="4"/>
      <c r="P56" s="8"/>
      <c r="Q56" s="2"/>
      <c r="R56" s="2"/>
      <c r="S56" s="2"/>
      <c r="T56" s="2"/>
      <c r="U56" s="2"/>
      <c r="V56" s="2"/>
      <c r="W56" s="4"/>
      <c r="X56" s="2"/>
      <c r="Y56" s="10"/>
      <c r="Z56" s="2"/>
      <c r="AA56" s="2"/>
      <c r="AB56" s="2"/>
      <c r="AC56" s="2"/>
    </row>
    <row r="57" spans="1:29" s="6" customFormat="1" hidden="1" x14ac:dyDescent="0.25">
      <c r="A57" s="3"/>
      <c r="B57" s="3"/>
      <c r="C57" s="3"/>
      <c r="D57" s="4">
        <v>32902</v>
      </c>
      <c r="E57" s="4">
        <f t="shared" si="63"/>
        <v>4388</v>
      </c>
      <c r="F57" s="2"/>
      <c r="G57" s="8">
        <f t="shared" ref="G57:G68" si="64">SUM(D57:F57)</f>
        <v>37290</v>
      </c>
      <c r="H57" s="2">
        <f t="shared" si="1"/>
        <v>3729</v>
      </c>
      <c r="I57" s="2">
        <f>400</f>
        <v>400</v>
      </c>
      <c r="J57" s="2">
        <f t="shared" ref="J57:J68" si="65">6%*G57</f>
        <v>2237.4</v>
      </c>
      <c r="K57" s="8">
        <f t="shared" ref="K57:K68" si="66">SUM(G57:J57)</f>
        <v>43656.4</v>
      </c>
      <c r="L57" s="2">
        <v>0</v>
      </c>
      <c r="M57" s="2">
        <f>10%*D57</f>
        <v>3290.2000000000003</v>
      </c>
      <c r="N57" s="2"/>
      <c r="O57" s="4">
        <f t="shared" ref="O57:O68" si="67">SUM(L57:N57)</f>
        <v>3290.2000000000003</v>
      </c>
      <c r="P57" s="8">
        <f t="shared" ref="P57:P68" si="68">K57+O57</f>
        <v>46946.6</v>
      </c>
      <c r="Q57" s="2">
        <v>800</v>
      </c>
      <c r="R57" s="2">
        <f t="shared" ref="R57:R68" si="69">H57*2</f>
        <v>7458</v>
      </c>
      <c r="S57" s="2">
        <v>5000</v>
      </c>
      <c r="T57" s="2"/>
      <c r="U57" s="2">
        <f t="shared" ref="U57:U68" si="70">J57*2</f>
        <v>4474.8</v>
      </c>
      <c r="V57" s="2"/>
      <c r="W57" s="4">
        <f t="shared" ref="W57:W68" si="71">SUM(Q57:U57)</f>
        <v>17732.8</v>
      </c>
      <c r="X57" s="2">
        <f t="shared" ref="X57:X68" si="72">Y57+U57</f>
        <v>33688.6</v>
      </c>
      <c r="Y57" s="10">
        <f t="shared" ref="Y57:Y68" si="73">P57-W57</f>
        <v>29213.8</v>
      </c>
      <c r="Z57" s="2">
        <f t="shared" si="8"/>
        <v>0</v>
      </c>
      <c r="AA57" s="2">
        <f t="shared" ref="AA57:AA68" si="74">Y57-Z57</f>
        <v>29213.8</v>
      </c>
      <c r="AB57" s="2"/>
      <c r="AC57" s="2"/>
    </row>
    <row r="58" spans="1:29" s="6" customFormat="1" hidden="1" x14ac:dyDescent="0.25">
      <c r="A58" s="3"/>
      <c r="B58" s="3"/>
      <c r="C58" s="3"/>
      <c r="D58" s="4">
        <v>32902</v>
      </c>
      <c r="E58" s="4">
        <f t="shared" si="63"/>
        <v>4388</v>
      </c>
      <c r="F58" s="2"/>
      <c r="G58" s="8">
        <f t="shared" si="64"/>
        <v>37290</v>
      </c>
      <c r="H58" s="2">
        <f t="shared" si="1"/>
        <v>3729</v>
      </c>
      <c r="I58" s="2">
        <f>400</f>
        <v>400</v>
      </c>
      <c r="J58" s="2">
        <f t="shared" si="65"/>
        <v>2237.4</v>
      </c>
      <c r="K58" s="8">
        <f t="shared" si="66"/>
        <v>43656.4</v>
      </c>
      <c r="L58" s="2">
        <v>0</v>
      </c>
      <c r="M58" s="2">
        <f>10%*D58</f>
        <v>3290.2000000000003</v>
      </c>
      <c r="N58" s="2"/>
      <c r="O58" s="4">
        <f t="shared" si="67"/>
        <v>3290.2000000000003</v>
      </c>
      <c r="P58" s="8">
        <f t="shared" si="68"/>
        <v>46946.6</v>
      </c>
      <c r="Q58" s="2">
        <v>800</v>
      </c>
      <c r="R58" s="2">
        <f t="shared" si="69"/>
        <v>7458</v>
      </c>
      <c r="S58" s="2">
        <v>5000</v>
      </c>
      <c r="T58" s="2"/>
      <c r="U58" s="2">
        <f t="shared" si="70"/>
        <v>4474.8</v>
      </c>
      <c r="V58" s="2"/>
      <c r="W58" s="4">
        <f t="shared" si="71"/>
        <v>17732.8</v>
      </c>
      <c r="X58" s="2">
        <f t="shared" si="72"/>
        <v>33688.6</v>
      </c>
      <c r="Y58" s="10">
        <f t="shared" si="73"/>
        <v>29213.8</v>
      </c>
      <c r="Z58" s="2">
        <f t="shared" si="8"/>
        <v>0</v>
      </c>
      <c r="AA58" s="2">
        <f t="shared" si="74"/>
        <v>29213.8</v>
      </c>
      <c r="AB58" s="2"/>
      <c r="AC58" s="2"/>
    </row>
    <row r="59" spans="1:29" s="6" customFormat="1" hidden="1" x14ac:dyDescent="0.25">
      <c r="A59" s="3"/>
      <c r="B59" s="3"/>
      <c r="C59" s="3"/>
      <c r="D59" s="4">
        <v>32902</v>
      </c>
      <c r="E59" s="4">
        <f t="shared" si="63"/>
        <v>4388</v>
      </c>
      <c r="F59" s="2"/>
      <c r="G59" s="8">
        <f t="shared" si="64"/>
        <v>37290</v>
      </c>
      <c r="H59" s="2">
        <f t="shared" si="1"/>
        <v>3729</v>
      </c>
      <c r="I59" s="2">
        <f>400</f>
        <v>400</v>
      </c>
      <c r="J59" s="2">
        <f t="shared" si="65"/>
        <v>2237.4</v>
      </c>
      <c r="K59" s="8">
        <f t="shared" si="66"/>
        <v>43656.4</v>
      </c>
      <c r="L59" s="2">
        <v>0</v>
      </c>
      <c r="M59" s="2">
        <f>10%*D59+D59</f>
        <v>36192.199999999997</v>
      </c>
      <c r="N59" s="2"/>
      <c r="O59" s="4">
        <f t="shared" si="67"/>
        <v>36192.199999999997</v>
      </c>
      <c r="P59" s="8">
        <f t="shared" si="68"/>
        <v>79848.600000000006</v>
      </c>
      <c r="Q59" s="2">
        <v>800</v>
      </c>
      <c r="R59" s="2">
        <f t="shared" si="69"/>
        <v>7458</v>
      </c>
      <c r="S59" s="2">
        <v>5000</v>
      </c>
      <c r="T59" s="2"/>
      <c r="U59" s="2">
        <f t="shared" si="70"/>
        <v>4474.8</v>
      </c>
      <c r="V59" s="2"/>
      <c r="W59" s="4">
        <f t="shared" si="71"/>
        <v>17732.8</v>
      </c>
      <c r="X59" s="2">
        <f t="shared" si="72"/>
        <v>66590.600000000006</v>
      </c>
      <c r="Y59" s="10">
        <f t="shared" si="73"/>
        <v>62115.8</v>
      </c>
      <c r="Z59" s="2"/>
      <c r="AA59" s="2">
        <f t="shared" si="74"/>
        <v>62115.8</v>
      </c>
      <c r="AB59" s="2"/>
      <c r="AC59" s="2"/>
    </row>
    <row r="60" spans="1:29" s="6" customFormat="1" hidden="1" x14ac:dyDescent="0.25">
      <c r="A60" s="3"/>
      <c r="B60" s="3"/>
      <c r="C60" s="3"/>
      <c r="D60" s="4">
        <v>32902</v>
      </c>
      <c r="E60" s="4">
        <f t="shared" si="63"/>
        <v>4388</v>
      </c>
      <c r="F60" s="2"/>
      <c r="G60" s="8">
        <f t="shared" si="64"/>
        <v>37290</v>
      </c>
      <c r="H60" s="2">
        <f t="shared" si="1"/>
        <v>3729</v>
      </c>
      <c r="I60" s="2">
        <f>400</f>
        <v>400</v>
      </c>
      <c r="J60" s="2">
        <f t="shared" si="65"/>
        <v>2237.4</v>
      </c>
      <c r="K60" s="8">
        <f t="shared" si="66"/>
        <v>43656.4</v>
      </c>
      <c r="L60" s="2">
        <v>0</v>
      </c>
      <c r="M60" s="2">
        <f t="shared" ref="M60:M68" si="75">10%*D60</f>
        <v>3290.2000000000003</v>
      </c>
      <c r="N60" s="2"/>
      <c r="O60" s="4">
        <f t="shared" si="67"/>
        <v>3290.2000000000003</v>
      </c>
      <c r="P60" s="8">
        <f t="shared" si="68"/>
        <v>46946.6</v>
      </c>
      <c r="Q60" s="2">
        <v>800</v>
      </c>
      <c r="R60" s="2">
        <f t="shared" si="69"/>
        <v>7458</v>
      </c>
      <c r="S60" s="2">
        <v>5000</v>
      </c>
      <c r="T60" s="2"/>
      <c r="U60" s="2">
        <f t="shared" si="70"/>
        <v>4474.8</v>
      </c>
      <c r="V60" s="2"/>
      <c r="W60" s="4">
        <f t="shared" si="71"/>
        <v>17732.8</v>
      </c>
      <c r="X60" s="2">
        <f t="shared" si="72"/>
        <v>33688.6</v>
      </c>
      <c r="Y60" s="10">
        <f t="shared" si="73"/>
        <v>29213.8</v>
      </c>
      <c r="Z60" s="2">
        <f t="shared" si="8"/>
        <v>0</v>
      </c>
      <c r="AA60" s="2">
        <f t="shared" si="74"/>
        <v>29213.8</v>
      </c>
      <c r="AB60" s="2"/>
      <c r="AC60" s="2"/>
    </row>
    <row r="61" spans="1:29" s="6" customFormat="1" hidden="1" x14ac:dyDescent="0.25">
      <c r="A61" s="3"/>
      <c r="B61" s="3"/>
      <c r="C61" s="3"/>
      <c r="D61" s="4">
        <v>32902</v>
      </c>
      <c r="E61" s="4">
        <f t="shared" si="63"/>
        <v>4388</v>
      </c>
      <c r="F61" s="2"/>
      <c r="G61" s="8">
        <f t="shared" si="64"/>
        <v>37290</v>
      </c>
      <c r="H61" s="2">
        <f t="shared" si="1"/>
        <v>3729</v>
      </c>
      <c r="I61" s="2">
        <f>400</f>
        <v>400</v>
      </c>
      <c r="J61" s="2">
        <f t="shared" si="65"/>
        <v>2237.4</v>
      </c>
      <c r="K61" s="8">
        <f t="shared" si="66"/>
        <v>43656.4</v>
      </c>
      <c r="L61" s="2">
        <v>0</v>
      </c>
      <c r="M61" s="2">
        <f t="shared" si="75"/>
        <v>3290.2000000000003</v>
      </c>
      <c r="N61" s="2"/>
      <c r="O61" s="4">
        <f t="shared" si="67"/>
        <v>3290.2000000000003</v>
      </c>
      <c r="P61" s="8">
        <f t="shared" si="68"/>
        <v>46946.6</v>
      </c>
      <c r="Q61" s="2">
        <v>800</v>
      </c>
      <c r="R61" s="2">
        <f t="shared" si="69"/>
        <v>7458</v>
      </c>
      <c r="S61" s="2">
        <v>5000</v>
      </c>
      <c r="T61" s="2"/>
      <c r="U61" s="2">
        <f t="shared" si="70"/>
        <v>4474.8</v>
      </c>
      <c r="V61" s="2"/>
      <c r="W61" s="4">
        <f t="shared" si="71"/>
        <v>17732.8</v>
      </c>
      <c r="X61" s="2">
        <f t="shared" si="72"/>
        <v>33688.6</v>
      </c>
      <c r="Y61" s="10">
        <f t="shared" si="73"/>
        <v>29213.8</v>
      </c>
      <c r="Z61" s="2">
        <f t="shared" si="8"/>
        <v>0</v>
      </c>
      <c r="AA61" s="2">
        <f t="shared" si="74"/>
        <v>29213.8</v>
      </c>
      <c r="AB61" s="2"/>
      <c r="AC61" s="2"/>
    </row>
    <row r="62" spans="1:29" s="6" customFormat="1" hidden="1" x14ac:dyDescent="0.25">
      <c r="A62" s="3"/>
      <c r="B62" s="3"/>
      <c r="C62" s="3"/>
      <c r="D62" s="4">
        <v>32902</v>
      </c>
      <c r="E62" s="4">
        <f t="shared" si="63"/>
        <v>4388</v>
      </c>
      <c r="F62" s="2"/>
      <c r="G62" s="8">
        <f t="shared" si="64"/>
        <v>37290</v>
      </c>
      <c r="H62" s="2">
        <f t="shared" si="1"/>
        <v>3729</v>
      </c>
      <c r="I62" s="2">
        <f>400</f>
        <v>400</v>
      </c>
      <c r="J62" s="2">
        <f t="shared" si="65"/>
        <v>2237.4</v>
      </c>
      <c r="K62" s="8">
        <f t="shared" si="66"/>
        <v>43656.4</v>
      </c>
      <c r="L62" s="2">
        <v>0</v>
      </c>
      <c r="M62" s="2">
        <f t="shared" si="75"/>
        <v>3290.2000000000003</v>
      </c>
      <c r="N62" s="2"/>
      <c r="O62" s="4">
        <f t="shared" si="67"/>
        <v>3290.2000000000003</v>
      </c>
      <c r="P62" s="8">
        <f t="shared" si="68"/>
        <v>46946.6</v>
      </c>
      <c r="Q62" s="2">
        <v>800</v>
      </c>
      <c r="R62" s="2">
        <f t="shared" si="69"/>
        <v>7458</v>
      </c>
      <c r="S62" s="2">
        <v>5000</v>
      </c>
      <c r="T62" s="2"/>
      <c r="U62" s="2">
        <f t="shared" si="70"/>
        <v>4474.8</v>
      </c>
      <c r="V62" s="2"/>
      <c r="W62" s="4">
        <f t="shared" si="71"/>
        <v>17732.8</v>
      </c>
      <c r="X62" s="2">
        <f t="shared" si="72"/>
        <v>33688.6</v>
      </c>
      <c r="Y62" s="10">
        <f t="shared" si="73"/>
        <v>29213.8</v>
      </c>
      <c r="Z62" s="2">
        <f t="shared" si="8"/>
        <v>0</v>
      </c>
      <c r="AA62" s="2">
        <f t="shared" si="74"/>
        <v>29213.8</v>
      </c>
      <c r="AB62" s="2"/>
      <c r="AC62" s="2"/>
    </row>
    <row r="63" spans="1:29" s="6" customFormat="1" hidden="1" x14ac:dyDescent="0.25">
      <c r="A63" s="3"/>
      <c r="B63" s="3"/>
      <c r="C63" s="3"/>
      <c r="D63" s="4">
        <v>32902</v>
      </c>
      <c r="E63" s="4">
        <f t="shared" si="63"/>
        <v>4388</v>
      </c>
      <c r="F63" s="2"/>
      <c r="G63" s="8">
        <f t="shared" si="64"/>
        <v>37290</v>
      </c>
      <c r="H63" s="2">
        <f t="shared" si="1"/>
        <v>3729</v>
      </c>
      <c r="I63" s="2">
        <f>400</f>
        <v>400</v>
      </c>
      <c r="J63" s="2">
        <f t="shared" si="65"/>
        <v>2237.4</v>
      </c>
      <c r="K63" s="8">
        <f t="shared" si="66"/>
        <v>43656.4</v>
      </c>
      <c r="L63" s="2">
        <v>0</v>
      </c>
      <c r="M63" s="2">
        <f t="shared" si="75"/>
        <v>3290.2000000000003</v>
      </c>
      <c r="N63" s="2"/>
      <c r="O63" s="4">
        <f t="shared" si="67"/>
        <v>3290.2000000000003</v>
      </c>
      <c r="P63" s="8">
        <f t="shared" si="68"/>
        <v>46946.6</v>
      </c>
      <c r="Q63" s="2">
        <v>800</v>
      </c>
      <c r="R63" s="2">
        <f t="shared" si="69"/>
        <v>7458</v>
      </c>
      <c r="S63" s="2">
        <v>5000</v>
      </c>
      <c r="T63" s="2"/>
      <c r="U63" s="2">
        <f t="shared" si="70"/>
        <v>4474.8</v>
      </c>
      <c r="V63" s="2"/>
      <c r="W63" s="4">
        <f t="shared" si="71"/>
        <v>17732.8</v>
      </c>
      <c r="X63" s="2">
        <f t="shared" si="72"/>
        <v>33688.6</v>
      </c>
      <c r="Y63" s="10">
        <f t="shared" si="73"/>
        <v>29213.8</v>
      </c>
      <c r="Z63" s="2">
        <f t="shared" si="8"/>
        <v>0</v>
      </c>
      <c r="AA63" s="2">
        <f t="shared" si="74"/>
        <v>29213.8</v>
      </c>
      <c r="AB63" s="2"/>
      <c r="AC63" s="2"/>
    </row>
    <row r="64" spans="1:29" s="6" customFormat="1" hidden="1" x14ac:dyDescent="0.25">
      <c r="A64" s="3"/>
      <c r="B64" s="3"/>
      <c r="C64" s="3"/>
      <c r="D64" s="4">
        <v>32902</v>
      </c>
      <c r="E64" s="4">
        <f t="shared" si="63"/>
        <v>4388</v>
      </c>
      <c r="F64" s="2"/>
      <c r="G64" s="8">
        <f t="shared" si="64"/>
        <v>37290</v>
      </c>
      <c r="H64" s="2">
        <f t="shared" si="1"/>
        <v>3729</v>
      </c>
      <c r="I64" s="2">
        <f>400</f>
        <v>400</v>
      </c>
      <c r="J64" s="2">
        <f t="shared" si="65"/>
        <v>2237.4</v>
      </c>
      <c r="K64" s="8">
        <f t="shared" si="66"/>
        <v>43656.4</v>
      </c>
      <c r="L64" s="2">
        <v>0</v>
      </c>
      <c r="M64" s="2">
        <f t="shared" si="75"/>
        <v>3290.2000000000003</v>
      </c>
      <c r="N64" s="2"/>
      <c r="O64" s="4">
        <f t="shared" si="67"/>
        <v>3290.2000000000003</v>
      </c>
      <c r="P64" s="8">
        <f t="shared" si="68"/>
        <v>46946.6</v>
      </c>
      <c r="Q64" s="2">
        <v>800</v>
      </c>
      <c r="R64" s="2">
        <f t="shared" si="69"/>
        <v>7458</v>
      </c>
      <c r="S64" s="2">
        <v>5000</v>
      </c>
      <c r="T64" s="2"/>
      <c r="U64" s="2">
        <f t="shared" si="70"/>
        <v>4474.8</v>
      </c>
      <c r="V64" s="2"/>
      <c r="W64" s="4">
        <f t="shared" si="71"/>
        <v>17732.8</v>
      </c>
      <c r="X64" s="2">
        <f t="shared" si="72"/>
        <v>33688.6</v>
      </c>
      <c r="Y64" s="10">
        <f t="shared" si="73"/>
        <v>29213.8</v>
      </c>
      <c r="Z64" s="2">
        <f t="shared" si="8"/>
        <v>0</v>
      </c>
      <c r="AA64" s="2">
        <f t="shared" si="74"/>
        <v>29213.8</v>
      </c>
      <c r="AB64" s="2"/>
      <c r="AC64" s="2"/>
    </row>
    <row r="65" spans="1:29" s="6" customFormat="1" hidden="1" x14ac:dyDescent="0.25">
      <c r="A65" s="3"/>
      <c r="B65" s="3"/>
      <c r="C65" s="3"/>
      <c r="D65" s="4">
        <v>32902</v>
      </c>
      <c r="E65" s="4">
        <f t="shared" si="63"/>
        <v>4388</v>
      </c>
      <c r="F65" s="2"/>
      <c r="G65" s="8">
        <f t="shared" si="64"/>
        <v>37290</v>
      </c>
      <c r="H65" s="2">
        <f t="shared" si="1"/>
        <v>3729</v>
      </c>
      <c r="I65" s="2">
        <f>400</f>
        <v>400</v>
      </c>
      <c r="J65" s="2">
        <f t="shared" si="65"/>
        <v>2237.4</v>
      </c>
      <c r="K65" s="8">
        <f t="shared" si="66"/>
        <v>43656.4</v>
      </c>
      <c r="L65" s="2">
        <v>0</v>
      </c>
      <c r="M65" s="2">
        <f t="shared" si="75"/>
        <v>3290.2000000000003</v>
      </c>
      <c r="N65" s="2">
        <v>10000</v>
      </c>
      <c r="O65" s="4">
        <f t="shared" si="67"/>
        <v>13290.2</v>
      </c>
      <c r="P65" s="8">
        <f t="shared" si="68"/>
        <v>56946.600000000006</v>
      </c>
      <c r="Q65" s="2">
        <v>800</v>
      </c>
      <c r="R65" s="2">
        <f t="shared" si="69"/>
        <v>7458</v>
      </c>
      <c r="S65" s="2">
        <v>5000</v>
      </c>
      <c r="T65" s="2"/>
      <c r="U65" s="2">
        <f t="shared" si="70"/>
        <v>4474.8</v>
      </c>
      <c r="V65" s="2"/>
      <c r="W65" s="4">
        <f t="shared" si="71"/>
        <v>17732.8</v>
      </c>
      <c r="X65" s="2">
        <f t="shared" si="72"/>
        <v>43688.600000000006</v>
      </c>
      <c r="Y65" s="10">
        <f t="shared" si="73"/>
        <v>39213.800000000003</v>
      </c>
      <c r="Z65" s="2">
        <f t="shared" si="8"/>
        <v>0</v>
      </c>
      <c r="AA65" s="2">
        <f t="shared" si="74"/>
        <v>39213.800000000003</v>
      </c>
      <c r="AB65" s="2"/>
      <c r="AC65" s="2"/>
    </row>
    <row r="66" spans="1:29" s="6" customFormat="1" hidden="1" x14ac:dyDescent="0.25">
      <c r="A66" s="3"/>
      <c r="B66" s="3"/>
      <c r="C66" s="3"/>
      <c r="D66" s="4">
        <v>32902</v>
      </c>
      <c r="E66" s="4">
        <f t="shared" si="63"/>
        <v>4388</v>
      </c>
      <c r="F66" s="2"/>
      <c r="G66" s="8">
        <f t="shared" si="64"/>
        <v>37290</v>
      </c>
      <c r="H66" s="2">
        <f t="shared" si="1"/>
        <v>3729</v>
      </c>
      <c r="I66" s="2">
        <f>400</f>
        <v>400</v>
      </c>
      <c r="J66" s="2">
        <f t="shared" si="65"/>
        <v>2237.4</v>
      </c>
      <c r="K66" s="8">
        <f t="shared" si="66"/>
        <v>43656.4</v>
      </c>
      <c r="L66" s="2">
        <v>0</v>
      </c>
      <c r="M66" s="2">
        <f t="shared" si="75"/>
        <v>3290.2000000000003</v>
      </c>
      <c r="N66" s="2"/>
      <c r="O66" s="4">
        <f t="shared" si="67"/>
        <v>3290.2000000000003</v>
      </c>
      <c r="P66" s="8">
        <f t="shared" si="68"/>
        <v>46946.6</v>
      </c>
      <c r="Q66" s="2">
        <v>800</v>
      </c>
      <c r="R66" s="2">
        <f t="shared" si="69"/>
        <v>7458</v>
      </c>
      <c r="S66" s="2">
        <v>5000</v>
      </c>
      <c r="T66" s="2"/>
      <c r="U66" s="2">
        <f t="shared" si="70"/>
        <v>4474.8</v>
      </c>
      <c r="V66" s="2"/>
      <c r="W66" s="4">
        <f t="shared" si="71"/>
        <v>17732.8</v>
      </c>
      <c r="X66" s="2">
        <f t="shared" si="72"/>
        <v>33688.6</v>
      </c>
      <c r="Y66" s="10">
        <f t="shared" si="73"/>
        <v>29213.8</v>
      </c>
      <c r="Z66" s="2">
        <f t="shared" si="8"/>
        <v>0</v>
      </c>
      <c r="AA66" s="2">
        <f t="shared" si="74"/>
        <v>29213.8</v>
      </c>
      <c r="AB66" s="2"/>
      <c r="AC66" s="2"/>
    </row>
    <row r="67" spans="1:29" s="6" customFormat="1" hidden="1" x14ac:dyDescent="0.25">
      <c r="A67" s="3"/>
      <c r="B67" s="3"/>
      <c r="C67" s="3"/>
      <c r="D67" s="4">
        <v>32902</v>
      </c>
      <c r="E67" s="4">
        <f t="shared" si="63"/>
        <v>4388</v>
      </c>
      <c r="F67" s="2"/>
      <c r="G67" s="8">
        <f t="shared" si="64"/>
        <v>37290</v>
      </c>
      <c r="H67" s="2">
        <f t="shared" ref="H67:H68" si="76">10%*G67</f>
        <v>3729</v>
      </c>
      <c r="I67" s="2">
        <f>400</f>
        <v>400</v>
      </c>
      <c r="J67" s="2">
        <f t="shared" si="65"/>
        <v>2237.4</v>
      </c>
      <c r="K67" s="8">
        <f t="shared" si="66"/>
        <v>43656.4</v>
      </c>
      <c r="L67" s="2">
        <v>0</v>
      </c>
      <c r="M67" s="2">
        <f t="shared" si="75"/>
        <v>3290.2000000000003</v>
      </c>
      <c r="N67" s="2"/>
      <c r="O67" s="4">
        <f t="shared" si="67"/>
        <v>3290.2000000000003</v>
      </c>
      <c r="P67" s="8">
        <f t="shared" si="68"/>
        <v>46946.6</v>
      </c>
      <c r="Q67" s="2">
        <v>800</v>
      </c>
      <c r="R67" s="2">
        <f t="shared" si="69"/>
        <v>7458</v>
      </c>
      <c r="S67" s="2">
        <v>5000</v>
      </c>
      <c r="T67" s="2"/>
      <c r="U67" s="2">
        <f t="shared" si="70"/>
        <v>4474.8</v>
      </c>
      <c r="V67" s="2"/>
      <c r="W67" s="4">
        <f t="shared" si="71"/>
        <v>17732.8</v>
      </c>
      <c r="X67" s="2">
        <f t="shared" si="72"/>
        <v>33688.6</v>
      </c>
      <c r="Y67" s="10">
        <f t="shared" si="73"/>
        <v>29213.8</v>
      </c>
      <c r="Z67" s="2">
        <f t="shared" ref="Z67:Z68" si="77">IF(Y67*13&gt;600000,1%*Y67,0)</f>
        <v>0</v>
      </c>
      <c r="AA67" s="2">
        <f t="shared" si="74"/>
        <v>29213.8</v>
      </c>
      <c r="AB67" s="2"/>
      <c r="AC67" s="2"/>
    </row>
    <row r="68" spans="1:29" s="6" customFormat="1" hidden="1" x14ac:dyDescent="0.25">
      <c r="A68" s="3"/>
      <c r="B68" s="3"/>
      <c r="C68" s="3"/>
      <c r="D68" s="4">
        <v>32902</v>
      </c>
      <c r="E68" s="4">
        <f>ROUNDUP(D68/30,0)*5</f>
        <v>5485</v>
      </c>
      <c r="F68" s="2"/>
      <c r="G68" s="8">
        <f t="shared" si="64"/>
        <v>38387</v>
      </c>
      <c r="H68" s="2">
        <f t="shared" si="76"/>
        <v>3838.7000000000003</v>
      </c>
      <c r="I68" s="2">
        <f>400</f>
        <v>400</v>
      </c>
      <c r="J68" s="2">
        <f t="shared" si="65"/>
        <v>2303.2199999999998</v>
      </c>
      <c r="K68" s="8">
        <f t="shared" si="66"/>
        <v>44928.92</v>
      </c>
      <c r="L68" s="2">
        <v>0</v>
      </c>
      <c r="M68" s="2">
        <f t="shared" si="75"/>
        <v>3290.2000000000003</v>
      </c>
      <c r="N68" s="2"/>
      <c r="O68" s="4">
        <f t="shared" si="67"/>
        <v>3290.2000000000003</v>
      </c>
      <c r="P68" s="8">
        <f t="shared" si="68"/>
        <v>48219.119999999995</v>
      </c>
      <c r="Q68" s="2">
        <v>800</v>
      </c>
      <c r="R68" s="2">
        <f t="shared" si="69"/>
        <v>7677.4000000000005</v>
      </c>
      <c r="S68" s="2">
        <v>5000</v>
      </c>
      <c r="T68" s="2"/>
      <c r="U68" s="2">
        <f t="shared" si="70"/>
        <v>4606.4399999999996</v>
      </c>
      <c r="V68" s="2"/>
      <c r="W68" s="4">
        <f t="shared" si="71"/>
        <v>18083.84</v>
      </c>
      <c r="X68" s="2">
        <f t="shared" si="72"/>
        <v>34741.719999999994</v>
      </c>
      <c r="Y68" s="10">
        <f t="shared" si="73"/>
        <v>30135.279999999995</v>
      </c>
      <c r="Z68" s="2">
        <f t="shared" si="77"/>
        <v>0</v>
      </c>
      <c r="AA68" s="2">
        <f t="shared" si="74"/>
        <v>30135.279999999995</v>
      </c>
      <c r="AB68" s="2"/>
      <c r="AC68" s="2"/>
    </row>
    <row r="69" spans="1:29" s="6" customFormat="1" hidden="1" x14ac:dyDescent="0.25">
      <c r="A69" s="3"/>
      <c r="B69" s="3"/>
      <c r="C69" s="3"/>
      <c r="D69" s="4"/>
      <c r="E69" s="4"/>
      <c r="F69" s="2"/>
      <c r="G69" s="8"/>
      <c r="H69" s="2"/>
      <c r="I69" s="2"/>
      <c r="J69" s="2"/>
      <c r="K69" s="8"/>
      <c r="L69" s="2"/>
      <c r="M69" s="2"/>
      <c r="N69" s="2"/>
      <c r="O69" s="4"/>
      <c r="P69" s="8"/>
      <c r="Q69" s="2"/>
      <c r="R69" s="2"/>
      <c r="S69" s="2"/>
      <c r="T69" s="2"/>
      <c r="U69" s="2"/>
      <c r="V69" s="2"/>
      <c r="W69" s="4"/>
      <c r="X69" s="2"/>
      <c r="Y69" s="10"/>
      <c r="Z69" s="2"/>
      <c r="AA69" s="2"/>
      <c r="AB69" s="2"/>
      <c r="AC69" s="2"/>
    </row>
    <row r="70" spans="1:29" hidden="1" x14ac:dyDescent="0.25">
      <c r="A70" s="2"/>
      <c r="B70" s="2"/>
      <c r="C70" s="2"/>
      <c r="D70" s="4">
        <v>32902</v>
      </c>
      <c r="E70" s="4">
        <f>ROUNDUP(D70/30,0)*4</f>
        <v>4388</v>
      </c>
      <c r="F70" s="2"/>
      <c r="G70" s="8">
        <f>SUM(D70:F70)</f>
        <v>37290</v>
      </c>
      <c r="H70" s="2">
        <f>10%*G70</f>
        <v>3729</v>
      </c>
      <c r="I70" s="2">
        <v>400</v>
      </c>
      <c r="J70" s="2">
        <f>6%*G70</f>
        <v>2237.4</v>
      </c>
      <c r="K70" s="8">
        <f>SUM(G70:J70)</f>
        <v>43656.4</v>
      </c>
      <c r="L70" s="2">
        <v>2000</v>
      </c>
      <c r="M70" s="2">
        <v>0</v>
      </c>
      <c r="N70" s="2"/>
      <c r="O70" s="4">
        <f>SUM(L70:M70)</f>
        <v>2000</v>
      </c>
      <c r="P70" s="8">
        <f>K70+O70</f>
        <v>45656.4</v>
      </c>
      <c r="Q70" s="2">
        <v>800</v>
      </c>
      <c r="R70" s="2">
        <f>H70*2</f>
        <v>7458</v>
      </c>
      <c r="S70" s="2">
        <v>5000</v>
      </c>
      <c r="T70" s="2"/>
      <c r="U70" s="2">
        <f>J70*2</f>
        <v>4474.8</v>
      </c>
      <c r="V70" s="2"/>
      <c r="W70" s="4">
        <f>SUM(Q70:U70)</f>
        <v>17732.8</v>
      </c>
      <c r="X70" s="2">
        <f t="shared" ref="X70:X82" si="78">Y70+U70</f>
        <v>32398.400000000001</v>
      </c>
      <c r="Y70" s="10">
        <f t="shared" ref="Y70:Y82" si="79">P70-W70</f>
        <v>27923.600000000002</v>
      </c>
      <c r="Z70" s="2">
        <f>IF(Y70*13&gt;600000,1%*Y70,0)</f>
        <v>0</v>
      </c>
      <c r="AA70" s="2">
        <f>Y70-Z70</f>
        <v>27923.600000000002</v>
      </c>
      <c r="AB70" s="2"/>
      <c r="AC70" s="2"/>
    </row>
    <row r="71" spans="1:29" hidden="1" x14ac:dyDescent="0.25">
      <c r="A71" s="2"/>
      <c r="B71" s="2"/>
      <c r="C71" s="2"/>
      <c r="D71" s="4">
        <v>34730</v>
      </c>
      <c r="E71" s="4">
        <f>ROUNDUP(D71/30,0)*4</f>
        <v>4632</v>
      </c>
      <c r="F71" s="2"/>
      <c r="G71" s="8">
        <f>SUM(D71:F71)</f>
        <v>39362</v>
      </c>
      <c r="H71" s="2">
        <f>10%*G71</f>
        <v>3936.2000000000003</v>
      </c>
      <c r="I71" s="2">
        <v>400</v>
      </c>
      <c r="J71" s="2">
        <f>6%*G71</f>
        <v>2361.7199999999998</v>
      </c>
      <c r="K71" s="8">
        <f>SUM(G71:J71)</f>
        <v>46059.92</v>
      </c>
      <c r="L71" s="2">
        <f>2000+3000</f>
        <v>5000</v>
      </c>
      <c r="M71" s="2">
        <f>G71</f>
        <v>39362</v>
      </c>
      <c r="N71" s="2"/>
      <c r="O71" s="4">
        <f>SUM(L71:M71)</f>
        <v>44362</v>
      </c>
      <c r="P71" s="8">
        <f>K71+O71</f>
        <v>90421.92</v>
      </c>
      <c r="Q71" s="2">
        <v>800</v>
      </c>
      <c r="R71" s="2">
        <f>H71*2</f>
        <v>7872.4000000000005</v>
      </c>
      <c r="S71" s="2">
        <v>5000</v>
      </c>
      <c r="T71" s="2"/>
      <c r="U71" s="2">
        <f>J71*2</f>
        <v>4723.4399999999996</v>
      </c>
      <c r="V71" s="2"/>
      <c r="W71" s="4">
        <f>SUM(Q71:U71)</f>
        <v>18395.84</v>
      </c>
      <c r="X71" s="2">
        <f t="shared" si="78"/>
        <v>76749.52</v>
      </c>
      <c r="Y71" s="10">
        <f t="shared" si="79"/>
        <v>72026.080000000002</v>
      </c>
      <c r="Z71" s="12">
        <f>IF(Y71*13&gt;600000,1%*Y71,0)</f>
        <v>720.26080000000002</v>
      </c>
      <c r="AA71" s="12">
        <f>Y71-Z71</f>
        <v>71305.819199999998</v>
      </c>
      <c r="AB71" s="2"/>
      <c r="AC71" s="2"/>
    </row>
    <row r="72" spans="1:29" hidden="1" x14ac:dyDescent="0.25">
      <c r="A72" s="2"/>
      <c r="B72" s="2"/>
      <c r="C72" s="2"/>
      <c r="D72" s="4">
        <v>34730</v>
      </c>
      <c r="E72" s="4">
        <f>ROUNDUP(D72/30,0)*4</f>
        <v>4632</v>
      </c>
      <c r="F72" s="2"/>
      <c r="G72" s="8">
        <f>SUM(D72:F72)</f>
        <v>39362</v>
      </c>
      <c r="H72" s="2">
        <f>10%*G72</f>
        <v>3936.2000000000003</v>
      </c>
      <c r="I72" s="2">
        <v>400</v>
      </c>
      <c r="J72" s="2">
        <f>6%*G72</f>
        <v>2361.7199999999998</v>
      </c>
      <c r="K72" s="8">
        <f>SUM(G72:J72)</f>
        <v>46059.92</v>
      </c>
      <c r="L72" s="2">
        <f>2000+3000</f>
        <v>5000</v>
      </c>
      <c r="M72" s="2">
        <v>0</v>
      </c>
      <c r="N72" s="2"/>
      <c r="O72" s="4">
        <f>SUM(L72:M72)</f>
        <v>5000</v>
      </c>
      <c r="P72" s="8">
        <f>K72+O72</f>
        <v>51059.92</v>
      </c>
      <c r="Q72" s="2">
        <v>800</v>
      </c>
      <c r="R72" s="2">
        <f>H72*2</f>
        <v>7872.4000000000005</v>
      </c>
      <c r="S72" s="2">
        <v>5000</v>
      </c>
      <c r="T72" s="2"/>
      <c r="U72" s="2">
        <f>J72*2</f>
        <v>4723.4399999999996</v>
      </c>
      <c r="V72" s="2"/>
      <c r="W72" s="4">
        <f>SUM(Q72:U72)</f>
        <v>18395.84</v>
      </c>
      <c r="X72" s="2">
        <f t="shared" si="78"/>
        <v>37387.519999999997</v>
      </c>
      <c r="Y72" s="10">
        <f t="shared" si="79"/>
        <v>32664.079999999998</v>
      </c>
      <c r="Z72" s="2">
        <f>IF(Y72*13&gt;600000,1%*Y72,0)</f>
        <v>0</v>
      </c>
      <c r="AA72" s="2">
        <f>Y72-Z72</f>
        <v>32664.079999999998</v>
      </c>
      <c r="AB72" s="2"/>
      <c r="AC72" s="2"/>
    </row>
    <row r="73" spans="1:29" hidden="1" x14ac:dyDescent="0.25">
      <c r="A73" s="2"/>
      <c r="B73" s="2"/>
      <c r="C73" s="2"/>
      <c r="D73" s="4">
        <v>34730</v>
      </c>
      <c r="E73" s="4">
        <f>ROUNDUP(D73/30,0)*4</f>
        <v>4632</v>
      </c>
      <c r="F73" s="2"/>
      <c r="G73" s="8">
        <f>SUM(D73:F73)</f>
        <v>39362</v>
      </c>
      <c r="H73" s="2">
        <f>10%*G73</f>
        <v>3936.2000000000003</v>
      </c>
      <c r="I73" s="2">
        <v>400</v>
      </c>
      <c r="J73" s="2">
        <f>6%*G73</f>
        <v>2361.7199999999998</v>
      </c>
      <c r="K73" s="8">
        <f>SUM(G73:J73)</f>
        <v>46059.92</v>
      </c>
      <c r="L73" s="2">
        <f>2000+3000</f>
        <v>5000</v>
      </c>
      <c r="M73" s="2">
        <v>0</v>
      </c>
      <c r="N73" s="2"/>
      <c r="O73" s="4">
        <f>SUM(L73:M73)</f>
        <v>5000</v>
      </c>
      <c r="P73" s="8">
        <f>K73+O73</f>
        <v>51059.92</v>
      </c>
      <c r="Q73" s="2">
        <v>800</v>
      </c>
      <c r="R73" s="2">
        <f>H73*2</f>
        <v>7872.4000000000005</v>
      </c>
      <c r="S73" s="2">
        <v>5000</v>
      </c>
      <c r="T73" s="2"/>
      <c r="U73" s="2">
        <f>J73*2</f>
        <v>4723.4399999999996</v>
      </c>
      <c r="V73" s="2"/>
      <c r="W73" s="4">
        <f>SUM(Q73:U73)</f>
        <v>18395.84</v>
      </c>
      <c r="X73" s="2">
        <f t="shared" si="78"/>
        <v>37387.519999999997</v>
      </c>
      <c r="Y73" s="10">
        <f t="shared" si="79"/>
        <v>32664.079999999998</v>
      </c>
      <c r="Z73" s="2">
        <f>IF(Y73*13&gt;600000,1%*Y73,0)</f>
        <v>0</v>
      </c>
      <c r="AA73" s="2">
        <f>Y73-Z73</f>
        <v>32664.079999999998</v>
      </c>
      <c r="AB73" s="2"/>
      <c r="AC73" s="2"/>
    </row>
    <row r="74" spans="1:29" hidden="1" x14ac:dyDescent="0.25">
      <c r="A74" s="2"/>
      <c r="B74" s="2"/>
      <c r="C74" s="2"/>
      <c r="D74" s="4">
        <v>34730</v>
      </c>
      <c r="E74" s="4">
        <f>ROUNDUP(D74/30,0)*4</f>
        <v>4632</v>
      </c>
      <c r="F74" s="2"/>
      <c r="G74" s="8">
        <f>SUM(D74:F74)</f>
        <v>39362</v>
      </c>
      <c r="H74" s="2">
        <f>10%*G74</f>
        <v>3936.2000000000003</v>
      </c>
      <c r="I74" s="2">
        <v>400</v>
      </c>
      <c r="J74" s="2">
        <f>6%*G74</f>
        <v>2361.7199999999998</v>
      </c>
      <c r="K74" s="8">
        <f>SUM(G74:J74)</f>
        <v>46059.92</v>
      </c>
      <c r="L74" s="2">
        <f>2000+3000</f>
        <v>5000</v>
      </c>
      <c r="M74" s="2">
        <v>0</v>
      </c>
      <c r="N74" s="2"/>
      <c r="O74" s="4">
        <f>SUM(L74:M74)</f>
        <v>5000</v>
      </c>
      <c r="P74" s="8">
        <f>K74+O74</f>
        <v>51059.92</v>
      </c>
      <c r="Q74" s="2">
        <v>800</v>
      </c>
      <c r="R74" s="2">
        <f>H74*2</f>
        <v>7872.4000000000005</v>
      </c>
      <c r="S74" s="2">
        <v>5000</v>
      </c>
      <c r="T74" s="2"/>
      <c r="U74" s="2">
        <f>J74*2</f>
        <v>4723.4399999999996</v>
      </c>
      <c r="V74" s="2"/>
      <c r="W74" s="4">
        <f>SUM(Q74:U74)</f>
        <v>18395.84</v>
      </c>
      <c r="X74" s="2">
        <f t="shared" si="78"/>
        <v>37387.519999999997</v>
      </c>
      <c r="Y74" s="10">
        <f t="shared" si="79"/>
        <v>32664.079999999998</v>
      </c>
      <c r="Z74" s="2">
        <f>IF(Y74*13&gt;600000,1%*Y74,0)</f>
        <v>0</v>
      </c>
      <c r="AA74" s="2">
        <f>Y74-Z74</f>
        <v>32664.079999999998</v>
      </c>
      <c r="AB74" s="2"/>
      <c r="AC74" s="2"/>
    </row>
    <row r="75" spans="1:29" hidden="1" x14ac:dyDescent="0.25">
      <c r="A75" s="2"/>
      <c r="B75" s="2"/>
      <c r="C75" s="2"/>
      <c r="D75" s="4">
        <v>34730</v>
      </c>
      <c r="E75" s="4">
        <f t="shared" ref="E75:E80" si="80">ROUNDUP(D75/30,0)*4</f>
        <v>4632</v>
      </c>
      <c r="F75" s="2"/>
      <c r="G75" s="8">
        <f t="shared" ref="G75:G82" si="81">SUM(D75:F75)</f>
        <v>39362</v>
      </c>
      <c r="H75" s="2">
        <f t="shared" ref="H75:H82" si="82">10%*G75</f>
        <v>3936.2000000000003</v>
      </c>
      <c r="I75" s="2">
        <v>400</v>
      </c>
      <c r="J75" s="2">
        <f t="shared" ref="J75:J82" si="83">6%*G75</f>
        <v>2361.7199999999998</v>
      </c>
      <c r="K75" s="8">
        <f t="shared" ref="K75:K82" si="84">SUM(G75:J75)</f>
        <v>46059.92</v>
      </c>
      <c r="L75" s="2">
        <f t="shared" ref="L75:L90" si="85">2000+3000</f>
        <v>5000</v>
      </c>
      <c r="M75" s="2">
        <v>0</v>
      </c>
      <c r="N75" s="2"/>
      <c r="O75" s="4">
        <f t="shared" ref="O75:O77" si="86">SUM(L75:M75)</f>
        <v>5000</v>
      </c>
      <c r="P75" s="8">
        <f t="shared" ref="P75:P82" si="87">K75+O75</f>
        <v>51059.92</v>
      </c>
      <c r="Q75" s="2">
        <v>800</v>
      </c>
      <c r="R75" s="2">
        <f t="shared" ref="R75:R82" si="88">H75*2</f>
        <v>7872.4000000000005</v>
      </c>
      <c r="S75" s="2">
        <v>5000</v>
      </c>
      <c r="T75" s="2"/>
      <c r="U75" s="2">
        <f t="shared" ref="U75:U82" si="89">J75*2</f>
        <v>4723.4399999999996</v>
      </c>
      <c r="V75" s="2"/>
      <c r="W75" s="4">
        <f t="shared" ref="W75:W82" si="90">SUM(Q75:U75)</f>
        <v>18395.84</v>
      </c>
      <c r="X75" s="2">
        <f t="shared" si="78"/>
        <v>37387.519999999997</v>
      </c>
      <c r="Y75" s="10">
        <f t="shared" si="79"/>
        <v>32664.079999999998</v>
      </c>
      <c r="Z75" s="2">
        <f t="shared" ref="Z75:Z80" si="91">IF(Y75*13&gt;600000,1%*Y75,0)</f>
        <v>0</v>
      </c>
      <c r="AA75" s="2">
        <f t="shared" ref="AA75:AA82" si="92">Y75-Z75</f>
        <v>32664.079999999998</v>
      </c>
      <c r="AB75" s="2"/>
      <c r="AC75" s="2"/>
    </row>
    <row r="76" spans="1:29" hidden="1" x14ac:dyDescent="0.25">
      <c r="A76" s="2"/>
      <c r="B76" s="2"/>
      <c r="C76" s="2"/>
      <c r="D76" s="4">
        <v>34730</v>
      </c>
      <c r="E76" s="4">
        <f t="shared" si="80"/>
        <v>4632</v>
      </c>
      <c r="F76" s="2"/>
      <c r="G76" s="8">
        <f t="shared" si="81"/>
        <v>39362</v>
      </c>
      <c r="H76" s="2">
        <f t="shared" si="82"/>
        <v>3936.2000000000003</v>
      </c>
      <c r="I76" s="2">
        <v>400</v>
      </c>
      <c r="J76" s="2">
        <f t="shared" si="83"/>
        <v>2361.7199999999998</v>
      </c>
      <c r="K76" s="8">
        <f t="shared" si="84"/>
        <v>46059.92</v>
      </c>
      <c r="L76" s="2">
        <f t="shared" si="85"/>
        <v>5000</v>
      </c>
      <c r="M76" s="2">
        <v>0</v>
      </c>
      <c r="N76" s="2"/>
      <c r="O76" s="4">
        <f t="shared" si="86"/>
        <v>5000</v>
      </c>
      <c r="P76" s="8">
        <f t="shared" si="87"/>
        <v>51059.92</v>
      </c>
      <c r="Q76" s="2">
        <v>800</v>
      </c>
      <c r="R76" s="2">
        <f t="shared" si="88"/>
        <v>7872.4000000000005</v>
      </c>
      <c r="S76" s="2">
        <v>5000</v>
      </c>
      <c r="T76" s="2"/>
      <c r="U76" s="2">
        <f t="shared" si="89"/>
        <v>4723.4399999999996</v>
      </c>
      <c r="V76" s="2"/>
      <c r="W76" s="4">
        <f t="shared" si="90"/>
        <v>18395.84</v>
      </c>
      <c r="X76" s="2">
        <f t="shared" si="78"/>
        <v>37387.519999999997</v>
      </c>
      <c r="Y76" s="10">
        <f t="shared" si="79"/>
        <v>32664.079999999998</v>
      </c>
      <c r="Z76" s="2">
        <f t="shared" si="91"/>
        <v>0</v>
      </c>
      <c r="AA76" s="2">
        <f t="shared" si="92"/>
        <v>32664.079999999998</v>
      </c>
      <c r="AB76" s="2"/>
      <c r="AC76" s="2"/>
    </row>
    <row r="77" spans="1:29" hidden="1" x14ac:dyDescent="0.25">
      <c r="A77" s="2"/>
      <c r="B77" s="2"/>
      <c r="C77" s="2"/>
      <c r="D77" s="4">
        <v>34730</v>
      </c>
      <c r="E77" s="4">
        <v>0</v>
      </c>
      <c r="F77" s="2"/>
      <c r="G77" s="8">
        <f t="shared" si="81"/>
        <v>34730</v>
      </c>
      <c r="H77" s="2">
        <f t="shared" si="82"/>
        <v>3473</v>
      </c>
      <c r="I77" s="2">
        <v>400</v>
      </c>
      <c r="J77" s="2">
        <f t="shared" si="83"/>
        <v>2083.7999999999997</v>
      </c>
      <c r="K77" s="8">
        <f t="shared" si="84"/>
        <v>40686.800000000003</v>
      </c>
      <c r="L77" s="2">
        <f t="shared" si="85"/>
        <v>5000</v>
      </c>
      <c r="M77" s="2">
        <v>0</v>
      </c>
      <c r="N77" s="2"/>
      <c r="O77" s="4">
        <f t="shared" si="86"/>
        <v>5000</v>
      </c>
      <c r="P77" s="8">
        <f t="shared" si="87"/>
        <v>45686.8</v>
      </c>
      <c r="Q77" s="2">
        <v>800</v>
      </c>
      <c r="R77" s="2">
        <f t="shared" si="88"/>
        <v>6946</v>
      </c>
      <c r="S77" s="2">
        <v>5000</v>
      </c>
      <c r="T77" s="2"/>
      <c r="U77" s="2">
        <f t="shared" si="89"/>
        <v>4167.5999999999995</v>
      </c>
      <c r="V77" s="2"/>
      <c r="W77" s="4">
        <f t="shared" si="90"/>
        <v>16913.599999999999</v>
      </c>
      <c r="X77" s="2">
        <f t="shared" si="78"/>
        <v>32940.800000000003</v>
      </c>
      <c r="Y77" s="10">
        <f t="shared" si="79"/>
        <v>28773.200000000004</v>
      </c>
      <c r="Z77" s="2">
        <f t="shared" si="91"/>
        <v>0</v>
      </c>
      <c r="AA77" s="2">
        <f t="shared" si="92"/>
        <v>28773.200000000004</v>
      </c>
      <c r="AB77" s="2"/>
      <c r="AC77" s="2"/>
    </row>
    <row r="78" spans="1:29" hidden="1" x14ac:dyDescent="0.25">
      <c r="A78" s="2"/>
      <c r="B78" s="2"/>
      <c r="C78" s="2"/>
      <c r="D78" s="4">
        <v>34730</v>
      </c>
      <c r="E78" s="4">
        <f t="shared" si="80"/>
        <v>4632</v>
      </c>
      <c r="F78" s="2"/>
      <c r="G78" s="8">
        <f t="shared" si="81"/>
        <v>39362</v>
      </c>
      <c r="H78" s="2">
        <f t="shared" si="82"/>
        <v>3936.2000000000003</v>
      </c>
      <c r="I78" s="2">
        <v>400</v>
      </c>
      <c r="J78" s="2">
        <f t="shared" si="83"/>
        <v>2361.7199999999998</v>
      </c>
      <c r="K78" s="8">
        <f t="shared" si="84"/>
        <v>46059.92</v>
      </c>
      <c r="L78" s="2">
        <f t="shared" si="85"/>
        <v>5000</v>
      </c>
      <c r="M78" s="2">
        <v>0</v>
      </c>
      <c r="N78" s="2">
        <v>10000</v>
      </c>
      <c r="O78" s="4">
        <f>SUM(L78:N78)</f>
        <v>15000</v>
      </c>
      <c r="P78" s="8">
        <f t="shared" si="87"/>
        <v>61059.92</v>
      </c>
      <c r="Q78" s="2">
        <v>800</v>
      </c>
      <c r="R78" s="2">
        <f t="shared" si="88"/>
        <v>7872.4000000000005</v>
      </c>
      <c r="S78" s="2">
        <v>5000</v>
      </c>
      <c r="T78" s="2"/>
      <c r="U78" s="2">
        <f t="shared" si="89"/>
        <v>4723.4399999999996</v>
      </c>
      <c r="V78" s="2"/>
      <c r="W78" s="4">
        <f t="shared" si="90"/>
        <v>18395.84</v>
      </c>
      <c r="X78" s="2">
        <f t="shared" si="78"/>
        <v>47387.520000000004</v>
      </c>
      <c r="Y78" s="10">
        <f t="shared" si="79"/>
        <v>42664.08</v>
      </c>
      <c r="Z78" s="2">
        <f t="shared" si="91"/>
        <v>0</v>
      </c>
      <c r="AA78" s="2">
        <f t="shared" si="92"/>
        <v>42664.08</v>
      </c>
      <c r="AB78" s="2"/>
      <c r="AC78" s="2"/>
    </row>
    <row r="79" spans="1:29" hidden="1" x14ac:dyDescent="0.25">
      <c r="A79" s="2"/>
      <c r="B79" s="2"/>
      <c r="C79" s="2"/>
      <c r="D79" s="4">
        <v>34730</v>
      </c>
      <c r="E79" s="4">
        <f t="shared" si="80"/>
        <v>4632</v>
      </c>
      <c r="F79" s="2"/>
      <c r="G79" s="8">
        <f t="shared" si="81"/>
        <v>39362</v>
      </c>
      <c r="H79" s="2">
        <f t="shared" si="82"/>
        <v>3936.2000000000003</v>
      </c>
      <c r="I79" s="2">
        <v>400</v>
      </c>
      <c r="J79" s="2">
        <f t="shared" si="83"/>
        <v>2361.7199999999998</v>
      </c>
      <c r="K79" s="8">
        <f t="shared" si="84"/>
        <v>46059.92</v>
      </c>
      <c r="L79" s="2">
        <f t="shared" si="85"/>
        <v>5000</v>
      </c>
      <c r="M79" s="2">
        <v>0</v>
      </c>
      <c r="N79" s="2"/>
      <c r="O79" s="4">
        <f t="shared" ref="O79:O82" si="93">SUM(L79:M79)</f>
        <v>5000</v>
      </c>
      <c r="P79" s="8">
        <f t="shared" si="87"/>
        <v>51059.92</v>
      </c>
      <c r="Q79" s="2">
        <v>800</v>
      </c>
      <c r="R79" s="2">
        <f t="shared" si="88"/>
        <v>7872.4000000000005</v>
      </c>
      <c r="S79" s="2">
        <v>5000</v>
      </c>
      <c r="T79" s="2"/>
      <c r="U79" s="2">
        <f t="shared" si="89"/>
        <v>4723.4399999999996</v>
      </c>
      <c r="V79" s="2"/>
      <c r="W79" s="4">
        <f t="shared" si="90"/>
        <v>18395.84</v>
      </c>
      <c r="X79" s="2">
        <f t="shared" si="78"/>
        <v>37387.519999999997</v>
      </c>
      <c r="Y79" s="10">
        <f t="shared" si="79"/>
        <v>32664.079999999998</v>
      </c>
      <c r="Z79" s="2">
        <f t="shared" si="91"/>
        <v>0</v>
      </c>
      <c r="AA79" s="2">
        <f t="shared" si="92"/>
        <v>32664.079999999998</v>
      </c>
      <c r="AB79" s="2"/>
      <c r="AC79" s="2"/>
    </row>
    <row r="80" spans="1:29" hidden="1" x14ac:dyDescent="0.25">
      <c r="A80" s="2"/>
      <c r="B80" s="2"/>
      <c r="C80" s="2"/>
      <c r="D80" s="4">
        <v>34730</v>
      </c>
      <c r="E80" s="4">
        <f t="shared" si="80"/>
        <v>4632</v>
      </c>
      <c r="F80" s="2"/>
      <c r="G80" s="8">
        <f t="shared" si="81"/>
        <v>39362</v>
      </c>
      <c r="H80" s="2">
        <f t="shared" si="82"/>
        <v>3936.2000000000003</v>
      </c>
      <c r="I80" s="2">
        <v>400</v>
      </c>
      <c r="J80" s="2">
        <f t="shared" si="83"/>
        <v>2361.7199999999998</v>
      </c>
      <c r="K80" s="8">
        <f t="shared" si="84"/>
        <v>46059.92</v>
      </c>
      <c r="L80" s="2">
        <f t="shared" si="85"/>
        <v>5000</v>
      </c>
      <c r="M80" s="2">
        <v>0</v>
      </c>
      <c r="N80" s="2"/>
      <c r="O80" s="4">
        <f t="shared" si="93"/>
        <v>5000</v>
      </c>
      <c r="P80" s="8">
        <f t="shared" si="87"/>
        <v>51059.92</v>
      </c>
      <c r="Q80" s="2">
        <v>800</v>
      </c>
      <c r="R80" s="2">
        <f t="shared" si="88"/>
        <v>7872.4000000000005</v>
      </c>
      <c r="S80" s="2">
        <v>5000</v>
      </c>
      <c r="T80" s="2"/>
      <c r="U80" s="2">
        <f t="shared" si="89"/>
        <v>4723.4399999999996</v>
      </c>
      <c r="V80" s="2"/>
      <c r="W80" s="4">
        <f t="shared" si="90"/>
        <v>18395.84</v>
      </c>
      <c r="X80" s="2">
        <f t="shared" si="78"/>
        <v>37387.519999999997</v>
      </c>
      <c r="Y80" s="10">
        <f t="shared" si="79"/>
        <v>32664.079999999998</v>
      </c>
      <c r="Z80" s="2">
        <f t="shared" si="91"/>
        <v>0</v>
      </c>
      <c r="AA80" s="2">
        <f t="shared" si="92"/>
        <v>32664.079999999998</v>
      </c>
      <c r="AB80" s="2"/>
      <c r="AC80" s="2"/>
    </row>
    <row r="81" spans="1:29" s="40" customFormat="1" x14ac:dyDescent="0.25">
      <c r="A81" s="37"/>
      <c r="B81" s="37"/>
      <c r="C81" s="37" t="s">
        <v>35</v>
      </c>
      <c r="D81" s="32">
        <v>34730</v>
      </c>
      <c r="E81" s="32">
        <f t="shared" ref="E81" si="94">ROUNDUP(D81/30,0)*4</f>
        <v>4632</v>
      </c>
      <c r="F81" s="37"/>
      <c r="G81" s="38">
        <f t="shared" ref="G81" si="95">SUM(D81:F81)</f>
        <v>39362</v>
      </c>
      <c r="H81" s="37">
        <f t="shared" ref="H81" si="96">10%*G81</f>
        <v>3936.2000000000003</v>
      </c>
      <c r="I81" s="37">
        <v>400</v>
      </c>
      <c r="J81" s="37">
        <f t="shared" ref="J81" si="97">6%*G81</f>
        <v>2361.7199999999998</v>
      </c>
      <c r="K81" s="38">
        <f t="shared" ref="K81" si="98">SUM(G81:J81)</f>
        <v>46059.92</v>
      </c>
      <c r="L81" s="37">
        <f t="shared" si="85"/>
        <v>5000</v>
      </c>
      <c r="M81" s="37">
        <v>0</v>
      </c>
      <c r="N81" s="37"/>
      <c r="O81" s="32">
        <f t="shared" ref="O81" si="99">SUM(L81:M81)</f>
        <v>5000</v>
      </c>
      <c r="P81" s="38">
        <f t="shared" ref="P81" si="100">K81+O81</f>
        <v>51059.92</v>
      </c>
      <c r="Q81" s="37">
        <v>800</v>
      </c>
      <c r="R81" s="37">
        <f t="shared" ref="R81" si="101">H81*2</f>
        <v>7872.4000000000005</v>
      </c>
      <c r="S81" s="37">
        <v>5000</v>
      </c>
      <c r="T81" s="37"/>
      <c r="U81" s="37">
        <f t="shared" ref="U81" si="102">J81*2</f>
        <v>4723.4399999999996</v>
      </c>
      <c r="V81" s="37"/>
      <c r="W81" s="32">
        <f t="shared" ref="W81" si="103">SUM(Q81:U81)</f>
        <v>18395.84</v>
      </c>
      <c r="X81" s="37">
        <f t="shared" si="78"/>
        <v>37387.519999999997</v>
      </c>
      <c r="Y81" s="39">
        <f t="shared" si="79"/>
        <v>32664.079999999998</v>
      </c>
      <c r="Z81" s="37"/>
      <c r="AA81" s="37">
        <f t="shared" ref="AA81" si="104">Y81-Z81</f>
        <v>32664.079999999998</v>
      </c>
      <c r="AB81" s="37"/>
      <c r="AC81" s="37"/>
    </row>
    <row r="82" spans="1:29" s="18" customFormat="1" x14ac:dyDescent="0.25">
      <c r="A82" s="16"/>
      <c r="B82" s="16"/>
      <c r="C82" s="16" t="s">
        <v>36</v>
      </c>
      <c r="D82" s="17">
        <v>34730</v>
      </c>
      <c r="E82" s="17">
        <f>ROUNDUP(D82/30,0)*5</f>
        <v>5790</v>
      </c>
      <c r="F82" s="16"/>
      <c r="G82" s="19">
        <f t="shared" si="81"/>
        <v>40520</v>
      </c>
      <c r="H82" s="16">
        <f t="shared" si="82"/>
        <v>4052</v>
      </c>
      <c r="I82" s="16">
        <v>400</v>
      </c>
      <c r="J82" s="16">
        <f t="shared" si="83"/>
        <v>2431.1999999999998</v>
      </c>
      <c r="K82" s="19">
        <f t="shared" si="84"/>
        <v>47403.199999999997</v>
      </c>
      <c r="L82" s="16">
        <f t="shared" si="85"/>
        <v>5000</v>
      </c>
      <c r="M82" s="16">
        <v>0</v>
      </c>
      <c r="N82" s="16"/>
      <c r="O82" s="17">
        <f t="shared" si="93"/>
        <v>5000</v>
      </c>
      <c r="P82" s="19">
        <f t="shared" si="87"/>
        <v>52403.199999999997</v>
      </c>
      <c r="Q82" s="16">
        <v>800</v>
      </c>
      <c r="R82" s="16">
        <f t="shared" si="88"/>
        <v>8104</v>
      </c>
      <c r="S82" s="16">
        <v>5000</v>
      </c>
      <c r="T82" s="16"/>
      <c r="U82" s="16">
        <f t="shared" si="89"/>
        <v>4862.3999999999996</v>
      </c>
      <c r="V82" s="16"/>
      <c r="W82" s="17">
        <f t="shared" si="90"/>
        <v>18766.400000000001</v>
      </c>
      <c r="X82" s="16">
        <f t="shared" si="78"/>
        <v>38499.199999999997</v>
      </c>
      <c r="Y82" s="20">
        <f t="shared" si="79"/>
        <v>33636.799999999996</v>
      </c>
      <c r="Z82" s="16"/>
      <c r="AA82" s="16">
        <f t="shared" si="92"/>
        <v>33636.799999999996</v>
      </c>
      <c r="AB82" s="16"/>
      <c r="AC82" s="16"/>
    </row>
    <row r="83" spans="1:29" hidden="1" x14ac:dyDescent="0.25">
      <c r="A83" s="2"/>
      <c r="B83" s="2"/>
      <c r="C83" s="2"/>
      <c r="D83" s="4"/>
      <c r="E83" s="4"/>
      <c r="F83" s="2"/>
      <c r="G83" s="8"/>
      <c r="H83" s="2"/>
      <c r="I83" s="2"/>
      <c r="J83" s="2"/>
      <c r="K83" s="8">
        <v>0</v>
      </c>
      <c r="L83" s="2"/>
      <c r="M83" s="2">
        <v>5100</v>
      </c>
      <c r="N83" s="2"/>
      <c r="O83" s="4"/>
      <c r="P83" s="8"/>
      <c r="Q83" s="2"/>
      <c r="R83" s="2"/>
      <c r="S83" s="2"/>
      <c r="T83" s="2"/>
      <c r="U83" s="2"/>
      <c r="V83" s="2"/>
      <c r="W83" s="4"/>
      <c r="X83" s="2"/>
      <c r="Y83" s="10"/>
      <c r="Z83" s="2"/>
      <c r="AA83" s="2"/>
      <c r="AB83" s="2"/>
      <c r="AC83" s="2"/>
    </row>
    <row r="84" spans="1:29" x14ac:dyDescent="0.25">
      <c r="A84" s="2"/>
      <c r="B84" s="2"/>
      <c r="C84" s="2"/>
      <c r="D84" s="4"/>
      <c r="E84" s="4"/>
      <c r="F84" s="2"/>
      <c r="G84" s="8"/>
      <c r="H84" s="2"/>
      <c r="I84" s="2"/>
      <c r="J84" s="2"/>
      <c r="K84" s="8"/>
      <c r="L84" s="2"/>
      <c r="M84" s="2"/>
      <c r="N84" s="2"/>
      <c r="O84" s="4"/>
      <c r="P84" s="8"/>
      <c r="Q84" s="2"/>
      <c r="R84" s="2"/>
      <c r="S84" s="2"/>
      <c r="T84" s="2"/>
      <c r="U84" s="2"/>
      <c r="V84" s="2"/>
      <c r="W84" s="4"/>
      <c r="X84" s="2"/>
      <c r="Y84" s="10"/>
      <c r="Z84" s="2"/>
      <c r="AA84" s="2"/>
      <c r="AB84" s="2"/>
      <c r="AC84" s="2"/>
    </row>
    <row r="85" spans="1:29" s="24" customFormat="1" ht="29.25" x14ac:dyDescent="0.25">
      <c r="A85" s="41"/>
      <c r="B85" s="41"/>
      <c r="C85" s="42" t="s">
        <v>38</v>
      </c>
      <c r="D85" s="43">
        <f>D82-D81</f>
        <v>0</v>
      </c>
      <c r="E85" s="43">
        <f>E82-E81</f>
        <v>1158</v>
      </c>
      <c r="F85" s="43"/>
      <c r="G85" s="23">
        <f t="shared" ref="G85:M85" si="105">G82-G81</f>
        <v>1158</v>
      </c>
      <c r="H85" s="43">
        <f t="shared" si="105"/>
        <v>115.79999999999973</v>
      </c>
      <c r="I85" s="43">
        <f t="shared" si="105"/>
        <v>0</v>
      </c>
      <c r="J85" s="43">
        <f t="shared" si="105"/>
        <v>69.480000000000018</v>
      </c>
      <c r="K85" s="43">
        <f t="shared" si="105"/>
        <v>1343.2799999999988</v>
      </c>
      <c r="L85" s="43">
        <f t="shared" si="105"/>
        <v>0</v>
      </c>
      <c r="M85" s="43">
        <f t="shared" si="105"/>
        <v>0</v>
      </c>
      <c r="N85" s="43"/>
      <c r="O85" s="43">
        <f>O82-O81</f>
        <v>0</v>
      </c>
      <c r="P85" s="43">
        <f>P82-P81</f>
        <v>1343.2799999999988</v>
      </c>
      <c r="Q85" s="43">
        <f>Q82-Q81</f>
        <v>0</v>
      </c>
      <c r="R85" s="43">
        <f>R82-R81</f>
        <v>231.59999999999945</v>
      </c>
      <c r="S85" s="43">
        <f>S82-S81</f>
        <v>0</v>
      </c>
      <c r="T85" s="43"/>
      <c r="U85" s="43">
        <f>U82-U81</f>
        <v>138.96000000000004</v>
      </c>
      <c r="V85" s="43"/>
      <c r="W85" s="43">
        <f>W82-W81</f>
        <v>370.56000000000131</v>
      </c>
      <c r="X85" s="43">
        <f>X82-X81</f>
        <v>1111.6800000000003</v>
      </c>
      <c r="Y85" s="43">
        <f>Y82-Y81</f>
        <v>972.71999999999753</v>
      </c>
      <c r="Z85" s="43"/>
      <c r="AA85" s="43">
        <f>AA82-AA81</f>
        <v>972.71999999999753</v>
      </c>
      <c r="AB85" s="22"/>
      <c r="AC85" s="21"/>
    </row>
    <row r="86" spans="1:29" x14ac:dyDescent="0.25">
      <c r="A86" s="2"/>
      <c r="B86" s="2"/>
      <c r="C86" s="2"/>
      <c r="D86" s="4"/>
      <c r="E86" s="4"/>
      <c r="F86" s="2"/>
      <c r="G86" s="8"/>
      <c r="H86" s="2"/>
      <c r="I86" s="2"/>
      <c r="J86" s="2"/>
      <c r="K86" s="8"/>
      <c r="L86" s="2"/>
      <c r="M86" s="2"/>
      <c r="N86" s="2"/>
      <c r="O86" s="4"/>
      <c r="P86" s="8"/>
      <c r="Q86" s="2"/>
      <c r="R86" s="2"/>
      <c r="S86" s="2"/>
      <c r="T86" s="2"/>
      <c r="U86" s="2"/>
      <c r="V86" s="2"/>
      <c r="W86" s="4"/>
      <c r="X86" s="2"/>
      <c r="Y86" s="10"/>
      <c r="Z86" s="2"/>
      <c r="AA86" s="2"/>
      <c r="AB86" s="2"/>
      <c r="AC86" s="2"/>
    </row>
    <row r="87" spans="1:29" s="26" customFormat="1" x14ac:dyDescent="0.25">
      <c r="A87" s="25"/>
      <c r="B87" s="25"/>
      <c r="C87" s="2" t="s">
        <v>32</v>
      </c>
      <c r="D87" s="28">
        <f>34730*1.1</f>
        <v>38203</v>
      </c>
      <c r="E87" s="28">
        <f>ROUNDDOWN(D87/30,0)*5</f>
        <v>6365</v>
      </c>
      <c r="F87" s="27"/>
      <c r="G87" s="29">
        <f t="shared" ref="G87" si="106">SUM(D87:F87)</f>
        <v>44568</v>
      </c>
      <c r="H87" s="27">
        <f t="shared" ref="H87" si="107">10%*G87</f>
        <v>4456.8</v>
      </c>
      <c r="I87" s="27">
        <v>400</v>
      </c>
      <c r="J87" s="27">
        <f t="shared" ref="J87" si="108">6%*G87</f>
        <v>2674.08</v>
      </c>
      <c r="K87" s="29">
        <f t="shared" ref="K87" si="109">SUM(G87:J87)</f>
        <v>52098.880000000005</v>
      </c>
      <c r="L87" s="27">
        <f t="shared" si="85"/>
        <v>5000</v>
      </c>
      <c r="M87" s="27">
        <f>10%*D87</f>
        <v>3820.3</v>
      </c>
      <c r="N87" s="27"/>
      <c r="O87" s="28">
        <f t="shared" ref="O87" si="110">SUM(L87:M87)</f>
        <v>8820.2999999999993</v>
      </c>
      <c r="P87" s="29">
        <f t="shared" ref="P87" si="111">K87+O87</f>
        <v>60919.180000000008</v>
      </c>
      <c r="Q87" s="27">
        <v>800</v>
      </c>
      <c r="R87" s="27">
        <f t="shared" ref="R87" si="112">H87*2</f>
        <v>8913.6</v>
      </c>
      <c r="S87" s="27">
        <v>5000</v>
      </c>
      <c r="T87" s="27"/>
      <c r="U87" s="27">
        <f t="shared" ref="U87" si="113">J87*2</f>
        <v>5348.16</v>
      </c>
      <c r="V87" s="27"/>
      <c r="W87" s="28">
        <f t="shared" ref="W87" si="114">SUM(Q87:U87)</f>
        <v>20061.760000000002</v>
      </c>
      <c r="X87" s="27">
        <f>Y87+U87</f>
        <v>46205.58</v>
      </c>
      <c r="Y87" s="30">
        <f>P87-W87</f>
        <v>40857.420000000006</v>
      </c>
      <c r="Z87" s="27"/>
      <c r="AA87" s="27">
        <f t="shared" ref="AA87" si="115">Y87-Z87</f>
        <v>40857.420000000006</v>
      </c>
      <c r="AB87" s="27"/>
      <c r="AC87" s="27"/>
    </row>
    <row r="88" spans="1:29" ht="45" x14ac:dyDescent="0.25">
      <c r="A88" s="2"/>
      <c r="B88" s="2"/>
      <c r="C88" s="31" t="s">
        <v>33</v>
      </c>
      <c r="D88" s="32">
        <f>D87-D85</f>
        <v>38203</v>
      </c>
      <c r="E88" s="32">
        <f t="shared" ref="E88:AA88" si="116">E87-E85</f>
        <v>5207</v>
      </c>
      <c r="F88" s="32"/>
      <c r="G88" s="38">
        <f t="shared" si="116"/>
        <v>43410</v>
      </c>
      <c r="H88" s="32">
        <f t="shared" si="116"/>
        <v>4341</v>
      </c>
      <c r="I88" s="32">
        <f t="shared" si="116"/>
        <v>400</v>
      </c>
      <c r="J88" s="32">
        <f t="shared" si="116"/>
        <v>2604.6</v>
      </c>
      <c r="K88" s="32">
        <f t="shared" si="116"/>
        <v>50755.600000000006</v>
      </c>
      <c r="L88" s="32">
        <f t="shared" si="116"/>
        <v>5000</v>
      </c>
      <c r="M88" s="32">
        <f t="shared" si="116"/>
        <v>3820.3</v>
      </c>
      <c r="N88" s="32"/>
      <c r="O88" s="32">
        <f t="shared" si="116"/>
        <v>8820.2999999999993</v>
      </c>
      <c r="P88" s="32">
        <f t="shared" si="116"/>
        <v>59575.900000000009</v>
      </c>
      <c r="Q88" s="32">
        <f t="shared" si="116"/>
        <v>800</v>
      </c>
      <c r="R88" s="32">
        <f t="shared" si="116"/>
        <v>8682</v>
      </c>
      <c r="S88" s="32">
        <f t="shared" si="116"/>
        <v>5000</v>
      </c>
      <c r="T88" s="32"/>
      <c r="U88" s="32">
        <f t="shared" si="116"/>
        <v>5209.2</v>
      </c>
      <c r="V88" s="32"/>
      <c r="W88" s="32">
        <f t="shared" si="116"/>
        <v>19691.2</v>
      </c>
      <c r="X88" s="32">
        <f t="shared" si="116"/>
        <v>45093.9</v>
      </c>
      <c r="Y88" s="32">
        <f t="shared" si="116"/>
        <v>39884.700000000012</v>
      </c>
      <c r="Z88" s="32"/>
      <c r="AA88" s="32">
        <f t="shared" si="116"/>
        <v>39884.700000000012</v>
      </c>
      <c r="AB88" s="2"/>
      <c r="AC88" s="2"/>
    </row>
    <row r="89" spans="1:29" s="18" customFormat="1" ht="30" x14ac:dyDescent="0.25">
      <c r="A89" s="16"/>
      <c r="B89" s="16"/>
      <c r="C89" s="34" t="s">
        <v>34</v>
      </c>
      <c r="D89" s="17">
        <f>D88-E85</f>
        <v>37045</v>
      </c>
      <c r="E89" s="17">
        <v>5092</v>
      </c>
      <c r="F89" s="17"/>
      <c r="G89" s="35">
        <f t="shared" ref="G89" si="117">SUM(D89:F89)</f>
        <v>42137</v>
      </c>
      <c r="H89" s="16">
        <f t="shared" ref="H89" si="118">10%*G89</f>
        <v>4213.7</v>
      </c>
      <c r="I89" s="16">
        <v>400</v>
      </c>
      <c r="J89" s="36">
        <f t="shared" ref="J89" si="119">6%*G89</f>
        <v>2528.2199999999998</v>
      </c>
      <c r="K89" s="19">
        <f t="shared" ref="K89" si="120">SUM(G89:J89)</f>
        <v>49278.92</v>
      </c>
      <c r="L89" s="16">
        <f t="shared" si="85"/>
        <v>5000</v>
      </c>
      <c r="M89" s="16">
        <f>10%*D89</f>
        <v>3704.5</v>
      </c>
      <c r="N89" s="16"/>
      <c r="O89" s="17">
        <f t="shared" ref="O89" si="121">SUM(L89:M89)</f>
        <v>8704.5</v>
      </c>
      <c r="P89" s="19">
        <f t="shared" ref="P89" si="122">K89+O89</f>
        <v>57983.42</v>
      </c>
      <c r="Q89" s="16">
        <v>800</v>
      </c>
      <c r="R89" s="16">
        <f t="shared" ref="R89" si="123">H89*2</f>
        <v>8427.4</v>
      </c>
      <c r="S89" s="16">
        <v>5000</v>
      </c>
      <c r="T89" s="16"/>
      <c r="U89" s="16">
        <f t="shared" ref="U89" si="124">J89*2</f>
        <v>5056.4399999999996</v>
      </c>
      <c r="V89" s="16"/>
      <c r="W89" s="17">
        <f t="shared" ref="W89" si="125">SUM(Q89:U89)</f>
        <v>19283.84</v>
      </c>
      <c r="X89" s="16">
        <f>Y89+U89</f>
        <v>43756.020000000004</v>
      </c>
      <c r="Y89" s="20">
        <f>P89-W89</f>
        <v>38699.58</v>
      </c>
      <c r="Z89" s="16"/>
      <c r="AA89" s="16">
        <f t="shared" ref="AA89" si="126">Y89-Z89</f>
        <v>38699.58</v>
      </c>
      <c r="AB89" s="16"/>
      <c r="AC89" s="16"/>
    </row>
    <row r="90" spans="1:29" hidden="1" x14ac:dyDescent="0.25">
      <c r="A90" s="2"/>
      <c r="B90" s="2"/>
      <c r="C90" s="2"/>
      <c r="D90" s="4">
        <f>34730*1.1</f>
        <v>38203</v>
      </c>
      <c r="E90" s="15">
        <f>ROUNDDOWN(D90/30,0)*5</f>
        <v>6365</v>
      </c>
      <c r="F90" s="2"/>
      <c r="G90" s="8">
        <f t="shared" ref="G90" si="127">SUM(D90:F90)</f>
        <v>44568</v>
      </c>
      <c r="H90" s="2">
        <f t="shared" ref="H90" si="128">10%*G90</f>
        <v>4456.8</v>
      </c>
      <c r="I90" s="2">
        <v>400</v>
      </c>
      <c r="J90" s="13">
        <f t="shared" ref="J90" si="129">6%*G90</f>
        <v>2674.08</v>
      </c>
      <c r="K90" s="14">
        <f t="shared" ref="K90" si="130">SUM(G90:J90)</f>
        <v>52098.880000000005</v>
      </c>
      <c r="L90" s="2">
        <f t="shared" si="85"/>
        <v>5000</v>
      </c>
      <c r="M90" s="2">
        <f>10%*D90</f>
        <v>3820.3</v>
      </c>
      <c r="N90" s="2"/>
      <c r="O90" s="4">
        <f t="shared" ref="O90" si="131">SUM(L90:M90)</f>
        <v>8820.2999999999993</v>
      </c>
      <c r="P90" s="8">
        <f t="shared" ref="P90" si="132">K90+O90</f>
        <v>60919.180000000008</v>
      </c>
      <c r="Q90" s="2">
        <v>800</v>
      </c>
      <c r="R90" s="2">
        <f t="shared" ref="R90" si="133">H90*2</f>
        <v>8913.6</v>
      </c>
      <c r="S90" s="2">
        <v>5000</v>
      </c>
      <c r="T90" s="2"/>
      <c r="U90" s="2">
        <f t="shared" ref="U90" si="134">J90*2</f>
        <v>5348.16</v>
      </c>
      <c r="V90" s="12">
        <f>ROUND(D90/30,1)*5</f>
        <v>6367</v>
      </c>
      <c r="W90" s="4">
        <f>SUM(Q90:V90)</f>
        <v>26428.760000000002</v>
      </c>
      <c r="X90" s="2">
        <f>Y90+U90</f>
        <v>39838.58</v>
      </c>
      <c r="Y90" s="10">
        <f>P90-W90</f>
        <v>34490.420000000006</v>
      </c>
      <c r="Z90" s="2"/>
      <c r="AA90" s="2">
        <f t="shared" ref="AA90" si="135">Y90-Z90</f>
        <v>34490.420000000006</v>
      </c>
      <c r="AB90" s="2"/>
      <c r="AC90" s="2"/>
    </row>
    <row r="91" spans="1:29" x14ac:dyDescent="0.25">
      <c r="A91" s="2"/>
      <c r="B91" s="2"/>
      <c r="C91" s="2"/>
      <c r="D91" s="4"/>
      <c r="E91" s="4"/>
      <c r="F91" s="2"/>
      <c r="G91" s="8"/>
      <c r="H91" s="2"/>
      <c r="I91" s="2"/>
      <c r="J91" s="2"/>
      <c r="K91" s="8"/>
      <c r="L91" s="2"/>
      <c r="M91" s="2"/>
      <c r="N91" s="2"/>
      <c r="O91" s="4"/>
      <c r="P91" s="8"/>
      <c r="Q91" s="2"/>
      <c r="R91" s="2"/>
      <c r="S91" s="2"/>
      <c r="T91" s="2"/>
      <c r="U91" s="2"/>
      <c r="V91" s="2"/>
      <c r="W91" s="4"/>
      <c r="X91" s="2"/>
      <c r="Y91" s="10"/>
      <c r="Z91" s="2"/>
      <c r="AA91" s="2"/>
      <c r="AB91" s="2"/>
      <c r="AC91" s="2"/>
    </row>
    <row r="92" spans="1:29" hidden="1" x14ac:dyDescent="0.25">
      <c r="A92" s="2"/>
      <c r="B92" s="2"/>
      <c r="C92" s="2"/>
      <c r="D92" s="4">
        <v>43689</v>
      </c>
      <c r="E92" s="4">
        <v>0</v>
      </c>
      <c r="F92" s="2"/>
      <c r="G92" s="8">
        <f>SUM(D92:F92)</f>
        <v>43689</v>
      </c>
      <c r="H92" s="2">
        <f>10%*G92</f>
        <v>4368.9000000000005</v>
      </c>
      <c r="I92" s="2">
        <v>400</v>
      </c>
      <c r="J92" s="2">
        <f>6%*G92</f>
        <v>2621.3399999999997</v>
      </c>
      <c r="K92" s="8">
        <f>SUM(G92:J92)</f>
        <v>51079.24</v>
      </c>
      <c r="L92" s="2">
        <f>2000+3000</f>
        <v>5000</v>
      </c>
      <c r="M92" s="2">
        <v>0</v>
      </c>
      <c r="N92" s="2"/>
      <c r="O92" s="4">
        <f>SUM(L92:M92)</f>
        <v>5000</v>
      </c>
      <c r="P92" s="8">
        <f>K92+O92</f>
        <v>56079.24</v>
      </c>
      <c r="Q92" s="2">
        <v>801</v>
      </c>
      <c r="R92" s="2">
        <f>H92*2</f>
        <v>8737.8000000000011</v>
      </c>
      <c r="S92" s="2">
        <v>1000</v>
      </c>
      <c r="T92" s="2"/>
      <c r="U92" s="2">
        <f>J92*2</f>
        <v>5242.6799999999994</v>
      </c>
      <c r="V92" s="2"/>
      <c r="W92" s="4">
        <f>SUM(Q92:U92)</f>
        <v>15781.48</v>
      </c>
      <c r="X92" s="2">
        <f>Y92+U92</f>
        <v>45540.439999999995</v>
      </c>
      <c r="Y92" s="10">
        <f>P92-W92</f>
        <v>40297.759999999995</v>
      </c>
      <c r="Z92" s="2"/>
      <c r="AA92" s="2">
        <f>Y92-Z92</f>
        <v>40297.759999999995</v>
      </c>
      <c r="AB92" s="2"/>
      <c r="AC92" s="2"/>
    </row>
    <row r="93" spans="1:29" s="24" customFormat="1" x14ac:dyDescent="0.25">
      <c r="A93" s="21"/>
      <c r="B93" s="21"/>
      <c r="C93" s="33" t="s">
        <v>37</v>
      </c>
      <c r="D93" s="22">
        <f>D89-D88</f>
        <v>-1158</v>
      </c>
      <c r="E93" s="22">
        <f t="shared" ref="E93:AA93" si="136">E89-E88</f>
        <v>-115</v>
      </c>
      <c r="F93" s="22"/>
      <c r="G93" s="23">
        <f t="shared" si="136"/>
        <v>-1273</v>
      </c>
      <c r="H93" s="22">
        <f t="shared" si="136"/>
        <v>-127.30000000000018</v>
      </c>
      <c r="I93" s="22">
        <f t="shared" si="136"/>
        <v>0</v>
      </c>
      <c r="J93" s="22">
        <f t="shared" si="136"/>
        <v>-76.380000000000109</v>
      </c>
      <c r="K93" s="22">
        <f t="shared" si="136"/>
        <v>-1476.6800000000076</v>
      </c>
      <c r="L93" s="22">
        <f t="shared" si="136"/>
        <v>0</v>
      </c>
      <c r="M93" s="22">
        <f t="shared" si="136"/>
        <v>-115.80000000000018</v>
      </c>
      <c r="N93" s="22"/>
      <c r="O93" s="22">
        <f t="shared" si="136"/>
        <v>-115.79999999999927</v>
      </c>
      <c r="P93" s="22">
        <f t="shared" si="136"/>
        <v>-1592.4800000000105</v>
      </c>
      <c r="Q93" s="22">
        <f t="shared" si="136"/>
        <v>0</v>
      </c>
      <c r="R93" s="22">
        <f t="shared" si="136"/>
        <v>-254.60000000000036</v>
      </c>
      <c r="S93" s="22">
        <f t="shared" si="136"/>
        <v>0</v>
      </c>
      <c r="T93" s="22"/>
      <c r="U93" s="22">
        <f t="shared" si="136"/>
        <v>-152.76000000000022</v>
      </c>
      <c r="V93" s="22"/>
      <c r="W93" s="22">
        <f t="shared" si="136"/>
        <v>-407.36000000000058</v>
      </c>
      <c r="X93" s="22">
        <f t="shared" si="136"/>
        <v>-1337.8799999999974</v>
      </c>
      <c r="Y93" s="22">
        <f t="shared" si="136"/>
        <v>-1185.1200000000099</v>
      </c>
      <c r="Z93" s="22"/>
      <c r="AA93" s="22">
        <f t="shared" si="136"/>
        <v>-1185.1200000000099</v>
      </c>
      <c r="AB93" s="22"/>
      <c r="AC93" s="21"/>
    </row>
    <row r="94" spans="1:29" x14ac:dyDescent="0.25">
      <c r="A94" s="2"/>
      <c r="B94" s="2"/>
      <c r="C94" s="2"/>
      <c r="D94" s="4"/>
      <c r="E94" s="4"/>
      <c r="F94" s="2"/>
      <c r="G94" s="8"/>
      <c r="H94" s="2"/>
      <c r="I94" s="2"/>
      <c r="J94" s="2"/>
      <c r="K94" s="8"/>
      <c r="L94" s="2"/>
      <c r="M94" s="2"/>
      <c r="N94" s="2"/>
      <c r="O94" s="4"/>
      <c r="P94" s="8"/>
      <c r="Q94" s="2"/>
      <c r="R94" s="2"/>
      <c r="S94" s="2"/>
      <c r="T94" s="2"/>
      <c r="U94" s="2"/>
      <c r="V94" s="2"/>
      <c r="W94" s="4"/>
      <c r="X94" s="2"/>
      <c r="Y94" s="8">
        <f>SUM(Y3:Y82)</f>
        <v>2215608.120000001</v>
      </c>
      <c r="Z94" s="2"/>
      <c r="AA94" s="2"/>
      <c r="AB94" s="2"/>
      <c r="AC94" s="2"/>
    </row>
    <row r="95" spans="1:29" x14ac:dyDescent="0.25">
      <c r="A95" s="2"/>
      <c r="B95" s="2"/>
      <c r="C95" s="2"/>
      <c r="D95" s="4"/>
      <c r="E95" s="4"/>
      <c r="F95" s="2"/>
      <c r="G95" s="8"/>
      <c r="H95" s="2"/>
      <c r="I95" s="2"/>
      <c r="J95" s="2"/>
      <c r="K95" s="8"/>
      <c r="L95" s="2"/>
      <c r="M95" s="2"/>
      <c r="N95" s="2"/>
      <c r="O95" s="4"/>
      <c r="P95" s="8"/>
      <c r="Q95" s="2"/>
      <c r="R95" s="2"/>
      <c r="S95" s="2"/>
      <c r="T95" s="2"/>
      <c r="U95" s="2"/>
      <c r="V95" s="2"/>
      <c r="W95" s="4"/>
      <c r="X95" s="2"/>
      <c r="Y95" s="10"/>
      <c r="Z95" s="2"/>
      <c r="AA95" s="2"/>
      <c r="AB95" s="2"/>
      <c r="AC95" s="2"/>
    </row>
    <row r="96" spans="1:29" x14ac:dyDescent="0.25">
      <c r="A96" s="2"/>
      <c r="B96" s="2"/>
      <c r="C96" s="2"/>
      <c r="D96" s="4"/>
      <c r="E96" s="4"/>
      <c r="F96" s="2"/>
      <c r="G96" s="8"/>
      <c r="H96" s="2"/>
      <c r="I96" s="2"/>
      <c r="J96" s="2"/>
      <c r="K96" s="8"/>
      <c r="L96" s="2"/>
      <c r="M96" s="2"/>
      <c r="N96" s="2"/>
      <c r="O96" s="4"/>
      <c r="P96" s="8"/>
      <c r="Q96" s="2"/>
      <c r="R96" s="2"/>
      <c r="S96" s="2"/>
      <c r="T96" s="2"/>
      <c r="U96" s="2"/>
      <c r="V96" s="2"/>
      <c r="W96" s="4"/>
      <c r="X96" s="2"/>
      <c r="Y96" s="10"/>
      <c r="Z96" s="2"/>
      <c r="AA96" s="2"/>
      <c r="AB96" s="2"/>
      <c r="AC96" s="2"/>
    </row>
    <row r="97" spans="1:29" x14ac:dyDescent="0.25">
      <c r="A97" s="2"/>
      <c r="B97" s="2"/>
      <c r="C97" s="2"/>
      <c r="D97" s="4"/>
      <c r="E97" s="4"/>
      <c r="F97" s="2"/>
      <c r="G97" s="8"/>
      <c r="H97" s="2"/>
      <c r="I97" s="2"/>
      <c r="J97" s="2"/>
      <c r="K97" s="8"/>
      <c r="L97" s="2"/>
      <c r="M97" s="2"/>
      <c r="N97" s="2"/>
      <c r="O97" s="4"/>
      <c r="P97" s="8"/>
      <c r="Q97" s="2"/>
      <c r="R97" s="2"/>
      <c r="S97" s="2"/>
      <c r="T97" s="2"/>
      <c r="U97" s="2"/>
      <c r="V97" s="2"/>
      <c r="W97" s="4"/>
      <c r="X97" s="2"/>
      <c r="Y97" s="10"/>
      <c r="Z97" s="2"/>
      <c r="AA97" s="2"/>
      <c r="AB97" s="2"/>
      <c r="AC97" s="2"/>
    </row>
    <row r="98" spans="1:29" x14ac:dyDescent="0.25">
      <c r="A98" s="2"/>
      <c r="B98" s="2"/>
      <c r="C98" s="2"/>
      <c r="D98" s="4"/>
      <c r="E98" s="4"/>
      <c r="F98" s="2"/>
      <c r="G98" s="8"/>
      <c r="H98" s="2"/>
      <c r="I98" s="2"/>
      <c r="J98" s="2"/>
      <c r="K98" s="8"/>
      <c r="L98" s="2"/>
      <c r="M98" s="2"/>
      <c r="N98" s="2"/>
      <c r="O98" s="4"/>
      <c r="P98" s="8"/>
      <c r="Q98" s="2"/>
      <c r="R98" s="2"/>
      <c r="S98" s="2"/>
      <c r="T98" s="2"/>
      <c r="U98" s="2"/>
      <c r="V98" s="2"/>
      <c r="W98" s="4"/>
      <c r="X98" s="2"/>
      <c r="Y98" s="10"/>
      <c r="Z98" s="2"/>
      <c r="AA98" s="2"/>
      <c r="AB98" s="2"/>
      <c r="AC98" s="2"/>
    </row>
    <row r="99" spans="1:29" x14ac:dyDescent="0.25">
      <c r="A99" s="2"/>
      <c r="B99" s="2"/>
      <c r="C99" s="2"/>
      <c r="D99" s="4"/>
      <c r="E99" s="4"/>
      <c r="F99" s="2"/>
      <c r="G99" s="8"/>
      <c r="H99" s="2"/>
      <c r="I99" s="2"/>
      <c r="J99" s="2"/>
      <c r="K99" s="8"/>
      <c r="L99" s="2"/>
      <c r="M99" s="2"/>
      <c r="N99" s="2"/>
      <c r="O99" s="4"/>
      <c r="P99" s="8"/>
      <c r="Q99" s="2"/>
      <c r="R99" s="2"/>
      <c r="S99" s="2"/>
      <c r="T99" s="2"/>
      <c r="U99" s="2"/>
      <c r="V99" s="2"/>
      <c r="W99" s="4"/>
      <c r="X99" s="2"/>
      <c r="Y99" s="10"/>
      <c r="Z99" s="2"/>
      <c r="AA99" s="2"/>
      <c r="AB99" s="2"/>
      <c r="AC99" s="2"/>
    </row>
    <row r="100" spans="1:29" x14ac:dyDescent="0.25">
      <c r="A100" s="2"/>
      <c r="B100" s="2"/>
      <c r="C100" s="2"/>
      <c r="D100" s="4"/>
      <c r="E100" s="4"/>
      <c r="F100" s="2"/>
      <c r="G100" s="8"/>
      <c r="H100" s="2"/>
      <c r="I100" s="2"/>
      <c r="J100" s="2"/>
      <c r="K100" s="8"/>
      <c r="L100" s="2"/>
      <c r="M100" s="2"/>
      <c r="N100" s="2"/>
      <c r="O100" s="4"/>
      <c r="P100" s="8"/>
      <c r="Q100" s="2"/>
      <c r="R100" s="2"/>
      <c r="S100" s="2"/>
      <c r="T100" s="2"/>
      <c r="U100" s="2"/>
      <c r="V100" s="2"/>
      <c r="W100" s="4"/>
      <c r="X100" s="2"/>
      <c r="Y100" s="10"/>
      <c r="Z100" s="2"/>
      <c r="AA100" s="2"/>
      <c r="AB100" s="2"/>
      <c r="AC100" s="2"/>
    </row>
    <row r="101" spans="1:29" x14ac:dyDescent="0.25">
      <c r="A101" s="2"/>
      <c r="B101" s="2"/>
      <c r="C101" s="2"/>
      <c r="D101" s="4"/>
      <c r="E101" s="4"/>
      <c r="F101" s="2"/>
      <c r="G101" s="8"/>
      <c r="H101" s="2"/>
      <c r="I101" s="2"/>
      <c r="J101" s="2"/>
      <c r="K101" s="8"/>
      <c r="L101" s="2"/>
      <c r="M101" s="2"/>
      <c r="N101" s="2"/>
      <c r="O101" s="4"/>
      <c r="P101" s="8"/>
      <c r="Q101" s="2"/>
      <c r="R101" s="2"/>
      <c r="S101" s="2"/>
      <c r="T101" s="2"/>
      <c r="U101" s="2"/>
      <c r="V101" s="2"/>
      <c r="W101" s="4"/>
      <c r="X101" s="2"/>
      <c r="Y101" s="10"/>
      <c r="Z101" s="2"/>
      <c r="AA101" s="2"/>
      <c r="AB101" s="2"/>
      <c r="AC101" s="2"/>
    </row>
  </sheetData>
  <mergeCells count="14">
    <mergeCell ref="L1:O1"/>
    <mergeCell ref="A1:A2"/>
    <mergeCell ref="B1:B2"/>
    <mergeCell ref="C1:C2"/>
    <mergeCell ref="D1:G1"/>
    <mergeCell ref="H1:K1"/>
    <mergeCell ref="AB1:AB2"/>
    <mergeCell ref="AC1:AC2"/>
    <mergeCell ref="P1:P2"/>
    <mergeCell ref="Q1:W1"/>
    <mergeCell ref="X1:X2"/>
    <mergeCell ref="Y1:Y2"/>
    <mergeCell ref="Z1:Z2"/>
    <mergeCell ref="AA1:AA2"/>
  </mergeCells>
  <pageMargins left="0.7" right="0.7" top="0.75" bottom="0.75" header="0.3" footer="0.3"/>
  <pageSetup paperSize="9" scale="59" orientation="landscape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for check</vt:lpstr>
      <vt:lpstr>'for check'!Print_Area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2026-09-15T12:02:29Z</cp:lastPrinted>
  <dcterms:created xsi:type="dcterms:W3CDTF">2015-06-05T18:17:20Z</dcterms:created>
  <dcterms:modified xsi:type="dcterms:W3CDTF">2026-10-05T08:43:08Z</dcterms:modified>
</cp:coreProperties>
</file>