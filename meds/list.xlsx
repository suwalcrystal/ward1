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56720AE0-55AE-4751-A825-9B38A563E2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5" i="1" l="1"/>
  <c r="L405" i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L403" i="1"/>
  <c r="M403" i="1"/>
  <c r="M375" i="1"/>
  <c r="L375" i="1"/>
  <c r="L374" i="1"/>
  <c r="M374" i="1"/>
  <c r="M373" i="1"/>
  <c r="L373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M358" i="1"/>
  <c r="L358" i="1"/>
  <c r="M357" i="1"/>
  <c r="L357" i="1"/>
  <c r="L356" i="1"/>
  <c r="M356" i="1"/>
  <c r="M355" i="1"/>
  <c r="L355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M348" i="1"/>
  <c r="L348" i="1"/>
  <c r="L347" i="1"/>
  <c r="M347" i="1"/>
  <c r="M346" i="1"/>
  <c r="L346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M337" i="1"/>
  <c r="L337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M326" i="1"/>
  <c r="L326" i="1"/>
  <c r="L325" i="1"/>
  <c r="M325" i="1"/>
  <c r="M324" i="1"/>
  <c r="L324" i="1"/>
  <c r="L321" i="1"/>
  <c r="M321" i="1"/>
  <c r="L322" i="1"/>
  <c r="M322" i="1"/>
  <c r="L323" i="1"/>
  <c r="M323" i="1"/>
  <c r="M320" i="1"/>
  <c r="L320" i="1"/>
  <c r="L319" i="1"/>
  <c r="M319" i="1"/>
  <c r="M318" i="1"/>
  <c r="L318" i="1"/>
  <c r="M317" i="1"/>
  <c r="L317" i="1"/>
  <c r="L316" i="1"/>
  <c r="M31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M226" i="1"/>
  <c r="L226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M168" i="1"/>
  <c r="L168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M153" i="1"/>
  <c r="L153" i="1"/>
  <c r="M152" i="1"/>
  <c r="L152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M140" i="1"/>
  <c r="L140" i="1"/>
  <c r="L138" i="1"/>
  <c r="M138" i="1"/>
  <c r="M137" i="1"/>
  <c r="L137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82" i="1"/>
  <c r="M82" i="1"/>
  <c r="M81" i="1"/>
  <c r="L81" i="1"/>
  <c r="L75" i="1"/>
  <c r="M75" i="1"/>
  <c r="L76" i="1"/>
  <c r="M76" i="1"/>
  <c r="L77" i="1"/>
  <c r="M77" i="1"/>
  <c r="L78" i="1"/>
  <c r="M78" i="1"/>
  <c r="L79" i="1"/>
  <c r="M79" i="1"/>
  <c r="L80" i="1"/>
  <c r="M80" i="1"/>
  <c r="M74" i="1"/>
  <c r="L74" i="1"/>
  <c r="M73" i="1"/>
  <c r="L73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M64" i="1"/>
  <c r="L64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M56" i="1"/>
  <c r="L56" i="1"/>
  <c r="L55" i="1"/>
  <c r="M55" i="1"/>
  <c r="M54" i="1"/>
  <c r="L54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M31" i="1"/>
  <c r="L3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M21" i="1"/>
  <c r="L21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M3" i="1"/>
  <c r="L3" i="1"/>
  <c r="E375" i="1"/>
  <c r="F374" i="1"/>
  <c r="E358" i="1"/>
  <c r="E344" i="1"/>
  <c r="E75" i="1"/>
  <c r="E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372" authorId="0" shapeId="0" xr:uid="{C822A8C3-D51B-41F2-A5B7-544A77A781D3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200 (I)</t>
        </r>
      </text>
    </comment>
  </commentList>
</comments>
</file>

<file path=xl/sharedStrings.xml><?xml version="1.0" encoding="utf-8"?>
<sst xmlns="http://schemas.openxmlformats.org/spreadsheetml/2006/main" count="400" uniqueCount="396">
  <si>
    <t>S.No.</t>
  </si>
  <si>
    <t>Name/Description</t>
  </si>
  <si>
    <t>Quantity</t>
  </si>
  <si>
    <t>CC/Rate</t>
  </si>
  <si>
    <t>MRP</t>
  </si>
  <si>
    <t>Edopar</t>
  </si>
  <si>
    <t>Hybro</t>
  </si>
  <si>
    <t>E-Cox</t>
  </si>
  <si>
    <t>Ketorol-10mg</t>
  </si>
  <si>
    <t>ketolak-10mg</t>
  </si>
  <si>
    <t>Codopar</t>
  </si>
  <si>
    <t>Nerosen-500</t>
  </si>
  <si>
    <t>Relief</t>
  </si>
  <si>
    <t>Strips</t>
  </si>
  <si>
    <t>tabs</t>
  </si>
  <si>
    <t>Niko tab</t>
  </si>
  <si>
    <t>Flexon</t>
  </si>
  <si>
    <t>Pyrimide</t>
  </si>
  <si>
    <t>Ecosprine-75</t>
  </si>
  <si>
    <t>Nims</t>
  </si>
  <si>
    <t>Meftal-500</t>
  </si>
  <si>
    <t>Azitro-500</t>
  </si>
  <si>
    <t>Devomine</t>
  </si>
  <si>
    <t>Rinex</t>
  </si>
  <si>
    <t>Sinex</t>
  </si>
  <si>
    <t>Petroleum jelly 50gm</t>
  </si>
  <si>
    <t>Cotton buds</t>
  </si>
  <si>
    <t>Clove oil</t>
  </si>
  <si>
    <t>Glycerene 35gm</t>
  </si>
  <si>
    <t>Moods Condoms (3N)</t>
  </si>
  <si>
    <t>Velpr condoms (3N)</t>
  </si>
  <si>
    <t>Moods Condoms (12N)</t>
  </si>
  <si>
    <t>Hi-tube condom (3N)</t>
  </si>
  <si>
    <t>Nepro fast 40</t>
  </si>
  <si>
    <t>Rab-20</t>
  </si>
  <si>
    <t>Pantafast</t>
  </si>
  <si>
    <t>Pantafast DSR</t>
  </si>
  <si>
    <t>Omepraz-20</t>
  </si>
  <si>
    <t>Oloc-20</t>
  </si>
  <si>
    <t>Pantop</t>
  </si>
  <si>
    <t>Aciloc 150</t>
  </si>
  <si>
    <t>P-Gut</t>
  </si>
  <si>
    <t>Pantocid</t>
  </si>
  <si>
    <t>Esozol-40</t>
  </si>
  <si>
    <t>De-cold</t>
  </si>
  <si>
    <t>Feza-180</t>
  </si>
  <si>
    <t>CTZ</t>
  </si>
  <si>
    <t>Litrc-5</t>
  </si>
  <si>
    <t>Arcetrin</t>
  </si>
  <si>
    <t>Molukast-L</t>
  </si>
  <si>
    <t>Meloben</t>
  </si>
  <si>
    <t>Allegra-180</t>
  </si>
  <si>
    <t>Nilocorn</t>
  </si>
  <si>
    <t>Femitrone</t>
  </si>
  <si>
    <t>Tranex-500</t>
  </si>
  <si>
    <t>Folvin</t>
  </si>
  <si>
    <t>Ovial-G</t>
  </si>
  <si>
    <t>Setret-20mg</t>
  </si>
  <si>
    <t>Nigoran</t>
  </si>
  <si>
    <t>Dicalci-500</t>
  </si>
  <si>
    <t>Evita-400</t>
  </si>
  <si>
    <t>Asvit</t>
  </si>
  <si>
    <t>Sam coba-500</t>
  </si>
  <si>
    <t>Fortiple</t>
  </si>
  <si>
    <t>Fortacort-200</t>
  </si>
  <si>
    <t>Fortacort-400</t>
  </si>
  <si>
    <t>Seroflo-250</t>
  </si>
  <si>
    <t>Budecort-400</t>
  </si>
  <si>
    <t>Asthalin Rotocops</t>
  </si>
  <si>
    <t>Nothings condoms (3N)</t>
  </si>
  <si>
    <t>Zincolife</t>
  </si>
  <si>
    <t>Pudin Hara</t>
  </si>
  <si>
    <t>Digene</t>
  </si>
  <si>
    <t>Eno</t>
  </si>
  <si>
    <t>Papaya lip balm</t>
  </si>
  <si>
    <t>Himalayan lip balm</t>
  </si>
  <si>
    <t>Alpha Toothbrush</t>
  </si>
  <si>
    <t>Superemo toothbrush</t>
  </si>
  <si>
    <t>Child tooth brush</t>
  </si>
  <si>
    <t>Hotbag</t>
  </si>
  <si>
    <t>Antiko +</t>
  </si>
  <si>
    <t>Monoxin-75</t>
  </si>
  <si>
    <t>Laxit tab</t>
  </si>
  <si>
    <t>Cure vit 60k</t>
  </si>
  <si>
    <t>Fortiplex-M</t>
  </si>
  <si>
    <t>Asthalin Inhaler</t>
  </si>
  <si>
    <t>Efil Forte</t>
  </si>
  <si>
    <t>Mylod-L</t>
  </si>
  <si>
    <t>Mylod-2.5</t>
  </si>
  <si>
    <t>Mylod-5</t>
  </si>
  <si>
    <t>Mylod0LH</t>
  </si>
  <si>
    <t>Mylod AT</t>
  </si>
  <si>
    <t>Mylod AT-H</t>
  </si>
  <si>
    <t>Aryagra-50</t>
  </si>
  <si>
    <t>Azira-500</t>
  </si>
  <si>
    <t>Amlod-5</t>
  </si>
  <si>
    <t>Amlod-2.5</t>
  </si>
  <si>
    <t>Amlod-L</t>
  </si>
  <si>
    <t>Amlod AT-H</t>
  </si>
  <si>
    <t>Risper-1*</t>
  </si>
  <si>
    <t>Losap-50</t>
  </si>
  <si>
    <t>Metloc XL 25</t>
  </si>
  <si>
    <t>Lotach-H</t>
  </si>
  <si>
    <t>Resert 50</t>
  </si>
  <si>
    <t>Repace 25</t>
  </si>
  <si>
    <t>Repace H</t>
  </si>
  <si>
    <t>Repace-50</t>
  </si>
  <si>
    <t>Amtas-5</t>
  </si>
  <si>
    <t>Arvast-5</t>
  </si>
  <si>
    <t>Telmi-AM</t>
  </si>
  <si>
    <t>Atorlip-10</t>
  </si>
  <si>
    <t>Bisolol 2.5</t>
  </si>
  <si>
    <t>Rosav-10</t>
  </si>
  <si>
    <t>Sartel AM</t>
  </si>
  <si>
    <t>TGR</t>
  </si>
  <si>
    <t>Aristozyme</t>
  </si>
  <si>
    <t>Wormex-400</t>
  </si>
  <si>
    <t>Apet</t>
  </si>
  <si>
    <t>Armetro-400</t>
  </si>
  <si>
    <t>Protogyl-DF</t>
  </si>
  <si>
    <t>Itrazol-100</t>
  </si>
  <si>
    <t>Pepsa-100</t>
  </si>
  <si>
    <t>Enclave 625</t>
  </si>
  <si>
    <t>Memox 500</t>
  </si>
  <si>
    <t>Fixim-200</t>
  </si>
  <si>
    <t>Arclox-500</t>
  </si>
  <si>
    <t>Sidamycin 300</t>
  </si>
  <si>
    <t>Formine-500</t>
  </si>
  <si>
    <t>Metfor SR 500</t>
  </si>
  <si>
    <t>Fixim-500</t>
  </si>
  <si>
    <t>Sitapro M 500</t>
  </si>
  <si>
    <t>Metfor 500</t>
  </si>
  <si>
    <t>Qmet-500</t>
  </si>
  <si>
    <t>Metfor SR 1000</t>
  </si>
  <si>
    <t>Siptin M 850</t>
  </si>
  <si>
    <t>Siptin M 500</t>
  </si>
  <si>
    <t>Giptim M 850</t>
  </si>
  <si>
    <t>Decon</t>
  </si>
  <si>
    <t>Decon-S</t>
  </si>
  <si>
    <t>Exod</t>
  </si>
  <si>
    <t>Nasivion-S</t>
  </si>
  <si>
    <t>Nasivion-0.05%</t>
  </si>
  <si>
    <t>Ot orex</t>
  </si>
  <si>
    <t>Eva tear</t>
  </si>
  <si>
    <t>Otosof</t>
  </si>
  <si>
    <t>Ocurest</t>
  </si>
  <si>
    <t>Moist Max</t>
  </si>
  <si>
    <t>Befnor</t>
  </si>
  <si>
    <t>Icipro</t>
  </si>
  <si>
    <t>Refresh tear</t>
  </si>
  <si>
    <t>Anomycetine</t>
  </si>
  <si>
    <t>Brica-BM 100ml</t>
  </si>
  <si>
    <t>Laculax 200ml</t>
  </si>
  <si>
    <t>Moist</t>
  </si>
  <si>
    <t>Sucraf ill</t>
  </si>
  <si>
    <t>Evalax</t>
  </si>
  <si>
    <t>Cremaffin</t>
  </si>
  <si>
    <t>Thyronorm 12.5mcg</t>
  </si>
  <si>
    <t>Thyronorm 25mcg</t>
  </si>
  <si>
    <t>Thyronorm 50 mcg</t>
  </si>
  <si>
    <t>Thyronorm 75mcg</t>
  </si>
  <si>
    <t>Thyronorm 100mcg</t>
  </si>
  <si>
    <t>Syp. Vigoran 200ml</t>
  </si>
  <si>
    <t>Syp. Fortiplex 100ml</t>
  </si>
  <si>
    <t>Syp. Fortiplex 200ml</t>
  </si>
  <si>
    <t>Candid lotion</t>
  </si>
  <si>
    <t>Mana</t>
  </si>
  <si>
    <t>DJ-Citral</t>
  </si>
  <si>
    <t>Syndizor</t>
  </si>
  <si>
    <t>Syp. Digene</t>
  </si>
  <si>
    <t>Synogel</t>
  </si>
  <si>
    <t>Antagel</t>
  </si>
  <si>
    <t>Tricaine</t>
  </si>
  <si>
    <t>Syp. Apet</t>
  </si>
  <si>
    <t>TusQ-Dx 100ml</t>
  </si>
  <si>
    <t>TusQ-X 100ml</t>
  </si>
  <si>
    <t>Arsil-Dx</t>
  </si>
  <si>
    <t>Beta -2</t>
  </si>
  <si>
    <t>Vicks 25ml</t>
  </si>
  <si>
    <t>Vicks 50ml</t>
  </si>
  <si>
    <t>Baby rub 25ml</t>
  </si>
  <si>
    <t>Sancho</t>
  </si>
  <si>
    <t>Manforce condoms (3N)</t>
  </si>
  <si>
    <t>Relyte</t>
  </si>
  <si>
    <t>Syp. Feza 60ml</t>
  </si>
  <si>
    <t>Syp. Luking 2CR 60ml</t>
  </si>
  <si>
    <t>Syp. CTZ 30ml</t>
  </si>
  <si>
    <t>LCZ. Syp. 60ml</t>
  </si>
  <si>
    <t>Histafen Syp. 60ml</t>
  </si>
  <si>
    <t>Vasodryl-60ml</t>
  </si>
  <si>
    <t>Brica-BM 60ml</t>
  </si>
  <si>
    <t>Lomohist 60ml</t>
  </si>
  <si>
    <t>Syp. Decold 60ml</t>
  </si>
  <si>
    <t>Syp. Sinex 60ml</t>
  </si>
  <si>
    <t>Syp. Niko 60ml</t>
  </si>
  <si>
    <t>Syp. Flexon 60ml</t>
  </si>
  <si>
    <t>Pacimol</t>
  </si>
  <si>
    <t>Ve-clean</t>
  </si>
  <si>
    <t>Dettol 60ml</t>
  </si>
  <si>
    <t>Dettol 125ml</t>
  </si>
  <si>
    <t>Glucose-D 500gm</t>
  </si>
  <si>
    <t>Hand gloves</t>
  </si>
  <si>
    <t>Abdominal belt</t>
  </si>
  <si>
    <t>Feeding bottle 125ml</t>
  </si>
  <si>
    <t xml:space="preserve">Feeding bottle 150ml </t>
  </si>
  <si>
    <t>Keto-z Soap</t>
  </si>
  <si>
    <t>Breast Pump</t>
  </si>
  <si>
    <t>Ketoket Shampoo</t>
  </si>
  <si>
    <t>Kcz Shampoo</t>
  </si>
  <si>
    <t>Candid powder 100gm</t>
  </si>
  <si>
    <t>Candid powder 50gm</t>
  </si>
  <si>
    <t>Sensodyne 150gm</t>
  </si>
  <si>
    <t>Sensodyne 75gm</t>
  </si>
  <si>
    <t>Sensodyne 40gm</t>
  </si>
  <si>
    <t>ICPA Toothpaste</t>
  </si>
  <si>
    <t>Wound Dressing 5*7.6cm</t>
  </si>
  <si>
    <t>Medi-Grip</t>
  </si>
  <si>
    <t>Corntape</t>
  </si>
  <si>
    <t>Protogyl DF Syp. 50ml</t>
  </si>
  <si>
    <t>Azol 10ml</t>
  </si>
  <si>
    <t>Bifilac Syp.</t>
  </si>
  <si>
    <t>Shine-D 15ml</t>
  </si>
  <si>
    <t>Raniped 60ml</t>
  </si>
  <si>
    <t>Syp. Niko 15ml</t>
  </si>
  <si>
    <t>Niko DS 60ml</t>
  </si>
  <si>
    <t>Arbivit-3 15ml</t>
  </si>
  <si>
    <t>Syp. Azithro 200 30ml</t>
  </si>
  <si>
    <t>Hand Rub gel 50ml</t>
  </si>
  <si>
    <t>Hand Rub gel 500ml</t>
  </si>
  <si>
    <t>Hand Rub gel 100ml</t>
  </si>
  <si>
    <t>Himalayan baby massage oil</t>
  </si>
  <si>
    <t>Knee Support S</t>
  </si>
  <si>
    <t>Knee Support L</t>
  </si>
  <si>
    <t>Glucose -D 100gm</t>
  </si>
  <si>
    <t>Suger free 300 pellets</t>
  </si>
  <si>
    <t>Suger free 500 pellets</t>
  </si>
  <si>
    <t>Sonaderm</t>
  </si>
  <si>
    <t>Colderm-G</t>
  </si>
  <si>
    <t>Retiderm 0.05%</t>
  </si>
  <si>
    <t>Retiderm 0.025%</t>
  </si>
  <si>
    <t>Deltagel</t>
  </si>
  <si>
    <t>Zyte</t>
  </si>
  <si>
    <t>Inuir</t>
  </si>
  <si>
    <t>Candid-B cream</t>
  </si>
  <si>
    <t>Cloben-G</t>
  </si>
  <si>
    <t>Extina</t>
  </si>
  <si>
    <t>Lusum</t>
  </si>
  <si>
    <t>Heal 15gm</t>
  </si>
  <si>
    <t>Mufur 15gm</t>
  </si>
  <si>
    <t>Melacare 15gm</t>
  </si>
  <si>
    <t>Thermometer</t>
  </si>
  <si>
    <t>Protex 15gm</t>
  </si>
  <si>
    <t>DFO gel</t>
  </si>
  <si>
    <t>Mupir -5gm</t>
  </si>
  <si>
    <t>Arydine Ointment 15gm</t>
  </si>
  <si>
    <t>Diclopen 30gm</t>
  </si>
  <si>
    <t>Infla 30gm</t>
  </si>
  <si>
    <t>Moov spray 35gm</t>
  </si>
  <si>
    <t>Moov spray 80gm</t>
  </si>
  <si>
    <t>Dr. MOS</t>
  </si>
  <si>
    <t>Odomos Spray</t>
  </si>
  <si>
    <t>H.B. Diaper Rash Cream 20gm</t>
  </si>
  <si>
    <t>H.B. Diaper Rash Cream 50gm</t>
  </si>
  <si>
    <t>H. Baby cream 100ml</t>
  </si>
  <si>
    <t>H. Baby cream 50ml</t>
  </si>
  <si>
    <t>Calamine lotion</t>
  </si>
  <si>
    <t>CHX</t>
  </si>
  <si>
    <t>Aryadine 5% 30ml</t>
  </si>
  <si>
    <t>Aryadine 5% 100ml</t>
  </si>
  <si>
    <t>Aryadine gargle 30ml</t>
  </si>
  <si>
    <t>Listerine</t>
  </si>
  <si>
    <t>Boroplus</t>
  </si>
  <si>
    <t>Tacroderm 15gm</t>
  </si>
  <si>
    <t>Polysprine 15gm</t>
  </si>
  <si>
    <t>Himalayan lotion</t>
  </si>
  <si>
    <t>Himalayan B. cream 50ml</t>
  </si>
  <si>
    <t>Himalayan B. cream 100ml</t>
  </si>
  <si>
    <t>Himalayan Shampoo</t>
  </si>
  <si>
    <t>Himalayan powder</t>
  </si>
  <si>
    <t>Gohomonds B. Cream 50gm</t>
  </si>
  <si>
    <t>Gohomonds B. Cream 30gm</t>
  </si>
  <si>
    <t>Gohomonds B. Cream oil 100ml</t>
  </si>
  <si>
    <t>Gohomonds B. Cream Shampoo</t>
  </si>
  <si>
    <t>Gohomonds B. Cream oil 50ml</t>
  </si>
  <si>
    <t>Lactogen 1</t>
  </si>
  <si>
    <t>Lactogen 2</t>
  </si>
  <si>
    <t>Lactogen 3</t>
  </si>
  <si>
    <t>Lactogen 4</t>
  </si>
  <si>
    <t>Cerlac 6</t>
  </si>
  <si>
    <t>Cerlac 8</t>
  </si>
  <si>
    <t>Cerlac 10</t>
  </si>
  <si>
    <t>Cerlac 12</t>
  </si>
  <si>
    <t>Cerlac 18</t>
  </si>
  <si>
    <t>Mammy poko pants L</t>
  </si>
  <si>
    <t>Mammy poko pants S</t>
  </si>
  <si>
    <t>Pampers pants M6</t>
  </si>
  <si>
    <t>Electric hot bag</t>
  </si>
  <si>
    <t>Yarsa electric Hot bag</t>
  </si>
  <si>
    <t>Tissue Role</t>
  </si>
  <si>
    <t>Pocket Tissue</t>
  </si>
  <si>
    <t>PT-Kit</t>
  </si>
  <si>
    <t>Mask Packet</t>
  </si>
  <si>
    <t>Mask child</t>
  </si>
  <si>
    <t>Max-72</t>
  </si>
  <si>
    <t>Zandu Green</t>
  </si>
  <si>
    <t>Zandu Red</t>
  </si>
  <si>
    <t>Dicloback-100</t>
  </si>
  <si>
    <t>LocarD-50</t>
  </si>
  <si>
    <t>Montrin-L</t>
  </si>
  <si>
    <t>Etoxib-90</t>
  </si>
  <si>
    <t>Dipo. Inj.</t>
  </si>
  <si>
    <t>IFoL</t>
  </si>
  <si>
    <t>Deviry-10mg</t>
  </si>
  <si>
    <t>Beriton-100</t>
  </si>
  <si>
    <t>Lotan-4</t>
  </si>
  <si>
    <t>Lonid-100</t>
  </si>
  <si>
    <t>Ator-10</t>
  </si>
  <si>
    <t>F-Stat-40</t>
  </si>
  <si>
    <t>Urimax 04</t>
  </si>
  <si>
    <t>Camlo-L</t>
  </si>
  <si>
    <t>Aztor-40</t>
  </si>
  <si>
    <t>Metloc 12.5</t>
  </si>
  <si>
    <t>Repac-AF</t>
  </si>
  <si>
    <t>Betadine gargle</t>
  </si>
  <si>
    <t>Glucose-D</t>
  </si>
  <si>
    <t>Grip bandage</t>
  </si>
  <si>
    <t>Polysprine 5gm</t>
  </si>
  <si>
    <t>Gohnsom baby shampoo 50ml</t>
  </si>
  <si>
    <t>Finger extension point</t>
  </si>
  <si>
    <t>Moov Ointment 20gm</t>
  </si>
  <si>
    <t>Gauze Swabs</t>
  </si>
  <si>
    <t>Jaison pore (50mm*9m)</t>
  </si>
  <si>
    <t>Mask Child</t>
  </si>
  <si>
    <t>Mask Adult</t>
  </si>
  <si>
    <t>Padelux</t>
  </si>
  <si>
    <t>Whisper</t>
  </si>
  <si>
    <t>Softy</t>
  </si>
  <si>
    <t>Juni pantyliner</t>
  </si>
  <si>
    <t>Hansplast (W)</t>
  </si>
  <si>
    <t>Hansplast (R)</t>
  </si>
  <si>
    <t>Vicks Inhaler</t>
  </si>
  <si>
    <t>Cold-Drop</t>
  </si>
  <si>
    <t>Honitus</t>
  </si>
  <si>
    <t>Strepsills</t>
  </si>
  <si>
    <t>Nipple</t>
  </si>
  <si>
    <t>Honey nipple</t>
  </si>
  <si>
    <t>Gloves M</t>
  </si>
  <si>
    <t>GlovesL</t>
  </si>
  <si>
    <t>Gloves S</t>
  </si>
  <si>
    <t>Facial tissues</t>
  </si>
  <si>
    <t>Cotton buds (Small)</t>
  </si>
  <si>
    <t>Head Cap</t>
  </si>
  <si>
    <t>VapoRub 10ml</t>
  </si>
  <si>
    <t>VapoRub 5ml</t>
  </si>
  <si>
    <t>BabyRub 10ml</t>
  </si>
  <si>
    <t>Coldrup 5ml</t>
  </si>
  <si>
    <t>Ayurveda</t>
  </si>
  <si>
    <t>Hansplast Pain relief patch</t>
  </si>
  <si>
    <t>Gauze Roll (5cm*3mts)</t>
  </si>
  <si>
    <t>Gauze Roll (10cm*3mts)</t>
  </si>
  <si>
    <t>Cotton Roll 50gm</t>
  </si>
  <si>
    <t>Roll Gauze 15cm*3mts</t>
  </si>
  <si>
    <t>Cotton Rolls (400gms)</t>
  </si>
  <si>
    <t>Cotton Rolls (60gms)</t>
  </si>
  <si>
    <t>Gauze (1than) 90cm*10mts</t>
  </si>
  <si>
    <t>Syringe 1ml</t>
  </si>
  <si>
    <t>Bandage 8cm*3mts</t>
  </si>
  <si>
    <t>Crepe Bandage (15cm*3mts)</t>
  </si>
  <si>
    <t>Crepe Bandage (10cm*3mts)</t>
  </si>
  <si>
    <t>Gauze</t>
  </si>
  <si>
    <t>Gauze Small</t>
  </si>
  <si>
    <t>Kitche gloves</t>
  </si>
  <si>
    <t>M.P.P M</t>
  </si>
  <si>
    <t>M.P.P S</t>
  </si>
  <si>
    <t>Softy pantiliner</t>
  </si>
  <si>
    <t>T.T.M4</t>
  </si>
  <si>
    <t>T.T.L4</t>
  </si>
  <si>
    <t>T.T. S4</t>
  </si>
  <si>
    <t>T.T. XL4</t>
  </si>
  <si>
    <t>T.T.L42</t>
  </si>
  <si>
    <t>T.T.M42</t>
  </si>
  <si>
    <t>T.T.S42</t>
  </si>
  <si>
    <t>T.T.XL32</t>
  </si>
  <si>
    <t>M.P.P.M6</t>
  </si>
  <si>
    <t>Shadow 50T Gel</t>
  </si>
  <si>
    <t>Derma Moist 100gm</t>
  </si>
  <si>
    <t>1% Salicylic</t>
  </si>
  <si>
    <t>Synopills</t>
  </si>
  <si>
    <t>Flur</t>
  </si>
  <si>
    <t>Box</t>
  </si>
  <si>
    <t>Jar</t>
  </si>
  <si>
    <t>Pics</t>
  </si>
  <si>
    <t>Rolls</t>
  </si>
  <si>
    <t>Total CC/Rate</t>
  </si>
  <si>
    <t>Total MRP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</si>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</sst>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0" fillId="0" borderId="3" xfId="0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5"/>
  <sheetViews>
    <sheetView tabSelected="1" workbookViewId="0">
      <pane ySplit="2" topLeftCell="A388" activePane="bottomLeft" state="frozen"/>
      <selection pane="bottomLeft" activeCell="R399" sqref="R399"/>
    </sheetView>
  </sheetViews>
  <sheetFormatPr defaultRowHeight="15" x14ac:dyDescent="0.25"/>
  <cols>
    <col min="1" max="1" width="5.42578125" bestFit="1" customWidth="1"/>
    <col min="2" max="2" width="29.28515625" bestFit="1" customWidth="1"/>
    <col min="3" max="3" width="4.28515625" bestFit="1" customWidth="1"/>
    <col min="4" max="4" width="4.42578125" bestFit="1" customWidth="1"/>
    <col min="5" max="5" width="5.5703125" bestFit="1" customWidth="1"/>
    <col min="6" max="6" width="5.28515625" bestFit="1" customWidth="1"/>
    <col min="7" max="8" width="6" bestFit="1" customWidth="1"/>
  </cols>
  <sheetData>
    <row r="1" spans="1:13" s="1" customFormat="1" x14ac:dyDescent="0.25">
      <c r="A1" s="7" t="s">
        <v>0</v>
      </c>
      <c r="B1" s="7" t="s">
        <v>1</v>
      </c>
      <c r="C1" s="7" t="s">
        <v>2</v>
      </c>
      <c r="D1" s="7"/>
      <c r="E1" s="7"/>
      <c r="F1" s="7"/>
      <c r="G1" s="7"/>
      <c r="H1" s="7"/>
      <c r="I1" s="7" t="s">
        <v>3</v>
      </c>
      <c r="J1" s="7" t="s">
        <v>4</v>
      </c>
      <c r="K1" s="9"/>
      <c r="L1" s="6" t="s">
        <v>393</v>
      </c>
      <c r="M1" s="6" t="s">
        <v>394</v>
      </c>
    </row>
    <row r="2" spans="1:13" s="1" customFormat="1" x14ac:dyDescent="0.25">
      <c r="A2" s="7"/>
      <c r="B2" s="7"/>
      <c r="C2" s="2" t="s">
        <v>389</v>
      </c>
      <c r="D2" s="2" t="s">
        <v>390</v>
      </c>
      <c r="E2" s="2" t="s">
        <v>391</v>
      </c>
      <c r="F2" s="2" t="s">
        <v>392</v>
      </c>
      <c r="G2" s="2" t="s">
        <v>13</v>
      </c>
      <c r="H2" s="2" t="s">
        <v>14</v>
      </c>
      <c r="I2" s="7"/>
      <c r="J2" s="7"/>
      <c r="K2" s="9"/>
      <c r="L2" s="6"/>
      <c r="M2" s="6"/>
    </row>
    <row r="3" spans="1:13" x14ac:dyDescent="0.25">
      <c r="A3" s="3">
        <v>1</v>
      </c>
      <c r="B3" s="3" t="s">
        <v>5</v>
      </c>
      <c r="C3" s="3"/>
      <c r="D3" s="3"/>
      <c r="E3" s="3"/>
      <c r="F3" s="3"/>
      <c r="G3" s="3">
        <v>20</v>
      </c>
      <c r="H3" s="3">
        <v>5</v>
      </c>
      <c r="I3" s="3">
        <v>86.9</v>
      </c>
      <c r="J3" s="5">
        <v>63</v>
      </c>
      <c r="L3" s="3">
        <f>G3*I3</f>
        <v>1738</v>
      </c>
      <c r="M3" s="3">
        <f>G3*J3</f>
        <v>1260</v>
      </c>
    </row>
    <row r="4" spans="1:13" x14ac:dyDescent="0.25">
      <c r="A4" s="3">
        <v>2</v>
      </c>
      <c r="B4" s="3" t="s">
        <v>6</v>
      </c>
      <c r="C4" s="3"/>
      <c r="D4" s="3"/>
      <c r="E4" s="3"/>
      <c r="F4" s="3"/>
      <c r="G4" s="3">
        <v>7</v>
      </c>
      <c r="H4" s="3">
        <v>7</v>
      </c>
      <c r="I4" s="3"/>
      <c r="J4" s="3">
        <v>115</v>
      </c>
      <c r="L4" s="3">
        <f t="shared" ref="L4:L20" si="0">G4*I4</f>
        <v>0</v>
      </c>
      <c r="M4" s="3">
        <f t="shared" ref="M4:M20" si="1">G4*J4</f>
        <v>805</v>
      </c>
    </row>
    <row r="5" spans="1:13" x14ac:dyDescent="0.25">
      <c r="A5" s="3">
        <v>3</v>
      </c>
      <c r="B5" s="3" t="s">
        <v>7</v>
      </c>
      <c r="C5" s="3"/>
      <c r="D5" s="3"/>
      <c r="E5" s="3"/>
      <c r="F5" s="3"/>
      <c r="G5" s="3">
        <v>8</v>
      </c>
      <c r="H5" s="3">
        <v>3</v>
      </c>
      <c r="I5" s="3">
        <v>130</v>
      </c>
      <c r="J5" s="3">
        <v>170</v>
      </c>
      <c r="L5" s="3">
        <f t="shared" si="0"/>
        <v>1040</v>
      </c>
      <c r="M5" s="3">
        <f t="shared" si="1"/>
        <v>1360</v>
      </c>
    </row>
    <row r="6" spans="1:13" x14ac:dyDescent="0.25">
      <c r="A6" s="3">
        <v>4</v>
      </c>
      <c r="B6" s="3" t="s">
        <v>8</v>
      </c>
      <c r="C6" s="3"/>
      <c r="D6" s="3"/>
      <c r="E6" s="3"/>
      <c r="F6" s="3"/>
      <c r="G6" s="3">
        <v>3</v>
      </c>
      <c r="H6" s="3">
        <v>8</v>
      </c>
      <c r="I6" s="3"/>
      <c r="J6" s="3">
        <v>150</v>
      </c>
      <c r="L6" s="3">
        <f t="shared" si="0"/>
        <v>0</v>
      </c>
      <c r="M6" s="3">
        <f t="shared" si="1"/>
        <v>450</v>
      </c>
    </row>
    <row r="7" spans="1:13" x14ac:dyDescent="0.25">
      <c r="A7" s="3">
        <v>5</v>
      </c>
      <c r="B7" s="3" t="s">
        <v>9</v>
      </c>
      <c r="C7" s="3"/>
      <c r="D7" s="3"/>
      <c r="E7" s="3"/>
      <c r="F7" s="3"/>
      <c r="G7" s="3">
        <v>17</v>
      </c>
      <c r="H7" s="3"/>
      <c r="I7" s="3"/>
      <c r="J7" s="3">
        <v>80</v>
      </c>
      <c r="L7" s="3">
        <f t="shared" si="0"/>
        <v>0</v>
      </c>
      <c r="M7" s="3">
        <f t="shared" si="1"/>
        <v>1360</v>
      </c>
    </row>
    <row r="8" spans="1:13" x14ac:dyDescent="0.25">
      <c r="A8" s="3">
        <v>6</v>
      </c>
      <c r="B8" s="3" t="s">
        <v>10</v>
      </c>
      <c r="C8" s="3"/>
      <c r="D8" s="3"/>
      <c r="E8" s="3"/>
      <c r="F8" s="3"/>
      <c r="G8" s="3">
        <v>15</v>
      </c>
      <c r="H8" s="3">
        <v>7</v>
      </c>
      <c r="I8" s="3">
        <v>56.05</v>
      </c>
      <c r="J8" s="3">
        <v>65</v>
      </c>
      <c r="L8" s="3">
        <f t="shared" si="0"/>
        <v>840.75</v>
      </c>
      <c r="M8" s="3">
        <f t="shared" si="1"/>
        <v>975</v>
      </c>
    </row>
    <row r="9" spans="1:13" x14ac:dyDescent="0.25">
      <c r="A9" s="3">
        <v>7</v>
      </c>
      <c r="B9" s="3" t="s">
        <v>11</v>
      </c>
      <c r="C9" s="3"/>
      <c r="D9" s="3"/>
      <c r="E9" s="3"/>
      <c r="F9" s="3"/>
      <c r="G9" s="3">
        <v>8</v>
      </c>
      <c r="H9" s="3"/>
      <c r="I9" s="3">
        <v>129</v>
      </c>
      <c r="J9" s="3">
        <v>150</v>
      </c>
      <c r="L9" s="3">
        <f t="shared" si="0"/>
        <v>1032</v>
      </c>
      <c r="M9" s="3">
        <f t="shared" si="1"/>
        <v>1200</v>
      </c>
    </row>
    <row r="10" spans="1:13" x14ac:dyDescent="0.25">
      <c r="A10" s="3">
        <v>8</v>
      </c>
      <c r="B10" s="3" t="s">
        <v>12</v>
      </c>
      <c r="C10" s="3"/>
      <c r="D10" s="3"/>
      <c r="E10" s="3"/>
      <c r="F10" s="3"/>
      <c r="G10" s="3">
        <v>31</v>
      </c>
      <c r="H10" s="3">
        <v>8</v>
      </c>
      <c r="I10" s="3">
        <v>17.25</v>
      </c>
      <c r="J10" s="3">
        <v>20</v>
      </c>
      <c r="L10" s="3">
        <f t="shared" si="0"/>
        <v>534.75</v>
      </c>
      <c r="M10" s="3">
        <f t="shared" si="1"/>
        <v>620</v>
      </c>
    </row>
    <row r="11" spans="1:13" x14ac:dyDescent="0.25">
      <c r="A11" s="3">
        <v>9</v>
      </c>
      <c r="B11" s="3" t="s">
        <v>15</v>
      </c>
      <c r="C11" s="3"/>
      <c r="D11" s="3"/>
      <c r="E11" s="3"/>
      <c r="F11" s="3"/>
      <c r="G11" s="3">
        <v>11</v>
      </c>
      <c r="H11" s="3"/>
      <c r="I11" s="3">
        <v>8.6199999999999992</v>
      </c>
      <c r="J11" s="3">
        <v>10</v>
      </c>
      <c r="L11" s="3">
        <f t="shared" si="0"/>
        <v>94.82</v>
      </c>
      <c r="M11" s="3">
        <f t="shared" si="1"/>
        <v>110</v>
      </c>
    </row>
    <row r="12" spans="1:13" x14ac:dyDescent="0.25">
      <c r="A12" s="3">
        <v>10</v>
      </c>
      <c r="B12" s="3" t="s">
        <v>16</v>
      </c>
      <c r="C12" s="3"/>
      <c r="D12" s="3"/>
      <c r="E12" s="3"/>
      <c r="F12" s="3"/>
      <c r="G12" s="3">
        <v>19</v>
      </c>
      <c r="H12" s="3">
        <v>10</v>
      </c>
      <c r="I12" s="3">
        <v>8.6300000000000008</v>
      </c>
      <c r="J12" s="3">
        <v>10</v>
      </c>
      <c r="L12" s="3">
        <f t="shared" si="0"/>
        <v>163.97000000000003</v>
      </c>
      <c r="M12" s="3">
        <f t="shared" si="1"/>
        <v>190</v>
      </c>
    </row>
    <row r="13" spans="1:13" x14ac:dyDescent="0.25">
      <c r="A13" s="3">
        <v>11</v>
      </c>
      <c r="B13" s="3" t="s">
        <v>17</v>
      </c>
      <c r="C13" s="3"/>
      <c r="D13" s="3"/>
      <c r="E13" s="3"/>
      <c r="F13" s="3"/>
      <c r="G13" s="3">
        <v>4</v>
      </c>
      <c r="H13" s="3">
        <v>10</v>
      </c>
      <c r="I13" s="3"/>
      <c r="J13" s="3">
        <v>30</v>
      </c>
      <c r="L13" s="3">
        <f t="shared" si="0"/>
        <v>0</v>
      </c>
      <c r="M13" s="3">
        <f t="shared" si="1"/>
        <v>120</v>
      </c>
    </row>
    <row r="14" spans="1:13" x14ac:dyDescent="0.25">
      <c r="A14" s="3">
        <v>12</v>
      </c>
      <c r="B14" s="3" t="s">
        <v>18</v>
      </c>
      <c r="C14" s="3"/>
      <c r="D14" s="3"/>
      <c r="E14" s="3"/>
      <c r="F14" s="3"/>
      <c r="G14" s="3">
        <v>6</v>
      </c>
      <c r="H14" s="3"/>
      <c r="I14" s="3">
        <v>7.77</v>
      </c>
      <c r="J14" s="3">
        <v>5.64</v>
      </c>
      <c r="L14" s="3">
        <f t="shared" si="0"/>
        <v>46.62</v>
      </c>
      <c r="M14" s="3">
        <f t="shared" si="1"/>
        <v>33.839999999999996</v>
      </c>
    </row>
    <row r="15" spans="1:13" x14ac:dyDescent="0.25">
      <c r="A15" s="3">
        <v>13</v>
      </c>
      <c r="B15" s="3" t="s">
        <v>19</v>
      </c>
      <c r="C15" s="3"/>
      <c r="D15" s="3"/>
      <c r="E15" s="3"/>
      <c r="F15" s="3"/>
      <c r="G15" s="3">
        <v>10</v>
      </c>
      <c r="H15" s="3">
        <v>6</v>
      </c>
      <c r="I15" s="3">
        <v>36.22</v>
      </c>
      <c r="J15" s="3">
        <v>42</v>
      </c>
      <c r="L15" s="3">
        <f t="shared" si="0"/>
        <v>362.2</v>
      </c>
      <c r="M15" s="3">
        <f t="shared" si="1"/>
        <v>420</v>
      </c>
    </row>
    <row r="16" spans="1:13" x14ac:dyDescent="0.25">
      <c r="A16" s="3">
        <v>14</v>
      </c>
      <c r="B16" s="3" t="s">
        <v>20</v>
      </c>
      <c r="C16" s="3"/>
      <c r="D16" s="3"/>
      <c r="E16" s="3"/>
      <c r="F16" s="3"/>
      <c r="G16" s="3">
        <v>13</v>
      </c>
      <c r="H16" s="3"/>
      <c r="I16" s="3">
        <v>46.89</v>
      </c>
      <c r="J16" s="3">
        <v>34</v>
      </c>
      <c r="L16" s="3">
        <f t="shared" si="0"/>
        <v>609.57000000000005</v>
      </c>
      <c r="M16" s="3">
        <f t="shared" si="1"/>
        <v>442</v>
      </c>
    </row>
    <row r="17" spans="1:13" x14ac:dyDescent="0.25">
      <c r="A17" s="3">
        <v>15</v>
      </c>
      <c r="B17" s="3" t="s">
        <v>21</v>
      </c>
      <c r="C17" s="3"/>
      <c r="D17" s="3"/>
      <c r="E17" s="3"/>
      <c r="F17" s="3"/>
      <c r="G17" s="3">
        <v>10</v>
      </c>
      <c r="H17" s="3"/>
      <c r="I17" s="3"/>
      <c r="J17" s="3">
        <v>150</v>
      </c>
      <c r="L17" s="3">
        <f t="shared" si="0"/>
        <v>0</v>
      </c>
      <c r="M17" s="3">
        <f t="shared" si="1"/>
        <v>1500</v>
      </c>
    </row>
    <row r="18" spans="1:13" x14ac:dyDescent="0.25">
      <c r="A18" s="3">
        <v>16</v>
      </c>
      <c r="B18" s="3" t="s">
        <v>22</v>
      </c>
      <c r="C18" s="3"/>
      <c r="D18" s="3"/>
      <c r="E18" s="3"/>
      <c r="F18" s="3"/>
      <c r="G18" s="3">
        <v>45</v>
      </c>
      <c r="H18" s="3">
        <v>3</v>
      </c>
      <c r="I18" s="3">
        <v>43.1</v>
      </c>
      <c r="J18" s="3">
        <v>50</v>
      </c>
      <c r="L18" s="3">
        <f t="shared" si="0"/>
        <v>1939.5</v>
      </c>
      <c r="M18" s="3">
        <f t="shared" si="1"/>
        <v>2250</v>
      </c>
    </row>
    <row r="19" spans="1:13" x14ac:dyDescent="0.25">
      <c r="A19" s="3">
        <v>17</v>
      </c>
      <c r="B19" s="3" t="s">
        <v>23</v>
      </c>
      <c r="C19" s="3"/>
      <c r="D19" s="3"/>
      <c r="E19" s="3"/>
      <c r="F19" s="3"/>
      <c r="G19" s="3">
        <v>7</v>
      </c>
      <c r="H19" s="3">
        <v>7</v>
      </c>
      <c r="I19" s="3">
        <v>25.89</v>
      </c>
      <c r="J19" s="3">
        <v>30</v>
      </c>
      <c r="L19" s="3">
        <f t="shared" si="0"/>
        <v>181.23000000000002</v>
      </c>
      <c r="M19" s="3">
        <f t="shared" si="1"/>
        <v>210</v>
      </c>
    </row>
    <row r="20" spans="1:13" x14ac:dyDescent="0.25">
      <c r="A20" s="3">
        <v>18</v>
      </c>
      <c r="B20" s="3" t="s">
        <v>24</v>
      </c>
      <c r="C20" s="3"/>
      <c r="D20" s="3"/>
      <c r="E20" s="3"/>
      <c r="F20" s="3"/>
      <c r="G20" s="3">
        <v>16</v>
      </c>
      <c r="H20" s="3">
        <v>13</v>
      </c>
      <c r="I20" s="3">
        <v>25.89</v>
      </c>
      <c r="J20" s="3">
        <v>30</v>
      </c>
      <c r="L20" s="3">
        <f t="shared" si="0"/>
        <v>414.24</v>
      </c>
      <c r="M20" s="3">
        <f t="shared" si="1"/>
        <v>480</v>
      </c>
    </row>
    <row r="21" spans="1:13" x14ac:dyDescent="0.25">
      <c r="A21" s="3">
        <v>19</v>
      </c>
      <c r="B21" s="3" t="s">
        <v>25</v>
      </c>
      <c r="C21" s="3"/>
      <c r="D21" s="3"/>
      <c r="E21" s="3">
        <v>4</v>
      </c>
      <c r="F21" s="3"/>
      <c r="G21" s="3"/>
      <c r="H21" s="3"/>
      <c r="I21" s="3">
        <v>80</v>
      </c>
      <c r="J21" s="3">
        <v>110</v>
      </c>
      <c r="L21" s="3">
        <f>E21*I21</f>
        <v>320</v>
      </c>
      <c r="M21" s="3">
        <f>E21*J21</f>
        <v>440</v>
      </c>
    </row>
    <row r="22" spans="1:13" x14ac:dyDescent="0.25">
      <c r="A22" s="3">
        <v>20</v>
      </c>
      <c r="B22" s="3" t="s">
        <v>26</v>
      </c>
      <c r="C22" s="3"/>
      <c r="D22" s="3"/>
      <c r="E22" s="3">
        <v>2</v>
      </c>
      <c r="F22" s="3"/>
      <c r="G22" s="3"/>
      <c r="H22" s="3"/>
      <c r="I22" s="3">
        <v>120</v>
      </c>
      <c r="J22" s="3">
        <v>200</v>
      </c>
      <c r="L22" s="3">
        <f t="shared" ref="L22:L30" si="2">E22*I22</f>
        <v>240</v>
      </c>
      <c r="M22" s="3">
        <f t="shared" ref="M22:M30" si="3">E22*J22</f>
        <v>400</v>
      </c>
    </row>
    <row r="23" spans="1:13" x14ac:dyDescent="0.25">
      <c r="A23" s="3">
        <v>21</v>
      </c>
      <c r="B23" s="3" t="s">
        <v>27</v>
      </c>
      <c r="C23" s="3"/>
      <c r="D23" s="3"/>
      <c r="E23" s="3">
        <v>1</v>
      </c>
      <c r="F23" s="3"/>
      <c r="G23" s="3"/>
      <c r="H23" s="3"/>
      <c r="I23" s="3">
        <v>36</v>
      </c>
      <c r="J23" s="3">
        <v>45</v>
      </c>
      <c r="L23" s="3">
        <f t="shared" si="2"/>
        <v>36</v>
      </c>
      <c r="M23" s="3">
        <f t="shared" si="3"/>
        <v>45</v>
      </c>
    </row>
    <row r="24" spans="1:13" x14ac:dyDescent="0.25">
      <c r="A24" s="3">
        <v>22</v>
      </c>
      <c r="B24" s="3" t="s">
        <v>28</v>
      </c>
      <c r="C24" s="3"/>
      <c r="D24" s="3"/>
      <c r="E24" s="3">
        <v>5</v>
      </c>
      <c r="F24" s="3"/>
      <c r="G24" s="3"/>
      <c r="H24" s="3"/>
      <c r="I24" s="3"/>
      <c r="J24" s="3">
        <v>55</v>
      </c>
      <c r="L24" s="3">
        <f t="shared" si="2"/>
        <v>0</v>
      </c>
      <c r="M24" s="3">
        <f t="shared" si="3"/>
        <v>275</v>
      </c>
    </row>
    <row r="25" spans="1:13" x14ac:dyDescent="0.25">
      <c r="A25" s="3">
        <v>23</v>
      </c>
      <c r="B25" s="3" t="s">
        <v>29</v>
      </c>
      <c r="C25" s="3"/>
      <c r="D25" s="3"/>
      <c r="E25" s="3">
        <v>40</v>
      </c>
      <c r="F25" s="3"/>
      <c r="G25" s="3"/>
      <c r="H25" s="3"/>
      <c r="I25" s="3">
        <v>40</v>
      </c>
      <c r="J25" s="3">
        <v>100</v>
      </c>
      <c r="L25" s="3">
        <f t="shared" si="2"/>
        <v>1600</v>
      </c>
      <c r="M25" s="3">
        <f t="shared" si="3"/>
        <v>4000</v>
      </c>
    </row>
    <row r="26" spans="1:13" x14ac:dyDescent="0.25">
      <c r="A26" s="3">
        <v>24</v>
      </c>
      <c r="B26" s="3" t="s">
        <v>30</v>
      </c>
      <c r="C26" s="3"/>
      <c r="D26" s="3"/>
      <c r="E26" s="3">
        <v>43</v>
      </c>
      <c r="F26" s="3"/>
      <c r="G26" s="3"/>
      <c r="H26" s="3"/>
      <c r="I26" s="3">
        <v>25</v>
      </c>
      <c r="J26" s="3">
        <v>100</v>
      </c>
      <c r="L26" s="3">
        <f t="shared" si="2"/>
        <v>1075</v>
      </c>
      <c r="M26" s="3">
        <f t="shared" si="3"/>
        <v>4300</v>
      </c>
    </row>
    <row r="27" spans="1:13" x14ac:dyDescent="0.25">
      <c r="A27" s="3">
        <v>25</v>
      </c>
      <c r="B27" s="3" t="s">
        <v>31</v>
      </c>
      <c r="C27" s="3"/>
      <c r="D27" s="3"/>
      <c r="E27" s="3">
        <f>2+7</f>
        <v>9</v>
      </c>
      <c r="F27" s="3"/>
      <c r="G27" s="3"/>
      <c r="H27" s="3"/>
      <c r="I27" s="3">
        <v>180</v>
      </c>
      <c r="J27" s="3">
        <v>400</v>
      </c>
      <c r="L27" s="3">
        <f t="shared" si="2"/>
        <v>1620</v>
      </c>
      <c r="M27" s="3">
        <f t="shared" si="3"/>
        <v>3600</v>
      </c>
    </row>
    <row r="28" spans="1:13" x14ac:dyDescent="0.25">
      <c r="A28" s="3">
        <v>26</v>
      </c>
      <c r="B28" s="3" t="s">
        <v>30</v>
      </c>
      <c r="C28" s="3"/>
      <c r="D28" s="3"/>
      <c r="E28" s="3">
        <v>27</v>
      </c>
      <c r="F28" s="3"/>
      <c r="G28" s="3"/>
      <c r="H28" s="3"/>
      <c r="I28" s="3">
        <v>25</v>
      </c>
      <c r="J28" s="3">
        <v>100</v>
      </c>
      <c r="L28" s="3">
        <f t="shared" si="2"/>
        <v>675</v>
      </c>
      <c r="M28" s="3">
        <f t="shared" si="3"/>
        <v>2700</v>
      </c>
    </row>
    <row r="29" spans="1:13" x14ac:dyDescent="0.25">
      <c r="A29" s="3">
        <v>27</v>
      </c>
      <c r="B29" s="3" t="s">
        <v>32</v>
      </c>
      <c r="C29" s="3"/>
      <c r="D29" s="3"/>
      <c r="E29" s="3">
        <v>35</v>
      </c>
      <c r="F29" s="3"/>
      <c r="G29" s="3"/>
      <c r="H29" s="3"/>
      <c r="I29" s="3">
        <v>25</v>
      </c>
      <c r="J29" s="3">
        <v>50</v>
      </c>
      <c r="L29" s="3">
        <f t="shared" si="2"/>
        <v>875</v>
      </c>
      <c r="M29" s="3">
        <f t="shared" si="3"/>
        <v>1750</v>
      </c>
    </row>
    <row r="30" spans="1:13" x14ac:dyDescent="0.25">
      <c r="A30" s="3">
        <v>28</v>
      </c>
      <c r="B30" s="3" t="s">
        <v>32</v>
      </c>
      <c r="C30" s="3"/>
      <c r="D30" s="3"/>
      <c r="E30" s="3">
        <v>21</v>
      </c>
      <c r="F30" s="3"/>
      <c r="G30" s="3"/>
      <c r="H30" s="3"/>
      <c r="I30" s="3">
        <v>25</v>
      </c>
      <c r="J30" s="3">
        <v>50</v>
      </c>
      <c r="L30" s="3">
        <f t="shared" si="2"/>
        <v>525</v>
      </c>
      <c r="M30" s="3">
        <f t="shared" si="3"/>
        <v>1050</v>
      </c>
    </row>
    <row r="31" spans="1:13" x14ac:dyDescent="0.25">
      <c r="A31" s="3">
        <v>29</v>
      </c>
      <c r="B31" s="3" t="s">
        <v>33</v>
      </c>
      <c r="C31" s="3"/>
      <c r="D31" s="3"/>
      <c r="E31" s="3"/>
      <c r="F31" s="3"/>
      <c r="G31" s="3">
        <v>3</v>
      </c>
      <c r="H31" s="3">
        <v>4</v>
      </c>
      <c r="I31" s="3">
        <v>196.54</v>
      </c>
      <c r="J31" s="3">
        <v>142.5</v>
      </c>
      <c r="L31" s="3">
        <f>G31*I31</f>
        <v>589.62</v>
      </c>
      <c r="M31" s="3">
        <f>G31*J31</f>
        <v>427.5</v>
      </c>
    </row>
    <row r="32" spans="1:13" x14ac:dyDescent="0.25">
      <c r="A32" s="3">
        <v>30</v>
      </c>
      <c r="B32" s="3" t="s">
        <v>34</v>
      </c>
      <c r="C32" s="3"/>
      <c r="D32" s="3"/>
      <c r="E32" s="3"/>
      <c r="F32" s="3"/>
      <c r="G32" s="3">
        <v>15</v>
      </c>
      <c r="H32" s="3">
        <v>10</v>
      </c>
      <c r="I32" s="3">
        <v>181.05</v>
      </c>
      <c r="J32" s="3">
        <v>210</v>
      </c>
      <c r="L32" s="3">
        <f t="shared" ref="L32:L53" si="4">G32*I32</f>
        <v>2715.75</v>
      </c>
      <c r="M32" s="3">
        <f t="shared" ref="M32:M53" si="5">G32*J32</f>
        <v>3150</v>
      </c>
    </row>
    <row r="33" spans="1:13" x14ac:dyDescent="0.25">
      <c r="A33" s="3">
        <v>31</v>
      </c>
      <c r="B33" s="3" t="s">
        <v>35</v>
      </c>
      <c r="C33" s="3"/>
      <c r="D33" s="3"/>
      <c r="E33" s="3"/>
      <c r="F33" s="3"/>
      <c r="G33" s="3">
        <v>42</v>
      </c>
      <c r="H33" s="3"/>
      <c r="I33" s="3">
        <v>69</v>
      </c>
      <c r="J33" s="3">
        <v>80</v>
      </c>
      <c r="L33" s="3">
        <f t="shared" si="4"/>
        <v>2898</v>
      </c>
      <c r="M33" s="3">
        <f t="shared" si="5"/>
        <v>3360</v>
      </c>
    </row>
    <row r="34" spans="1:13" x14ac:dyDescent="0.25">
      <c r="A34" s="3">
        <v>32</v>
      </c>
      <c r="B34" s="3" t="s">
        <v>36</v>
      </c>
      <c r="C34" s="3"/>
      <c r="D34" s="3"/>
      <c r="E34" s="3"/>
      <c r="F34" s="3"/>
      <c r="G34" s="3">
        <v>56</v>
      </c>
      <c r="H34" s="3">
        <v>8</v>
      </c>
      <c r="I34" s="3">
        <v>137.97999999999999</v>
      </c>
      <c r="J34" s="3">
        <v>160</v>
      </c>
      <c r="L34" s="3">
        <f t="shared" si="4"/>
        <v>7726.8799999999992</v>
      </c>
      <c r="M34" s="3">
        <f t="shared" si="5"/>
        <v>8960</v>
      </c>
    </row>
    <row r="35" spans="1:13" x14ac:dyDescent="0.25">
      <c r="A35" s="3">
        <v>33</v>
      </c>
      <c r="B35" s="3" t="s">
        <v>37</v>
      </c>
      <c r="C35" s="3"/>
      <c r="D35" s="3"/>
      <c r="E35" s="3"/>
      <c r="F35" s="3"/>
      <c r="G35" s="3">
        <v>9</v>
      </c>
      <c r="H35" s="3"/>
      <c r="I35" s="3">
        <v>69</v>
      </c>
      <c r="J35" s="3">
        <v>50</v>
      </c>
      <c r="L35" s="3">
        <f t="shared" si="4"/>
        <v>621</v>
      </c>
      <c r="M35" s="3">
        <f t="shared" si="5"/>
        <v>450</v>
      </c>
    </row>
    <row r="36" spans="1:13" x14ac:dyDescent="0.25">
      <c r="A36" s="3">
        <v>34</v>
      </c>
      <c r="B36" s="3" t="s">
        <v>38</v>
      </c>
      <c r="C36" s="3"/>
      <c r="D36" s="3"/>
      <c r="E36" s="3"/>
      <c r="F36" s="3"/>
      <c r="G36" s="3">
        <v>2</v>
      </c>
      <c r="H36" s="3"/>
      <c r="I36" s="3"/>
      <c r="J36" s="3"/>
      <c r="L36" s="3">
        <f t="shared" si="4"/>
        <v>0</v>
      </c>
      <c r="M36" s="3">
        <f t="shared" si="5"/>
        <v>0</v>
      </c>
    </row>
    <row r="37" spans="1:13" x14ac:dyDescent="0.25">
      <c r="A37" s="3">
        <v>35</v>
      </c>
      <c r="B37" s="3" t="s">
        <v>39</v>
      </c>
      <c r="C37" s="3"/>
      <c r="D37" s="3"/>
      <c r="E37" s="3"/>
      <c r="F37" s="3"/>
      <c r="G37" s="3">
        <v>6</v>
      </c>
      <c r="H37" s="3">
        <v>5</v>
      </c>
      <c r="I37" s="3">
        <v>68.959999999999994</v>
      </c>
      <c r="J37" s="3">
        <v>80</v>
      </c>
      <c r="L37" s="3">
        <f t="shared" si="4"/>
        <v>413.76</v>
      </c>
      <c r="M37" s="3">
        <f t="shared" si="5"/>
        <v>480</v>
      </c>
    </row>
    <row r="38" spans="1:13" x14ac:dyDescent="0.25">
      <c r="A38" s="3">
        <v>36</v>
      </c>
      <c r="B38" s="3" t="s">
        <v>40</v>
      </c>
      <c r="C38" s="3"/>
      <c r="D38" s="3"/>
      <c r="E38" s="3"/>
      <c r="F38" s="3"/>
      <c r="G38" s="3">
        <v>3</v>
      </c>
      <c r="H38" s="3"/>
      <c r="I38" s="3"/>
      <c r="J38" s="3">
        <v>40</v>
      </c>
      <c r="L38" s="3">
        <f t="shared" si="4"/>
        <v>0</v>
      </c>
      <c r="M38" s="3">
        <f t="shared" si="5"/>
        <v>120</v>
      </c>
    </row>
    <row r="39" spans="1:13" x14ac:dyDescent="0.25">
      <c r="A39" s="3">
        <v>37</v>
      </c>
      <c r="B39" s="3" t="s">
        <v>41</v>
      </c>
      <c r="C39" s="3"/>
      <c r="D39" s="3"/>
      <c r="E39" s="3"/>
      <c r="F39" s="3"/>
      <c r="G39" s="3"/>
      <c r="H39" s="3">
        <v>2</v>
      </c>
      <c r="I39" s="3"/>
      <c r="J39" s="3"/>
      <c r="L39" s="3">
        <f t="shared" si="4"/>
        <v>0</v>
      </c>
      <c r="M39" s="3">
        <f t="shared" si="5"/>
        <v>0</v>
      </c>
    </row>
    <row r="40" spans="1:13" x14ac:dyDescent="0.25">
      <c r="A40" s="3">
        <v>38</v>
      </c>
      <c r="B40" s="3" t="s">
        <v>42</v>
      </c>
      <c r="C40" s="3"/>
      <c r="D40" s="3"/>
      <c r="E40" s="3"/>
      <c r="F40" s="3"/>
      <c r="G40" s="3">
        <v>1</v>
      </c>
      <c r="H40" s="3"/>
      <c r="I40" s="3"/>
      <c r="J40" s="3">
        <v>120</v>
      </c>
      <c r="L40" s="3">
        <f t="shared" si="4"/>
        <v>0</v>
      </c>
      <c r="M40" s="3">
        <f t="shared" si="5"/>
        <v>120</v>
      </c>
    </row>
    <row r="41" spans="1:13" x14ac:dyDescent="0.25">
      <c r="A41" s="3">
        <v>39</v>
      </c>
      <c r="B41" s="3" t="s">
        <v>43</v>
      </c>
      <c r="C41" s="3"/>
      <c r="D41" s="3"/>
      <c r="E41" s="3"/>
      <c r="F41" s="3"/>
      <c r="G41" s="3">
        <v>2</v>
      </c>
      <c r="H41" s="3">
        <v>5</v>
      </c>
      <c r="I41" s="3">
        <v>92.7</v>
      </c>
      <c r="J41" s="3">
        <v>107</v>
      </c>
      <c r="L41" s="3">
        <f t="shared" si="4"/>
        <v>185.4</v>
      </c>
      <c r="M41" s="3">
        <f t="shared" si="5"/>
        <v>214</v>
      </c>
    </row>
    <row r="42" spans="1:13" x14ac:dyDescent="0.25">
      <c r="A42" s="3">
        <v>40</v>
      </c>
      <c r="B42" s="3" t="s">
        <v>44</v>
      </c>
      <c r="C42" s="3"/>
      <c r="D42" s="3"/>
      <c r="E42" s="3"/>
      <c r="F42" s="3"/>
      <c r="G42" s="3">
        <v>32</v>
      </c>
      <c r="H42" s="3"/>
      <c r="I42" s="3">
        <v>25.86</v>
      </c>
      <c r="J42" s="3">
        <v>30</v>
      </c>
      <c r="L42" s="3">
        <f t="shared" si="4"/>
        <v>827.52</v>
      </c>
      <c r="M42" s="3">
        <f t="shared" si="5"/>
        <v>960</v>
      </c>
    </row>
    <row r="43" spans="1:13" x14ac:dyDescent="0.25">
      <c r="A43" s="3">
        <v>41</v>
      </c>
      <c r="B43" s="3" t="s">
        <v>45</v>
      </c>
      <c r="C43" s="3"/>
      <c r="D43" s="3"/>
      <c r="E43" s="3"/>
      <c r="F43" s="3"/>
      <c r="G43" s="3">
        <v>4</v>
      </c>
      <c r="H43" s="3">
        <v>7</v>
      </c>
      <c r="I43" s="3">
        <v>142.41999999999999</v>
      </c>
      <c r="J43" s="3">
        <v>162</v>
      </c>
      <c r="L43" s="3">
        <f t="shared" si="4"/>
        <v>569.67999999999995</v>
      </c>
      <c r="M43" s="3">
        <f t="shared" si="5"/>
        <v>648</v>
      </c>
    </row>
    <row r="44" spans="1:13" x14ac:dyDescent="0.25">
      <c r="A44" s="3">
        <v>42</v>
      </c>
      <c r="B44" s="3" t="s">
        <v>46</v>
      </c>
      <c r="C44" s="3"/>
      <c r="D44" s="3"/>
      <c r="E44" s="3"/>
      <c r="F44" s="3"/>
      <c r="G44" s="3">
        <v>24</v>
      </c>
      <c r="H44" s="3">
        <v>4</v>
      </c>
      <c r="I44" s="3">
        <v>48.28</v>
      </c>
      <c r="J44" s="3">
        <v>56</v>
      </c>
      <c r="L44" s="3">
        <f t="shared" si="4"/>
        <v>1158.72</v>
      </c>
      <c r="M44" s="3">
        <f t="shared" si="5"/>
        <v>1344</v>
      </c>
    </row>
    <row r="45" spans="1:13" x14ac:dyDescent="0.25">
      <c r="A45" s="3">
        <v>43</v>
      </c>
      <c r="B45" s="3" t="s">
        <v>47</v>
      </c>
      <c r="C45" s="3"/>
      <c r="D45" s="3"/>
      <c r="E45" s="3"/>
      <c r="F45" s="3"/>
      <c r="G45" s="3">
        <v>48</v>
      </c>
      <c r="H45" s="3">
        <v>6</v>
      </c>
      <c r="I45" s="3">
        <v>51.72</v>
      </c>
      <c r="J45" s="3">
        <v>60</v>
      </c>
      <c r="L45" s="3">
        <f t="shared" si="4"/>
        <v>2482.56</v>
      </c>
      <c r="M45" s="3">
        <f t="shared" si="5"/>
        <v>2880</v>
      </c>
    </row>
    <row r="46" spans="1:13" x14ac:dyDescent="0.25">
      <c r="A46" s="3">
        <v>44</v>
      </c>
      <c r="B46" s="3" t="s">
        <v>48</v>
      </c>
      <c r="C46" s="3"/>
      <c r="D46" s="3"/>
      <c r="E46" s="3"/>
      <c r="F46" s="3"/>
      <c r="G46" s="3">
        <v>45</v>
      </c>
      <c r="H46" s="3">
        <v>9</v>
      </c>
      <c r="I46" s="3">
        <v>30.18</v>
      </c>
      <c r="J46" s="3">
        <v>35</v>
      </c>
      <c r="L46" s="3">
        <f t="shared" si="4"/>
        <v>1358.1</v>
      </c>
      <c r="M46" s="3">
        <f t="shared" si="5"/>
        <v>1575</v>
      </c>
    </row>
    <row r="47" spans="1:13" x14ac:dyDescent="0.25">
      <c r="A47" s="3">
        <v>45</v>
      </c>
      <c r="B47" s="3" t="s">
        <v>49</v>
      </c>
      <c r="C47" s="3"/>
      <c r="D47" s="3"/>
      <c r="E47" s="3"/>
      <c r="F47" s="3"/>
      <c r="G47" s="3">
        <v>12</v>
      </c>
      <c r="H47" s="3"/>
      <c r="I47" s="3">
        <v>163.79</v>
      </c>
      <c r="J47" s="3">
        <v>190</v>
      </c>
      <c r="L47" s="3">
        <f t="shared" si="4"/>
        <v>1965.48</v>
      </c>
      <c r="M47" s="3">
        <f t="shared" si="5"/>
        <v>2280</v>
      </c>
    </row>
    <row r="48" spans="1:13" x14ac:dyDescent="0.25">
      <c r="A48" s="3">
        <v>46</v>
      </c>
      <c r="B48" s="3" t="s">
        <v>50</v>
      </c>
      <c r="C48" s="3"/>
      <c r="D48" s="3"/>
      <c r="E48" s="3"/>
      <c r="F48" s="3"/>
      <c r="G48" s="3">
        <v>7</v>
      </c>
      <c r="H48" s="3"/>
      <c r="I48" s="3">
        <v>137.91999999999999</v>
      </c>
      <c r="J48" s="3">
        <v>160</v>
      </c>
      <c r="L48" s="3">
        <f t="shared" si="4"/>
        <v>965.43999999999994</v>
      </c>
      <c r="M48" s="3">
        <f t="shared" si="5"/>
        <v>1120</v>
      </c>
    </row>
    <row r="49" spans="1:13" x14ac:dyDescent="0.25">
      <c r="A49" s="3">
        <v>47</v>
      </c>
      <c r="B49" s="3" t="s">
        <v>51</v>
      </c>
      <c r="C49" s="3"/>
      <c r="D49" s="3"/>
      <c r="E49" s="3"/>
      <c r="F49" s="3"/>
      <c r="G49" s="3">
        <v>2</v>
      </c>
      <c r="H49" s="3">
        <v>7</v>
      </c>
      <c r="I49" s="3">
        <v>417.4</v>
      </c>
      <c r="J49" s="3">
        <v>302</v>
      </c>
      <c r="L49" s="3">
        <f t="shared" si="4"/>
        <v>834.8</v>
      </c>
      <c r="M49" s="3">
        <f t="shared" si="5"/>
        <v>604</v>
      </c>
    </row>
    <row r="50" spans="1:13" x14ac:dyDescent="0.25">
      <c r="A50" s="3">
        <v>48</v>
      </c>
      <c r="B50" s="3" t="s">
        <v>52</v>
      </c>
      <c r="C50" s="3"/>
      <c r="D50" s="3"/>
      <c r="E50" s="3"/>
      <c r="F50" s="3"/>
      <c r="G50" s="3">
        <v>13</v>
      </c>
      <c r="H50" s="3"/>
      <c r="I50" s="3">
        <v>66.75</v>
      </c>
      <c r="J50" s="3">
        <v>80</v>
      </c>
      <c r="L50" s="3">
        <f t="shared" si="4"/>
        <v>867.75</v>
      </c>
      <c r="M50" s="3">
        <f t="shared" si="5"/>
        <v>1040</v>
      </c>
    </row>
    <row r="51" spans="1:13" x14ac:dyDescent="0.25">
      <c r="A51" s="3">
        <v>49</v>
      </c>
      <c r="B51" s="3" t="s">
        <v>53</v>
      </c>
      <c r="C51" s="3"/>
      <c r="D51" s="3"/>
      <c r="E51" s="3"/>
      <c r="F51" s="3"/>
      <c r="G51" s="3">
        <v>22</v>
      </c>
      <c r="H51" s="3">
        <v>8</v>
      </c>
      <c r="I51" s="3">
        <v>86.5</v>
      </c>
      <c r="J51" s="3">
        <v>100</v>
      </c>
      <c r="L51" s="3">
        <f t="shared" si="4"/>
        <v>1903</v>
      </c>
      <c r="M51" s="3">
        <f t="shared" si="5"/>
        <v>2200</v>
      </c>
    </row>
    <row r="52" spans="1:13" x14ac:dyDescent="0.25">
      <c r="A52" s="3">
        <v>50</v>
      </c>
      <c r="B52" s="3" t="s">
        <v>54</v>
      </c>
      <c r="C52" s="3"/>
      <c r="D52" s="3"/>
      <c r="E52" s="3"/>
      <c r="F52" s="3"/>
      <c r="G52" s="3">
        <v>5</v>
      </c>
      <c r="H52" s="3"/>
      <c r="I52" s="3">
        <v>198</v>
      </c>
      <c r="J52" s="3">
        <v>230</v>
      </c>
      <c r="L52" s="3">
        <f t="shared" si="4"/>
        <v>990</v>
      </c>
      <c r="M52" s="3">
        <f t="shared" si="5"/>
        <v>1150</v>
      </c>
    </row>
    <row r="53" spans="1:13" x14ac:dyDescent="0.25">
      <c r="A53" s="3">
        <v>51</v>
      </c>
      <c r="B53" s="3" t="s">
        <v>55</v>
      </c>
      <c r="C53" s="3"/>
      <c r="D53" s="3"/>
      <c r="E53" s="3"/>
      <c r="F53" s="3"/>
      <c r="G53" s="3">
        <v>14</v>
      </c>
      <c r="H53" s="3">
        <v>2</v>
      </c>
      <c r="I53" s="3">
        <v>25.9</v>
      </c>
      <c r="J53" s="3">
        <v>30</v>
      </c>
      <c r="L53" s="3">
        <f t="shared" si="4"/>
        <v>362.59999999999997</v>
      </c>
      <c r="M53" s="3">
        <f t="shared" si="5"/>
        <v>420</v>
      </c>
    </row>
    <row r="54" spans="1:13" x14ac:dyDescent="0.25">
      <c r="A54" s="3">
        <v>52</v>
      </c>
      <c r="B54" s="3" t="s">
        <v>56</v>
      </c>
      <c r="C54" s="3"/>
      <c r="D54" s="3"/>
      <c r="E54" s="3">
        <v>2</v>
      </c>
      <c r="F54" s="3"/>
      <c r="G54" s="3"/>
      <c r="H54" s="3"/>
      <c r="I54" s="3"/>
      <c r="J54" s="3">
        <v>343</v>
      </c>
      <c r="L54" s="3">
        <f>E54*I54</f>
        <v>0</v>
      </c>
      <c r="M54" s="3">
        <f>E54*J54</f>
        <v>686</v>
      </c>
    </row>
    <row r="55" spans="1:13" x14ac:dyDescent="0.25">
      <c r="A55" s="3">
        <v>53</v>
      </c>
      <c r="B55" s="3" t="s">
        <v>57</v>
      </c>
      <c r="C55" s="3"/>
      <c r="D55" s="3"/>
      <c r="E55" s="3">
        <v>1</v>
      </c>
      <c r="F55" s="3"/>
      <c r="G55" s="3"/>
      <c r="H55" s="3"/>
      <c r="I55" s="3"/>
      <c r="J55" s="3"/>
      <c r="L55" s="3">
        <f>E55*I55</f>
        <v>0</v>
      </c>
      <c r="M55" s="3">
        <f>E55*J55</f>
        <v>0</v>
      </c>
    </row>
    <row r="56" spans="1:13" x14ac:dyDescent="0.25">
      <c r="A56" s="3">
        <v>54</v>
      </c>
      <c r="B56" s="3" t="s">
        <v>58</v>
      </c>
      <c r="C56" s="3"/>
      <c r="D56" s="3"/>
      <c r="E56" s="3"/>
      <c r="F56" s="3"/>
      <c r="G56" s="3">
        <v>34</v>
      </c>
      <c r="H56" s="3">
        <v>7</v>
      </c>
      <c r="I56" s="3">
        <v>56.03</v>
      </c>
      <c r="J56" s="3">
        <v>65</v>
      </c>
      <c r="L56" s="3">
        <f t="shared" ref="L56" si="6">G56*I56</f>
        <v>1905.02</v>
      </c>
      <c r="M56" s="3">
        <f t="shared" ref="M56" si="7">G56*J56</f>
        <v>2210</v>
      </c>
    </row>
    <row r="57" spans="1:13" x14ac:dyDescent="0.25">
      <c r="A57" s="3">
        <v>55</v>
      </c>
      <c r="B57" s="3" t="s">
        <v>59</v>
      </c>
      <c r="C57" s="3"/>
      <c r="D57" s="3"/>
      <c r="E57" s="3"/>
      <c r="F57" s="3"/>
      <c r="G57" s="3">
        <v>24</v>
      </c>
      <c r="H57" s="3">
        <v>56.36</v>
      </c>
      <c r="I57" s="3">
        <v>65</v>
      </c>
      <c r="J57" s="3"/>
      <c r="L57" s="3">
        <f t="shared" ref="L57:L63" si="8">G57*I57</f>
        <v>1560</v>
      </c>
      <c r="M57" s="3">
        <f t="shared" ref="M57:M63" si="9">G57*J57</f>
        <v>0</v>
      </c>
    </row>
    <row r="58" spans="1:13" x14ac:dyDescent="0.25">
      <c r="A58" s="3">
        <v>56</v>
      </c>
      <c r="B58" s="3" t="s">
        <v>60</v>
      </c>
      <c r="C58" s="3"/>
      <c r="D58" s="3"/>
      <c r="E58" s="3"/>
      <c r="F58" s="3"/>
      <c r="G58" s="3">
        <v>25</v>
      </c>
      <c r="H58" s="3"/>
      <c r="I58" s="3">
        <v>68.94</v>
      </c>
      <c r="J58" s="3">
        <v>80</v>
      </c>
      <c r="L58" s="3">
        <f t="shared" si="8"/>
        <v>1723.5</v>
      </c>
      <c r="M58" s="3">
        <f t="shared" si="9"/>
        <v>2000</v>
      </c>
    </row>
    <row r="59" spans="1:13" x14ac:dyDescent="0.25">
      <c r="A59" s="3">
        <v>57</v>
      </c>
      <c r="B59" s="3" t="s">
        <v>61</v>
      </c>
      <c r="C59" s="3"/>
      <c r="D59" s="3"/>
      <c r="E59" s="3"/>
      <c r="F59" s="3"/>
      <c r="G59" s="3">
        <v>17</v>
      </c>
      <c r="H59" s="3">
        <v>6</v>
      </c>
      <c r="I59" s="3">
        <v>51.75</v>
      </c>
      <c r="J59" s="3">
        <v>60</v>
      </c>
      <c r="L59" s="3">
        <f t="shared" si="8"/>
        <v>879.75</v>
      </c>
      <c r="M59" s="3">
        <f t="shared" si="9"/>
        <v>1020</v>
      </c>
    </row>
    <row r="60" spans="1:13" x14ac:dyDescent="0.25">
      <c r="A60" s="3">
        <v>58</v>
      </c>
      <c r="B60" s="3" t="s">
        <v>83</v>
      </c>
      <c r="C60" s="3"/>
      <c r="D60" s="3"/>
      <c r="E60" s="3"/>
      <c r="F60" s="3"/>
      <c r="G60" s="3">
        <v>18</v>
      </c>
      <c r="H60" s="3"/>
      <c r="I60" s="3">
        <v>172.42</v>
      </c>
      <c r="J60" s="3">
        <v>200</v>
      </c>
      <c r="L60" s="3">
        <f t="shared" si="8"/>
        <v>3103.56</v>
      </c>
      <c r="M60" s="3">
        <f t="shared" si="9"/>
        <v>3600</v>
      </c>
    </row>
    <row r="61" spans="1:13" x14ac:dyDescent="0.25">
      <c r="A61" s="3">
        <v>59</v>
      </c>
      <c r="B61" s="3" t="s">
        <v>62</v>
      </c>
      <c r="C61" s="3"/>
      <c r="D61" s="3"/>
      <c r="E61" s="3"/>
      <c r="F61" s="3"/>
      <c r="G61" s="3">
        <v>9</v>
      </c>
      <c r="H61" s="3"/>
      <c r="I61" s="3">
        <v>172.42</v>
      </c>
      <c r="J61" s="3">
        <v>200</v>
      </c>
      <c r="L61" s="3">
        <f t="shared" si="8"/>
        <v>1551.78</v>
      </c>
      <c r="M61" s="3">
        <f t="shared" si="9"/>
        <v>1800</v>
      </c>
    </row>
    <row r="62" spans="1:13" x14ac:dyDescent="0.25">
      <c r="A62" s="3">
        <v>60</v>
      </c>
      <c r="B62" s="3" t="s">
        <v>84</v>
      </c>
      <c r="C62" s="3"/>
      <c r="D62" s="3"/>
      <c r="E62" s="3"/>
      <c r="F62" s="3"/>
      <c r="G62" s="3">
        <v>19</v>
      </c>
      <c r="H62" s="3">
        <v>5</v>
      </c>
      <c r="I62" s="3">
        <v>77.59</v>
      </c>
      <c r="J62" s="3">
        <v>90</v>
      </c>
      <c r="L62" s="3">
        <f t="shared" si="8"/>
        <v>1474.21</v>
      </c>
      <c r="M62" s="3">
        <f t="shared" si="9"/>
        <v>1710</v>
      </c>
    </row>
    <row r="63" spans="1:13" x14ac:dyDescent="0.25">
      <c r="A63" s="3">
        <v>61</v>
      </c>
      <c r="B63" s="3" t="s">
        <v>63</v>
      </c>
      <c r="C63" s="3"/>
      <c r="D63" s="3"/>
      <c r="E63" s="3"/>
      <c r="F63" s="3"/>
      <c r="G63" s="3">
        <v>22</v>
      </c>
      <c r="H63" s="3">
        <v>4</v>
      </c>
      <c r="I63" s="3"/>
      <c r="J63" s="3">
        <v>66</v>
      </c>
      <c r="L63" s="3">
        <f t="shared" si="8"/>
        <v>0</v>
      </c>
      <c r="M63" s="3">
        <f t="shared" si="9"/>
        <v>1452</v>
      </c>
    </row>
    <row r="64" spans="1:13" x14ac:dyDescent="0.25">
      <c r="A64" s="3">
        <v>62</v>
      </c>
      <c r="B64" s="3" t="s">
        <v>65</v>
      </c>
      <c r="C64" s="3"/>
      <c r="D64" s="3"/>
      <c r="E64" s="3">
        <v>5</v>
      </c>
      <c r="F64" s="3"/>
      <c r="G64" s="3"/>
      <c r="H64" s="3"/>
      <c r="I64" s="3">
        <v>327.64999999999998</v>
      </c>
      <c r="J64" s="3">
        <v>237.5</v>
      </c>
      <c r="L64" s="3">
        <f>E64*I64</f>
        <v>1638.25</v>
      </c>
      <c r="M64" s="3">
        <f>E64*J64</f>
        <v>1187.5</v>
      </c>
    </row>
    <row r="65" spans="1:13" x14ac:dyDescent="0.25">
      <c r="A65" s="3">
        <v>63</v>
      </c>
      <c r="B65" s="3" t="s">
        <v>64</v>
      </c>
      <c r="C65" s="3"/>
      <c r="D65" s="3"/>
      <c r="E65" s="3"/>
      <c r="F65" s="3"/>
      <c r="G65" s="3"/>
      <c r="H65" s="3"/>
      <c r="I65" s="3">
        <v>290.12</v>
      </c>
      <c r="J65" s="3">
        <v>210</v>
      </c>
      <c r="L65" s="3">
        <f t="shared" ref="L65:L72" si="10">E65*I65</f>
        <v>0</v>
      </c>
      <c r="M65" s="3">
        <f t="shared" ref="M65:M72" si="11">E65*J65</f>
        <v>0</v>
      </c>
    </row>
    <row r="66" spans="1:13" x14ac:dyDescent="0.25">
      <c r="A66" s="3">
        <v>64</v>
      </c>
      <c r="B66" s="3" t="s">
        <v>66</v>
      </c>
      <c r="C66" s="3"/>
      <c r="D66" s="3"/>
      <c r="E66" s="3">
        <v>2</v>
      </c>
      <c r="F66" s="3"/>
      <c r="G66" s="3"/>
      <c r="H66" s="3"/>
      <c r="I66" s="3">
        <v>791.53</v>
      </c>
      <c r="J66" s="3">
        <v>521</v>
      </c>
      <c r="L66" s="3">
        <f t="shared" si="10"/>
        <v>1583.06</v>
      </c>
      <c r="M66" s="3">
        <f t="shared" si="11"/>
        <v>1042</v>
      </c>
    </row>
    <row r="67" spans="1:13" x14ac:dyDescent="0.25">
      <c r="A67" s="3">
        <v>65</v>
      </c>
      <c r="B67" s="3" t="s">
        <v>67</v>
      </c>
      <c r="C67" s="3"/>
      <c r="D67" s="3"/>
      <c r="E67" s="3">
        <v>4</v>
      </c>
      <c r="F67" s="3"/>
      <c r="G67" s="3"/>
      <c r="H67" s="3"/>
      <c r="I67" s="3">
        <v>301.74</v>
      </c>
      <c r="J67" s="3">
        <v>218.76</v>
      </c>
      <c r="L67" s="3">
        <f t="shared" si="10"/>
        <v>1206.96</v>
      </c>
      <c r="M67" s="3">
        <f t="shared" si="11"/>
        <v>875.04</v>
      </c>
    </row>
    <row r="68" spans="1:13" x14ac:dyDescent="0.25">
      <c r="A68" s="3">
        <v>66</v>
      </c>
      <c r="B68" s="3" t="s">
        <v>85</v>
      </c>
      <c r="C68" s="3"/>
      <c r="D68" s="3"/>
      <c r="E68" s="3">
        <v>1</v>
      </c>
      <c r="F68" s="3"/>
      <c r="G68" s="3"/>
      <c r="H68" s="3"/>
      <c r="I68" s="3">
        <v>244.1</v>
      </c>
      <c r="J68" s="3">
        <v>176.98</v>
      </c>
      <c r="L68" s="3">
        <f t="shared" si="10"/>
        <v>244.1</v>
      </c>
      <c r="M68" s="3">
        <f t="shared" si="11"/>
        <v>176.98</v>
      </c>
    </row>
    <row r="69" spans="1:13" x14ac:dyDescent="0.25">
      <c r="A69" s="3">
        <v>67</v>
      </c>
      <c r="B69" s="3" t="s">
        <v>68</v>
      </c>
      <c r="C69" s="3"/>
      <c r="D69" s="3"/>
      <c r="E69" s="3">
        <v>1</v>
      </c>
      <c r="F69" s="3"/>
      <c r="G69" s="3"/>
      <c r="H69" s="3"/>
      <c r="I69" s="3">
        <v>96.01</v>
      </c>
      <c r="J69" s="3">
        <v>69.010000000000005</v>
      </c>
      <c r="L69" s="3">
        <f t="shared" si="10"/>
        <v>96.01</v>
      </c>
      <c r="M69" s="3">
        <f t="shared" si="11"/>
        <v>69.010000000000005</v>
      </c>
    </row>
    <row r="70" spans="1:13" x14ac:dyDescent="0.25">
      <c r="A70" s="3">
        <v>68</v>
      </c>
      <c r="B70" s="3" t="s">
        <v>69</v>
      </c>
      <c r="C70" s="3"/>
      <c r="D70" s="3"/>
      <c r="E70" s="3">
        <v>22</v>
      </c>
      <c r="F70" s="3"/>
      <c r="G70" s="3"/>
      <c r="H70" s="3"/>
      <c r="I70" s="3"/>
      <c r="J70" s="3">
        <v>200</v>
      </c>
      <c r="L70" s="3">
        <f t="shared" si="10"/>
        <v>0</v>
      </c>
      <c r="M70" s="3">
        <f t="shared" si="11"/>
        <v>4400</v>
      </c>
    </row>
    <row r="71" spans="1:13" x14ac:dyDescent="0.25">
      <c r="A71" s="3">
        <v>69</v>
      </c>
      <c r="B71" s="3" t="s">
        <v>70</v>
      </c>
      <c r="C71" s="3"/>
      <c r="D71" s="3"/>
      <c r="E71" s="3">
        <v>7</v>
      </c>
      <c r="F71" s="3"/>
      <c r="G71" s="3"/>
      <c r="H71" s="3"/>
      <c r="I71" s="3">
        <v>50</v>
      </c>
      <c r="J71" s="3">
        <v>320</v>
      </c>
      <c r="L71" s="3">
        <f t="shared" si="10"/>
        <v>350</v>
      </c>
      <c r="M71" s="3">
        <f t="shared" si="11"/>
        <v>2240</v>
      </c>
    </row>
    <row r="72" spans="1:13" x14ac:dyDescent="0.25">
      <c r="A72" s="3">
        <v>70</v>
      </c>
      <c r="B72" s="3" t="s">
        <v>71</v>
      </c>
      <c r="C72" s="3"/>
      <c r="D72" s="3"/>
      <c r="E72" s="3">
        <v>34</v>
      </c>
      <c r="F72" s="3"/>
      <c r="G72" s="3"/>
      <c r="H72" s="3"/>
      <c r="I72" s="3">
        <v>49</v>
      </c>
      <c r="J72" s="3">
        <v>50</v>
      </c>
      <c r="L72" s="3">
        <f t="shared" si="10"/>
        <v>1666</v>
      </c>
      <c r="M72" s="3">
        <f t="shared" si="11"/>
        <v>1700</v>
      </c>
    </row>
    <row r="73" spans="1:13" x14ac:dyDescent="0.25">
      <c r="A73" s="3">
        <v>71</v>
      </c>
      <c r="B73" s="3" t="s">
        <v>72</v>
      </c>
      <c r="C73" s="3"/>
      <c r="D73" s="3"/>
      <c r="E73" s="3"/>
      <c r="F73" s="3"/>
      <c r="G73" s="3">
        <v>4</v>
      </c>
      <c r="H73" s="3">
        <v>11</v>
      </c>
      <c r="I73" s="3">
        <v>30</v>
      </c>
      <c r="J73" s="3">
        <v>19.2</v>
      </c>
      <c r="L73" s="3">
        <f>G73*I73</f>
        <v>120</v>
      </c>
      <c r="M73" s="3">
        <f>G73*J73</f>
        <v>76.8</v>
      </c>
    </row>
    <row r="74" spans="1:13" x14ac:dyDescent="0.25">
      <c r="A74" s="3">
        <v>72</v>
      </c>
      <c r="B74" s="3" t="s">
        <v>73</v>
      </c>
      <c r="C74" s="3"/>
      <c r="D74" s="3"/>
      <c r="E74" s="3">
        <v>71</v>
      </c>
      <c r="F74" s="3"/>
      <c r="G74" s="3"/>
      <c r="H74" s="3"/>
      <c r="I74" s="3">
        <v>16.7</v>
      </c>
      <c r="J74" s="3">
        <v>20</v>
      </c>
      <c r="L74" s="3">
        <f t="shared" ref="L74" si="12">E74*I74</f>
        <v>1185.7</v>
      </c>
      <c r="M74" s="3">
        <f t="shared" ref="M74" si="13">E74*J74</f>
        <v>1420</v>
      </c>
    </row>
    <row r="75" spans="1:13" x14ac:dyDescent="0.25">
      <c r="A75" s="3">
        <v>73</v>
      </c>
      <c r="B75" s="3" t="s">
        <v>74</v>
      </c>
      <c r="C75" s="3"/>
      <c r="D75" s="3"/>
      <c r="E75" s="3">
        <f>6+4</f>
        <v>10</v>
      </c>
      <c r="F75" s="3"/>
      <c r="G75" s="3"/>
      <c r="H75" s="3"/>
      <c r="I75" s="3">
        <v>27</v>
      </c>
      <c r="J75" s="3">
        <v>50</v>
      </c>
      <c r="L75" s="3">
        <f t="shared" ref="L75:L80" si="14">E75*I75</f>
        <v>270</v>
      </c>
      <c r="M75" s="3">
        <f t="shared" ref="M75:M80" si="15">E75*J75</f>
        <v>500</v>
      </c>
    </row>
    <row r="76" spans="1:13" x14ac:dyDescent="0.25">
      <c r="A76" s="3">
        <v>74</v>
      </c>
      <c r="B76" s="3" t="s">
        <v>75</v>
      </c>
      <c r="C76" s="3"/>
      <c r="D76" s="3"/>
      <c r="E76" s="3">
        <v>10</v>
      </c>
      <c r="F76" s="3"/>
      <c r="G76" s="3"/>
      <c r="H76" s="3"/>
      <c r="I76" s="3">
        <v>40</v>
      </c>
      <c r="J76" s="3">
        <v>65</v>
      </c>
      <c r="L76" s="3">
        <f t="shared" si="14"/>
        <v>400</v>
      </c>
      <c r="M76" s="3">
        <f t="shared" si="15"/>
        <v>650</v>
      </c>
    </row>
    <row r="77" spans="1:13" x14ac:dyDescent="0.25">
      <c r="A77" s="3">
        <v>75</v>
      </c>
      <c r="B77" s="3" t="s">
        <v>76</v>
      </c>
      <c r="C77" s="3"/>
      <c r="D77" s="3"/>
      <c r="E77" s="3">
        <v>9</v>
      </c>
      <c r="F77" s="3"/>
      <c r="G77" s="3"/>
      <c r="H77" s="3"/>
      <c r="I77" s="3">
        <v>38</v>
      </c>
      <c r="J77" s="3">
        <v>100</v>
      </c>
      <c r="L77" s="3">
        <f t="shared" si="14"/>
        <v>342</v>
      </c>
      <c r="M77" s="3">
        <f t="shared" si="15"/>
        <v>900</v>
      </c>
    </row>
    <row r="78" spans="1:13" x14ac:dyDescent="0.25">
      <c r="A78" s="3">
        <v>76</v>
      </c>
      <c r="B78" s="3" t="s">
        <v>77</v>
      </c>
      <c r="C78" s="3"/>
      <c r="D78" s="3"/>
      <c r="E78" s="3">
        <v>7</v>
      </c>
      <c r="F78" s="3"/>
      <c r="G78" s="3"/>
      <c r="H78" s="3"/>
      <c r="I78" s="3">
        <v>30</v>
      </c>
      <c r="J78" s="3">
        <v>50</v>
      </c>
      <c r="L78" s="3">
        <f t="shared" si="14"/>
        <v>210</v>
      </c>
      <c r="M78" s="3">
        <f t="shared" si="15"/>
        <v>350</v>
      </c>
    </row>
    <row r="79" spans="1:13" x14ac:dyDescent="0.25">
      <c r="A79" s="3">
        <v>77</v>
      </c>
      <c r="B79" s="3" t="s">
        <v>78</v>
      </c>
      <c r="C79" s="3"/>
      <c r="D79" s="3"/>
      <c r="E79" s="3">
        <v>3</v>
      </c>
      <c r="F79" s="3"/>
      <c r="G79" s="3"/>
      <c r="H79" s="3"/>
      <c r="I79" s="3"/>
      <c r="J79" s="3">
        <v>70</v>
      </c>
      <c r="L79" s="3">
        <f t="shared" si="14"/>
        <v>0</v>
      </c>
      <c r="M79" s="3">
        <f t="shared" si="15"/>
        <v>210</v>
      </c>
    </row>
    <row r="80" spans="1:13" x14ac:dyDescent="0.25">
      <c r="A80" s="3">
        <v>78</v>
      </c>
      <c r="B80" s="3" t="s">
        <v>79</v>
      </c>
      <c r="C80" s="3"/>
      <c r="D80" s="3"/>
      <c r="E80" s="3">
        <v>3</v>
      </c>
      <c r="F80" s="3"/>
      <c r="G80" s="3"/>
      <c r="H80" s="3"/>
      <c r="I80" s="3"/>
      <c r="J80" s="3">
        <v>320</v>
      </c>
      <c r="L80" s="3">
        <f t="shared" si="14"/>
        <v>0</v>
      </c>
      <c r="M80" s="3">
        <f t="shared" si="15"/>
        <v>960</v>
      </c>
    </row>
    <row r="81" spans="1:13" x14ac:dyDescent="0.25">
      <c r="A81" s="3">
        <v>79</v>
      </c>
      <c r="B81" s="3" t="s">
        <v>80</v>
      </c>
      <c r="C81" s="3"/>
      <c r="D81" s="3"/>
      <c r="E81" s="3"/>
      <c r="F81" s="3"/>
      <c r="G81" s="3">
        <v>27</v>
      </c>
      <c r="H81" s="3"/>
      <c r="I81" s="3"/>
      <c r="J81" s="3">
        <v>75</v>
      </c>
      <c r="L81" s="3">
        <f>G81*I81</f>
        <v>0</v>
      </c>
      <c r="M81" s="3">
        <f>G81*J81</f>
        <v>2025</v>
      </c>
    </row>
    <row r="82" spans="1:13" x14ac:dyDescent="0.25">
      <c r="A82" s="3">
        <v>80</v>
      </c>
      <c r="B82" s="3" t="s">
        <v>81</v>
      </c>
      <c r="C82" s="3"/>
      <c r="D82" s="3"/>
      <c r="E82" s="3"/>
      <c r="F82" s="3"/>
      <c r="G82" s="3">
        <v>2</v>
      </c>
      <c r="H82" s="3"/>
      <c r="I82" s="3"/>
      <c r="J82" s="3">
        <v>30</v>
      </c>
      <c r="L82" s="3">
        <f>G82*I82</f>
        <v>0</v>
      </c>
      <c r="M82" s="3">
        <f>G82*J82</f>
        <v>60</v>
      </c>
    </row>
    <row r="83" spans="1:13" x14ac:dyDescent="0.25">
      <c r="A83" s="3">
        <v>81</v>
      </c>
      <c r="B83" s="3" t="s">
        <v>82</v>
      </c>
      <c r="C83" s="3"/>
      <c r="D83" s="3"/>
      <c r="E83" s="3"/>
      <c r="F83" s="3"/>
      <c r="G83" s="3"/>
      <c r="H83" s="3">
        <v>5</v>
      </c>
      <c r="I83" s="3"/>
      <c r="J83" s="3">
        <v>42</v>
      </c>
      <c r="L83" s="3">
        <f t="shared" ref="L83:L136" si="16">G83*I83</f>
        <v>0</v>
      </c>
      <c r="M83" s="3">
        <f t="shared" ref="M83:M136" si="17">G83*J83</f>
        <v>0</v>
      </c>
    </row>
    <row r="84" spans="1:13" x14ac:dyDescent="0.25">
      <c r="A84" s="3">
        <v>82</v>
      </c>
      <c r="B84" s="3" t="s">
        <v>86</v>
      </c>
      <c r="C84" s="3"/>
      <c r="D84" s="3"/>
      <c r="E84" s="3"/>
      <c r="F84" s="3"/>
      <c r="G84" s="3">
        <v>40</v>
      </c>
      <c r="H84" s="3"/>
      <c r="I84" s="3">
        <v>137.93</v>
      </c>
      <c r="J84" s="3">
        <v>160</v>
      </c>
      <c r="L84" s="3">
        <f t="shared" si="16"/>
        <v>5517.2000000000007</v>
      </c>
      <c r="M84" s="3">
        <f t="shared" si="17"/>
        <v>6400</v>
      </c>
    </row>
    <row r="85" spans="1:13" x14ac:dyDescent="0.25">
      <c r="A85" s="3">
        <v>83</v>
      </c>
      <c r="B85" s="3" t="s">
        <v>87</v>
      </c>
      <c r="C85" s="3"/>
      <c r="D85" s="3"/>
      <c r="E85" s="3"/>
      <c r="F85" s="3"/>
      <c r="G85" s="3">
        <v>18</v>
      </c>
      <c r="H85" s="3"/>
      <c r="I85" s="3">
        <v>161.68</v>
      </c>
      <c r="J85" s="3">
        <v>187.5</v>
      </c>
      <c r="L85" s="3">
        <f t="shared" si="16"/>
        <v>2910.2400000000002</v>
      </c>
      <c r="M85" s="3">
        <f t="shared" si="17"/>
        <v>3375</v>
      </c>
    </row>
    <row r="86" spans="1:13" x14ac:dyDescent="0.25">
      <c r="A86" s="3">
        <v>84</v>
      </c>
      <c r="B86" s="3" t="s">
        <v>88</v>
      </c>
      <c r="C86" s="3"/>
      <c r="D86" s="3"/>
      <c r="E86" s="3"/>
      <c r="F86" s="3"/>
      <c r="G86" s="3">
        <v>7</v>
      </c>
      <c r="H86" s="3"/>
      <c r="I86" s="3">
        <v>29.75</v>
      </c>
      <c r="J86" s="3">
        <v>34.5</v>
      </c>
      <c r="L86" s="3">
        <f t="shared" si="16"/>
        <v>208.25</v>
      </c>
      <c r="M86" s="3">
        <f t="shared" si="17"/>
        <v>241.5</v>
      </c>
    </row>
    <row r="87" spans="1:13" x14ac:dyDescent="0.25">
      <c r="A87" s="3">
        <v>85</v>
      </c>
      <c r="B87" s="3" t="s">
        <v>89</v>
      </c>
      <c r="C87" s="3"/>
      <c r="D87" s="3"/>
      <c r="E87" s="3"/>
      <c r="F87" s="3"/>
      <c r="G87" s="3">
        <v>5</v>
      </c>
      <c r="H87" s="3"/>
      <c r="I87" s="3">
        <v>64.75</v>
      </c>
      <c r="J87" s="3">
        <v>75</v>
      </c>
      <c r="L87" s="3">
        <f t="shared" si="16"/>
        <v>323.75</v>
      </c>
      <c r="M87" s="3">
        <f t="shared" si="17"/>
        <v>375</v>
      </c>
    </row>
    <row r="88" spans="1:13" x14ac:dyDescent="0.25">
      <c r="A88" s="3">
        <v>86</v>
      </c>
      <c r="B88" s="3" t="s">
        <v>90</v>
      </c>
      <c r="C88" s="3"/>
      <c r="D88" s="3"/>
      <c r="E88" s="3"/>
      <c r="F88" s="3"/>
      <c r="G88" s="3">
        <v>20</v>
      </c>
      <c r="H88" s="3"/>
      <c r="I88" s="3"/>
      <c r="J88" s="3">
        <v>90</v>
      </c>
      <c r="L88" s="3">
        <f t="shared" si="16"/>
        <v>0</v>
      </c>
      <c r="M88" s="3">
        <f t="shared" si="17"/>
        <v>1800</v>
      </c>
    </row>
    <row r="89" spans="1:13" x14ac:dyDescent="0.25">
      <c r="A89" s="3">
        <v>87</v>
      </c>
      <c r="B89" s="3" t="s">
        <v>91</v>
      </c>
      <c r="C89" s="3"/>
      <c r="D89" s="3"/>
      <c r="E89" s="3"/>
      <c r="F89" s="3"/>
      <c r="G89" s="3">
        <v>10</v>
      </c>
      <c r="H89" s="3"/>
      <c r="I89" s="3">
        <v>103.46</v>
      </c>
      <c r="J89" s="3">
        <v>120</v>
      </c>
      <c r="L89" s="3">
        <f t="shared" si="16"/>
        <v>1034.5999999999999</v>
      </c>
      <c r="M89" s="3">
        <f t="shared" si="17"/>
        <v>1200</v>
      </c>
    </row>
    <row r="90" spans="1:13" x14ac:dyDescent="0.25">
      <c r="A90" s="3">
        <v>88</v>
      </c>
      <c r="B90" s="3" t="s">
        <v>92</v>
      </c>
      <c r="C90" s="3"/>
      <c r="D90" s="3"/>
      <c r="E90" s="3"/>
      <c r="F90" s="3"/>
      <c r="G90" s="3">
        <v>10</v>
      </c>
      <c r="H90" s="3"/>
      <c r="I90" s="3">
        <v>84.05</v>
      </c>
      <c r="J90" s="3">
        <v>97.5</v>
      </c>
      <c r="L90" s="3">
        <f t="shared" si="16"/>
        <v>840.5</v>
      </c>
      <c r="M90" s="3">
        <f t="shared" si="17"/>
        <v>975</v>
      </c>
    </row>
    <row r="91" spans="1:13" x14ac:dyDescent="0.25">
      <c r="A91" s="3">
        <v>89</v>
      </c>
      <c r="B91" s="3" t="s">
        <v>93</v>
      </c>
      <c r="C91" s="3"/>
      <c r="D91" s="3"/>
      <c r="E91" s="3"/>
      <c r="F91" s="3"/>
      <c r="G91" s="3">
        <v>9</v>
      </c>
      <c r="H91" s="3"/>
      <c r="I91" s="3">
        <v>112.7</v>
      </c>
      <c r="J91" s="3">
        <v>130</v>
      </c>
      <c r="L91" s="3">
        <f t="shared" si="16"/>
        <v>1014.3000000000001</v>
      </c>
      <c r="M91" s="3">
        <f t="shared" si="17"/>
        <v>1170</v>
      </c>
    </row>
    <row r="92" spans="1:13" x14ac:dyDescent="0.25">
      <c r="A92" s="3">
        <v>90</v>
      </c>
      <c r="B92" s="3" t="s">
        <v>94</v>
      </c>
      <c r="C92" s="3"/>
      <c r="D92" s="3"/>
      <c r="E92" s="3"/>
      <c r="F92" s="3"/>
      <c r="G92" s="3">
        <v>68</v>
      </c>
      <c r="H92" s="3">
        <v>3</v>
      </c>
      <c r="I92" s="3">
        <v>47.48</v>
      </c>
      <c r="J92" s="3">
        <v>55</v>
      </c>
      <c r="L92" s="3">
        <f t="shared" si="16"/>
        <v>3228.64</v>
      </c>
      <c r="M92" s="3">
        <f t="shared" si="17"/>
        <v>3740</v>
      </c>
    </row>
    <row r="93" spans="1:13" x14ac:dyDescent="0.25">
      <c r="A93" s="3">
        <v>91</v>
      </c>
      <c r="B93" s="3" t="s">
        <v>95</v>
      </c>
      <c r="C93" s="3"/>
      <c r="D93" s="3"/>
      <c r="E93" s="3"/>
      <c r="F93" s="3"/>
      <c r="G93" s="3">
        <v>8</v>
      </c>
      <c r="H93" s="3"/>
      <c r="I93" s="3">
        <v>64.66</v>
      </c>
      <c r="J93" s="3">
        <v>75</v>
      </c>
      <c r="L93" s="3">
        <f t="shared" si="16"/>
        <v>517.28</v>
      </c>
      <c r="M93" s="3">
        <f t="shared" si="17"/>
        <v>600</v>
      </c>
    </row>
    <row r="94" spans="1:13" x14ac:dyDescent="0.25">
      <c r="A94" s="3">
        <v>92</v>
      </c>
      <c r="B94" s="3" t="s">
        <v>96</v>
      </c>
      <c r="C94" s="3"/>
      <c r="D94" s="3"/>
      <c r="E94" s="3"/>
      <c r="F94" s="3"/>
      <c r="G94" s="3">
        <v>10</v>
      </c>
      <c r="H94" s="3"/>
      <c r="I94" s="3">
        <v>29.75</v>
      </c>
      <c r="J94" s="3">
        <v>34.5</v>
      </c>
      <c r="L94" s="3">
        <f t="shared" si="16"/>
        <v>297.5</v>
      </c>
      <c r="M94" s="3">
        <f t="shared" si="17"/>
        <v>345</v>
      </c>
    </row>
    <row r="95" spans="1:13" x14ac:dyDescent="0.25">
      <c r="A95" s="3">
        <v>93</v>
      </c>
      <c r="B95" s="3" t="s">
        <v>97</v>
      </c>
      <c r="C95" s="3"/>
      <c r="D95" s="3"/>
      <c r="E95" s="3"/>
      <c r="F95" s="3"/>
      <c r="G95" s="3">
        <v>26</v>
      </c>
      <c r="H95" s="3"/>
      <c r="I95" s="3">
        <v>161.63</v>
      </c>
      <c r="J95" s="3">
        <v>187.5</v>
      </c>
      <c r="L95" s="3">
        <f t="shared" si="16"/>
        <v>4202.38</v>
      </c>
      <c r="M95" s="3">
        <f t="shared" si="17"/>
        <v>4875</v>
      </c>
    </row>
    <row r="96" spans="1:13" x14ac:dyDescent="0.25">
      <c r="A96" s="3">
        <v>94</v>
      </c>
      <c r="B96" s="3" t="s">
        <v>98</v>
      </c>
      <c r="C96" s="3"/>
      <c r="D96" s="3"/>
      <c r="E96" s="3"/>
      <c r="F96" s="3"/>
      <c r="G96" s="3">
        <v>10</v>
      </c>
      <c r="H96" s="3"/>
      <c r="I96" s="3">
        <v>84.05</v>
      </c>
      <c r="J96" s="3">
        <v>97.5</v>
      </c>
      <c r="L96" s="3">
        <f t="shared" si="16"/>
        <v>840.5</v>
      </c>
      <c r="M96" s="3">
        <f t="shared" si="17"/>
        <v>975</v>
      </c>
    </row>
    <row r="97" spans="1:13" x14ac:dyDescent="0.25">
      <c r="A97" s="3">
        <v>95</v>
      </c>
      <c r="B97" s="3" t="s">
        <v>99</v>
      </c>
      <c r="C97" s="3"/>
      <c r="D97" s="3"/>
      <c r="E97" s="3"/>
      <c r="F97" s="3"/>
      <c r="G97" s="3">
        <v>14</v>
      </c>
      <c r="H97" s="3"/>
      <c r="I97" s="3">
        <v>47.48</v>
      </c>
      <c r="J97" s="3">
        <v>27.5</v>
      </c>
      <c r="L97" s="3">
        <f t="shared" si="16"/>
        <v>664.71999999999991</v>
      </c>
      <c r="M97" s="3">
        <f t="shared" si="17"/>
        <v>385</v>
      </c>
    </row>
    <row r="98" spans="1:13" x14ac:dyDescent="0.25">
      <c r="A98" s="3">
        <v>96</v>
      </c>
      <c r="B98" s="3" t="s">
        <v>100</v>
      </c>
      <c r="C98" s="3"/>
      <c r="D98" s="3"/>
      <c r="E98" s="3"/>
      <c r="F98" s="3"/>
      <c r="G98" s="3">
        <v>10</v>
      </c>
      <c r="H98" s="3"/>
      <c r="I98" s="3">
        <v>98.3</v>
      </c>
      <c r="J98" s="3">
        <v>114</v>
      </c>
      <c r="L98" s="3">
        <f t="shared" si="16"/>
        <v>983</v>
      </c>
      <c r="M98" s="3">
        <f t="shared" si="17"/>
        <v>1140</v>
      </c>
    </row>
    <row r="99" spans="1:13" x14ac:dyDescent="0.25">
      <c r="A99" s="3">
        <v>97</v>
      </c>
      <c r="B99" s="3" t="s">
        <v>101</v>
      </c>
      <c r="C99" s="3"/>
      <c r="D99" s="3"/>
      <c r="E99" s="3"/>
      <c r="F99" s="3"/>
      <c r="G99" s="3">
        <v>10</v>
      </c>
      <c r="H99" s="3"/>
      <c r="I99" s="3">
        <v>90.52</v>
      </c>
      <c r="J99" s="3">
        <v>105</v>
      </c>
      <c r="L99" s="3">
        <f t="shared" si="16"/>
        <v>905.19999999999993</v>
      </c>
      <c r="M99" s="3">
        <f t="shared" si="17"/>
        <v>1050</v>
      </c>
    </row>
    <row r="100" spans="1:13" x14ac:dyDescent="0.25">
      <c r="A100" s="3">
        <v>98</v>
      </c>
      <c r="B100" s="3" t="s">
        <v>102</v>
      </c>
      <c r="C100" s="3"/>
      <c r="D100" s="3"/>
      <c r="E100" s="3"/>
      <c r="F100" s="3"/>
      <c r="G100" s="3">
        <v>12</v>
      </c>
      <c r="H100" s="3"/>
      <c r="I100" s="3">
        <v>112.86</v>
      </c>
      <c r="J100" s="3">
        <v>130</v>
      </c>
      <c r="L100" s="3">
        <f t="shared" si="16"/>
        <v>1354.32</v>
      </c>
      <c r="M100" s="3">
        <f t="shared" si="17"/>
        <v>1560</v>
      </c>
    </row>
    <row r="101" spans="1:13" x14ac:dyDescent="0.25">
      <c r="A101" s="3">
        <v>99</v>
      </c>
      <c r="B101" s="3" t="s">
        <v>103</v>
      </c>
      <c r="C101" s="3"/>
      <c r="D101" s="3"/>
      <c r="E101" s="3"/>
      <c r="F101" s="3"/>
      <c r="G101" s="3">
        <v>14</v>
      </c>
      <c r="H101" s="3"/>
      <c r="I101" s="3">
        <v>98.3</v>
      </c>
      <c r="J101" s="3">
        <v>114</v>
      </c>
      <c r="L101" s="3">
        <f t="shared" si="16"/>
        <v>1376.2</v>
      </c>
      <c r="M101" s="3">
        <f t="shared" si="17"/>
        <v>1596</v>
      </c>
    </row>
    <row r="102" spans="1:13" x14ac:dyDescent="0.25">
      <c r="A102" s="3">
        <v>100</v>
      </c>
      <c r="B102" s="3" t="s">
        <v>104</v>
      </c>
      <c r="C102" s="3"/>
      <c r="D102" s="3"/>
      <c r="E102" s="3"/>
      <c r="F102" s="3"/>
      <c r="G102" s="3">
        <v>6</v>
      </c>
      <c r="H102" s="3"/>
      <c r="I102" s="3">
        <v>38.1</v>
      </c>
      <c r="J102" s="3">
        <v>27.56</v>
      </c>
      <c r="L102" s="3">
        <f t="shared" si="16"/>
        <v>228.60000000000002</v>
      </c>
      <c r="M102" s="3">
        <f t="shared" si="17"/>
        <v>165.35999999999999</v>
      </c>
    </row>
    <row r="103" spans="1:13" x14ac:dyDescent="0.25">
      <c r="A103" s="3">
        <v>101</v>
      </c>
      <c r="B103" s="3" t="s">
        <v>105</v>
      </c>
      <c r="C103" s="3"/>
      <c r="D103" s="3"/>
      <c r="E103" s="3"/>
      <c r="F103" s="3"/>
      <c r="G103" s="3">
        <v>1</v>
      </c>
      <c r="H103" s="3"/>
      <c r="I103" s="3">
        <v>165.68</v>
      </c>
      <c r="J103" s="3">
        <v>119</v>
      </c>
      <c r="L103" s="3">
        <f t="shared" si="16"/>
        <v>165.68</v>
      </c>
      <c r="M103" s="3">
        <f t="shared" si="17"/>
        <v>119</v>
      </c>
    </row>
    <row r="104" spans="1:13" x14ac:dyDescent="0.25">
      <c r="A104" s="3">
        <v>102</v>
      </c>
      <c r="B104" s="3" t="s">
        <v>106</v>
      </c>
      <c r="C104" s="3"/>
      <c r="D104" s="3"/>
      <c r="E104" s="3"/>
      <c r="F104" s="3"/>
      <c r="G104" s="3">
        <v>19</v>
      </c>
      <c r="H104" s="3"/>
      <c r="I104" s="3">
        <v>65.67</v>
      </c>
      <c r="J104" s="3">
        <v>47.5</v>
      </c>
      <c r="L104" s="3">
        <f t="shared" si="16"/>
        <v>1247.73</v>
      </c>
      <c r="M104" s="3">
        <f t="shared" si="17"/>
        <v>902.5</v>
      </c>
    </row>
    <row r="105" spans="1:13" x14ac:dyDescent="0.25">
      <c r="A105" s="3">
        <v>103</v>
      </c>
      <c r="B105" s="3" t="s">
        <v>107</v>
      </c>
      <c r="C105" s="3"/>
      <c r="D105" s="3"/>
      <c r="E105" s="3"/>
      <c r="F105" s="3"/>
      <c r="G105" s="3">
        <v>4</v>
      </c>
      <c r="H105" s="3"/>
      <c r="I105" s="3"/>
      <c r="J105" s="3">
        <v>79.64</v>
      </c>
      <c r="L105" s="3">
        <f t="shared" si="16"/>
        <v>0</v>
      </c>
      <c r="M105" s="3">
        <f t="shared" si="17"/>
        <v>318.56</v>
      </c>
    </row>
    <row r="106" spans="1:13" x14ac:dyDescent="0.25">
      <c r="A106" s="3">
        <v>104</v>
      </c>
      <c r="B106" s="3" t="s">
        <v>108</v>
      </c>
      <c r="C106" s="3"/>
      <c r="D106" s="3"/>
      <c r="E106" s="3"/>
      <c r="F106" s="3"/>
      <c r="G106" s="3">
        <v>10</v>
      </c>
      <c r="H106" s="3"/>
      <c r="I106" s="3">
        <v>137.97999999999999</v>
      </c>
      <c r="J106" s="3">
        <v>160</v>
      </c>
      <c r="L106" s="3">
        <f t="shared" si="16"/>
        <v>1379.8</v>
      </c>
      <c r="M106" s="3">
        <f t="shared" si="17"/>
        <v>1600</v>
      </c>
    </row>
    <row r="107" spans="1:13" x14ac:dyDescent="0.25">
      <c r="A107" s="3">
        <v>105</v>
      </c>
      <c r="B107" s="3" t="s">
        <v>109</v>
      </c>
      <c r="C107" s="3"/>
      <c r="D107" s="3"/>
      <c r="E107" s="3"/>
      <c r="F107" s="3"/>
      <c r="G107" s="3">
        <v>9</v>
      </c>
      <c r="H107" s="3"/>
      <c r="I107" s="3">
        <v>182.76</v>
      </c>
      <c r="J107" s="3">
        <v>132.5</v>
      </c>
      <c r="L107" s="3">
        <f t="shared" si="16"/>
        <v>1644.84</v>
      </c>
      <c r="M107" s="3">
        <f t="shared" si="17"/>
        <v>1192.5</v>
      </c>
    </row>
    <row r="108" spans="1:13" x14ac:dyDescent="0.25">
      <c r="A108" s="3">
        <v>106</v>
      </c>
      <c r="B108" s="3" t="s">
        <v>110</v>
      </c>
      <c r="C108" s="3"/>
      <c r="D108" s="3"/>
      <c r="E108" s="3"/>
      <c r="F108" s="3"/>
      <c r="G108" s="3">
        <v>5</v>
      </c>
      <c r="H108" s="3"/>
      <c r="I108" s="3">
        <v>109.9</v>
      </c>
      <c r="J108" s="3">
        <v>82.99</v>
      </c>
      <c r="L108" s="3">
        <f t="shared" si="16"/>
        <v>549.5</v>
      </c>
      <c r="M108" s="3">
        <f t="shared" si="17"/>
        <v>414.95</v>
      </c>
    </row>
    <row r="109" spans="1:13" x14ac:dyDescent="0.25">
      <c r="A109" s="3">
        <v>107</v>
      </c>
      <c r="B109" s="3" t="s">
        <v>111</v>
      </c>
      <c r="C109" s="3"/>
      <c r="D109" s="3"/>
      <c r="E109" s="3"/>
      <c r="F109" s="3"/>
      <c r="G109" s="3">
        <v>2</v>
      </c>
      <c r="H109" s="3"/>
      <c r="I109" s="3"/>
      <c r="J109" s="3">
        <v>114</v>
      </c>
      <c r="L109" s="3">
        <f t="shared" si="16"/>
        <v>0</v>
      </c>
      <c r="M109" s="3">
        <f t="shared" si="17"/>
        <v>228</v>
      </c>
    </row>
    <row r="110" spans="1:13" x14ac:dyDescent="0.25">
      <c r="A110" s="3">
        <v>108</v>
      </c>
      <c r="B110" s="3" t="s">
        <v>112</v>
      </c>
      <c r="C110" s="3"/>
      <c r="D110" s="3"/>
      <c r="E110" s="3"/>
      <c r="F110" s="3"/>
      <c r="G110" s="3">
        <v>10</v>
      </c>
      <c r="H110" s="3"/>
      <c r="I110" s="3">
        <v>258.62</v>
      </c>
      <c r="J110" s="3">
        <v>300</v>
      </c>
      <c r="L110" s="3">
        <f t="shared" si="16"/>
        <v>2586.1999999999998</v>
      </c>
      <c r="M110" s="3">
        <f t="shared" si="17"/>
        <v>3000</v>
      </c>
    </row>
    <row r="111" spans="1:13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L111" s="3">
        <f t="shared" si="16"/>
        <v>0</v>
      </c>
      <c r="M111" s="3">
        <f t="shared" si="17"/>
        <v>0</v>
      </c>
    </row>
    <row r="112" spans="1:13" x14ac:dyDescent="0.25">
      <c r="A112" s="3">
        <v>109</v>
      </c>
      <c r="B112" s="3" t="s">
        <v>113</v>
      </c>
      <c r="C112" s="3"/>
      <c r="D112" s="3"/>
      <c r="E112" s="3"/>
      <c r="F112" s="3"/>
      <c r="G112" s="3">
        <v>3</v>
      </c>
      <c r="H112" s="3"/>
      <c r="I112" s="3"/>
      <c r="J112" s="3">
        <v>247</v>
      </c>
      <c r="L112" s="3">
        <f t="shared" si="16"/>
        <v>0</v>
      </c>
      <c r="M112" s="3">
        <f t="shared" si="17"/>
        <v>741</v>
      </c>
    </row>
    <row r="113" spans="1:13" x14ac:dyDescent="0.25">
      <c r="A113" s="3">
        <v>110</v>
      </c>
      <c r="B113" s="3" t="s">
        <v>114</v>
      </c>
      <c r="C113" s="3"/>
      <c r="D113" s="3"/>
      <c r="E113" s="3"/>
      <c r="F113" s="3"/>
      <c r="G113" s="3">
        <v>2</v>
      </c>
      <c r="H113" s="3"/>
      <c r="I113" s="3">
        <v>182.76</v>
      </c>
      <c r="J113" s="3">
        <v>132.5</v>
      </c>
      <c r="L113" s="3">
        <f t="shared" si="16"/>
        <v>365.52</v>
      </c>
      <c r="M113" s="3">
        <f t="shared" si="17"/>
        <v>265</v>
      </c>
    </row>
    <row r="114" spans="1:13" x14ac:dyDescent="0.25">
      <c r="A114" s="3">
        <v>111</v>
      </c>
      <c r="B114" s="3" t="s">
        <v>115</v>
      </c>
      <c r="C114" s="3"/>
      <c r="D114" s="3"/>
      <c r="E114" s="3"/>
      <c r="F114" s="3"/>
      <c r="G114" s="3">
        <v>7</v>
      </c>
      <c r="H114" s="3">
        <v>13</v>
      </c>
      <c r="I114" s="3">
        <v>195.05</v>
      </c>
      <c r="J114" s="3">
        <v>141.43</v>
      </c>
      <c r="L114" s="3">
        <f t="shared" si="16"/>
        <v>1365.3500000000001</v>
      </c>
      <c r="M114" s="3">
        <f t="shared" si="17"/>
        <v>990.01</v>
      </c>
    </row>
    <row r="115" spans="1:13" x14ac:dyDescent="0.25">
      <c r="A115" s="3">
        <v>112</v>
      </c>
      <c r="B115" s="3" t="s">
        <v>116</v>
      </c>
      <c r="C115" s="3"/>
      <c r="D115" s="3"/>
      <c r="E115" s="3"/>
      <c r="F115" s="3"/>
      <c r="G115" s="3">
        <v>7</v>
      </c>
      <c r="H115" s="3"/>
      <c r="I115" s="3">
        <v>8.64</v>
      </c>
      <c r="J115" s="3">
        <v>10</v>
      </c>
      <c r="L115" s="3">
        <f t="shared" si="16"/>
        <v>60.480000000000004</v>
      </c>
      <c r="M115" s="3">
        <f t="shared" si="17"/>
        <v>70</v>
      </c>
    </row>
    <row r="116" spans="1:13" x14ac:dyDescent="0.25">
      <c r="A116" s="3">
        <v>113</v>
      </c>
      <c r="B116" s="3" t="s">
        <v>117</v>
      </c>
      <c r="C116" s="3"/>
      <c r="D116" s="3"/>
      <c r="E116" s="3"/>
      <c r="F116" s="3"/>
      <c r="G116" s="3">
        <v>30</v>
      </c>
      <c r="H116" s="3">
        <v>8</v>
      </c>
      <c r="I116" s="3"/>
      <c r="J116" s="3">
        <v>40</v>
      </c>
      <c r="L116" s="3">
        <f t="shared" si="16"/>
        <v>0</v>
      </c>
      <c r="M116" s="3">
        <f t="shared" si="17"/>
        <v>1200</v>
      </c>
    </row>
    <row r="117" spans="1:13" x14ac:dyDescent="0.25">
      <c r="A117" s="3">
        <v>114</v>
      </c>
      <c r="B117" s="3" t="s">
        <v>118</v>
      </c>
      <c r="C117" s="3"/>
      <c r="D117" s="3"/>
      <c r="E117" s="3"/>
      <c r="F117" s="3"/>
      <c r="G117" s="3">
        <v>22</v>
      </c>
      <c r="H117" s="3">
        <v>4</v>
      </c>
      <c r="I117" s="3">
        <v>34.479999999999997</v>
      </c>
      <c r="J117" s="3">
        <v>40</v>
      </c>
      <c r="L117" s="3">
        <f t="shared" si="16"/>
        <v>758.56</v>
      </c>
      <c r="M117" s="3">
        <f t="shared" si="17"/>
        <v>880</v>
      </c>
    </row>
    <row r="118" spans="1:13" x14ac:dyDescent="0.25">
      <c r="A118" s="3">
        <v>115</v>
      </c>
      <c r="B118" s="3" t="s">
        <v>119</v>
      </c>
      <c r="C118" s="3"/>
      <c r="D118" s="3"/>
      <c r="E118" s="3"/>
      <c r="F118" s="3"/>
      <c r="G118" s="3">
        <v>2</v>
      </c>
      <c r="H118" s="3">
        <v>7</v>
      </c>
      <c r="I118" s="3">
        <v>73.010000000000005</v>
      </c>
      <c r="J118" s="3">
        <v>84</v>
      </c>
      <c r="L118" s="3">
        <f t="shared" si="16"/>
        <v>146.02000000000001</v>
      </c>
      <c r="M118" s="3">
        <f t="shared" si="17"/>
        <v>168</v>
      </c>
    </row>
    <row r="119" spans="1:13" x14ac:dyDescent="0.25">
      <c r="A119" s="3">
        <v>116</v>
      </c>
      <c r="B119" s="3" t="s">
        <v>120</v>
      </c>
      <c r="C119" s="3"/>
      <c r="D119" s="3"/>
      <c r="E119" s="3"/>
      <c r="F119" s="3"/>
      <c r="G119" s="3">
        <v>15</v>
      </c>
      <c r="H119" s="3"/>
      <c r="I119" s="3">
        <v>301.72000000000003</v>
      </c>
      <c r="J119" s="3">
        <v>350</v>
      </c>
      <c r="L119" s="3">
        <f t="shared" si="16"/>
        <v>4525.8</v>
      </c>
      <c r="M119" s="3">
        <f t="shared" si="17"/>
        <v>5250</v>
      </c>
    </row>
    <row r="120" spans="1:13" x14ac:dyDescent="0.25">
      <c r="A120" s="3">
        <v>117</v>
      </c>
      <c r="B120" s="3" t="s">
        <v>121</v>
      </c>
      <c r="C120" s="3"/>
      <c r="D120" s="3"/>
      <c r="E120" s="3"/>
      <c r="F120" s="3"/>
      <c r="G120" s="3">
        <v>11</v>
      </c>
      <c r="H120" s="3">
        <v>6</v>
      </c>
      <c r="I120" s="3"/>
      <c r="J120" s="3">
        <v>110</v>
      </c>
      <c r="L120" s="3">
        <f t="shared" si="16"/>
        <v>0</v>
      </c>
      <c r="M120" s="3">
        <f t="shared" si="17"/>
        <v>1210</v>
      </c>
    </row>
    <row r="121" spans="1:13" x14ac:dyDescent="0.25">
      <c r="A121" s="3">
        <v>118</v>
      </c>
      <c r="B121" s="3" t="s">
        <v>122</v>
      </c>
      <c r="C121" s="3"/>
      <c r="D121" s="3"/>
      <c r="E121" s="3"/>
      <c r="F121" s="3"/>
      <c r="G121" s="3">
        <v>2</v>
      </c>
      <c r="H121" s="3"/>
      <c r="I121" s="3"/>
      <c r="J121" s="3">
        <v>375</v>
      </c>
      <c r="L121" s="3">
        <f t="shared" si="16"/>
        <v>0</v>
      </c>
      <c r="M121" s="3">
        <f t="shared" si="17"/>
        <v>750</v>
      </c>
    </row>
    <row r="122" spans="1:13" x14ac:dyDescent="0.25">
      <c r="A122" s="3">
        <v>119</v>
      </c>
      <c r="B122" s="3" t="s">
        <v>123</v>
      </c>
      <c r="C122" s="3"/>
      <c r="D122" s="3"/>
      <c r="E122" s="3"/>
      <c r="F122" s="3"/>
      <c r="G122" s="3">
        <v>6</v>
      </c>
      <c r="H122" s="3">
        <v>7</v>
      </c>
      <c r="I122" s="3">
        <v>103.47</v>
      </c>
      <c r="J122" s="3">
        <v>120</v>
      </c>
      <c r="L122" s="3">
        <f t="shared" si="16"/>
        <v>620.81999999999994</v>
      </c>
      <c r="M122" s="3">
        <f t="shared" si="17"/>
        <v>720</v>
      </c>
    </row>
    <row r="123" spans="1:13" x14ac:dyDescent="0.25">
      <c r="A123" s="3">
        <v>120</v>
      </c>
      <c r="B123" s="3" t="s">
        <v>129</v>
      </c>
      <c r="C123" s="3"/>
      <c r="D123" s="3"/>
      <c r="E123" s="3"/>
      <c r="F123" s="3"/>
      <c r="G123" s="3">
        <v>5</v>
      </c>
      <c r="H123" s="3"/>
      <c r="I123" s="3">
        <v>344.99</v>
      </c>
      <c r="J123" s="3">
        <v>400</v>
      </c>
      <c r="L123" s="3">
        <f t="shared" si="16"/>
        <v>1724.95</v>
      </c>
      <c r="M123" s="3">
        <f t="shared" si="17"/>
        <v>2000</v>
      </c>
    </row>
    <row r="124" spans="1:13" x14ac:dyDescent="0.25">
      <c r="A124" s="3">
        <v>121</v>
      </c>
      <c r="B124" s="3" t="s">
        <v>124</v>
      </c>
      <c r="C124" s="3"/>
      <c r="D124" s="3"/>
      <c r="E124" s="3"/>
      <c r="F124" s="3"/>
      <c r="G124" s="3">
        <v>11</v>
      </c>
      <c r="H124" s="3"/>
      <c r="I124" s="3">
        <v>172.43</v>
      </c>
      <c r="J124" s="3">
        <v>200</v>
      </c>
      <c r="L124" s="3">
        <f t="shared" si="16"/>
        <v>1896.73</v>
      </c>
      <c r="M124" s="3">
        <f t="shared" si="17"/>
        <v>2200</v>
      </c>
    </row>
    <row r="125" spans="1:13" x14ac:dyDescent="0.25">
      <c r="A125" s="3">
        <v>122</v>
      </c>
      <c r="B125" s="3" t="s">
        <v>125</v>
      </c>
      <c r="C125" s="3"/>
      <c r="D125" s="3"/>
      <c r="E125" s="3"/>
      <c r="F125" s="3"/>
      <c r="G125" s="3">
        <v>4</v>
      </c>
      <c r="H125" s="3">
        <v>8</v>
      </c>
      <c r="I125" s="3"/>
      <c r="J125" s="3">
        <v>13.5</v>
      </c>
      <c r="L125" s="3">
        <f t="shared" si="16"/>
        <v>0</v>
      </c>
      <c r="M125" s="3">
        <f t="shared" si="17"/>
        <v>54</v>
      </c>
    </row>
    <row r="126" spans="1:13" x14ac:dyDescent="0.25">
      <c r="A126" s="3">
        <v>123</v>
      </c>
      <c r="B126" s="3" t="s">
        <v>126</v>
      </c>
      <c r="C126" s="3"/>
      <c r="D126" s="3"/>
      <c r="E126" s="3"/>
      <c r="F126" s="3"/>
      <c r="G126" s="3">
        <v>1</v>
      </c>
      <c r="H126" s="3"/>
      <c r="I126" s="3"/>
      <c r="J126" s="3">
        <v>550</v>
      </c>
      <c r="L126" s="3">
        <f t="shared" si="16"/>
        <v>0</v>
      </c>
      <c r="M126" s="3">
        <f t="shared" si="17"/>
        <v>550</v>
      </c>
    </row>
    <row r="127" spans="1:13" x14ac:dyDescent="0.25">
      <c r="A127" s="3">
        <v>124</v>
      </c>
      <c r="B127" s="3" t="s">
        <v>127</v>
      </c>
      <c r="C127" s="3"/>
      <c r="D127" s="3"/>
      <c r="E127" s="3"/>
      <c r="F127" s="3"/>
      <c r="G127" s="3">
        <v>1</v>
      </c>
      <c r="H127" s="3"/>
      <c r="I127" s="3">
        <v>17.239999999999998</v>
      </c>
      <c r="J127" s="3">
        <v>20</v>
      </c>
      <c r="L127" s="3">
        <f t="shared" si="16"/>
        <v>17.239999999999998</v>
      </c>
      <c r="M127" s="3">
        <f t="shared" si="17"/>
        <v>20</v>
      </c>
    </row>
    <row r="128" spans="1:13" x14ac:dyDescent="0.25">
      <c r="A128" s="3">
        <v>125</v>
      </c>
      <c r="B128" s="3" t="s">
        <v>128</v>
      </c>
      <c r="C128" s="3"/>
      <c r="D128" s="3"/>
      <c r="E128" s="3"/>
      <c r="F128" s="3"/>
      <c r="G128" s="3">
        <v>7</v>
      </c>
      <c r="H128" s="3"/>
      <c r="I128" s="3">
        <v>32.340000000000003</v>
      </c>
      <c r="J128" s="3">
        <v>37.5</v>
      </c>
      <c r="L128" s="3">
        <f t="shared" si="16"/>
        <v>226.38000000000002</v>
      </c>
      <c r="M128" s="3">
        <f t="shared" si="17"/>
        <v>262.5</v>
      </c>
    </row>
    <row r="129" spans="1:13" x14ac:dyDescent="0.25">
      <c r="A129" s="3">
        <v>126</v>
      </c>
      <c r="B129" s="3" t="s">
        <v>130</v>
      </c>
      <c r="C129" s="3"/>
      <c r="D129" s="3"/>
      <c r="E129" s="3"/>
      <c r="F129" s="3"/>
      <c r="G129" s="3">
        <v>6</v>
      </c>
      <c r="H129" s="3"/>
      <c r="I129" s="3">
        <v>323.27999999999997</v>
      </c>
      <c r="J129" s="3">
        <v>375</v>
      </c>
      <c r="L129" s="3">
        <f t="shared" si="16"/>
        <v>1939.6799999999998</v>
      </c>
      <c r="M129" s="3">
        <f t="shared" si="17"/>
        <v>2250</v>
      </c>
    </row>
    <row r="130" spans="1:13" x14ac:dyDescent="0.25">
      <c r="A130" s="3">
        <v>127</v>
      </c>
      <c r="B130" s="3" t="s">
        <v>131</v>
      </c>
      <c r="C130" s="3"/>
      <c r="D130" s="3"/>
      <c r="E130" s="3"/>
      <c r="F130" s="3"/>
      <c r="G130" s="3">
        <v>22</v>
      </c>
      <c r="H130" s="3"/>
      <c r="I130" s="3">
        <v>46.89</v>
      </c>
      <c r="J130" s="3">
        <v>34</v>
      </c>
      <c r="L130" s="3">
        <f t="shared" si="16"/>
        <v>1031.58</v>
      </c>
      <c r="M130" s="3">
        <f t="shared" si="17"/>
        <v>748</v>
      </c>
    </row>
    <row r="131" spans="1:13" x14ac:dyDescent="0.25">
      <c r="A131" s="3">
        <v>128</v>
      </c>
      <c r="B131" s="3" t="s">
        <v>131</v>
      </c>
      <c r="C131" s="3"/>
      <c r="D131" s="3"/>
      <c r="E131" s="3"/>
      <c r="F131" s="3"/>
      <c r="G131" s="3">
        <v>22</v>
      </c>
      <c r="H131" s="3"/>
      <c r="I131" s="3">
        <v>32.33</v>
      </c>
      <c r="J131" s="3">
        <v>37.5</v>
      </c>
      <c r="L131" s="3">
        <f t="shared" si="16"/>
        <v>711.26</v>
      </c>
      <c r="M131" s="3">
        <f t="shared" si="17"/>
        <v>825</v>
      </c>
    </row>
    <row r="132" spans="1:13" x14ac:dyDescent="0.25">
      <c r="A132" s="3">
        <v>129</v>
      </c>
      <c r="B132" s="3" t="s">
        <v>132</v>
      </c>
      <c r="C132" s="3"/>
      <c r="D132" s="3"/>
      <c r="E132" s="3"/>
      <c r="F132" s="3"/>
      <c r="G132" s="3"/>
      <c r="H132" s="3"/>
      <c r="I132" s="3">
        <v>17.239999999999998</v>
      </c>
      <c r="J132" s="3">
        <v>20</v>
      </c>
      <c r="L132" s="3">
        <f t="shared" si="16"/>
        <v>0</v>
      </c>
      <c r="M132" s="3">
        <f t="shared" si="17"/>
        <v>0</v>
      </c>
    </row>
    <row r="133" spans="1:13" x14ac:dyDescent="0.25">
      <c r="A133" s="3">
        <v>130</v>
      </c>
      <c r="B133" s="3" t="s">
        <v>133</v>
      </c>
      <c r="C133" s="3"/>
      <c r="D133" s="3"/>
      <c r="E133" s="3"/>
      <c r="F133" s="3"/>
      <c r="G133" s="3">
        <v>7</v>
      </c>
      <c r="H133" s="3"/>
      <c r="I133" s="3"/>
      <c r="J133" s="3"/>
      <c r="L133" s="3">
        <f t="shared" si="16"/>
        <v>0</v>
      </c>
      <c r="M133" s="3">
        <f t="shared" si="17"/>
        <v>0</v>
      </c>
    </row>
    <row r="134" spans="1:13" x14ac:dyDescent="0.25">
      <c r="A134" s="3">
        <v>131</v>
      </c>
      <c r="B134" s="3" t="s">
        <v>134</v>
      </c>
      <c r="C134" s="3"/>
      <c r="D134" s="3"/>
      <c r="E134" s="3"/>
      <c r="F134" s="3"/>
      <c r="G134" s="3">
        <v>3</v>
      </c>
      <c r="H134" s="3"/>
      <c r="I134" s="3">
        <v>232.8</v>
      </c>
      <c r="J134" s="3">
        <v>270</v>
      </c>
      <c r="L134" s="3">
        <f t="shared" si="16"/>
        <v>698.40000000000009</v>
      </c>
      <c r="M134" s="3">
        <f t="shared" si="17"/>
        <v>810</v>
      </c>
    </row>
    <row r="135" spans="1:13" x14ac:dyDescent="0.25">
      <c r="A135" s="3">
        <v>132</v>
      </c>
      <c r="B135" s="3" t="s">
        <v>135</v>
      </c>
      <c r="C135" s="3"/>
      <c r="D135" s="3"/>
      <c r="E135" s="3"/>
      <c r="F135" s="3"/>
      <c r="G135" s="3">
        <v>6</v>
      </c>
      <c r="H135" s="3"/>
      <c r="I135" s="3"/>
      <c r="J135" s="3">
        <v>260</v>
      </c>
      <c r="L135" s="3">
        <f t="shared" si="16"/>
        <v>0</v>
      </c>
      <c r="M135" s="3">
        <f t="shared" si="17"/>
        <v>1560</v>
      </c>
    </row>
    <row r="136" spans="1:13" x14ac:dyDescent="0.25">
      <c r="A136" s="3">
        <v>133</v>
      </c>
      <c r="B136" s="3" t="s">
        <v>136</v>
      </c>
      <c r="C136" s="3"/>
      <c r="D136" s="3"/>
      <c r="E136" s="3"/>
      <c r="F136" s="3"/>
      <c r="G136" s="3">
        <v>5</v>
      </c>
      <c r="H136" s="3"/>
      <c r="I136" s="3">
        <v>224.16</v>
      </c>
      <c r="J136" s="3">
        <v>260</v>
      </c>
      <c r="L136" s="3">
        <f t="shared" si="16"/>
        <v>1120.8</v>
      </c>
      <c r="M136" s="3">
        <f t="shared" si="17"/>
        <v>1300</v>
      </c>
    </row>
    <row r="137" spans="1:13" x14ac:dyDescent="0.25">
      <c r="A137" s="3">
        <v>134</v>
      </c>
      <c r="B137" s="3" t="s">
        <v>137</v>
      </c>
      <c r="C137" s="3"/>
      <c r="D137" s="3"/>
      <c r="E137" s="3">
        <v>2</v>
      </c>
      <c r="F137" s="3"/>
      <c r="G137" s="3"/>
      <c r="H137" s="3"/>
      <c r="I137" s="3">
        <v>77.599999999999994</v>
      </c>
      <c r="J137" s="3">
        <v>90</v>
      </c>
      <c r="L137" s="3">
        <f>E137*I137</f>
        <v>155.19999999999999</v>
      </c>
      <c r="M137" s="3">
        <f>E137*J137</f>
        <v>180</v>
      </c>
    </row>
    <row r="138" spans="1:13" x14ac:dyDescent="0.25">
      <c r="A138" s="3">
        <v>135</v>
      </c>
      <c r="B138" s="3" t="s">
        <v>138</v>
      </c>
      <c r="C138" s="3"/>
      <c r="D138" s="3"/>
      <c r="E138" s="3">
        <v>20</v>
      </c>
      <c r="F138" s="3"/>
      <c r="G138" s="3"/>
      <c r="H138" s="3"/>
      <c r="I138" s="3">
        <v>47.41</v>
      </c>
      <c r="J138" s="3">
        <v>55</v>
      </c>
      <c r="L138" s="3">
        <f>E138*I138</f>
        <v>948.19999999999993</v>
      </c>
      <c r="M138" s="3">
        <f>E138*J138</f>
        <v>1100</v>
      </c>
    </row>
    <row r="139" spans="1:13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L139" s="3"/>
      <c r="M139" s="3"/>
    </row>
    <row r="140" spans="1:13" x14ac:dyDescent="0.25">
      <c r="A140" s="3">
        <v>136</v>
      </c>
      <c r="B140" s="3" t="s">
        <v>139</v>
      </c>
      <c r="C140" s="3"/>
      <c r="D140" s="3"/>
      <c r="E140" s="3">
        <v>8</v>
      </c>
      <c r="F140" s="3"/>
      <c r="G140" s="3"/>
      <c r="H140" s="3"/>
      <c r="I140" s="3">
        <v>16.39</v>
      </c>
      <c r="J140" s="3">
        <v>28</v>
      </c>
      <c r="L140" s="3">
        <f>E140*I140</f>
        <v>131.12</v>
      </c>
      <c r="M140" s="3">
        <f>E140*J140</f>
        <v>224</v>
      </c>
    </row>
    <row r="141" spans="1:13" x14ac:dyDescent="0.25">
      <c r="A141" s="3">
        <v>137</v>
      </c>
      <c r="B141" s="3" t="s">
        <v>141</v>
      </c>
      <c r="C141" s="3"/>
      <c r="D141" s="3"/>
      <c r="E141" s="3">
        <v>3</v>
      </c>
      <c r="F141" s="3"/>
      <c r="G141" s="3"/>
      <c r="H141" s="3"/>
      <c r="I141" s="3">
        <v>146.07</v>
      </c>
      <c r="J141" s="3">
        <v>105.9</v>
      </c>
      <c r="L141" s="3">
        <f t="shared" ref="L141:L151" si="18">E141*I141</f>
        <v>438.21</v>
      </c>
      <c r="M141" s="3">
        <f t="shared" ref="M141:M151" si="19">E141*J141</f>
        <v>317.70000000000005</v>
      </c>
    </row>
    <row r="142" spans="1:13" x14ac:dyDescent="0.25">
      <c r="A142" s="3">
        <v>138</v>
      </c>
      <c r="B142" s="3" t="s">
        <v>140</v>
      </c>
      <c r="C142" s="3"/>
      <c r="D142" s="3"/>
      <c r="E142" s="3">
        <v>3</v>
      </c>
      <c r="F142" s="3"/>
      <c r="G142" s="3"/>
      <c r="H142" s="3"/>
      <c r="I142" s="3">
        <v>88.15</v>
      </c>
      <c r="J142" s="3">
        <v>63.91</v>
      </c>
      <c r="L142" s="3">
        <f t="shared" si="18"/>
        <v>264.45000000000005</v>
      </c>
      <c r="M142" s="3">
        <f t="shared" si="19"/>
        <v>191.73</v>
      </c>
    </row>
    <row r="143" spans="1:13" x14ac:dyDescent="0.25">
      <c r="A143" s="3">
        <v>139</v>
      </c>
      <c r="B143" s="3" t="s">
        <v>142</v>
      </c>
      <c r="C143" s="3"/>
      <c r="D143" s="3"/>
      <c r="E143" s="3">
        <v>3</v>
      </c>
      <c r="F143" s="3"/>
      <c r="G143" s="3"/>
      <c r="H143" s="3"/>
      <c r="I143" s="3">
        <v>172.59</v>
      </c>
      <c r="J143" s="3">
        <v>2</v>
      </c>
      <c r="L143" s="3">
        <f t="shared" si="18"/>
        <v>517.77</v>
      </c>
      <c r="M143" s="3">
        <f t="shared" si="19"/>
        <v>6</v>
      </c>
    </row>
    <row r="144" spans="1:13" x14ac:dyDescent="0.25">
      <c r="A144" s="3">
        <v>140</v>
      </c>
      <c r="B144" s="3" t="s">
        <v>144</v>
      </c>
      <c r="C144" s="3"/>
      <c r="D144" s="3"/>
      <c r="E144" s="3">
        <v>3</v>
      </c>
      <c r="F144" s="3"/>
      <c r="G144" s="3"/>
      <c r="H144" s="3"/>
      <c r="I144" s="3"/>
      <c r="J144" s="3">
        <v>100</v>
      </c>
      <c r="L144" s="3">
        <f t="shared" si="18"/>
        <v>0</v>
      </c>
      <c r="M144" s="3">
        <f t="shared" si="19"/>
        <v>300</v>
      </c>
    </row>
    <row r="145" spans="1:13" x14ac:dyDescent="0.25">
      <c r="A145" s="3">
        <v>141</v>
      </c>
      <c r="B145" s="3" t="s">
        <v>143</v>
      </c>
      <c r="C145" s="3"/>
      <c r="D145" s="3"/>
      <c r="E145" s="3">
        <v>5</v>
      </c>
      <c r="F145" s="3"/>
      <c r="G145" s="3"/>
      <c r="H145" s="3"/>
      <c r="I145" s="3">
        <v>172.42</v>
      </c>
      <c r="J145" s="3">
        <v>200</v>
      </c>
      <c r="L145" s="3">
        <f t="shared" si="18"/>
        <v>862.09999999999991</v>
      </c>
      <c r="M145" s="3">
        <f t="shared" si="19"/>
        <v>1000</v>
      </c>
    </row>
    <row r="146" spans="1:13" x14ac:dyDescent="0.25">
      <c r="A146" s="3">
        <v>142</v>
      </c>
      <c r="B146" s="3" t="s">
        <v>145</v>
      </c>
      <c r="C146" s="3"/>
      <c r="D146" s="3"/>
      <c r="E146" s="3">
        <v>8</v>
      </c>
      <c r="F146" s="3"/>
      <c r="G146" s="3"/>
      <c r="H146" s="3"/>
      <c r="I146" s="3">
        <v>195.85</v>
      </c>
      <c r="J146" s="3">
        <v>141.43</v>
      </c>
      <c r="L146" s="3">
        <f t="shared" si="18"/>
        <v>1566.8</v>
      </c>
      <c r="M146" s="3">
        <f t="shared" si="19"/>
        <v>1131.44</v>
      </c>
    </row>
    <row r="147" spans="1:13" x14ac:dyDescent="0.25">
      <c r="A147" s="3">
        <v>143</v>
      </c>
      <c r="B147" s="3" t="s">
        <v>153</v>
      </c>
      <c r="C147" s="3"/>
      <c r="D147" s="3"/>
      <c r="E147" s="3">
        <v>8</v>
      </c>
      <c r="F147" s="3"/>
      <c r="G147" s="3"/>
      <c r="H147" s="3"/>
      <c r="I147" s="3">
        <v>172.42</v>
      </c>
      <c r="J147" s="3">
        <v>200</v>
      </c>
      <c r="L147" s="3">
        <f t="shared" si="18"/>
        <v>1379.36</v>
      </c>
      <c r="M147" s="3">
        <f t="shared" si="19"/>
        <v>1600</v>
      </c>
    </row>
    <row r="148" spans="1:13" x14ac:dyDescent="0.25">
      <c r="A148" s="3">
        <v>144</v>
      </c>
      <c r="B148" s="3" t="s">
        <v>146</v>
      </c>
      <c r="C148" s="3"/>
      <c r="D148" s="3"/>
      <c r="E148" s="3">
        <v>4</v>
      </c>
      <c r="F148" s="3"/>
      <c r="G148" s="3"/>
      <c r="H148" s="3"/>
      <c r="I148" s="3">
        <v>215</v>
      </c>
      <c r="J148" s="3">
        <v>250</v>
      </c>
      <c r="L148" s="3">
        <f t="shared" si="18"/>
        <v>860</v>
      </c>
      <c r="M148" s="3">
        <f t="shared" si="19"/>
        <v>1000</v>
      </c>
    </row>
    <row r="149" spans="1:13" x14ac:dyDescent="0.25">
      <c r="A149" s="3">
        <v>145</v>
      </c>
      <c r="B149" s="3" t="s">
        <v>147</v>
      </c>
      <c r="C149" s="3"/>
      <c r="D149" s="3"/>
      <c r="E149" s="3">
        <v>6</v>
      </c>
      <c r="F149" s="3"/>
      <c r="G149" s="3"/>
      <c r="H149" s="3"/>
      <c r="I149" s="3">
        <v>25.85</v>
      </c>
      <c r="J149" s="3">
        <v>30</v>
      </c>
      <c r="L149" s="3">
        <f t="shared" si="18"/>
        <v>155.10000000000002</v>
      </c>
      <c r="M149" s="3">
        <f t="shared" si="19"/>
        <v>180</v>
      </c>
    </row>
    <row r="150" spans="1:13" x14ac:dyDescent="0.25">
      <c r="A150" s="3">
        <v>146</v>
      </c>
      <c r="B150" s="3" t="s">
        <v>148</v>
      </c>
      <c r="C150" s="3"/>
      <c r="D150" s="3"/>
      <c r="E150" s="3">
        <v>18</v>
      </c>
      <c r="F150" s="3"/>
      <c r="G150" s="3"/>
      <c r="H150" s="3"/>
      <c r="I150" s="3">
        <v>66.38</v>
      </c>
      <c r="J150" s="3">
        <v>77</v>
      </c>
      <c r="L150" s="3">
        <f t="shared" si="18"/>
        <v>1194.8399999999999</v>
      </c>
      <c r="M150" s="3">
        <f t="shared" si="19"/>
        <v>1386</v>
      </c>
    </row>
    <row r="151" spans="1:13" x14ac:dyDescent="0.25">
      <c r="A151" s="3">
        <v>147</v>
      </c>
      <c r="B151" s="3" t="s">
        <v>149</v>
      </c>
      <c r="C151" s="3"/>
      <c r="D151" s="3"/>
      <c r="E151" s="3">
        <v>3</v>
      </c>
      <c r="F151" s="3"/>
      <c r="G151" s="3"/>
      <c r="H151" s="3"/>
      <c r="I151" s="3">
        <v>189.87</v>
      </c>
      <c r="J151" s="3">
        <v>137.63999999999999</v>
      </c>
      <c r="L151" s="3">
        <f t="shared" si="18"/>
        <v>569.61</v>
      </c>
      <c r="M151" s="3">
        <f t="shared" si="19"/>
        <v>412.91999999999996</v>
      </c>
    </row>
    <row r="152" spans="1:13" x14ac:dyDescent="0.25">
      <c r="A152" s="3">
        <v>148</v>
      </c>
      <c r="B152" s="3" t="s">
        <v>150</v>
      </c>
      <c r="C152" s="3"/>
      <c r="D152" s="3"/>
      <c r="E152" s="3"/>
      <c r="F152" s="3"/>
      <c r="G152" s="3">
        <v>18</v>
      </c>
      <c r="H152" s="3"/>
      <c r="I152" s="3">
        <v>17.5</v>
      </c>
      <c r="J152" s="3">
        <v>20</v>
      </c>
      <c r="L152" s="3">
        <f t="shared" ref="L152" si="20">G152*I152</f>
        <v>315</v>
      </c>
      <c r="M152" s="3">
        <f t="shared" ref="M152" si="21">G152*J152</f>
        <v>360</v>
      </c>
    </row>
    <row r="153" spans="1:13" x14ac:dyDescent="0.25">
      <c r="A153" s="3">
        <v>149</v>
      </c>
      <c r="B153" s="3" t="s">
        <v>151</v>
      </c>
      <c r="C153" s="3"/>
      <c r="D153" s="3"/>
      <c r="E153" s="3">
        <v>8</v>
      </c>
      <c r="F153" s="3"/>
      <c r="G153" s="3"/>
      <c r="H153" s="3"/>
      <c r="I153" s="3">
        <v>133.62</v>
      </c>
      <c r="J153" s="3">
        <v>155</v>
      </c>
      <c r="L153" s="3">
        <f t="shared" ref="L153" si="22">E153*I153</f>
        <v>1068.96</v>
      </c>
      <c r="M153" s="3">
        <f t="shared" ref="M153" si="23">E153*J153</f>
        <v>1240</v>
      </c>
    </row>
    <row r="154" spans="1:13" x14ac:dyDescent="0.25">
      <c r="A154" s="3">
        <v>150</v>
      </c>
      <c r="B154" s="3" t="s">
        <v>152</v>
      </c>
      <c r="C154" s="3"/>
      <c r="D154" s="3"/>
      <c r="E154" s="3">
        <v>1</v>
      </c>
      <c r="F154" s="3"/>
      <c r="G154" s="3"/>
      <c r="H154" s="3"/>
      <c r="I154" s="3">
        <v>344.82</v>
      </c>
      <c r="J154" s="3">
        <v>400</v>
      </c>
      <c r="L154" s="3">
        <f t="shared" ref="L154:L166" si="24">E154*I154</f>
        <v>344.82</v>
      </c>
      <c r="M154" s="3">
        <f t="shared" ref="M154:M166" si="25">E154*J154</f>
        <v>400</v>
      </c>
    </row>
    <row r="155" spans="1:13" x14ac:dyDescent="0.25">
      <c r="A155" s="3">
        <v>151</v>
      </c>
      <c r="B155" s="3" t="s">
        <v>154</v>
      </c>
      <c r="C155" s="3"/>
      <c r="D155" s="3"/>
      <c r="E155" s="3">
        <v>2</v>
      </c>
      <c r="F155" s="3"/>
      <c r="G155" s="3"/>
      <c r="H155" s="3"/>
      <c r="I155" s="3"/>
      <c r="J155" s="3">
        <v>195</v>
      </c>
      <c r="L155" s="3">
        <f t="shared" si="24"/>
        <v>0</v>
      </c>
      <c r="M155" s="3">
        <f t="shared" si="25"/>
        <v>390</v>
      </c>
    </row>
    <row r="156" spans="1:13" x14ac:dyDescent="0.25">
      <c r="A156" s="3">
        <v>152</v>
      </c>
      <c r="B156" s="3" t="s">
        <v>155</v>
      </c>
      <c r="C156" s="3"/>
      <c r="D156" s="3"/>
      <c r="E156" s="3">
        <v>1</v>
      </c>
      <c r="F156" s="3"/>
      <c r="G156" s="3"/>
      <c r="H156" s="3"/>
      <c r="I156" s="3">
        <v>189.65</v>
      </c>
      <c r="J156" s="3">
        <v>220</v>
      </c>
      <c r="L156" s="3">
        <f t="shared" si="24"/>
        <v>189.65</v>
      </c>
      <c r="M156" s="3">
        <f t="shared" si="25"/>
        <v>220</v>
      </c>
    </row>
    <row r="157" spans="1:13" x14ac:dyDescent="0.25">
      <c r="A157" s="3">
        <v>153</v>
      </c>
      <c r="B157" s="3" t="s">
        <v>156</v>
      </c>
      <c r="C157" s="3"/>
      <c r="D157" s="3"/>
      <c r="E157" s="3">
        <v>2</v>
      </c>
      <c r="F157" s="3"/>
      <c r="G157" s="3"/>
      <c r="H157" s="3"/>
      <c r="I157" s="3">
        <v>387.39</v>
      </c>
      <c r="J157" s="3">
        <v>280.86</v>
      </c>
      <c r="L157" s="3">
        <f t="shared" si="24"/>
        <v>774.78</v>
      </c>
      <c r="M157" s="3">
        <f t="shared" si="25"/>
        <v>561.72</v>
      </c>
    </row>
    <row r="158" spans="1:13" x14ac:dyDescent="0.25">
      <c r="A158" s="3">
        <v>154</v>
      </c>
      <c r="B158" s="3" t="s">
        <v>157</v>
      </c>
      <c r="C158" s="3"/>
      <c r="D158" s="3"/>
      <c r="E158" s="3">
        <v>2</v>
      </c>
      <c r="F158" s="3"/>
      <c r="G158" s="3"/>
      <c r="H158" s="3"/>
      <c r="I158" s="3">
        <v>261.68</v>
      </c>
      <c r="J158" s="3">
        <v>189.72</v>
      </c>
      <c r="L158" s="3">
        <f t="shared" si="24"/>
        <v>523.36</v>
      </c>
      <c r="M158" s="3">
        <f t="shared" si="25"/>
        <v>379.44</v>
      </c>
    </row>
    <row r="159" spans="1:13" x14ac:dyDescent="0.25">
      <c r="A159" s="3">
        <v>155</v>
      </c>
      <c r="B159" s="3" t="s">
        <v>158</v>
      </c>
      <c r="C159" s="3"/>
      <c r="D159" s="3"/>
      <c r="E159" s="3">
        <v>3</v>
      </c>
      <c r="F159" s="3"/>
      <c r="G159" s="3"/>
      <c r="H159" s="3"/>
      <c r="I159" s="3">
        <v>255.73</v>
      </c>
      <c r="J159" s="3">
        <v>185.4</v>
      </c>
      <c r="L159" s="3">
        <f t="shared" si="24"/>
        <v>767.18999999999994</v>
      </c>
      <c r="M159" s="3">
        <f t="shared" si="25"/>
        <v>556.20000000000005</v>
      </c>
    </row>
    <row r="160" spans="1:13" x14ac:dyDescent="0.25">
      <c r="A160" s="3">
        <v>156</v>
      </c>
      <c r="B160" s="3" t="s">
        <v>159</v>
      </c>
      <c r="C160" s="3"/>
      <c r="D160" s="3"/>
      <c r="E160" s="3">
        <v>3</v>
      </c>
      <c r="F160" s="3"/>
      <c r="G160" s="3"/>
      <c r="H160" s="3"/>
      <c r="I160" s="3">
        <v>194.25</v>
      </c>
      <c r="J160" s="3">
        <v>140.83000000000001</v>
      </c>
      <c r="L160" s="3">
        <f t="shared" si="24"/>
        <v>582.75</v>
      </c>
      <c r="M160" s="3">
        <f t="shared" si="25"/>
        <v>422.49</v>
      </c>
    </row>
    <row r="161" spans="1:13" x14ac:dyDescent="0.25">
      <c r="A161" s="3">
        <v>157</v>
      </c>
      <c r="B161" s="3" t="s">
        <v>160</v>
      </c>
      <c r="C161" s="3"/>
      <c r="D161" s="3"/>
      <c r="E161" s="3">
        <v>2</v>
      </c>
      <c r="F161" s="3"/>
      <c r="G161" s="3"/>
      <c r="H161" s="3"/>
      <c r="I161" s="3">
        <v>255.75</v>
      </c>
      <c r="J161" s="3">
        <v>183.97</v>
      </c>
      <c r="L161" s="3">
        <f t="shared" si="24"/>
        <v>511.5</v>
      </c>
      <c r="M161" s="3">
        <f t="shared" si="25"/>
        <v>367.94</v>
      </c>
    </row>
    <row r="162" spans="1:13" x14ac:dyDescent="0.25">
      <c r="A162" s="3">
        <v>158</v>
      </c>
      <c r="B162" s="3" t="s">
        <v>161</v>
      </c>
      <c r="C162" s="3"/>
      <c r="D162" s="3"/>
      <c r="E162" s="3">
        <v>2</v>
      </c>
      <c r="F162" s="3"/>
      <c r="G162" s="3"/>
      <c r="H162" s="3"/>
      <c r="I162" s="3">
        <v>232.86</v>
      </c>
      <c r="J162" s="3">
        <v>168.83</v>
      </c>
      <c r="L162" s="3">
        <f t="shared" si="24"/>
        <v>465.72</v>
      </c>
      <c r="M162" s="3">
        <f t="shared" si="25"/>
        <v>337.66</v>
      </c>
    </row>
    <row r="163" spans="1:13" x14ac:dyDescent="0.25">
      <c r="A163" s="3">
        <v>159</v>
      </c>
      <c r="B163" s="3" t="s">
        <v>162</v>
      </c>
      <c r="C163" s="3"/>
      <c r="D163" s="3"/>
      <c r="E163" s="3">
        <v>1</v>
      </c>
      <c r="F163" s="3"/>
      <c r="G163" s="3"/>
      <c r="H163" s="3"/>
      <c r="I163" s="3">
        <v>129.30000000000001</v>
      </c>
      <c r="J163" s="3">
        <v>150</v>
      </c>
      <c r="L163" s="3">
        <f t="shared" si="24"/>
        <v>129.30000000000001</v>
      </c>
      <c r="M163" s="3">
        <f t="shared" si="25"/>
        <v>150</v>
      </c>
    </row>
    <row r="164" spans="1:13" x14ac:dyDescent="0.25">
      <c r="A164" s="3">
        <v>160</v>
      </c>
      <c r="B164" s="3" t="s">
        <v>163</v>
      </c>
      <c r="C164" s="3"/>
      <c r="D164" s="3"/>
      <c r="E164" s="3">
        <v>3</v>
      </c>
      <c r="F164" s="3"/>
      <c r="G164" s="3"/>
      <c r="H164" s="3"/>
      <c r="I164" s="3"/>
      <c r="J164" s="3">
        <v>71.5</v>
      </c>
      <c r="L164" s="3">
        <f t="shared" si="24"/>
        <v>0</v>
      </c>
      <c r="M164" s="3">
        <f t="shared" si="25"/>
        <v>214.5</v>
      </c>
    </row>
    <row r="165" spans="1:13" x14ac:dyDescent="0.25">
      <c r="A165" s="3">
        <v>161</v>
      </c>
      <c r="B165" s="3" t="s">
        <v>164</v>
      </c>
      <c r="C165" s="3"/>
      <c r="D165" s="3"/>
      <c r="E165" s="3">
        <v>4</v>
      </c>
      <c r="F165" s="3"/>
      <c r="G165" s="3"/>
      <c r="H165" s="3"/>
      <c r="I165" s="3"/>
      <c r="J165" s="3">
        <v>148</v>
      </c>
      <c r="L165" s="3">
        <f t="shared" si="24"/>
        <v>0</v>
      </c>
      <c r="M165" s="3">
        <f t="shared" si="25"/>
        <v>592</v>
      </c>
    </row>
    <row r="166" spans="1:13" x14ac:dyDescent="0.25">
      <c r="A166" s="3">
        <v>162</v>
      </c>
      <c r="B166" s="3" t="s">
        <v>165</v>
      </c>
      <c r="C166" s="3"/>
      <c r="D166" s="3"/>
      <c r="E166" s="3">
        <v>3</v>
      </c>
      <c r="F166" s="3"/>
      <c r="G166" s="3"/>
      <c r="H166" s="3"/>
      <c r="I166" s="3"/>
      <c r="J166" s="3">
        <v>130.69999999999999</v>
      </c>
      <c r="L166" s="3">
        <f t="shared" si="24"/>
        <v>0</v>
      </c>
      <c r="M166" s="3">
        <f t="shared" si="25"/>
        <v>392.09999999999997</v>
      </c>
    </row>
    <row r="167" spans="1:13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L167" s="3"/>
      <c r="M167" s="3"/>
    </row>
    <row r="168" spans="1:13" x14ac:dyDescent="0.25">
      <c r="A168" s="3">
        <v>163</v>
      </c>
      <c r="B168" s="3" t="s">
        <v>166</v>
      </c>
      <c r="C168" s="3"/>
      <c r="D168" s="3"/>
      <c r="E168" s="3">
        <v>6</v>
      </c>
      <c r="F168" s="3"/>
      <c r="G168" s="3"/>
      <c r="H168" s="3"/>
      <c r="I168" s="3">
        <v>275.86</v>
      </c>
      <c r="J168" s="3">
        <v>320</v>
      </c>
      <c r="L168" s="3">
        <f t="shared" ref="L168" si="26">E168*I168</f>
        <v>1655.16</v>
      </c>
      <c r="M168" s="3">
        <f t="shared" ref="M168" si="27">E168*J168</f>
        <v>1920</v>
      </c>
    </row>
    <row r="169" spans="1:13" x14ac:dyDescent="0.25">
      <c r="A169" s="3">
        <v>164</v>
      </c>
      <c r="B169" s="3" t="s">
        <v>167</v>
      </c>
      <c r="C169" s="3"/>
      <c r="D169" s="3"/>
      <c r="E169" s="3">
        <v>14</v>
      </c>
      <c r="F169" s="3"/>
      <c r="G169" s="3"/>
      <c r="H169" s="3"/>
      <c r="I169" s="3">
        <v>89.75</v>
      </c>
      <c r="J169" s="3">
        <v>104</v>
      </c>
      <c r="L169" s="3">
        <f t="shared" ref="L169:L215" si="28">E169*I169</f>
        <v>1256.5</v>
      </c>
      <c r="M169" s="3">
        <f t="shared" ref="M169:M215" si="29">E169*J169</f>
        <v>1456</v>
      </c>
    </row>
    <row r="170" spans="1:13" x14ac:dyDescent="0.25">
      <c r="A170" s="3">
        <v>165</v>
      </c>
      <c r="B170" s="3" t="s">
        <v>168</v>
      </c>
      <c r="C170" s="3"/>
      <c r="D170" s="3"/>
      <c r="E170" s="3">
        <v>1</v>
      </c>
      <c r="F170" s="3"/>
      <c r="G170" s="3"/>
      <c r="H170" s="3"/>
      <c r="I170" s="3"/>
      <c r="J170" s="3">
        <v>100</v>
      </c>
      <c r="L170" s="3">
        <f t="shared" si="28"/>
        <v>0</v>
      </c>
      <c r="M170" s="3">
        <f t="shared" si="29"/>
        <v>100</v>
      </c>
    </row>
    <row r="171" spans="1:13" x14ac:dyDescent="0.25">
      <c r="A171" s="3">
        <v>166</v>
      </c>
      <c r="B171" s="3" t="s">
        <v>169</v>
      </c>
      <c r="C171" s="3"/>
      <c r="D171" s="3"/>
      <c r="E171" s="3">
        <v>5</v>
      </c>
      <c r="F171" s="3"/>
      <c r="G171" s="3"/>
      <c r="H171" s="3"/>
      <c r="I171" s="3">
        <v>255.43</v>
      </c>
      <c r="J171" s="3">
        <v>185</v>
      </c>
      <c r="L171" s="3">
        <f t="shared" si="28"/>
        <v>1277.1500000000001</v>
      </c>
      <c r="M171" s="3">
        <f t="shared" si="29"/>
        <v>925</v>
      </c>
    </row>
    <row r="172" spans="1:13" x14ac:dyDescent="0.25">
      <c r="A172" s="3">
        <v>167</v>
      </c>
      <c r="B172" s="3" t="s">
        <v>170</v>
      </c>
      <c r="C172" s="3"/>
      <c r="D172" s="3"/>
      <c r="E172" s="3">
        <v>7</v>
      </c>
      <c r="F172" s="3"/>
      <c r="G172" s="3"/>
      <c r="H172" s="3"/>
      <c r="I172" s="3">
        <v>112.07</v>
      </c>
      <c r="J172" s="3">
        <v>130</v>
      </c>
      <c r="L172" s="3">
        <f t="shared" si="28"/>
        <v>784.49</v>
      </c>
      <c r="M172" s="3">
        <f t="shared" si="29"/>
        <v>910</v>
      </c>
    </row>
    <row r="173" spans="1:13" x14ac:dyDescent="0.25">
      <c r="A173" s="3">
        <v>168</v>
      </c>
      <c r="B173" s="3" t="s">
        <v>171</v>
      </c>
      <c r="C173" s="3"/>
      <c r="D173" s="3"/>
      <c r="E173" s="3">
        <v>2</v>
      </c>
      <c r="F173" s="3"/>
      <c r="G173" s="3"/>
      <c r="H173" s="3"/>
      <c r="I173" s="3">
        <v>112.06</v>
      </c>
      <c r="J173" s="3">
        <v>130</v>
      </c>
      <c r="L173" s="3">
        <f t="shared" si="28"/>
        <v>224.12</v>
      </c>
      <c r="M173" s="3">
        <f t="shared" si="29"/>
        <v>260</v>
      </c>
    </row>
    <row r="174" spans="1:13" x14ac:dyDescent="0.25">
      <c r="A174" s="3">
        <v>169</v>
      </c>
      <c r="B174" s="3" t="s">
        <v>172</v>
      </c>
      <c r="C174" s="3"/>
      <c r="D174" s="3"/>
      <c r="E174" s="3">
        <v>4</v>
      </c>
      <c r="F174" s="3"/>
      <c r="G174" s="3"/>
      <c r="H174" s="3"/>
      <c r="I174" s="3">
        <v>142.78</v>
      </c>
      <c r="J174" s="3">
        <v>165</v>
      </c>
      <c r="L174" s="3">
        <f t="shared" si="28"/>
        <v>571.12</v>
      </c>
      <c r="M174" s="3">
        <f t="shared" si="29"/>
        <v>660</v>
      </c>
    </row>
    <row r="175" spans="1:13" x14ac:dyDescent="0.25">
      <c r="A175" s="3">
        <v>170</v>
      </c>
      <c r="B175" s="3" t="s">
        <v>173</v>
      </c>
      <c r="C175" s="3"/>
      <c r="D175" s="3"/>
      <c r="E175" s="3">
        <v>2</v>
      </c>
      <c r="F175" s="3"/>
      <c r="G175" s="3"/>
      <c r="H175" s="3"/>
      <c r="I175" s="3">
        <v>275.86</v>
      </c>
      <c r="J175" s="3">
        <v>320</v>
      </c>
      <c r="L175" s="3">
        <f t="shared" si="28"/>
        <v>551.72</v>
      </c>
      <c r="M175" s="3">
        <f t="shared" si="29"/>
        <v>640</v>
      </c>
    </row>
    <row r="176" spans="1:13" x14ac:dyDescent="0.25">
      <c r="A176" s="3">
        <v>171</v>
      </c>
      <c r="B176" s="3" t="s">
        <v>174</v>
      </c>
      <c r="C176" s="3"/>
      <c r="D176" s="3"/>
      <c r="E176" s="3">
        <v>17</v>
      </c>
      <c r="F176" s="3"/>
      <c r="G176" s="3"/>
      <c r="H176" s="3"/>
      <c r="I176" s="3">
        <v>152</v>
      </c>
      <c r="J176" s="3">
        <v>110</v>
      </c>
      <c r="L176" s="3">
        <f t="shared" si="28"/>
        <v>2584</v>
      </c>
      <c r="M176" s="3">
        <f t="shared" si="29"/>
        <v>1870</v>
      </c>
    </row>
    <row r="177" spans="1:13" x14ac:dyDescent="0.25">
      <c r="A177" s="3">
        <v>172</v>
      </c>
      <c r="B177" s="3" t="s">
        <v>175</v>
      </c>
      <c r="C177" s="3"/>
      <c r="D177" s="3"/>
      <c r="E177" s="3">
        <v>5</v>
      </c>
      <c r="F177" s="3"/>
      <c r="G177" s="3"/>
      <c r="H177" s="3"/>
      <c r="I177" s="3">
        <v>152</v>
      </c>
      <c r="J177" s="3">
        <v>110</v>
      </c>
      <c r="L177" s="3">
        <f t="shared" si="28"/>
        <v>760</v>
      </c>
      <c r="M177" s="3">
        <f t="shared" si="29"/>
        <v>550</v>
      </c>
    </row>
    <row r="178" spans="1:13" x14ac:dyDescent="0.25">
      <c r="A178" s="3">
        <v>173</v>
      </c>
      <c r="B178" s="3" t="s">
        <v>176</v>
      </c>
      <c r="C178" s="3"/>
      <c r="D178" s="3"/>
      <c r="E178" s="3">
        <v>38</v>
      </c>
      <c r="F178" s="3"/>
      <c r="G178" s="3"/>
      <c r="H178" s="3"/>
      <c r="I178" s="3">
        <v>112.68</v>
      </c>
      <c r="J178" s="3">
        <v>130</v>
      </c>
      <c r="L178" s="3">
        <f t="shared" si="28"/>
        <v>4281.84</v>
      </c>
      <c r="M178" s="3">
        <f t="shared" si="29"/>
        <v>4940</v>
      </c>
    </row>
    <row r="179" spans="1:13" x14ac:dyDescent="0.25">
      <c r="A179" s="3">
        <v>174</v>
      </c>
      <c r="B179" s="3" t="s">
        <v>177</v>
      </c>
      <c r="C179" s="3"/>
      <c r="D179" s="3"/>
      <c r="E179" s="3">
        <v>3</v>
      </c>
      <c r="F179" s="3"/>
      <c r="G179" s="3"/>
      <c r="H179" s="3"/>
      <c r="I179" s="3">
        <v>82.78</v>
      </c>
      <c r="J179" s="3">
        <v>96</v>
      </c>
      <c r="L179" s="3">
        <f t="shared" si="28"/>
        <v>248.34</v>
      </c>
      <c r="M179" s="3">
        <f t="shared" si="29"/>
        <v>288</v>
      </c>
    </row>
    <row r="180" spans="1:13" x14ac:dyDescent="0.25">
      <c r="A180" s="3">
        <v>175</v>
      </c>
      <c r="B180" s="3" t="s">
        <v>178</v>
      </c>
      <c r="C180" s="3"/>
      <c r="D180" s="3"/>
      <c r="E180" s="3">
        <v>7</v>
      </c>
      <c r="F180" s="3"/>
      <c r="G180" s="3"/>
      <c r="H180" s="3"/>
      <c r="I180" s="3">
        <v>152</v>
      </c>
      <c r="J180" s="3">
        <v>175</v>
      </c>
      <c r="L180" s="3">
        <f t="shared" si="28"/>
        <v>1064</v>
      </c>
      <c r="M180" s="3">
        <f t="shared" si="29"/>
        <v>1225</v>
      </c>
    </row>
    <row r="181" spans="1:13" x14ac:dyDescent="0.25">
      <c r="A181" s="3">
        <v>176</v>
      </c>
      <c r="B181" s="3" t="s">
        <v>179</v>
      </c>
      <c r="C181" s="3"/>
      <c r="D181" s="3"/>
      <c r="E181" s="3">
        <v>10</v>
      </c>
      <c r="F181" s="3"/>
      <c r="G181" s="3"/>
      <c r="H181" s="3"/>
      <c r="I181" s="3"/>
      <c r="J181" s="3">
        <v>320</v>
      </c>
      <c r="L181" s="3">
        <f t="shared" si="28"/>
        <v>0</v>
      </c>
      <c r="M181" s="3">
        <f t="shared" si="29"/>
        <v>3200</v>
      </c>
    </row>
    <row r="182" spans="1:13" x14ac:dyDescent="0.25">
      <c r="A182" s="3">
        <v>177</v>
      </c>
      <c r="B182" s="3" t="s">
        <v>180</v>
      </c>
      <c r="C182" s="3"/>
      <c r="D182" s="3"/>
      <c r="E182" s="3">
        <v>2</v>
      </c>
      <c r="F182" s="3"/>
      <c r="G182" s="3"/>
      <c r="H182" s="3"/>
      <c r="I182" s="3"/>
      <c r="J182" s="3">
        <v>117</v>
      </c>
      <c r="L182" s="3">
        <f t="shared" si="28"/>
        <v>0</v>
      </c>
      <c r="M182" s="3">
        <f t="shared" si="29"/>
        <v>234</v>
      </c>
    </row>
    <row r="183" spans="1:13" x14ac:dyDescent="0.25">
      <c r="A183" s="3">
        <v>178</v>
      </c>
      <c r="B183" s="3" t="s">
        <v>181</v>
      </c>
      <c r="C183" s="3"/>
      <c r="D183" s="3"/>
      <c r="E183" s="3">
        <v>16</v>
      </c>
      <c r="F183" s="3"/>
      <c r="G183" s="3"/>
      <c r="H183" s="3"/>
      <c r="I183" s="3">
        <v>42</v>
      </c>
      <c r="J183" s="3">
        <v>50</v>
      </c>
      <c r="L183" s="3">
        <f t="shared" si="28"/>
        <v>672</v>
      </c>
      <c r="M183" s="3">
        <f t="shared" si="29"/>
        <v>800</v>
      </c>
    </row>
    <row r="184" spans="1:13" x14ac:dyDescent="0.25">
      <c r="A184" s="3">
        <v>179</v>
      </c>
      <c r="B184" s="3" t="s">
        <v>182</v>
      </c>
      <c r="C184" s="3"/>
      <c r="D184" s="3"/>
      <c r="E184" s="3">
        <v>13</v>
      </c>
      <c r="F184" s="3"/>
      <c r="G184" s="3"/>
      <c r="H184" s="3"/>
      <c r="I184" s="3">
        <v>40</v>
      </c>
      <c r="J184" s="3">
        <v>100</v>
      </c>
      <c r="L184" s="3">
        <f t="shared" si="28"/>
        <v>520</v>
      </c>
      <c r="M184" s="3">
        <f t="shared" si="29"/>
        <v>1300</v>
      </c>
    </row>
    <row r="185" spans="1:13" x14ac:dyDescent="0.25">
      <c r="A185" s="3">
        <v>180</v>
      </c>
      <c r="B185" s="3" t="s">
        <v>183</v>
      </c>
      <c r="C185" s="3"/>
      <c r="D185" s="3"/>
      <c r="E185" s="3">
        <v>24</v>
      </c>
      <c r="F185" s="3"/>
      <c r="G185" s="3"/>
      <c r="H185" s="3"/>
      <c r="I185" s="3">
        <v>8.6300000000000008</v>
      </c>
      <c r="J185" s="3">
        <v>10</v>
      </c>
      <c r="L185" s="3">
        <f t="shared" si="28"/>
        <v>207.12</v>
      </c>
      <c r="M185" s="3">
        <f t="shared" si="29"/>
        <v>240</v>
      </c>
    </row>
    <row r="186" spans="1:13" x14ac:dyDescent="0.25">
      <c r="A186" s="3">
        <v>181</v>
      </c>
      <c r="B186" s="3" t="s">
        <v>184</v>
      </c>
      <c r="C186" s="3"/>
      <c r="D186" s="3"/>
      <c r="E186" s="3">
        <v>9</v>
      </c>
      <c r="F186" s="3"/>
      <c r="G186" s="3"/>
      <c r="H186" s="3"/>
      <c r="I186" s="3">
        <v>86.22</v>
      </c>
      <c r="J186" s="3">
        <v>100</v>
      </c>
      <c r="L186" s="3">
        <f t="shared" si="28"/>
        <v>775.98</v>
      </c>
      <c r="M186" s="3">
        <f t="shared" si="29"/>
        <v>900</v>
      </c>
    </row>
    <row r="187" spans="1:13" x14ac:dyDescent="0.25">
      <c r="A187" s="3">
        <v>182</v>
      </c>
      <c r="B187" s="3" t="s">
        <v>185</v>
      </c>
      <c r="C187" s="3"/>
      <c r="D187" s="3"/>
      <c r="E187" s="3">
        <v>6</v>
      </c>
      <c r="F187" s="3"/>
      <c r="G187" s="3"/>
      <c r="H187" s="3"/>
      <c r="I187" s="3"/>
      <c r="J187" s="3">
        <v>135</v>
      </c>
      <c r="L187" s="3">
        <f t="shared" si="28"/>
        <v>0</v>
      </c>
      <c r="M187" s="3">
        <f t="shared" si="29"/>
        <v>810</v>
      </c>
    </row>
    <row r="188" spans="1:13" x14ac:dyDescent="0.25">
      <c r="A188" s="3">
        <v>183</v>
      </c>
      <c r="B188" s="3" t="s">
        <v>186</v>
      </c>
      <c r="C188" s="3"/>
      <c r="D188" s="3"/>
      <c r="E188" s="3">
        <v>2</v>
      </c>
      <c r="F188" s="3"/>
      <c r="G188" s="3"/>
      <c r="H188" s="3"/>
      <c r="I188" s="3"/>
      <c r="J188" s="3">
        <v>40</v>
      </c>
      <c r="L188" s="3">
        <f t="shared" si="28"/>
        <v>0</v>
      </c>
      <c r="M188" s="3">
        <f t="shared" si="29"/>
        <v>80</v>
      </c>
    </row>
    <row r="189" spans="1:13" x14ac:dyDescent="0.25">
      <c r="A189" s="3">
        <v>184</v>
      </c>
      <c r="B189" s="3" t="s">
        <v>187</v>
      </c>
      <c r="C189" s="3"/>
      <c r="D189" s="3"/>
      <c r="E189" s="3">
        <v>4</v>
      </c>
      <c r="F189" s="3"/>
      <c r="G189" s="3"/>
      <c r="H189" s="3"/>
      <c r="I189" s="3">
        <v>66.38</v>
      </c>
      <c r="J189" s="3">
        <v>77</v>
      </c>
      <c r="L189" s="3">
        <f t="shared" si="28"/>
        <v>265.52</v>
      </c>
      <c r="M189" s="3">
        <f t="shared" si="29"/>
        <v>308</v>
      </c>
    </row>
    <row r="190" spans="1:13" x14ac:dyDescent="0.25">
      <c r="A190" s="3">
        <v>185</v>
      </c>
      <c r="B190" s="3" t="s">
        <v>188</v>
      </c>
      <c r="C190" s="3"/>
      <c r="D190" s="3"/>
      <c r="E190" s="3">
        <v>12</v>
      </c>
      <c r="F190" s="3"/>
      <c r="G190" s="3"/>
      <c r="H190" s="3"/>
      <c r="I190" s="3">
        <v>90.51</v>
      </c>
      <c r="J190" s="3">
        <v>105</v>
      </c>
      <c r="L190" s="3">
        <f t="shared" si="28"/>
        <v>1086.1200000000001</v>
      </c>
      <c r="M190" s="3">
        <f t="shared" si="29"/>
        <v>1260</v>
      </c>
    </row>
    <row r="191" spans="1:13" x14ac:dyDescent="0.25">
      <c r="A191" s="3">
        <v>186</v>
      </c>
      <c r="B191" s="3" t="s">
        <v>189</v>
      </c>
      <c r="C191" s="3"/>
      <c r="D191" s="3"/>
      <c r="E191" s="3">
        <v>4</v>
      </c>
      <c r="F191" s="3"/>
      <c r="G191" s="3"/>
      <c r="H191" s="3"/>
      <c r="I191" s="3"/>
      <c r="J191" s="3">
        <v>99</v>
      </c>
      <c r="L191" s="3">
        <f t="shared" si="28"/>
        <v>0</v>
      </c>
      <c r="M191" s="3">
        <f t="shared" si="29"/>
        <v>396</v>
      </c>
    </row>
    <row r="192" spans="1:13" x14ac:dyDescent="0.25">
      <c r="A192" s="3">
        <v>187</v>
      </c>
      <c r="B192" s="3" t="s">
        <v>190</v>
      </c>
      <c r="C192" s="3"/>
      <c r="D192" s="3"/>
      <c r="E192" s="3">
        <v>8</v>
      </c>
      <c r="F192" s="3"/>
      <c r="G192" s="3"/>
      <c r="H192" s="3"/>
      <c r="I192" s="3">
        <v>94.85</v>
      </c>
      <c r="J192" s="3">
        <v>110</v>
      </c>
      <c r="L192" s="3">
        <f t="shared" si="28"/>
        <v>758.8</v>
      </c>
      <c r="M192" s="3">
        <f t="shared" si="29"/>
        <v>880</v>
      </c>
    </row>
    <row r="193" spans="1:13" x14ac:dyDescent="0.25">
      <c r="A193" s="3">
        <v>188</v>
      </c>
      <c r="B193" s="3"/>
      <c r="C193" s="3"/>
      <c r="D193" s="3"/>
      <c r="E193" s="3"/>
      <c r="F193" s="3"/>
      <c r="G193" s="3"/>
      <c r="H193" s="3"/>
      <c r="I193" s="3"/>
      <c r="J193" s="3"/>
      <c r="L193" s="3">
        <f t="shared" si="28"/>
        <v>0</v>
      </c>
      <c r="M193" s="3">
        <f t="shared" si="29"/>
        <v>0</v>
      </c>
    </row>
    <row r="194" spans="1:13" x14ac:dyDescent="0.25">
      <c r="A194" s="3">
        <v>189</v>
      </c>
      <c r="B194" s="3" t="s">
        <v>191</v>
      </c>
      <c r="C194" s="3"/>
      <c r="D194" s="3"/>
      <c r="E194" s="3">
        <v>11</v>
      </c>
      <c r="F194" s="3"/>
      <c r="G194" s="3"/>
      <c r="H194" s="3"/>
      <c r="I194" s="3">
        <v>90.85</v>
      </c>
      <c r="J194" s="3">
        <v>105</v>
      </c>
      <c r="L194" s="3">
        <f t="shared" si="28"/>
        <v>999.34999999999991</v>
      </c>
      <c r="M194" s="3">
        <f t="shared" si="29"/>
        <v>1155</v>
      </c>
    </row>
    <row r="195" spans="1:13" x14ac:dyDescent="0.25">
      <c r="A195" s="3">
        <v>190</v>
      </c>
      <c r="B195" s="3" t="s">
        <v>192</v>
      </c>
      <c r="C195" s="3"/>
      <c r="D195" s="3"/>
      <c r="E195" s="3">
        <v>13</v>
      </c>
      <c r="F195" s="3"/>
      <c r="G195" s="3"/>
      <c r="H195" s="3"/>
      <c r="I195" s="3">
        <v>69</v>
      </c>
      <c r="J195" s="3">
        <v>80</v>
      </c>
      <c r="L195" s="3">
        <f t="shared" si="28"/>
        <v>897</v>
      </c>
      <c r="M195" s="3">
        <f t="shared" si="29"/>
        <v>1040</v>
      </c>
    </row>
    <row r="196" spans="1:13" x14ac:dyDescent="0.25">
      <c r="A196" s="3">
        <v>191</v>
      </c>
      <c r="B196" s="3" t="s">
        <v>193</v>
      </c>
      <c r="C196" s="3"/>
      <c r="D196" s="3"/>
      <c r="E196" s="3">
        <v>11</v>
      </c>
      <c r="F196" s="3"/>
      <c r="G196" s="3"/>
      <c r="H196" s="3"/>
      <c r="I196" s="3"/>
      <c r="J196" s="3">
        <v>75</v>
      </c>
      <c r="L196" s="3">
        <f t="shared" si="28"/>
        <v>0</v>
      </c>
      <c r="M196" s="3">
        <f t="shared" si="29"/>
        <v>825</v>
      </c>
    </row>
    <row r="197" spans="1:13" x14ac:dyDescent="0.25">
      <c r="A197" s="3">
        <v>192</v>
      </c>
      <c r="B197" s="3" t="s">
        <v>194</v>
      </c>
      <c r="C197" s="3"/>
      <c r="D197" s="3"/>
      <c r="E197" s="3">
        <v>14</v>
      </c>
      <c r="F197" s="3"/>
      <c r="G197" s="3"/>
      <c r="H197" s="3"/>
      <c r="I197" s="3">
        <v>25.88</v>
      </c>
      <c r="J197" s="3">
        <v>30</v>
      </c>
      <c r="L197" s="3">
        <f t="shared" si="28"/>
        <v>362.32</v>
      </c>
      <c r="M197" s="3">
        <f t="shared" si="29"/>
        <v>420</v>
      </c>
    </row>
    <row r="198" spans="1:13" x14ac:dyDescent="0.25">
      <c r="A198" s="3">
        <v>193</v>
      </c>
      <c r="B198" s="3" t="s">
        <v>195</v>
      </c>
      <c r="C198" s="3"/>
      <c r="D198" s="3"/>
      <c r="E198" s="3">
        <v>28</v>
      </c>
      <c r="F198" s="3"/>
      <c r="G198" s="3"/>
      <c r="H198" s="3"/>
      <c r="I198" s="3">
        <v>27.59</v>
      </c>
      <c r="J198" s="3">
        <v>20</v>
      </c>
      <c r="L198" s="3">
        <f t="shared" si="28"/>
        <v>772.52</v>
      </c>
      <c r="M198" s="3">
        <f t="shared" si="29"/>
        <v>560</v>
      </c>
    </row>
    <row r="199" spans="1:13" x14ac:dyDescent="0.25">
      <c r="A199" s="3">
        <v>194</v>
      </c>
      <c r="B199" s="3" t="s">
        <v>196</v>
      </c>
      <c r="C199" s="3"/>
      <c r="D199" s="3"/>
      <c r="E199" s="3">
        <v>8</v>
      </c>
      <c r="F199" s="3"/>
      <c r="G199" s="3"/>
      <c r="H199" s="3"/>
      <c r="I199" s="3">
        <v>25.87</v>
      </c>
      <c r="J199" s="3">
        <v>30</v>
      </c>
      <c r="L199" s="3">
        <f t="shared" si="28"/>
        <v>206.96</v>
      </c>
      <c r="M199" s="3">
        <f t="shared" si="29"/>
        <v>240</v>
      </c>
    </row>
    <row r="200" spans="1:13" x14ac:dyDescent="0.25">
      <c r="A200" s="3">
        <v>195</v>
      </c>
      <c r="B200" s="3" t="s">
        <v>197</v>
      </c>
      <c r="C200" s="3"/>
      <c r="D200" s="3"/>
      <c r="E200" s="3">
        <v>3</v>
      </c>
      <c r="F200" s="3"/>
      <c r="G200" s="3"/>
      <c r="H200" s="3"/>
      <c r="I200" s="3">
        <v>285</v>
      </c>
      <c r="J200" s="3">
        <v>320</v>
      </c>
      <c r="L200" s="3">
        <f t="shared" si="28"/>
        <v>855</v>
      </c>
      <c r="M200" s="3">
        <f t="shared" si="29"/>
        <v>960</v>
      </c>
    </row>
    <row r="201" spans="1:13" x14ac:dyDescent="0.25">
      <c r="A201" s="3">
        <v>196</v>
      </c>
      <c r="B201" s="3" t="s">
        <v>198</v>
      </c>
      <c r="C201" s="3"/>
      <c r="D201" s="3"/>
      <c r="E201" s="3">
        <v>1</v>
      </c>
      <c r="F201" s="3"/>
      <c r="G201" s="3"/>
      <c r="H201" s="3"/>
      <c r="I201" s="3">
        <v>60</v>
      </c>
      <c r="J201" s="3">
        <v>41</v>
      </c>
      <c r="L201" s="3">
        <f t="shared" si="28"/>
        <v>60</v>
      </c>
      <c r="M201" s="3">
        <f t="shared" si="29"/>
        <v>41</v>
      </c>
    </row>
    <row r="202" spans="1:13" x14ac:dyDescent="0.25">
      <c r="A202" s="3">
        <v>197</v>
      </c>
      <c r="B202" s="3" t="s">
        <v>199</v>
      </c>
      <c r="C202" s="3"/>
      <c r="D202" s="3"/>
      <c r="E202" s="3">
        <v>2</v>
      </c>
      <c r="F202" s="3"/>
      <c r="G202" s="3"/>
      <c r="H202" s="3"/>
      <c r="I202" s="3">
        <v>128</v>
      </c>
      <c r="J202" s="3">
        <v>83</v>
      </c>
      <c r="L202" s="3">
        <f t="shared" si="28"/>
        <v>256</v>
      </c>
      <c r="M202" s="3">
        <f t="shared" si="29"/>
        <v>166</v>
      </c>
    </row>
    <row r="203" spans="1:13" x14ac:dyDescent="0.25">
      <c r="A203" s="3">
        <v>198</v>
      </c>
      <c r="B203" s="3" t="s">
        <v>200</v>
      </c>
      <c r="C203" s="3"/>
      <c r="D203" s="3"/>
      <c r="E203" s="3">
        <v>2</v>
      </c>
      <c r="F203" s="3"/>
      <c r="G203" s="3"/>
      <c r="H203" s="3"/>
      <c r="I203" s="3">
        <v>195</v>
      </c>
      <c r="J203" s="3">
        <v>220</v>
      </c>
      <c r="L203" s="3">
        <f t="shared" si="28"/>
        <v>390</v>
      </c>
      <c r="M203" s="3">
        <f t="shared" si="29"/>
        <v>440</v>
      </c>
    </row>
    <row r="204" spans="1:13" x14ac:dyDescent="0.25">
      <c r="A204" s="3">
        <v>199</v>
      </c>
      <c r="B204" s="3" t="s">
        <v>201</v>
      </c>
      <c r="C204" s="3"/>
      <c r="D204" s="3"/>
      <c r="E204" s="3">
        <v>1</v>
      </c>
      <c r="F204" s="3"/>
      <c r="G204" s="3"/>
      <c r="H204" s="3"/>
      <c r="I204" s="3"/>
      <c r="J204" s="3">
        <v>250</v>
      </c>
      <c r="L204" s="3">
        <f t="shared" si="28"/>
        <v>0</v>
      </c>
      <c r="M204" s="3">
        <f t="shared" si="29"/>
        <v>250</v>
      </c>
    </row>
    <row r="205" spans="1:13" x14ac:dyDescent="0.25">
      <c r="A205" s="3">
        <v>200</v>
      </c>
      <c r="B205" s="3" t="s">
        <v>202</v>
      </c>
      <c r="C205" s="3"/>
      <c r="D205" s="3"/>
      <c r="E205" s="3">
        <v>1</v>
      </c>
      <c r="F205" s="3"/>
      <c r="G205" s="3"/>
      <c r="H205" s="3"/>
      <c r="I205" s="3">
        <v>785</v>
      </c>
      <c r="J205" s="3">
        <v>1500</v>
      </c>
      <c r="L205" s="3">
        <f t="shared" si="28"/>
        <v>785</v>
      </c>
      <c r="M205" s="3">
        <f t="shared" si="29"/>
        <v>1500</v>
      </c>
    </row>
    <row r="206" spans="1:13" x14ac:dyDescent="0.25">
      <c r="A206" s="3">
        <v>201</v>
      </c>
      <c r="B206" s="3" t="s">
        <v>203</v>
      </c>
      <c r="C206" s="3"/>
      <c r="D206" s="3"/>
      <c r="E206" s="3">
        <v>2</v>
      </c>
      <c r="F206" s="3"/>
      <c r="G206" s="3"/>
      <c r="H206" s="3"/>
      <c r="I206" s="3">
        <v>125</v>
      </c>
      <c r="J206" s="3">
        <v>250</v>
      </c>
      <c r="L206" s="3">
        <f t="shared" si="28"/>
        <v>250</v>
      </c>
      <c r="M206" s="3">
        <f t="shared" si="29"/>
        <v>500</v>
      </c>
    </row>
    <row r="207" spans="1:13" x14ac:dyDescent="0.25">
      <c r="A207" s="3">
        <v>202</v>
      </c>
      <c r="B207" s="3" t="s">
        <v>204</v>
      </c>
      <c r="C207" s="3"/>
      <c r="D207" s="3"/>
      <c r="E207" s="3">
        <v>1</v>
      </c>
      <c r="F207" s="3"/>
      <c r="G207" s="3"/>
      <c r="H207" s="3"/>
      <c r="I207" s="3">
        <v>125</v>
      </c>
      <c r="J207" s="3">
        <v>250</v>
      </c>
      <c r="L207" s="3">
        <f t="shared" si="28"/>
        <v>125</v>
      </c>
      <c r="M207" s="3">
        <f t="shared" si="29"/>
        <v>250</v>
      </c>
    </row>
    <row r="208" spans="1:13" x14ac:dyDescent="0.25">
      <c r="A208" s="3">
        <v>203</v>
      </c>
      <c r="B208" s="3" t="s">
        <v>205</v>
      </c>
      <c r="C208" s="3"/>
      <c r="D208" s="3"/>
      <c r="E208" s="3">
        <v>8</v>
      </c>
      <c r="F208" s="3"/>
      <c r="G208" s="3"/>
      <c r="H208" s="3"/>
      <c r="I208" s="3">
        <v>105</v>
      </c>
      <c r="J208" s="3">
        <v>175</v>
      </c>
      <c r="L208" s="3">
        <f t="shared" si="28"/>
        <v>840</v>
      </c>
      <c r="M208" s="3">
        <f t="shared" si="29"/>
        <v>1400</v>
      </c>
    </row>
    <row r="209" spans="1:13" x14ac:dyDescent="0.25">
      <c r="A209" s="3">
        <v>204</v>
      </c>
      <c r="B209" s="3" t="s">
        <v>206</v>
      </c>
      <c r="C209" s="3"/>
      <c r="D209" s="3"/>
      <c r="E209" s="3">
        <v>1</v>
      </c>
      <c r="F209" s="3"/>
      <c r="G209" s="3"/>
      <c r="H209" s="3"/>
      <c r="I209" s="3">
        <v>85</v>
      </c>
      <c r="J209" s="3">
        <v>110</v>
      </c>
      <c r="L209" s="3">
        <f t="shared" si="28"/>
        <v>85</v>
      </c>
      <c r="M209" s="3">
        <f t="shared" si="29"/>
        <v>110</v>
      </c>
    </row>
    <row r="210" spans="1:13" x14ac:dyDescent="0.25">
      <c r="A210" s="3">
        <v>205</v>
      </c>
      <c r="B210" s="3" t="s">
        <v>207</v>
      </c>
      <c r="C210" s="3"/>
      <c r="D210" s="3"/>
      <c r="E210" s="3">
        <v>1</v>
      </c>
      <c r="F210" s="3"/>
      <c r="G210" s="3"/>
      <c r="H210" s="3"/>
      <c r="I210" s="3">
        <v>195</v>
      </c>
      <c r="J210" s="3">
        <v>425</v>
      </c>
      <c r="L210" s="3">
        <f t="shared" si="28"/>
        <v>195</v>
      </c>
      <c r="M210" s="3">
        <f t="shared" si="29"/>
        <v>425</v>
      </c>
    </row>
    <row r="211" spans="1:13" x14ac:dyDescent="0.25">
      <c r="A211" s="3">
        <v>206</v>
      </c>
      <c r="B211" s="3" t="s">
        <v>208</v>
      </c>
      <c r="C211" s="3"/>
      <c r="D211" s="3"/>
      <c r="E211" s="3">
        <v>11</v>
      </c>
      <c r="F211" s="3"/>
      <c r="G211" s="3"/>
      <c r="H211" s="3"/>
      <c r="I211" s="3">
        <v>108</v>
      </c>
      <c r="J211" s="3">
        <v>190</v>
      </c>
      <c r="L211" s="3">
        <f t="shared" si="28"/>
        <v>1188</v>
      </c>
      <c r="M211" s="3">
        <f t="shared" si="29"/>
        <v>2090</v>
      </c>
    </row>
    <row r="212" spans="1:13" x14ac:dyDescent="0.25">
      <c r="A212" s="3">
        <v>207</v>
      </c>
      <c r="B212" s="3" t="s">
        <v>209</v>
      </c>
      <c r="C212" s="3"/>
      <c r="D212" s="3"/>
      <c r="E212" s="3">
        <v>1</v>
      </c>
      <c r="F212" s="3"/>
      <c r="G212" s="3"/>
      <c r="H212" s="3"/>
      <c r="I212" s="3"/>
      <c r="J212" s="3">
        <v>137</v>
      </c>
      <c r="L212" s="3">
        <f t="shared" si="28"/>
        <v>0</v>
      </c>
      <c r="M212" s="3">
        <f t="shared" si="29"/>
        <v>137</v>
      </c>
    </row>
    <row r="213" spans="1:13" x14ac:dyDescent="0.25">
      <c r="A213" s="3">
        <v>208</v>
      </c>
      <c r="B213" s="3" t="s">
        <v>210</v>
      </c>
      <c r="C213" s="3"/>
      <c r="D213" s="3"/>
      <c r="E213" s="3">
        <v>1</v>
      </c>
      <c r="F213" s="3"/>
      <c r="G213" s="3"/>
      <c r="H213" s="3"/>
      <c r="I213" s="3"/>
      <c r="J213" s="3">
        <v>87.5</v>
      </c>
      <c r="L213" s="3">
        <f t="shared" si="28"/>
        <v>0</v>
      </c>
      <c r="M213" s="3">
        <f t="shared" si="29"/>
        <v>87.5</v>
      </c>
    </row>
    <row r="214" spans="1:13" x14ac:dyDescent="0.25">
      <c r="A214" s="3">
        <v>209</v>
      </c>
      <c r="B214" s="3" t="s">
        <v>211</v>
      </c>
      <c r="C214" s="3"/>
      <c r="D214" s="3"/>
      <c r="E214" s="3">
        <v>1</v>
      </c>
      <c r="F214" s="3"/>
      <c r="G214" s="3"/>
      <c r="H214" s="3"/>
      <c r="I214" s="3">
        <v>341</v>
      </c>
      <c r="J214" s="3">
        <v>245</v>
      </c>
      <c r="L214" s="3">
        <f t="shared" si="28"/>
        <v>341</v>
      </c>
      <c r="M214" s="3">
        <f t="shared" si="29"/>
        <v>245</v>
      </c>
    </row>
    <row r="215" spans="1:13" x14ac:dyDescent="0.25">
      <c r="A215" s="3">
        <v>210</v>
      </c>
      <c r="B215" s="3" t="s">
        <v>212</v>
      </c>
      <c r="C215" s="3"/>
      <c r="D215" s="3"/>
      <c r="E215" s="3">
        <v>3</v>
      </c>
      <c r="F215" s="3"/>
      <c r="G215" s="3"/>
      <c r="H215" s="3"/>
      <c r="I215" s="3">
        <v>183</v>
      </c>
      <c r="J215" s="3">
        <v>135</v>
      </c>
      <c r="L215" s="3">
        <f t="shared" si="28"/>
        <v>549</v>
      </c>
      <c r="M215" s="3">
        <f t="shared" si="29"/>
        <v>405</v>
      </c>
    </row>
    <row r="216" spans="1:13" x14ac:dyDescent="0.25">
      <c r="A216" s="3">
        <v>211</v>
      </c>
      <c r="B216" s="3"/>
      <c r="C216" s="3"/>
      <c r="D216" s="3"/>
      <c r="E216" s="3"/>
      <c r="F216" s="3"/>
      <c r="G216" s="3"/>
      <c r="H216" s="3"/>
      <c r="I216" s="3"/>
      <c r="J216" s="3"/>
      <c r="L216" s="3"/>
      <c r="M216" s="3"/>
    </row>
    <row r="217" spans="1:13" x14ac:dyDescent="0.25">
      <c r="A217" s="3">
        <v>212</v>
      </c>
      <c r="B217" s="3"/>
      <c r="C217" s="3"/>
      <c r="D217" s="3"/>
      <c r="E217" s="3"/>
      <c r="F217" s="3"/>
      <c r="G217" s="3"/>
      <c r="H217" s="3"/>
      <c r="I217" s="3"/>
      <c r="J217" s="3"/>
      <c r="L217" s="3"/>
      <c r="M217" s="3"/>
    </row>
    <row r="218" spans="1:13" x14ac:dyDescent="0.25">
      <c r="A218" s="3">
        <v>213</v>
      </c>
      <c r="B218" s="3"/>
      <c r="C218" s="3"/>
      <c r="D218" s="3"/>
      <c r="E218" s="3"/>
      <c r="F218" s="3"/>
      <c r="G218" s="3"/>
      <c r="H218" s="3"/>
      <c r="I218" s="3"/>
      <c r="J218" s="3"/>
      <c r="L218" s="3"/>
      <c r="M218" s="3"/>
    </row>
    <row r="219" spans="1:13" x14ac:dyDescent="0.25">
      <c r="A219" s="3">
        <v>214</v>
      </c>
      <c r="B219" s="3"/>
      <c r="C219" s="3"/>
      <c r="D219" s="3"/>
      <c r="E219" s="3"/>
      <c r="F219" s="3"/>
      <c r="G219" s="3"/>
      <c r="H219" s="3"/>
      <c r="I219" s="3"/>
      <c r="J219" s="3"/>
      <c r="L219" s="3"/>
      <c r="M219" s="3"/>
    </row>
    <row r="220" spans="1:13" x14ac:dyDescent="0.25">
      <c r="A220" s="3">
        <v>215</v>
      </c>
      <c r="B220" s="3"/>
      <c r="C220" s="3"/>
      <c r="D220" s="3"/>
      <c r="E220" s="3"/>
      <c r="F220" s="3"/>
      <c r="G220" s="3"/>
      <c r="H220" s="3"/>
      <c r="I220" s="3"/>
      <c r="J220" s="3"/>
      <c r="L220" s="3"/>
      <c r="M220" s="3"/>
    </row>
    <row r="221" spans="1:13" x14ac:dyDescent="0.25">
      <c r="A221" s="3">
        <v>216</v>
      </c>
      <c r="B221" s="3"/>
      <c r="C221" s="3"/>
      <c r="D221" s="3"/>
      <c r="E221" s="3"/>
      <c r="F221" s="3"/>
      <c r="G221" s="3"/>
      <c r="H221" s="3"/>
      <c r="I221" s="3"/>
      <c r="J221" s="3"/>
      <c r="L221" s="3"/>
      <c r="M221" s="3"/>
    </row>
    <row r="222" spans="1:13" x14ac:dyDescent="0.25">
      <c r="A222" s="3">
        <v>217</v>
      </c>
      <c r="B222" s="3"/>
      <c r="C222" s="3"/>
      <c r="D222" s="3"/>
      <c r="E222" s="3"/>
      <c r="F222" s="3"/>
      <c r="G222" s="3"/>
      <c r="H222" s="3"/>
      <c r="I222" s="3"/>
      <c r="J222" s="3"/>
      <c r="L222" s="3"/>
      <c r="M222" s="3"/>
    </row>
    <row r="223" spans="1:13" x14ac:dyDescent="0.25">
      <c r="A223" s="3">
        <v>218</v>
      </c>
      <c r="B223" s="3"/>
      <c r="C223" s="3"/>
      <c r="D223" s="3"/>
      <c r="E223" s="3"/>
      <c r="F223" s="3"/>
      <c r="G223" s="3"/>
      <c r="H223" s="3"/>
      <c r="I223" s="3"/>
      <c r="J223" s="3"/>
      <c r="L223" s="3"/>
      <c r="M223" s="3"/>
    </row>
    <row r="224" spans="1:13" x14ac:dyDescent="0.25">
      <c r="A224" s="3">
        <v>219</v>
      </c>
      <c r="B224" s="3"/>
      <c r="C224" s="3"/>
      <c r="D224" s="3"/>
      <c r="E224" s="3"/>
      <c r="F224" s="3"/>
      <c r="G224" s="3"/>
      <c r="H224" s="3"/>
      <c r="I224" s="3"/>
      <c r="J224" s="3"/>
      <c r="L224" s="3"/>
      <c r="M224" s="3"/>
    </row>
    <row r="225" spans="1:13" x14ac:dyDescent="0.25">
      <c r="A225" s="3">
        <v>220</v>
      </c>
      <c r="B225" s="3"/>
      <c r="C225" s="3"/>
      <c r="D225" s="3"/>
      <c r="E225" s="3"/>
      <c r="F225" s="3"/>
      <c r="G225" s="3"/>
      <c r="H225" s="3"/>
      <c r="I225" s="3"/>
      <c r="J225" s="3"/>
      <c r="L225" s="3"/>
      <c r="M225" s="3"/>
    </row>
    <row r="226" spans="1:13" x14ac:dyDescent="0.25">
      <c r="A226" s="3">
        <v>221</v>
      </c>
      <c r="B226" s="3" t="s">
        <v>213</v>
      </c>
      <c r="C226" s="3"/>
      <c r="D226" s="3"/>
      <c r="E226" s="3">
        <v>2</v>
      </c>
      <c r="F226" s="3"/>
      <c r="G226" s="3"/>
      <c r="H226" s="3"/>
      <c r="I226" s="3">
        <v>115</v>
      </c>
      <c r="J226" s="3">
        <v>85</v>
      </c>
      <c r="L226" s="3">
        <f t="shared" ref="L226" si="30">E226*I226</f>
        <v>230</v>
      </c>
      <c r="M226" s="3">
        <f t="shared" ref="M226" si="31">E226*J226</f>
        <v>170</v>
      </c>
    </row>
    <row r="227" spans="1:13" x14ac:dyDescent="0.25">
      <c r="A227" s="3">
        <v>222</v>
      </c>
      <c r="B227" s="3" t="s">
        <v>214</v>
      </c>
      <c r="C227" s="3"/>
      <c r="D227" s="3"/>
      <c r="E227" s="3">
        <v>8</v>
      </c>
      <c r="F227" s="3"/>
      <c r="G227" s="3"/>
      <c r="H227" s="3"/>
      <c r="I227" s="3"/>
      <c r="J227" s="3">
        <v>79.2</v>
      </c>
      <c r="L227" s="3">
        <f t="shared" ref="L227:L290" si="32">E227*I227</f>
        <v>0</v>
      </c>
      <c r="M227" s="3">
        <f t="shared" ref="M227:M290" si="33">E227*J227</f>
        <v>633.6</v>
      </c>
    </row>
    <row r="228" spans="1:13" x14ac:dyDescent="0.25">
      <c r="A228" s="3">
        <v>223</v>
      </c>
      <c r="B228" s="3" t="s">
        <v>215</v>
      </c>
      <c r="C228" s="3"/>
      <c r="D228" s="3"/>
      <c r="E228" s="3">
        <v>4</v>
      </c>
      <c r="F228" s="3"/>
      <c r="G228" s="3"/>
      <c r="H228" s="3"/>
      <c r="I228" s="3"/>
      <c r="J228" s="3">
        <v>20</v>
      </c>
      <c r="L228" s="3">
        <f t="shared" si="32"/>
        <v>0</v>
      </c>
      <c r="M228" s="3">
        <f t="shared" si="33"/>
        <v>80</v>
      </c>
    </row>
    <row r="229" spans="1:13" x14ac:dyDescent="0.25">
      <c r="A229" s="3">
        <v>224</v>
      </c>
      <c r="B229" s="3" t="s">
        <v>216</v>
      </c>
      <c r="C229" s="3"/>
      <c r="D229" s="3"/>
      <c r="E229" s="3">
        <v>3</v>
      </c>
      <c r="F229" s="3"/>
      <c r="G229" s="3"/>
      <c r="H229" s="3"/>
      <c r="I229" s="3">
        <v>60</v>
      </c>
      <c r="J229" s="3">
        <v>100</v>
      </c>
      <c r="L229" s="3">
        <f t="shared" si="32"/>
        <v>180</v>
      </c>
      <c r="M229" s="3">
        <f t="shared" si="33"/>
        <v>300</v>
      </c>
    </row>
    <row r="230" spans="1:13" x14ac:dyDescent="0.25">
      <c r="A230" s="3">
        <v>225</v>
      </c>
      <c r="B230" s="3" t="s">
        <v>217</v>
      </c>
      <c r="C230" s="3"/>
      <c r="D230" s="3"/>
      <c r="E230" s="3">
        <v>7</v>
      </c>
      <c r="F230" s="3"/>
      <c r="G230" s="3"/>
      <c r="H230" s="3"/>
      <c r="I230" s="3"/>
      <c r="J230" s="3">
        <v>75</v>
      </c>
      <c r="L230" s="3">
        <f t="shared" si="32"/>
        <v>0</v>
      </c>
      <c r="M230" s="3">
        <f t="shared" si="33"/>
        <v>525</v>
      </c>
    </row>
    <row r="231" spans="1:13" x14ac:dyDescent="0.25">
      <c r="A231" s="3">
        <v>226</v>
      </c>
      <c r="B231" s="3" t="s">
        <v>218</v>
      </c>
      <c r="C231" s="3"/>
      <c r="D231" s="3"/>
      <c r="E231" s="3">
        <v>13</v>
      </c>
      <c r="F231" s="3"/>
      <c r="G231" s="3"/>
      <c r="H231" s="3"/>
      <c r="I231" s="3">
        <v>72.41</v>
      </c>
      <c r="J231" s="3">
        <v>85</v>
      </c>
      <c r="L231" s="3">
        <f t="shared" si="32"/>
        <v>941.32999999999993</v>
      </c>
      <c r="M231" s="3">
        <f t="shared" si="33"/>
        <v>1105</v>
      </c>
    </row>
    <row r="232" spans="1:13" x14ac:dyDescent="0.25">
      <c r="A232" s="3">
        <v>227</v>
      </c>
      <c r="B232" s="3" t="s">
        <v>219</v>
      </c>
      <c r="C232" s="3"/>
      <c r="D232" s="3"/>
      <c r="E232" s="3">
        <v>6</v>
      </c>
      <c r="F232" s="3"/>
      <c r="G232" s="3"/>
      <c r="H232" s="3"/>
      <c r="I232" s="3">
        <v>15.52</v>
      </c>
      <c r="J232" s="3">
        <v>18</v>
      </c>
      <c r="L232" s="3">
        <f t="shared" si="32"/>
        <v>93.12</v>
      </c>
      <c r="M232" s="3">
        <f t="shared" si="33"/>
        <v>108</v>
      </c>
    </row>
    <row r="233" spans="1:13" x14ac:dyDescent="0.25">
      <c r="A233" s="4">
        <v>228</v>
      </c>
      <c r="B233" s="3" t="s">
        <v>220</v>
      </c>
      <c r="C233" s="3"/>
      <c r="D233" s="3"/>
      <c r="E233" s="3">
        <v>3</v>
      </c>
      <c r="F233" s="3"/>
      <c r="G233" s="3"/>
      <c r="H233" s="3"/>
      <c r="I233" s="3">
        <v>197.52</v>
      </c>
      <c r="J233" s="3">
        <v>143</v>
      </c>
      <c r="L233" s="3">
        <f t="shared" si="32"/>
        <v>592.56000000000006</v>
      </c>
      <c r="M233" s="3">
        <f t="shared" si="33"/>
        <v>429</v>
      </c>
    </row>
    <row r="234" spans="1:13" x14ac:dyDescent="0.25">
      <c r="A234" s="3">
        <v>229</v>
      </c>
      <c r="B234" s="3" t="s">
        <v>221</v>
      </c>
      <c r="C234" s="3"/>
      <c r="D234" s="3"/>
      <c r="E234" s="3">
        <v>4</v>
      </c>
      <c r="F234" s="3"/>
      <c r="G234" s="3"/>
      <c r="H234" s="3"/>
      <c r="I234" s="3">
        <v>116.67</v>
      </c>
      <c r="J234" s="3">
        <v>135</v>
      </c>
      <c r="L234" s="3">
        <f t="shared" si="32"/>
        <v>466.68</v>
      </c>
      <c r="M234" s="3">
        <f t="shared" si="33"/>
        <v>540</v>
      </c>
    </row>
    <row r="235" spans="1:13" x14ac:dyDescent="0.25">
      <c r="A235" s="3">
        <v>230</v>
      </c>
      <c r="B235" s="3" t="s">
        <v>222</v>
      </c>
      <c r="C235" s="3"/>
      <c r="D235" s="3"/>
      <c r="E235" s="3">
        <v>5</v>
      </c>
      <c r="F235" s="3"/>
      <c r="G235" s="3"/>
      <c r="H235" s="3"/>
      <c r="I235" s="3">
        <v>82</v>
      </c>
      <c r="J235" s="3">
        <v>95</v>
      </c>
      <c r="L235" s="3">
        <f t="shared" si="32"/>
        <v>410</v>
      </c>
      <c r="M235" s="3">
        <f t="shared" si="33"/>
        <v>475</v>
      </c>
    </row>
    <row r="236" spans="1:13" x14ac:dyDescent="0.25">
      <c r="A236" s="3">
        <v>231</v>
      </c>
      <c r="B236" s="3" t="s">
        <v>225</v>
      </c>
      <c r="C236" s="3"/>
      <c r="D236" s="3"/>
      <c r="E236" s="3">
        <v>2</v>
      </c>
      <c r="F236" s="3"/>
      <c r="G236" s="3"/>
      <c r="H236" s="3"/>
      <c r="I236" s="3">
        <v>140.68</v>
      </c>
      <c r="J236" s="3">
        <v>102</v>
      </c>
      <c r="L236" s="3">
        <f t="shared" si="32"/>
        <v>281.36</v>
      </c>
      <c r="M236" s="3">
        <f t="shared" si="33"/>
        <v>204</v>
      </c>
    </row>
    <row r="237" spans="1:13" x14ac:dyDescent="0.25">
      <c r="A237" s="3">
        <v>232</v>
      </c>
      <c r="B237" s="3" t="s">
        <v>223</v>
      </c>
      <c r="C237" s="3"/>
      <c r="D237" s="3"/>
      <c r="E237" s="3">
        <v>6</v>
      </c>
      <c r="F237" s="3"/>
      <c r="G237" s="3"/>
      <c r="H237" s="3"/>
      <c r="I237" s="3">
        <v>25.88</v>
      </c>
      <c r="J237" s="3">
        <v>30</v>
      </c>
      <c r="L237" s="3">
        <f t="shared" si="32"/>
        <v>155.28</v>
      </c>
      <c r="M237" s="3">
        <f t="shared" si="33"/>
        <v>180</v>
      </c>
    </row>
    <row r="238" spans="1:13" x14ac:dyDescent="0.25">
      <c r="A238" s="3">
        <v>233</v>
      </c>
      <c r="B238" s="3" t="s">
        <v>224</v>
      </c>
      <c r="C238" s="3"/>
      <c r="D238" s="3"/>
      <c r="E238" s="3">
        <v>6</v>
      </c>
      <c r="F238" s="3"/>
      <c r="G238" s="3"/>
      <c r="H238" s="3"/>
      <c r="I238" s="3">
        <v>47.42</v>
      </c>
      <c r="J238" s="3">
        <v>55</v>
      </c>
      <c r="L238" s="3">
        <f t="shared" si="32"/>
        <v>284.52</v>
      </c>
      <c r="M238" s="3">
        <f t="shared" si="33"/>
        <v>330</v>
      </c>
    </row>
    <row r="239" spans="1:13" x14ac:dyDescent="0.25">
      <c r="A239" s="3">
        <v>234</v>
      </c>
      <c r="B239" s="3" t="s">
        <v>226</v>
      </c>
      <c r="C239" s="3"/>
      <c r="D239" s="3"/>
      <c r="E239" s="3">
        <v>5</v>
      </c>
      <c r="F239" s="3"/>
      <c r="G239" s="3"/>
      <c r="H239" s="3"/>
      <c r="I239" s="3">
        <v>125.01</v>
      </c>
      <c r="J239" s="3">
        <v>145</v>
      </c>
      <c r="L239" s="3">
        <f t="shared" si="32"/>
        <v>625.05000000000007</v>
      </c>
      <c r="M239" s="3">
        <f t="shared" si="33"/>
        <v>725</v>
      </c>
    </row>
    <row r="240" spans="1:13" x14ac:dyDescent="0.25">
      <c r="A240" s="3">
        <v>235</v>
      </c>
      <c r="B240" s="3" t="s">
        <v>227</v>
      </c>
      <c r="C240" s="3"/>
      <c r="D240" s="3"/>
      <c r="E240" s="3">
        <v>3</v>
      </c>
      <c r="F240" s="3"/>
      <c r="G240" s="3"/>
      <c r="H240" s="3"/>
      <c r="I240" s="3">
        <v>65</v>
      </c>
      <c r="J240" s="3">
        <v>75</v>
      </c>
      <c r="L240" s="3">
        <f t="shared" si="32"/>
        <v>195</v>
      </c>
      <c r="M240" s="3">
        <f t="shared" si="33"/>
        <v>225</v>
      </c>
    </row>
    <row r="241" spans="1:13" x14ac:dyDescent="0.25">
      <c r="A241" s="3">
        <v>236</v>
      </c>
      <c r="B241" s="3" t="s">
        <v>228</v>
      </c>
      <c r="C241" s="3"/>
      <c r="D241" s="3"/>
      <c r="E241" s="3">
        <v>1</v>
      </c>
      <c r="F241" s="3"/>
      <c r="G241" s="3"/>
      <c r="H241" s="3"/>
      <c r="I241" s="3">
        <v>290</v>
      </c>
      <c r="J241" s="3">
        <v>500</v>
      </c>
      <c r="L241" s="3">
        <f t="shared" si="32"/>
        <v>290</v>
      </c>
      <c r="M241" s="3">
        <f t="shared" si="33"/>
        <v>500</v>
      </c>
    </row>
    <row r="242" spans="1:13" x14ac:dyDescent="0.25">
      <c r="A242" s="3">
        <v>237</v>
      </c>
      <c r="B242" s="3" t="s">
        <v>229</v>
      </c>
      <c r="C242" s="3"/>
      <c r="D242" s="3"/>
      <c r="E242" s="3">
        <v>7</v>
      </c>
      <c r="F242" s="3"/>
      <c r="G242" s="3"/>
      <c r="H242" s="3"/>
      <c r="I242" s="3">
        <v>80</v>
      </c>
      <c r="J242" s="3">
        <v>150</v>
      </c>
      <c r="L242" s="3">
        <f t="shared" si="32"/>
        <v>560</v>
      </c>
      <c r="M242" s="3">
        <f t="shared" si="33"/>
        <v>1050</v>
      </c>
    </row>
    <row r="243" spans="1:13" x14ac:dyDescent="0.25">
      <c r="A243" s="3">
        <v>238</v>
      </c>
      <c r="B243" s="3" t="s">
        <v>230</v>
      </c>
      <c r="C243" s="3"/>
      <c r="D243" s="3"/>
      <c r="E243" s="3">
        <v>2</v>
      </c>
      <c r="F243" s="3"/>
      <c r="G243" s="3"/>
      <c r="H243" s="3"/>
      <c r="I243" s="3">
        <v>325</v>
      </c>
      <c r="J243" s="3">
        <v>260</v>
      </c>
      <c r="L243" s="3">
        <f t="shared" si="32"/>
        <v>650</v>
      </c>
      <c r="M243" s="3">
        <f t="shared" si="33"/>
        <v>520</v>
      </c>
    </row>
    <row r="244" spans="1:13" x14ac:dyDescent="0.25">
      <c r="A244" s="3">
        <v>239</v>
      </c>
      <c r="B244" s="3" t="s">
        <v>231</v>
      </c>
      <c r="C244" s="3"/>
      <c r="D244" s="3"/>
      <c r="E244" s="3">
        <v>2</v>
      </c>
      <c r="F244" s="3"/>
      <c r="G244" s="3"/>
      <c r="H244" s="3"/>
      <c r="I244" s="3">
        <v>370</v>
      </c>
      <c r="J244" s="3">
        <v>525</v>
      </c>
      <c r="L244" s="3">
        <f t="shared" si="32"/>
        <v>740</v>
      </c>
      <c r="M244" s="3">
        <f t="shared" si="33"/>
        <v>1050</v>
      </c>
    </row>
    <row r="245" spans="1:13" x14ac:dyDescent="0.25">
      <c r="A245" s="3">
        <v>240</v>
      </c>
      <c r="B245" s="3" t="s">
        <v>232</v>
      </c>
      <c r="C245" s="3"/>
      <c r="D245" s="3"/>
      <c r="E245" s="3">
        <v>1</v>
      </c>
      <c r="F245" s="3"/>
      <c r="G245" s="3"/>
      <c r="H245" s="3"/>
      <c r="I245" s="3"/>
      <c r="J245" s="3">
        <v>600</v>
      </c>
      <c r="L245" s="3">
        <f t="shared" si="32"/>
        <v>0</v>
      </c>
      <c r="M245" s="3">
        <f t="shared" si="33"/>
        <v>600</v>
      </c>
    </row>
    <row r="246" spans="1:13" x14ac:dyDescent="0.25">
      <c r="A246" s="3">
        <v>241</v>
      </c>
      <c r="B246" s="3" t="s">
        <v>233</v>
      </c>
      <c r="C246" s="3"/>
      <c r="D246" s="3"/>
      <c r="E246" s="3">
        <v>4</v>
      </c>
      <c r="F246" s="3"/>
      <c r="G246" s="3"/>
      <c r="H246" s="3"/>
      <c r="I246" s="3">
        <v>40</v>
      </c>
      <c r="J246" s="3">
        <v>65</v>
      </c>
      <c r="L246" s="3">
        <f t="shared" si="32"/>
        <v>160</v>
      </c>
      <c r="M246" s="3">
        <f t="shared" si="33"/>
        <v>260</v>
      </c>
    </row>
    <row r="247" spans="1:13" x14ac:dyDescent="0.25">
      <c r="A247" s="3">
        <v>242</v>
      </c>
      <c r="B247" s="3" t="s">
        <v>234</v>
      </c>
      <c r="C247" s="3"/>
      <c r="D247" s="3"/>
      <c r="E247" s="3">
        <v>3</v>
      </c>
      <c r="F247" s="3"/>
      <c r="G247" s="3"/>
      <c r="H247" s="3"/>
      <c r="I247" s="3"/>
      <c r="J247" s="3">
        <v>220</v>
      </c>
      <c r="L247" s="3">
        <f t="shared" si="32"/>
        <v>0</v>
      </c>
      <c r="M247" s="3">
        <f t="shared" si="33"/>
        <v>660</v>
      </c>
    </row>
    <row r="248" spans="1:13" x14ac:dyDescent="0.25">
      <c r="A248" s="3">
        <v>243</v>
      </c>
      <c r="B248" s="3" t="s">
        <v>235</v>
      </c>
      <c r="C248" s="3"/>
      <c r="D248" s="3"/>
      <c r="E248" s="3">
        <v>3</v>
      </c>
      <c r="F248" s="3"/>
      <c r="G248" s="3"/>
      <c r="H248" s="3"/>
      <c r="I248" s="3"/>
      <c r="J248" s="3">
        <v>320</v>
      </c>
      <c r="L248" s="3">
        <f t="shared" si="32"/>
        <v>0</v>
      </c>
      <c r="M248" s="3">
        <f t="shared" si="33"/>
        <v>960</v>
      </c>
    </row>
    <row r="249" spans="1:13" x14ac:dyDescent="0.25">
      <c r="A249" s="3">
        <v>244</v>
      </c>
      <c r="B249" s="3" t="s">
        <v>236</v>
      </c>
      <c r="C249" s="3"/>
      <c r="D249" s="3"/>
      <c r="E249" s="3">
        <v>3</v>
      </c>
      <c r="F249" s="3"/>
      <c r="G249" s="3"/>
      <c r="H249" s="3"/>
      <c r="I249" s="3">
        <v>66.2</v>
      </c>
      <c r="J249" s="3">
        <v>48</v>
      </c>
      <c r="L249" s="3">
        <f t="shared" si="32"/>
        <v>198.60000000000002</v>
      </c>
      <c r="M249" s="3">
        <f t="shared" si="33"/>
        <v>144</v>
      </c>
    </row>
    <row r="250" spans="1:13" x14ac:dyDescent="0.25">
      <c r="A250" s="3">
        <v>245</v>
      </c>
      <c r="B250" s="3" t="s">
        <v>237</v>
      </c>
      <c r="C250" s="3"/>
      <c r="D250" s="3"/>
      <c r="E250" s="3">
        <v>3</v>
      </c>
      <c r="F250" s="3"/>
      <c r="G250" s="3"/>
      <c r="H250" s="3"/>
      <c r="I250" s="3">
        <v>135.57</v>
      </c>
      <c r="J250" s="3">
        <v>120</v>
      </c>
      <c r="L250" s="3">
        <f t="shared" si="32"/>
        <v>406.71</v>
      </c>
      <c r="M250" s="3">
        <f t="shared" si="33"/>
        <v>360</v>
      </c>
    </row>
    <row r="251" spans="1:13" x14ac:dyDescent="0.25">
      <c r="A251" s="3">
        <v>246</v>
      </c>
      <c r="B251" s="3" t="s">
        <v>238</v>
      </c>
      <c r="C251" s="3"/>
      <c r="D251" s="3"/>
      <c r="E251" s="3">
        <v>2</v>
      </c>
      <c r="F251" s="3"/>
      <c r="G251" s="3"/>
      <c r="H251" s="3"/>
      <c r="I251" s="3">
        <v>175</v>
      </c>
      <c r="J251" s="3">
        <v>200</v>
      </c>
      <c r="L251" s="3">
        <f t="shared" si="32"/>
        <v>350</v>
      </c>
      <c r="M251" s="3">
        <f t="shared" si="33"/>
        <v>400</v>
      </c>
    </row>
    <row r="252" spans="1:13" x14ac:dyDescent="0.25">
      <c r="A252" s="3">
        <v>247</v>
      </c>
      <c r="B252" s="3" t="s">
        <v>239</v>
      </c>
      <c r="C252" s="3"/>
      <c r="D252" s="3"/>
      <c r="E252" s="3">
        <v>2</v>
      </c>
      <c r="F252" s="3"/>
      <c r="G252" s="3"/>
      <c r="H252" s="3"/>
      <c r="I252" s="3">
        <v>150</v>
      </c>
      <c r="J252" s="3">
        <v>175</v>
      </c>
      <c r="L252" s="3">
        <f t="shared" si="32"/>
        <v>300</v>
      </c>
      <c r="M252" s="3">
        <f t="shared" si="33"/>
        <v>350</v>
      </c>
    </row>
    <row r="253" spans="1:13" x14ac:dyDescent="0.25">
      <c r="A253" s="3">
        <v>248</v>
      </c>
      <c r="B253" s="3" t="s">
        <v>240</v>
      </c>
      <c r="C253" s="3"/>
      <c r="D253" s="3"/>
      <c r="E253" s="3">
        <v>11</v>
      </c>
      <c r="F253" s="3"/>
      <c r="G253" s="3"/>
      <c r="H253" s="3"/>
      <c r="I253" s="3">
        <v>73.27</v>
      </c>
      <c r="J253" s="3">
        <v>85</v>
      </c>
      <c r="L253" s="3">
        <f t="shared" si="32"/>
        <v>805.96999999999991</v>
      </c>
      <c r="M253" s="3">
        <f t="shared" si="33"/>
        <v>935</v>
      </c>
    </row>
    <row r="254" spans="1:13" x14ac:dyDescent="0.25">
      <c r="A254" s="3">
        <v>249</v>
      </c>
      <c r="B254" s="3" t="s">
        <v>241</v>
      </c>
      <c r="C254" s="3"/>
      <c r="D254" s="3"/>
      <c r="E254" s="3">
        <v>4</v>
      </c>
      <c r="F254" s="3"/>
      <c r="G254" s="3"/>
      <c r="H254" s="3"/>
      <c r="I254" s="3">
        <v>177.93</v>
      </c>
      <c r="J254" s="3">
        <v>129</v>
      </c>
      <c r="L254" s="3">
        <f t="shared" si="32"/>
        <v>711.72</v>
      </c>
      <c r="M254" s="3">
        <f t="shared" si="33"/>
        <v>516</v>
      </c>
    </row>
    <row r="255" spans="1:13" x14ac:dyDescent="0.25">
      <c r="A255" s="3">
        <v>250</v>
      </c>
      <c r="B255" s="3" t="s">
        <v>242</v>
      </c>
      <c r="C255" s="3"/>
      <c r="D255" s="3"/>
      <c r="E255" s="3">
        <v>8</v>
      </c>
      <c r="F255" s="3"/>
      <c r="G255" s="3"/>
      <c r="H255" s="3"/>
      <c r="I255" s="3">
        <v>69</v>
      </c>
      <c r="J255" s="3">
        <v>80</v>
      </c>
      <c r="L255" s="3">
        <f t="shared" si="32"/>
        <v>552</v>
      </c>
      <c r="M255" s="3">
        <f t="shared" si="33"/>
        <v>640</v>
      </c>
    </row>
    <row r="256" spans="1:13" x14ac:dyDescent="0.25">
      <c r="A256" s="3">
        <v>251</v>
      </c>
      <c r="B256" s="3" t="s">
        <v>243</v>
      </c>
      <c r="C256" s="3"/>
      <c r="D256" s="3"/>
      <c r="E256" s="3">
        <v>6</v>
      </c>
      <c r="F256" s="3"/>
      <c r="G256" s="3"/>
      <c r="H256" s="3"/>
      <c r="I256" s="3">
        <v>239.52</v>
      </c>
      <c r="J256" s="3">
        <v>173.5</v>
      </c>
      <c r="L256" s="3">
        <f t="shared" si="32"/>
        <v>1437.1200000000001</v>
      </c>
      <c r="M256" s="3">
        <f t="shared" si="33"/>
        <v>1041</v>
      </c>
    </row>
    <row r="257" spans="1:13" x14ac:dyDescent="0.25">
      <c r="A257" s="3">
        <v>252</v>
      </c>
      <c r="B257" s="3" t="s">
        <v>244</v>
      </c>
      <c r="C257" s="3"/>
      <c r="D257" s="3"/>
      <c r="E257" s="3">
        <v>6</v>
      </c>
      <c r="F257" s="3"/>
      <c r="G257" s="3"/>
      <c r="H257" s="3"/>
      <c r="I257" s="3">
        <v>165.52</v>
      </c>
      <c r="J257" s="3">
        <v>120</v>
      </c>
      <c r="L257" s="3">
        <f t="shared" si="32"/>
        <v>993.12000000000012</v>
      </c>
      <c r="M257" s="3">
        <f t="shared" si="33"/>
        <v>720</v>
      </c>
    </row>
    <row r="258" spans="1:13" x14ac:dyDescent="0.25">
      <c r="A258" s="3">
        <v>253</v>
      </c>
      <c r="B258" s="3" t="s">
        <v>245</v>
      </c>
      <c r="C258" s="3"/>
      <c r="D258" s="3"/>
      <c r="E258" s="3">
        <v>40</v>
      </c>
      <c r="F258" s="3"/>
      <c r="G258" s="3"/>
      <c r="H258" s="3"/>
      <c r="I258" s="3">
        <v>137.69</v>
      </c>
      <c r="J258" s="3">
        <v>159</v>
      </c>
      <c r="L258" s="3">
        <f t="shared" si="32"/>
        <v>5507.6</v>
      </c>
      <c r="M258" s="3">
        <f t="shared" si="33"/>
        <v>6360</v>
      </c>
    </row>
    <row r="259" spans="1:13" x14ac:dyDescent="0.25">
      <c r="A259" s="3">
        <v>254</v>
      </c>
      <c r="B259" s="3" t="s">
        <v>246</v>
      </c>
      <c r="C259" s="3"/>
      <c r="D259" s="3"/>
      <c r="E259" s="3">
        <v>10</v>
      </c>
      <c r="F259" s="3"/>
      <c r="G259" s="3"/>
      <c r="H259" s="3"/>
      <c r="I259" s="3">
        <v>431.04</v>
      </c>
      <c r="J259" s="3">
        <v>500</v>
      </c>
      <c r="L259" s="3">
        <f t="shared" si="32"/>
        <v>4310.4000000000005</v>
      </c>
      <c r="M259" s="3">
        <f t="shared" si="33"/>
        <v>5000</v>
      </c>
    </row>
    <row r="260" spans="1:13" x14ac:dyDescent="0.25">
      <c r="A260" s="4">
        <v>255</v>
      </c>
      <c r="B260" s="3" t="s">
        <v>247</v>
      </c>
      <c r="C260" s="3"/>
      <c r="D260" s="3"/>
      <c r="E260" s="3">
        <v>14</v>
      </c>
      <c r="F260" s="3"/>
      <c r="G260" s="3"/>
      <c r="H260" s="3"/>
      <c r="I260" s="3">
        <v>64.650000000000006</v>
      </c>
      <c r="J260" s="3">
        <v>75</v>
      </c>
      <c r="L260" s="3">
        <f t="shared" si="32"/>
        <v>905.10000000000014</v>
      </c>
      <c r="M260" s="3">
        <f t="shared" si="33"/>
        <v>1050</v>
      </c>
    </row>
    <row r="261" spans="1:13" x14ac:dyDescent="0.25">
      <c r="A261" s="3">
        <v>256</v>
      </c>
      <c r="B261" s="3" t="s">
        <v>248</v>
      </c>
      <c r="C261" s="3"/>
      <c r="D261" s="3"/>
      <c r="E261" s="3">
        <v>5</v>
      </c>
      <c r="F261" s="3"/>
      <c r="G261" s="3"/>
      <c r="H261" s="3"/>
      <c r="I261" s="3">
        <v>172.41</v>
      </c>
      <c r="J261" s="3">
        <v>200</v>
      </c>
      <c r="L261" s="3">
        <f t="shared" si="32"/>
        <v>862.05</v>
      </c>
      <c r="M261" s="3">
        <f t="shared" si="33"/>
        <v>1000</v>
      </c>
    </row>
    <row r="262" spans="1:13" x14ac:dyDescent="0.25">
      <c r="A262" s="3">
        <v>257</v>
      </c>
      <c r="B262" s="3" t="s">
        <v>249</v>
      </c>
      <c r="C262" s="3"/>
      <c r="D262" s="3"/>
      <c r="E262" s="3">
        <v>6</v>
      </c>
      <c r="F262" s="3"/>
      <c r="G262" s="3"/>
      <c r="H262" s="3"/>
      <c r="I262" s="3">
        <v>215</v>
      </c>
      <c r="J262" s="3">
        <v>250</v>
      </c>
      <c r="L262" s="3">
        <f t="shared" si="32"/>
        <v>1290</v>
      </c>
      <c r="M262" s="3">
        <f t="shared" si="33"/>
        <v>1500</v>
      </c>
    </row>
    <row r="263" spans="1:13" x14ac:dyDescent="0.25">
      <c r="A263" s="3">
        <v>258</v>
      </c>
      <c r="B263" s="3" t="s">
        <v>250</v>
      </c>
      <c r="C263" s="3"/>
      <c r="D263" s="3"/>
      <c r="E263" s="3">
        <v>2</v>
      </c>
      <c r="F263" s="3"/>
      <c r="G263" s="3"/>
      <c r="H263" s="3"/>
      <c r="I263" s="3">
        <v>110</v>
      </c>
      <c r="J263" s="3">
        <v>250</v>
      </c>
      <c r="L263" s="3">
        <f t="shared" si="32"/>
        <v>220</v>
      </c>
      <c r="M263" s="3">
        <f t="shared" si="33"/>
        <v>500</v>
      </c>
    </row>
    <row r="264" spans="1:13" x14ac:dyDescent="0.25">
      <c r="A264" s="3">
        <v>259</v>
      </c>
      <c r="B264" s="3" t="s">
        <v>251</v>
      </c>
      <c r="C264" s="3"/>
      <c r="D264" s="3"/>
      <c r="E264" s="3">
        <v>5</v>
      </c>
      <c r="F264" s="3"/>
      <c r="G264" s="3"/>
      <c r="H264" s="3"/>
      <c r="I264" s="3">
        <v>94.82</v>
      </c>
      <c r="J264" s="3">
        <v>110</v>
      </c>
      <c r="L264" s="3">
        <f t="shared" si="32"/>
        <v>474.09999999999997</v>
      </c>
      <c r="M264" s="3">
        <f t="shared" si="33"/>
        <v>550</v>
      </c>
    </row>
    <row r="265" spans="1:13" x14ac:dyDescent="0.25">
      <c r="A265" s="3">
        <v>260</v>
      </c>
      <c r="B265" s="3" t="s">
        <v>252</v>
      </c>
      <c r="C265" s="3"/>
      <c r="D265" s="3"/>
      <c r="E265" s="3"/>
      <c r="F265" s="3"/>
      <c r="G265" s="3"/>
      <c r="H265" s="3"/>
      <c r="I265" s="3"/>
      <c r="J265" s="3"/>
      <c r="L265" s="3">
        <f t="shared" si="32"/>
        <v>0</v>
      </c>
      <c r="M265" s="3">
        <f t="shared" si="33"/>
        <v>0</v>
      </c>
    </row>
    <row r="266" spans="1:13" x14ac:dyDescent="0.25">
      <c r="A266" s="3">
        <v>261</v>
      </c>
      <c r="B266" s="3" t="s">
        <v>253</v>
      </c>
      <c r="C266" s="3"/>
      <c r="D266" s="3"/>
      <c r="E266" s="3">
        <v>6</v>
      </c>
      <c r="F266" s="3"/>
      <c r="G266" s="3"/>
      <c r="H266" s="3"/>
      <c r="I266" s="3">
        <v>125</v>
      </c>
      <c r="J266" s="3">
        <v>145</v>
      </c>
      <c r="L266" s="3">
        <f t="shared" si="32"/>
        <v>750</v>
      </c>
      <c r="M266" s="3">
        <f t="shared" si="33"/>
        <v>870</v>
      </c>
    </row>
    <row r="267" spans="1:13" x14ac:dyDescent="0.25">
      <c r="A267" s="3">
        <v>262</v>
      </c>
      <c r="B267" s="3" t="s">
        <v>254</v>
      </c>
      <c r="C267" s="3"/>
      <c r="D267" s="3"/>
      <c r="E267" s="3">
        <v>7</v>
      </c>
      <c r="F267" s="3"/>
      <c r="G267" s="3"/>
      <c r="H267" s="3"/>
      <c r="I267" s="3">
        <v>81.89</v>
      </c>
      <c r="J267" s="3">
        <v>95</v>
      </c>
      <c r="L267" s="3">
        <f t="shared" si="32"/>
        <v>573.23</v>
      </c>
      <c r="M267" s="3">
        <f t="shared" si="33"/>
        <v>665</v>
      </c>
    </row>
    <row r="268" spans="1:13" x14ac:dyDescent="0.25">
      <c r="A268" s="3">
        <v>263</v>
      </c>
      <c r="B268" s="3" t="s">
        <v>255</v>
      </c>
      <c r="C268" s="3"/>
      <c r="D268" s="3"/>
      <c r="E268" s="3">
        <v>1</v>
      </c>
      <c r="F268" s="3"/>
      <c r="G268" s="3"/>
      <c r="H268" s="3"/>
      <c r="I268" s="3"/>
      <c r="J268" s="3">
        <v>143</v>
      </c>
      <c r="L268" s="3">
        <f t="shared" si="32"/>
        <v>0</v>
      </c>
      <c r="M268" s="3">
        <f t="shared" si="33"/>
        <v>143</v>
      </c>
    </row>
    <row r="269" spans="1:13" x14ac:dyDescent="0.25">
      <c r="A269" s="3">
        <v>264</v>
      </c>
      <c r="B269" s="3" t="s">
        <v>256</v>
      </c>
      <c r="C269" s="3"/>
      <c r="D269" s="3"/>
      <c r="E269" s="3">
        <v>2</v>
      </c>
      <c r="F269" s="3"/>
      <c r="G269" s="3"/>
      <c r="H269" s="3"/>
      <c r="I269" s="3"/>
      <c r="J269" s="3">
        <v>160</v>
      </c>
      <c r="L269" s="3">
        <f t="shared" si="32"/>
        <v>0</v>
      </c>
      <c r="M269" s="3">
        <f t="shared" si="33"/>
        <v>320</v>
      </c>
    </row>
    <row r="270" spans="1:13" x14ac:dyDescent="0.25">
      <c r="A270" s="3">
        <v>265</v>
      </c>
      <c r="B270" s="3" t="s">
        <v>257</v>
      </c>
      <c r="C270" s="3"/>
      <c r="D270" s="3"/>
      <c r="E270" s="3">
        <v>2</v>
      </c>
      <c r="F270" s="3"/>
      <c r="G270" s="3"/>
      <c r="H270" s="3"/>
      <c r="I270" s="3">
        <v>260</v>
      </c>
      <c r="J270" s="3">
        <v>302</v>
      </c>
      <c r="L270" s="3">
        <f t="shared" si="32"/>
        <v>520</v>
      </c>
      <c r="M270" s="3">
        <f t="shared" si="33"/>
        <v>604</v>
      </c>
    </row>
    <row r="271" spans="1:13" x14ac:dyDescent="0.25">
      <c r="A271" s="3">
        <v>266</v>
      </c>
      <c r="B271" s="3" t="s">
        <v>258</v>
      </c>
      <c r="C271" s="3"/>
      <c r="D271" s="3"/>
      <c r="E271" s="3">
        <v>4</v>
      </c>
      <c r="F271" s="3"/>
      <c r="G271" s="3"/>
      <c r="H271" s="3"/>
      <c r="I271" s="3">
        <v>495</v>
      </c>
      <c r="J271" s="3">
        <v>500</v>
      </c>
      <c r="L271" s="3">
        <f t="shared" si="32"/>
        <v>1980</v>
      </c>
      <c r="M271" s="3">
        <f t="shared" si="33"/>
        <v>2000</v>
      </c>
    </row>
    <row r="272" spans="1:13" x14ac:dyDescent="0.25">
      <c r="A272" s="3">
        <v>267</v>
      </c>
      <c r="B272" s="3" t="s">
        <v>259</v>
      </c>
      <c r="C272" s="3"/>
      <c r="D272" s="3"/>
      <c r="E272" s="3">
        <v>2</v>
      </c>
      <c r="F272" s="3"/>
      <c r="G272" s="3"/>
      <c r="H272" s="3"/>
      <c r="I272" s="3">
        <v>265</v>
      </c>
      <c r="J272" s="3">
        <v>290</v>
      </c>
      <c r="L272" s="3">
        <f t="shared" si="32"/>
        <v>530</v>
      </c>
      <c r="M272" s="3">
        <f t="shared" si="33"/>
        <v>580</v>
      </c>
    </row>
    <row r="273" spans="1:13" x14ac:dyDescent="0.25">
      <c r="A273" s="3">
        <v>268</v>
      </c>
      <c r="B273" s="3" t="s">
        <v>260</v>
      </c>
      <c r="C273" s="3"/>
      <c r="D273" s="3"/>
      <c r="E273" s="3">
        <v>3</v>
      </c>
      <c r="F273" s="3"/>
      <c r="G273" s="3"/>
      <c r="H273" s="3"/>
      <c r="I273" s="3">
        <v>150</v>
      </c>
      <c r="J273" s="3">
        <v>175</v>
      </c>
      <c r="L273" s="3">
        <f t="shared" si="32"/>
        <v>450</v>
      </c>
      <c r="M273" s="3">
        <f t="shared" si="33"/>
        <v>525</v>
      </c>
    </row>
    <row r="274" spans="1:13" x14ac:dyDescent="0.25">
      <c r="A274" s="3">
        <v>269</v>
      </c>
      <c r="B274" s="3" t="s">
        <v>261</v>
      </c>
      <c r="C274" s="3"/>
      <c r="D274" s="3"/>
      <c r="E274" s="3">
        <v>6</v>
      </c>
      <c r="F274" s="3"/>
      <c r="G274" s="3"/>
      <c r="H274" s="3"/>
      <c r="I274" s="3">
        <v>112</v>
      </c>
      <c r="J274" s="3">
        <v>90</v>
      </c>
      <c r="L274" s="3">
        <f t="shared" si="32"/>
        <v>672</v>
      </c>
      <c r="M274" s="3">
        <f t="shared" si="33"/>
        <v>540</v>
      </c>
    </row>
    <row r="275" spans="1:13" x14ac:dyDescent="0.25">
      <c r="A275" s="3">
        <v>270</v>
      </c>
      <c r="B275" s="3" t="s">
        <v>262</v>
      </c>
      <c r="C275" s="3"/>
      <c r="D275" s="3"/>
      <c r="E275" s="3">
        <v>2</v>
      </c>
      <c r="F275" s="3"/>
      <c r="G275" s="3"/>
      <c r="H275" s="3"/>
      <c r="I275" s="3">
        <v>175</v>
      </c>
      <c r="J275" s="3">
        <v>140</v>
      </c>
      <c r="L275" s="3">
        <f t="shared" si="32"/>
        <v>350</v>
      </c>
      <c r="M275" s="3">
        <f t="shared" si="33"/>
        <v>280</v>
      </c>
    </row>
    <row r="276" spans="1:13" x14ac:dyDescent="0.25">
      <c r="A276" s="3">
        <v>271</v>
      </c>
      <c r="B276" s="3" t="s">
        <v>263</v>
      </c>
      <c r="C276" s="3"/>
      <c r="D276" s="3"/>
      <c r="E276" s="3">
        <v>3</v>
      </c>
      <c r="F276" s="3"/>
      <c r="G276" s="3"/>
      <c r="H276" s="3"/>
      <c r="I276" s="3"/>
      <c r="J276" s="3">
        <v>175</v>
      </c>
      <c r="L276" s="3">
        <f t="shared" si="32"/>
        <v>0</v>
      </c>
      <c r="M276" s="3">
        <f t="shared" si="33"/>
        <v>525</v>
      </c>
    </row>
    <row r="277" spans="1:13" x14ac:dyDescent="0.25">
      <c r="A277" s="3">
        <v>272</v>
      </c>
      <c r="B277" s="3" t="s">
        <v>264</v>
      </c>
      <c r="C277" s="3"/>
      <c r="D277" s="3"/>
      <c r="E277" s="3">
        <v>1</v>
      </c>
      <c r="F277" s="3"/>
      <c r="G277" s="3"/>
      <c r="H277" s="3"/>
      <c r="I277" s="3"/>
      <c r="J277" s="3">
        <v>105</v>
      </c>
      <c r="L277" s="3">
        <f t="shared" si="32"/>
        <v>0</v>
      </c>
      <c r="M277" s="3">
        <f t="shared" si="33"/>
        <v>105</v>
      </c>
    </row>
    <row r="278" spans="1:13" x14ac:dyDescent="0.25">
      <c r="A278" s="3">
        <v>273</v>
      </c>
      <c r="B278" s="3" t="s">
        <v>265</v>
      </c>
      <c r="C278" s="3"/>
      <c r="D278" s="3"/>
      <c r="E278" s="3">
        <v>10</v>
      </c>
      <c r="F278" s="3"/>
      <c r="G278" s="3"/>
      <c r="H278" s="3"/>
      <c r="I278" s="3">
        <v>94.9</v>
      </c>
      <c r="J278" s="3">
        <v>100</v>
      </c>
      <c r="L278" s="3">
        <f t="shared" si="32"/>
        <v>949</v>
      </c>
      <c r="M278" s="3">
        <f t="shared" si="33"/>
        <v>1000</v>
      </c>
    </row>
    <row r="279" spans="1:13" x14ac:dyDescent="0.25">
      <c r="A279" s="3">
        <v>274</v>
      </c>
      <c r="B279" s="3" t="s">
        <v>266</v>
      </c>
      <c r="C279" s="3"/>
      <c r="D279" s="3"/>
      <c r="E279" s="3">
        <v>2</v>
      </c>
      <c r="F279" s="3"/>
      <c r="G279" s="3"/>
      <c r="H279" s="3"/>
      <c r="I279" s="3">
        <v>86.21</v>
      </c>
      <c r="J279" s="3">
        <v>100</v>
      </c>
      <c r="L279" s="3">
        <f t="shared" si="32"/>
        <v>172.42</v>
      </c>
      <c r="M279" s="3">
        <f t="shared" si="33"/>
        <v>200</v>
      </c>
    </row>
    <row r="280" spans="1:13" x14ac:dyDescent="0.25">
      <c r="A280" s="3">
        <v>275</v>
      </c>
      <c r="B280" s="3" t="s">
        <v>267</v>
      </c>
      <c r="C280" s="3"/>
      <c r="D280" s="3"/>
      <c r="E280" s="3">
        <v>28</v>
      </c>
      <c r="F280" s="3"/>
      <c r="G280" s="3"/>
      <c r="H280" s="3"/>
      <c r="I280" s="3">
        <v>60.35</v>
      </c>
      <c r="J280" s="3">
        <v>70</v>
      </c>
      <c r="L280" s="3">
        <f t="shared" si="32"/>
        <v>1689.8</v>
      </c>
      <c r="M280" s="3">
        <f t="shared" si="33"/>
        <v>1960</v>
      </c>
    </row>
    <row r="281" spans="1:13" x14ac:dyDescent="0.25">
      <c r="A281" s="3">
        <v>276</v>
      </c>
      <c r="B281" s="3" t="s">
        <v>268</v>
      </c>
      <c r="C281" s="3"/>
      <c r="D281" s="3"/>
      <c r="E281" s="3">
        <v>31</v>
      </c>
      <c r="F281" s="3"/>
      <c r="G281" s="3"/>
      <c r="H281" s="3"/>
      <c r="I281" s="3">
        <v>129.68</v>
      </c>
      <c r="J281" s="3">
        <v>150</v>
      </c>
      <c r="L281" s="3">
        <f t="shared" si="32"/>
        <v>4020.0800000000004</v>
      </c>
      <c r="M281" s="3">
        <f t="shared" si="33"/>
        <v>4650</v>
      </c>
    </row>
    <row r="282" spans="1:13" x14ac:dyDescent="0.25">
      <c r="A282" s="3">
        <v>277</v>
      </c>
      <c r="B282" s="3" t="s">
        <v>269</v>
      </c>
      <c r="C282" s="3"/>
      <c r="D282" s="3"/>
      <c r="E282" s="3">
        <v>27</v>
      </c>
      <c r="F282" s="3"/>
      <c r="G282" s="3"/>
      <c r="H282" s="3"/>
      <c r="I282" s="3">
        <v>112.68</v>
      </c>
      <c r="J282" s="3">
        <v>130</v>
      </c>
      <c r="L282" s="3">
        <f t="shared" si="32"/>
        <v>3042.36</v>
      </c>
      <c r="M282" s="3">
        <f t="shared" si="33"/>
        <v>3510</v>
      </c>
    </row>
    <row r="283" spans="1:13" x14ac:dyDescent="0.25">
      <c r="A283" s="3">
        <v>278</v>
      </c>
      <c r="B283" s="3" t="s">
        <v>269</v>
      </c>
      <c r="C283" s="3"/>
      <c r="D283" s="3"/>
      <c r="E283" s="3">
        <v>7</v>
      </c>
      <c r="F283" s="3"/>
      <c r="G283" s="3"/>
      <c r="H283" s="3"/>
      <c r="I283" s="3">
        <v>60.35</v>
      </c>
      <c r="J283" s="3">
        <v>70</v>
      </c>
      <c r="L283" s="3">
        <f t="shared" si="32"/>
        <v>422.45</v>
      </c>
      <c r="M283" s="3">
        <f t="shared" si="33"/>
        <v>490</v>
      </c>
    </row>
    <row r="284" spans="1:13" x14ac:dyDescent="0.25">
      <c r="A284" s="3">
        <v>279</v>
      </c>
      <c r="B284" s="3" t="s">
        <v>270</v>
      </c>
      <c r="C284" s="3"/>
      <c r="D284" s="3"/>
      <c r="E284" s="3">
        <v>4</v>
      </c>
      <c r="F284" s="3"/>
      <c r="G284" s="3"/>
      <c r="H284" s="3"/>
      <c r="I284" s="3"/>
      <c r="J284" s="3">
        <v>60</v>
      </c>
      <c r="L284" s="3">
        <f t="shared" si="32"/>
        <v>0</v>
      </c>
      <c r="M284" s="3">
        <f t="shared" si="33"/>
        <v>240</v>
      </c>
    </row>
    <row r="285" spans="1:13" x14ac:dyDescent="0.25">
      <c r="A285" s="3">
        <v>280</v>
      </c>
      <c r="B285" s="3" t="s">
        <v>271</v>
      </c>
      <c r="C285" s="3"/>
      <c r="D285" s="3"/>
      <c r="E285" s="3">
        <v>5</v>
      </c>
      <c r="F285" s="3"/>
      <c r="G285" s="3"/>
      <c r="H285" s="3"/>
      <c r="I285" s="3">
        <v>60</v>
      </c>
      <c r="J285" s="3">
        <v>80</v>
      </c>
      <c r="L285" s="3">
        <f t="shared" si="32"/>
        <v>300</v>
      </c>
      <c r="M285" s="3">
        <f t="shared" si="33"/>
        <v>400</v>
      </c>
    </row>
    <row r="286" spans="1:13" x14ac:dyDescent="0.25">
      <c r="A286" s="3">
        <v>281</v>
      </c>
      <c r="B286" s="3" t="s">
        <v>272</v>
      </c>
      <c r="C286" s="3"/>
      <c r="D286" s="3"/>
      <c r="E286" s="3">
        <v>1</v>
      </c>
      <c r="F286" s="3"/>
      <c r="G286" s="3"/>
      <c r="H286" s="3"/>
      <c r="I286" s="3"/>
      <c r="J286" s="3">
        <v>300</v>
      </c>
      <c r="L286" s="3">
        <f t="shared" si="32"/>
        <v>0</v>
      </c>
      <c r="M286" s="3">
        <f t="shared" si="33"/>
        <v>300</v>
      </c>
    </row>
    <row r="287" spans="1:13" x14ac:dyDescent="0.25">
      <c r="A287" s="4">
        <v>282</v>
      </c>
      <c r="B287" s="3" t="s">
        <v>273</v>
      </c>
      <c r="C287" s="3"/>
      <c r="D287" s="3"/>
      <c r="E287" s="3">
        <v>2</v>
      </c>
      <c r="F287" s="3"/>
      <c r="G287" s="3"/>
      <c r="H287" s="3"/>
      <c r="I287" s="3">
        <v>98</v>
      </c>
      <c r="J287" s="3">
        <v>110</v>
      </c>
      <c r="L287" s="3">
        <f t="shared" si="32"/>
        <v>196</v>
      </c>
      <c r="M287" s="3">
        <f t="shared" si="33"/>
        <v>220</v>
      </c>
    </row>
    <row r="288" spans="1:13" x14ac:dyDescent="0.25">
      <c r="A288" s="3">
        <v>283</v>
      </c>
      <c r="B288" s="3" t="s">
        <v>274</v>
      </c>
      <c r="C288" s="3"/>
      <c r="D288" s="3"/>
      <c r="E288" s="3">
        <v>6</v>
      </c>
      <c r="F288" s="3"/>
      <c r="G288" s="3"/>
      <c r="H288" s="3"/>
      <c r="I288" s="3">
        <v>156</v>
      </c>
      <c r="J288" s="3">
        <v>125</v>
      </c>
      <c r="L288" s="3">
        <f t="shared" si="32"/>
        <v>936</v>
      </c>
      <c r="M288" s="3">
        <f t="shared" si="33"/>
        <v>750</v>
      </c>
    </row>
    <row r="289" spans="1:13" x14ac:dyDescent="0.25">
      <c r="A289" s="3">
        <v>284</v>
      </c>
      <c r="B289" s="3" t="s">
        <v>275</v>
      </c>
      <c r="C289" s="3"/>
      <c r="D289" s="3"/>
      <c r="E289" s="3">
        <v>1</v>
      </c>
      <c r="F289" s="3"/>
      <c r="G289" s="3"/>
      <c r="H289" s="3"/>
      <c r="I289" s="3"/>
      <c r="J289" s="3">
        <v>105</v>
      </c>
      <c r="L289" s="3">
        <f t="shared" si="32"/>
        <v>0</v>
      </c>
      <c r="M289" s="3">
        <f t="shared" si="33"/>
        <v>105</v>
      </c>
    </row>
    <row r="290" spans="1:13" x14ac:dyDescent="0.25">
      <c r="A290" s="3">
        <v>285</v>
      </c>
      <c r="B290" s="3" t="s">
        <v>276</v>
      </c>
      <c r="C290" s="3"/>
      <c r="D290" s="3"/>
      <c r="E290" s="3">
        <v>4</v>
      </c>
      <c r="F290" s="3"/>
      <c r="G290" s="3"/>
      <c r="H290" s="3"/>
      <c r="I290" s="3"/>
      <c r="J290" s="3">
        <v>175</v>
      </c>
      <c r="L290" s="3">
        <f t="shared" si="32"/>
        <v>0</v>
      </c>
      <c r="M290" s="3">
        <f t="shared" si="33"/>
        <v>700</v>
      </c>
    </row>
    <row r="291" spans="1:13" x14ac:dyDescent="0.25">
      <c r="A291" s="3">
        <v>286</v>
      </c>
      <c r="B291" s="3" t="s">
        <v>277</v>
      </c>
      <c r="C291" s="3"/>
      <c r="D291" s="3"/>
      <c r="E291" s="3">
        <v>5</v>
      </c>
      <c r="F291" s="3"/>
      <c r="G291" s="3"/>
      <c r="H291" s="3"/>
      <c r="I291" s="3">
        <v>132</v>
      </c>
      <c r="J291" s="3">
        <v>106</v>
      </c>
      <c r="L291" s="3">
        <f t="shared" ref="L291:L315" si="34">E291*I291</f>
        <v>660</v>
      </c>
      <c r="M291" s="3">
        <f t="shared" ref="M291:M315" si="35">E291*J291</f>
        <v>530</v>
      </c>
    </row>
    <row r="292" spans="1:13" x14ac:dyDescent="0.25">
      <c r="A292" s="3">
        <v>287</v>
      </c>
      <c r="B292" s="3" t="s">
        <v>278</v>
      </c>
      <c r="C292" s="3"/>
      <c r="D292" s="3"/>
      <c r="E292" s="3">
        <v>1</v>
      </c>
      <c r="F292" s="3"/>
      <c r="G292" s="3"/>
      <c r="H292" s="3"/>
      <c r="I292" s="3">
        <v>144</v>
      </c>
      <c r="J292" s="3">
        <v>115</v>
      </c>
      <c r="L292" s="3">
        <f t="shared" si="34"/>
        <v>144</v>
      </c>
      <c r="M292" s="3">
        <f t="shared" si="35"/>
        <v>115</v>
      </c>
    </row>
    <row r="293" spans="1:13" x14ac:dyDescent="0.25">
      <c r="A293" s="3">
        <v>288</v>
      </c>
      <c r="B293" s="3" t="s">
        <v>279</v>
      </c>
      <c r="C293" s="3"/>
      <c r="D293" s="3"/>
      <c r="E293" s="3">
        <v>4</v>
      </c>
      <c r="F293" s="3"/>
      <c r="G293" s="3"/>
      <c r="H293" s="3"/>
      <c r="I293" s="3"/>
      <c r="J293" s="3">
        <v>65</v>
      </c>
      <c r="L293" s="3">
        <f t="shared" si="34"/>
        <v>0</v>
      </c>
      <c r="M293" s="3">
        <f t="shared" si="35"/>
        <v>260</v>
      </c>
    </row>
    <row r="294" spans="1:13" x14ac:dyDescent="0.25">
      <c r="A294" s="3">
        <v>289</v>
      </c>
      <c r="B294" s="3" t="s">
        <v>280</v>
      </c>
      <c r="C294" s="3"/>
      <c r="D294" s="3"/>
      <c r="E294" s="3">
        <v>4</v>
      </c>
      <c r="F294" s="3"/>
      <c r="G294" s="3"/>
      <c r="H294" s="3"/>
      <c r="I294" s="3"/>
      <c r="J294" s="3">
        <v>100</v>
      </c>
      <c r="L294" s="3">
        <f t="shared" si="34"/>
        <v>0</v>
      </c>
      <c r="M294" s="3">
        <f t="shared" si="35"/>
        <v>400</v>
      </c>
    </row>
    <row r="295" spans="1:13" x14ac:dyDescent="0.25">
      <c r="A295" s="3">
        <v>290</v>
      </c>
      <c r="B295" s="3" t="s">
        <v>281</v>
      </c>
      <c r="C295" s="3"/>
      <c r="D295" s="3"/>
      <c r="E295" s="3">
        <v>2</v>
      </c>
      <c r="F295" s="3"/>
      <c r="G295" s="3"/>
      <c r="H295" s="3"/>
      <c r="I295" s="3"/>
      <c r="J295" s="3">
        <v>120</v>
      </c>
      <c r="L295" s="3">
        <f t="shared" si="34"/>
        <v>0</v>
      </c>
      <c r="M295" s="3">
        <f t="shared" si="35"/>
        <v>240</v>
      </c>
    </row>
    <row r="296" spans="1:13" x14ac:dyDescent="0.25">
      <c r="A296" s="3">
        <v>291</v>
      </c>
      <c r="B296" s="3" t="s">
        <v>282</v>
      </c>
      <c r="C296" s="3"/>
      <c r="D296" s="3"/>
      <c r="E296" s="3">
        <v>1</v>
      </c>
      <c r="F296" s="3"/>
      <c r="G296" s="3"/>
      <c r="H296" s="3"/>
      <c r="I296" s="3"/>
      <c r="J296" s="3">
        <v>70</v>
      </c>
      <c r="L296" s="3">
        <f t="shared" si="34"/>
        <v>0</v>
      </c>
      <c r="M296" s="3">
        <f t="shared" si="35"/>
        <v>70</v>
      </c>
    </row>
    <row r="297" spans="1:13" x14ac:dyDescent="0.25">
      <c r="A297" s="3">
        <v>292</v>
      </c>
      <c r="B297" s="3" t="s">
        <v>283</v>
      </c>
      <c r="C297" s="3"/>
      <c r="D297" s="3"/>
      <c r="E297" s="3">
        <v>1</v>
      </c>
      <c r="F297" s="3"/>
      <c r="G297" s="3"/>
      <c r="H297" s="3"/>
      <c r="I297" s="3"/>
      <c r="J297" s="3">
        <v>75</v>
      </c>
      <c r="L297" s="3">
        <f t="shared" si="34"/>
        <v>0</v>
      </c>
      <c r="M297" s="3">
        <f t="shared" si="35"/>
        <v>75</v>
      </c>
    </row>
    <row r="298" spans="1:13" x14ac:dyDescent="0.25">
      <c r="A298" s="3">
        <v>293</v>
      </c>
      <c r="B298" s="3" t="s">
        <v>284</v>
      </c>
      <c r="C298" s="3"/>
      <c r="D298" s="3"/>
      <c r="E298" s="3">
        <v>1</v>
      </c>
      <c r="F298" s="3"/>
      <c r="G298" s="3"/>
      <c r="H298" s="3"/>
      <c r="I298" s="3">
        <v>810</v>
      </c>
      <c r="J298" s="3">
        <v>890</v>
      </c>
      <c r="L298" s="3">
        <f t="shared" si="34"/>
        <v>810</v>
      </c>
      <c r="M298" s="3">
        <f t="shared" si="35"/>
        <v>890</v>
      </c>
    </row>
    <row r="299" spans="1:13" x14ac:dyDescent="0.25">
      <c r="A299" s="3">
        <v>294</v>
      </c>
      <c r="B299" s="3" t="s">
        <v>285</v>
      </c>
      <c r="C299" s="3"/>
      <c r="D299" s="3"/>
      <c r="E299" s="3">
        <v>1</v>
      </c>
      <c r="F299" s="3"/>
      <c r="G299" s="3"/>
      <c r="H299" s="3"/>
      <c r="I299" s="3">
        <v>810</v>
      </c>
      <c r="J299" s="3">
        <v>890</v>
      </c>
      <c r="L299" s="3">
        <f t="shared" si="34"/>
        <v>810</v>
      </c>
      <c r="M299" s="3">
        <f t="shared" si="35"/>
        <v>890</v>
      </c>
    </row>
    <row r="300" spans="1:13" x14ac:dyDescent="0.25">
      <c r="A300" s="3">
        <v>295</v>
      </c>
      <c r="B300" s="3" t="s">
        <v>286</v>
      </c>
      <c r="C300" s="3"/>
      <c r="D300" s="3"/>
      <c r="E300" s="3">
        <v>2</v>
      </c>
      <c r="F300" s="3"/>
      <c r="G300" s="3"/>
      <c r="H300" s="3"/>
      <c r="I300" s="3">
        <v>817</v>
      </c>
      <c r="J300" s="3">
        <v>898</v>
      </c>
      <c r="L300" s="3">
        <f t="shared" si="34"/>
        <v>1634</v>
      </c>
      <c r="M300" s="3">
        <f t="shared" si="35"/>
        <v>1796</v>
      </c>
    </row>
    <row r="301" spans="1:13" x14ac:dyDescent="0.25">
      <c r="A301" s="3">
        <v>296</v>
      </c>
      <c r="B301" s="3" t="s">
        <v>287</v>
      </c>
      <c r="C301" s="3"/>
      <c r="D301" s="3"/>
      <c r="E301" s="3">
        <v>2</v>
      </c>
      <c r="F301" s="3"/>
      <c r="G301" s="3"/>
      <c r="H301" s="3"/>
      <c r="I301" s="3">
        <v>816</v>
      </c>
      <c r="J301" s="3">
        <v>896</v>
      </c>
      <c r="L301" s="3">
        <f t="shared" si="34"/>
        <v>1632</v>
      </c>
      <c r="M301" s="3">
        <f t="shared" si="35"/>
        <v>1792</v>
      </c>
    </row>
    <row r="302" spans="1:13" x14ac:dyDescent="0.25">
      <c r="A302" s="3">
        <v>297</v>
      </c>
      <c r="B302" s="3" t="s">
        <v>288</v>
      </c>
      <c r="C302" s="3"/>
      <c r="D302" s="3"/>
      <c r="E302" s="3">
        <v>1</v>
      </c>
      <c r="F302" s="3"/>
      <c r="G302" s="3"/>
      <c r="H302" s="3"/>
      <c r="I302" s="3">
        <v>480</v>
      </c>
      <c r="J302" s="3">
        <v>526</v>
      </c>
      <c r="L302" s="3">
        <f t="shared" si="34"/>
        <v>480</v>
      </c>
      <c r="M302" s="3">
        <f t="shared" si="35"/>
        <v>526</v>
      </c>
    </row>
    <row r="303" spans="1:13" x14ac:dyDescent="0.25">
      <c r="A303" s="3">
        <v>298</v>
      </c>
      <c r="B303" s="3" t="s">
        <v>289</v>
      </c>
      <c r="C303" s="3"/>
      <c r="D303" s="3"/>
      <c r="E303" s="3">
        <v>1</v>
      </c>
      <c r="F303" s="3"/>
      <c r="G303" s="3"/>
      <c r="H303" s="3"/>
      <c r="I303" s="3">
        <v>501</v>
      </c>
      <c r="J303" s="3">
        <v>552</v>
      </c>
      <c r="L303" s="3">
        <f t="shared" si="34"/>
        <v>501</v>
      </c>
      <c r="M303" s="3">
        <f t="shared" si="35"/>
        <v>552</v>
      </c>
    </row>
    <row r="304" spans="1:13" x14ac:dyDescent="0.25">
      <c r="A304" s="3">
        <v>299</v>
      </c>
      <c r="B304" s="3" t="s">
        <v>290</v>
      </c>
      <c r="C304" s="3"/>
      <c r="D304" s="3"/>
      <c r="E304" s="3">
        <v>2</v>
      </c>
      <c r="F304" s="3"/>
      <c r="G304" s="3"/>
      <c r="H304" s="3"/>
      <c r="I304" s="3">
        <v>497</v>
      </c>
      <c r="J304" s="3">
        <v>544</v>
      </c>
      <c r="L304" s="3">
        <f t="shared" si="34"/>
        <v>994</v>
      </c>
      <c r="M304" s="3">
        <f t="shared" si="35"/>
        <v>1088</v>
      </c>
    </row>
    <row r="305" spans="1:13" x14ac:dyDescent="0.25">
      <c r="A305" s="3">
        <v>300</v>
      </c>
      <c r="B305" s="3" t="s">
        <v>291</v>
      </c>
      <c r="C305" s="3"/>
      <c r="D305" s="3"/>
      <c r="E305" s="3">
        <v>1</v>
      </c>
      <c r="F305" s="3"/>
      <c r="G305" s="3"/>
      <c r="H305" s="3"/>
      <c r="I305" s="3">
        <v>519</v>
      </c>
      <c r="J305" s="3">
        <v>571</v>
      </c>
      <c r="L305" s="3">
        <f t="shared" si="34"/>
        <v>519</v>
      </c>
      <c r="M305" s="3">
        <f t="shared" si="35"/>
        <v>571</v>
      </c>
    </row>
    <row r="306" spans="1:13" x14ac:dyDescent="0.25">
      <c r="A306" s="3">
        <v>301</v>
      </c>
      <c r="B306" s="3" t="s">
        <v>292</v>
      </c>
      <c r="C306" s="3"/>
      <c r="D306" s="3"/>
      <c r="E306" s="3">
        <v>1</v>
      </c>
      <c r="F306" s="3"/>
      <c r="G306" s="3"/>
      <c r="H306" s="3"/>
      <c r="I306" s="3">
        <v>531</v>
      </c>
      <c r="J306" s="3">
        <v>580</v>
      </c>
      <c r="L306" s="3">
        <f t="shared" si="34"/>
        <v>531</v>
      </c>
      <c r="M306" s="3">
        <f t="shared" si="35"/>
        <v>580</v>
      </c>
    </row>
    <row r="307" spans="1:13" x14ac:dyDescent="0.25">
      <c r="A307" s="3">
        <v>302</v>
      </c>
      <c r="B307" s="3" t="s">
        <v>293</v>
      </c>
      <c r="C307" s="3"/>
      <c r="D307" s="3"/>
      <c r="E307" s="3">
        <v>2</v>
      </c>
      <c r="F307" s="3"/>
      <c r="G307" s="3"/>
      <c r="H307" s="3"/>
      <c r="I307" s="3"/>
      <c r="J307" s="3">
        <v>59</v>
      </c>
      <c r="L307" s="3">
        <f t="shared" si="34"/>
        <v>0</v>
      </c>
      <c r="M307" s="3">
        <f t="shared" si="35"/>
        <v>118</v>
      </c>
    </row>
    <row r="308" spans="1:13" x14ac:dyDescent="0.25">
      <c r="A308" s="3"/>
      <c r="B308" s="3" t="s">
        <v>294</v>
      </c>
      <c r="C308" s="3"/>
      <c r="D308" s="3"/>
      <c r="E308" s="3">
        <v>2</v>
      </c>
      <c r="F308" s="3"/>
      <c r="G308" s="3"/>
      <c r="H308" s="3"/>
      <c r="I308" s="3"/>
      <c r="J308" s="3">
        <v>59</v>
      </c>
      <c r="L308" s="3">
        <f t="shared" si="34"/>
        <v>0</v>
      </c>
      <c r="M308" s="3">
        <f t="shared" si="35"/>
        <v>118</v>
      </c>
    </row>
    <row r="309" spans="1:13" x14ac:dyDescent="0.25">
      <c r="A309" s="3">
        <v>303</v>
      </c>
      <c r="B309" s="3" t="s">
        <v>295</v>
      </c>
      <c r="C309" s="3"/>
      <c r="D309" s="3"/>
      <c r="E309" s="3">
        <v>3</v>
      </c>
      <c r="F309" s="3"/>
      <c r="G309" s="3"/>
      <c r="H309" s="3"/>
      <c r="I309" s="3"/>
      <c r="J309" s="3">
        <v>99</v>
      </c>
      <c r="L309" s="3">
        <f t="shared" si="34"/>
        <v>0</v>
      </c>
      <c r="M309" s="3">
        <f t="shared" si="35"/>
        <v>297</v>
      </c>
    </row>
    <row r="310" spans="1:13" x14ac:dyDescent="0.25">
      <c r="A310" s="3">
        <v>304</v>
      </c>
      <c r="B310" s="3" t="s">
        <v>296</v>
      </c>
      <c r="C310" s="3"/>
      <c r="D310" s="3"/>
      <c r="E310" s="3">
        <v>3</v>
      </c>
      <c r="F310" s="3"/>
      <c r="G310" s="3"/>
      <c r="H310" s="3"/>
      <c r="I310" s="3">
        <v>290</v>
      </c>
      <c r="J310" s="3">
        <v>400</v>
      </c>
      <c r="L310" s="3">
        <f t="shared" si="34"/>
        <v>870</v>
      </c>
      <c r="M310" s="3">
        <f t="shared" si="35"/>
        <v>1200</v>
      </c>
    </row>
    <row r="311" spans="1:13" x14ac:dyDescent="0.25">
      <c r="A311" s="3">
        <v>305</v>
      </c>
      <c r="B311" s="3" t="s">
        <v>297</v>
      </c>
      <c r="C311" s="3"/>
      <c r="D311" s="3"/>
      <c r="E311" s="3">
        <v>4</v>
      </c>
      <c r="F311" s="3"/>
      <c r="G311" s="3"/>
      <c r="H311" s="3"/>
      <c r="I311" s="3">
        <v>320</v>
      </c>
      <c r="J311" s="3">
        <v>500</v>
      </c>
      <c r="L311" s="3">
        <f t="shared" si="34"/>
        <v>1280</v>
      </c>
      <c r="M311" s="3">
        <f t="shared" si="35"/>
        <v>2000</v>
      </c>
    </row>
    <row r="312" spans="1:13" x14ac:dyDescent="0.25">
      <c r="A312" s="3">
        <v>306</v>
      </c>
      <c r="B312" s="3" t="s">
        <v>298</v>
      </c>
      <c r="C312" s="3"/>
      <c r="D312" s="3"/>
      <c r="E312" s="3">
        <v>7</v>
      </c>
      <c r="F312" s="3"/>
      <c r="G312" s="3"/>
      <c r="H312" s="3"/>
      <c r="I312" s="3">
        <v>38</v>
      </c>
      <c r="J312" s="3">
        <v>60</v>
      </c>
      <c r="L312" s="3">
        <f t="shared" si="34"/>
        <v>266</v>
      </c>
      <c r="M312" s="3">
        <f t="shared" si="35"/>
        <v>420</v>
      </c>
    </row>
    <row r="313" spans="1:13" x14ac:dyDescent="0.25">
      <c r="A313" s="3">
        <v>307</v>
      </c>
      <c r="B313" s="3" t="s">
        <v>299</v>
      </c>
      <c r="C313" s="3"/>
      <c r="D313" s="3"/>
      <c r="E313" s="3">
        <v>13</v>
      </c>
      <c r="F313" s="3"/>
      <c r="G313" s="3"/>
      <c r="H313" s="3"/>
      <c r="I313" s="3">
        <v>7</v>
      </c>
      <c r="J313" s="3">
        <v>15</v>
      </c>
      <c r="L313" s="3">
        <f t="shared" si="34"/>
        <v>91</v>
      </c>
      <c r="M313" s="3">
        <f t="shared" si="35"/>
        <v>195</v>
      </c>
    </row>
    <row r="314" spans="1:13" x14ac:dyDescent="0.25">
      <c r="A314" s="3">
        <v>308</v>
      </c>
      <c r="B314" s="3" t="s">
        <v>300</v>
      </c>
      <c r="C314" s="3"/>
      <c r="D314" s="3"/>
      <c r="E314" s="3">
        <v>63</v>
      </c>
      <c r="F314" s="3"/>
      <c r="G314" s="3"/>
      <c r="H314" s="3"/>
      <c r="I314" s="3">
        <v>25</v>
      </c>
      <c r="J314" s="3">
        <v>50</v>
      </c>
      <c r="L314" s="3">
        <f t="shared" si="34"/>
        <v>1575</v>
      </c>
      <c r="M314" s="3">
        <f t="shared" si="35"/>
        <v>3150</v>
      </c>
    </row>
    <row r="315" spans="1:13" x14ac:dyDescent="0.25">
      <c r="A315" s="4">
        <v>309</v>
      </c>
      <c r="B315" s="3" t="s">
        <v>301</v>
      </c>
      <c r="C315" s="3"/>
      <c r="D315" s="3"/>
      <c r="E315" s="3">
        <v>5</v>
      </c>
      <c r="F315" s="3"/>
      <c r="G315" s="3"/>
      <c r="H315" s="3"/>
      <c r="I315" s="3"/>
      <c r="J315" s="3">
        <v>110</v>
      </c>
      <c r="L315" s="3">
        <f t="shared" si="34"/>
        <v>0</v>
      </c>
      <c r="M315" s="3">
        <f t="shared" si="35"/>
        <v>550</v>
      </c>
    </row>
    <row r="316" spans="1:13" x14ac:dyDescent="0.25">
      <c r="A316" s="3">
        <v>310</v>
      </c>
      <c r="B316" s="3" t="s">
        <v>302</v>
      </c>
      <c r="C316" s="3"/>
      <c r="D316" s="3"/>
      <c r="E316" s="3"/>
      <c r="F316" s="3"/>
      <c r="G316" s="3"/>
      <c r="I316" s="3">
        <v>135</v>
      </c>
      <c r="J316" s="3">
        <v>200</v>
      </c>
      <c r="L316" s="3">
        <f t="shared" ref="L316" si="36">E316*I316</f>
        <v>0</v>
      </c>
      <c r="M316" s="3">
        <f t="shared" ref="M316" si="37">E316*J316</f>
        <v>0</v>
      </c>
    </row>
    <row r="317" spans="1:13" x14ac:dyDescent="0.25">
      <c r="A317" s="3">
        <v>311</v>
      </c>
      <c r="B317" s="3" t="s">
        <v>303</v>
      </c>
      <c r="C317" s="3"/>
      <c r="D317" s="3"/>
      <c r="E317" s="3"/>
      <c r="F317" s="3"/>
      <c r="G317" s="3">
        <v>59</v>
      </c>
      <c r="H317" s="3"/>
      <c r="I317" s="3">
        <v>26</v>
      </c>
      <c r="J317" s="3">
        <v>80</v>
      </c>
      <c r="L317" s="3">
        <f>G317*I317</f>
        <v>1534</v>
      </c>
      <c r="M317" s="3">
        <f>G317*J317</f>
        <v>4720</v>
      </c>
    </row>
    <row r="318" spans="1:13" x14ac:dyDescent="0.25">
      <c r="A318" s="3">
        <v>312</v>
      </c>
      <c r="B318" s="3" t="s">
        <v>304</v>
      </c>
      <c r="C318" s="3"/>
      <c r="D318" s="3"/>
      <c r="E318" s="3">
        <v>20</v>
      </c>
      <c r="F318" s="3"/>
      <c r="G318" s="3"/>
      <c r="H318" s="3"/>
      <c r="I318" s="3">
        <v>71</v>
      </c>
      <c r="J318" s="3">
        <v>75</v>
      </c>
      <c r="L318" s="3">
        <f t="shared" ref="L318" si="38">E318*I318</f>
        <v>1420</v>
      </c>
      <c r="M318" s="3">
        <f t="shared" ref="M318" si="39">E318*J318</f>
        <v>1500</v>
      </c>
    </row>
    <row r="319" spans="1:13" x14ac:dyDescent="0.25">
      <c r="A319" s="3">
        <v>313</v>
      </c>
      <c r="B319" s="3" t="s">
        <v>305</v>
      </c>
      <c r="C319" s="3"/>
      <c r="D319" s="3"/>
      <c r="E319" s="3">
        <v>9</v>
      </c>
      <c r="F319" s="3"/>
      <c r="G319" s="3"/>
      <c r="H319" s="3"/>
      <c r="I319" s="3">
        <v>79</v>
      </c>
      <c r="J319" s="3">
        <v>85</v>
      </c>
      <c r="L319" s="3">
        <f t="shared" ref="L319" si="40">E319*I319</f>
        <v>711</v>
      </c>
      <c r="M319" s="3">
        <f t="shared" ref="M319" si="41">E319*J319</f>
        <v>765</v>
      </c>
    </row>
    <row r="320" spans="1:13" x14ac:dyDescent="0.25">
      <c r="A320" s="3">
        <v>314</v>
      </c>
      <c r="B320" s="3" t="s">
        <v>306</v>
      </c>
      <c r="C320" s="3"/>
      <c r="D320" s="3"/>
      <c r="E320" s="3"/>
      <c r="F320" s="3"/>
      <c r="G320" s="3">
        <v>26</v>
      </c>
      <c r="H320" s="3">
        <v>4</v>
      </c>
      <c r="I320" s="3">
        <v>48</v>
      </c>
      <c r="J320" s="3">
        <v>55</v>
      </c>
      <c r="L320" s="3">
        <f>G320*I320</f>
        <v>1248</v>
      </c>
      <c r="M320" s="3">
        <f>G320*J320</f>
        <v>1430</v>
      </c>
    </row>
    <row r="321" spans="1:13" x14ac:dyDescent="0.25">
      <c r="A321" s="3">
        <v>315</v>
      </c>
      <c r="B321" s="3" t="s">
        <v>307</v>
      </c>
      <c r="C321" s="3"/>
      <c r="D321" s="3"/>
      <c r="E321" s="3"/>
      <c r="F321" s="3"/>
      <c r="G321" s="3">
        <v>5</v>
      </c>
      <c r="H321" s="3"/>
      <c r="I321" s="3"/>
      <c r="J321" s="3">
        <v>112</v>
      </c>
      <c r="L321" s="3">
        <f t="shared" ref="L321:L323" si="42">G321*I321</f>
        <v>0</v>
      </c>
      <c r="M321" s="3">
        <f t="shared" ref="M321:M323" si="43">G321*J321</f>
        <v>560</v>
      </c>
    </row>
    <row r="322" spans="1:13" x14ac:dyDescent="0.25">
      <c r="A322" s="3">
        <v>316</v>
      </c>
      <c r="B322" s="3" t="s">
        <v>308</v>
      </c>
      <c r="C322" s="3"/>
      <c r="D322" s="3"/>
      <c r="E322" s="3"/>
      <c r="F322" s="3"/>
      <c r="G322" s="3">
        <v>12</v>
      </c>
      <c r="H322" s="3"/>
      <c r="I322" s="3">
        <v>155.85</v>
      </c>
      <c r="J322" s="3">
        <v>180</v>
      </c>
      <c r="L322" s="3">
        <f t="shared" si="42"/>
        <v>1870.1999999999998</v>
      </c>
      <c r="M322" s="3">
        <f t="shared" si="43"/>
        <v>2160</v>
      </c>
    </row>
    <row r="323" spans="1:13" x14ac:dyDescent="0.25">
      <c r="A323" s="3">
        <v>317</v>
      </c>
      <c r="B323" s="3" t="s">
        <v>309</v>
      </c>
      <c r="C323" s="3"/>
      <c r="D323" s="3"/>
      <c r="E323" s="3"/>
      <c r="F323" s="3"/>
      <c r="G323" s="3">
        <v>10</v>
      </c>
      <c r="H323" s="3">
        <v>4</v>
      </c>
      <c r="I323" s="3">
        <v>155.18</v>
      </c>
      <c r="J323" s="3">
        <v>180</v>
      </c>
      <c r="L323" s="3">
        <f t="shared" si="42"/>
        <v>1551.8000000000002</v>
      </c>
      <c r="M323" s="3">
        <f t="shared" si="43"/>
        <v>1800</v>
      </c>
    </row>
    <row r="324" spans="1:13" x14ac:dyDescent="0.25">
      <c r="A324" s="3">
        <v>318</v>
      </c>
      <c r="B324" s="3" t="s">
        <v>310</v>
      </c>
      <c r="C324" s="3"/>
      <c r="D324" s="3"/>
      <c r="E324" s="3">
        <v>4</v>
      </c>
      <c r="F324" s="3"/>
      <c r="G324" s="3"/>
      <c r="H324" s="3"/>
      <c r="I324" s="3"/>
      <c r="J324" s="3">
        <v>200</v>
      </c>
      <c r="L324" s="3">
        <f t="shared" ref="L324" si="44">E324*I324</f>
        <v>0</v>
      </c>
      <c r="M324" s="3">
        <f t="shared" ref="M324" si="45">E324*J324</f>
        <v>800</v>
      </c>
    </row>
    <row r="325" spans="1:13" x14ac:dyDescent="0.25">
      <c r="A325" s="3">
        <v>319</v>
      </c>
      <c r="B325" s="3" t="s">
        <v>311</v>
      </c>
      <c r="C325" s="3"/>
      <c r="D325" s="3"/>
      <c r="E325" s="3">
        <v>3</v>
      </c>
      <c r="F325" s="3"/>
      <c r="G325" s="3"/>
      <c r="H325" s="3"/>
      <c r="I325" s="3"/>
      <c r="J325" s="3">
        <v>95</v>
      </c>
      <c r="L325" s="3">
        <f t="shared" ref="L325" si="46">E325*I325</f>
        <v>0</v>
      </c>
      <c r="M325" s="3">
        <f t="shared" ref="M325" si="47">E325*J325</f>
        <v>285</v>
      </c>
    </row>
    <row r="326" spans="1:13" x14ac:dyDescent="0.25">
      <c r="A326" s="3">
        <v>320</v>
      </c>
      <c r="B326" s="3" t="s">
        <v>312</v>
      </c>
      <c r="C326" s="3"/>
      <c r="D326" s="3"/>
      <c r="E326" s="3"/>
      <c r="F326" s="3"/>
      <c r="G326" s="3">
        <v>1</v>
      </c>
      <c r="H326" s="3">
        <v>7</v>
      </c>
      <c r="I326" s="3"/>
      <c r="J326" s="3">
        <v>56</v>
      </c>
      <c r="L326" s="3">
        <f t="shared" ref="L326" si="48">G326*I326</f>
        <v>0</v>
      </c>
      <c r="M326" s="3">
        <f t="shared" ref="M326" si="49">G326*J326</f>
        <v>56</v>
      </c>
    </row>
    <row r="327" spans="1:13" x14ac:dyDescent="0.25">
      <c r="A327" s="3">
        <v>321</v>
      </c>
      <c r="B327" s="3" t="s">
        <v>313</v>
      </c>
      <c r="C327" s="3"/>
      <c r="D327" s="3"/>
      <c r="E327" s="3"/>
      <c r="F327" s="3"/>
      <c r="G327" s="3">
        <v>6</v>
      </c>
      <c r="H327" s="3"/>
      <c r="I327" s="3"/>
      <c r="J327" s="3">
        <v>60</v>
      </c>
      <c r="L327" s="3">
        <f t="shared" ref="L327:L336" si="50">G327*I327</f>
        <v>0</v>
      </c>
      <c r="M327" s="3">
        <f t="shared" ref="M327:M336" si="51">G327*J327</f>
        <v>360</v>
      </c>
    </row>
    <row r="328" spans="1:13" x14ac:dyDescent="0.25">
      <c r="A328" s="3">
        <v>322</v>
      </c>
      <c r="B328" s="3" t="s">
        <v>314</v>
      </c>
      <c r="C328" s="3"/>
      <c r="D328" s="3"/>
      <c r="E328" s="3"/>
      <c r="F328" s="3"/>
      <c r="G328" s="3">
        <v>2</v>
      </c>
      <c r="H328" s="3"/>
      <c r="I328" s="3"/>
      <c r="J328" s="3">
        <v>140</v>
      </c>
      <c r="L328" s="3">
        <f t="shared" si="50"/>
        <v>0</v>
      </c>
      <c r="M328" s="3">
        <f t="shared" si="51"/>
        <v>280</v>
      </c>
    </row>
    <row r="329" spans="1:13" x14ac:dyDescent="0.25">
      <c r="A329" s="3">
        <v>323</v>
      </c>
      <c r="B329" s="3" t="s">
        <v>315</v>
      </c>
      <c r="C329" s="3"/>
      <c r="D329" s="3"/>
      <c r="E329" s="3"/>
      <c r="F329" s="3"/>
      <c r="G329" s="3">
        <v>5</v>
      </c>
      <c r="H329" s="3"/>
      <c r="I329" s="3"/>
      <c r="J329" s="3">
        <v>20</v>
      </c>
      <c r="L329" s="3">
        <f t="shared" si="50"/>
        <v>0</v>
      </c>
      <c r="M329" s="3">
        <f t="shared" si="51"/>
        <v>100</v>
      </c>
    </row>
    <row r="330" spans="1:13" x14ac:dyDescent="0.25">
      <c r="A330" s="3">
        <v>324</v>
      </c>
      <c r="B330" s="3" t="s">
        <v>316</v>
      </c>
      <c r="C330" s="3"/>
      <c r="D330" s="3"/>
      <c r="E330" s="3"/>
      <c r="F330" s="3"/>
      <c r="G330" s="3">
        <v>6</v>
      </c>
      <c r="H330" s="3"/>
      <c r="I330" s="3"/>
      <c r="J330" s="3">
        <v>80</v>
      </c>
      <c r="L330" s="3">
        <f t="shared" si="50"/>
        <v>0</v>
      </c>
      <c r="M330" s="3">
        <f t="shared" si="51"/>
        <v>480</v>
      </c>
    </row>
    <row r="331" spans="1:13" x14ac:dyDescent="0.25">
      <c r="A331" s="3">
        <v>325</v>
      </c>
      <c r="B331" s="3" t="s">
        <v>317</v>
      </c>
      <c r="C331" s="3"/>
      <c r="D331" s="3"/>
      <c r="E331" s="3"/>
      <c r="F331" s="3"/>
      <c r="G331" s="3">
        <v>6</v>
      </c>
      <c r="H331" s="3"/>
      <c r="I331" s="3"/>
      <c r="J331" s="3">
        <v>100</v>
      </c>
      <c r="L331" s="3">
        <f t="shared" si="50"/>
        <v>0</v>
      </c>
      <c r="M331" s="3">
        <f t="shared" si="51"/>
        <v>600</v>
      </c>
    </row>
    <row r="332" spans="1:13" x14ac:dyDescent="0.25">
      <c r="A332" s="3">
        <v>326</v>
      </c>
      <c r="B332" s="3" t="s">
        <v>318</v>
      </c>
      <c r="C332" s="3"/>
      <c r="D332" s="3"/>
      <c r="E332" s="3"/>
      <c r="F332" s="3"/>
      <c r="G332" s="3">
        <v>1</v>
      </c>
      <c r="H332" s="3"/>
      <c r="I332" s="3"/>
      <c r="J332" s="3">
        <v>314</v>
      </c>
      <c r="L332" s="3">
        <f t="shared" si="50"/>
        <v>0</v>
      </c>
      <c r="M332" s="3">
        <f t="shared" si="51"/>
        <v>314</v>
      </c>
    </row>
    <row r="333" spans="1:13" x14ac:dyDescent="0.25">
      <c r="A333" s="3">
        <v>327</v>
      </c>
      <c r="B333" s="3" t="s">
        <v>319</v>
      </c>
      <c r="C333" s="3"/>
      <c r="D333" s="3"/>
      <c r="E333" s="3"/>
      <c r="F333" s="3"/>
      <c r="G333" s="3">
        <v>8</v>
      </c>
      <c r="H333" s="3"/>
      <c r="I333" s="3">
        <v>103</v>
      </c>
      <c r="J333" s="3">
        <v>120</v>
      </c>
      <c r="L333" s="3">
        <f t="shared" si="50"/>
        <v>824</v>
      </c>
      <c r="M333" s="3">
        <f t="shared" si="51"/>
        <v>960</v>
      </c>
    </row>
    <row r="334" spans="1:13" x14ac:dyDescent="0.25">
      <c r="A334" s="3">
        <v>328</v>
      </c>
      <c r="B334" s="3" t="s">
        <v>320</v>
      </c>
      <c r="C334" s="3"/>
      <c r="D334" s="3"/>
      <c r="E334" s="3"/>
      <c r="F334" s="3"/>
      <c r="G334" s="3">
        <v>3</v>
      </c>
      <c r="H334" s="3"/>
      <c r="I334" s="3"/>
      <c r="J334" s="3">
        <v>317</v>
      </c>
      <c r="L334" s="3">
        <f t="shared" si="50"/>
        <v>0</v>
      </c>
      <c r="M334" s="3">
        <f t="shared" si="51"/>
        <v>951</v>
      </c>
    </row>
    <row r="335" spans="1:13" x14ac:dyDescent="0.25">
      <c r="A335" s="3">
        <v>329</v>
      </c>
      <c r="B335" s="3" t="s">
        <v>321</v>
      </c>
      <c r="C335" s="3"/>
      <c r="D335" s="3"/>
      <c r="E335" s="3"/>
      <c r="F335" s="3"/>
      <c r="G335" s="3">
        <v>5</v>
      </c>
      <c r="H335" s="3"/>
      <c r="I335" s="3"/>
      <c r="J335" s="3">
        <v>29</v>
      </c>
      <c r="L335" s="3">
        <f t="shared" si="50"/>
        <v>0</v>
      </c>
      <c r="M335" s="3">
        <f t="shared" si="51"/>
        <v>145</v>
      </c>
    </row>
    <row r="336" spans="1:13" x14ac:dyDescent="0.25">
      <c r="A336" s="3">
        <v>330</v>
      </c>
      <c r="B336" s="3" t="s">
        <v>322</v>
      </c>
      <c r="C336" s="3"/>
      <c r="D336" s="3"/>
      <c r="E336" s="3"/>
      <c r="F336" s="3"/>
      <c r="G336" s="3">
        <v>3</v>
      </c>
      <c r="H336" s="3"/>
      <c r="I336" s="3"/>
      <c r="J336" s="3">
        <v>150</v>
      </c>
      <c r="L336" s="3">
        <f t="shared" si="50"/>
        <v>0</v>
      </c>
      <c r="M336" s="3">
        <f t="shared" si="51"/>
        <v>450</v>
      </c>
    </row>
    <row r="337" spans="1:13" x14ac:dyDescent="0.25">
      <c r="A337" s="3">
        <v>331</v>
      </c>
      <c r="B337" s="3" t="s">
        <v>323</v>
      </c>
      <c r="C337" s="3"/>
      <c r="D337" s="3"/>
      <c r="E337" s="3">
        <v>1</v>
      </c>
      <c r="F337" s="3"/>
      <c r="G337" s="3"/>
      <c r="H337" s="3"/>
      <c r="I337" s="3"/>
      <c r="J337" s="3">
        <v>168</v>
      </c>
      <c r="L337" s="3">
        <f t="shared" ref="L337" si="52">E337*I337</f>
        <v>0</v>
      </c>
      <c r="M337" s="3">
        <f t="shared" ref="M337" si="53">E337*J337</f>
        <v>168</v>
      </c>
    </row>
    <row r="338" spans="1:13" x14ac:dyDescent="0.25">
      <c r="A338" s="3">
        <v>332</v>
      </c>
      <c r="B338" s="3" t="s">
        <v>324</v>
      </c>
      <c r="C338" s="3"/>
      <c r="D338" s="3"/>
      <c r="E338" s="3">
        <v>6</v>
      </c>
      <c r="F338" s="3"/>
      <c r="G338" s="3"/>
      <c r="H338" s="3"/>
      <c r="I338" s="3">
        <v>33</v>
      </c>
      <c r="J338" s="3">
        <v>40</v>
      </c>
      <c r="L338" s="3">
        <f t="shared" ref="L338:L345" si="54">E338*I338</f>
        <v>198</v>
      </c>
      <c r="M338" s="3">
        <f t="shared" ref="M338:M345" si="55">E338*J338</f>
        <v>240</v>
      </c>
    </row>
    <row r="339" spans="1:13" x14ac:dyDescent="0.25">
      <c r="A339" s="3">
        <v>333</v>
      </c>
      <c r="B339" s="3" t="s">
        <v>325</v>
      </c>
      <c r="C339" s="3"/>
      <c r="D339" s="3"/>
      <c r="E339" s="3">
        <v>7</v>
      </c>
      <c r="F339" s="3"/>
      <c r="G339" s="3"/>
      <c r="H339" s="3"/>
      <c r="I339" s="3">
        <v>80</v>
      </c>
      <c r="J339" s="3">
        <v>170</v>
      </c>
      <c r="L339" s="3">
        <f t="shared" si="54"/>
        <v>560</v>
      </c>
      <c r="M339" s="3">
        <f t="shared" si="55"/>
        <v>1190</v>
      </c>
    </row>
    <row r="340" spans="1:13" x14ac:dyDescent="0.25">
      <c r="A340" s="3">
        <v>334</v>
      </c>
      <c r="B340" s="3" t="s">
        <v>326</v>
      </c>
      <c r="C340" s="3"/>
      <c r="D340" s="3"/>
      <c r="E340" s="3">
        <v>10</v>
      </c>
      <c r="F340" s="3"/>
      <c r="G340" s="3"/>
      <c r="H340" s="3"/>
      <c r="I340" s="3">
        <v>51.73</v>
      </c>
      <c r="J340" s="3">
        <v>60</v>
      </c>
      <c r="L340" s="3">
        <f t="shared" si="54"/>
        <v>517.29999999999995</v>
      </c>
      <c r="M340" s="3">
        <f t="shared" si="55"/>
        <v>600</v>
      </c>
    </row>
    <row r="341" spans="1:13" x14ac:dyDescent="0.25">
      <c r="A341" s="3">
        <v>335</v>
      </c>
      <c r="B341" s="3" t="s">
        <v>327</v>
      </c>
      <c r="C341" s="3"/>
      <c r="D341" s="3"/>
      <c r="E341" s="3">
        <v>1</v>
      </c>
      <c r="F341" s="3"/>
      <c r="G341" s="3"/>
      <c r="H341" s="3"/>
      <c r="I341" s="3"/>
      <c r="J341" s="3">
        <v>70</v>
      </c>
      <c r="L341" s="3">
        <f t="shared" si="54"/>
        <v>0</v>
      </c>
      <c r="M341" s="3">
        <f t="shared" si="55"/>
        <v>70</v>
      </c>
    </row>
    <row r="342" spans="1:13" x14ac:dyDescent="0.25">
      <c r="A342" s="3">
        <v>336</v>
      </c>
      <c r="B342" s="3" t="s">
        <v>328</v>
      </c>
      <c r="C342" s="3"/>
      <c r="D342" s="3"/>
      <c r="E342" s="3">
        <v>1</v>
      </c>
      <c r="F342" s="3"/>
      <c r="G342" s="3"/>
      <c r="H342" s="3"/>
      <c r="I342" s="3"/>
      <c r="J342" s="3">
        <v>500</v>
      </c>
      <c r="L342" s="3">
        <f t="shared" si="54"/>
        <v>0</v>
      </c>
      <c r="M342" s="3">
        <f t="shared" si="55"/>
        <v>500</v>
      </c>
    </row>
    <row r="343" spans="1:13" x14ac:dyDescent="0.25">
      <c r="A343" s="4">
        <v>337</v>
      </c>
      <c r="B343" s="3" t="s">
        <v>329</v>
      </c>
      <c r="C343" s="3"/>
      <c r="D343" s="3"/>
      <c r="E343" s="3">
        <v>8</v>
      </c>
      <c r="F343" s="3"/>
      <c r="G343" s="3"/>
      <c r="H343" s="3"/>
      <c r="I343" s="3">
        <v>180</v>
      </c>
      <c r="J343" s="3">
        <v>123</v>
      </c>
      <c r="L343" s="3">
        <f t="shared" si="54"/>
        <v>1440</v>
      </c>
      <c r="M343" s="3">
        <f t="shared" si="55"/>
        <v>984</v>
      </c>
    </row>
    <row r="344" spans="1:13" x14ac:dyDescent="0.25">
      <c r="A344" s="3">
        <v>338</v>
      </c>
      <c r="B344" s="3" t="s">
        <v>330</v>
      </c>
      <c r="C344" s="3"/>
      <c r="D344" s="3"/>
      <c r="E344" s="3">
        <f>59+1</f>
        <v>60</v>
      </c>
      <c r="F344" s="3"/>
      <c r="G344" s="3"/>
      <c r="H344" s="3"/>
      <c r="I344" s="3"/>
      <c r="J344" s="3">
        <v>125</v>
      </c>
      <c r="L344" s="3">
        <f t="shared" si="54"/>
        <v>0</v>
      </c>
      <c r="M344" s="3">
        <f t="shared" si="55"/>
        <v>7500</v>
      </c>
    </row>
    <row r="345" spans="1:13" x14ac:dyDescent="0.25">
      <c r="A345" s="3">
        <v>339</v>
      </c>
      <c r="B345" s="3" t="s">
        <v>331</v>
      </c>
      <c r="C345" s="3"/>
      <c r="D345" s="3"/>
      <c r="E345" s="3">
        <v>4</v>
      </c>
      <c r="F345" s="3"/>
      <c r="G345" s="3"/>
      <c r="H345" s="3"/>
      <c r="I345" s="3"/>
      <c r="J345" s="3">
        <v>150</v>
      </c>
      <c r="L345" s="3">
        <f t="shared" si="54"/>
        <v>0</v>
      </c>
      <c r="M345" s="3">
        <f t="shared" si="55"/>
        <v>600</v>
      </c>
    </row>
    <row r="346" spans="1:13" x14ac:dyDescent="0.25">
      <c r="A346" s="3">
        <v>340</v>
      </c>
      <c r="B346" s="3" t="s">
        <v>332</v>
      </c>
      <c r="C346" s="3">
        <v>7</v>
      </c>
      <c r="D346" s="3"/>
      <c r="E346" s="3"/>
      <c r="F346" s="3"/>
      <c r="G346" s="3"/>
      <c r="H346" s="3"/>
      <c r="I346" s="3">
        <v>135</v>
      </c>
      <c r="J346" s="3">
        <v>250</v>
      </c>
      <c r="L346" s="3">
        <f>C346*I346</f>
        <v>945</v>
      </c>
      <c r="M346" s="3">
        <f>C346*J346</f>
        <v>1750</v>
      </c>
    </row>
    <row r="347" spans="1:13" x14ac:dyDescent="0.25">
      <c r="A347" s="3">
        <v>341</v>
      </c>
      <c r="B347" s="3" t="s">
        <v>333</v>
      </c>
      <c r="C347" s="3">
        <v>1</v>
      </c>
      <c r="D347" s="3"/>
      <c r="E347" s="3"/>
      <c r="F347" s="3"/>
      <c r="G347" s="3"/>
      <c r="H347" s="3"/>
      <c r="I347" s="3">
        <v>135</v>
      </c>
      <c r="J347" s="3">
        <v>250</v>
      </c>
      <c r="L347" s="3">
        <f>C347*I347</f>
        <v>135</v>
      </c>
      <c r="M347" s="3">
        <f>C347*J347</f>
        <v>250</v>
      </c>
    </row>
    <row r="348" spans="1:13" x14ac:dyDescent="0.25">
      <c r="A348" s="3">
        <v>342</v>
      </c>
      <c r="B348" s="3" t="s">
        <v>334</v>
      </c>
      <c r="C348" s="3"/>
      <c r="D348" s="3"/>
      <c r="E348" s="3">
        <v>14</v>
      </c>
      <c r="F348" s="3"/>
      <c r="G348" s="3"/>
      <c r="H348" s="3"/>
      <c r="I348" s="3">
        <v>56</v>
      </c>
      <c r="J348" s="3">
        <v>70</v>
      </c>
      <c r="L348" s="3">
        <f>E348*I348</f>
        <v>784</v>
      </c>
      <c r="M348" s="3">
        <f>E348*J348</f>
        <v>980</v>
      </c>
    </row>
    <row r="349" spans="1:13" x14ac:dyDescent="0.25">
      <c r="A349" s="3">
        <v>343</v>
      </c>
      <c r="B349" s="3" t="s">
        <v>335</v>
      </c>
      <c r="C349" s="3"/>
      <c r="D349" s="3"/>
      <c r="E349" s="3">
        <v>15</v>
      </c>
      <c r="F349" s="3"/>
      <c r="G349" s="3"/>
      <c r="H349" s="3"/>
      <c r="I349" s="3">
        <v>63</v>
      </c>
      <c r="J349" s="3">
        <v>80</v>
      </c>
      <c r="L349" s="3">
        <f t="shared" ref="L349:L354" si="56">E349*I349</f>
        <v>945</v>
      </c>
      <c r="M349" s="3">
        <f t="shared" ref="M349:M354" si="57">E349*J349</f>
        <v>1200</v>
      </c>
    </row>
    <row r="350" spans="1:13" x14ac:dyDescent="0.25">
      <c r="A350" s="3">
        <v>344</v>
      </c>
      <c r="B350" s="3" t="s">
        <v>336</v>
      </c>
      <c r="C350" s="3"/>
      <c r="D350" s="3"/>
      <c r="E350" s="3">
        <v>2</v>
      </c>
      <c r="F350" s="3"/>
      <c r="G350" s="3"/>
      <c r="H350" s="3"/>
      <c r="I350" s="3"/>
      <c r="J350" s="3">
        <v>70</v>
      </c>
      <c r="L350" s="3">
        <f t="shared" si="56"/>
        <v>0</v>
      </c>
      <c r="M350" s="3">
        <f t="shared" si="57"/>
        <v>140</v>
      </c>
    </row>
    <row r="351" spans="1:13" x14ac:dyDescent="0.25">
      <c r="A351" s="3">
        <v>345</v>
      </c>
      <c r="B351" s="3" t="s">
        <v>337</v>
      </c>
      <c r="C351" s="3"/>
      <c r="D351" s="3"/>
      <c r="E351" s="3">
        <v>2</v>
      </c>
      <c r="F351" s="3"/>
      <c r="G351" s="3"/>
      <c r="H351" s="3"/>
      <c r="I351" s="3">
        <v>70</v>
      </c>
      <c r="J351" s="3">
        <v>100</v>
      </c>
      <c r="L351" s="3">
        <f t="shared" si="56"/>
        <v>140</v>
      </c>
      <c r="M351" s="3">
        <f t="shared" si="57"/>
        <v>200</v>
      </c>
    </row>
    <row r="352" spans="1:13" x14ac:dyDescent="0.25">
      <c r="A352" s="3">
        <v>346</v>
      </c>
      <c r="B352" s="3" t="s">
        <v>339</v>
      </c>
      <c r="C352" s="3"/>
      <c r="D352" s="3"/>
      <c r="E352" s="3">
        <v>59</v>
      </c>
      <c r="F352" s="3"/>
      <c r="G352" s="3"/>
      <c r="H352" s="3"/>
      <c r="I352" s="3">
        <v>290</v>
      </c>
      <c r="J352" s="3">
        <v>5</v>
      </c>
      <c r="L352" s="3">
        <f t="shared" si="56"/>
        <v>17110</v>
      </c>
      <c r="M352" s="3">
        <f t="shared" si="57"/>
        <v>295</v>
      </c>
    </row>
    <row r="353" spans="1:13" x14ac:dyDescent="0.25">
      <c r="A353" s="3">
        <v>347</v>
      </c>
      <c r="B353" s="3" t="s">
        <v>338</v>
      </c>
      <c r="C353" s="3"/>
      <c r="D353" s="3"/>
      <c r="E353" s="3">
        <v>22</v>
      </c>
      <c r="F353" s="3"/>
      <c r="G353" s="3"/>
      <c r="H353" s="3"/>
      <c r="I353" s="3"/>
      <c r="J353" s="3">
        <v>5</v>
      </c>
      <c r="L353" s="3">
        <f t="shared" si="56"/>
        <v>0</v>
      </c>
      <c r="M353" s="3">
        <f t="shared" si="57"/>
        <v>110</v>
      </c>
    </row>
    <row r="354" spans="1:13" x14ac:dyDescent="0.25">
      <c r="A354" s="3">
        <v>348</v>
      </c>
      <c r="B354" s="3" t="s">
        <v>340</v>
      </c>
      <c r="C354" s="3"/>
      <c r="D354" s="3"/>
      <c r="E354" s="3">
        <v>12</v>
      </c>
      <c r="F354" s="3"/>
      <c r="G354" s="3"/>
      <c r="H354" s="3"/>
      <c r="I354" s="3">
        <v>90</v>
      </c>
      <c r="J354" s="3">
        <v>100</v>
      </c>
      <c r="L354" s="3">
        <f t="shared" si="56"/>
        <v>1080</v>
      </c>
      <c r="M354" s="3">
        <f t="shared" si="57"/>
        <v>1200</v>
      </c>
    </row>
    <row r="355" spans="1:13" x14ac:dyDescent="0.25">
      <c r="A355" s="3">
        <v>349</v>
      </c>
      <c r="B355" s="3" t="s">
        <v>341</v>
      </c>
      <c r="C355" s="3"/>
      <c r="D355" s="3">
        <v>1</v>
      </c>
      <c r="E355" s="3">
        <v>11</v>
      </c>
      <c r="F355" s="3"/>
      <c r="G355" s="3"/>
      <c r="H355" s="3"/>
      <c r="I355" s="3"/>
      <c r="J355" s="3">
        <v>2.5</v>
      </c>
      <c r="L355" s="3">
        <f>D355*I355</f>
        <v>0</v>
      </c>
      <c r="M355" s="3">
        <f>D355*J355</f>
        <v>2.5</v>
      </c>
    </row>
    <row r="356" spans="1:13" x14ac:dyDescent="0.25">
      <c r="A356" s="3">
        <v>350</v>
      </c>
      <c r="B356" s="3" t="s">
        <v>342</v>
      </c>
      <c r="C356" s="3"/>
      <c r="D356" s="3">
        <v>1</v>
      </c>
      <c r="E356" s="3">
        <v>26</v>
      </c>
      <c r="F356" s="3"/>
      <c r="G356" s="3"/>
      <c r="H356" s="3"/>
      <c r="I356" s="3">
        <v>500</v>
      </c>
      <c r="J356" s="3">
        <v>2.5</v>
      </c>
      <c r="L356" s="3">
        <f>D356*I356</f>
        <v>500</v>
      </c>
      <c r="M356" s="3">
        <f>D356*J356</f>
        <v>2.5</v>
      </c>
    </row>
    <row r="357" spans="1:13" x14ac:dyDescent="0.25">
      <c r="A357" s="3">
        <v>351</v>
      </c>
      <c r="B357" s="3" t="s">
        <v>343</v>
      </c>
      <c r="C357" s="3"/>
      <c r="D357" s="3"/>
      <c r="E357" s="3"/>
      <c r="F357" s="3"/>
      <c r="G357" s="3">
        <v>33</v>
      </c>
      <c r="H357" s="3"/>
      <c r="I357" s="3">
        <v>1220</v>
      </c>
      <c r="J357" s="3">
        <v>45</v>
      </c>
      <c r="L357" s="3">
        <f>G357*I357</f>
        <v>40260</v>
      </c>
      <c r="M357" s="3">
        <f>G357*J357</f>
        <v>1485</v>
      </c>
    </row>
    <row r="358" spans="1:13" x14ac:dyDescent="0.25">
      <c r="A358" s="3">
        <v>352</v>
      </c>
      <c r="B358" s="3" t="s">
        <v>344</v>
      </c>
      <c r="C358" s="3"/>
      <c r="D358" s="3"/>
      <c r="E358" s="3">
        <f>13+10</f>
        <v>23</v>
      </c>
      <c r="F358" s="3"/>
      <c r="G358" s="3"/>
      <c r="H358" s="3"/>
      <c r="I358" s="3"/>
      <c r="J358" s="3">
        <v>30</v>
      </c>
      <c r="L358" s="3">
        <f>E358*I358</f>
        <v>0</v>
      </c>
      <c r="M358" s="3">
        <f>E358*J358</f>
        <v>690</v>
      </c>
    </row>
    <row r="359" spans="1:13" x14ac:dyDescent="0.25">
      <c r="A359" s="3">
        <v>353</v>
      </c>
      <c r="B359" s="3" t="s">
        <v>345</v>
      </c>
      <c r="C359" s="3"/>
      <c r="D359" s="3"/>
      <c r="E359" s="3">
        <v>3</v>
      </c>
      <c r="F359" s="3"/>
      <c r="G359" s="3"/>
      <c r="H359" s="3"/>
      <c r="I359" s="3"/>
      <c r="J359" s="3">
        <v>35</v>
      </c>
      <c r="L359" s="3">
        <f t="shared" ref="L359:L372" si="58">E359*I359</f>
        <v>0</v>
      </c>
      <c r="M359" s="3">
        <f t="shared" ref="M359:M372" si="59">E359*J359</f>
        <v>105</v>
      </c>
    </row>
    <row r="360" spans="1:13" x14ac:dyDescent="0.25">
      <c r="A360" s="3">
        <v>354</v>
      </c>
      <c r="B360" s="3" t="s">
        <v>346</v>
      </c>
      <c r="C360" s="3"/>
      <c r="D360" s="3"/>
      <c r="E360" s="3"/>
      <c r="F360" s="3"/>
      <c r="G360" s="3"/>
      <c r="H360" s="3"/>
      <c r="I360" s="3">
        <v>450</v>
      </c>
      <c r="J360" s="3">
        <v>625</v>
      </c>
      <c r="L360" s="3">
        <f t="shared" si="58"/>
        <v>0</v>
      </c>
      <c r="M360" s="3">
        <f t="shared" si="59"/>
        <v>0</v>
      </c>
    </row>
    <row r="361" spans="1:13" x14ac:dyDescent="0.25">
      <c r="A361" s="3">
        <v>355</v>
      </c>
      <c r="B361" s="3" t="s">
        <v>347</v>
      </c>
      <c r="C361" s="3"/>
      <c r="D361" s="3"/>
      <c r="E361" s="3">
        <v>3</v>
      </c>
      <c r="F361" s="3"/>
      <c r="G361" s="3"/>
      <c r="H361" s="3"/>
      <c r="I361" s="3">
        <v>450</v>
      </c>
      <c r="J361" s="3">
        <v>625</v>
      </c>
      <c r="L361" s="3">
        <f t="shared" si="58"/>
        <v>1350</v>
      </c>
      <c r="M361" s="3">
        <f t="shared" si="59"/>
        <v>1875</v>
      </c>
    </row>
    <row r="362" spans="1:13" x14ac:dyDescent="0.25">
      <c r="A362" s="3">
        <v>356</v>
      </c>
      <c r="B362" s="3" t="s">
        <v>348</v>
      </c>
      <c r="C362" s="3"/>
      <c r="D362" s="3"/>
      <c r="E362" s="3">
        <v>1</v>
      </c>
      <c r="F362" s="3"/>
      <c r="G362" s="3"/>
      <c r="H362" s="3"/>
      <c r="I362" s="3">
        <v>450</v>
      </c>
      <c r="J362" s="3">
        <v>625</v>
      </c>
      <c r="L362" s="3">
        <f t="shared" si="58"/>
        <v>450</v>
      </c>
      <c r="M362" s="3">
        <f t="shared" si="59"/>
        <v>625</v>
      </c>
    </row>
    <row r="363" spans="1:13" x14ac:dyDescent="0.25">
      <c r="A363" s="3">
        <v>357</v>
      </c>
      <c r="B363" s="3"/>
      <c r="C363" s="3"/>
      <c r="D363" s="3"/>
      <c r="E363" s="3"/>
      <c r="F363" s="3"/>
      <c r="G363" s="3"/>
      <c r="H363" s="3"/>
      <c r="I363" s="3"/>
      <c r="J363" s="3"/>
      <c r="L363" s="3">
        <f t="shared" si="58"/>
        <v>0</v>
      </c>
      <c r="M363" s="3">
        <f t="shared" si="59"/>
        <v>0</v>
      </c>
    </row>
    <row r="364" spans="1:13" x14ac:dyDescent="0.25">
      <c r="A364" s="3">
        <v>358</v>
      </c>
      <c r="B364" s="3" t="s">
        <v>349</v>
      </c>
      <c r="C364" s="3"/>
      <c r="D364" s="3"/>
      <c r="E364" s="3">
        <v>3</v>
      </c>
      <c r="F364" s="3"/>
      <c r="G364" s="3"/>
      <c r="H364" s="3"/>
      <c r="I364" s="3">
        <v>39</v>
      </c>
      <c r="J364" s="3">
        <v>60</v>
      </c>
      <c r="L364" s="3">
        <f t="shared" si="58"/>
        <v>117</v>
      </c>
      <c r="M364" s="3">
        <f t="shared" si="59"/>
        <v>180</v>
      </c>
    </row>
    <row r="365" spans="1:13" x14ac:dyDescent="0.25">
      <c r="A365" s="3">
        <v>359</v>
      </c>
      <c r="B365" s="3" t="s">
        <v>350</v>
      </c>
      <c r="C365" s="3"/>
      <c r="D365" s="3"/>
      <c r="E365" s="3">
        <v>6</v>
      </c>
      <c r="F365" s="3"/>
      <c r="G365" s="3"/>
      <c r="H365" s="3"/>
      <c r="I365" s="3"/>
      <c r="J365" s="3">
        <v>30</v>
      </c>
      <c r="L365" s="3">
        <f t="shared" si="58"/>
        <v>0</v>
      </c>
      <c r="M365" s="3">
        <f t="shared" si="59"/>
        <v>180</v>
      </c>
    </row>
    <row r="366" spans="1:13" x14ac:dyDescent="0.25">
      <c r="A366" s="3">
        <v>360</v>
      </c>
      <c r="B366" s="3" t="s">
        <v>351</v>
      </c>
      <c r="C366" s="3"/>
      <c r="D366" s="3"/>
      <c r="E366" s="3">
        <v>27</v>
      </c>
      <c r="F366" s="3"/>
      <c r="G366" s="3"/>
      <c r="H366" s="3"/>
      <c r="I366" s="3"/>
      <c r="J366" s="3">
        <v>10</v>
      </c>
      <c r="L366" s="3">
        <f t="shared" si="58"/>
        <v>0</v>
      </c>
      <c r="M366" s="3">
        <f t="shared" si="59"/>
        <v>270</v>
      </c>
    </row>
    <row r="367" spans="1:13" x14ac:dyDescent="0.25">
      <c r="A367" s="3">
        <v>361</v>
      </c>
      <c r="B367" s="3" t="s">
        <v>352</v>
      </c>
      <c r="C367" s="3"/>
      <c r="D367" s="3"/>
      <c r="E367" s="3">
        <v>11</v>
      </c>
      <c r="F367" s="3"/>
      <c r="G367" s="3"/>
      <c r="H367" s="3"/>
      <c r="I367" s="3">
        <v>68</v>
      </c>
      <c r="J367" s="3">
        <v>75</v>
      </c>
      <c r="L367" s="3">
        <f t="shared" si="58"/>
        <v>748</v>
      </c>
      <c r="M367" s="3">
        <f t="shared" si="59"/>
        <v>825</v>
      </c>
    </row>
    <row r="368" spans="1:13" x14ac:dyDescent="0.25">
      <c r="A368" s="3">
        <v>362</v>
      </c>
      <c r="B368" s="3" t="s">
        <v>353</v>
      </c>
      <c r="C368" s="3"/>
      <c r="D368" s="3"/>
      <c r="E368" s="3">
        <v>13</v>
      </c>
      <c r="F368" s="3"/>
      <c r="G368" s="3"/>
      <c r="H368" s="3"/>
      <c r="I368" s="3">
        <v>133</v>
      </c>
      <c r="J368" s="3">
        <v>45</v>
      </c>
      <c r="L368" s="3">
        <f t="shared" si="58"/>
        <v>1729</v>
      </c>
      <c r="M368" s="3">
        <f t="shared" si="59"/>
        <v>585</v>
      </c>
    </row>
    <row r="369" spans="1:13" x14ac:dyDescent="0.25">
      <c r="A369" s="3">
        <v>363</v>
      </c>
      <c r="B369" s="3" t="s">
        <v>354</v>
      </c>
      <c r="C369" s="3"/>
      <c r="D369" s="3"/>
      <c r="E369" s="3">
        <v>2</v>
      </c>
      <c r="F369" s="3"/>
      <c r="G369" s="3"/>
      <c r="H369" s="3"/>
      <c r="I369" s="3">
        <v>68</v>
      </c>
      <c r="J369" s="3">
        <v>85</v>
      </c>
      <c r="L369" s="3">
        <f t="shared" si="58"/>
        <v>136</v>
      </c>
      <c r="M369" s="3">
        <f t="shared" si="59"/>
        <v>170</v>
      </c>
    </row>
    <row r="370" spans="1:13" x14ac:dyDescent="0.25">
      <c r="A370" s="4">
        <v>364</v>
      </c>
      <c r="B370" s="3" t="s">
        <v>355</v>
      </c>
      <c r="C370" s="3"/>
      <c r="D370" s="3"/>
      <c r="E370" s="3">
        <v>9</v>
      </c>
      <c r="F370" s="3"/>
      <c r="G370" s="3"/>
      <c r="H370" s="3"/>
      <c r="I370" s="3">
        <v>35</v>
      </c>
      <c r="J370" s="3">
        <v>45</v>
      </c>
      <c r="L370" s="3">
        <f t="shared" si="58"/>
        <v>315</v>
      </c>
      <c r="M370" s="3">
        <f t="shared" si="59"/>
        <v>405</v>
      </c>
    </row>
    <row r="371" spans="1:13" x14ac:dyDescent="0.25">
      <c r="A371" s="3">
        <v>365</v>
      </c>
      <c r="B371" s="3" t="s">
        <v>356</v>
      </c>
      <c r="C371" s="3"/>
      <c r="D371" s="3"/>
      <c r="E371" s="3">
        <v>2</v>
      </c>
      <c r="F371" s="3"/>
      <c r="G371" s="3"/>
      <c r="H371" s="3"/>
      <c r="I371" s="3"/>
      <c r="J371" s="3">
        <v>50</v>
      </c>
      <c r="L371" s="3">
        <f t="shared" si="58"/>
        <v>0</v>
      </c>
      <c r="M371" s="3">
        <f t="shared" si="59"/>
        <v>100</v>
      </c>
    </row>
    <row r="372" spans="1:13" x14ac:dyDescent="0.25">
      <c r="A372" s="3">
        <v>366</v>
      </c>
      <c r="B372" s="3" t="s">
        <v>357</v>
      </c>
      <c r="C372" s="3"/>
      <c r="D372" s="3"/>
      <c r="E372" s="3">
        <v>12</v>
      </c>
      <c r="F372" s="3"/>
      <c r="G372" s="3"/>
      <c r="H372" s="3"/>
      <c r="I372" s="3"/>
      <c r="J372" s="3">
        <v>200</v>
      </c>
      <c r="L372" s="3">
        <f t="shared" si="58"/>
        <v>0</v>
      </c>
      <c r="M372" s="3">
        <f t="shared" si="59"/>
        <v>2400</v>
      </c>
    </row>
    <row r="373" spans="1:13" x14ac:dyDescent="0.25">
      <c r="A373" s="3">
        <v>367</v>
      </c>
      <c r="B373" s="3" t="s">
        <v>358</v>
      </c>
      <c r="C373" s="3"/>
      <c r="D373" s="3"/>
      <c r="E373" s="3"/>
      <c r="F373" s="3">
        <v>36</v>
      </c>
      <c r="G373" s="3"/>
      <c r="H373" s="3"/>
      <c r="I373" s="3"/>
      <c r="J373" s="3">
        <v>30</v>
      </c>
      <c r="L373" s="3">
        <f>F373*I373</f>
        <v>0</v>
      </c>
      <c r="M373" s="3">
        <f>F373*J373</f>
        <v>1080</v>
      </c>
    </row>
    <row r="374" spans="1:13" x14ac:dyDescent="0.25">
      <c r="A374" s="3">
        <v>368</v>
      </c>
      <c r="B374" s="3" t="s">
        <v>359</v>
      </c>
      <c r="C374" s="3"/>
      <c r="D374" s="3"/>
      <c r="E374" s="3"/>
      <c r="F374" s="3">
        <f>18+2</f>
        <v>20</v>
      </c>
      <c r="G374" s="3"/>
      <c r="H374" s="3"/>
      <c r="I374" s="3"/>
      <c r="J374" s="3">
        <v>50</v>
      </c>
      <c r="L374" s="3">
        <f>F374*I374</f>
        <v>0</v>
      </c>
      <c r="M374" s="3">
        <f>F374*J374</f>
        <v>1000</v>
      </c>
    </row>
    <row r="375" spans="1:13" x14ac:dyDescent="0.25">
      <c r="A375" s="3">
        <v>369</v>
      </c>
      <c r="B375" s="3" t="s">
        <v>360</v>
      </c>
      <c r="C375" s="3"/>
      <c r="D375" s="3"/>
      <c r="E375" s="3">
        <f>7+2+4</f>
        <v>13</v>
      </c>
      <c r="F375" s="3"/>
      <c r="G375" s="3"/>
      <c r="H375" s="3"/>
      <c r="I375" s="3">
        <v>30</v>
      </c>
      <c r="J375" s="3">
        <v>45</v>
      </c>
      <c r="L375" s="3">
        <f t="shared" ref="L375" si="60">E375*I375</f>
        <v>390</v>
      </c>
      <c r="M375" s="3">
        <f t="shared" ref="M375" si="61">E375*J375</f>
        <v>585</v>
      </c>
    </row>
    <row r="376" spans="1:13" x14ac:dyDescent="0.25">
      <c r="A376" s="3">
        <v>370</v>
      </c>
      <c r="B376" s="3" t="s">
        <v>361</v>
      </c>
      <c r="C376" s="3"/>
      <c r="D376" s="3"/>
      <c r="E376" s="3">
        <v>4</v>
      </c>
      <c r="F376" s="3"/>
      <c r="G376" s="3"/>
      <c r="H376" s="3"/>
      <c r="I376" s="3"/>
      <c r="J376" s="3">
        <v>200</v>
      </c>
      <c r="L376" s="3">
        <f t="shared" ref="L376:L403" si="62">E376*I376</f>
        <v>0</v>
      </c>
      <c r="M376" s="3">
        <f t="shared" ref="M376:M403" si="63">E376*J376</f>
        <v>800</v>
      </c>
    </row>
    <row r="377" spans="1:13" x14ac:dyDescent="0.25">
      <c r="A377" s="3">
        <v>371</v>
      </c>
      <c r="B377" s="3" t="s">
        <v>362</v>
      </c>
      <c r="C377" s="3"/>
      <c r="D377" s="3"/>
      <c r="E377" s="3">
        <v>1</v>
      </c>
      <c r="F377" s="3"/>
      <c r="G377" s="3"/>
      <c r="H377" s="3"/>
      <c r="I377" s="3"/>
      <c r="J377" s="3"/>
      <c r="L377" s="3">
        <f t="shared" si="62"/>
        <v>0</v>
      </c>
      <c r="M377" s="3">
        <f t="shared" si="63"/>
        <v>0</v>
      </c>
    </row>
    <row r="378" spans="1:13" x14ac:dyDescent="0.25">
      <c r="A378" s="3">
        <v>372</v>
      </c>
      <c r="B378" s="3" t="s">
        <v>363</v>
      </c>
      <c r="C378" s="3"/>
      <c r="D378" s="3"/>
      <c r="E378" s="3">
        <v>3</v>
      </c>
      <c r="F378" s="3"/>
      <c r="G378" s="3"/>
      <c r="H378" s="3"/>
      <c r="I378" s="3"/>
      <c r="J378" s="3">
        <v>100</v>
      </c>
      <c r="L378" s="3">
        <f t="shared" si="62"/>
        <v>0</v>
      </c>
      <c r="M378" s="3">
        <f t="shared" si="63"/>
        <v>300</v>
      </c>
    </row>
    <row r="379" spans="1:13" x14ac:dyDescent="0.25">
      <c r="A379" s="3">
        <v>373</v>
      </c>
      <c r="B379" s="3" t="s">
        <v>364</v>
      </c>
      <c r="C379" s="3"/>
      <c r="D379" s="3"/>
      <c r="E379" s="3">
        <v>1</v>
      </c>
      <c r="F379" s="3"/>
      <c r="G379" s="3"/>
      <c r="H379" s="3"/>
      <c r="I379" s="3"/>
      <c r="J379" s="3">
        <v>600</v>
      </c>
      <c r="L379" s="3">
        <f t="shared" si="62"/>
        <v>0</v>
      </c>
      <c r="M379" s="3">
        <f t="shared" si="63"/>
        <v>600</v>
      </c>
    </row>
    <row r="380" spans="1:13" x14ac:dyDescent="0.25">
      <c r="A380" s="3">
        <v>374</v>
      </c>
      <c r="B380" s="3" t="s">
        <v>365</v>
      </c>
      <c r="C380" s="3"/>
      <c r="D380" s="3"/>
      <c r="E380" s="3">
        <v>24</v>
      </c>
      <c r="F380" s="3"/>
      <c r="G380" s="3"/>
      <c r="H380" s="3"/>
      <c r="I380" s="3"/>
      <c r="J380" s="3"/>
      <c r="L380" s="3">
        <f t="shared" si="62"/>
        <v>0</v>
      </c>
      <c r="M380" s="3">
        <f t="shared" si="63"/>
        <v>0</v>
      </c>
    </row>
    <row r="381" spans="1:13" x14ac:dyDescent="0.25">
      <c r="A381" s="3">
        <v>375</v>
      </c>
      <c r="B381" s="3" t="s">
        <v>366</v>
      </c>
      <c r="C381" s="3"/>
      <c r="D381" s="3"/>
      <c r="E381" s="3">
        <v>4</v>
      </c>
      <c r="F381" s="3"/>
      <c r="G381" s="3"/>
      <c r="H381" s="3"/>
      <c r="I381" s="3"/>
      <c r="J381" s="3">
        <v>40</v>
      </c>
      <c r="L381" s="3">
        <f t="shared" si="62"/>
        <v>0</v>
      </c>
      <c r="M381" s="3">
        <f t="shared" si="63"/>
        <v>160</v>
      </c>
    </row>
    <row r="382" spans="1:13" x14ac:dyDescent="0.25">
      <c r="A382" s="3">
        <v>376</v>
      </c>
      <c r="B382" s="3" t="s">
        <v>367</v>
      </c>
      <c r="C382" s="3"/>
      <c r="D382" s="3"/>
      <c r="E382" s="3">
        <v>2</v>
      </c>
      <c r="F382" s="3"/>
      <c r="G382" s="3"/>
      <c r="H382" s="3"/>
      <c r="I382" s="3"/>
      <c r="J382" s="3">
        <v>60</v>
      </c>
      <c r="L382" s="3">
        <f t="shared" si="62"/>
        <v>0</v>
      </c>
      <c r="M382" s="3">
        <f t="shared" si="63"/>
        <v>120</v>
      </c>
    </row>
    <row r="383" spans="1:13" x14ac:dyDescent="0.25">
      <c r="A383" s="3">
        <v>377</v>
      </c>
      <c r="B383" s="3" t="s">
        <v>368</v>
      </c>
      <c r="C383" s="3"/>
      <c r="D383" s="3"/>
      <c r="E383" s="3">
        <v>4</v>
      </c>
      <c r="F383" s="3"/>
      <c r="G383" s="3"/>
      <c r="H383" s="3"/>
      <c r="I383" s="3"/>
      <c r="J383" s="3">
        <v>80</v>
      </c>
      <c r="L383" s="3">
        <f t="shared" si="62"/>
        <v>0</v>
      </c>
      <c r="M383" s="3">
        <f t="shared" si="63"/>
        <v>320</v>
      </c>
    </row>
    <row r="384" spans="1:13" x14ac:dyDescent="0.25">
      <c r="A384" s="3">
        <v>378</v>
      </c>
      <c r="B384" s="3" t="s">
        <v>369</v>
      </c>
      <c r="C384" s="3"/>
      <c r="D384" s="3"/>
      <c r="E384" s="3">
        <v>10</v>
      </c>
      <c r="F384" s="3"/>
      <c r="G384" s="3"/>
      <c r="H384" s="3"/>
      <c r="I384" s="3"/>
      <c r="J384" s="3"/>
      <c r="L384" s="3">
        <f t="shared" si="62"/>
        <v>0</v>
      </c>
      <c r="M384" s="3">
        <f t="shared" si="63"/>
        <v>0</v>
      </c>
    </row>
    <row r="385" spans="1:13" x14ac:dyDescent="0.25">
      <c r="A385" s="3">
        <v>379</v>
      </c>
      <c r="B385" s="3" t="s">
        <v>370</v>
      </c>
      <c r="C385" s="3"/>
      <c r="D385" s="3"/>
      <c r="E385" s="3">
        <v>25</v>
      </c>
      <c r="F385" s="3"/>
      <c r="G385" s="3"/>
      <c r="H385" s="3"/>
      <c r="I385" s="3"/>
      <c r="J385" s="3">
        <v>10</v>
      </c>
      <c r="L385" s="3">
        <f t="shared" si="62"/>
        <v>0</v>
      </c>
      <c r="M385" s="3">
        <f t="shared" si="63"/>
        <v>250</v>
      </c>
    </row>
    <row r="386" spans="1:13" x14ac:dyDescent="0.25">
      <c r="A386" s="3">
        <v>380</v>
      </c>
      <c r="B386" s="3" t="s">
        <v>371</v>
      </c>
      <c r="C386" s="3"/>
      <c r="D386" s="3"/>
      <c r="E386" s="3">
        <v>4</v>
      </c>
      <c r="F386" s="3"/>
      <c r="G386" s="3"/>
      <c r="H386" s="3"/>
      <c r="I386" s="3">
        <v>90</v>
      </c>
      <c r="J386" s="3">
        <v>110</v>
      </c>
      <c r="L386" s="3">
        <f t="shared" si="62"/>
        <v>360</v>
      </c>
      <c r="M386" s="3">
        <f t="shared" si="63"/>
        <v>440</v>
      </c>
    </row>
    <row r="387" spans="1:13" x14ac:dyDescent="0.25">
      <c r="A387" s="3">
        <v>381</v>
      </c>
      <c r="B387" s="3" t="s">
        <v>372</v>
      </c>
      <c r="C387" s="3"/>
      <c r="D387" s="3"/>
      <c r="E387" s="3">
        <v>2</v>
      </c>
      <c r="F387" s="3"/>
      <c r="G387" s="3"/>
      <c r="H387" s="3"/>
      <c r="I387" s="3"/>
      <c r="J387" s="3">
        <v>99</v>
      </c>
      <c r="L387" s="3">
        <f t="shared" si="62"/>
        <v>0</v>
      </c>
      <c r="M387" s="3">
        <f t="shared" si="63"/>
        <v>198</v>
      </c>
    </row>
    <row r="388" spans="1:13" x14ac:dyDescent="0.25">
      <c r="A388" s="3">
        <v>382</v>
      </c>
      <c r="B388" s="3" t="s">
        <v>373</v>
      </c>
      <c r="C388" s="3"/>
      <c r="D388" s="3"/>
      <c r="E388" s="3">
        <v>4</v>
      </c>
      <c r="F388" s="3"/>
      <c r="G388" s="3"/>
      <c r="H388" s="3"/>
      <c r="I388" s="3"/>
      <c r="J388" s="3">
        <v>65</v>
      </c>
      <c r="L388" s="3">
        <f t="shared" si="62"/>
        <v>0</v>
      </c>
      <c r="M388" s="3">
        <f t="shared" si="63"/>
        <v>260</v>
      </c>
    </row>
    <row r="389" spans="1:13" x14ac:dyDescent="0.25">
      <c r="A389" s="3">
        <v>383</v>
      </c>
      <c r="B389" s="3" t="s">
        <v>374</v>
      </c>
      <c r="C389" s="3"/>
      <c r="D389" s="3"/>
      <c r="E389" s="3">
        <v>1</v>
      </c>
      <c r="F389" s="3"/>
      <c r="G389" s="3"/>
      <c r="H389" s="3"/>
      <c r="I389" s="3">
        <v>70</v>
      </c>
      <c r="J389" s="3">
        <v>100</v>
      </c>
      <c r="L389" s="3">
        <f t="shared" si="62"/>
        <v>70</v>
      </c>
      <c r="M389" s="3">
        <f t="shared" si="63"/>
        <v>100</v>
      </c>
    </row>
    <row r="390" spans="1:13" x14ac:dyDescent="0.25">
      <c r="A390" s="3">
        <v>384</v>
      </c>
      <c r="B390" s="3" t="s">
        <v>375</v>
      </c>
      <c r="C390" s="3"/>
      <c r="D390" s="3"/>
      <c r="E390" s="3">
        <v>1</v>
      </c>
      <c r="F390" s="3"/>
      <c r="G390" s="3"/>
      <c r="H390" s="3"/>
      <c r="I390" s="3">
        <v>57</v>
      </c>
      <c r="J390" s="3">
        <v>100</v>
      </c>
      <c r="L390" s="3">
        <f t="shared" si="62"/>
        <v>57</v>
      </c>
      <c r="M390" s="3">
        <f t="shared" si="63"/>
        <v>100</v>
      </c>
    </row>
    <row r="391" spans="1:13" x14ac:dyDescent="0.25">
      <c r="A391" s="3">
        <v>385</v>
      </c>
      <c r="B391" s="3" t="s">
        <v>376</v>
      </c>
      <c r="C391" s="3"/>
      <c r="D391" s="3"/>
      <c r="E391" s="3">
        <v>2</v>
      </c>
      <c r="F391" s="3"/>
      <c r="G391" s="3"/>
      <c r="H391" s="3"/>
      <c r="I391" s="3">
        <v>57</v>
      </c>
      <c r="J391" s="3">
        <v>110</v>
      </c>
      <c r="L391" s="3">
        <f t="shared" si="62"/>
        <v>114</v>
      </c>
      <c r="M391" s="3">
        <f t="shared" si="63"/>
        <v>220</v>
      </c>
    </row>
    <row r="392" spans="1:13" x14ac:dyDescent="0.25">
      <c r="A392" s="3">
        <v>386</v>
      </c>
      <c r="B392" s="3" t="s">
        <v>377</v>
      </c>
      <c r="C392" s="3"/>
      <c r="D392" s="3"/>
      <c r="E392" s="3">
        <v>12</v>
      </c>
      <c r="F392" s="3"/>
      <c r="G392" s="3"/>
      <c r="H392" s="3"/>
      <c r="I392" s="3">
        <v>57</v>
      </c>
      <c r="J392" s="3">
        <v>80</v>
      </c>
      <c r="L392" s="3">
        <f t="shared" si="62"/>
        <v>684</v>
      </c>
      <c r="M392" s="3">
        <f t="shared" si="63"/>
        <v>960</v>
      </c>
    </row>
    <row r="393" spans="1:13" x14ac:dyDescent="0.25">
      <c r="A393" s="3">
        <v>387</v>
      </c>
      <c r="B393" s="3" t="s">
        <v>378</v>
      </c>
      <c r="C393" s="3"/>
      <c r="D393" s="3"/>
      <c r="E393" s="3">
        <v>2</v>
      </c>
      <c r="F393" s="3"/>
      <c r="G393" s="3"/>
      <c r="H393" s="3"/>
      <c r="I393" s="3">
        <v>63</v>
      </c>
      <c r="J393" s="3">
        <v>135</v>
      </c>
      <c r="L393" s="3">
        <f t="shared" si="62"/>
        <v>126</v>
      </c>
      <c r="M393" s="3">
        <f t="shared" si="63"/>
        <v>270</v>
      </c>
    </row>
    <row r="394" spans="1:13" x14ac:dyDescent="0.25">
      <c r="A394" s="3">
        <v>388</v>
      </c>
      <c r="B394" s="3" t="s">
        <v>379</v>
      </c>
      <c r="C394" s="3"/>
      <c r="D394" s="3"/>
      <c r="E394" s="3"/>
      <c r="F394" s="3"/>
      <c r="G394" s="3"/>
      <c r="H394" s="3"/>
      <c r="I394" s="3">
        <v>783</v>
      </c>
      <c r="J394" s="3">
        <v>1100</v>
      </c>
      <c r="L394" s="3">
        <f t="shared" si="62"/>
        <v>0</v>
      </c>
      <c r="M394" s="3">
        <f t="shared" si="63"/>
        <v>0</v>
      </c>
    </row>
    <row r="395" spans="1:13" x14ac:dyDescent="0.25">
      <c r="A395" s="3">
        <v>389</v>
      </c>
      <c r="B395" s="3" t="s">
        <v>380</v>
      </c>
      <c r="C395" s="3"/>
      <c r="D395" s="3"/>
      <c r="E395" s="3">
        <v>2</v>
      </c>
      <c r="F395" s="3"/>
      <c r="G395" s="3"/>
      <c r="H395" s="3"/>
      <c r="I395" s="3">
        <v>783</v>
      </c>
      <c r="J395" s="3">
        <v>1100</v>
      </c>
      <c r="L395" s="3">
        <f t="shared" si="62"/>
        <v>1566</v>
      </c>
      <c r="M395" s="3">
        <f t="shared" si="63"/>
        <v>2200</v>
      </c>
    </row>
    <row r="396" spans="1:13" x14ac:dyDescent="0.25">
      <c r="A396" s="3">
        <v>390</v>
      </c>
      <c r="B396" s="3" t="s">
        <v>381</v>
      </c>
      <c r="C396" s="3"/>
      <c r="D396" s="3"/>
      <c r="E396" s="3">
        <v>1</v>
      </c>
      <c r="F396" s="3"/>
      <c r="G396" s="3"/>
      <c r="H396" s="3"/>
      <c r="I396" s="3">
        <v>783</v>
      </c>
      <c r="J396" s="3">
        <v>1100</v>
      </c>
      <c r="L396" s="3">
        <f t="shared" si="62"/>
        <v>783</v>
      </c>
      <c r="M396" s="3">
        <f t="shared" si="63"/>
        <v>1100</v>
      </c>
    </row>
    <row r="397" spans="1:13" x14ac:dyDescent="0.25">
      <c r="A397" s="3"/>
      <c r="B397" s="3" t="s">
        <v>382</v>
      </c>
      <c r="C397" s="3"/>
      <c r="D397" s="3"/>
      <c r="E397" s="3">
        <v>1</v>
      </c>
      <c r="F397" s="3"/>
      <c r="G397" s="3"/>
      <c r="H397" s="3"/>
      <c r="I397" s="3">
        <v>747</v>
      </c>
      <c r="J397" s="3">
        <v>1050</v>
      </c>
      <c r="L397" s="3">
        <f t="shared" si="62"/>
        <v>747</v>
      </c>
      <c r="M397" s="3">
        <f t="shared" si="63"/>
        <v>1050</v>
      </c>
    </row>
    <row r="398" spans="1:13" x14ac:dyDescent="0.25">
      <c r="A398" s="3">
        <v>391</v>
      </c>
      <c r="B398" s="3" t="s">
        <v>383</v>
      </c>
      <c r="C398" s="3"/>
      <c r="D398" s="3"/>
      <c r="E398" s="3">
        <v>5</v>
      </c>
      <c r="F398" s="3"/>
      <c r="G398" s="3"/>
      <c r="H398" s="3"/>
      <c r="I398" s="3"/>
      <c r="J398" s="3">
        <v>99</v>
      </c>
      <c r="L398" s="3">
        <f t="shared" si="62"/>
        <v>0</v>
      </c>
      <c r="M398" s="3">
        <f t="shared" si="63"/>
        <v>495</v>
      </c>
    </row>
    <row r="399" spans="1:13" x14ac:dyDescent="0.25">
      <c r="A399" s="3">
        <v>392</v>
      </c>
      <c r="B399" s="3" t="s">
        <v>384</v>
      </c>
      <c r="C399" s="3"/>
      <c r="D399" s="3"/>
      <c r="E399" s="3">
        <v>2</v>
      </c>
      <c r="F399" s="3"/>
      <c r="G399" s="3"/>
      <c r="H399" s="3"/>
      <c r="I399" s="3">
        <v>543</v>
      </c>
      <c r="J399" s="3">
        <v>625</v>
      </c>
      <c r="L399" s="3">
        <f t="shared" si="62"/>
        <v>1086</v>
      </c>
      <c r="M399" s="3">
        <f t="shared" si="63"/>
        <v>1250</v>
      </c>
    </row>
    <row r="400" spans="1:13" x14ac:dyDescent="0.25">
      <c r="A400" s="3">
        <v>393</v>
      </c>
      <c r="B400" s="3" t="s">
        <v>385</v>
      </c>
      <c r="C400" s="3"/>
      <c r="D400" s="3"/>
      <c r="E400" s="3">
        <v>1</v>
      </c>
      <c r="F400" s="3"/>
      <c r="G400" s="3"/>
      <c r="H400" s="3"/>
      <c r="I400" s="3"/>
      <c r="J400" s="3">
        <v>342</v>
      </c>
      <c r="L400" s="3">
        <f t="shared" si="62"/>
        <v>0</v>
      </c>
      <c r="M400" s="3">
        <f t="shared" si="63"/>
        <v>342</v>
      </c>
    </row>
    <row r="401" spans="1:13" x14ac:dyDescent="0.25">
      <c r="A401" s="3">
        <v>394</v>
      </c>
      <c r="B401" s="3" t="s">
        <v>386</v>
      </c>
      <c r="C401" s="3"/>
      <c r="D401" s="3"/>
      <c r="E401" s="3">
        <v>1</v>
      </c>
      <c r="F401" s="3"/>
      <c r="G401" s="3"/>
      <c r="H401" s="3"/>
      <c r="I401" s="3"/>
      <c r="J401" s="3">
        <v>349</v>
      </c>
      <c r="L401" s="3">
        <f t="shared" si="62"/>
        <v>0</v>
      </c>
      <c r="M401" s="3">
        <f t="shared" si="63"/>
        <v>349</v>
      </c>
    </row>
    <row r="402" spans="1:13" x14ac:dyDescent="0.25">
      <c r="A402" s="3">
        <v>396</v>
      </c>
      <c r="B402" s="3" t="s">
        <v>387</v>
      </c>
      <c r="C402" s="3"/>
      <c r="D402" s="3"/>
      <c r="E402" s="3">
        <v>3</v>
      </c>
      <c r="F402" s="3"/>
      <c r="G402" s="3"/>
      <c r="H402" s="3"/>
      <c r="I402" s="3">
        <v>300</v>
      </c>
      <c r="J402" s="3">
        <v>1500</v>
      </c>
      <c r="L402" s="3">
        <f t="shared" si="62"/>
        <v>900</v>
      </c>
      <c r="M402" s="3">
        <f t="shared" si="63"/>
        <v>4500</v>
      </c>
    </row>
    <row r="403" spans="1:13" x14ac:dyDescent="0.25">
      <c r="A403" s="3">
        <v>397</v>
      </c>
      <c r="B403" s="3" t="s">
        <v>388</v>
      </c>
      <c r="C403" s="3"/>
      <c r="D403" s="3"/>
      <c r="E403" s="3">
        <v>1</v>
      </c>
      <c r="F403" s="3"/>
      <c r="G403" s="3"/>
      <c r="H403" s="3"/>
      <c r="I403" s="3">
        <v>109</v>
      </c>
      <c r="J403" s="3">
        <v>79</v>
      </c>
      <c r="L403" s="3">
        <f t="shared" si="62"/>
        <v>109</v>
      </c>
      <c r="M403" s="3">
        <f t="shared" si="63"/>
        <v>79</v>
      </c>
    </row>
    <row r="404" spans="1:13" x14ac:dyDescent="0.25">
      <c r="L404" s="3"/>
      <c r="M404" s="3"/>
    </row>
    <row r="405" spans="1:13" x14ac:dyDescent="0.25">
      <c r="B405" s="8" t="s">
        <v>395</v>
      </c>
      <c r="L405" s="10">
        <f>SUM(L3:L403)</f>
        <v>303697.05999999988</v>
      </c>
      <c r="M405" s="10">
        <f>SUM(M3:M403)</f>
        <v>357269.49000000005</v>
      </c>
    </row>
  </sheetData>
  <mergeCells count="8">
    <mergeCell ref="L1:L2"/>
    <mergeCell ref="M1:M2"/>
    <mergeCell ref="K1:K2"/>
    <mergeCell ref="A1:A2"/>
    <mergeCell ref="B1:B2"/>
    <mergeCell ref="I1:I2"/>
    <mergeCell ref="J1:J2"/>
    <mergeCell ref="C1:H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2026-06-24T09:19:21Z</dcterms:modified>
</cp:coreProperties>
</file>