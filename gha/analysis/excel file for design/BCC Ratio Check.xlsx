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mo\OneDrive\Desktop\New Folder\Summon Personal\Youtube Project\Documents\"/>
    </mc:Choice>
  </mc:AlternateContent>
  <xr:revisionPtr revIDLastSave="0" documentId="13_ncr:1_{BDECDAFD-7809-4980-86B9-5489608FCC78}" xr6:coauthVersionLast="47" xr6:coauthVersionMax="47" xr10:uidLastSave="{00000000-0000-0000-0000-000000000000}"/>
  <bookViews>
    <workbookView xWindow="-110" yWindow="-110" windowWidth="19420" windowHeight="10300" xr2:uid="{1B369795-84DB-8547-9DDC-B2E6DE97CF6F}"/>
  </bookViews>
  <sheets>
    <sheet name="BCC" sheetId="1" r:id="rId1"/>
    <sheet name="Sheet1 (2)" sheetId="2" state="hidden" r:id="rId2"/>
  </sheets>
  <definedNames>
    <definedName name="_xlnm.Print_Area" localSheetId="0">BCC!$A$1:$E$54</definedName>
    <definedName name="_xlnm.Print_Area" localSheetId="1">'Sheet1 (2)'!$A$1:$F$127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18" i="1"/>
  <c r="B17" i="1"/>
  <c r="B16" i="1"/>
  <c r="B15" i="1"/>
  <c r="B49" i="1" l="1"/>
  <c r="D47" i="1"/>
  <c r="B50" i="1" l="1"/>
  <c r="B52" i="1" s="1"/>
  <c r="B51" i="1"/>
  <c r="E18" i="1"/>
  <c r="F24" i="1"/>
  <c r="B13" i="1"/>
  <c r="B14" i="1"/>
  <c r="B45" i="1" s="1"/>
  <c r="B46" i="1" s="1"/>
  <c r="C20" i="1"/>
  <c r="F25" i="1" s="1"/>
  <c r="B30" i="1" l="1"/>
  <c r="B22" i="1" l="1"/>
  <c r="C21" i="1" l="1"/>
  <c r="B21" i="1"/>
  <c r="B31" i="1"/>
  <c r="B32" i="1"/>
  <c r="B33" i="1" s="1"/>
  <c r="C22" i="1"/>
  <c r="B25" i="1" s="1"/>
  <c r="B26" i="1" l="1"/>
  <c r="B24" i="1"/>
  <c r="B27" i="1"/>
  <c r="B28" i="1" s="1"/>
  <c r="B36" i="1"/>
  <c r="B38" i="1" s="1"/>
  <c r="B35" i="1"/>
  <c r="B37" i="1" l="1"/>
  <c r="B41" i="1"/>
  <c r="B42" i="1" s="1"/>
  <c r="B43" i="1" s="1"/>
  <c r="C44" i="1" s="1"/>
  <c r="C53" i="1" s="1"/>
  <c r="B40" i="1"/>
  <c r="C40" i="2" l="1"/>
  <c r="D42" i="2" s="1"/>
  <c r="E17" i="2"/>
  <c r="E29" i="2" s="1"/>
  <c r="F29" i="2" s="1"/>
  <c r="F14" i="2"/>
  <c r="D16" i="2" s="1"/>
  <c r="F13" i="2"/>
  <c r="B37" i="2" s="1"/>
  <c r="B38" i="2" s="1"/>
  <c r="E30" i="2" l="1"/>
  <c r="D33" i="2"/>
  <c r="D15" i="2"/>
  <c r="F18" i="2" s="1"/>
  <c r="C31" i="2" l="1"/>
  <c r="E32" i="2" s="1"/>
  <c r="F21" i="2"/>
  <c r="F22" i="2" s="1"/>
  <c r="F23" i="2" s="1"/>
  <c r="E35" i="2" s="1"/>
  <c r="D45" i="2" l="1"/>
  <c r="C44" i="2"/>
</calcChain>
</file>

<file path=xl/sharedStrings.xml><?xml version="1.0" encoding="utf-8"?>
<sst xmlns="http://schemas.openxmlformats.org/spreadsheetml/2006/main" count="112" uniqueCount="80">
  <si>
    <t>Beam Column Capacity Ratio</t>
  </si>
  <si>
    <t>Beam Size=</t>
  </si>
  <si>
    <t>Column Size=</t>
  </si>
  <si>
    <t>Sagging Moment Capacity</t>
  </si>
  <si>
    <t>Effective depth of beam (d')=355-25-(12/2)=</t>
  </si>
  <si>
    <t>Area of Steel provided in beam (Top/Bottom)=(0.83*230*324)/100=</t>
  </si>
  <si>
    <t>% of steel provided in beam at top =</t>
  </si>
  <si>
    <t>% of steel provided in beam at bottom=</t>
  </si>
  <si>
    <t>Xu= (0.87*fy*Ast*d)/(0.36*fck*b*d)=(0.87*500*618.52)/(0.36*20*230)=</t>
  </si>
  <si>
    <t>=</t>
  </si>
  <si>
    <t>fck=</t>
  </si>
  <si>
    <t>fy=</t>
  </si>
  <si>
    <t>Mu1 (Moment due to balanced section)</t>
  </si>
  <si>
    <t>Mu2 (Moment due to compression member)</t>
  </si>
  <si>
    <t>Hogging Moment Capacity</t>
  </si>
  <si>
    <r>
      <t>Mu1=0.138*fck*b*d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>= 0.138*20*230*324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 =</t>
    </r>
  </si>
  <si>
    <t>Ast1=(66.63*10^6)/(0.87*500*(324-0.42*0.48*324))=</t>
  </si>
  <si>
    <t>Asc = 618.51-592.127</t>
  </si>
  <si>
    <t>Clear Cover=</t>
  </si>
  <si>
    <t>Bar Size used in Beam=</t>
  </si>
  <si>
    <t>Bar Size used in Column=</t>
  </si>
  <si>
    <t>No. of bars in Column=</t>
  </si>
  <si>
    <t>No. of bars in beam=</t>
  </si>
  <si>
    <t>(6 no.s at top and 6 no.s at bottom)</t>
  </si>
  <si>
    <r>
      <t>MB)</t>
    </r>
    <r>
      <rPr>
        <vertAlign val="subscript"/>
        <sz val="12"/>
        <color theme="1"/>
        <rFont val="Calibri (Body)"/>
      </rPr>
      <t>L</t>
    </r>
    <r>
      <rPr>
        <sz val="12"/>
        <color theme="1"/>
        <rFont val="Calibri"/>
        <family val="2"/>
        <scheme val="minor"/>
      </rPr>
      <t>=0.87*fy*Ast*(d-0.42Xu)=0.87*500*618.51*(324-(0.42*162.473) =</t>
    </r>
  </si>
  <si>
    <r>
      <t>% of steel provided in column= (3.14*16</t>
    </r>
    <r>
      <rPr>
        <vertAlign val="superscript"/>
        <sz val="12"/>
        <color theme="1"/>
        <rFont val="Calibri (Body)"/>
      </rPr>
      <t xml:space="preserve">2 </t>
    </r>
    <r>
      <rPr>
        <sz val="12"/>
        <color theme="1"/>
        <rFont val="Calibri"/>
        <family val="2"/>
        <scheme val="minor"/>
      </rPr>
      <t>*8*100)/(4*305*305)=</t>
    </r>
  </si>
  <si>
    <r>
      <t>% of steel provided in beam= (3.14*12</t>
    </r>
    <r>
      <rPr>
        <vertAlign val="superscript"/>
        <sz val="12"/>
        <color theme="1"/>
        <rFont val="Calibri (Body)"/>
      </rPr>
      <t xml:space="preserve">2 </t>
    </r>
    <r>
      <rPr>
        <sz val="12"/>
        <color theme="1"/>
        <rFont val="Calibri"/>
        <family val="2"/>
        <scheme val="minor"/>
      </rPr>
      <t>*12*100)/(4*230*355)=</t>
    </r>
  </si>
  <si>
    <t>Mu2= fsc*Asc*(d-d')=0.87*500*26.31*(324-25)=</t>
  </si>
  <si>
    <r>
      <t>MB)</t>
    </r>
    <r>
      <rPr>
        <vertAlign val="subscript"/>
        <sz val="12"/>
        <color theme="1"/>
        <rFont val="Calibri (Body)"/>
      </rPr>
      <t>R</t>
    </r>
    <r>
      <rPr>
        <sz val="12"/>
        <color theme="1"/>
        <rFont val="Calibri"/>
        <family val="2"/>
        <scheme val="minor"/>
      </rPr>
      <t>= Mu1 + Mu2=66.639+3.422 =</t>
    </r>
  </si>
  <si>
    <r>
      <t>Moment Capacity of beam (M</t>
    </r>
    <r>
      <rPr>
        <b/>
        <vertAlign val="subscript"/>
        <sz val="12"/>
        <color theme="1"/>
        <rFont val="Calibri (Body)"/>
      </rPr>
      <t>B</t>
    </r>
    <r>
      <rPr>
        <b/>
        <sz val="12"/>
        <color theme="1"/>
        <rFont val="Calibri"/>
        <family val="2"/>
        <scheme val="minor"/>
      </rPr>
      <t>)= MB)L + MB)R =</t>
    </r>
  </si>
  <si>
    <t>P%=</t>
  </si>
  <si>
    <t>P/fck=</t>
  </si>
  <si>
    <r>
      <t>Mu/fckbd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>=</t>
    </r>
  </si>
  <si>
    <t>Sp-16 Chart 48</t>
  </si>
  <si>
    <t>Bar Size of Stirrup/Ties</t>
  </si>
  <si>
    <r>
      <t>BCC ratio= Mc/M</t>
    </r>
    <r>
      <rPr>
        <vertAlign val="subscript"/>
        <sz val="12"/>
        <color theme="1"/>
        <rFont val="Calibri (Body)"/>
      </rPr>
      <t>B</t>
    </r>
  </si>
  <si>
    <r>
      <t xml:space="preserve">less than 1. </t>
    </r>
    <r>
      <rPr>
        <b/>
        <sz val="12"/>
        <color theme="1"/>
        <rFont val="Calibri"/>
        <family val="2"/>
        <scheme val="minor"/>
      </rPr>
      <t>OK</t>
    </r>
  </si>
  <si>
    <t>Column Beam Moment Capacity Ratio=</t>
  </si>
  <si>
    <r>
      <t>Mu=0.11*20*305*305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>=</t>
    </r>
  </si>
  <si>
    <t>Moment Capacity of Column (Mc)=2*Mu</t>
  </si>
  <si>
    <t>10</t>
  </si>
  <si>
    <t>Beam Width=</t>
  </si>
  <si>
    <t>Beam Depth=</t>
  </si>
  <si>
    <t xml:space="preserve"> Column Depth=</t>
  </si>
  <si>
    <t>Column width=</t>
  </si>
  <si>
    <t>% of steel provided in column=</t>
  </si>
  <si>
    <t>% of steel provided in beam=</t>
  </si>
  <si>
    <t>No. of rebars in beam (top)=</t>
  </si>
  <si>
    <t>No. of rebars in beam (bottom)=</t>
  </si>
  <si>
    <t>No. of rebars in Column=</t>
  </si>
  <si>
    <t>Diameter of stirrup=</t>
  </si>
  <si>
    <t>Area of Steel provided in beam (Top)=</t>
  </si>
  <si>
    <t>Area of Steel provided in beam (bottom)=</t>
  </si>
  <si>
    <r>
      <t>MB)</t>
    </r>
    <r>
      <rPr>
        <vertAlign val="subscript"/>
        <sz val="11"/>
        <color theme="1"/>
        <rFont val="Times New Roman"/>
        <family val="1"/>
      </rPr>
      <t>L</t>
    </r>
    <r>
      <rPr>
        <sz val="11"/>
        <color theme="1"/>
        <rFont val="Times New Roman"/>
        <family val="1"/>
      </rPr>
      <t>=0.87*fy*Ast*(d-0.42Xu)=</t>
    </r>
  </si>
  <si>
    <t>Mu2 (Moment due to compression member)=</t>
  </si>
  <si>
    <t>Mu1 (Moment due to balanced section)=</t>
  </si>
  <si>
    <t>fsc*Asc*(d-d')</t>
  </si>
  <si>
    <t>Asc =</t>
  </si>
  <si>
    <t>Ast1 =</t>
  </si>
  <si>
    <r>
      <t>MB)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= Mu1 + Mu2=</t>
    </r>
  </si>
  <si>
    <r>
      <t>Moment Capacity of beam (M</t>
    </r>
    <r>
      <rPr>
        <b/>
        <vertAlign val="subscript"/>
        <sz val="12"/>
        <color theme="1"/>
        <rFont val="Times New Roman"/>
        <family val="1"/>
      </rPr>
      <t>B</t>
    </r>
    <r>
      <rPr>
        <b/>
        <sz val="12"/>
        <color theme="1"/>
        <rFont val="Times New Roman"/>
        <family val="1"/>
      </rPr>
      <t>)=</t>
    </r>
  </si>
  <si>
    <r>
      <t>Mu/fckbd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=</t>
    </r>
  </si>
  <si>
    <t>Xu=(0.87*fy*Ast)/(0.36*fck*b)=</t>
  </si>
  <si>
    <t>Mu1/[0.87*fy*{d-(0.42*Xu,lim)}]</t>
  </si>
  <si>
    <t>Effective depth of beam=</t>
  </si>
  <si>
    <t>4</t>
  </si>
  <si>
    <t xml:space="preserve"> Corner bar Size used in Column=</t>
  </si>
  <si>
    <t>Longitudinal rebar in Column=</t>
  </si>
  <si>
    <t>extra (top)=</t>
  </si>
  <si>
    <t>extra (bottom)=</t>
  </si>
  <si>
    <t>Bar Size used in Beam(ext)=</t>
  </si>
  <si>
    <t>MB)L + MB)R      =    =</t>
  </si>
  <si>
    <t>For zero axial force, Pu=</t>
  </si>
  <si>
    <t>eff. cover/effective depth=</t>
  </si>
  <si>
    <t>Moment Capacity of Column (Mc)=</t>
  </si>
  <si>
    <t>fy</t>
  </si>
  <si>
    <r>
      <t>bd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/12</t>
    </r>
  </si>
  <si>
    <t>Mc/MB                 =</t>
  </si>
  <si>
    <r>
      <t xml:space="preserve">greater than 1.2 </t>
    </r>
    <r>
      <rPr>
        <b/>
        <sz val="12"/>
        <color theme="1"/>
        <rFont val="Times New Roman"/>
        <family val="1"/>
      </rPr>
      <t>OK</t>
    </r>
    <r>
      <rPr>
        <sz val="12"/>
        <color theme="1"/>
        <rFont val="Times New Roman"/>
        <family val="1"/>
      </rPr>
      <t xml:space="preserve"> (NBC 105:2020, Clause 4.4.4)</t>
    </r>
  </si>
  <si>
    <t>Mu=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</si>
</sst>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0"/>
    <numFmt numFmtId="165" formatCode="0.000"/>
    <numFmt numFmtId="166" formatCode="0.00\ &quot;%&quot;"/>
    <numFmt numFmtId="167" formatCode="General\ &quot;mm&quot;"/>
    <numFmt numFmtId="168" formatCode="General\ &quot;mmX&quot;"/>
    <numFmt numFmtId="169" formatCode="General\ &quot;mm2&quot;"/>
    <numFmt numFmtId="170" formatCode="0.000\ &quot;KN-m&quot;"/>
    <numFmt numFmtId="171" formatCode="General\ &quot;N-m&quot;"/>
    <numFmt numFmtId="172" formatCode="0.000\ &quot;mm2&quot;"/>
    <numFmt numFmtId="173" formatCode="General\ &quot;N/mm2&quot;"/>
    <numFmt numFmtId="174" formatCode="0.0\ &quot;KN-m&quot;"/>
    <numFmt numFmtId="180" formatCode="0.0\ &quot;N-m&quot;"/>
    <numFmt numFmtId="181" formatCode="0.00\ &quot;mm2&quot;"/>
  </numFmts>
  <fonts count="1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vertAlign val="subscript"/>
      <sz val="12"/>
      <color theme="1"/>
      <name val="Calibri (Body)"/>
    </font>
    <font>
      <u/>
      <sz val="12"/>
      <color theme="1"/>
      <name val="Calibri"/>
      <family val="2"/>
      <scheme val="minor"/>
    </font>
    <font>
      <b/>
      <vertAlign val="subscript"/>
      <sz val="12"/>
      <color theme="1"/>
      <name val="Calibri (Body)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vertAlign val="subscript"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9">
    <xf numFmtId="0" fontId="0" fillId="0" borderId="0" xfId="0"/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/>
    <xf numFmtId="0" fontId="0" fillId="0" borderId="0" xfId="0" applyAlignment="1">
      <alignment horizontal="left"/>
    </xf>
    <xf numFmtId="169" fontId="0" fillId="0" borderId="0" xfId="0" applyNumberFormat="1" applyAlignment="1">
      <alignment horizontal="left"/>
    </xf>
    <xf numFmtId="0" fontId="1" fillId="0" borderId="0" xfId="0" applyFont="1"/>
    <xf numFmtId="16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70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69" fontId="0" fillId="0" borderId="0" xfId="0" applyNumberFormat="1"/>
    <xf numFmtId="173" fontId="0" fillId="0" borderId="0" xfId="0" applyNumberFormat="1"/>
    <xf numFmtId="174" fontId="0" fillId="0" borderId="0" xfId="0" applyNumberFormat="1" applyAlignment="1">
      <alignment horizontal="left"/>
    </xf>
    <xf numFmtId="0" fontId="4" fillId="0" borderId="0" xfId="0" applyFont="1"/>
    <xf numFmtId="170" fontId="1" fillId="0" borderId="0" xfId="0" applyNumberFormat="1" applyFont="1" applyAlignment="1">
      <alignment horizontal="left"/>
    </xf>
    <xf numFmtId="170" fontId="1" fillId="0" borderId="0" xfId="0" applyNumberFormat="1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0" fillId="0" borderId="0" xfId="0" applyFont="1" applyAlignment="1" applyProtection="1">
      <alignment horizontal="right"/>
      <protection locked="0"/>
    </xf>
    <xf numFmtId="167" fontId="10" fillId="2" borderId="0" xfId="0" applyNumberFormat="1" applyFont="1" applyFill="1" applyAlignment="1" applyProtection="1">
      <alignment horizontal="left"/>
      <protection locked="0"/>
    </xf>
    <xf numFmtId="168" fontId="10" fillId="0" borderId="0" xfId="0" applyNumberFormat="1" applyFont="1" applyProtection="1">
      <protection locked="0"/>
    </xf>
    <xf numFmtId="0" fontId="10" fillId="0" borderId="0" xfId="0" applyFont="1" applyProtection="1">
      <protection locked="0"/>
    </xf>
    <xf numFmtId="173" fontId="10" fillId="2" borderId="0" xfId="0" applyNumberFormat="1" applyFont="1" applyFill="1" applyAlignment="1" applyProtection="1">
      <alignment horizontal="left"/>
      <protection locked="0"/>
    </xf>
    <xf numFmtId="167" fontId="10" fillId="0" borderId="0" xfId="0" applyNumberFormat="1" applyFont="1" applyAlignment="1" applyProtection="1">
      <alignment horizontal="left"/>
      <protection locked="0"/>
    </xf>
    <xf numFmtId="49" fontId="10" fillId="2" borderId="0" xfId="0" applyNumberFormat="1" applyFont="1" applyFill="1" applyAlignment="1" applyProtection="1">
      <alignment horizontal="left"/>
      <protection locked="0"/>
    </xf>
    <xf numFmtId="0" fontId="13" fillId="0" borderId="0" xfId="0" applyFont="1" applyAlignment="1" applyProtection="1">
      <alignment horizontal="right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2" borderId="0" xfId="0" applyNumberFormat="1" applyFont="1" applyFill="1" applyAlignment="1" applyProtection="1">
      <alignment horizontal="left"/>
      <protection locked="0"/>
    </xf>
    <xf numFmtId="0" fontId="10" fillId="0" borderId="0" xfId="0" applyFont="1" applyAlignment="1" applyProtection="1">
      <protection locked="0"/>
    </xf>
    <xf numFmtId="166" fontId="10" fillId="0" borderId="0" xfId="0" applyNumberFormat="1" applyFont="1" applyAlignment="1" applyProtection="1">
      <alignment horizontal="left"/>
      <protection locked="0"/>
    </xf>
    <xf numFmtId="10" fontId="10" fillId="0" borderId="0" xfId="1" applyNumberFormat="1" applyFont="1" applyAlignment="1" applyProtection="1">
      <alignment horizontal="left"/>
      <protection locked="0"/>
    </xf>
    <xf numFmtId="181" fontId="10" fillId="0" borderId="0" xfId="0" applyNumberFormat="1" applyFont="1" applyAlignment="1" applyProtection="1">
      <alignment horizontal="left"/>
      <protection locked="0"/>
    </xf>
    <xf numFmtId="169" fontId="10" fillId="0" borderId="0" xfId="0" applyNumberFormat="1" applyFont="1" applyAlignment="1" applyProtection="1">
      <alignment horizontal="left"/>
      <protection locked="0"/>
    </xf>
    <xf numFmtId="170" fontId="10" fillId="0" borderId="0" xfId="0" applyNumberFormat="1" applyFont="1" applyAlignment="1" applyProtection="1">
      <alignment horizontal="left"/>
      <protection locked="0"/>
    </xf>
    <xf numFmtId="0" fontId="10" fillId="0" borderId="0" xfId="0" applyFont="1" applyBorder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8" fillId="2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13" fillId="0" borderId="0" xfId="0" applyFont="1" applyProtection="1"/>
    <xf numFmtId="0" fontId="10" fillId="0" borderId="0" xfId="0" applyFont="1" applyProtection="1"/>
    <xf numFmtId="0" fontId="10" fillId="0" borderId="0" xfId="0" applyFont="1" applyAlignment="1" applyProtection="1">
      <alignment horizontal="right"/>
    </xf>
    <xf numFmtId="0" fontId="7" fillId="0" borderId="0" xfId="0" applyFont="1" applyProtection="1"/>
    <xf numFmtId="167" fontId="10" fillId="0" borderId="0" xfId="0" applyNumberFormat="1" applyFont="1" applyAlignment="1" applyProtection="1">
      <alignment horizontal="left"/>
    </xf>
    <xf numFmtId="180" fontId="10" fillId="0" borderId="0" xfId="0" applyNumberFormat="1" applyFont="1" applyAlignment="1" applyProtection="1">
      <alignment horizontal="left"/>
    </xf>
    <xf numFmtId="170" fontId="11" fillId="3" borderId="0" xfId="0" applyNumberFormat="1" applyFont="1" applyFill="1" applyAlignment="1" applyProtection="1">
      <alignment horizontal="left"/>
    </xf>
    <xf numFmtId="171" fontId="10" fillId="0" borderId="0" xfId="0" applyNumberFormat="1" applyFont="1" applyAlignment="1" applyProtection="1">
      <alignment horizontal="left"/>
    </xf>
    <xf numFmtId="170" fontId="10" fillId="0" borderId="0" xfId="0" applyNumberFormat="1" applyFont="1" applyAlignment="1" applyProtection="1">
      <alignment horizontal="left"/>
    </xf>
    <xf numFmtId="172" fontId="10" fillId="0" borderId="0" xfId="0" applyNumberFormat="1" applyFont="1" applyAlignment="1" applyProtection="1">
      <alignment horizontal="left"/>
    </xf>
    <xf numFmtId="0" fontId="8" fillId="0" borderId="0" xfId="0" applyFont="1" applyAlignment="1" applyProtection="1">
      <alignment horizontal="right"/>
    </xf>
    <xf numFmtId="0" fontId="8" fillId="0" borderId="0" xfId="0" applyFont="1" applyAlignment="1" applyProtection="1">
      <alignment horizontal="left"/>
    </xf>
    <xf numFmtId="0" fontId="8" fillId="0" borderId="0" xfId="0" applyFont="1" applyProtection="1"/>
    <xf numFmtId="170" fontId="8" fillId="0" borderId="0" xfId="0" applyNumberFormat="1" applyFont="1" applyAlignment="1" applyProtection="1">
      <alignment horizontal="left"/>
    </xf>
    <xf numFmtId="0" fontId="7" fillId="0" borderId="0" xfId="0" applyFont="1" applyAlignment="1" applyProtection="1">
      <alignment horizontal="right"/>
    </xf>
    <xf numFmtId="10" fontId="7" fillId="0" borderId="0" xfId="0" applyNumberFormat="1" applyFont="1" applyAlignment="1" applyProtection="1">
      <alignment horizontal="left"/>
    </xf>
    <xf numFmtId="164" fontId="7" fillId="0" borderId="0" xfId="0" applyNumberFormat="1" applyFont="1" applyAlignment="1" applyProtection="1">
      <alignment horizontal="left"/>
    </xf>
    <xf numFmtId="1" fontId="7" fillId="0" borderId="0" xfId="0" applyNumberFormat="1" applyFont="1" applyAlignment="1" applyProtection="1">
      <alignment horizontal="left"/>
    </xf>
    <xf numFmtId="2" fontId="7" fillId="0" borderId="0" xfId="0" applyNumberFormat="1" applyFont="1" applyAlignment="1" applyProtection="1">
      <alignment horizontal="left"/>
    </xf>
    <xf numFmtId="170" fontId="7" fillId="0" borderId="0" xfId="0" applyNumberFormat="1" applyFont="1" applyAlignment="1" applyProtection="1">
      <alignment horizontal="left"/>
    </xf>
    <xf numFmtId="170" fontId="8" fillId="0" borderId="0" xfId="0" applyNumberFormat="1" applyFont="1" applyProtection="1"/>
    <xf numFmtId="170" fontId="10" fillId="3" borderId="0" xfId="0" applyNumberFormat="1" applyFont="1" applyFill="1" applyAlignment="1" applyProtection="1">
      <alignment horizontal="left"/>
    </xf>
    <xf numFmtId="0" fontId="7" fillId="0" borderId="0" xfId="0" applyFont="1" applyAlignment="1" applyProtection="1">
      <alignment horizontal="left"/>
    </xf>
    <xf numFmtId="0" fontId="10" fillId="0" borderId="1" xfId="0" applyFont="1" applyBorder="1" applyProtection="1"/>
    <xf numFmtId="165" fontId="10" fillId="0" borderId="0" xfId="0" applyNumberFormat="1" applyFont="1" applyAlignment="1" applyProtection="1">
      <alignment horizontal="left"/>
    </xf>
  </cellXfs>
  <cellStyles count="2">
    <cellStyle name="Normal" xfId="0" builtinId="0"/>
    <cellStyle name="Percent" xfId="1" builtinId="5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</xdr:colOff>
      <xdr:row>12</xdr:row>
      <xdr:rowOff>213360</xdr:rowOff>
    </xdr:from>
    <xdr:ext cx="1365054" cy="24282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72B887-2305-4193-A98A-41C270287009}"/>
                </a:ext>
              </a:extLst>
            </xdr:cNvPr>
            <xdr:cNvSpPr txBox="1"/>
          </xdr:nvSpPr>
          <xdr:spPr>
            <a:xfrm>
              <a:off x="7162800" y="2590800"/>
              <a:ext cx="1365054" cy="2428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Ast=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l-GR" sz="1100" b="1" i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π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∗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</m:t>
                      </m:r>
                      <m:r>
                        <a:rPr lang="en-US" sz="1100" b="0" i="1" baseline="30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 ∗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𝑛𝑜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.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𝑜𝑓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𝑏𝑎𝑟𝑠</m:t>
                  </m:r>
                </m:oMath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72B887-2305-4193-A98A-41C270287009}"/>
                </a:ext>
              </a:extLst>
            </xdr:cNvPr>
            <xdr:cNvSpPr txBox="1"/>
          </xdr:nvSpPr>
          <xdr:spPr>
            <a:xfrm>
              <a:off x="7162800" y="2590800"/>
              <a:ext cx="1365054" cy="2428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Ast=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l-GR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"π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 ∗𝑑</a:t>
              </a:r>
              <a:r>
                <a:rPr lang="en-US" sz="11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2)/</a:t>
              </a:r>
              <a:r>
                <a:rPr lang="en-US" sz="1100" b="0" i="0">
                  <a:latin typeface="Cambria Math" panose="02040503050406030204" pitchFamily="18" charset="0"/>
                </a:rPr>
                <a:t>4  ∗𝑛𝑜. 𝑜𝑓 𝑏𝑎𝑟𝑠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91440</xdr:colOff>
      <xdr:row>14</xdr:row>
      <xdr:rowOff>147320</xdr:rowOff>
    </xdr:from>
    <xdr:ext cx="394467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5565D30-8A08-459E-B2C7-B8C107526C65}"/>
                </a:ext>
              </a:extLst>
            </xdr:cNvPr>
            <xdr:cNvSpPr txBox="1"/>
          </xdr:nvSpPr>
          <xdr:spPr>
            <a:xfrm>
              <a:off x="7239000" y="2971800"/>
              <a:ext cx="394467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𝐴𝑠𝑡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5565D30-8A08-459E-B2C7-B8C107526C65}"/>
                </a:ext>
              </a:extLst>
            </xdr:cNvPr>
            <xdr:cNvSpPr txBox="1"/>
          </xdr:nvSpPr>
          <xdr:spPr>
            <a:xfrm>
              <a:off x="7239000" y="2971800"/>
              <a:ext cx="394467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𝐴𝑠𝑡/𝑏𝑑%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66040</xdr:colOff>
      <xdr:row>27</xdr:row>
      <xdr:rowOff>66040</xdr:rowOff>
    </xdr:from>
    <xdr:ext cx="2372360" cy="4013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4AECED9-80B1-4FDD-92D9-6DB13683D657}"/>
                </a:ext>
              </a:extLst>
            </xdr:cNvPr>
            <xdr:cNvSpPr txBox="1"/>
          </xdr:nvSpPr>
          <xdr:spPr>
            <a:xfrm>
              <a:off x="6487160" y="5552440"/>
              <a:ext cx="2372360" cy="401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𝑀𝑚𝑎𝑥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𝑊𝑙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</m:t>
                        </m:r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4AECED9-80B1-4FDD-92D9-6DB13683D657}"/>
                </a:ext>
              </a:extLst>
            </xdr:cNvPr>
            <xdr:cNvSpPr txBox="1"/>
          </xdr:nvSpPr>
          <xdr:spPr>
            <a:xfrm>
              <a:off x="6487160" y="5552440"/>
              <a:ext cx="2372360" cy="401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𝑀𝑚𝑎𝑥=𝑊𝑙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2/</a:t>
              </a:r>
              <a:r>
                <a:rPr lang="en-US" sz="1100" b="0" i="0">
                  <a:latin typeface="Cambria Math" panose="02040503050406030204" pitchFamily="18" charset="0"/>
                </a:rPr>
                <a:t>8=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187960</xdr:colOff>
      <xdr:row>9</xdr:row>
      <xdr:rowOff>172720</xdr:rowOff>
    </xdr:from>
    <xdr:ext cx="1071062" cy="2936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935B370-31FC-4F36-83AE-5D9978B80104}"/>
                </a:ext>
              </a:extLst>
            </xdr:cNvPr>
            <xdr:cNvSpPr txBox="1"/>
          </xdr:nvSpPr>
          <xdr:spPr>
            <a:xfrm>
              <a:off x="7335520" y="1955800"/>
              <a:ext cx="1071062" cy="2936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Ast,min=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100" b="1" i="0">
                          <a:latin typeface="Cambria Math" panose="02040503050406030204" pitchFamily="18" charset="0"/>
                        </a:rPr>
                        <m:t>0.85 * </m:t>
                      </m:r>
                      <m:r>
                        <m:rPr>
                          <m:nor/>
                        </m:rPr>
                        <a:rPr lang="en-US" sz="1100" b="1" i="0">
                          <a:latin typeface="Cambria Math" panose="02040503050406030204" pitchFamily="18" charset="0"/>
                        </a:rPr>
                        <m:t>bd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𝑓𝑦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935B370-31FC-4F36-83AE-5D9978B80104}"/>
                </a:ext>
              </a:extLst>
            </xdr:cNvPr>
            <xdr:cNvSpPr txBox="1"/>
          </xdr:nvSpPr>
          <xdr:spPr>
            <a:xfrm>
              <a:off x="7335520" y="1955800"/>
              <a:ext cx="1071062" cy="2936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Ast,min=</a:t>
              </a:r>
              <a:r>
                <a:rPr lang="en-US" sz="1100" b="1" i="0">
                  <a:latin typeface="Cambria Math" panose="02040503050406030204" pitchFamily="18" charset="0"/>
                </a:rPr>
                <a:t>"0.85 * bd" /</a:t>
              </a:r>
              <a:r>
                <a:rPr lang="en-US" sz="1100" b="0" i="0">
                  <a:latin typeface="Cambria Math" panose="02040503050406030204" pitchFamily="18" charset="0"/>
                </a:rPr>
                <a:t>𝑓𝑦  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3372-2001-A94D-BCAA-24D9DD3D6C2B}">
  <dimension ref="A1:G54"/>
  <sheetViews>
    <sheetView tabSelected="1" view="pageBreakPreview" zoomScale="90" zoomScaleNormal="90" zoomScaleSheetLayoutView="90" workbookViewId="0">
      <selection activeCell="C54" sqref="C54"/>
    </sheetView>
  </sheetViews>
  <sheetFormatPr defaultColWidth="11.19921875" defaultRowHeight="15.6"/>
  <cols>
    <col min="1" max="1" width="34" style="22" customWidth="1"/>
    <col min="2" max="2" width="17.09765625" style="22" customWidth="1"/>
    <col min="3" max="3" width="23.59765625" style="22" customWidth="1"/>
    <col min="4" max="5" width="9.5" style="22" customWidth="1"/>
    <col min="6" max="6" width="12" style="22" customWidth="1"/>
    <col min="7" max="16384" width="11.19921875" style="22"/>
  </cols>
  <sheetData>
    <row r="1" spans="1:7">
      <c r="A1" s="21" t="s">
        <v>0</v>
      </c>
    </row>
    <row r="3" spans="1:7">
      <c r="A3" s="23" t="s">
        <v>41</v>
      </c>
      <c r="B3" s="24">
        <v>228.6</v>
      </c>
      <c r="C3" s="23" t="s">
        <v>42</v>
      </c>
      <c r="D3" s="24">
        <v>355.6</v>
      </c>
      <c r="E3" s="25"/>
      <c r="F3" s="26"/>
      <c r="G3" s="26"/>
    </row>
    <row r="4" spans="1:7">
      <c r="A4" s="23" t="s">
        <v>44</v>
      </c>
      <c r="B4" s="24">
        <v>355.6</v>
      </c>
      <c r="C4" s="23" t="s">
        <v>43</v>
      </c>
      <c r="D4" s="24">
        <v>355.6</v>
      </c>
      <c r="E4" s="25"/>
      <c r="F4" s="26"/>
      <c r="G4" s="26"/>
    </row>
    <row r="5" spans="1:7">
      <c r="A5" s="23" t="s">
        <v>10</v>
      </c>
      <c r="B5" s="27">
        <v>20</v>
      </c>
      <c r="C5" s="23" t="s">
        <v>11</v>
      </c>
      <c r="D5" s="27">
        <v>500</v>
      </c>
      <c r="E5" s="26"/>
      <c r="F5" s="26"/>
      <c r="G5" s="26"/>
    </row>
    <row r="6" spans="1:7">
      <c r="A6" s="23" t="s">
        <v>18</v>
      </c>
      <c r="B6" s="28">
        <v>25</v>
      </c>
      <c r="C6" s="28"/>
      <c r="D6" s="26"/>
      <c r="E6" s="26"/>
      <c r="F6" s="26"/>
      <c r="G6" s="26"/>
    </row>
    <row r="7" spans="1:7">
      <c r="A7" s="23" t="s">
        <v>19</v>
      </c>
      <c r="B7" s="24">
        <v>16</v>
      </c>
      <c r="C7" s="23" t="s">
        <v>70</v>
      </c>
      <c r="D7" s="24">
        <v>12</v>
      </c>
      <c r="E7" s="26"/>
      <c r="F7" s="26"/>
      <c r="G7" s="26"/>
    </row>
    <row r="8" spans="1:7">
      <c r="A8" s="23" t="s">
        <v>66</v>
      </c>
      <c r="B8" s="24">
        <v>16</v>
      </c>
      <c r="C8" s="23" t="s">
        <v>67</v>
      </c>
      <c r="D8" s="24">
        <v>16</v>
      </c>
      <c r="E8" s="26"/>
      <c r="F8" s="26"/>
      <c r="G8" s="26"/>
    </row>
    <row r="9" spans="1:7">
      <c r="A9" s="23" t="s">
        <v>49</v>
      </c>
      <c r="B9" s="29" t="s">
        <v>65</v>
      </c>
      <c r="C9" s="23" t="s">
        <v>49</v>
      </c>
      <c r="D9" s="29" t="s">
        <v>65</v>
      </c>
      <c r="E9" s="26"/>
      <c r="F9" s="26"/>
      <c r="G9" s="26"/>
    </row>
    <row r="10" spans="1:7">
      <c r="A10" s="30" t="s">
        <v>34</v>
      </c>
      <c r="B10" s="31"/>
      <c r="C10" s="28"/>
      <c r="D10" s="26"/>
      <c r="E10" s="26"/>
      <c r="F10" s="26"/>
      <c r="G10" s="26"/>
    </row>
    <row r="11" spans="1:7">
      <c r="A11" s="23" t="s">
        <v>47</v>
      </c>
      <c r="B11" s="32">
        <v>3</v>
      </c>
      <c r="C11" s="26"/>
      <c r="D11" s="23" t="s">
        <v>48</v>
      </c>
      <c r="E11" s="32">
        <v>3</v>
      </c>
      <c r="F11" s="26"/>
      <c r="G11" s="26"/>
    </row>
    <row r="12" spans="1:7">
      <c r="A12" s="23" t="s">
        <v>68</v>
      </c>
      <c r="B12" s="32">
        <v>1</v>
      </c>
      <c r="C12" s="26"/>
      <c r="D12" s="23" t="s">
        <v>69</v>
      </c>
      <c r="E12" s="32">
        <v>0</v>
      </c>
      <c r="F12" s="26"/>
      <c r="G12" s="26"/>
    </row>
    <row r="13" spans="1:7" ht="17.399999999999999" customHeight="1">
      <c r="A13" s="23" t="s">
        <v>45</v>
      </c>
      <c r="B13" s="33" t="str">
        <f>CONCATENATE("([{(3.14*",B8,"^2)/4}*",B9,"]+[{(3.14*",D8,"^2)/4}*",D9,"]/(",B4,"*",D4,"))*100")</f>
        <v>([{(3.14*16^2)/4}*4]+[{(3.14*16^2)/4}*4]/(355.6*355.6))*100</v>
      </c>
      <c r="C13" s="26"/>
      <c r="D13" s="26"/>
      <c r="E13" s="26"/>
      <c r="F13" s="34"/>
      <c r="G13" s="26"/>
    </row>
    <row r="14" spans="1:7" ht="17.399999999999999" customHeight="1">
      <c r="A14" s="23" t="s">
        <v>9</v>
      </c>
      <c r="B14" s="35">
        <f>((((PI()*B8^2)/4)*B9)+(((PI()*D8^2)/4)*D9))/(B4*D4)</f>
        <v>1.2720269980789244E-2</v>
      </c>
      <c r="C14" s="26"/>
      <c r="D14" s="26"/>
      <c r="E14" s="26"/>
      <c r="F14" s="34"/>
      <c r="G14" s="26"/>
    </row>
    <row r="15" spans="1:7" ht="17.399999999999999" customHeight="1">
      <c r="A15" s="23" t="s">
        <v>46</v>
      </c>
      <c r="B15" s="26" t="str">
        <f>CONCATENATE("[{(3.14*",B7,"^2)/4}*",B11,"+{(3.14*",D7,"^2)/4}*",B12,
"+{(3.14*",B7,"^2)/4}*",E11)</f>
        <v>[{(3.14*16^2)/4}*3+{(3.14*12^2)/4}*1+{(3.14*16^2)/4}*3</v>
      </c>
      <c r="C15" s="26"/>
      <c r="D15" s="26"/>
      <c r="E15" s="26"/>
      <c r="F15" s="34"/>
      <c r="G15" s="26"/>
    </row>
    <row r="16" spans="1:7" ht="17.399999999999999" customHeight="1">
      <c r="A16" s="23"/>
      <c r="B16" s="26" t="str">
        <f>CONCATENATE("{(3.14*",D7,"^2)/4}*",E12,"]/(",B3,"*",D3,"))*100")</f>
        <v>{(3.14*12^2)/4}*0]/(228.6*355.6))*100</v>
      </c>
      <c r="C16" s="26"/>
      <c r="D16" s="26"/>
      <c r="E16" s="26"/>
      <c r="F16" s="34"/>
      <c r="G16" s="26"/>
    </row>
    <row r="17" spans="1:7" ht="17.399999999999999" customHeight="1">
      <c r="A17" s="23" t="s">
        <v>9</v>
      </c>
      <c r="B17" s="35">
        <f>((((PI()*B7^2)/4)*B11)+(((PI()*D7^2)/4)*B12)+(((PI()*B7^2)/4)*E11)+(((PI()*D7^2)/4)*E12))/(B3*D3)</f>
        <v>1.6231594506736276E-2</v>
      </c>
      <c r="C17" s="26"/>
      <c r="D17" s="26"/>
      <c r="E17" s="26"/>
      <c r="F17" s="34"/>
    </row>
    <row r="18" spans="1:7">
      <c r="A18" s="23" t="s">
        <v>7</v>
      </c>
      <c r="B18" s="35">
        <f>((((PI()*B7^2)/4)*E11)+(((PI()*D7^2)/4)*E12))/(B3*D3)</f>
        <v>7.420157488793727E-3</v>
      </c>
      <c r="C18" s="31"/>
      <c r="D18" s="23" t="s">
        <v>6</v>
      </c>
      <c r="E18" s="35">
        <f>((((PI()*B7^2)/4)*B11)+(((PI()*D7^2)/4)*B12))/(B3*D3)</f>
        <v>8.8114370179425503E-3</v>
      </c>
      <c r="F18" s="26"/>
      <c r="G18" s="31"/>
    </row>
    <row r="19" spans="1:7">
      <c r="A19" s="23" t="s">
        <v>50</v>
      </c>
      <c r="B19" s="24">
        <v>8</v>
      </c>
      <c r="C19" s="26"/>
      <c r="D19" s="34"/>
      <c r="E19" s="26"/>
      <c r="F19" s="26"/>
      <c r="G19" s="26"/>
    </row>
    <row r="20" spans="1:7">
      <c r="A20" s="23" t="s">
        <v>64</v>
      </c>
      <c r="B20" s="26" t="str">
        <f>CONCATENATE(D3,"-",B6,"-",B19,"-(",B7,"/2)     =")</f>
        <v>355.6-25-8-(16/2)     =</v>
      </c>
      <c r="C20" s="28">
        <f>D3-B6-B19-(B7/2)</f>
        <v>314.60000000000002</v>
      </c>
      <c r="D20" s="34"/>
      <c r="E20" s="28"/>
      <c r="F20" s="26"/>
      <c r="G20" s="26"/>
    </row>
    <row r="21" spans="1:7">
      <c r="A21" s="23" t="s">
        <v>51</v>
      </c>
      <c r="B21" s="26" t="str">
        <f>CONCATENATE(,ROUND(E18,4),"*",B3,"*",C20," =")</f>
        <v>0.0088*228.6*314.6 =</v>
      </c>
      <c r="C21" s="36">
        <f>E18*B3*C20</f>
        <v>633.69705042410442</v>
      </c>
      <c r="D21" s="34"/>
      <c r="E21" s="26"/>
      <c r="F21" s="37"/>
      <c r="G21" s="26"/>
    </row>
    <row r="22" spans="1:7">
      <c r="A22" s="23" t="s">
        <v>52</v>
      </c>
      <c r="B22" s="26" t="str">
        <f>CONCATENATE(,ROUND(B18,4),"*",B3,"*",C20," =")</f>
        <v>0.0074*228.6*314.6 =</v>
      </c>
      <c r="C22" s="36">
        <f>B18*B3*C20</f>
        <v>533.63962140977219</v>
      </c>
      <c r="D22" s="34"/>
      <c r="E22" s="26"/>
      <c r="F22" s="37"/>
      <c r="G22" s="26"/>
    </row>
    <row r="23" spans="1:7">
      <c r="A23" s="44" t="s">
        <v>3</v>
      </c>
      <c r="B23" s="45"/>
      <c r="C23" s="45"/>
      <c r="D23" s="45"/>
      <c r="E23" s="45"/>
      <c r="F23" s="26"/>
      <c r="G23" s="26"/>
    </row>
    <row r="24" spans="1:7">
      <c r="A24" s="46" t="s">
        <v>62</v>
      </c>
      <c r="B24" s="45" t="str">
        <f>CONCATENATE("(0.87*",D5,"*",ROUND(C22,2),")/(0.36*",B5,"*",B3,")")</f>
        <v>(0.87*500*533.64)/(0.36*20*228.6)</v>
      </c>
      <c r="C24" s="45"/>
      <c r="D24" s="47"/>
      <c r="E24" s="45"/>
      <c r="F24" s="68" t="str">
        <f>CONCATENATE("Xu,lim=",IF(D5=F31,F33,G33),"d")</f>
        <v>Xu,lim=0.46d</v>
      </c>
      <c r="G24" s="26"/>
    </row>
    <row r="25" spans="1:7">
      <c r="A25" s="46" t="s">
        <v>9</v>
      </c>
      <c r="B25" s="48">
        <f>ROUND((0.87*D5*C22)/(0.36*B5*B3),2)</f>
        <v>141.04</v>
      </c>
      <c r="C25" s="45"/>
      <c r="D25" s="48"/>
      <c r="E25" s="45"/>
      <c r="F25" s="48">
        <f>IF(D5=F31,F33,G33)*C20</f>
        <v>144.71600000000001</v>
      </c>
      <c r="G25" s="26"/>
    </row>
    <row r="26" spans="1:7" ht="16.2">
      <c r="A26" s="46" t="s">
        <v>53</v>
      </c>
      <c r="B26" s="45" t="str">
        <f>CONCATENATE("0.87*",D5,"*",ROUND(C22,2),"*{",C20,"-(0.42*",ROUND(B25,3),")}")</f>
        <v>0.87*500*533.64*{314.6-(0.42*141.04)}</v>
      </c>
      <c r="C26" s="45"/>
      <c r="D26" s="45"/>
      <c r="E26" s="45"/>
      <c r="G26" s="26"/>
    </row>
    <row r="27" spans="1:7">
      <c r="A27" s="46" t="s">
        <v>9</v>
      </c>
      <c r="B27" s="49">
        <f>0.87*D5*C22*(C20-(0.42*B25))</f>
        <v>59278285.795944765</v>
      </c>
      <c r="C27" s="45"/>
      <c r="D27" s="45"/>
      <c r="E27" s="46"/>
      <c r="F27" s="38"/>
      <c r="G27" s="26"/>
    </row>
    <row r="28" spans="1:7">
      <c r="A28" s="46" t="s">
        <v>9</v>
      </c>
      <c r="B28" s="50">
        <f>B27/10^6</f>
        <v>59.278285795944768</v>
      </c>
      <c r="C28" s="45"/>
      <c r="D28" s="45"/>
      <c r="E28" s="46"/>
      <c r="F28" s="38"/>
      <c r="G28" s="26"/>
    </row>
    <row r="29" spans="1:7">
      <c r="A29" s="44" t="s">
        <v>14</v>
      </c>
      <c r="B29" s="45"/>
      <c r="C29" s="45"/>
      <c r="D29" s="45"/>
      <c r="E29" s="46"/>
      <c r="F29" s="38"/>
      <c r="G29" s="26"/>
    </row>
    <row r="30" spans="1:7">
      <c r="A30" s="46" t="s">
        <v>55</v>
      </c>
      <c r="B30" s="45" t="str">
        <f>CONCATENATE((IF(D5=F31,F32,G32)),"*fck*b*d2")</f>
        <v>0.133*fck*b*d2</v>
      </c>
      <c r="C30" s="45"/>
      <c r="D30" s="45"/>
      <c r="E30" s="46"/>
      <c r="F30" s="38"/>
      <c r="G30" s="26"/>
    </row>
    <row r="31" spans="1:7">
      <c r="A31" s="46" t="s">
        <v>9</v>
      </c>
      <c r="B31" s="45" t="str">
        <f>CONCATENATE(IF(D5=F31,F32,G32),"*",B5,"*",B3,"*",C20,"^2")</f>
        <v>0.133*20*228.6*314.6^2</v>
      </c>
      <c r="C31" s="45"/>
      <c r="D31" s="45"/>
      <c r="E31" s="45"/>
      <c r="F31" s="67">
        <v>500</v>
      </c>
      <c r="G31" s="67">
        <v>415</v>
      </c>
    </row>
    <row r="32" spans="1:7">
      <c r="A32" s="46" t="s">
        <v>9</v>
      </c>
      <c r="B32" s="51">
        <f>IF(D5=F31,F32,G32)*B5*B3*C20^2</f>
        <v>60183203.240160011</v>
      </c>
      <c r="C32" s="45"/>
      <c r="D32" s="45"/>
      <c r="E32" s="45"/>
      <c r="F32" s="67">
        <v>0.13300000000000001</v>
      </c>
      <c r="G32" s="67">
        <v>0.13800000000000001</v>
      </c>
    </row>
    <row r="33" spans="1:7">
      <c r="A33" s="46" t="s">
        <v>9</v>
      </c>
      <c r="B33" s="52">
        <f>B32/10^6</f>
        <v>60.183203240160012</v>
      </c>
      <c r="C33" s="45"/>
      <c r="D33" s="45"/>
      <c r="E33" s="45"/>
      <c r="F33" s="67">
        <v>0.46</v>
      </c>
      <c r="G33" s="67">
        <v>0.48</v>
      </c>
    </row>
    <row r="34" spans="1:7">
      <c r="A34" s="46" t="s">
        <v>58</v>
      </c>
      <c r="B34" s="52" t="s">
        <v>63</v>
      </c>
      <c r="C34" s="45"/>
      <c r="D34" s="45"/>
      <c r="E34" s="45"/>
      <c r="F34" s="39"/>
      <c r="G34" s="39"/>
    </row>
    <row r="35" spans="1:7">
      <c r="A35" s="46" t="s">
        <v>9</v>
      </c>
      <c r="B35" s="52" t="str">
        <f>CONCATENATE("(",ROUND(B33,3),"*10^6)/[0.87*",D5,"*{",C20,"-(0.42*",IF(D5=F31,F33,G33),"*",C20,")}]")</f>
        <v>(60.183*10^6)/[0.87*500*{314.6-(0.42*0.46*314.6)}]</v>
      </c>
      <c r="C35" s="45"/>
      <c r="D35" s="45"/>
      <c r="E35" s="45"/>
      <c r="F35" s="39"/>
      <c r="G35" s="39"/>
    </row>
    <row r="36" spans="1:7">
      <c r="A36" s="46" t="s">
        <v>9</v>
      </c>
      <c r="B36" s="53">
        <f>(B33*10^6)/(0.87*D5*(C20-(0.42*IF(D5=F31,F33,G33)*C20)))</f>
        <v>545.0814900928317</v>
      </c>
      <c r="C36" s="45"/>
      <c r="D36" s="45"/>
      <c r="E36" s="45"/>
      <c r="F36" s="39"/>
      <c r="G36" s="39"/>
    </row>
    <row r="37" spans="1:7">
      <c r="A37" s="46" t="s">
        <v>57</v>
      </c>
      <c r="B37" s="52" t="str">
        <f>CONCATENATE(ROUND(C21,3),"-",ROUND(B36,3))</f>
        <v>633.697-545.081</v>
      </c>
      <c r="C37" s="45"/>
      <c r="D37" s="45"/>
      <c r="E37" s="45"/>
      <c r="F37" s="39"/>
      <c r="G37" s="39"/>
    </row>
    <row r="38" spans="1:7">
      <c r="A38" s="46" t="s">
        <v>9</v>
      </c>
      <c r="B38" s="53">
        <f>C21-B36</f>
        <v>88.615560331272718</v>
      </c>
      <c r="C38" s="45"/>
      <c r="D38" s="45"/>
      <c r="E38" s="45"/>
      <c r="F38" s="39"/>
      <c r="G38" s="39"/>
    </row>
    <row r="39" spans="1:7">
      <c r="A39" s="46" t="s">
        <v>54</v>
      </c>
      <c r="B39" s="47" t="s">
        <v>56</v>
      </c>
      <c r="C39" s="45"/>
      <c r="D39" s="45"/>
      <c r="E39" s="45"/>
    </row>
    <row r="40" spans="1:7">
      <c r="A40" s="46" t="s">
        <v>9</v>
      </c>
      <c r="B40" s="47" t="str">
        <f>CONCATENATE("(0.87*",D5,")*",ROUND(B38,2),"*(",C20,"-",B6,"-",B19,"-",B7,"/2)")</f>
        <v>(0.87*500)*88.62*(314.6-25-8-16/2)</v>
      </c>
      <c r="C40" s="45"/>
      <c r="D40" s="45"/>
      <c r="E40" s="45"/>
    </row>
    <row r="41" spans="1:7">
      <c r="A41" s="46" t="s">
        <v>9</v>
      </c>
      <c r="B41" s="51">
        <f>0.87*D5*B38*(C20-B6-B19-(B7/2))</f>
        <v>10546669.528386755</v>
      </c>
      <c r="C41" s="45"/>
      <c r="D41" s="45"/>
      <c r="E41" s="51"/>
      <c r="F41" s="38"/>
      <c r="G41" s="26"/>
    </row>
    <row r="42" spans="1:7">
      <c r="A42" s="46" t="s">
        <v>9</v>
      </c>
      <c r="B42" s="52">
        <f>B41/10^6</f>
        <v>10.546669528386754</v>
      </c>
      <c r="C42" s="45"/>
      <c r="D42" s="45"/>
      <c r="E42" s="51"/>
      <c r="F42" s="38"/>
      <c r="G42" s="26"/>
    </row>
    <row r="43" spans="1:7" ht="16.2">
      <c r="A43" s="46" t="s">
        <v>59</v>
      </c>
      <c r="B43" s="50">
        <f>B33+B42</f>
        <v>70.72987276854677</v>
      </c>
      <c r="C43" s="45"/>
      <c r="D43" s="45"/>
      <c r="E43" s="51"/>
      <c r="F43" s="38"/>
      <c r="G43" s="26"/>
    </row>
    <row r="44" spans="1:7" ht="18">
      <c r="A44" s="54" t="s">
        <v>60</v>
      </c>
      <c r="B44" s="55" t="s">
        <v>71</v>
      </c>
      <c r="C44" s="50">
        <f>ROUND((B28+B43),2)</f>
        <v>130.01</v>
      </c>
      <c r="D44" s="56"/>
      <c r="E44" s="57"/>
    </row>
    <row r="45" spans="1:7">
      <c r="A45" s="58" t="s">
        <v>30</v>
      </c>
      <c r="B45" s="59">
        <f>+B14</f>
        <v>1.2720269980789244E-2</v>
      </c>
      <c r="C45" s="47"/>
      <c r="D45" s="47"/>
      <c r="E45" s="47"/>
    </row>
    <row r="46" spans="1:7">
      <c r="A46" s="58" t="s">
        <v>31</v>
      </c>
      <c r="B46" s="60">
        <f>(B45/B5)*100</f>
        <v>6.3601349903946225E-2</v>
      </c>
      <c r="C46" s="47"/>
      <c r="D46" s="47"/>
      <c r="E46" s="47"/>
    </row>
    <row r="47" spans="1:7">
      <c r="A47" s="58" t="s">
        <v>72</v>
      </c>
      <c r="B47" s="61">
        <v>0</v>
      </c>
      <c r="C47" s="58" t="s">
        <v>73</v>
      </c>
      <c r="D47" s="62">
        <f>(B6+B19+(B7/2))/C20</f>
        <v>0.13032422123331214</v>
      </c>
      <c r="E47" s="47"/>
      <c r="F47" s="22" t="s">
        <v>75</v>
      </c>
    </row>
    <row r="48" spans="1:7" ht="18.600000000000001">
      <c r="A48" s="40" t="s">
        <v>61</v>
      </c>
      <c r="B48" s="41">
        <v>0.09</v>
      </c>
      <c r="D48" s="42" t="s">
        <v>33</v>
      </c>
      <c r="E48" s="43"/>
    </row>
    <row r="49" spans="1:6" ht="18.600000000000001">
      <c r="A49" s="58" t="s">
        <v>79</v>
      </c>
      <c r="B49" s="47" t="str">
        <f>CONCATENATE(B48,"*",B5,"*",B4,"*",D4,"^2")</f>
        <v>0.09*20*355.6*355.6^2</v>
      </c>
      <c r="C49" s="63"/>
      <c r="D49" s="47"/>
      <c r="E49" s="47"/>
      <c r="F49" s="22" t="s">
        <v>76</v>
      </c>
    </row>
    <row r="50" spans="1:6">
      <c r="A50" s="58" t="s">
        <v>9</v>
      </c>
      <c r="B50" s="52">
        <f>(B48*B5*B4*D4^2)/10^6</f>
        <v>80.938986508799999</v>
      </c>
      <c r="C50" s="47"/>
      <c r="D50" s="47"/>
      <c r="E50" s="47"/>
    </row>
    <row r="51" spans="1:6">
      <c r="A51" s="54" t="s">
        <v>74</v>
      </c>
      <c r="B51" s="56" t="str">
        <f>CONCATENATE("2*Mu")</f>
        <v>2*Mu</v>
      </c>
      <c r="C51" s="56"/>
      <c r="D51" s="64"/>
      <c r="E51" s="47"/>
    </row>
    <row r="52" spans="1:6">
      <c r="A52" s="58" t="s">
        <v>9</v>
      </c>
      <c r="B52" s="65">
        <f>2*B50</f>
        <v>161.8779730176</v>
      </c>
      <c r="C52" s="47"/>
      <c r="D52" s="47"/>
      <c r="E52" s="47"/>
    </row>
    <row r="53" spans="1:6">
      <c r="A53" s="58" t="s">
        <v>37</v>
      </c>
      <c r="B53" s="66" t="s">
        <v>77</v>
      </c>
      <c r="C53" s="60">
        <f>B52/C44</f>
        <v>1.2451193986431814</v>
      </c>
      <c r="D53" s="47"/>
      <c r="E53" s="47"/>
    </row>
    <row r="54" spans="1:6">
      <c r="A54" s="47"/>
      <c r="B54" s="47"/>
      <c r="C54" s="47" t="s">
        <v>78</v>
      </c>
      <c r="D54" s="47"/>
      <c r="E54" s="47"/>
    </row>
  </sheetData>
  <sheetProtection algorithmName="SHA-512" hashValue="K1ezBCMwaEWQnrGA9VzobLh6h5sgNsAjrcivC1lAS1pc3nLqk4LamB6vzi5P+Z17V16D51EqoF/k+S5S3+9W2A==" saltValue="280Va4zduyhvXQs0JK4w1w==" spinCount="100000" sheet="1" objects="1" scenarios="1"/>
  <conditionalFormatting sqref="B25">
    <cfRule type="cellIs" dxfId="1" priority="2" operator="greaterThan">
      <formula>$F$25</formula>
    </cfRule>
  </conditionalFormatting>
  <conditionalFormatting sqref="C53">
    <cfRule type="cellIs" dxfId="0" priority="1" operator="lessThan">
      <formula>1.2</formula>
    </cfRule>
  </conditionalFormatting>
  <dataValidations count="1">
    <dataValidation type="list" allowBlank="1" showInputMessage="1" showErrorMessage="1" sqref="D5" xr:uid="{61DF19BA-2413-48A9-887B-FEA30F998128}">
      <formula1>"415,500"</formula1>
    </dataValidation>
  </dataValidations>
  <pageMargins left="0.7" right="0.7" top="0.75" bottom="0.75" header="0.3" footer="0.3"/>
  <pageSetup paperSize="9" scale="84" orientation="portrait" blackAndWhite="1" r:id="rId1"/>
  <rowBreaks count="1" manualBreakCount="1">
    <brk id="54" max="4" man="1"/>
  </rowBreaks>
  <colBreaks count="1" manualBreakCount="1">
    <brk id="5" max="5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7B00-99F0-5849-B121-D099F4FD82D0}">
  <dimension ref="A1:G45"/>
  <sheetViews>
    <sheetView view="pageBreakPreview" topLeftCell="A28" zoomScale="150" zoomScaleNormal="100" zoomScaleSheetLayoutView="150" workbookViewId="0">
      <selection activeCell="E42" sqref="E42"/>
    </sheetView>
  </sheetViews>
  <sheetFormatPr defaultColWidth="11.19921875" defaultRowHeight="15.6"/>
  <cols>
    <col min="1" max="1" width="11.69921875" customWidth="1"/>
    <col min="2" max="2" width="11.5" customWidth="1"/>
    <col min="3" max="3" width="11.796875" customWidth="1"/>
    <col min="4" max="4" width="13.796875" customWidth="1"/>
    <col min="5" max="5" width="15.296875" customWidth="1"/>
    <col min="6" max="6" width="19.5" bestFit="1" customWidth="1"/>
  </cols>
  <sheetData>
    <row r="1" spans="1:6">
      <c r="A1" s="6" t="s">
        <v>0</v>
      </c>
    </row>
    <row r="3" spans="1:6">
      <c r="A3" t="s">
        <v>1</v>
      </c>
      <c r="B3" s="3">
        <v>230</v>
      </c>
      <c r="C3" s="2">
        <v>355</v>
      </c>
      <c r="E3" s="3"/>
    </row>
    <row r="4" spans="1:6">
      <c r="A4" t="s">
        <v>2</v>
      </c>
      <c r="B4" s="3">
        <v>305</v>
      </c>
      <c r="C4" s="2">
        <v>305</v>
      </c>
    </row>
    <row r="5" spans="1:6">
      <c r="A5" s="8" t="s">
        <v>10</v>
      </c>
      <c r="B5" s="14">
        <v>20</v>
      </c>
      <c r="C5" s="2"/>
    </row>
    <row r="6" spans="1:6">
      <c r="A6" s="8" t="s">
        <v>11</v>
      </c>
      <c r="B6" s="14">
        <v>500</v>
      </c>
      <c r="C6" s="2"/>
    </row>
    <row r="7" spans="1:6">
      <c r="A7" s="8" t="s">
        <v>18</v>
      </c>
      <c r="B7" s="2">
        <v>25</v>
      </c>
      <c r="C7" s="2"/>
    </row>
    <row r="8" spans="1:6">
      <c r="A8" s="20" t="s">
        <v>19</v>
      </c>
      <c r="B8" s="20"/>
      <c r="C8" s="2">
        <v>12</v>
      </c>
    </row>
    <row r="9" spans="1:6">
      <c r="A9" s="20" t="s">
        <v>20</v>
      </c>
      <c r="B9" s="20"/>
      <c r="C9" s="2">
        <v>16</v>
      </c>
    </row>
    <row r="10" spans="1:6">
      <c r="A10" s="4" t="s">
        <v>34</v>
      </c>
      <c r="B10" s="4"/>
      <c r="C10" s="2"/>
    </row>
    <row r="11" spans="1:6">
      <c r="A11" s="4" t="s">
        <v>22</v>
      </c>
      <c r="B11" s="4"/>
      <c r="C11" s="11" t="s">
        <v>40</v>
      </c>
      <c r="D11" t="s">
        <v>23</v>
      </c>
    </row>
    <row r="12" spans="1:6">
      <c r="A12" s="4" t="s">
        <v>21</v>
      </c>
      <c r="B12" s="4"/>
      <c r="C12" s="11">
        <v>8</v>
      </c>
    </row>
    <row r="13" spans="1:6" ht="18">
      <c r="A13" t="s">
        <v>25</v>
      </c>
      <c r="F13" s="1">
        <f xml:space="preserve"> (3.14*C9*C9 *C12*100)/(4*B4*C4)</f>
        <v>1.7282235958075787</v>
      </c>
    </row>
    <row r="14" spans="1:6" ht="18">
      <c r="A14" t="s">
        <v>26</v>
      </c>
      <c r="F14" s="1">
        <f xml:space="preserve"> (3.14*C8*C8 *C11*100)/(4*B3*C3)</f>
        <v>1.3844458052663806</v>
      </c>
    </row>
    <row r="15" spans="1:6">
      <c r="A15" t="s">
        <v>7</v>
      </c>
      <c r="D15" s="1">
        <f>TRUNC(F14/2,2)</f>
        <v>0.69</v>
      </c>
    </row>
    <row r="16" spans="1:6">
      <c r="A16" t="s">
        <v>6</v>
      </c>
      <c r="D16" s="1">
        <f>TRUNC(F14/2,2)</f>
        <v>0.69</v>
      </c>
    </row>
    <row r="17" spans="1:7">
      <c r="A17" t="s">
        <v>4</v>
      </c>
      <c r="D17" s="1"/>
      <c r="E17" s="2">
        <f>C3-B7-(C8/2)</f>
        <v>324</v>
      </c>
    </row>
    <row r="18" spans="1:7">
      <c r="A18" t="s">
        <v>5</v>
      </c>
      <c r="D18" s="1"/>
      <c r="F18" s="5">
        <f>D15*B3*E17/100</f>
        <v>514.18799999999999</v>
      </c>
    </row>
    <row r="19" spans="1:7">
      <c r="D19" s="1"/>
      <c r="F19" s="5"/>
    </row>
    <row r="20" spans="1:7">
      <c r="A20" s="16" t="s">
        <v>3</v>
      </c>
    </row>
    <row r="21" spans="1:7">
      <c r="A21" t="s">
        <v>8</v>
      </c>
      <c r="F21" s="7">
        <f>(0.87*B6*F18)/(0.36*B5*B3)</f>
        <v>135.06750000000002</v>
      </c>
    </row>
    <row r="22" spans="1:7" ht="18.600000000000001">
      <c r="A22" t="s">
        <v>24</v>
      </c>
      <c r="F22" s="15">
        <f>0.87*B6*F18*(E17-(0.42*F21))</f>
        <v>59781125.699037008</v>
      </c>
      <c r="G22">
        <v>68812948.683701992</v>
      </c>
    </row>
    <row r="23" spans="1:7">
      <c r="E23" s="8" t="s">
        <v>9</v>
      </c>
      <c r="F23" s="9">
        <f>F22/10^6</f>
        <v>59.781125699037005</v>
      </c>
      <c r="G23">
        <v>68.81294868370199</v>
      </c>
    </row>
    <row r="24" spans="1:7">
      <c r="E24" s="8"/>
      <c r="F24" s="9"/>
    </row>
    <row r="25" spans="1:7">
      <c r="E25" s="8"/>
      <c r="F25" s="9"/>
    </row>
    <row r="26" spans="1:7">
      <c r="A26" s="16" t="s">
        <v>14</v>
      </c>
      <c r="E26" s="8"/>
      <c r="F26" s="9"/>
    </row>
    <row r="27" spans="1:7">
      <c r="A27" t="s">
        <v>12</v>
      </c>
    </row>
    <row r="28" spans="1:7">
      <c r="A28" t="s">
        <v>13</v>
      </c>
    </row>
    <row r="29" spans="1:7" ht="18">
      <c r="A29" t="s">
        <v>15</v>
      </c>
      <c r="E29" s="10">
        <f xml:space="preserve"> 0.138*B5*B3*E17*E17</f>
        <v>66638764.800000004</v>
      </c>
      <c r="F29" s="9">
        <f>E29/10^6</f>
        <v>66.638764800000004</v>
      </c>
    </row>
    <row r="30" spans="1:7">
      <c r="A30" t="s">
        <v>16</v>
      </c>
      <c r="E30" s="12">
        <f>(F29*10^6)/(0.87*B6*(E17-0.42*0.48*E17))</f>
        <v>592.20509985488218</v>
      </c>
      <c r="F30" s="11"/>
    </row>
    <row r="31" spans="1:7">
      <c r="A31" t="s">
        <v>17</v>
      </c>
      <c r="C31" s="13">
        <f>F18-E30</f>
        <v>-78.01709985488219</v>
      </c>
    </row>
    <row r="32" spans="1:7">
      <c r="A32" t="s">
        <v>27</v>
      </c>
      <c r="E32" s="10">
        <f>0.87*B6*C31*(E17-B7)</f>
        <v>-10147294.092625251</v>
      </c>
      <c r="F32" s="9">
        <v>0</v>
      </c>
    </row>
    <row r="33" spans="1:5" ht="18.600000000000001">
      <c r="A33" t="s">
        <v>28</v>
      </c>
      <c r="D33" s="9">
        <f>F29+F32</f>
        <v>66.638764800000004</v>
      </c>
    </row>
    <row r="35" spans="1:5" ht="18">
      <c r="A35" s="6" t="s">
        <v>29</v>
      </c>
      <c r="B35" s="6"/>
      <c r="C35" s="6"/>
      <c r="D35" s="6"/>
      <c r="E35" s="17">
        <f>D33+F23</f>
        <v>126.41989049903701</v>
      </c>
    </row>
    <row r="37" spans="1:5">
      <c r="A37" t="s">
        <v>30</v>
      </c>
      <c r="B37" s="1">
        <f>+F13</f>
        <v>1.7282235958075787</v>
      </c>
    </row>
    <row r="38" spans="1:5">
      <c r="A38" t="s">
        <v>31</v>
      </c>
      <c r="B38" s="7">
        <f>B37/B5</f>
        <v>8.6411179790378934E-2</v>
      </c>
    </row>
    <row r="39" spans="1:5" ht="18">
      <c r="A39" t="s">
        <v>32</v>
      </c>
      <c r="B39" s="4">
        <v>0.14000000000000001</v>
      </c>
      <c r="D39" t="s">
        <v>33</v>
      </c>
    </row>
    <row r="40" spans="1:5" ht="18">
      <c r="A40" t="s">
        <v>38</v>
      </c>
      <c r="C40" s="9">
        <f>B39*B5*B4*C4*C4/10^6</f>
        <v>79.443350000000009</v>
      </c>
    </row>
    <row r="42" spans="1:5">
      <c r="A42" s="6" t="s">
        <v>39</v>
      </c>
      <c r="B42" s="6"/>
      <c r="C42" s="6"/>
      <c r="D42" s="18">
        <f>2*C40</f>
        <v>158.88670000000002</v>
      </c>
    </row>
    <row r="44" spans="1:5" ht="18.600000000000001">
      <c r="A44" t="s">
        <v>35</v>
      </c>
      <c r="C44" s="19">
        <f>D42/E35</f>
        <v>1.2568172569427303</v>
      </c>
      <c r="D44" t="s">
        <v>36</v>
      </c>
    </row>
    <row r="45" spans="1:5">
      <c r="A45" t="s">
        <v>37</v>
      </c>
      <c r="D45">
        <f>E35/D42</f>
        <v>0.79566062168222385</v>
      </c>
    </row>
  </sheetData>
  <mergeCells count="2">
    <mergeCell ref="A8:B8"/>
    <mergeCell ref="A9:B9"/>
  </mergeCells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BCC</vt:lpstr>
      <vt:lpstr>Sheet1 (2)</vt:lpstr>
      <vt:lpstr>BCC!Print_Area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summon balami</cp:lastModifiedBy>
  <cp:lastPrinted>2022-08-22T18:32:00Z</cp:lastPrinted>
  <dcterms:created xsi:type="dcterms:W3CDTF">2021-11-09T06:18:05Z</dcterms:created>
  <dcterms:modified xsi:type="dcterms:W3CDTF">2022-08-22T18:35:07Z</dcterms:modified>
</cp:coreProperties>
</file>