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summo\OneDrive\Desktop\New Folder\Summon Personal\Youtube Project\Documents\unprotected sheets\"/>
    </mc:Choice>
  </mc:AlternateContent>
  <xr:revisionPtr revIDLastSave="0" documentId="13_ncr:1_{3C762F8C-E77F-4D5C-9C2A-59B9409FC0F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dog-legged staircase" sheetId="2" r:id="rId2"/>
  </sheets>
  <definedNames>
    <definedName name="_xlnm.Print_Area" localSheetId="1">'dog-legged staircase'!$A$1:$I$138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8" i="2" l="1"/>
  <c r="A95" i="2"/>
  <c r="E136" i="2"/>
  <c r="E126" i="2"/>
  <c r="C82" i="2"/>
  <c r="E46" i="2"/>
  <c r="E38" i="2"/>
  <c r="E27" i="2"/>
  <c r="E131" i="2" a="1"/>
  <c r="E131" i="2" s="1"/>
  <c r="E130" i="2" a="1"/>
  <c r="E130" i="2" s="1"/>
  <c r="E114" i="2"/>
  <c r="E119" i="2"/>
  <c r="A100" i="2"/>
  <c r="C81" i="2"/>
  <c r="C80" i="2"/>
  <c r="E125" i="2" l="1"/>
  <c r="G57" i="2" l="1"/>
  <c r="B57" i="2"/>
  <c r="E57" i="2"/>
  <c r="E59" i="2" l="1"/>
  <c r="B62" i="2"/>
  <c r="B64" i="2" s="1"/>
  <c r="E19" i="1" l="1"/>
  <c r="F43" i="2"/>
  <c r="F42" i="2"/>
  <c r="E43" i="2"/>
  <c r="E42" i="2"/>
  <c r="F33" i="2"/>
  <c r="E37" i="2"/>
  <c r="E32" i="2"/>
  <c r="F32" i="2"/>
  <c r="E33" i="2"/>
  <c r="E16" i="1"/>
  <c r="E24" i="2"/>
  <c r="E19" i="2"/>
  <c r="E18" i="2"/>
  <c r="E25" i="2" l="1"/>
  <c r="E28" i="2" l="1"/>
  <c r="F28" i="2" s="1"/>
  <c r="E29" i="2" s="1"/>
  <c r="E35" i="2" l="1"/>
  <c r="C90" i="2"/>
  <c r="C91" i="2"/>
  <c r="E45" i="2"/>
  <c r="C107" i="2"/>
  <c r="C108" i="2"/>
  <c r="F126" i="2" s="1"/>
  <c r="C86" i="2"/>
  <c r="E40" i="2"/>
  <c r="E39" i="2"/>
  <c r="E47" i="2" l="1"/>
  <c r="E48" i="2"/>
  <c r="E133" i="2"/>
  <c r="E134" i="2"/>
  <c r="E50" i="2"/>
  <c r="G52" i="2" l="1"/>
  <c r="C63" i="2" s="1"/>
  <c r="B52" i="2"/>
  <c r="C68" i="2" s="1"/>
  <c r="C67" i="2"/>
  <c r="C73" i="2"/>
  <c r="C104" i="2" s="1"/>
  <c r="E104" i="2" s="1"/>
  <c r="C72" i="2"/>
  <c r="C62" i="2"/>
  <c r="C64" i="2"/>
  <c r="C65" i="2" s="1"/>
  <c r="B68" i="2" s="1"/>
  <c r="C75" i="2" l="1"/>
  <c r="C77" i="2"/>
  <c r="D82" i="2" s="1"/>
  <c r="B81" i="2"/>
  <c r="B86" i="2" s="1"/>
  <c r="C87" i="2"/>
  <c r="C76" i="2"/>
  <c r="C103" i="2"/>
  <c r="C69" i="2"/>
  <c r="C93" i="2" l="1"/>
  <c r="C94" i="2"/>
  <c r="C97" i="2" l="1"/>
  <c r="C96" i="2"/>
  <c r="E15" i="1"/>
  <c r="E20" i="1"/>
  <c r="C98" i="2" l="1"/>
  <c r="E121" i="2"/>
  <c r="E122" i="2"/>
  <c r="E120" i="2"/>
  <c r="F20" i="1"/>
  <c r="E24" i="1" l="1"/>
  <c r="E2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<sst xmlns="http://schemas.openxmlformats.org/spreadsheetml/2006/main" count="152" uniqueCount="101">
  <si>
    <t xml:space="preserve">Design of dog-legged staircase supported longitudinally </t>
  </si>
  <si>
    <t>Floor to floor height=</t>
  </si>
  <si>
    <t>Riser (R)=</t>
  </si>
  <si>
    <t>Floor finishes=</t>
  </si>
  <si>
    <t>Impose load=</t>
  </si>
  <si>
    <t>Tread (T)=</t>
  </si>
  <si>
    <t>Width of stair=</t>
  </si>
  <si>
    <t>Effective span=</t>
  </si>
  <si>
    <t>First landing width (L1)=</t>
  </si>
  <si>
    <t>Second landing widht (L2)=</t>
  </si>
  <si>
    <t>=</t>
  </si>
  <si>
    <t>{(N-1)*T}+L1+L2+(B/2)+(B/2)</t>
  </si>
  <si>
    <t>Beam width (B)=</t>
  </si>
  <si>
    <t>Waist Slab thickness=</t>
  </si>
  <si>
    <t>clear cover=</t>
  </si>
  <si>
    <t>IS 456:2000, Table 16</t>
  </si>
  <si>
    <t>Effective depth=</t>
  </si>
  <si>
    <t>For Simply supported condition</t>
  </si>
  <si>
    <t>Landing slab thicknesss=</t>
  </si>
  <si>
    <t>Step1: calculation of efffective span</t>
  </si>
  <si>
    <t>Step1: calculation of efffective depth</t>
  </si>
  <si>
    <t>Number of riser in all flights (N)=</t>
  </si>
  <si>
    <t>Diameter of bar(Φ)=</t>
  </si>
  <si>
    <r>
      <t>Effective span (L</t>
    </r>
    <r>
      <rPr>
        <vertAlign val="subscript"/>
        <sz val="11"/>
        <color theme="1"/>
        <rFont val="Calibri"/>
        <family val="2"/>
        <scheme val="minor"/>
      </rPr>
      <t>eff</t>
    </r>
    <r>
      <rPr>
        <sz val="11"/>
        <color theme="1"/>
        <rFont val="Calibri"/>
        <family val="2"/>
        <scheme val="minor"/>
      </rPr>
      <t>)=</t>
    </r>
  </si>
  <si>
    <t>Adopt diameter of bar (Φ)=</t>
  </si>
  <si>
    <t>Effective depth (d)=</t>
  </si>
  <si>
    <t>(asssuming constant= 30-40)</t>
  </si>
  <si>
    <t>For continuous end condition</t>
  </si>
  <si>
    <t>Overall Depth (D)=</t>
  </si>
  <si>
    <t>d+(Φ/2)+c</t>
  </si>
  <si>
    <t>clear cover (c)=</t>
  </si>
  <si>
    <t>Provided eff. depth=</t>
  </si>
  <si>
    <t xml:space="preserve">Leff/20 </t>
  </si>
  <si>
    <t>Leff/25</t>
  </si>
  <si>
    <t>Step2: calculation of efffective depth</t>
  </si>
  <si>
    <t>Step3: calculation of load</t>
  </si>
  <si>
    <t>(i) Load on going on projected plan area</t>
  </si>
  <si>
    <t>Live load=</t>
  </si>
  <si>
    <t>Floor finish=</t>
  </si>
  <si>
    <t>wt. of waist slab=</t>
  </si>
  <si>
    <t>wt. of steps=</t>
  </si>
  <si>
    <r>
      <t>Unit wt. of concrete (</t>
    </r>
    <r>
      <rPr>
        <sz val="11"/>
        <color theme="1"/>
        <rFont val="Calibri"/>
        <family val="2"/>
      </rPr>
      <t>ϒ)=</t>
    </r>
  </si>
  <si>
    <r>
      <t>{ϒ*D*√(R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+T</t>
    </r>
    <r>
      <rPr>
        <vertAlign val="superscript"/>
        <sz val="11"/>
        <color theme="1"/>
        <rFont val="Calibri"/>
        <family val="2"/>
      </rPr>
      <t>2</t>
    </r>
    <r>
      <rPr>
        <sz val="11"/>
        <color theme="1"/>
        <rFont val="Calibri"/>
        <family val="2"/>
      </rPr>
      <t>)}/T</t>
    </r>
  </si>
  <si>
    <t>ϒ*0.5*R</t>
  </si>
  <si>
    <t>Total load=</t>
  </si>
  <si>
    <t>Factored load=</t>
  </si>
  <si>
    <t>(i) Load on landing</t>
  </si>
  <si>
    <t>self wt. of slab=</t>
  </si>
  <si>
    <t>ϒ*D*1</t>
  </si>
  <si>
    <t>Total Load=</t>
  </si>
  <si>
    <t>Ra</t>
  </si>
  <si>
    <t>Rb</t>
  </si>
  <si>
    <t>Step4: calculation of maximum bending moment and maximum shear force</t>
  </si>
  <si>
    <t>Taking moment of all forces about point B.</t>
  </si>
  <si>
    <t xml:space="preserve"> B</t>
  </si>
  <si>
    <t xml:space="preserve">A  </t>
  </si>
  <si>
    <t>Ra=</t>
  </si>
  <si>
    <t>Ra+Rb=</t>
  </si>
  <si>
    <t>Rb=</t>
  </si>
  <si>
    <t>Vmax=</t>
  </si>
  <si>
    <t>Mmax=</t>
  </si>
  <si>
    <t>Step5: Check for depth against bending moment</t>
  </si>
  <si>
    <t>Grade of concrete (fck)=</t>
  </si>
  <si>
    <t>Grade of steel (fy)=</t>
  </si>
  <si>
    <r>
      <t>d</t>
    </r>
    <r>
      <rPr>
        <vertAlign val="subscript"/>
        <sz val="11"/>
        <color theme="1"/>
        <rFont val="Calibri"/>
        <family val="2"/>
        <scheme val="minor"/>
      </rPr>
      <t>req</t>
    </r>
    <r>
      <rPr>
        <sz val="11"/>
        <color theme="1"/>
        <rFont val="Calibri"/>
        <family val="2"/>
        <scheme val="minor"/>
      </rPr>
      <t>=</t>
    </r>
  </si>
  <si>
    <t>Step6: Designing the reinforcement</t>
  </si>
  <si>
    <t>Ast=</t>
  </si>
  <si>
    <t>(Ast)min.=</t>
  </si>
  <si>
    <t>0.12% of bD</t>
  </si>
  <si>
    <t>Spacing=</t>
  </si>
  <si>
    <t>(Ast)prov.=</t>
  </si>
  <si>
    <t>Step7: Check for shear force</t>
  </si>
  <si>
    <r>
      <rPr>
        <sz val="11"/>
        <color theme="1"/>
        <rFont val="Calibri"/>
        <family val="2"/>
        <scheme val="minor"/>
      </rPr>
      <t>Ʈ</t>
    </r>
    <r>
      <rPr>
        <sz val="8"/>
        <color theme="1"/>
        <rFont val="Calibri"/>
        <family val="2"/>
        <scheme val="minor"/>
      </rPr>
      <t>max</t>
    </r>
    <r>
      <rPr>
        <sz val="11"/>
        <color theme="1"/>
        <rFont val="Calibri"/>
        <family val="2"/>
        <scheme val="minor"/>
      </rPr>
      <t>=</t>
    </r>
  </si>
  <si>
    <t>IS 456:2000, Table-19</t>
  </si>
  <si>
    <t>Shear strength (Ʈc)=</t>
  </si>
  <si>
    <t>Step8: Check for deflection</t>
  </si>
  <si>
    <t>Basic values</t>
  </si>
  <si>
    <t>IS 456:2000 Clause 23.2.1 (a)</t>
  </si>
  <si>
    <t>Modification factor</t>
  </si>
  <si>
    <t>(β) =</t>
  </si>
  <si>
    <t>IS 456:2000 Clause 23.2.1 (b)</t>
  </si>
  <si>
    <t xml:space="preserve"> For Tension Reinforcement (γ) =</t>
  </si>
  <si>
    <t>IS 456:2000 Clause 23.2.1 ( c) fig 4</t>
  </si>
  <si>
    <t>For Compression Reinforcement (δ) =</t>
  </si>
  <si>
    <t>IS 456:2000 Clause 23.2.1 (d) fig 5</t>
  </si>
  <si>
    <t>Reduction factor for flanged beam (λ) =</t>
  </si>
  <si>
    <t>IS 456:2000 Clause 23.2.1 (e) fig 6</t>
  </si>
  <si>
    <t xml:space="preserve">For Calculating the the factor γ </t>
  </si>
  <si>
    <t>Steel Stress of service load (fs)=</t>
  </si>
  <si>
    <t>Now,</t>
  </si>
  <si>
    <t>αβγδλ=</t>
  </si>
  <si>
    <t>Basic value: (α) =</t>
  </si>
  <si>
    <t>From fig. 4 of IS 456:2000, (γ ) =</t>
  </si>
  <si>
    <t>(As/bd) %=</t>
  </si>
  <si>
    <t>(Leff/d)prov.=</t>
  </si>
  <si>
    <r>
      <t>L</t>
    </r>
    <r>
      <rPr>
        <b/>
        <vertAlign val="subscript"/>
        <sz val="12"/>
        <color theme="1"/>
        <rFont val="Times New Roman"/>
        <family val="1"/>
      </rPr>
      <t>d</t>
    </r>
    <r>
      <rPr>
        <b/>
        <sz val="12"/>
        <color theme="1"/>
        <rFont val="Times New Roman"/>
        <family val="1"/>
      </rPr>
      <t>=</t>
    </r>
  </si>
  <si>
    <t>Step10: Distribution bar reinforcement detailing</t>
  </si>
  <si>
    <t>≤</t>
  </si>
  <si>
    <t>Spacing provided=</t>
  </si>
  <si>
    <t>Step9: Development length</t>
  </si>
  <si>
    <t>% of steel prov.=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</si>
</sst>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General\ &quot;m&quot;"/>
    <numFmt numFmtId="165" formatCode="General\ &quot;mm&quot;"/>
    <numFmt numFmtId="166" formatCode="General\ &quot;KN/m&quot;"/>
    <numFmt numFmtId="167" formatCode="General\ &quot;KN/m²&quot;"/>
    <numFmt numFmtId="168" formatCode="0.00\ &quot;KN/m²&quot;"/>
    <numFmt numFmtId="169" formatCode="&quot;≈&quot;General\ &quot;mm&quot;"/>
    <numFmt numFmtId="170" formatCode="&quot;=&quot;General\ &quot;KN/m&quot;"/>
    <numFmt numFmtId="171" formatCode="General\ &quot;KN/m³&quot;"/>
    <numFmt numFmtId="172" formatCode="&quot;=&quot;0.00\ &quot;KN/m&quot;"/>
    <numFmt numFmtId="173" formatCode="0.00\ &quot;KN/m&quot;"/>
    <numFmt numFmtId="174" formatCode="0.000"/>
    <numFmt numFmtId="175" formatCode="0.00\ &quot;KN-m&quot;"/>
    <numFmt numFmtId="176" formatCode="General\ &quot;N/mm²&quot;"/>
    <numFmt numFmtId="177" formatCode="0.00\ &quot;mm&quot;"/>
    <numFmt numFmtId="178" formatCode="General\ &quot;mm²&quot;"/>
    <numFmt numFmtId="179" formatCode="0.00\ &quot;KN&quot;"/>
    <numFmt numFmtId="180" formatCode="0.000\ &quot;N/mm²&quot;"/>
    <numFmt numFmtId="181" formatCode="0.0"/>
    <numFmt numFmtId="182" formatCode="0.00\ &quot;%&quot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b/>
      <u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222222"/>
      <name val="Calibri"/>
      <family val="2"/>
      <scheme val="minor"/>
    </font>
    <font>
      <b/>
      <vertAlign val="subscript"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right"/>
    </xf>
    <xf numFmtId="165" fontId="0" fillId="0" borderId="0" xfId="0" applyNumberFormat="1" applyAlignment="1">
      <alignment horizontal="left"/>
    </xf>
    <xf numFmtId="164" fontId="0" fillId="2" borderId="0" xfId="0" applyNumberFormat="1" applyFill="1" applyAlignment="1">
      <alignment horizontal="left"/>
    </xf>
    <xf numFmtId="165" fontId="0" fillId="2" borderId="0" xfId="0" applyNumberFormat="1" applyFill="1" applyAlignment="1">
      <alignment horizontal="left"/>
    </xf>
    <xf numFmtId="167" fontId="0" fillId="2" borderId="0" xfId="0" applyNumberFormat="1" applyFill="1" applyAlignment="1">
      <alignment horizontal="left"/>
    </xf>
    <xf numFmtId="168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169" fontId="0" fillId="0" borderId="0" xfId="0" applyNumberFormat="1"/>
    <xf numFmtId="0" fontId="3" fillId="0" borderId="0" xfId="0" applyFont="1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169" fontId="0" fillId="3" borderId="0" xfId="0" applyNumberFormat="1" applyFill="1"/>
    <xf numFmtId="0" fontId="5" fillId="0" borderId="0" xfId="0" applyFont="1"/>
    <xf numFmtId="170" fontId="0" fillId="0" borderId="0" xfId="0" applyNumberFormat="1" applyAlignment="1">
      <alignment horizontal="left"/>
    </xf>
    <xf numFmtId="171" fontId="0" fillId="2" borderId="0" xfId="0" applyNumberFormat="1" applyFill="1" applyAlignment="1">
      <alignment horizontal="left"/>
    </xf>
    <xf numFmtId="0" fontId="6" fillId="0" borderId="0" xfId="0" applyFont="1" applyAlignment="1">
      <alignment horizontal="left"/>
    </xf>
    <xf numFmtId="166" fontId="6" fillId="0" borderId="0" xfId="0" applyNumberFormat="1" applyFont="1" applyAlignment="1">
      <alignment horizontal="left"/>
    </xf>
    <xf numFmtId="166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72" fontId="0" fillId="0" borderId="0" xfId="0" applyNumberFormat="1" applyAlignment="1">
      <alignment horizontal="left"/>
    </xf>
    <xf numFmtId="173" fontId="0" fillId="0" borderId="0" xfId="0" applyNumberFormat="1" applyAlignment="1">
      <alignment horizontal="left"/>
    </xf>
    <xf numFmtId="166" fontId="2" fillId="0" borderId="0" xfId="0" applyNumberFormat="1" applyFont="1" applyAlignment="1">
      <alignment horizontal="left"/>
    </xf>
    <xf numFmtId="165" fontId="2" fillId="3" borderId="0" xfId="0" applyNumberFormat="1" applyFont="1" applyFill="1" applyAlignment="1">
      <alignment horizontal="left"/>
    </xf>
    <xf numFmtId="169" fontId="2" fillId="3" borderId="0" xfId="0" applyNumberFormat="1" applyFont="1" applyFill="1" applyAlignment="1">
      <alignment horizontal="left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right"/>
    </xf>
    <xf numFmtId="174" fontId="0" fillId="0" borderId="0" xfId="0" applyNumberFormat="1" applyAlignment="1">
      <alignment horizontal="left"/>
    </xf>
    <xf numFmtId="0" fontId="0" fillId="0" borderId="0" xfId="0" applyAlignment="1">
      <alignment horizontal="right" vertical="center"/>
    </xf>
    <xf numFmtId="0" fontId="8" fillId="0" borderId="0" xfId="0" applyFont="1"/>
    <xf numFmtId="176" fontId="0" fillId="2" borderId="0" xfId="0" applyNumberFormat="1" applyFill="1" applyAlignment="1">
      <alignment horizontal="left"/>
    </xf>
    <xf numFmtId="177" fontId="0" fillId="0" borderId="0" xfId="0" applyNumberFormat="1" applyAlignment="1">
      <alignment horizontal="left"/>
    </xf>
    <xf numFmtId="178" fontId="0" fillId="0" borderId="0" xfId="0" applyNumberFormat="1" applyAlignment="1">
      <alignment horizontal="left"/>
    </xf>
    <xf numFmtId="10" fontId="0" fillId="0" borderId="0" xfId="1" applyNumberFormat="1" applyFont="1"/>
    <xf numFmtId="175" fontId="2" fillId="0" borderId="0" xfId="0" applyNumberFormat="1" applyFont="1" applyAlignment="1">
      <alignment horizontal="left"/>
    </xf>
    <xf numFmtId="179" fontId="2" fillId="0" borderId="0" xfId="0" applyNumberFormat="1" applyFont="1" applyAlignment="1">
      <alignment horizontal="left"/>
    </xf>
    <xf numFmtId="180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180" fontId="0" fillId="2" borderId="0" xfId="0" applyNumberFormat="1" applyFill="1" applyAlignment="1">
      <alignment horizontal="left"/>
    </xf>
    <xf numFmtId="0" fontId="10" fillId="0" borderId="0" xfId="0" applyFont="1"/>
    <xf numFmtId="0" fontId="2" fillId="0" borderId="0" xfId="0" applyFont="1" applyProtection="1">
      <protection locked="0"/>
    </xf>
    <xf numFmtId="0" fontId="6" fillId="0" borderId="0" xfId="0" applyFont="1" applyAlignment="1">
      <alignment horizontal="right"/>
    </xf>
    <xf numFmtId="0" fontId="0" fillId="0" borderId="0" xfId="0" applyProtection="1">
      <protection locked="0"/>
    </xf>
    <xf numFmtId="0" fontId="12" fillId="0" borderId="0" xfId="0" applyFont="1" applyAlignment="1">
      <alignment horizontal="left"/>
    </xf>
    <xf numFmtId="174" fontId="0" fillId="0" borderId="0" xfId="0" applyNumberFormat="1"/>
    <xf numFmtId="181" fontId="0" fillId="2" borderId="0" xfId="0" applyNumberFormat="1" applyFill="1" applyAlignment="1">
      <alignment horizontal="left"/>
    </xf>
    <xf numFmtId="0" fontId="13" fillId="0" borderId="0" xfId="0" applyFont="1" applyAlignment="1">
      <alignment horizontal="right"/>
    </xf>
    <xf numFmtId="0" fontId="0" fillId="2" borderId="0" xfId="0" applyFill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181" fontId="0" fillId="0" borderId="0" xfId="0" applyNumberFormat="1" applyAlignment="1" applyProtection="1">
      <alignment horizontal="left"/>
      <protection locked="0"/>
    </xf>
    <xf numFmtId="0" fontId="5" fillId="0" borderId="0" xfId="0" applyFont="1" applyAlignment="1">
      <alignment horizontal="right"/>
    </xf>
    <xf numFmtId="169" fontId="2" fillId="2" borderId="0" xfId="0" applyNumberFormat="1" applyFont="1" applyFill="1" applyAlignment="1">
      <alignment horizontal="left"/>
    </xf>
    <xf numFmtId="179" fontId="0" fillId="0" borderId="0" xfId="0" applyNumberFormat="1" applyAlignment="1">
      <alignment horizontal="left"/>
    </xf>
    <xf numFmtId="182" fontId="0" fillId="0" borderId="0" xfId="0" applyNumberFormat="1" applyAlignment="1">
      <alignment horizontal="left"/>
    </xf>
    <xf numFmtId="0" fontId="11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17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104321</xdr:colOff>
      <xdr:row>14</xdr:row>
      <xdr:rowOff>117929</xdr:rowOff>
    </xdr:from>
    <xdr:to>
      <xdr:col>16</xdr:col>
      <xdr:colOff>502335</xdr:colOff>
      <xdr:row>27</xdr:row>
      <xdr:rowOff>102506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DB2F10-BF11-4DE6-9DE7-C7BE3BFE79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/>
        <a:stretch/>
      </xdr:blipFill>
      <xdr:spPr>
        <a:xfrm>
          <a:off x="5711371" y="2696029"/>
          <a:ext cx="4665214" cy="2378527"/>
        </a:xfrm>
        <a:prstGeom prst="rect">
          <a:avLst/>
        </a:prstGeom>
      </xdr:spPr>
    </xdr:pic>
    <xdr:clientData/>
  </xdr:twoCellAnchor>
  <xdr:twoCellAnchor editAs="oneCell">
    <xdr:from>
      <xdr:col>9</xdr:col>
      <xdr:colOff>97971</xdr:colOff>
      <xdr:row>4</xdr:row>
      <xdr:rowOff>5443</xdr:rowOff>
    </xdr:from>
    <xdr:to>
      <xdr:col>14</xdr:col>
      <xdr:colOff>179614</xdr:colOff>
      <xdr:row>14</xdr:row>
      <xdr:rowOff>59320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17E3C0-E311-47BB-B683-A5BD463F9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04114" y="745672"/>
          <a:ext cx="3129643" cy="1904448"/>
        </a:xfrm>
        <a:prstGeom prst="rect">
          <a:avLst/>
        </a:prstGeom>
      </xdr:spPr>
    </xdr:pic>
    <xdr:clientData/>
  </xdr:twoCellAnchor>
  <xdr:twoCellAnchor>
    <xdr:from>
      <xdr:col>10</xdr:col>
      <xdr:colOff>185058</xdr:colOff>
      <xdr:row>9</xdr:row>
      <xdr:rowOff>141515</xdr:rowOff>
    </xdr:from>
    <xdr:to>
      <xdr:col>10</xdr:col>
      <xdr:colOff>185058</xdr:colOff>
      <xdr:row>11</xdr:row>
      <xdr:rowOff>97972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AA15117F-75DD-4F86-871E-525030164157}"/>
            </a:ext>
          </a:extLst>
        </xdr:cNvPr>
        <xdr:cNvCxnSpPr/>
      </xdr:nvCxnSpPr>
      <xdr:spPr>
        <a:xfrm flipV="1">
          <a:off x="6404429" y="1774372"/>
          <a:ext cx="0" cy="31931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68944</xdr:colOff>
      <xdr:row>9</xdr:row>
      <xdr:rowOff>141515</xdr:rowOff>
    </xdr:from>
    <xdr:to>
      <xdr:col>11</xdr:col>
      <xdr:colOff>68944</xdr:colOff>
      <xdr:row>11</xdr:row>
      <xdr:rowOff>97972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89CA6F82-1945-4F2B-96CF-BE160263BC70}"/>
            </a:ext>
          </a:extLst>
        </xdr:cNvPr>
        <xdr:cNvCxnSpPr/>
      </xdr:nvCxnSpPr>
      <xdr:spPr>
        <a:xfrm flipV="1">
          <a:off x="6897915" y="1774372"/>
          <a:ext cx="0" cy="31931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159658</xdr:colOff>
      <xdr:row>5</xdr:row>
      <xdr:rowOff>21773</xdr:rowOff>
    </xdr:from>
    <xdr:to>
      <xdr:col>13</xdr:col>
      <xdr:colOff>159658</xdr:colOff>
      <xdr:row>6</xdr:row>
      <xdr:rowOff>159659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C27FB3AC-45AF-475B-830E-7D9182155D1B}"/>
            </a:ext>
          </a:extLst>
        </xdr:cNvPr>
        <xdr:cNvCxnSpPr/>
      </xdr:nvCxnSpPr>
      <xdr:spPr>
        <a:xfrm flipV="1">
          <a:off x="8207829" y="928916"/>
          <a:ext cx="0" cy="31931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587830</xdr:colOff>
      <xdr:row>5</xdr:row>
      <xdr:rowOff>25401</xdr:rowOff>
    </xdr:from>
    <xdr:to>
      <xdr:col>13</xdr:col>
      <xdr:colOff>587830</xdr:colOff>
      <xdr:row>6</xdr:row>
      <xdr:rowOff>163287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AA02D8E-8595-4D77-9B27-C32B820D3F1B}"/>
            </a:ext>
          </a:extLst>
        </xdr:cNvPr>
        <xdr:cNvCxnSpPr/>
      </xdr:nvCxnSpPr>
      <xdr:spPr>
        <a:xfrm flipV="1">
          <a:off x="8636001" y="932544"/>
          <a:ext cx="0" cy="31931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188686</xdr:colOff>
      <xdr:row>10</xdr:row>
      <xdr:rowOff>36285</xdr:rowOff>
    </xdr:from>
    <xdr:to>
      <xdr:col>11</xdr:col>
      <xdr:colOff>61686</xdr:colOff>
      <xdr:row>10</xdr:row>
      <xdr:rowOff>39914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1F0F9475-F8B7-4CEB-A823-99A958D86ABA}"/>
            </a:ext>
          </a:extLst>
        </xdr:cNvPr>
        <xdr:cNvCxnSpPr/>
      </xdr:nvCxnSpPr>
      <xdr:spPr>
        <a:xfrm flipV="1">
          <a:off x="6408057" y="1850571"/>
          <a:ext cx="482600" cy="362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156029</xdr:colOff>
      <xdr:row>5</xdr:row>
      <xdr:rowOff>72571</xdr:rowOff>
    </xdr:from>
    <xdr:to>
      <xdr:col>13</xdr:col>
      <xdr:colOff>598715</xdr:colOff>
      <xdr:row>5</xdr:row>
      <xdr:rowOff>76201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5F633677-5774-4E18-AF22-50AB1941847A}"/>
            </a:ext>
          </a:extLst>
        </xdr:cNvPr>
        <xdr:cNvCxnSpPr/>
      </xdr:nvCxnSpPr>
      <xdr:spPr>
        <a:xfrm flipV="1">
          <a:off x="8204200" y="979714"/>
          <a:ext cx="442686" cy="363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275772</xdr:colOff>
      <xdr:row>8</xdr:row>
      <xdr:rowOff>123371</xdr:rowOff>
    </xdr:from>
    <xdr:to>
      <xdr:col>11</xdr:col>
      <xdr:colOff>14515</xdr:colOff>
      <xdr:row>10</xdr:row>
      <xdr:rowOff>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886044A1-9D44-44B6-8CA4-679373C18BDD}"/>
            </a:ext>
          </a:extLst>
        </xdr:cNvPr>
        <xdr:cNvSpPr txBox="1"/>
      </xdr:nvSpPr>
      <xdr:spPr>
        <a:xfrm>
          <a:off x="6495143" y="1574800"/>
          <a:ext cx="348343" cy="2394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L1</a:t>
          </a:r>
        </a:p>
      </xdr:txBody>
    </xdr:sp>
    <xdr:clientData/>
  </xdr:twoCellAnchor>
  <xdr:twoCellAnchor>
    <xdr:from>
      <xdr:col>13</xdr:col>
      <xdr:colOff>221343</xdr:colOff>
      <xdr:row>3</xdr:row>
      <xdr:rowOff>174171</xdr:rowOff>
    </xdr:from>
    <xdr:to>
      <xdr:col>13</xdr:col>
      <xdr:colOff>569686</xdr:colOff>
      <xdr:row>5</xdr:row>
      <xdr:rowOff>50800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21E0397-93BD-4FDB-9FC1-4004C875D3C2}"/>
            </a:ext>
          </a:extLst>
        </xdr:cNvPr>
        <xdr:cNvSpPr txBox="1"/>
      </xdr:nvSpPr>
      <xdr:spPr>
        <a:xfrm>
          <a:off x="8269514" y="718457"/>
          <a:ext cx="348343" cy="2394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L2</a:t>
          </a:r>
        </a:p>
      </xdr:txBody>
    </xdr:sp>
    <xdr:clientData/>
  </xdr:twoCellAnchor>
  <xdr:twoCellAnchor editAs="oneCell">
    <xdr:from>
      <xdr:col>9</xdr:col>
      <xdr:colOff>70758</xdr:colOff>
      <xdr:row>0</xdr:row>
      <xdr:rowOff>0</xdr:rowOff>
    </xdr:from>
    <xdr:to>
      <xdr:col>12</xdr:col>
      <xdr:colOff>326572</xdr:colOff>
      <xdr:row>8</xdr:row>
      <xdr:rowOff>47100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968C619-4CA5-4AF5-AE1D-62C96E795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76901" y="0"/>
          <a:ext cx="2084614" cy="15275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66221</xdr:colOff>
      <xdr:row>16</xdr:row>
      <xdr:rowOff>96158</xdr:rowOff>
    </xdr:from>
    <xdr:to>
      <xdr:col>16</xdr:col>
      <xdr:colOff>464235</xdr:colOff>
      <xdr:row>28</xdr:row>
      <xdr:rowOff>58965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F02AAE-AB6B-4951-9EED-42AD75BE8B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/>
        <a:stretch/>
      </xdr:blipFill>
      <xdr:spPr>
        <a:xfrm>
          <a:off x="6178550" y="3067958"/>
          <a:ext cx="4665214" cy="2390321"/>
        </a:xfrm>
        <a:prstGeom prst="rect">
          <a:avLst/>
        </a:prstGeom>
      </xdr:spPr>
    </xdr:pic>
    <xdr:clientData/>
  </xdr:twoCellAnchor>
  <xdr:twoCellAnchor editAs="oneCell">
    <xdr:from>
      <xdr:col>9</xdr:col>
      <xdr:colOff>97971</xdr:colOff>
      <xdr:row>4</xdr:row>
      <xdr:rowOff>5443</xdr:rowOff>
    </xdr:from>
    <xdr:to>
      <xdr:col>14</xdr:col>
      <xdr:colOff>179614</xdr:colOff>
      <xdr:row>14</xdr:row>
      <xdr:rowOff>59321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237519-F817-4E70-B26C-5915D0343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06291" y="736963"/>
          <a:ext cx="3129643" cy="1882677"/>
        </a:xfrm>
        <a:prstGeom prst="rect">
          <a:avLst/>
        </a:prstGeom>
      </xdr:spPr>
    </xdr:pic>
    <xdr:clientData/>
  </xdr:twoCellAnchor>
  <xdr:twoCellAnchor>
    <xdr:from>
      <xdr:col>10</xdr:col>
      <xdr:colOff>185058</xdr:colOff>
      <xdr:row>9</xdr:row>
      <xdr:rowOff>141515</xdr:rowOff>
    </xdr:from>
    <xdr:to>
      <xdr:col>10</xdr:col>
      <xdr:colOff>185058</xdr:colOff>
      <xdr:row>11</xdr:row>
      <xdr:rowOff>97972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E9C0992-86B2-476D-A4CE-13DD999DEB61}"/>
            </a:ext>
          </a:extLst>
        </xdr:cNvPr>
        <xdr:cNvCxnSpPr/>
      </xdr:nvCxnSpPr>
      <xdr:spPr>
        <a:xfrm flipV="1">
          <a:off x="6402978" y="1787435"/>
          <a:ext cx="0" cy="32221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68944</xdr:colOff>
      <xdr:row>9</xdr:row>
      <xdr:rowOff>141515</xdr:rowOff>
    </xdr:from>
    <xdr:to>
      <xdr:col>11</xdr:col>
      <xdr:colOff>68944</xdr:colOff>
      <xdr:row>11</xdr:row>
      <xdr:rowOff>97972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5C20183C-1F2A-4788-BEB5-0DD0EC31DBBB}"/>
            </a:ext>
          </a:extLst>
        </xdr:cNvPr>
        <xdr:cNvCxnSpPr/>
      </xdr:nvCxnSpPr>
      <xdr:spPr>
        <a:xfrm flipV="1">
          <a:off x="6896464" y="1787435"/>
          <a:ext cx="0" cy="32221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159658</xdr:colOff>
      <xdr:row>5</xdr:row>
      <xdr:rowOff>21773</xdr:rowOff>
    </xdr:from>
    <xdr:to>
      <xdr:col>13</xdr:col>
      <xdr:colOff>159658</xdr:colOff>
      <xdr:row>6</xdr:row>
      <xdr:rowOff>159659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32D15EE2-58CD-46C6-AB98-23ABFF7984DD}"/>
            </a:ext>
          </a:extLst>
        </xdr:cNvPr>
        <xdr:cNvCxnSpPr/>
      </xdr:nvCxnSpPr>
      <xdr:spPr>
        <a:xfrm flipV="1">
          <a:off x="8206378" y="936173"/>
          <a:ext cx="0" cy="3207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587830</xdr:colOff>
      <xdr:row>5</xdr:row>
      <xdr:rowOff>25401</xdr:rowOff>
    </xdr:from>
    <xdr:to>
      <xdr:col>13</xdr:col>
      <xdr:colOff>587830</xdr:colOff>
      <xdr:row>6</xdr:row>
      <xdr:rowOff>163287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1A53F98E-2CD3-4F1F-8D12-ED174A431D14}"/>
            </a:ext>
          </a:extLst>
        </xdr:cNvPr>
        <xdr:cNvCxnSpPr/>
      </xdr:nvCxnSpPr>
      <xdr:spPr>
        <a:xfrm flipV="1">
          <a:off x="8634550" y="939801"/>
          <a:ext cx="0" cy="32076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188686</xdr:colOff>
      <xdr:row>10</xdr:row>
      <xdr:rowOff>36285</xdr:rowOff>
    </xdr:from>
    <xdr:to>
      <xdr:col>11</xdr:col>
      <xdr:colOff>61686</xdr:colOff>
      <xdr:row>10</xdr:row>
      <xdr:rowOff>39914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9CB64271-5D4F-4C26-B01A-63C2964BC37E}"/>
            </a:ext>
          </a:extLst>
        </xdr:cNvPr>
        <xdr:cNvCxnSpPr/>
      </xdr:nvCxnSpPr>
      <xdr:spPr>
        <a:xfrm flipV="1">
          <a:off x="6406606" y="1865085"/>
          <a:ext cx="482600" cy="362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156029</xdr:colOff>
      <xdr:row>5</xdr:row>
      <xdr:rowOff>72571</xdr:rowOff>
    </xdr:from>
    <xdr:to>
      <xdr:col>13</xdr:col>
      <xdr:colOff>598715</xdr:colOff>
      <xdr:row>5</xdr:row>
      <xdr:rowOff>76201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D02DE4A4-74B7-4C14-9F65-6A28344D0EEB}"/>
            </a:ext>
          </a:extLst>
        </xdr:cNvPr>
        <xdr:cNvCxnSpPr/>
      </xdr:nvCxnSpPr>
      <xdr:spPr>
        <a:xfrm flipV="1">
          <a:off x="8202749" y="986971"/>
          <a:ext cx="442686" cy="363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275772</xdr:colOff>
      <xdr:row>8</xdr:row>
      <xdr:rowOff>123371</xdr:rowOff>
    </xdr:from>
    <xdr:to>
      <xdr:col>11</xdr:col>
      <xdr:colOff>14515</xdr:colOff>
      <xdr:row>10</xdr:row>
      <xdr:rowOff>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15E6ADD-3FC0-479D-B5C0-2504C8016C13}"/>
            </a:ext>
          </a:extLst>
        </xdr:cNvPr>
        <xdr:cNvSpPr txBox="1"/>
      </xdr:nvSpPr>
      <xdr:spPr>
        <a:xfrm>
          <a:off x="6493692" y="1586411"/>
          <a:ext cx="348343" cy="24238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L1</a:t>
          </a:r>
        </a:p>
      </xdr:txBody>
    </xdr:sp>
    <xdr:clientData/>
  </xdr:twoCellAnchor>
  <xdr:twoCellAnchor>
    <xdr:from>
      <xdr:col>13</xdr:col>
      <xdr:colOff>221343</xdr:colOff>
      <xdr:row>3</xdr:row>
      <xdr:rowOff>174171</xdr:rowOff>
    </xdr:from>
    <xdr:to>
      <xdr:col>13</xdr:col>
      <xdr:colOff>569686</xdr:colOff>
      <xdr:row>5</xdr:row>
      <xdr:rowOff>50800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7FEB357-DEBD-4FFD-BA1E-DD2BCEB3BBAE}"/>
            </a:ext>
          </a:extLst>
        </xdr:cNvPr>
        <xdr:cNvSpPr txBox="1"/>
      </xdr:nvSpPr>
      <xdr:spPr>
        <a:xfrm>
          <a:off x="8268063" y="722811"/>
          <a:ext cx="348343" cy="24238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L2</a:t>
          </a:r>
        </a:p>
      </xdr:txBody>
    </xdr:sp>
    <xdr:clientData/>
  </xdr:twoCellAnchor>
  <xdr:twoCellAnchor editAs="oneCell">
    <xdr:from>
      <xdr:col>9</xdr:col>
      <xdr:colOff>70758</xdr:colOff>
      <xdr:row>0</xdr:row>
      <xdr:rowOff>0</xdr:rowOff>
    </xdr:from>
    <xdr:to>
      <xdr:col>12</xdr:col>
      <xdr:colOff>326572</xdr:colOff>
      <xdr:row>8</xdr:row>
      <xdr:rowOff>30167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49CBEB-625F-431B-849E-AA6546620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79078" y="0"/>
          <a:ext cx="2084614" cy="1510140"/>
        </a:xfrm>
        <a:prstGeom prst="rect">
          <a:avLst/>
        </a:prstGeom>
      </xdr:spPr>
    </xdr:pic>
    <xdr:clientData/>
  </xdr:twoCellAnchor>
  <xdr:twoCellAnchor>
    <xdr:from>
      <xdr:col>3</xdr:col>
      <xdr:colOff>125185</xdr:colOff>
      <xdr:row>22</xdr:row>
      <xdr:rowOff>13607</xdr:rowOff>
    </xdr:from>
    <xdr:to>
      <xdr:col>3</xdr:col>
      <xdr:colOff>605894</xdr:colOff>
      <xdr:row>22</xdr:row>
      <xdr:rowOff>335426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295C93E2-AF6F-4B2B-B84D-9148858132C3}"/>
                </a:ext>
              </a:extLst>
            </xdr:cNvPr>
            <xdr:cNvSpPr txBox="1"/>
          </xdr:nvSpPr>
          <xdr:spPr>
            <a:xfrm>
              <a:off x="1953985" y="3540578"/>
              <a:ext cx="480709" cy="3218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𝐿𝑒𝑓𝑓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295C93E2-AF6F-4B2B-B84D-9148858132C3}"/>
                </a:ext>
              </a:extLst>
            </xdr:cNvPr>
            <xdr:cNvSpPr txBox="1"/>
          </xdr:nvSpPr>
          <xdr:spPr>
            <a:xfrm>
              <a:off x="1953985" y="3540578"/>
              <a:ext cx="480709" cy="32181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𝐿𝑒𝑓𝑓/𝑑=</a:t>
              </a:r>
              <a:endParaRPr lang="en-US" sz="1100"/>
            </a:p>
          </xdr:txBody>
        </xdr:sp>
      </mc:Fallback>
    </mc:AlternateContent>
    <xdr:clientData/>
  </xdr:twoCellAnchor>
  <xdr:oneCellAnchor>
    <xdr:from>
      <xdr:col>10</xdr:col>
      <xdr:colOff>84765</xdr:colOff>
      <xdr:row>32</xdr:row>
      <xdr:rowOff>174557</xdr:rowOff>
    </xdr:from>
    <xdr:ext cx="570604" cy="1946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12C2A0F4-7855-4754-8A90-AC27CDF50445}"/>
                </a:ext>
              </a:extLst>
            </xdr:cNvPr>
            <xdr:cNvSpPr txBox="1"/>
          </xdr:nvSpPr>
          <xdr:spPr>
            <a:xfrm>
              <a:off x="6300508" y="5933100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12C2A0F4-7855-4754-8A90-AC27CDF50445}"/>
                </a:ext>
              </a:extLst>
            </xdr:cNvPr>
            <xdr:cNvSpPr txBox="1"/>
          </xdr:nvSpPr>
          <xdr:spPr>
            <a:xfrm>
              <a:off x="6300508" y="5933100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√(</a:t>
              </a:r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+𝑇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2)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9</xdr:col>
      <xdr:colOff>468549</xdr:colOff>
      <xdr:row>30</xdr:row>
      <xdr:rowOff>121834</xdr:rowOff>
    </xdr:from>
    <xdr:to>
      <xdr:col>10</xdr:col>
      <xdr:colOff>548033</xdr:colOff>
      <xdr:row>34</xdr:row>
      <xdr:rowOff>144961</xdr:rowOff>
    </xdr:to>
    <xdr:sp macro="" textlink="">
      <xdr:nvSpPr>
        <xdr:cNvPr id="16" name="Right Triangle 15">
          <a:extLst>
            <a:ext uri="{FF2B5EF4-FFF2-40B4-BE49-F238E27FC236}">
              <a16:creationId xmlns:a16="http://schemas.microsoft.com/office/drawing/2014/main" id="{7C1EDE53-2018-40C9-955D-8DA8AFCABF2A}"/>
            </a:ext>
          </a:extLst>
        </xdr:cNvPr>
        <xdr:cNvSpPr/>
      </xdr:nvSpPr>
      <xdr:spPr>
        <a:xfrm flipV="1">
          <a:off x="6074692" y="5510263"/>
          <a:ext cx="689084" cy="785127"/>
        </a:xfrm>
        <a:prstGeom prst="rt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9</xdr:col>
      <xdr:colOff>315686</xdr:colOff>
      <xdr:row>32</xdr:row>
      <xdr:rowOff>24888</xdr:rowOff>
    </xdr:from>
    <xdr:ext cx="12586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909A366-6EB5-40EE-96B5-DA3AE96CC2B1}"/>
                </a:ext>
              </a:extLst>
            </xdr:cNvPr>
            <xdr:cNvSpPr txBox="1"/>
          </xdr:nvSpPr>
          <xdr:spPr>
            <a:xfrm>
              <a:off x="5921829" y="5783431"/>
              <a:ext cx="1258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𝑅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B909A366-6EB5-40EE-96B5-DA3AE96CC2B1}"/>
                </a:ext>
              </a:extLst>
            </xdr:cNvPr>
            <xdr:cNvSpPr txBox="1"/>
          </xdr:nvSpPr>
          <xdr:spPr>
            <a:xfrm>
              <a:off x="5921829" y="5783431"/>
              <a:ext cx="12586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525069</xdr:colOff>
      <xdr:row>29</xdr:row>
      <xdr:rowOff>103415</xdr:rowOff>
    </xdr:from>
    <xdr:ext cx="135358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61C25147-C9BC-4382-AC4E-23625B86756E}"/>
                </a:ext>
              </a:extLst>
            </xdr:cNvPr>
            <xdr:cNvSpPr txBox="1"/>
          </xdr:nvSpPr>
          <xdr:spPr>
            <a:xfrm>
              <a:off x="6131212" y="5306786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𝑇</m:t>
                    </m:r>
                  </m:oMath>
                </m:oMathPara>
              </a14:m>
              <a:endParaRPr lang="en-US" sz="110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61C25147-C9BC-4382-AC4E-23625B86756E}"/>
                </a:ext>
              </a:extLst>
            </xdr:cNvPr>
            <xdr:cNvSpPr txBox="1"/>
          </xdr:nvSpPr>
          <xdr:spPr>
            <a:xfrm>
              <a:off x="6131212" y="5306786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𝑇</a:t>
              </a:r>
              <a:endParaRPr lang="en-US" sz="1100"/>
            </a:p>
            <a:p>
              <a:endParaRPr lang="en-US" sz="1100"/>
            </a:p>
          </xdr:txBody>
        </xdr:sp>
      </mc:Fallback>
    </mc:AlternateContent>
    <xdr:clientData/>
  </xdr:oneCellAnchor>
  <xdr:twoCellAnchor>
    <xdr:from>
      <xdr:col>10</xdr:col>
      <xdr:colOff>582387</xdr:colOff>
      <xdr:row>41</xdr:row>
      <xdr:rowOff>21769</xdr:rowOff>
    </xdr:from>
    <xdr:to>
      <xdr:col>12</xdr:col>
      <xdr:colOff>190501</xdr:colOff>
      <xdr:row>45</xdr:row>
      <xdr:rowOff>146956</xdr:rowOff>
    </xdr:to>
    <xdr:sp macro="" textlink="">
      <xdr:nvSpPr>
        <xdr:cNvPr id="19" name="Right Triangle 18">
          <a:extLst>
            <a:ext uri="{FF2B5EF4-FFF2-40B4-BE49-F238E27FC236}">
              <a16:creationId xmlns:a16="http://schemas.microsoft.com/office/drawing/2014/main" id="{E73E9C5F-8018-47B5-BA0F-5203DB7AD1B5}"/>
            </a:ext>
          </a:extLst>
        </xdr:cNvPr>
        <xdr:cNvSpPr/>
      </xdr:nvSpPr>
      <xdr:spPr>
        <a:xfrm flipV="1">
          <a:off x="6798130" y="7467598"/>
          <a:ext cx="827314" cy="865415"/>
        </a:xfrm>
        <a:prstGeom prst="rt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</a:t>
          </a:r>
        </a:p>
        <a:p>
          <a:pPr algn="l"/>
          <a:endParaRPr lang="en-US" sz="1100"/>
        </a:p>
      </xdr:txBody>
    </xdr:sp>
    <xdr:clientData/>
  </xdr:twoCellAnchor>
  <xdr:twoCellAnchor>
    <xdr:from>
      <xdr:col>9</xdr:col>
      <xdr:colOff>306303</xdr:colOff>
      <xdr:row>40</xdr:row>
      <xdr:rowOff>99931</xdr:rowOff>
    </xdr:from>
    <xdr:to>
      <xdr:col>10</xdr:col>
      <xdr:colOff>582387</xdr:colOff>
      <xdr:row>45</xdr:row>
      <xdr:rowOff>146956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1D290921-C36E-44B8-A265-F5952CF9AAB2}"/>
            </a:ext>
          </a:extLst>
        </xdr:cNvPr>
        <xdr:cNvCxnSpPr>
          <a:stCxn id="19" idx="0"/>
          <a:endCxn id="22" idx="0"/>
        </xdr:cNvCxnSpPr>
      </xdr:nvCxnSpPr>
      <xdr:spPr>
        <a:xfrm flipH="1" flipV="1">
          <a:off x="5912446" y="7360702"/>
          <a:ext cx="885684" cy="97231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322635</xdr:colOff>
      <xdr:row>36</xdr:row>
      <xdr:rowOff>76201</xdr:rowOff>
    </xdr:from>
    <xdr:to>
      <xdr:col>10</xdr:col>
      <xdr:colOff>582387</xdr:colOff>
      <xdr:row>41</xdr:row>
      <xdr:rowOff>21769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25E80509-2912-4A2D-BBEF-0CB6E6D5CA62}"/>
            </a:ext>
          </a:extLst>
        </xdr:cNvPr>
        <xdr:cNvCxnSpPr>
          <a:stCxn id="19" idx="2"/>
        </xdr:cNvCxnSpPr>
      </xdr:nvCxnSpPr>
      <xdr:spPr>
        <a:xfrm flipH="1" flipV="1">
          <a:off x="5928778" y="6596744"/>
          <a:ext cx="869352" cy="87085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306303</xdr:colOff>
      <xdr:row>36</xdr:row>
      <xdr:rowOff>76200</xdr:rowOff>
    </xdr:from>
    <xdr:to>
      <xdr:col>10</xdr:col>
      <xdr:colOff>601899</xdr:colOff>
      <xdr:row>40</xdr:row>
      <xdr:rowOff>99931</xdr:rowOff>
    </xdr:to>
    <xdr:sp macro="" textlink="">
      <xdr:nvSpPr>
        <xdr:cNvPr id="22" name="Right Triangle 21">
          <a:extLst>
            <a:ext uri="{FF2B5EF4-FFF2-40B4-BE49-F238E27FC236}">
              <a16:creationId xmlns:a16="http://schemas.microsoft.com/office/drawing/2014/main" id="{24D35910-84FF-4765-AEE9-B5DD1FC5CC6E}"/>
            </a:ext>
          </a:extLst>
        </xdr:cNvPr>
        <xdr:cNvSpPr/>
      </xdr:nvSpPr>
      <xdr:spPr>
        <a:xfrm flipV="1">
          <a:off x="5912446" y="6596743"/>
          <a:ext cx="905196" cy="763959"/>
        </a:xfrm>
        <a:prstGeom prst="rtTriangle">
          <a:avLst/>
        </a:prstGeom>
        <a:noFill/>
        <a:ln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</a:t>
          </a:r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601899</xdr:colOff>
      <xdr:row>36</xdr:row>
      <xdr:rowOff>76200</xdr:rowOff>
    </xdr:from>
    <xdr:to>
      <xdr:col>12</xdr:col>
      <xdr:colOff>190501</xdr:colOff>
      <xdr:row>41</xdr:row>
      <xdr:rowOff>21769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8C1F1667-50E4-407D-BE9B-9871F83BDE79}"/>
            </a:ext>
          </a:extLst>
        </xdr:cNvPr>
        <xdr:cNvCxnSpPr>
          <a:stCxn id="19" idx="4"/>
          <a:endCxn id="22" idx="4"/>
        </xdr:cNvCxnSpPr>
      </xdr:nvCxnSpPr>
      <xdr:spPr>
        <a:xfrm flipH="1" flipV="1">
          <a:off x="6817642" y="6596743"/>
          <a:ext cx="807802" cy="8708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288743</xdr:colOff>
      <xdr:row>40</xdr:row>
      <xdr:rowOff>50106</xdr:rowOff>
    </xdr:from>
    <xdr:ext cx="135358" cy="3444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D61668BB-2CD5-4D80-822B-8D8152444313}"/>
                </a:ext>
              </a:extLst>
            </xdr:cNvPr>
            <xdr:cNvSpPr txBox="1"/>
          </xdr:nvSpPr>
          <xdr:spPr>
            <a:xfrm>
              <a:off x="7114086" y="7310877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𝑇</m:t>
                    </m:r>
                  </m:oMath>
                </m:oMathPara>
              </a14:m>
              <a:endParaRPr lang="en-US" sz="1100"/>
            </a:p>
            <a:p>
              <a:endParaRPr lang="en-US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D61668BB-2CD5-4D80-822B-8D8152444313}"/>
                </a:ext>
              </a:extLst>
            </xdr:cNvPr>
            <xdr:cNvSpPr txBox="1"/>
          </xdr:nvSpPr>
          <xdr:spPr>
            <a:xfrm>
              <a:off x="7114086" y="7310877"/>
              <a:ext cx="135358" cy="3444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𝑇</a:t>
              </a:r>
              <a:endParaRPr lang="en-US" sz="1100"/>
            </a:p>
            <a:p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457121</xdr:colOff>
      <xdr:row>43</xdr:row>
      <xdr:rowOff>16276</xdr:rowOff>
    </xdr:from>
    <xdr:ext cx="12586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B92055ED-7C7C-4FAB-97F3-C6E5F863D12C}"/>
                </a:ext>
              </a:extLst>
            </xdr:cNvPr>
            <xdr:cNvSpPr txBox="1"/>
          </xdr:nvSpPr>
          <xdr:spPr>
            <a:xfrm>
              <a:off x="6672864" y="7832219"/>
              <a:ext cx="12586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𝑅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B92055ED-7C7C-4FAB-97F3-C6E5F863D12C}"/>
                </a:ext>
              </a:extLst>
            </xdr:cNvPr>
            <xdr:cNvSpPr txBox="1"/>
          </xdr:nvSpPr>
          <xdr:spPr>
            <a:xfrm>
              <a:off x="6672864" y="7832219"/>
              <a:ext cx="12586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416673</xdr:colOff>
      <xdr:row>43</xdr:row>
      <xdr:rowOff>108475</xdr:rowOff>
    </xdr:from>
    <xdr:ext cx="570604" cy="1946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C8BED276-566E-4D33-A681-D0FFAFAF3A3B}"/>
                </a:ext>
              </a:extLst>
            </xdr:cNvPr>
            <xdr:cNvSpPr txBox="1"/>
          </xdr:nvSpPr>
          <xdr:spPr>
            <a:xfrm>
              <a:off x="7242016" y="7924418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𝑅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+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US" sz="1100" b="0" i="1" baseline="30000">
                            <a:latin typeface="Cambria Math" panose="02040503050406030204" pitchFamily="18" charset="0"/>
                          </a:rPr>
                          <m:t>2</m:t>
                        </m:r>
                      </m:e>
                    </m:rad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C8BED276-566E-4D33-A681-D0FFAFAF3A3B}"/>
                </a:ext>
              </a:extLst>
            </xdr:cNvPr>
            <xdr:cNvSpPr txBox="1"/>
          </xdr:nvSpPr>
          <xdr:spPr>
            <a:xfrm>
              <a:off x="7242016" y="7924418"/>
              <a:ext cx="570604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√(</a:t>
              </a:r>
              <a:r>
                <a:rPr lang="en-US" sz="1100" b="0" i="0">
                  <a:latin typeface="Cambria Math" panose="02040503050406030204" pitchFamily="18" charset="0"/>
                </a:rPr>
                <a:t>𝑅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</a:t>
              </a:r>
              <a:r>
                <a:rPr lang="en-US" sz="1100" b="0" i="0">
                  <a:latin typeface="Cambria Math" panose="02040503050406030204" pitchFamily="18" charset="0"/>
                </a:rPr>
                <a:t>+𝑇</a:t>
              </a:r>
              <a:r>
                <a:rPr lang="en-US" sz="1100" b="0" i="0" baseline="30000">
                  <a:latin typeface="Cambria Math" panose="02040503050406030204" pitchFamily="18" charset="0"/>
                </a:rPr>
                <a:t>2)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255815</xdr:colOff>
      <xdr:row>42</xdr:row>
      <xdr:rowOff>52068</xdr:rowOff>
    </xdr:from>
    <xdr:ext cx="429027" cy="50295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34AA15FB-9E60-4781-822D-98A587ABE054}"/>
                </a:ext>
              </a:extLst>
            </xdr:cNvPr>
            <xdr:cNvSpPr txBox="1"/>
          </xdr:nvSpPr>
          <xdr:spPr>
            <a:xfrm>
              <a:off x="5861958" y="7682954"/>
              <a:ext cx="429027" cy="5029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𝑤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𝑖𝑑𝑡h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𝑜𝑓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b="0" i="1">
                <a:latin typeface="Cambria Math" panose="02040503050406030204" pitchFamily="18" charset="0"/>
              </a:endParaRP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𝑠𝑡𝑎𝑖𝑟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34AA15FB-9E60-4781-822D-98A587ABE054}"/>
                </a:ext>
              </a:extLst>
            </xdr:cNvPr>
            <xdr:cNvSpPr txBox="1"/>
          </xdr:nvSpPr>
          <xdr:spPr>
            <a:xfrm>
              <a:off x="5861958" y="7682954"/>
              <a:ext cx="429027" cy="5029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𝑤</a:t>
              </a:r>
              <a:r>
                <a:rPr lang="en-US" sz="1100" b="0" i="0">
                  <a:latin typeface="Cambria Math" panose="02040503050406030204" pitchFamily="18" charset="0"/>
                </a:rPr>
                <a:t>𝑖𝑑𝑡ℎ </a:t>
              </a:r>
              <a:endParaRPr lang="en-US" sz="1100" b="0" i="1">
                <a:latin typeface="Cambria Math" panose="02040503050406030204" pitchFamily="18" charset="0"/>
              </a:endParaRPr>
            </a:p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𝑜𝑓 </a:t>
              </a:r>
              <a:endParaRPr lang="en-US" sz="1100" b="0" i="1">
                <a:latin typeface="Cambria Math" panose="02040503050406030204" pitchFamily="18" charset="0"/>
              </a:endParaRPr>
            </a:p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𝑠𝑡𝑎𝑖𝑟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10</xdr:col>
      <xdr:colOff>255814</xdr:colOff>
      <xdr:row>31</xdr:row>
      <xdr:rowOff>163285</xdr:rowOff>
    </xdr:from>
    <xdr:to>
      <xdr:col>11</xdr:col>
      <xdr:colOff>337457</xdr:colOff>
      <xdr:row>36</xdr:row>
      <xdr:rowOff>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B44B64C-0B74-41B1-A4B7-1A60651CCAD4}"/>
            </a:ext>
          </a:extLst>
        </xdr:cNvPr>
        <xdr:cNvCxnSpPr/>
      </xdr:nvCxnSpPr>
      <xdr:spPr>
        <a:xfrm flipV="1">
          <a:off x="6471557" y="5736771"/>
          <a:ext cx="691243" cy="783772"/>
        </a:xfrm>
        <a:prstGeom prst="lin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548033</xdr:colOff>
      <xdr:row>30</xdr:row>
      <xdr:rowOff>121834</xdr:rowOff>
    </xdr:from>
    <xdr:to>
      <xdr:col>11</xdr:col>
      <xdr:colOff>304800</xdr:colOff>
      <xdr:row>32</xdr:row>
      <xdr:rowOff>43543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A2209DD8-1FD7-4F48-B60D-04D763C13114}"/>
            </a:ext>
          </a:extLst>
        </xdr:cNvPr>
        <xdr:cNvCxnSpPr>
          <a:endCxn id="16" idx="4"/>
        </xdr:cNvCxnSpPr>
      </xdr:nvCxnSpPr>
      <xdr:spPr>
        <a:xfrm flipH="1" flipV="1">
          <a:off x="6763776" y="5510263"/>
          <a:ext cx="366367" cy="291823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73879</xdr:colOff>
      <xdr:row>30</xdr:row>
      <xdr:rowOff>65700</xdr:rowOff>
    </xdr:from>
    <xdr:ext cx="13362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25057F6D-9FF1-4A32-A03B-9009CFDBC1C1}"/>
                </a:ext>
              </a:extLst>
            </xdr:cNvPr>
            <xdr:cNvSpPr txBox="1"/>
          </xdr:nvSpPr>
          <xdr:spPr>
            <a:xfrm>
              <a:off x="6899222" y="5454129"/>
              <a:ext cx="1336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𝐷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25057F6D-9FF1-4A32-A03B-9009CFDBC1C1}"/>
                </a:ext>
              </a:extLst>
            </xdr:cNvPr>
            <xdr:cNvSpPr txBox="1"/>
          </xdr:nvSpPr>
          <xdr:spPr>
            <a:xfrm>
              <a:off x="6899222" y="5454129"/>
              <a:ext cx="13362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𝐷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478971</xdr:colOff>
      <xdr:row>35</xdr:row>
      <xdr:rowOff>84364</xdr:rowOff>
    </xdr:from>
    <xdr:ext cx="1752600" cy="34765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4B65C88B-8A0E-4FAA-9776-AF3A28639DB8}"/>
                </a:ext>
              </a:extLst>
            </xdr:cNvPr>
            <xdr:cNvSpPr txBox="1"/>
          </xdr:nvSpPr>
          <xdr:spPr>
            <a:xfrm>
              <a:off x="7913914" y="6419850"/>
              <a:ext cx="1752600" cy="3476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600" b="0" i="1">
                      <a:latin typeface="Cambria Math" panose="02040503050406030204" pitchFamily="18" charset="0"/>
                    </a:rPr>
                    <m:t>{(</m:t>
                  </m:r>
                  <m:f>
                    <m:fPr>
                      <m:ctrlPr>
                        <a:rPr lang="en-US" sz="16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600" b="0" i="1">
                          <a:latin typeface="Cambria Math" panose="02040503050406030204" pitchFamily="18" charset="0"/>
                        </a:rPr>
                        <m:t>1</m:t>
                      </m:r>
                    </m:num>
                    <m:den>
                      <m:r>
                        <a:rPr lang="en-US" sz="1600" b="0" i="1">
                          <a:latin typeface="Cambria Math" panose="02040503050406030204" pitchFamily="18" charset="0"/>
                        </a:rPr>
                        <m:t>2</m:t>
                      </m:r>
                    </m:den>
                  </m:f>
                  <m:r>
                    <a:rPr lang="en-US" sz="1600" b="0" i="1">
                      <a:latin typeface="Cambria Math" panose="02040503050406030204" pitchFamily="18" charset="0"/>
                    </a:rPr>
                    <m:t>∗</m:t>
                  </m:r>
                  <m:r>
                    <a:rPr lang="en-US" sz="1600" b="0" i="1">
                      <a:latin typeface="Cambria Math" panose="02040503050406030204" pitchFamily="18" charset="0"/>
                    </a:rPr>
                    <m:t>𝑅</m:t>
                  </m:r>
                  <m:r>
                    <a:rPr lang="en-US" sz="1600" b="0" i="1">
                      <a:latin typeface="Cambria Math" panose="02040503050406030204" pitchFamily="18" charset="0"/>
                    </a:rPr>
                    <m:t>∗</m:t>
                  </m:r>
                  <m:r>
                    <a:rPr lang="en-US" sz="1600" b="0" i="1">
                      <a:latin typeface="Cambria Math" panose="02040503050406030204" pitchFamily="18" charset="0"/>
                    </a:rPr>
                    <m:t>𝑇</m:t>
                  </m:r>
                  <m:r>
                    <a:rPr lang="en-US" sz="1600" b="0" i="1">
                      <a:latin typeface="Cambria Math" panose="02040503050406030204" pitchFamily="18" charset="0"/>
                    </a:rPr>
                    <m:t>)∗</m:t>
                  </m:r>
                  <m:r>
                    <m:rPr>
                      <m:sty m:val="p"/>
                    </m:rPr>
                    <a:rPr lang="el-GR" sz="1600" b="0" i="1">
                      <a:latin typeface="Cambria Math" panose="02040503050406030204" pitchFamily="18" charset="0"/>
                    </a:rPr>
                    <m:t>ϒ</m:t>
                  </m:r>
                  <m:r>
                    <a:rPr lang="en-US" sz="1600" b="0" i="0">
                      <a:latin typeface="Cambria Math" panose="02040503050406030204" pitchFamily="18" charset="0"/>
                    </a:rPr>
                    <m:t>}</m:t>
                  </m:r>
                </m:oMath>
              </a14:m>
              <a:r>
                <a:rPr lang="en-US" sz="1600"/>
                <a:t>/T</a:t>
              </a:r>
            </a:p>
          </xdr:txBody>
        </xdr:sp>
      </mc:Choice>
      <mc:Fallback xmlns=""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4B65C88B-8A0E-4FAA-9776-AF3A28639DB8}"/>
                </a:ext>
              </a:extLst>
            </xdr:cNvPr>
            <xdr:cNvSpPr txBox="1"/>
          </xdr:nvSpPr>
          <xdr:spPr>
            <a:xfrm>
              <a:off x="7913914" y="6419850"/>
              <a:ext cx="1752600" cy="34765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600" b="0" i="0">
                  <a:latin typeface="Cambria Math" panose="02040503050406030204" pitchFamily="18" charset="0"/>
                </a:rPr>
                <a:t>{(1/2∗𝑅∗𝑇)∗</a:t>
              </a:r>
              <a:r>
                <a:rPr lang="el-GR" sz="1600" b="0" i="0">
                  <a:latin typeface="Cambria Math" panose="02040503050406030204" pitchFamily="18" charset="0"/>
                </a:rPr>
                <a:t>ϒ</a:t>
              </a:r>
              <a:r>
                <a:rPr lang="en-US" sz="1600" b="0" i="0">
                  <a:latin typeface="Cambria Math" panose="02040503050406030204" pitchFamily="18" charset="0"/>
                </a:rPr>
                <a:t>}</a:t>
              </a:r>
              <a:r>
                <a:rPr lang="en-US" sz="1600"/>
                <a:t>/T</a:t>
              </a:r>
            </a:p>
          </xdr:txBody>
        </xdr:sp>
      </mc:Fallback>
    </mc:AlternateContent>
    <xdr:clientData/>
  </xdr:oneCellAnchor>
  <xdr:twoCellAnchor>
    <xdr:from>
      <xdr:col>1</xdr:col>
      <xdr:colOff>530</xdr:colOff>
      <xdr:row>50</xdr:row>
      <xdr:rowOff>2418</xdr:rowOff>
    </xdr:from>
    <xdr:to>
      <xdr:col>7</xdr:col>
      <xdr:colOff>605367</xdr:colOff>
      <xdr:row>56</xdr:row>
      <xdr:rowOff>177800</xdr:rowOff>
    </xdr:to>
    <xdr:grpSp>
      <xdr:nvGrpSpPr>
        <xdr:cNvPr id="141" name="Group 140">
          <a:extLst>
            <a:ext uri="{FF2B5EF4-FFF2-40B4-BE49-F238E27FC236}">
              <a16:creationId xmlns:a16="http://schemas.microsoft.com/office/drawing/2014/main" id="{2BABFB8B-0D49-40CB-87F6-DF8801766AB4}"/>
            </a:ext>
          </a:extLst>
        </xdr:cNvPr>
        <xdr:cNvGrpSpPr/>
      </xdr:nvGrpSpPr>
      <xdr:grpSpPr>
        <a:xfrm>
          <a:off x="610130" y="9345710"/>
          <a:ext cx="4889622" cy="1265628"/>
          <a:chOff x="610130" y="9362318"/>
          <a:chExt cx="4618037" cy="1267582"/>
        </a:xfrm>
      </xdr:grpSpPr>
      <xdr:cxnSp macro="">
        <xdr:nvCxnSpPr>
          <xdr:cNvPr id="64" name="Straight Arrow Connector 63">
            <a:extLst>
              <a:ext uri="{FF2B5EF4-FFF2-40B4-BE49-F238E27FC236}">
                <a16:creationId xmlns:a16="http://schemas.microsoft.com/office/drawing/2014/main" id="{11604E97-4DC5-4984-A637-34154F7632D9}"/>
              </a:ext>
            </a:extLst>
          </xdr:cNvPr>
          <xdr:cNvCxnSpPr/>
        </xdr:nvCxnSpPr>
        <xdr:spPr>
          <a:xfrm>
            <a:off x="1831711" y="9365721"/>
            <a:ext cx="9185" cy="73561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" name="Straight Arrow Connector 66">
            <a:extLst>
              <a:ext uri="{FF2B5EF4-FFF2-40B4-BE49-F238E27FC236}">
                <a16:creationId xmlns:a16="http://schemas.microsoft.com/office/drawing/2014/main" id="{B0AACC03-18B8-45CB-836A-1ABD41B07070}"/>
              </a:ext>
            </a:extLst>
          </xdr:cNvPr>
          <xdr:cNvCxnSpPr/>
        </xdr:nvCxnSpPr>
        <xdr:spPr>
          <a:xfrm>
            <a:off x="2324630" y="9368102"/>
            <a:ext cx="17010" cy="72779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Arrow Connector 68">
            <a:extLst>
              <a:ext uri="{FF2B5EF4-FFF2-40B4-BE49-F238E27FC236}">
                <a16:creationId xmlns:a16="http://schemas.microsoft.com/office/drawing/2014/main" id="{35AF9006-0E69-49BF-A2FD-A0CCB38F10A0}"/>
              </a:ext>
            </a:extLst>
          </xdr:cNvPr>
          <xdr:cNvCxnSpPr/>
        </xdr:nvCxnSpPr>
        <xdr:spPr>
          <a:xfrm>
            <a:off x="2581125" y="9362320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" name="Straight Arrow Connector 69">
            <a:extLst>
              <a:ext uri="{FF2B5EF4-FFF2-40B4-BE49-F238E27FC236}">
                <a16:creationId xmlns:a16="http://schemas.microsoft.com/office/drawing/2014/main" id="{E282B216-340C-476A-ADCC-FB8ACC9BFDBF}"/>
              </a:ext>
            </a:extLst>
          </xdr:cNvPr>
          <xdr:cNvCxnSpPr/>
        </xdr:nvCxnSpPr>
        <xdr:spPr>
          <a:xfrm>
            <a:off x="2820611" y="9362318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" name="Straight Arrow Connector 70">
            <a:extLst>
              <a:ext uri="{FF2B5EF4-FFF2-40B4-BE49-F238E27FC236}">
                <a16:creationId xmlns:a16="http://schemas.microsoft.com/office/drawing/2014/main" id="{44335227-3E26-41CF-BFE0-50DA7329583C}"/>
              </a:ext>
            </a:extLst>
          </xdr:cNvPr>
          <xdr:cNvCxnSpPr/>
        </xdr:nvCxnSpPr>
        <xdr:spPr>
          <a:xfrm>
            <a:off x="3038326" y="9362319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" name="Straight Arrow Connector 71">
            <a:extLst>
              <a:ext uri="{FF2B5EF4-FFF2-40B4-BE49-F238E27FC236}">
                <a16:creationId xmlns:a16="http://schemas.microsoft.com/office/drawing/2014/main" id="{0C16416D-8B30-4E4F-9961-80F823DA0667}"/>
              </a:ext>
            </a:extLst>
          </xdr:cNvPr>
          <xdr:cNvCxnSpPr/>
        </xdr:nvCxnSpPr>
        <xdr:spPr>
          <a:xfrm>
            <a:off x="3269721" y="9372865"/>
            <a:ext cx="12929" cy="728473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" name="Straight Arrow Connector 72">
            <a:extLst>
              <a:ext uri="{FF2B5EF4-FFF2-40B4-BE49-F238E27FC236}">
                <a16:creationId xmlns:a16="http://schemas.microsoft.com/office/drawing/2014/main" id="{4E64BD0A-C730-456A-BA90-21A1318F773F}"/>
              </a:ext>
            </a:extLst>
          </xdr:cNvPr>
          <xdr:cNvCxnSpPr/>
        </xdr:nvCxnSpPr>
        <xdr:spPr>
          <a:xfrm>
            <a:off x="3522135" y="9362319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" name="Straight Arrow Connector 73">
            <a:extLst>
              <a:ext uri="{FF2B5EF4-FFF2-40B4-BE49-F238E27FC236}">
                <a16:creationId xmlns:a16="http://schemas.microsoft.com/office/drawing/2014/main" id="{C6A19F4C-9334-444B-BFC8-A27DBA7899CE}"/>
              </a:ext>
            </a:extLst>
          </xdr:cNvPr>
          <xdr:cNvCxnSpPr/>
        </xdr:nvCxnSpPr>
        <xdr:spPr>
          <a:xfrm>
            <a:off x="3767402" y="9365721"/>
            <a:ext cx="15992" cy="73561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" name="Straight Arrow Connector 74">
            <a:extLst>
              <a:ext uri="{FF2B5EF4-FFF2-40B4-BE49-F238E27FC236}">
                <a16:creationId xmlns:a16="http://schemas.microsoft.com/office/drawing/2014/main" id="{73D9937B-F162-400A-9E95-0C54576C1313}"/>
              </a:ext>
            </a:extLst>
          </xdr:cNvPr>
          <xdr:cNvCxnSpPr/>
        </xdr:nvCxnSpPr>
        <xdr:spPr>
          <a:xfrm>
            <a:off x="3993621" y="9363340"/>
            <a:ext cx="15348" cy="73255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9" name="Straight Arrow Connector 78">
            <a:extLst>
              <a:ext uri="{FF2B5EF4-FFF2-40B4-BE49-F238E27FC236}">
                <a16:creationId xmlns:a16="http://schemas.microsoft.com/office/drawing/2014/main" id="{F6C61CB6-ACB8-4231-9C5B-19E233D225FA}"/>
              </a:ext>
            </a:extLst>
          </xdr:cNvPr>
          <xdr:cNvCxnSpPr/>
        </xdr:nvCxnSpPr>
        <xdr:spPr>
          <a:xfrm>
            <a:off x="2084123" y="9370483"/>
            <a:ext cx="7145" cy="73085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" name="Straight Arrow Connector 79">
            <a:extLst>
              <a:ext uri="{FF2B5EF4-FFF2-40B4-BE49-F238E27FC236}">
                <a16:creationId xmlns:a16="http://schemas.microsoft.com/office/drawing/2014/main" id="{F3A7EE9B-9A3E-410E-BD57-17A0A31FDA89}"/>
              </a:ext>
            </a:extLst>
          </xdr:cNvPr>
          <xdr:cNvCxnSpPr/>
        </xdr:nvCxnSpPr>
        <xdr:spPr>
          <a:xfrm>
            <a:off x="5214915" y="9712371"/>
            <a:ext cx="2368" cy="38352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" name="Straight Arrow Connector 81">
            <a:extLst>
              <a:ext uri="{FF2B5EF4-FFF2-40B4-BE49-F238E27FC236}">
                <a16:creationId xmlns:a16="http://schemas.microsoft.com/office/drawing/2014/main" id="{FF042103-D662-40F7-9EE8-8C4BDF9653DE}"/>
              </a:ext>
            </a:extLst>
          </xdr:cNvPr>
          <xdr:cNvCxnSpPr/>
        </xdr:nvCxnSpPr>
        <xdr:spPr>
          <a:xfrm>
            <a:off x="5070324" y="9720943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" name="Straight Arrow Connector 82">
            <a:extLst>
              <a:ext uri="{FF2B5EF4-FFF2-40B4-BE49-F238E27FC236}">
                <a16:creationId xmlns:a16="http://schemas.microsoft.com/office/drawing/2014/main" id="{D7E7388A-63A4-4354-8D5C-FB7F23EF6D65}"/>
              </a:ext>
            </a:extLst>
          </xdr:cNvPr>
          <xdr:cNvCxnSpPr/>
        </xdr:nvCxnSpPr>
        <xdr:spPr>
          <a:xfrm>
            <a:off x="4917925" y="9716447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" name="Straight Arrow Connector 83">
            <a:extLst>
              <a:ext uri="{FF2B5EF4-FFF2-40B4-BE49-F238E27FC236}">
                <a16:creationId xmlns:a16="http://schemas.microsoft.com/office/drawing/2014/main" id="{C71B3BD8-EBDD-4456-ACAF-5C9AB5749E28}"/>
              </a:ext>
            </a:extLst>
          </xdr:cNvPr>
          <xdr:cNvCxnSpPr/>
        </xdr:nvCxnSpPr>
        <xdr:spPr>
          <a:xfrm>
            <a:off x="4729555" y="9704562"/>
            <a:ext cx="5693" cy="39405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Arrow Connector 84">
            <a:extLst>
              <a:ext uri="{FF2B5EF4-FFF2-40B4-BE49-F238E27FC236}">
                <a16:creationId xmlns:a16="http://schemas.microsoft.com/office/drawing/2014/main" id="{5DA8AB82-B09B-412B-BF02-19A06F280D58}"/>
              </a:ext>
            </a:extLst>
          </xdr:cNvPr>
          <xdr:cNvCxnSpPr/>
        </xdr:nvCxnSpPr>
        <xdr:spPr>
          <a:xfrm>
            <a:off x="4569582" y="9711188"/>
            <a:ext cx="2" cy="38565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" name="Straight Arrow Connector 85">
            <a:extLst>
              <a:ext uri="{FF2B5EF4-FFF2-40B4-BE49-F238E27FC236}">
                <a16:creationId xmlns:a16="http://schemas.microsoft.com/office/drawing/2014/main" id="{D7003A40-5141-40F5-BBB4-E698810057F6}"/>
              </a:ext>
            </a:extLst>
          </xdr:cNvPr>
          <xdr:cNvCxnSpPr/>
        </xdr:nvCxnSpPr>
        <xdr:spPr>
          <a:xfrm>
            <a:off x="4372693" y="9713318"/>
            <a:ext cx="2" cy="38565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" name="Straight Arrow Connector 86">
            <a:extLst>
              <a:ext uri="{FF2B5EF4-FFF2-40B4-BE49-F238E27FC236}">
                <a16:creationId xmlns:a16="http://schemas.microsoft.com/office/drawing/2014/main" id="{74F855CB-7999-4422-B5BB-4B6691BEA581}"/>
              </a:ext>
            </a:extLst>
          </xdr:cNvPr>
          <xdr:cNvCxnSpPr/>
        </xdr:nvCxnSpPr>
        <xdr:spPr>
          <a:xfrm>
            <a:off x="4189942" y="9707297"/>
            <a:ext cx="4085" cy="39404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" name="Straight Arrow Connector 87">
            <a:extLst>
              <a:ext uri="{FF2B5EF4-FFF2-40B4-BE49-F238E27FC236}">
                <a16:creationId xmlns:a16="http://schemas.microsoft.com/office/drawing/2014/main" id="{2ED1BB4B-1BAD-4409-9A5C-BF772E28E4A8}"/>
              </a:ext>
            </a:extLst>
          </xdr:cNvPr>
          <xdr:cNvCxnSpPr/>
        </xdr:nvCxnSpPr>
        <xdr:spPr>
          <a:xfrm>
            <a:off x="1672167" y="9732169"/>
            <a:ext cx="2" cy="374613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" name="Straight Arrow Connector 88">
            <a:extLst>
              <a:ext uri="{FF2B5EF4-FFF2-40B4-BE49-F238E27FC236}">
                <a16:creationId xmlns:a16="http://schemas.microsoft.com/office/drawing/2014/main" id="{A8F2D348-F013-4AF7-BF24-8D7668C44A32}"/>
              </a:ext>
            </a:extLst>
          </xdr:cNvPr>
          <xdr:cNvCxnSpPr/>
        </xdr:nvCxnSpPr>
        <xdr:spPr>
          <a:xfrm>
            <a:off x="1503098" y="9734550"/>
            <a:ext cx="343" cy="37223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" name="Straight Arrow Connector 89">
            <a:extLst>
              <a:ext uri="{FF2B5EF4-FFF2-40B4-BE49-F238E27FC236}">
                <a16:creationId xmlns:a16="http://schemas.microsoft.com/office/drawing/2014/main" id="{F815041A-213A-4521-84E4-36EEAADE3DA7}"/>
              </a:ext>
            </a:extLst>
          </xdr:cNvPr>
          <xdr:cNvCxnSpPr/>
        </xdr:nvCxnSpPr>
        <xdr:spPr>
          <a:xfrm>
            <a:off x="1351040" y="9726386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" name="Straight Arrow Connector 90">
            <a:extLst>
              <a:ext uri="{FF2B5EF4-FFF2-40B4-BE49-F238E27FC236}">
                <a16:creationId xmlns:a16="http://schemas.microsoft.com/office/drawing/2014/main" id="{61CED6DF-0405-4315-9759-B00C89D154AD}"/>
              </a:ext>
            </a:extLst>
          </xdr:cNvPr>
          <xdr:cNvCxnSpPr/>
        </xdr:nvCxnSpPr>
        <xdr:spPr>
          <a:xfrm flipH="1">
            <a:off x="1165985" y="9722644"/>
            <a:ext cx="1357" cy="384138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Arrow Connector 91">
            <a:extLst>
              <a:ext uri="{FF2B5EF4-FFF2-40B4-BE49-F238E27FC236}">
                <a16:creationId xmlns:a16="http://schemas.microsoft.com/office/drawing/2014/main" id="{64F1F2C7-78C5-4EC4-AE1C-1E4CCE41543F}"/>
              </a:ext>
            </a:extLst>
          </xdr:cNvPr>
          <xdr:cNvCxnSpPr/>
        </xdr:nvCxnSpPr>
        <xdr:spPr>
          <a:xfrm flipH="1">
            <a:off x="1003036" y="9725025"/>
            <a:ext cx="1" cy="37835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" name="Straight Arrow Connector 92">
            <a:extLst>
              <a:ext uri="{FF2B5EF4-FFF2-40B4-BE49-F238E27FC236}">
                <a16:creationId xmlns:a16="http://schemas.microsoft.com/office/drawing/2014/main" id="{AEED7E1F-ECFB-4125-A052-EAF17D493EE5}"/>
              </a:ext>
            </a:extLst>
          </xdr:cNvPr>
          <xdr:cNvCxnSpPr/>
        </xdr:nvCxnSpPr>
        <xdr:spPr>
          <a:xfrm>
            <a:off x="795869" y="9726386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" name="Straight Arrow Connector 93">
            <a:extLst>
              <a:ext uri="{FF2B5EF4-FFF2-40B4-BE49-F238E27FC236}">
                <a16:creationId xmlns:a16="http://schemas.microsoft.com/office/drawing/2014/main" id="{6F7FD2BE-87B3-4492-802C-E4CFA6250FF9}"/>
              </a:ext>
            </a:extLst>
          </xdr:cNvPr>
          <xdr:cNvCxnSpPr/>
        </xdr:nvCxnSpPr>
        <xdr:spPr>
          <a:xfrm>
            <a:off x="624417" y="9729787"/>
            <a:ext cx="2725" cy="37155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" name="Straight Connector 95">
            <a:extLst>
              <a:ext uri="{FF2B5EF4-FFF2-40B4-BE49-F238E27FC236}">
                <a16:creationId xmlns:a16="http://schemas.microsoft.com/office/drawing/2014/main" id="{B76844F3-2D6C-4431-A0A7-E960C1554399}"/>
              </a:ext>
            </a:extLst>
          </xdr:cNvPr>
          <xdr:cNvCxnSpPr/>
        </xdr:nvCxnSpPr>
        <xdr:spPr>
          <a:xfrm flipV="1">
            <a:off x="1822753" y="9362319"/>
            <a:ext cx="2165653" cy="5443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243C3A02-F795-4450-AD63-F108F0FECF72}"/>
              </a:ext>
            </a:extLst>
          </xdr:cNvPr>
          <xdr:cNvCxnSpPr/>
        </xdr:nvCxnSpPr>
        <xdr:spPr>
          <a:xfrm flipV="1">
            <a:off x="4012483" y="9711267"/>
            <a:ext cx="1211450" cy="2458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" name="Straight Connector 99">
            <a:extLst>
              <a:ext uri="{FF2B5EF4-FFF2-40B4-BE49-F238E27FC236}">
                <a16:creationId xmlns:a16="http://schemas.microsoft.com/office/drawing/2014/main" id="{AF739ED9-6DEB-4E74-8C59-0579D1C615D6}"/>
              </a:ext>
            </a:extLst>
          </xdr:cNvPr>
          <xdr:cNvCxnSpPr/>
        </xdr:nvCxnSpPr>
        <xdr:spPr>
          <a:xfrm flipV="1">
            <a:off x="610130" y="9726386"/>
            <a:ext cx="1236208" cy="102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" name="Straight Connector 102">
            <a:extLst>
              <a:ext uri="{FF2B5EF4-FFF2-40B4-BE49-F238E27FC236}">
                <a16:creationId xmlns:a16="http://schemas.microsoft.com/office/drawing/2014/main" id="{AC489F24-BA92-40EA-B780-46269070C505}"/>
              </a:ext>
            </a:extLst>
          </xdr:cNvPr>
          <xdr:cNvCxnSpPr/>
        </xdr:nvCxnSpPr>
        <xdr:spPr>
          <a:xfrm>
            <a:off x="618067" y="10104966"/>
            <a:ext cx="4600575" cy="79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" name="Straight Arrow Connector 105">
            <a:extLst>
              <a:ext uri="{FF2B5EF4-FFF2-40B4-BE49-F238E27FC236}">
                <a16:creationId xmlns:a16="http://schemas.microsoft.com/office/drawing/2014/main" id="{DAB04C91-FC69-45D3-B251-6439F15230BD}"/>
              </a:ext>
            </a:extLst>
          </xdr:cNvPr>
          <xdr:cNvCxnSpPr/>
        </xdr:nvCxnSpPr>
        <xdr:spPr>
          <a:xfrm>
            <a:off x="622199" y="10435214"/>
            <a:ext cx="1219200" cy="1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Straight Arrow Connector 108">
            <a:extLst>
              <a:ext uri="{FF2B5EF4-FFF2-40B4-BE49-F238E27FC236}">
                <a16:creationId xmlns:a16="http://schemas.microsoft.com/office/drawing/2014/main" id="{4A6D7DB1-C147-4F4E-B7D5-C879838E3CDE}"/>
              </a:ext>
            </a:extLst>
          </xdr:cNvPr>
          <xdr:cNvCxnSpPr/>
        </xdr:nvCxnSpPr>
        <xdr:spPr>
          <a:xfrm>
            <a:off x="4007556" y="10433756"/>
            <a:ext cx="1216377" cy="11289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" name="Straight Arrow Connector 109">
            <a:extLst>
              <a:ext uri="{FF2B5EF4-FFF2-40B4-BE49-F238E27FC236}">
                <a16:creationId xmlns:a16="http://schemas.microsoft.com/office/drawing/2014/main" id="{1F095AD8-D7AE-4E15-A585-233D7BF98D20}"/>
              </a:ext>
            </a:extLst>
          </xdr:cNvPr>
          <xdr:cNvCxnSpPr/>
        </xdr:nvCxnSpPr>
        <xdr:spPr>
          <a:xfrm>
            <a:off x="1852276" y="10434782"/>
            <a:ext cx="2158102" cy="1796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2" name="Straight Arrow Connector 111">
            <a:extLst>
              <a:ext uri="{FF2B5EF4-FFF2-40B4-BE49-F238E27FC236}">
                <a16:creationId xmlns:a16="http://schemas.microsoft.com/office/drawing/2014/main" id="{758DC1F9-A595-4611-8731-383DA8C56AD3}"/>
              </a:ext>
            </a:extLst>
          </xdr:cNvPr>
          <xdr:cNvCxnSpPr/>
        </xdr:nvCxnSpPr>
        <xdr:spPr>
          <a:xfrm flipH="1" flipV="1">
            <a:off x="618675" y="10112383"/>
            <a:ext cx="7859" cy="517517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" name="Straight Arrow Connector 114">
            <a:extLst>
              <a:ext uri="{FF2B5EF4-FFF2-40B4-BE49-F238E27FC236}">
                <a16:creationId xmlns:a16="http://schemas.microsoft.com/office/drawing/2014/main" id="{1935E2ED-C24C-4A81-9793-9D9D3E75DFDC}"/>
              </a:ext>
            </a:extLst>
          </xdr:cNvPr>
          <xdr:cNvCxnSpPr/>
        </xdr:nvCxnSpPr>
        <xdr:spPr>
          <a:xfrm flipH="1" flipV="1">
            <a:off x="5220308" y="10108150"/>
            <a:ext cx="7859" cy="517517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603250</xdr:colOff>
      <xdr:row>58</xdr:row>
      <xdr:rowOff>0</xdr:rowOff>
    </xdr:from>
    <xdr:to>
      <xdr:col>8</xdr:col>
      <xdr:colOff>6350</xdr:colOff>
      <xdr:row>58</xdr:row>
      <xdr:rowOff>12700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80CE45DA-2926-45C9-8F7E-E17FAA580112}"/>
            </a:ext>
          </a:extLst>
        </xdr:cNvPr>
        <xdr:cNvCxnSpPr/>
      </xdr:nvCxnSpPr>
      <xdr:spPr>
        <a:xfrm flipV="1">
          <a:off x="603250" y="10922000"/>
          <a:ext cx="4641850" cy="127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26670</xdr:colOff>
      <xdr:row>70</xdr:row>
      <xdr:rowOff>24765</xdr:rowOff>
    </xdr:from>
    <xdr:ext cx="380040" cy="3157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18C76D31-9A2D-4186-99AD-AB5EAF78FF19}"/>
                </a:ext>
              </a:extLst>
            </xdr:cNvPr>
            <xdr:cNvSpPr txBox="1"/>
          </xdr:nvSpPr>
          <xdr:spPr>
            <a:xfrm>
              <a:off x="1291590" y="13077825"/>
              <a:ext cx="380040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𝑊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𝐿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45" name="TextBox 144">
              <a:extLst>
                <a:ext uri="{FF2B5EF4-FFF2-40B4-BE49-F238E27FC236}">
                  <a16:creationId xmlns:a16="http://schemas.microsoft.com/office/drawing/2014/main" id="{18C76D31-9A2D-4186-99AD-AB5EAF78FF19}"/>
                </a:ext>
              </a:extLst>
            </xdr:cNvPr>
            <xdr:cNvSpPr txBox="1"/>
          </xdr:nvSpPr>
          <xdr:spPr>
            <a:xfrm>
              <a:off x="1291590" y="13077825"/>
              <a:ext cx="380040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𝑊∗𝐿)/2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9</xdr:col>
      <xdr:colOff>445030</xdr:colOff>
      <xdr:row>50</xdr:row>
      <xdr:rowOff>34168</xdr:rowOff>
    </xdr:from>
    <xdr:to>
      <xdr:col>17</xdr:col>
      <xdr:colOff>237067</xdr:colOff>
      <xdr:row>57</xdr:row>
      <xdr:rowOff>25400</xdr:rowOff>
    </xdr:to>
    <xdr:grpSp>
      <xdr:nvGrpSpPr>
        <xdr:cNvPr id="146" name="Group 145">
          <a:extLst>
            <a:ext uri="{FF2B5EF4-FFF2-40B4-BE49-F238E27FC236}">
              <a16:creationId xmlns:a16="http://schemas.microsoft.com/office/drawing/2014/main" id="{2DD3B8B4-89AC-4E1D-A7C7-F9050E2C57C3}"/>
            </a:ext>
          </a:extLst>
        </xdr:cNvPr>
        <xdr:cNvGrpSpPr/>
      </xdr:nvGrpSpPr>
      <xdr:grpSpPr>
        <a:xfrm>
          <a:off x="6558615" y="9377460"/>
          <a:ext cx="4668837" cy="1263186"/>
          <a:chOff x="610130" y="9362318"/>
          <a:chExt cx="4618037" cy="1267582"/>
        </a:xfrm>
      </xdr:grpSpPr>
      <xdr:cxnSp macro="">
        <xdr:nvCxnSpPr>
          <xdr:cNvPr id="147" name="Straight Arrow Connector 146">
            <a:extLst>
              <a:ext uri="{FF2B5EF4-FFF2-40B4-BE49-F238E27FC236}">
                <a16:creationId xmlns:a16="http://schemas.microsoft.com/office/drawing/2014/main" id="{6F3AFDB5-5873-4086-98DA-2874457664CB}"/>
              </a:ext>
            </a:extLst>
          </xdr:cNvPr>
          <xdr:cNvCxnSpPr/>
        </xdr:nvCxnSpPr>
        <xdr:spPr>
          <a:xfrm>
            <a:off x="1831711" y="9365721"/>
            <a:ext cx="9185" cy="73561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" name="Straight Arrow Connector 147">
            <a:extLst>
              <a:ext uri="{FF2B5EF4-FFF2-40B4-BE49-F238E27FC236}">
                <a16:creationId xmlns:a16="http://schemas.microsoft.com/office/drawing/2014/main" id="{56937E2D-7C4B-4BFC-84A5-C6FECD6753F8}"/>
              </a:ext>
            </a:extLst>
          </xdr:cNvPr>
          <xdr:cNvCxnSpPr/>
        </xdr:nvCxnSpPr>
        <xdr:spPr>
          <a:xfrm>
            <a:off x="2324630" y="9368102"/>
            <a:ext cx="17010" cy="72779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" name="Straight Arrow Connector 148">
            <a:extLst>
              <a:ext uri="{FF2B5EF4-FFF2-40B4-BE49-F238E27FC236}">
                <a16:creationId xmlns:a16="http://schemas.microsoft.com/office/drawing/2014/main" id="{92B3E396-D900-430B-9FAA-A572845A79FC}"/>
              </a:ext>
            </a:extLst>
          </xdr:cNvPr>
          <xdr:cNvCxnSpPr/>
        </xdr:nvCxnSpPr>
        <xdr:spPr>
          <a:xfrm>
            <a:off x="2581125" y="9362320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" name="Straight Arrow Connector 149">
            <a:extLst>
              <a:ext uri="{FF2B5EF4-FFF2-40B4-BE49-F238E27FC236}">
                <a16:creationId xmlns:a16="http://schemas.microsoft.com/office/drawing/2014/main" id="{741AAADC-F4D2-43EF-968D-80ABB363FA06}"/>
              </a:ext>
            </a:extLst>
          </xdr:cNvPr>
          <xdr:cNvCxnSpPr/>
        </xdr:nvCxnSpPr>
        <xdr:spPr>
          <a:xfrm>
            <a:off x="2820611" y="9362318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" name="Straight Arrow Connector 150">
            <a:extLst>
              <a:ext uri="{FF2B5EF4-FFF2-40B4-BE49-F238E27FC236}">
                <a16:creationId xmlns:a16="http://schemas.microsoft.com/office/drawing/2014/main" id="{667A97AE-748C-4366-AAEC-D8E3CF430E19}"/>
              </a:ext>
            </a:extLst>
          </xdr:cNvPr>
          <xdr:cNvCxnSpPr/>
        </xdr:nvCxnSpPr>
        <xdr:spPr>
          <a:xfrm>
            <a:off x="3038326" y="9362319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Arrow Connector 151">
            <a:extLst>
              <a:ext uri="{FF2B5EF4-FFF2-40B4-BE49-F238E27FC236}">
                <a16:creationId xmlns:a16="http://schemas.microsoft.com/office/drawing/2014/main" id="{9D47C7FA-DE0A-4A3C-A4F9-B1FAC1DB8C53}"/>
              </a:ext>
            </a:extLst>
          </xdr:cNvPr>
          <xdr:cNvCxnSpPr/>
        </xdr:nvCxnSpPr>
        <xdr:spPr>
          <a:xfrm>
            <a:off x="3269721" y="9372865"/>
            <a:ext cx="12929" cy="728473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" name="Straight Arrow Connector 152">
            <a:extLst>
              <a:ext uri="{FF2B5EF4-FFF2-40B4-BE49-F238E27FC236}">
                <a16:creationId xmlns:a16="http://schemas.microsoft.com/office/drawing/2014/main" id="{213472C5-DE53-49BF-9DC8-63C220B90583}"/>
              </a:ext>
            </a:extLst>
          </xdr:cNvPr>
          <xdr:cNvCxnSpPr/>
        </xdr:nvCxnSpPr>
        <xdr:spPr>
          <a:xfrm>
            <a:off x="3522135" y="9362319"/>
            <a:ext cx="16329" cy="744461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" name="Straight Arrow Connector 153">
            <a:extLst>
              <a:ext uri="{FF2B5EF4-FFF2-40B4-BE49-F238E27FC236}">
                <a16:creationId xmlns:a16="http://schemas.microsoft.com/office/drawing/2014/main" id="{42DBC822-07A5-4A97-A5F0-F4060417AD96}"/>
              </a:ext>
            </a:extLst>
          </xdr:cNvPr>
          <xdr:cNvCxnSpPr/>
        </xdr:nvCxnSpPr>
        <xdr:spPr>
          <a:xfrm>
            <a:off x="3767402" y="9365721"/>
            <a:ext cx="15992" cy="73561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" name="Straight Arrow Connector 154">
            <a:extLst>
              <a:ext uri="{FF2B5EF4-FFF2-40B4-BE49-F238E27FC236}">
                <a16:creationId xmlns:a16="http://schemas.microsoft.com/office/drawing/2014/main" id="{83DE7A8F-68AE-4C64-A55C-09FD2B5502B7}"/>
              </a:ext>
            </a:extLst>
          </xdr:cNvPr>
          <xdr:cNvCxnSpPr/>
        </xdr:nvCxnSpPr>
        <xdr:spPr>
          <a:xfrm>
            <a:off x="3993621" y="9363340"/>
            <a:ext cx="15348" cy="732556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" name="Straight Arrow Connector 155">
            <a:extLst>
              <a:ext uri="{FF2B5EF4-FFF2-40B4-BE49-F238E27FC236}">
                <a16:creationId xmlns:a16="http://schemas.microsoft.com/office/drawing/2014/main" id="{B0B9A09C-FBEB-495B-9985-E15DDB087CF6}"/>
              </a:ext>
            </a:extLst>
          </xdr:cNvPr>
          <xdr:cNvCxnSpPr/>
        </xdr:nvCxnSpPr>
        <xdr:spPr>
          <a:xfrm>
            <a:off x="2084123" y="9370483"/>
            <a:ext cx="7145" cy="73085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" name="Straight Arrow Connector 156">
            <a:extLst>
              <a:ext uri="{FF2B5EF4-FFF2-40B4-BE49-F238E27FC236}">
                <a16:creationId xmlns:a16="http://schemas.microsoft.com/office/drawing/2014/main" id="{98D6D6EA-6F4F-4F5F-BFB0-29AA143B0FCD}"/>
              </a:ext>
            </a:extLst>
          </xdr:cNvPr>
          <xdr:cNvCxnSpPr/>
        </xdr:nvCxnSpPr>
        <xdr:spPr>
          <a:xfrm>
            <a:off x="5214915" y="9712371"/>
            <a:ext cx="2368" cy="38352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" name="Straight Arrow Connector 157">
            <a:extLst>
              <a:ext uri="{FF2B5EF4-FFF2-40B4-BE49-F238E27FC236}">
                <a16:creationId xmlns:a16="http://schemas.microsoft.com/office/drawing/2014/main" id="{1F5D796A-AEF9-4D41-AB1E-19FDADBAAB46}"/>
              </a:ext>
            </a:extLst>
          </xdr:cNvPr>
          <xdr:cNvCxnSpPr/>
        </xdr:nvCxnSpPr>
        <xdr:spPr>
          <a:xfrm>
            <a:off x="5070324" y="9720943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Arrow Connector 158">
            <a:extLst>
              <a:ext uri="{FF2B5EF4-FFF2-40B4-BE49-F238E27FC236}">
                <a16:creationId xmlns:a16="http://schemas.microsoft.com/office/drawing/2014/main" id="{DEE7713D-1112-4EC0-BBD5-B3BA720971E4}"/>
              </a:ext>
            </a:extLst>
          </xdr:cNvPr>
          <xdr:cNvCxnSpPr/>
        </xdr:nvCxnSpPr>
        <xdr:spPr>
          <a:xfrm>
            <a:off x="4917925" y="9716447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0" name="Straight Arrow Connector 159">
            <a:extLst>
              <a:ext uri="{FF2B5EF4-FFF2-40B4-BE49-F238E27FC236}">
                <a16:creationId xmlns:a16="http://schemas.microsoft.com/office/drawing/2014/main" id="{3E82CC0C-CCF9-4FAE-9DD8-BF2C1B29C3F4}"/>
              </a:ext>
            </a:extLst>
          </xdr:cNvPr>
          <xdr:cNvCxnSpPr/>
        </xdr:nvCxnSpPr>
        <xdr:spPr>
          <a:xfrm>
            <a:off x="4729555" y="9704562"/>
            <a:ext cx="5693" cy="39405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1" name="Straight Arrow Connector 160">
            <a:extLst>
              <a:ext uri="{FF2B5EF4-FFF2-40B4-BE49-F238E27FC236}">
                <a16:creationId xmlns:a16="http://schemas.microsoft.com/office/drawing/2014/main" id="{E8FB92A2-7637-4ECB-A3AD-F461E225F2A4}"/>
              </a:ext>
            </a:extLst>
          </xdr:cNvPr>
          <xdr:cNvCxnSpPr/>
        </xdr:nvCxnSpPr>
        <xdr:spPr>
          <a:xfrm>
            <a:off x="4569582" y="9711188"/>
            <a:ext cx="2" cy="38565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" name="Straight Arrow Connector 161">
            <a:extLst>
              <a:ext uri="{FF2B5EF4-FFF2-40B4-BE49-F238E27FC236}">
                <a16:creationId xmlns:a16="http://schemas.microsoft.com/office/drawing/2014/main" id="{BA844AEB-B070-4830-A1BE-130C4E03ED4B}"/>
              </a:ext>
            </a:extLst>
          </xdr:cNvPr>
          <xdr:cNvCxnSpPr/>
        </xdr:nvCxnSpPr>
        <xdr:spPr>
          <a:xfrm>
            <a:off x="4372693" y="9713318"/>
            <a:ext cx="2" cy="385655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" name="Straight Arrow Connector 162">
            <a:extLst>
              <a:ext uri="{FF2B5EF4-FFF2-40B4-BE49-F238E27FC236}">
                <a16:creationId xmlns:a16="http://schemas.microsoft.com/office/drawing/2014/main" id="{30672F72-0158-43FE-B9DC-29CDCE53A7F9}"/>
              </a:ext>
            </a:extLst>
          </xdr:cNvPr>
          <xdr:cNvCxnSpPr/>
        </xdr:nvCxnSpPr>
        <xdr:spPr>
          <a:xfrm>
            <a:off x="4189942" y="9707297"/>
            <a:ext cx="4085" cy="39404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" name="Straight Arrow Connector 163">
            <a:extLst>
              <a:ext uri="{FF2B5EF4-FFF2-40B4-BE49-F238E27FC236}">
                <a16:creationId xmlns:a16="http://schemas.microsoft.com/office/drawing/2014/main" id="{230BF114-261E-4638-A66C-2692E709D210}"/>
              </a:ext>
            </a:extLst>
          </xdr:cNvPr>
          <xdr:cNvCxnSpPr/>
        </xdr:nvCxnSpPr>
        <xdr:spPr>
          <a:xfrm>
            <a:off x="1672167" y="9732169"/>
            <a:ext cx="2" cy="374613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" name="Straight Arrow Connector 164">
            <a:extLst>
              <a:ext uri="{FF2B5EF4-FFF2-40B4-BE49-F238E27FC236}">
                <a16:creationId xmlns:a16="http://schemas.microsoft.com/office/drawing/2014/main" id="{A290EA9C-0ADB-4194-8ADA-BFD07298B3EB}"/>
              </a:ext>
            </a:extLst>
          </xdr:cNvPr>
          <xdr:cNvCxnSpPr/>
        </xdr:nvCxnSpPr>
        <xdr:spPr>
          <a:xfrm>
            <a:off x="1503098" y="9734550"/>
            <a:ext cx="343" cy="37223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Arrow Connector 165">
            <a:extLst>
              <a:ext uri="{FF2B5EF4-FFF2-40B4-BE49-F238E27FC236}">
                <a16:creationId xmlns:a16="http://schemas.microsoft.com/office/drawing/2014/main" id="{C47DB533-A4A5-461B-BBBE-582135C8BE48}"/>
              </a:ext>
            </a:extLst>
          </xdr:cNvPr>
          <xdr:cNvCxnSpPr/>
        </xdr:nvCxnSpPr>
        <xdr:spPr>
          <a:xfrm>
            <a:off x="1351040" y="9726386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" name="Straight Arrow Connector 166">
            <a:extLst>
              <a:ext uri="{FF2B5EF4-FFF2-40B4-BE49-F238E27FC236}">
                <a16:creationId xmlns:a16="http://schemas.microsoft.com/office/drawing/2014/main" id="{027680D4-E661-4632-A926-5844E5040499}"/>
              </a:ext>
            </a:extLst>
          </xdr:cNvPr>
          <xdr:cNvCxnSpPr/>
        </xdr:nvCxnSpPr>
        <xdr:spPr>
          <a:xfrm flipH="1">
            <a:off x="1165985" y="9722644"/>
            <a:ext cx="1357" cy="384138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" name="Straight Arrow Connector 167">
            <a:extLst>
              <a:ext uri="{FF2B5EF4-FFF2-40B4-BE49-F238E27FC236}">
                <a16:creationId xmlns:a16="http://schemas.microsoft.com/office/drawing/2014/main" id="{AEA3F2E8-6498-4A98-83A1-1C8A78012F5E}"/>
              </a:ext>
            </a:extLst>
          </xdr:cNvPr>
          <xdr:cNvCxnSpPr/>
        </xdr:nvCxnSpPr>
        <xdr:spPr>
          <a:xfrm flipH="1">
            <a:off x="1003036" y="9725025"/>
            <a:ext cx="1" cy="378354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" name="Straight Arrow Connector 168">
            <a:extLst>
              <a:ext uri="{FF2B5EF4-FFF2-40B4-BE49-F238E27FC236}">
                <a16:creationId xmlns:a16="http://schemas.microsoft.com/office/drawing/2014/main" id="{72D58FB6-2E97-482D-9D08-9C56A674BDDF}"/>
              </a:ext>
            </a:extLst>
          </xdr:cNvPr>
          <xdr:cNvCxnSpPr/>
        </xdr:nvCxnSpPr>
        <xdr:spPr>
          <a:xfrm>
            <a:off x="795869" y="9726386"/>
            <a:ext cx="2" cy="385839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" name="Straight Arrow Connector 169">
            <a:extLst>
              <a:ext uri="{FF2B5EF4-FFF2-40B4-BE49-F238E27FC236}">
                <a16:creationId xmlns:a16="http://schemas.microsoft.com/office/drawing/2014/main" id="{56E8CB1A-D5F9-43A5-8023-F6F9E6DC0B54}"/>
              </a:ext>
            </a:extLst>
          </xdr:cNvPr>
          <xdr:cNvCxnSpPr/>
        </xdr:nvCxnSpPr>
        <xdr:spPr>
          <a:xfrm>
            <a:off x="624417" y="9729787"/>
            <a:ext cx="2725" cy="371552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" name="Straight Connector 170">
            <a:extLst>
              <a:ext uri="{FF2B5EF4-FFF2-40B4-BE49-F238E27FC236}">
                <a16:creationId xmlns:a16="http://schemas.microsoft.com/office/drawing/2014/main" id="{BF762A1C-8C32-4DEE-8976-9F29AC9090FB}"/>
              </a:ext>
            </a:extLst>
          </xdr:cNvPr>
          <xdr:cNvCxnSpPr/>
        </xdr:nvCxnSpPr>
        <xdr:spPr>
          <a:xfrm flipV="1">
            <a:off x="1822753" y="9362319"/>
            <a:ext cx="2165653" cy="5443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741CBB7F-3390-456F-82E1-001C6CC7EF6C}"/>
              </a:ext>
            </a:extLst>
          </xdr:cNvPr>
          <xdr:cNvCxnSpPr/>
        </xdr:nvCxnSpPr>
        <xdr:spPr>
          <a:xfrm flipV="1">
            <a:off x="4012483" y="9711267"/>
            <a:ext cx="1211450" cy="2458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172">
            <a:extLst>
              <a:ext uri="{FF2B5EF4-FFF2-40B4-BE49-F238E27FC236}">
                <a16:creationId xmlns:a16="http://schemas.microsoft.com/office/drawing/2014/main" id="{CBA46FCE-CC50-422D-BC35-F3A3F08FCAFD}"/>
              </a:ext>
            </a:extLst>
          </xdr:cNvPr>
          <xdr:cNvCxnSpPr/>
        </xdr:nvCxnSpPr>
        <xdr:spPr>
          <a:xfrm flipV="1">
            <a:off x="610130" y="9726386"/>
            <a:ext cx="1236208" cy="1020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" name="Straight Connector 173">
            <a:extLst>
              <a:ext uri="{FF2B5EF4-FFF2-40B4-BE49-F238E27FC236}">
                <a16:creationId xmlns:a16="http://schemas.microsoft.com/office/drawing/2014/main" id="{96EDE9C1-3770-43C2-B44C-49E00D3B5E6C}"/>
              </a:ext>
            </a:extLst>
          </xdr:cNvPr>
          <xdr:cNvCxnSpPr/>
        </xdr:nvCxnSpPr>
        <xdr:spPr>
          <a:xfrm>
            <a:off x="618067" y="10104966"/>
            <a:ext cx="4600575" cy="79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" name="Straight Arrow Connector 174">
            <a:extLst>
              <a:ext uri="{FF2B5EF4-FFF2-40B4-BE49-F238E27FC236}">
                <a16:creationId xmlns:a16="http://schemas.microsoft.com/office/drawing/2014/main" id="{E45C5912-6D80-4BBE-8252-C6A8EB5FB84A}"/>
              </a:ext>
            </a:extLst>
          </xdr:cNvPr>
          <xdr:cNvCxnSpPr/>
        </xdr:nvCxnSpPr>
        <xdr:spPr>
          <a:xfrm>
            <a:off x="622199" y="10435214"/>
            <a:ext cx="1219200" cy="1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6" name="Straight Arrow Connector 175">
            <a:extLst>
              <a:ext uri="{FF2B5EF4-FFF2-40B4-BE49-F238E27FC236}">
                <a16:creationId xmlns:a16="http://schemas.microsoft.com/office/drawing/2014/main" id="{077FF04C-BB2F-4DCE-A5E7-A0D99446FB22}"/>
              </a:ext>
            </a:extLst>
          </xdr:cNvPr>
          <xdr:cNvCxnSpPr/>
        </xdr:nvCxnSpPr>
        <xdr:spPr>
          <a:xfrm>
            <a:off x="4007556" y="10433756"/>
            <a:ext cx="1216377" cy="11289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7" name="Straight Arrow Connector 176">
            <a:extLst>
              <a:ext uri="{FF2B5EF4-FFF2-40B4-BE49-F238E27FC236}">
                <a16:creationId xmlns:a16="http://schemas.microsoft.com/office/drawing/2014/main" id="{81709DED-5972-4BC3-9467-D924B4E78625}"/>
              </a:ext>
            </a:extLst>
          </xdr:cNvPr>
          <xdr:cNvCxnSpPr/>
        </xdr:nvCxnSpPr>
        <xdr:spPr>
          <a:xfrm>
            <a:off x="1852276" y="10434782"/>
            <a:ext cx="2158102" cy="1796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8" name="Straight Arrow Connector 177">
            <a:extLst>
              <a:ext uri="{FF2B5EF4-FFF2-40B4-BE49-F238E27FC236}">
                <a16:creationId xmlns:a16="http://schemas.microsoft.com/office/drawing/2014/main" id="{A66CD4C5-D3A8-4A70-B870-13D6D91D9DEB}"/>
              </a:ext>
            </a:extLst>
          </xdr:cNvPr>
          <xdr:cNvCxnSpPr/>
        </xdr:nvCxnSpPr>
        <xdr:spPr>
          <a:xfrm flipH="1" flipV="1">
            <a:off x="618675" y="10112383"/>
            <a:ext cx="7859" cy="517517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" name="Straight Arrow Connector 178">
            <a:extLst>
              <a:ext uri="{FF2B5EF4-FFF2-40B4-BE49-F238E27FC236}">
                <a16:creationId xmlns:a16="http://schemas.microsoft.com/office/drawing/2014/main" id="{9E6F98FD-C8FC-45DC-BE87-BE3689A50B23}"/>
              </a:ext>
            </a:extLst>
          </xdr:cNvPr>
          <xdr:cNvCxnSpPr/>
        </xdr:nvCxnSpPr>
        <xdr:spPr>
          <a:xfrm flipH="1" flipV="1">
            <a:off x="5220308" y="10108150"/>
            <a:ext cx="7859" cy="517517"/>
          </a:xfrm>
          <a:prstGeom prst="straightConnector1">
            <a:avLst/>
          </a:prstGeom>
          <a:ln w="19050"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4409</xdr:colOff>
      <xdr:row>59</xdr:row>
      <xdr:rowOff>133534</xdr:rowOff>
    </xdr:from>
    <xdr:to>
      <xdr:col>17</xdr:col>
      <xdr:colOff>206045</xdr:colOff>
      <xdr:row>59</xdr:row>
      <xdr:rowOff>182887</xdr:rowOff>
    </xdr:to>
    <xdr:cxnSp macro="">
      <xdr:nvCxnSpPr>
        <xdr:cNvPr id="180" name="Straight Connector 179">
          <a:extLst>
            <a:ext uri="{FF2B5EF4-FFF2-40B4-BE49-F238E27FC236}">
              <a16:creationId xmlns:a16="http://schemas.microsoft.com/office/drawing/2014/main" id="{F28D8890-6FCF-41E7-85D8-246813968E95}"/>
            </a:ext>
          </a:extLst>
        </xdr:cNvPr>
        <xdr:cNvCxnSpPr>
          <a:stCxn id="181" idx="2"/>
          <a:endCxn id="181" idx="0"/>
        </xdr:cNvCxnSpPr>
      </xdr:nvCxnSpPr>
      <xdr:spPr>
        <a:xfrm flipV="1">
          <a:off x="6726338" y="11291391"/>
          <a:ext cx="4468836" cy="49353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313760</xdr:colOff>
      <xdr:row>40</xdr:row>
      <xdr:rowOff>98388</xdr:rowOff>
    </xdr:from>
    <xdr:to>
      <xdr:col>18</xdr:col>
      <xdr:colOff>78490</xdr:colOff>
      <xdr:row>66</xdr:row>
      <xdr:rowOff>51785</xdr:rowOff>
    </xdr:to>
    <xdr:sp macro="" textlink="">
      <xdr:nvSpPr>
        <xdr:cNvPr id="181" name="Arc 180">
          <a:extLst>
            <a:ext uri="{FF2B5EF4-FFF2-40B4-BE49-F238E27FC236}">
              <a16:creationId xmlns:a16="http://schemas.microsoft.com/office/drawing/2014/main" id="{E23892A4-3EC4-4CD1-A0D6-C17F81EB5688}"/>
            </a:ext>
          </a:extLst>
        </xdr:cNvPr>
        <xdr:cNvSpPr/>
      </xdr:nvSpPr>
      <xdr:spPr>
        <a:xfrm rot="8996223">
          <a:off x="6426089" y="7740159"/>
          <a:ext cx="5251130" cy="4764883"/>
        </a:xfrm>
        <a:prstGeom prst="arc">
          <a:avLst>
            <a:gd name="adj1" fmla="val 14319907"/>
            <a:gd name="adj2" fmla="val 144879"/>
          </a:avLst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342900</xdr:colOff>
      <xdr:row>46</xdr:row>
      <xdr:rowOff>95250</xdr:rowOff>
    </xdr:from>
    <xdr:to>
      <xdr:col>13</xdr:col>
      <xdr:colOff>355600</xdr:colOff>
      <xdr:row>66</xdr:row>
      <xdr:rowOff>158750</xdr:rowOff>
    </xdr:to>
    <xdr:cxnSp macro="">
      <xdr:nvCxnSpPr>
        <xdr:cNvPr id="185" name="Straight Connector 184">
          <a:extLst>
            <a:ext uri="{FF2B5EF4-FFF2-40B4-BE49-F238E27FC236}">
              <a16:creationId xmlns:a16="http://schemas.microsoft.com/office/drawing/2014/main" id="{D4E07B19-CF7B-4C48-A815-FA5459DA8C39}"/>
            </a:ext>
          </a:extLst>
        </xdr:cNvPr>
        <xdr:cNvCxnSpPr/>
      </xdr:nvCxnSpPr>
      <xdr:spPr>
        <a:xfrm>
          <a:off x="8674100" y="8807450"/>
          <a:ext cx="12700" cy="3746500"/>
        </a:xfrm>
        <a:prstGeom prst="line">
          <a:avLst/>
        </a:prstGeom>
        <a:ln w="19050"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142875</xdr:colOff>
      <xdr:row>85</xdr:row>
      <xdr:rowOff>1</xdr:rowOff>
    </xdr:from>
    <xdr:to>
      <xdr:col>9</xdr:col>
      <xdr:colOff>528637</xdr:colOff>
      <xdr:row>87</xdr:row>
      <xdr:rowOff>92511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50B7F143-02FF-43ED-B771-064306A35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48388" y="15849601"/>
          <a:ext cx="385762" cy="454460"/>
        </a:xfrm>
        <a:prstGeom prst="rect">
          <a:avLst/>
        </a:prstGeom>
      </xdr:spPr>
    </xdr:pic>
    <xdr:clientData/>
  </xdr:twoCellAnchor>
  <xdr:twoCellAnchor editAs="oneCell">
    <xdr:from>
      <xdr:col>9</xdr:col>
      <xdr:colOff>19051</xdr:colOff>
      <xdr:row>87</xdr:row>
      <xdr:rowOff>161925</xdr:rowOff>
    </xdr:from>
    <xdr:to>
      <xdr:col>14</xdr:col>
      <xdr:colOff>95250</xdr:colOff>
      <xdr:row>89</xdr:row>
      <xdr:rowOff>149178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E1583FD8-9E8D-4A72-B8E6-43838B81A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24564" y="16373475"/>
          <a:ext cx="3124199" cy="349203"/>
        </a:xfrm>
        <a:prstGeom prst="rect">
          <a:avLst/>
        </a:prstGeom>
      </xdr:spPr>
    </xdr:pic>
    <xdr:clientData/>
  </xdr:twoCellAnchor>
  <xdr:twoCellAnchor>
    <xdr:from>
      <xdr:col>1</xdr:col>
      <xdr:colOff>642938</xdr:colOff>
      <xdr:row>84</xdr:row>
      <xdr:rowOff>30956</xdr:rowOff>
    </xdr:from>
    <xdr:to>
      <xdr:col>5</xdr:col>
      <xdr:colOff>636309</xdr:colOff>
      <xdr:row>84</xdr:row>
      <xdr:rowOff>382462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DF369259-F9C2-49E8-AA53-071AACCF4C2C}"/>
                </a:ext>
              </a:extLst>
            </xdr:cNvPr>
            <xdr:cNvSpPr txBox="1"/>
          </xdr:nvSpPr>
          <xdr:spPr>
            <a:xfrm>
              <a:off x="1252538" y="15699581"/>
              <a:ext cx="2912784" cy="3515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0.87∗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𝑓𝑦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𝐴𝑠𝑡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𝑑𝑝𝑟𝑜𝑣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.∗(1−</m:t>
                    </m:r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𝑓𝑦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𝐴𝑠𝑡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𝑓𝑐𝑘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𝑑𝑝𝑟𝑜𝑣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.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0" name="TextBox 189">
              <a:extLst>
                <a:ext uri="{FF2B5EF4-FFF2-40B4-BE49-F238E27FC236}">
                  <a16:creationId xmlns:a16="http://schemas.microsoft.com/office/drawing/2014/main" id="{DF369259-F9C2-49E8-AA53-071AACCF4C2C}"/>
                </a:ext>
              </a:extLst>
            </xdr:cNvPr>
            <xdr:cNvSpPr txBox="1"/>
          </xdr:nvSpPr>
          <xdr:spPr>
            <a:xfrm>
              <a:off x="1252538" y="15699581"/>
              <a:ext cx="2912784" cy="3515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0.87∗𝑓𝑦∗𝐴𝑠𝑡∗𝑑𝑝𝑟𝑜𝑣.∗(1−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𝑓𝑦∗𝐴𝑠𝑡)/(𝑓𝑐𝑘∗𝑏∗𝑑𝑝𝑟𝑜𝑣.))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2</xdr:col>
      <xdr:colOff>33337</xdr:colOff>
      <xdr:row>101</xdr:row>
      <xdr:rowOff>11906</xdr:rowOff>
    </xdr:from>
    <xdr:to>
      <xdr:col>2</xdr:col>
      <xdr:colOff>429664</xdr:colOff>
      <xdr:row>101</xdr:row>
      <xdr:rowOff>327698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8D3B1B8D-4AD3-4038-8D58-49097F87F454}"/>
                </a:ext>
              </a:extLst>
            </xdr:cNvPr>
            <xdr:cNvSpPr txBox="1"/>
          </xdr:nvSpPr>
          <xdr:spPr>
            <a:xfrm>
              <a:off x="1300162" y="18428494"/>
              <a:ext cx="396327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𝑉𝑚𝑎𝑥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𝑏𝑑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1" name="TextBox 190">
              <a:extLst>
                <a:ext uri="{FF2B5EF4-FFF2-40B4-BE49-F238E27FC236}">
                  <a16:creationId xmlns:a16="http://schemas.microsoft.com/office/drawing/2014/main" id="{8D3B1B8D-4AD3-4038-8D58-49097F87F454}"/>
                </a:ext>
              </a:extLst>
            </xdr:cNvPr>
            <xdr:cNvSpPr txBox="1"/>
          </xdr:nvSpPr>
          <xdr:spPr>
            <a:xfrm>
              <a:off x="1300162" y="18428494"/>
              <a:ext cx="396327" cy="3157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𝑉𝑚𝑎𝑥/𝑏𝑑</a:t>
              </a:r>
              <a:endParaRPr lang="en-US" sz="1100"/>
            </a:p>
          </xdr:txBody>
        </xdr:sp>
      </mc:Fallback>
    </mc:AlternateContent>
    <xdr:clientData/>
  </xdr:twoCellAnchor>
  <xdr:twoCellAnchor editAs="oneCell">
    <xdr:from>
      <xdr:col>9</xdr:col>
      <xdr:colOff>144780</xdr:colOff>
      <xdr:row>93</xdr:row>
      <xdr:rowOff>53340</xdr:rowOff>
    </xdr:from>
    <xdr:to>
      <xdr:col>18</xdr:col>
      <xdr:colOff>581346</xdr:colOff>
      <xdr:row>114</xdr:row>
      <xdr:rowOff>114777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8B965998-3132-4C09-B0E8-D88BE2315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256020" y="17724120"/>
          <a:ext cx="5922966" cy="4061937"/>
        </a:xfrm>
        <a:prstGeom prst="rect">
          <a:avLst/>
        </a:prstGeom>
      </xdr:spPr>
    </xdr:pic>
    <xdr:clientData/>
  </xdr:twoCellAnchor>
  <xdr:twoCellAnchor>
    <xdr:from>
      <xdr:col>4</xdr:col>
      <xdr:colOff>5862</xdr:colOff>
      <xdr:row>117</xdr:row>
      <xdr:rowOff>23447</xdr:rowOff>
    </xdr:from>
    <xdr:to>
      <xdr:col>10</xdr:col>
      <xdr:colOff>478628</xdr:colOff>
      <xdr:row>118</xdr:row>
      <xdr:rowOff>89484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7D81A376-3D7E-4822-B7F8-9AFF31AE41D5}"/>
                </a:ext>
              </a:extLst>
            </xdr:cNvPr>
            <xdr:cNvSpPr txBox="1"/>
          </xdr:nvSpPr>
          <xdr:spPr>
            <a:xfrm>
              <a:off x="2713893" y="22297293"/>
              <a:ext cx="4487920" cy="35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/>
                <a:t>0.58fy</a:t>
              </a:r>
              <a14:m>
                <m:oMath xmlns:m="http://schemas.openxmlformats.org/officeDocument/2006/math">
                  <m:f>
                    <m:fPr>
                      <m:ctrlPr>
                        <a:rPr lang="en-US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𝐴𝑟𝑒𝑎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𝑐𝑟𝑜𝑠𝑠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𝑠𝑒𝑐𝑡𝑖𝑜𝑛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𝑠𝑡𝑒𝑒𝑙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𝑟𝑒𝑞𝑢𝑖𝑟𝑒𝑑</m:t>
                      </m:r>
                    </m:num>
                    <m:den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𝐴𝑟𝑒𝑎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𝑐𝑟𝑜𝑠𝑠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𝑠𝑒𝑐𝑡𝑖𝑜𝑛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𝑜𝑓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𝑠𝑡𝑒𝑒𝑙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 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𝑝𝑟𝑜𝑣𝑖𝑑𝑒𝑑</m:t>
                      </m:r>
                    </m:den>
                  </m:f>
                </m:oMath>
              </a14:m>
              <a:endParaRPr lang="en-US" sz="1100"/>
            </a:p>
          </xdr:txBody>
        </xdr:sp>
      </mc:Choice>
      <mc:Fallback xmlns="">
        <xdr:sp macro="" textlink="">
          <xdr:nvSpPr>
            <xdr:cNvPr id="193" name="TextBox 192">
              <a:extLst>
                <a:ext uri="{FF2B5EF4-FFF2-40B4-BE49-F238E27FC236}">
                  <a16:creationId xmlns:a16="http://schemas.microsoft.com/office/drawing/2014/main" id="{7D81A376-3D7E-4822-B7F8-9AFF31AE41D5}"/>
                </a:ext>
              </a:extLst>
            </xdr:cNvPr>
            <xdr:cNvSpPr txBox="1"/>
          </xdr:nvSpPr>
          <xdr:spPr>
            <a:xfrm>
              <a:off x="2713893" y="22297293"/>
              <a:ext cx="4487920" cy="3532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100"/>
                <a:t>0.58fy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𝐴𝑟𝑒𝑎 𝑜𝑓 𝑐𝑟𝑜𝑠𝑠−𝑠𝑒𝑐𝑡𝑖𝑜𝑛 𝑜𝑓 𝑠𝑡𝑒𝑒𝑙 𝑟𝑒𝑞𝑢𝑖𝑟𝑒𝑑)/(𝐴𝑟𝑒𝑎 𝑜𝑓 𝑐𝑟𝑜𝑠𝑠−𝑠𝑒𝑐𝑡𝑖𝑜𝑛 𝑜𝑓 𝑠𝑡𝑒𝑒𝑙 𝑝𝑟𝑜𝑣𝑖𝑑𝑒𝑑)</a:t>
              </a:r>
              <a:endParaRPr lang="en-US" sz="1100"/>
            </a:p>
          </xdr:txBody>
        </xdr:sp>
      </mc:Fallback>
    </mc:AlternateContent>
    <xdr:clientData/>
  </xdr:twoCellAnchor>
  <xdr:twoCellAnchor editAs="oneCell">
    <xdr:from>
      <xdr:col>9</xdr:col>
      <xdr:colOff>251461</xdr:colOff>
      <xdr:row>118</xdr:row>
      <xdr:rowOff>15240</xdr:rowOff>
    </xdr:from>
    <xdr:to>
      <xdr:col>16</xdr:col>
      <xdr:colOff>68581</xdr:colOff>
      <xdr:row>132</xdr:row>
      <xdr:rowOff>134484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4E5B22F4-B073-4632-9A63-8753B1094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62701" y="22692360"/>
          <a:ext cx="4084320" cy="2908164"/>
        </a:xfrm>
        <a:prstGeom prst="rect">
          <a:avLst/>
        </a:prstGeom>
      </xdr:spPr>
    </xdr:pic>
    <xdr:clientData/>
  </xdr:twoCellAnchor>
  <xdr:twoCellAnchor>
    <xdr:from>
      <xdr:col>3</xdr:col>
      <xdr:colOff>553720</xdr:colOff>
      <xdr:row>128</xdr:row>
      <xdr:rowOff>25400</xdr:rowOff>
    </xdr:from>
    <xdr:to>
      <xdr:col>4</xdr:col>
      <xdr:colOff>591238</xdr:colOff>
      <xdr:row>129</xdr:row>
      <xdr:rowOff>40641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FFC610F1-2B8C-4B5B-A0C5-C7ED48C5A20E}"/>
                </a:ext>
              </a:extLst>
            </xdr:cNvPr>
            <xdr:cNvSpPr txBox="1"/>
          </xdr:nvSpPr>
          <xdr:spPr>
            <a:xfrm>
              <a:off x="2651760" y="24384000"/>
              <a:ext cx="647118" cy="4114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𝛷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∗</m:t>
                        </m:r>
                        <m:r>
                          <m:rPr>
                            <m:sty m:val="p"/>
                          </m:rPr>
                          <a:rPr lang="el-GR" sz="1100" b="0" i="1">
                            <a:latin typeface="Cambria Math" panose="02040503050406030204" pitchFamily="18" charset="0"/>
                          </a:rPr>
                          <m:t>σ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4∗</m:t>
                        </m:r>
                        <m:r>
                          <a:rPr lang="el-GR" sz="1100" b="0" i="1">
                            <a:latin typeface="Cambria Math" panose="02040503050406030204" pitchFamily="18" charset="0"/>
                          </a:rPr>
                          <m:t>𝜏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𝑏𝑑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95" name="TextBox 194">
              <a:extLst>
                <a:ext uri="{FF2B5EF4-FFF2-40B4-BE49-F238E27FC236}">
                  <a16:creationId xmlns:a16="http://schemas.microsoft.com/office/drawing/2014/main" id="{FFC610F1-2B8C-4B5B-A0C5-C7ED48C5A20E}"/>
                </a:ext>
              </a:extLst>
            </xdr:cNvPr>
            <xdr:cNvSpPr txBox="1"/>
          </xdr:nvSpPr>
          <xdr:spPr>
            <a:xfrm>
              <a:off x="2651760" y="24384000"/>
              <a:ext cx="647118" cy="4114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l-GR" sz="1100" i="0">
                  <a:latin typeface="Cambria Math" panose="02040503050406030204" pitchFamily="18" charset="0"/>
                </a:rPr>
                <a:t>𝛷</a:t>
              </a:r>
              <a:r>
                <a:rPr lang="en-US" sz="1100" b="0" i="0">
                  <a:latin typeface="Cambria Math" panose="02040503050406030204" pitchFamily="18" charset="0"/>
                </a:rPr>
                <a:t>∗</a:t>
              </a:r>
              <a:r>
                <a:rPr lang="el-GR" sz="1100" b="0" i="0">
                  <a:latin typeface="Cambria Math" panose="02040503050406030204" pitchFamily="18" charset="0"/>
                </a:rPr>
                <a:t>σ</a:t>
              </a:r>
              <a:r>
                <a:rPr lang="en-US" sz="1100" b="0" i="0">
                  <a:latin typeface="Cambria Math" panose="02040503050406030204" pitchFamily="18" charset="0"/>
                </a:rPr>
                <a:t>𝑠)/(4∗</a:t>
              </a:r>
              <a:r>
                <a:rPr lang="el-GR" sz="1100" b="0" i="0">
                  <a:latin typeface="Cambria Math" panose="02040503050406030204" pitchFamily="18" charset="0"/>
                </a:rPr>
                <a:t>𝜏</a:t>
              </a:r>
              <a:r>
                <a:rPr lang="en-US" sz="1100" b="0" i="0">
                  <a:latin typeface="Cambria Math" panose="02040503050406030204" pitchFamily="18" charset="0"/>
                </a:rPr>
                <a:t>𝑏𝑑)</a:t>
              </a:r>
              <a:endParaRPr lang="en-US" sz="1100"/>
            </a:p>
          </xdr:txBody>
        </xdr:sp>
      </mc:Fallback>
    </mc:AlternateContent>
    <xdr:clientData/>
  </xdr:twoCellAnchor>
  <xdr:twoCellAnchor>
    <xdr:from>
      <xdr:col>4</xdr:col>
      <xdr:colOff>594360</xdr:colOff>
      <xdr:row>128</xdr:row>
      <xdr:rowOff>40640</xdr:rowOff>
    </xdr:from>
    <xdr:to>
      <xdr:col>5</xdr:col>
      <xdr:colOff>706120</xdr:colOff>
      <xdr:row>129</xdr:row>
      <xdr:rowOff>55881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41809782-ED5C-4731-9AE1-A743CFC9BB28}"/>
                </a:ext>
              </a:extLst>
            </xdr:cNvPr>
            <xdr:cNvSpPr txBox="1"/>
          </xdr:nvSpPr>
          <xdr:spPr>
            <a:xfrm>
              <a:off x="3302000" y="24399240"/>
              <a:ext cx="934720" cy="4114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r>
                <a:rPr lang="en-US" sz="1400"/>
                <a:t>=</a:t>
              </a:r>
              <a14:m>
                <m:oMath xmlns:m="http://schemas.openxmlformats.org/officeDocument/2006/math">
                  <m:f>
                    <m:fPr>
                      <m:ctrlPr>
                        <a:rPr lang="en-US" sz="14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el-GR" sz="1400" i="1">
                          <a:latin typeface="Cambria Math" panose="02040503050406030204" pitchFamily="18" charset="0"/>
                        </a:rPr>
                        <m:t>𝛷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∗0.87∗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𝑓𝑦</m:t>
                      </m:r>
                    </m:num>
                    <m:den>
                      <m:r>
                        <a:rPr lang="en-US" sz="1400" b="0" i="1">
                          <a:latin typeface="Cambria Math" panose="02040503050406030204" pitchFamily="18" charset="0"/>
                        </a:rPr>
                        <m:t>4∗</m:t>
                      </m:r>
                      <m:r>
                        <a:rPr lang="el-GR" sz="1400" b="0" i="1">
                          <a:latin typeface="Cambria Math" panose="02040503050406030204" pitchFamily="18" charset="0"/>
                        </a:rPr>
                        <m:t>𝜏</m:t>
                      </m:r>
                      <m:r>
                        <a:rPr lang="en-US" sz="1400" b="0" i="1">
                          <a:latin typeface="Cambria Math" panose="02040503050406030204" pitchFamily="18" charset="0"/>
                        </a:rPr>
                        <m:t>𝑏𝑑</m:t>
                      </m:r>
                    </m:den>
                  </m:f>
                </m:oMath>
              </a14:m>
              <a:endParaRPr lang="en-US" sz="1400"/>
            </a:p>
          </xdr:txBody>
        </xdr:sp>
      </mc:Choice>
      <mc:Fallback xmlns="">
        <xdr:sp macro="" textlink="">
          <xdr:nvSpPr>
            <xdr:cNvPr id="196" name="TextBox 195">
              <a:extLst>
                <a:ext uri="{FF2B5EF4-FFF2-40B4-BE49-F238E27FC236}">
                  <a16:creationId xmlns:a16="http://schemas.microsoft.com/office/drawing/2014/main" id="{41809782-ED5C-4731-9AE1-A743CFC9BB28}"/>
                </a:ext>
              </a:extLst>
            </xdr:cNvPr>
            <xdr:cNvSpPr txBox="1"/>
          </xdr:nvSpPr>
          <xdr:spPr>
            <a:xfrm>
              <a:off x="3302000" y="24399240"/>
              <a:ext cx="934720" cy="4114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400"/>
                <a:t>=</a:t>
              </a:r>
              <a:r>
                <a:rPr lang="en-US" sz="1400" i="0">
                  <a:latin typeface="Cambria Math" panose="02040503050406030204" pitchFamily="18" charset="0"/>
                </a:rPr>
                <a:t>(</a:t>
              </a:r>
              <a:r>
                <a:rPr lang="el-GR" sz="1400" i="0">
                  <a:latin typeface="Cambria Math" panose="02040503050406030204" pitchFamily="18" charset="0"/>
                </a:rPr>
                <a:t>𝛷</a:t>
              </a:r>
              <a:r>
                <a:rPr lang="en-US" sz="1400" b="0" i="0">
                  <a:latin typeface="Cambria Math" panose="02040503050406030204" pitchFamily="18" charset="0"/>
                </a:rPr>
                <a:t>∗0.87∗𝑓𝑦)/(4∗</a:t>
              </a:r>
              <a:r>
                <a:rPr lang="el-GR" sz="1400" b="0" i="0">
                  <a:latin typeface="Cambria Math" panose="02040503050406030204" pitchFamily="18" charset="0"/>
                </a:rPr>
                <a:t>𝜏</a:t>
              </a:r>
              <a:r>
                <a:rPr lang="en-US" sz="1400" b="0" i="0">
                  <a:latin typeface="Cambria Math" panose="02040503050406030204" pitchFamily="18" charset="0"/>
                </a:rPr>
                <a:t>𝑏𝑑)</a:t>
              </a:r>
              <a:endParaRPr lang="en-US" sz="1400"/>
            </a:p>
          </xdr:txBody>
        </xdr:sp>
      </mc:Fallback>
    </mc:AlternateContent>
    <xdr:clientData/>
  </xdr:twoCellAnchor>
  <xdr:twoCellAnchor editAs="oneCell">
    <xdr:from>
      <xdr:col>9</xdr:col>
      <xdr:colOff>1</xdr:colOff>
      <xdr:row>133</xdr:row>
      <xdr:rowOff>1</xdr:rowOff>
    </xdr:from>
    <xdr:to>
      <xdr:col>12</xdr:col>
      <xdr:colOff>76299</xdr:colOff>
      <xdr:row>142</xdr:row>
      <xdr:rowOff>60961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DBA314EB-CE98-499D-A11C-189ACCF09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116321" y="25486361"/>
          <a:ext cx="1905098" cy="1706880"/>
        </a:xfrm>
        <a:prstGeom prst="rect">
          <a:avLst/>
        </a:prstGeom>
      </xdr:spPr>
    </xdr:pic>
    <xdr:clientData/>
  </xdr:twoCellAnchor>
  <xdr:twoCellAnchor editAs="oneCell">
    <xdr:from>
      <xdr:col>9</xdr:col>
      <xdr:colOff>20320</xdr:colOff>
      <xdr:row>142</xdr:row>
      <xdr:rowOff>69838</xdr:rowOff>
    </xdr:from>
    <xdr:to>
      <xdr:col>15</xdr:col>
      <xdr:colOff>155616</xdr:colOff>
      <xdr:row>149</xdr:row>
      <xdr:rowOff>68807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AC3E64FB-241B-4D0A-A0B9-FA800C6E3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136640" y="27202118"/>
          <a:ext cx="3792896" cy="1279129"/>
        </a:xfrm>
        <a:prstGeom prst="rect">
          <a:avLst/>
        </a:prstGeom>
      </xdr:spPr>
    </xdr:pic>
    <xdr:clientData/>
  </xdr:twoCellAnchor>
  <xdr:twoCellAnchor editAs="oneCell">
    <xdr:from>
      <xdr:col>2</xdr:col>
      <xdr:colOff>81280</xdr:colOff>
      <xdr:row>142</xdr:row>
      <xdr:rowOff>40640</xdr:rowOff>
    </xdr:from>
    <xdr:to>
      <xdr:col>5</xdr:col>
      <xdr:colOff>25400</xdr:colOff>
      <xdr:row>157</xdr:row>
      <xdr:rowOff>130287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D4D46B95-914E-41CD-8DCC-24750E864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46200" y="27172920"/>
          <a:ext cx="2209800" cy="2832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opLeftCell="A36" zoomScale="140" zoomScaleNormal="140" workbookViewId="0">
      <selection activeCell="E18" sqref="E18"/>
    </sheetView>
  </sheetViews>
  <sheetFormatPr defaultRowHeight="14.4" x14ac:dyDescent="0.3"/>
  <cols>
    <col min="5" max="5" width="10.6640625" style="8" bestFit="1" customWidth="1"/>
  </cols>
  <sheetData>
    <row r="1" spans="1:5" x14ac:dyDescent="0.3">
      <c r="A1" s="11" t="s">
        <v>0</v>
      </c>
    </row>
    <row r="3" spans="1:5" x14ac:dyDescent="0.3">
      <c r="D3" s="1" t="s">
        <v>1</v>
      </c>
      <c r="E3" s="3">
        <v>3</v>
      </c>
    </row>
    <row r="4" spans="1:5" x14ac:dyDescent="0.3">
      <c r="D4" s="1" t="s">
        <v>2</v>
      </c>
      <c r="E4" s="4">
        <v>150</v>
      </c>
    </row>
    <row r="5" spans="1:5" x14ac:dyDescent="0.3">
      <c r="D5" s="1" t="s">
        <v>5</v>
      </c>
      <c r="E5" s="4">
        <v>250</v>
      </c>
    </row>
    <row r="6" spans="1:5" x14ac:dyDescent="0.3">
      <c r="D6" s="1" t="s">
        <v>8</v>
      </c>
      <c r="E6" s="4">
        <v>1250</v>
      </c>
    </row>
    <row r="7" spans="1:5" x14ac:dyDescent="0.3">
      <c r="D7" s="1" t="s">
        <v>9</v>
      </c>
      <c r="E7" s="4">
        <v>1250</v>
      </c>
    </row>
    <row r="8" spans="1:5" x14ac:dyDescent="0.3">
      <c r="D8" s="1" t="s">
        <v>21</v>
      </c>
      <c r="E8" s="7">
        <v>10</v>
      </c>
    </row>
    <row r="9" spans="1:5" x14ac:dyDescent="0.3">
      <c r="D9" s="1" t="s">
        <v>6</v>
      </c>
      <c r="E9" s="4">
        <v>1250</v>
      </c>
    </row>
    <row r="10" spans="1:5" x14ac:dyDescent="0.3">
      <c r="D10" s="1" t="s">
        <v>4</v>
      </c>
      <c r="E10" s="5">
        <v>4</v>
      </c>
    </row>
    <row r="11" spans="1:5" x14ac:dyDescent="0.3">
      <c r="D11" s="1" t="s">
        <v>3</v>
      </c>
      <c r="E11" s="6">
        <v>0.6</v>
      </c>
    </row>
    <row r="12" spans="1:5" x14ac:dyDescent="0.3">
      <c r="D12" s="1" t="s">
        <v>12</v>
      </c>
      <c r="E12" s="4">
        <v>230</v>
      </c>
    </row>
    <row r="13" spans="1:5" x14ac:dyDescent="0.3">
      <c r="A13" s="9" t="s">
        <v>19</v>
      </c>
    </row>
    <row r="14" spans="1:5" x14ac:dyDescent="0.3">
      <c r="D14" s="1" t="s">
        <v>7</v>
      </c>
      <c r="E14" s="2" t="s">
        <v>11</v>
      </c>
    </row>
    <row r="15" spans="1:5" x14ac:dyDescent="0.3">
      <c r="D15" s="1" t="s">
        <v>10</v>
      </c>
      <c r="E15" s="2" t="str">
        <f>CONCATENATE("{(",E8,"-1)*",E5,"}+",E6,"+",E7,"+",E12)</f>
        <v>{(10-1)*250}+1250+1250+230</v>
      </c>
    </row>
    <row r="16" spans="1:5" x14ac:dyDescent="0.3">
      <c r="D16" s="1" t="s">
        <v>10</v>
      </c>
      <c r="E16" s="4">
        <f>((E8-1)*E5)+E6+E7+E12</f>
        <v>4980</v>
      </c>
    </row>
    <row r="17" spans="1:6" x14ac:dyDescent="0.3">
      <c r="D17" s="1" t="s">
        <v>13</v>
      </c>
      <c r="E17" s="8" t="s">
        <v>32</v>
      </c>
      <c r="F17" t="s">
        <v>17</v>
      </c>
    </row>
    <row r="18" spans="1:6" x14ac:dyDescent="0.3">
      <c r="D18" s="1"/>
      <c r="E18" s="8" t="s">
        <v>33</v>
      </c>
      <c r="F18" t="s">
        <v>27</v>
      </c>
    </row>
    <row r="19" spans="1:6" x14ac:dyDescent="0.3">
      <c r="D19" s="1" t="s">
        <v>10</v>
      </c>
      <c r="E19" s="2" t="str">
        <f>CONCATENATE("(",E16,"/20)")</f>
        <v>(4980/20)</v>
      </c>
    </row>
    <row r="20" spans="1:6" x14ac:dyDescent="0.3">
      <c r="D20" s="1" t="s">
        <v>10</v>
      </c>
      <c r="E20" s="2">
        <f>E16/20</f>
        <v>249</v>
      </c>
      <c r="F20" s="14">
        <f>CEILING(E20,25)</f>
        <v>250</v>
      </c>
    </row>
    <row r="21" spans="1:6" x14ac:dyDescent="0.3">
      <c r="A21" s="9" t="s">
        <v>20</v>
      </c>
      <c r="D21" s="1"/>
      <c r="E21" s="2"/>
      <c r="F21" s="10"/>
    </row>
    <row r="22" spans="1:6" x14ac:dyDescent="0.3">
      <c r="D22" s="1" t="s">
        <v>14</v>
      </c>
      <c r="E22" s="4">
        <v>20</v>
      </c>
      <c r="F22" s="9" t="s">
        <v>15</v>
      </c>
    </row>
    <row r="23" spans="1:6" x14ac:dyDescent="0.3">
      <c r="D23" s="1" t="s">
        <v>22</v>
      </c>
      <c r="E23" s="4">
        <v>12</v>
      </c>
    </row>
    <row r="24" spans="1:6" x14ac:dyDescent="0.3">
      <c r="D24" s="1" t="s">
        <v>16</v>
      </c>
      <c r="E24" s="2" t="str">
        <f>CONCATENATE(F20,"-",E22,"-(",E23,"/2)")</f>
        <v>250-20-(12/2)</v>
      </c>
    </row>
    <row r="25" spans="1:6" x14ac:dyDescent="0.3">
      <c r="D25" s="1" t="s">
        <v>10</v>
      </c>
      <c r="E25" s="2">
        <f>F20-E22-(E23/2)</f>
        <v>224</v>
      </c>
    </row>
    <row r="26" spans="1:6" x14ac:dyDescent="0.3">
      <c r="D26" s="1" t="s">
        <v>18</v>
      </c>
      <c r="E26" s="4">
        <v>200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14D1D-DA32-4B13-AD2A-9DB64853A837}">
  <dimension ref="A1:I138"/>
  <sheetViews>
    <sheetView tabSelected="1" zoomScale="130" zoomScaleNormal="130" workbookViewId="0">
      <selection activeCell="A139" sqref="A139"/>
    </sheetView>
  </sheetViews>
  <sheetFormatPr defaultRowHeight="14.4" x14ac:dyDescent="0.3"/>
  <cols>
    <col min="2" max="2" width="9.5546875" bestFit="1" customWidth="1"/>
    <col min="3" max="3" width="12.109375" bestFit="1" customWidth="1"/>
    <col min="5" max="5" width="12" style="8" bestFit="1" customWidth="1"/>
    <col min="6" max="6" width="11" bestFit="1" customWidth="1"/>
  </cols>
  <sheetData>
    <row r="1" spans="1:9" ht="15.6" x14ac:dyDescent="0.3">
      <c r="A1" s="31" t="s">
        <v>0</v>
      </c>
      <c r="B1" s="31"/>
      <c r="C1" s="31"/>
      <c r="D1" s="31"/>
      <c r="E1" s="31"/>
      <c r="F1" s="31"/>
      <c r="G1" s="31"/>
      <c r="H1" s="31"/>
      <c r="I1" s="31"/>
    </row>
    <row r="3" spans="1:9" x14ac:dyDescent="0.3">
      <c r="D3" s="1" t="s">
        <v>1</v>
      </c>
      <c r="E3" s="3">
        <v>2.8450000000000002</v>
      </c>
    </row>
    <row r="4" spans="1:9" x14ac:dyDescent="0.3">
      <c r="D4" s="1" t="s">
        <v>2</v>
      </c>
      <c r="E4" s="4">
        <v>175</v>
      </c>
    </row>
    <row r="5" spans="1:9" x14ac:dyDescent="0.3">
      <c r="D5" s="1" t="s">
        <v>5</v>
      </c>
      <c r="E5" s="4">
        <v>250</v>
      </c>
    </row>
    <row r="6" spans="1:9" x14ac:dyDescent="0.3">
      <c r="D6" s="1" t="s">
        <v>8</v>
      </c>
      <c r="E6" s="4">
        <v>1000</v>
      </c>
    </row>
    <row r="7" spans="1:9" x14ac:dyDescent="0.3">
      <c r="D7" s="1" t="s">
        <v>9</v>
      </c>
      <c r="E7" s="4">
        <v>1000</v>
      </c>
    </row>
    <row r="8" spans="1:9" x14ac:dyDescent="0.3">
      <c r="D8" s="1" t="s">
        <v>21</v>
      </c>
      <c r="E8" s="7">
        <v>8</v>
      </c>
    </row>
    <row r="9" spans="1:9" x14ac:dyDescent="0.3">
      <c r="D9" s="1" t="s">
        <v>6</v>
      </c>
      <c r="E9" s="4">
        <v>1000</v>
      </c>
    </row>
    <row r="10" spans="1:9" x14ac:dyDescent="0.3">
      <c r="D10" s="1" t="s">
        <v>4</v>
      </c>
      <c r="E10" s="5">
        <v>3</v>
      </c>
    </row>
    <row r="11" spans="1:9" x14ac:dyDescent="0.3">
      <c r="D11" s="1" t="s">
        <v>3</v>
      </c>
      <c r="E11" s="6">
        <v>1.25</v>
      </c>
    </row>
    <row r="12" spans="1:9" x14ac:dyDescent="0.3">
      <c r="D12" s="1" t="s">
        <v>12</v>
      </c>
      <c r="E12" s="4">
        <v>230</v>
      </c>
    </row>
    <row r="13" spans="1:9" x14ac:dyDescent="0.3">
      <c r="D13" s="1" t="s">
        <v>41</v>
      </c>
      <c r="E13" s="17">
        <v>25</v>
      </c>
    </row>
    <row r="14" spans="1:9" x14ac:dyDescent="0.3">
      <c r="D14" s="1" t="s">
        <v>63</v>
      </c>
      <c r="E14" s="32">
        <v>500</v>
      </c>
    </row>
    <row r="15" spans="1:9" x14ac:dyDescent="0.3">
      <c r="D15" s="1" t="s">
        <v>62</v>
      </c>
      <c r="E15" s="32">
        <v>20</v>
      </c>
    </row>
    <row r="16" spans="1:9" x14ac:dyDescent="0.3">
      <c r="A16" s="9" t="s">
        <v>19</v>
      </c>
    </row>
    <row r="17" spans="1:6" ht="15.6" x14ac:dyDescent="0.35">
      <c r="D17" s="1" t="s">
        <v>23</v>
      </c>
      <c r="E17" s="2" t="s">
        <v>11</v>
      </c>
    </row>
    <row r="18" spans="1:6" x14ac:dyDescent="0.3">
      <c r="D18" s="1" t="s">
        <v>10</v>
      </c>
      <c r="E18" s="2" t="str">
        <f>CONCATENATE("{(",E8,"-1)*",E5,"}+",E6,"+",E7,"+",E12)</f>
        <v>{(8-1)*250}+1000+1000+230</v>
      </c>
    </row>
    <row r="19" spans="1:6" x14ac:dyDescent="0.3">
      <c r="D19" s="1" t="s">
        <v>10</v>
      </c>
      <c r="E19" s="4">
        <f>((E8-1)*E5)+E6+E7+E12</f>
        <v>3980</v>
      </c>
    </row>
    <row r="20" spans="1:6" x14ac:dyDescent="0.3">
      <c r="A20" s="9" t="s">
        <v>34</v>
      </c>
      <c r="D20" s="1"/>
      <c r="E20" s="2"/>
      <c r="F20" s="10"/>
    </row>
    <row r="21" spans="1:6" x14ac:dyDescent="0.3">
      <c r="D21" s="1" t="s">
        <v>30</v>
      </c>
      <c r="E21" s="4">
        <v>15</v>
      </c>
      <c r="F21" s="9" t="s">
        <v>15</v>
      </c>
    </row>
    <row r="22" spans="1:6" x14ac:dyDescent="0.3">
      <c r="D22" s="1" t="s">
        <v>24</v>
      </c>
      <c r="E22" s="4">
        <v>12</v>
      </c>
    </row>
    <row r="23" spans="1:6" ht="30" customHeight="1" x14ac:dyDescent="0.3">
      <c r="E23" s="13">
        <v>30</v>
      </c>
      <c r="F23" s="12" t="s">
        <v>26</v>
      </c>
    </row>
    <row r="24" spans="1:6" x14ac:dyDescent="0.3">
      <c r="D24" s="1" t="s">
        <v>25</v>
      </c>
      <c r="E24" s="2" t="str">
        <f>CONCATENATE("(Leff/",E23,")")</f>
        <v>(Leff/30)</v>
      </c>
    </row>
    <row r="25" spans="1:6" x14ac:dyDescent="0.3">
      <c r="D25" s="1" t="s">
        <v>10</v>
      </c>
      <c r="E25" s="2">
        <f>E19/E23</f>
        <v>132.66666666666666</v>
      </c>
    </row>
    <row r="26" spans="1:6" x14ac:dyDescent="0.3">
      <c r="D26" s="1" t="s">
        <v>28</v>
      </c>
      <c r="E26" s="8" t="s">
        <v>29</v>
      </c>
    </row>
    <row r="27" spans="1:6" x14ac:dyDescent="0.3">
      <c r="D27" s="1" t="s">
        <v>10</v>
      </c>
      <c r="E27" s="8" t="str">
        <f>CONCATENATE(ROUND(E25,3),"+(",E22,"/2)+",E21)</f>
        <v>132.667+(12/2)+15</v>
      </c>
    </row>
    <row r="28" spans="1:6" x14ac:dyDescent="0.3">
      <c r="D28" s="1" t="s">
        <v>10</v>
      </c>
      <c r="E28" s="2">
        <f>E25+(E22/2)+E21</f>
        <v>153.66666666666666</v>
      </c>
      <c r="F28" s="26">
        <f>CEILING(E28,5)</f>
        <v>155</v>
      </c>
    </row>
    <row r="29" spans="1:6" x14ac:dyDescent="0.3">
      <c r="D29" s="1" t="s">
        <v>31</v>
      </c>
      <c r="E29" s="25">
        <f>F28-(E22/2)-E21</f>
        <v>134</v>
      </c>
    </row>
    <row r="30" spans="1:6" x14ac:dyDescent="0.3">
      <c r="A30" s="9" t="s">
        <v>35</v>
      </c>
    </row>
    <row r="31" spans="1:6" x14ac:dyDescent="0.3">
      <c r="A31" s="15" t="s">
        <v>36</v>
      </c>
    </row>
    <row r="32" spans="1:6" x14ac:dyDescent="0.3">
      <c r="D32" s="1" t="s">
        <v>37</v>
      </c>
      <c r="E32" s="8" t="str">
        <f>CONCATENATE(E10,"*1")</f>
        <v>3*1</v>
      </c>
      <c r="F32" s="16">
        <f>E10*1</f>
        <v>3</v>
      </c>
    </row>
    <row r="33" spans="1:6" x14ac:dyDescent="0.3">
      <c r="D33" s="1" t="s">
        <v>38</v>
      </c>
      <c r="E33" s="8" t="str">
        <f>CONCATENATE(E11,"*1")</f>
        <v>1.25*1</v>
      </c>
      <c r="F33" s="22">
        <f>E11*1</f>
        <v>1.25</v>
      </c>
    </row>
    <row r="34" spans="1:6" ht="16.2" x14ac:dyDescent="0.3">
      <c r="D34" s="1" t="s">
        <v>39</v>
      </c>
      <c r="E34" s="18" t="s">
        <v>42</v>
      </c>
    </row>
    <row r="35" spans="1:6" x14ac:dyDescent="0.3">
      <c r="D35" s="1" t="s">
        <v>10</v>
      </c>
      <c r="E35" s="19">
        <f>(E13*(F28/1000)*SQRT(((E4/1000)^2)+((E5/1000)^2)))/(E5/1000)</f>
        <v>4.7300403010968095</v>
      </c>
    </row>
    <row r="36" spans="1:6" x14ac:dyDescent="0.3">
      <c r="D36" s="1" t="s">
        <v>40</v>
      </c>
      <c r="E36" s="8" t="s">
        <v>43</v>
      </c>
    </row>
    <row r="37" spans="1:6" x14ac:dyDescent="0.3">
      <c r="D37" s="1" t="s">
        <v>10</v>
      </c>
      <c r="E37" s="19">
        <f>E13*0.5*(E4/1000)</f>
        <v>2.1875</v>
      </c>
    </row>
    <row r="38" spans="1:6" x14ac:dyDescent="0.3">
      <c r="D38" s="1" t="s">
        <v>44</v>
      </c>
      <c r="E38" s="23">
        <f>F32+F33+E35+E37</f>
        <v>11.16754030109681</v>
      </c>
    </row>
    <row r="39" spans="1:6" x14ac:dyDescent="0.3">
      <c r="D39" s="1" t="s">
        <v>45</v>
      </c>
      <c r="E39" s="20" t="str">
        <f>CONCATENATE("1.5*",ROUND(E38,2))</f>
        <v>1.5*11.17</v>
      </c>
    </row>
    <row r="40" spans="1:6" x14ac:dyDescent="0.3">
      <c r="D40" s="1" t="s">
        <v>10</v>
      </c>
      <c r="E40" s="24">
        <f>1.5*E38</f>
        <v>16.751310451645217</v>
      </c>
    </row>
    <row r="41" spans="1:6" x14ac:dyDescent="0.3">
      <c r="A41" s="15" t="s">
        <v>46</v>
      </c>
    </row>
    <row r="42" spans="1:6" x14ac:dyDescent="0.3">
      <c r="D42" s="1" t="s">
        <v>37</v>
      </c>
      <c r="E42" s="8" t="str">
        <f>CONCATENATE(E10,"*1")</f>
        <v>3*1</v>
      </c>
      <c r="F42" s="22">
        <f>E10*1</f>
        <v>3</v>
      </c>
    </row>
    <row r="43" spans="1:6" x14ac:dyDescent="0.3">
      <c r="D43" s="1" t="s">
        <v>38</v>
      </c>
      <c r="E43" s="8" t="str">
        <f>CONCATENATE(E11,"*1")</f>
        <v>1.25*1</v>
      </c>
      <c r="F43" s="22">
        <f>E11*1</f>
        <v>1.25</v>
      </c>
    </row>
    <row r="44" spans="1:6" x14ac:dyDescent="0.3">
      <c r="D44" s="1" t="s">
        <v>47</v>
      </c>
      <c r="E44" s="8" t="s">
        <v>48</v>
      </c>
    </row>
    <row r="45" spans="1:6" x14ac:dyDescent="0.3">
      <c r="D45" s="1" t="s">
        <v>10</v>
      </c>
      <c r="E45" s="20">
        <f>E13*(F28/1000)*1</f>
        <v>3.875</v>
      </c>
    </row>
    <row r="46" spans="1:6" x14ac:dyDescent="0.3">
      <c r="D46" s="1" t="s">
        <v>49</v>
      </c>
      <c r="E46" s="20">
        <f>E45+F43+F42</f>
        <v>8.125</v>
      </c>
    </row>
    <row r="47" spans="1:6" x14ac:dyDescent="0.3">
      <c r="D47" s="1" t="s">
        <v>45</v>
      </c>
      <c r="E47" s="8" t="str">
        <f>CONCATENATE("1.5*",ROUND(E46,2))</f>
        <v>1.5*8.13</v>
      </c>
    </row>
    <row r="48" spans="1:6" x14ac:dyDescent="0.3">
      <c r="D48" s="1" t="s">
        <v>10</v>
      </c>
      <c r="E48" s="24">
        <f>1.5*E46</f>
        <v>12.1875</v>
      </c>
    </row>
    <row r="50" spans="1:9" x14ac:dyDescent="0.3">
      <c r="E50" s="23">
        <f>+E40</f>
        <v>16.751310451645217</v>
      </c>
    </row>
    <row r="52" spans="1:9" x14ac:dyDescent="0.3">
      <c r="B52" s="58">
        <f>+E48</f>
        <v>12.1875</v>
      </c>
      <c r="C52" s="58"/>
      <c r="G52" s="58">
        <f>+E48</f>
        <v>12.1875</v>
      </c>
      <c r="H52" s="58"/>
    </row>
    <row r="54" spans="1:9" x14ac:dyDescent="0.3">
      <c r="A54" s="28" t="s">
        <v>55</v>
      </c>
      <c r="D54" s="8"/>
      <c r="E54"/>
      <c r="I54" s="9" t="s">
        <v>54</v>
      </c>
    </row>
    <row r="55" spans="1:9" x14ac:dyDescent="0.3">
      <c r="D55" s="8"/>
      <c r="E55"/>
    </row>
    <row r="56" spans="1:9" x14ac:dyDescent="0.3">
      <c r="D56" s="8"/>
      <c r="E56"/>
    </row>
    <row r="57" spans="1:9" x14ac:dyDescent="0.3">
      <c r="B57" s="59">
        <f>(E6+(E12/2))/1000</f>
        <v>1.115</v>
      </c>
      <c r="C57" s="59"/>
      <c r="D57" s="8"/>
      <c r="E57" s="27">
        <f>((E8-1)*E5)/1000</f>
        <v>1.75</v>
      </c>
      <c r="G57" s="59">
        <f>(E7+(E12/2))/1000</f>
        <v>1.115</v>
      </c>
      <c r="H57" s="59"/>
    </row>
    <row r="58" spans="1:9" x14ac:dyDescent="0.3">
      <c r="A58" s="57" t="s">
        <v>50</v>
      </c>
      <c r="B58" s="57"/>
      <c r="H58" s="57" t="s">
        <v>51</v>
      </c>
      <c r="I58" s="57"/>
    </row>
    <row r="59" spans="1:9" x14ac:dyDescent="0.3">
      <c r="E59" s="27">
        <f>B57+E57+G57</f>
        <v>3.9800000000000004</v>
      </c>
    </row>
    <row r="60" spans="1:9" x14ac:dyDescent="0.3">
      <c r="A60" s="9" t="s">
        <v>52</v>
      </c>
    </row>
    <row r="61" spans="1:9" x14ac:dyDescent="0.3">
      <c r="A61" t="s">
        <v>53</v>
      </c>
    </row>
    <row r="62" spans="1:9" x14ac:dyDescent="0.3">
      <c r="B62" s="1" t="str">
        <f>CONCATENATE(A58,"*",(B57+E57+G57),"=")</f>
        <v>Ra*3.98=</v>
      </c>
      <c r="C62" s="8" t="str">
        <f>CONCATENATE("[{(",ROUND(B52,2),"*",B57,"*(",B57,"/2+",E57,"+",G57,")}+{",ROUND(E50,2),"*",E57,"*(",E57,"/2+",G57,")}")</f>
        <v>[{(12.19*1.115*(1.115/2+1.75+1.115)}+{16.75*1.75*(1.75/2+1.115)}</v>
      </c>
    </row>
    <row r="63" spans="1:9" x14ac:dyDescent="0.3">
      <c r="B63" s="1"/>
      <c r="C63" s="8" t="str">
        <f>CONCATENATE("+{",ROUND(G52,2),"*",G57,"*",G57,"/2)}]")</f>
        <v>+{12.19*1.115*1.115/2)}]</v>
      </c>
    </row>
    <row r="64" spans="1:9" x14ac:dyDescent="0.3">
      <c r="B64" s="1" t="str">
        <f>+B62</f>
        <v>Ra*3.98=</v>
      </c>
      <c r="C64" s="29">
        <f>((B52*B57*(B57/2+E57+G57))+(E50*E57*(E57/2+G57))+(G52*G57*G57/2))</f>
        <v>112.42090739785446</v>
      </c>
    </row>
    <row r="65" spans="1:3" x14ac:dyDescent="0.3">
      <c r="B65" s="1" t="s">
        <v>56</v>
      </c>
      <c r="C65" s="54">
        <f>C64/E59</f>
        <v>28.246459145189561</v>
      </c>
    </row>
    <row r="67" spans="1:3" x14ac:dyDescent="0.3">
      <c r="B67" s="1" t="s">
        <v>57</v>
      </c>
      <c r="C67" t="str">
        <f>CONCATENATE("(",ROUND(B52,2),"*",B57,")+(",ROUND(E50,2),"*",E57,")+(",ROUND(G52,2),"*",G57,")")</f>
        <v>(12.19*1.115)+(16.75*1.75)+(12.19*1.115)</v>
      </c>
    </row>
    <row r="68" spans="1:3" x14ac:dyDescent="0.3">
      <c r="B68" t="str">
        <f>CONCATENATE(ROUND(C65,2),"+Rb=")</f>
        <v>28.25+Rb=</v>
      </c>
      <c r="C68" s="29">
        <f>(B52*B57)+(E50*E57)+(G52*G57)</f>
        <v>56.492918290379123</v>
      </c>
    </row>
    <row r="69" spans="1:3" x14ac:dyDescent="0.3">
      <c r="B69" s="1" t="s">
        <v>58</v>
      </c>
      <c r="C69" s="54">
        <f>C68-C65</f>
        <v>28.246459145189561</v>
      </c>
    </row>
    <row r="71" spans="1:3" ht="28.8" customHeight="1" x14ac:dyDescent="0.3">
      <c r="B71" s="30" t="s">
        <v>59</v>
      </c>
    </row>
    <row r="72" spans="1:3" x14ac:dyDescent="0.3">
      <c r="B72" s="1" t="s">
        <v>10</v>
      </c>
      <c r="C72" t="str">
        <f>CONCATENATE("{",B52,"*(",B57,"+",G57,")}+(",ROUND(E50,2),"*",E57,"))/2")</f>
        <v>{12.1875*(1.115+1.115)}+(16.75*1.75))/2</v>
      </c>
    </row>
    <row r="73" spans="1:3" x14ac:dyDescent="0.3">
      <c r="B73" s="1" t="s">
        <v>10</v>
      </c>
      <c r="C73" s="37">
        <f>((B52*(B57+G57))+(E50*E57))/2</f>
        <v>28.246459145189565</v>
      </c>
    </row>
    <row r="75" spans="1:3" x14ac:dyDescent="0.3">
      <c r="B75" s="1" t="s">
        <v>60</v>
      </c>
      <c r="C75" t="str">
        <f>CONCATENATE("-[",ROUND(B52,2),"*",B57,"*{(",B57,"/2)+(",E57,"/2)}]-[",ROUND(E50,2),"*(",E57,"/2)*(",E57,"/2*2)]")</f>
        <v>-[12.19*1.115*{(1.115/2)+(1.75/2)}]-[16.75*(1.75/2)*(1.75/2*2)]</v>
      </c>
    </row>
    <row r="76" spans="1:3" x14ac:dyDescent="0.3">
      <c r="B76" s="1"/>
      <c r="C76" t="str">
        <f>CONCATENATE("+[",ROUND(C73,2),"*{",B57,"+(",E57,"/2)}]")</f>
        <v>+[28.25*{1.115+(1.75/2)}]</v>
      </c>
    </row>
    <row r="77" spans="1:3" x14ac:dyDescent="0.3">
      <c r="B77" s="1" t="s">
        <v>10</v>
      </c>
      <c r="C77" s="36">
        <f>-(B52*B57*((B57/2)+(E57/2)))-(E50*(E57/2)*(E57/4))+(C73*(B57+(E57/2)))</f>
        <v>30.331510635406797</v>
      </c>
    </row>
    <row r="79" spans="1:3" x14ac:dyDescent="0.3">
      <c r="A79" s="9" t="s">
        <v>61</v>
      </c>
    </row>
    <row r="80" spans="1:3" x14ac:dyDescent="0.3">
      <c r="B80" s="1" t="s">
        <v>60</v>
      </c>
      <c r="C80" t="str">
        <f>CONCATENATE(IF(E14=500,0.133,0.138),"*fck*b*dreq^2")</f>
        <v>0.133*fck*b*dreq^2</v>
      </c>
    </row>
    <row r="81" spans="1:6" x14ac:dyDescent="0.3">
      <c r="B81" s="1" t="str">
        <f>CONCATENATE(ROUND(C77,2),"*10^6=")</f>
        <v>30.33*10^6=</v>
      </c>
      <c r="C81" t="str">
        <f>CONCATENATE(IF(E14=500,0.133,0.138),"*",E15,"*1000*dreq^2")</f>
        <v>0.133*20*1000*dreq^2</v>
      </c>
    </row>
    <row r="82" spans="1:6" ht="15.6" x14ac:dyDescent="0.35">
      <c r="B82" s="1" t="s">
        <v>64</v>
      </c>
      <c r="C82" s="33">
        <f>SQRT((C77*10^6)/(IF(E14=500,0.133,0.138)*E15*1000))</f>
        <v>106.78400417265412</v>
      </c>
      <c r="D82" s="57" t="str">
        <f>IF(C82&lt;E29,"(dreq&lt;dprov). Hence OK", "(dreq&gt;dprov.) Increase depth")</f>
        <v>(dreq&lt;dprov). Hence OK</v>
      </c>
      <c r="E82" s="57"/>
      <c r="F82" s="57"/>
    </row>
    <row r="84" spans="1:6" x14ac:dyDescent="0.3">
      <c r="A84" s="9" t="s">
        <v>65</v>
      </c>
    </row>
    <row r="85" spans="1:6" ht="31.2" customHeight="1" x14ac:dyDescent="0.3">
      <c r="B85" s="30" t="s">
        <v>60</v>
      </c>
    </row>
    <row r="86" spans="1:6" x14ac:dyDescent="0.3">
      <c r="B86" s="1" t="str">
        <f>+B81</f>
        <v>30.33*10^6=</v>
      </c>
      <c r="C86" t="str">
        <f>CONCATENATE("0.87*",E14,"*Ast*",E29,"*[1-{(",E14,"*Ast)/(",E15,"*1000*",E29,")}]",)</f>
        <v>0.87*500*Ast*134*[1-{(500*Ast)/(20*1000*134)}]</v>
      </c>
    </row>
    <row r="87" spans="1:6" x14ac:dyDescent="0.3">
      <c r="B87" s="1" t="s">
        <v>66</v>
      </c>
      <c r="C87" s="34">
        <f>(1-(SQRT((-1)^2-(4*(E14/(E15*1000*E29))*((C77*10^6)/(0.87*E14*E29))))))/(2*(E14/(E15*1000*E29)))</f>
        <v>583.98101779690523</v>
      </c>
    </row>
    <row r="89" spans="1:6" x14ac:dyDescent="0.3">
      <c r="B89" s="1" t="s">
        <v>67</v>
      </c>
      <c r="C89" s="35" t="s">
        <v>68</v>
      </c>
    </row>
    <row r="90" spans="1:6" x14ac:dyDescent="0.3">
      <c r="B90" s="1" t="s">
        <v>10</v>
      </c>
      <c r="C90" t="str">
        <f>CONCATENATE("(0.12/100)*1000*",F28)</f>
        <v>(0.12/100)*1000*155</v>
      </c>
    </row>
    <row r="91" spans="1:6" x14ac:dyDescent="0.3">
      <c r="B91" s="1" t="s">
        <v>10</v>
      </c>
      <c r="C91" s="34">
        <f>(0.12/100)*1000*F28</f>
        <v>186</v>
      </c>
    </row>
    <row r="93" spans="1:6" x14ac:dyDescent="0.3">
      <c r="B93" s="1" t="s">
        <v>69</v>
      </c>
      <c r="C93" t="str">
        <f>CONCATENATE("[1000/{",MAX(ROUND(C87,2),C91),"/(",ROUND(PI(),3),"*",E22,"^2)/4}]")</f>
        <v>[1000/{583.98/(3.142*12^2)/4}]</v>
      </c>
    </row>
    <row r="94" spans="1:6" x14ac:dyDescent="0.3">
      <c r="B94" s="1" t="s">
        <v>10</v>
      </c>
      <c r="C94" s="2">
        <f>1000/(MAX(C87,C91)/((PI()*E22^2)/4))</f>
        <v>193.66611599105971</v>
      </c>
      <c r="D94" s="53">
        <v>150</v>
      </c>
    </row>
    <row r="95" spans="1:6" x14ac:dyDescent="0.3">
      <c r="A95" s="9" t="str">
        <f>CONCATENATE("Provide ",E22, "mm dia. bar @ ",D94, "mm c/c")</f>
        <v>Provide 12mm dia. bar @ 150mm c/c</v>
      </c>
    </row>
    <row r="96" spans="1:6" x14ac:dyDescent="0.3">
      <c r="B96" s="1" t="s">
        <v>70</v>
      </c>
      <c r="C96" t="str">
        <f>CONCATENATE("[1000/{",D94,"/(",ROUND(PI(),3),"*",E22,"^2)/4}]")</f>
        <v>[1000/{150/(3.142*12^2)/4}]</v>
      </c>
    </row>
    <row r="97" spans="1:7" x14ac:dyDescent="0.3">
      <c r="B97" s="1" t="s">
        <v>10</v>
      </c>
      <c r="C97" s="34">
        <f>(1000*PI()*E22^2)/(4*D94)</f>
        <v>753.98223686155029</v>
      </c>
    </row>
    <row r="98" spans="1:7" x14ac:dyDescent="0.3">
      <c r="B98" s="1" t="s">
        <v>100</v>
      </c>
      <c r="C98" s="55">
        <f>(C97*100)/(1000*E29)</f>
        <v>0.56267331109070917</v>
      </c>
    </row>
    <row r="99" spans="1:7" x14ac:dyDescent="0.3">
      <c r="A99" s="9" t="s">
        <v>71</v>
      </c>
    </row>
    <row r="100" spans="1:7" x14ac:dyDescent="0.3">
      <c r="A100" t="str">
        <f>CONCATENATE("For M",E15, " concrete")</f>
        <v>For M20 concrete</v>
      </c>
    </row>
    <row r="101" spans="1:7" x14ac:dyDescent="0.3">
      <c r="A101" s="9"/>
      <c r="B101" s="1" t="s">
        <v>74</v>
      </c>
      <c r="C101" s="40">
        <v>0.28000000000000003</v>
      </c>
      <c r="E101" s="39" t="s">
        <v>73</v>
      </c>
    </row>
    <row r="102" spans="1:7" ht="27" customHeight="1" x14ac:dyDescent="0.3">
      <c r="B102" s="30" t="s">
        <v>72</v>
      </c>
    </row>
    <row r="103" spans="1:7" x14ac:dyDescent="0.3">
      <c r="B103" s="1" t="s">
        <v>10</v>
      </c>
      <c r="C103" t="str">
        <f>CONCATENATE("(",ROUND(C73,2),"*10^3)/(1000*",E29,")")</f>
        <v>(28.25*10^3)/(1000*134)</v>
      </c>
    </row>
    <row r="104" spans="1:7" x14ac:dyDescent="0.3">
      <c r="B104" s="1" t="s">
        <v>10</v>
      </c>
      <c r="C104" s="38">
        <f>(C73*10^3)/(1000*E29)</f>
        <v>0.21079447123275794</v>
      </c>
      <c r="E104" s="39" t="str">
        <f>IF(C104&lt;C101,"OK","Increase depth")</f>
        <v>OK</v>
      </c>
    </row>
    <row r="106" spans="1:7" x14ac:dyDescent="0.3">
      <c r="A106" s="9" t="s">
        <v>75</v>
      </c>
    </row>
    <row r="107" spans="1:7" x14ac:dyDescent="0.3">
      <c r="B107" s="1" t="s">
        <v>94</v>
      </c>
      <c r="C107" t="str">
        <f>CONCATENATE(E19,"/",E29)</f>
        <v>3980/134</v>
      </c>
    </row>
    <row r="108" spans="1:7" x14ac:dyDescent="0.3">
      <c r="B108" s="1" t="s">
        <v>10</v>
      </c>
      <c r="C108" s="21">
        <f>E19/E29</f>
        <v>29.701492537313431</v>
      </c>
    </row>
    <row r="110" spans="1:7" x14ac:dyDescent="0.3">
      <c r="D110" s="1" t="s">
        <v>76</v>
      </c>
      <c r="E110" s="44"/>
      <c r="F110" s="44"/>
      <c r="G110" s="8"/>
    </row>
    <row r="111" spans="1:7" x14ac:dyDescent="0.3">
      <c r="D111" s="48" t="s">
        <v>91</v>
      </c>
      <c r="E111" s="49">
        <v>20</v>
      </c>
      <c r="F111" s="9" t="s">
        <v>77</v>
      </c>
      <c r="G111" s="8"/>
    </row>
    <row r="112" spans="1:7" x14ac:dyDescent="0.3">
      <c r="D112" s="48" t="s">
        <v>78</v>
      </c>
      <c r="E112" s="50"/>
      <c r="G112" s="8"/>
    </row>
    <row r="113" spans="1:7" x14ac:dyDescent="0.3">
      <c r="D113" s="48" t="s">
        <v>79</v>
      </c>
      <c r="E113" s="49">
        <v>1</v>
      </c>
      <c r="F113" s="9" t="s">
        <v>80</v>
      </c>
      <c r="G113" s="8"/>
    </row>
    <row r="114" spans="1:7" x14ac:dyDescent="0.3">
      <c r="D114" s="1" t="s">
        <v>81</v>
      </c>
      <c r="E114" s="51">
        <f>+E123</f>
        <v>1.5</v>
      </c>
      <c r="F114" s="9" t="s">
        <v>82</v>
      </c>
      <c r="G114" s="8"/>
    </row>
    <row r="115" spans="1:7" x14ac:dyDescent="0.3">
      <c r="D115" s="1" t="s">
        <v>83</v>
      </c>
      <c r="E115" s="49">
        <v>1</v>
      </c>
      <c r="F115" s="9" t="s">
        <v>84</v>
      </c>
      <c r="G115" s="8"/>
    </row>
    <row r="116" spans="1:7" x14ac:dyDescent="0.3">
      <c r="D116" s="1" t="s">
        <v>85</v>
      </c>
      <c r="E116" s="49">
        <v>1</v>
      </c>
      <c r="F116" s="9" t="s">
        <v>86</v>
      </c>
      <c r="G116" s="8"/>
    </row>
    <row r="117" spans="1:7" x14ac:dyDescent="0.3">
      <c r="D117" s="52" t="s">
        <v>87</v>
      </c>
      <c r="E117"/>
      <c r="F117" s="44"/>
      <c r="G117" s="8"/>
    </row>
    <row r="118" spans="1:7" ht="22.8" customHeight="1" x14ac:dyDescent="0.3">
      <c r="D118" s="30" t="s">
        <v>88</v>
      </c>
      <c r="E118"/>
      <c r="F118" s="44"/>
      <c r="G118" s="8"/>
    </row>
    <row r="119" spans="1:7" x14ac:dyDescent="0.3">
      <c r="D119" s="1" t="s">
        <v>10</v>
      </c>
      <c r="E119" s="46" t="str">
        <f>CONCATENATE("0.58*",E14,"*[(Ast.req.)/(Ast.provided)]")</f>
        <v>0.58*500*[(Ast.req.)/(Ast.provided)]</v>
      </c>
      <c r="F119" s="42"/>
      <c r="G119" s="8"/>
    </row>
    <row r="120" spans="1:7" x14ac:dyDescent="0.3">
      <c r="D120" s="1" t="s">
        <v>10</v>
      </c>
      <c r="E120" s="29">
        <f>0.58*E14*(C87/C97)</f>
        <v>224.61337533101616</v>
      </c>
      <c r="F120" s="42"/>
      <c r="G120" s="8"/>
    </row>
    <row r="121" spans="1:7" x14ac:dyDescent="0.3">
      <c r="D121" s="1" t="s">
        <v>93</v>
      </c>
      <c r="E121" s="29" t="str">
        <f>CONCATENATE("[",ROUND(C97,3),"/(1000*",E29,")]*100")</f>
        <v>[753.982/(1000*134)]*100</v>
      </c>
      <c r="F121" s="42"/>
      <c r="G121" s="8"/>
    </row>
    <row r="122" spans="1:7" x14ac:dyDescent="0.3">
      <c r="D122" s="1"/>
      <c r="E122" s="29">
        <f>(ROUND(C97,3)/(1000*E29))*100</f>
        <v>0.56267313432835819</v>
      </c>
      <c r="F122" s="42"/>
      <c r="G122" s="8"/>
    </row>
    <row r="123" spans="1:7" x14ac:dyDescent="0.3">
      <c r="D123" s="1" t="s">
        <v>92</v>
      </c>
      <c r="E123" s="47">
        <v>1.5</v>
      </c>
      <c r="F123" s="42"/>
      <c r="G123" s="8"/>
    </row>
    <row r="124" spans="1:7" x14ac:dyDescent="0.3">
      <c r="D124" s="1" t="s">
        <v>89</v>
      </c>
      <c r="E124" s="46"/>
      <c r="F124" s="42"/>
      <c r="G124" s="8"/>
    </row>
    <row r="125" spans="1:7" x14ac:dyDescent="0.3">
      <c r="D125" s="1" t="s">
        <v>90</v>
      </c>
      <c r="E125" t="str">
        <f>CONCATENATE(E111,"*",E113,"*",E114,"*",E115,"*",E116)</f>
        <v>20*1*1.5*1*1</v>
      </c>
      <c r="F125" s="42"/>
      <c r="G125" s="8"/>
    </row>
    <row r="126" spans="1:7" x14ac:dyDescent="0.3">
      <c r="D126" s="1" t="s">
        <v>10</v>
      </c>
      <c r="E126" s="8">
        <f>E111*E113*E114*E115*E116</f>
        <v>30</v>
      </c>
      <c r="F126" s="42" t="str">
        <f>IF(C108&lt;E126,"(l/d)&lt;αβγδλ   OK","(l/d)&gt;αβγδλ   NOT OK")</f>
        <v>(l/d)&lt;αβγδλ   OK</v>
      </c>
      <c r="G126" s="8"/>
    </row>
    <row r="127" spans="1:7" ht="15.6" x14ac:dyDescent="0.3">
      <c r="A127" s="9" t="s">
        <v>99</v>
      </c>
      <c r="D127" s="43"/>
      <c r="E127" s="41"/>
      <c r="F127" s="42"/>
      <c r="G127" s="8"/>
    </row>
    <row r="128" spans="1:7" x14ac:dyDescent="0.3">
      <c r="D128" s="43"/>
      <c r="E128" s="21"/>
      <c r="F128" s="42"/>
      <c r="G128" s="8"/>
    </row>
    <row r="129" spans="1:7" ht="31.2" customHeight="1" x14ac:dyDescent="0.3">
      <c r="D129" s="56" t="s">
        <v>95</v>
      </c>
      <c r="E129" s="45"/>
      <c r="F129" s="44"/>
      <c r="G129" s="8"/>
    </row>
    <row r="130" spans="1:7" x14ac:dyDescent="0.3">
      <c r="D130" s="43" t="s">
        <v>10</v>
      </c>
      <c r="E130" s="8" t="str" cm="1">
        <f t="array" ref="E130">CONCATENATE("(",E22,"*0.87*",E14,")/(4*",_xlfn.IFS(E15=20,1.2,E15=25,1.4,E15=30,1.5,E15=35,1.7,AND(E15=40,E15&gt;40),1.9),"*1.6))")</f>
        <v>(12*0.87*500)/(4*1.2*1.6))</v>
      </c>
    </row>
    <row r="131" spans="1:7" x14ac:dyDescent="0.3">
      <c r="D131" s="43" t="s">
        <v>10</v>
      </c>
      <c r="E131" s="2" cm="1">
        <f t="array" ref="E131">(E22*0.87*E14)/(4*_xlfn.IFS(E15=20,1.2,E15=25,1.4,E15=30,1.5,E15=35,1.7,AND(E15=40,E15&gt;40),1.9)*1.6)</f>
        <v>679.6875</v>
      </c>
    </row>
    <row r="132" spans="1:7" x14ac:dyDescent="0.3">
      <c r="A132" s="9" t="s">
        <v>96</v>
      </c>
    </row>
    <row r="133" spans="1:7" x14ac:dyDescent="0.3">
      <c r="D133" s="43" t="s">
        <v>69</v>
      </c>
      <c r="E133" s="8" t="str">
        <f>CONCATENATE("1000/{",C91,"/(",ROUND(PI(),3),"/4*",E22,"^2)}")</f>
        <v>1000/{186/(3.142/4*12^2)}</v>
      </c>
    </row>
    <row r="134" spans="1:7" x14ac:dyDescent="0.3">
      <c r="D134" s="43" t="s">
        <v>10</v>
      </c>
      <c r="E134" s="2">
        <f>(1000*PI()*E22^2)/(4*C91)</f>
        <v>608.05019101737923</v>
      </c>
    </row>
    <row r="135" spans="1:7" x14ac:dyDescent="0.3">
      <c r="D135" s="43" t="s">
        <v>97</v>
      </c>
      <c r="E135" s="2">
        <v>450</v>
      </c>
    </row>
    <row r="136" spans="1:7" x14ac:dyDescent="0.3">
      <c r="D136" s="43" t="s">
        <v>97</v>
      </c>
      <c r="E136" s="2">
        <f>5*E29</f>
        <v>670</v>
      </c>
    </row>
    <row r="137" spans="1:7" x14ac:dyDescent="0.3">
      <c r="D137" s="43" t="s">
        <v>98</v>
      </c>
      <c r="E137" s="4">
        <v>250</v>
      </c>
    </row>
    <row r="138" spans="1:7" x14ac:dyDescent="0.3">
      <c r="A138" s="9" t="str">
        <f>CONCATENATE("Provide a distribution bar of ",E22,"mm dia. @ ", E137, "mm c/c")</f>
        <v>Provide a distribution bar of 12mm dia. @ 250mm c/c</v>
      </c>
    </row>
  </sheetData>
  <mergeCells count="7">
    <mergeCell ref="D82:F82"/>
    <mergeCell ref="B52:C52"/>
    <mergeCell ref="G52:H52"/>
    <mergeCell ref="B57:C57"/>
    <mergeCell ref="G57:H57"/>
    <mergeCell ref="A58:B58"/>
    <mergeCell ref="H58:I58"/>
  </mergeCells>
  <conditionalFormatting sqref="D82">
    <cfRule type="containsText" dxfId="6" priority="6" operator="containsText" text="(dreq&gt;dprov.) Increase depth">
      <formula>NOT(ISERROR(SEARCH("(dreq&gt;dprov.) Increase depth",D82)))</formula>
    </cfRule>
    <cfRule type="containsText" dxfId="5" priority="7" operator="containsText" text="(dreq&lt;dprov). Hence OK">
      <formula>NOT(ISERROR(SEARCH("(dreq&lt;dprov). Hence OK",D82)))</formula>
    </cfRule>
  </conditionalFormatting>
  <conditionalFormatting sqref="E104">
    <cfRule type="containsText" dxfId="4" priority="4" operator="containsText" text="Increase depth">
      <formula>NOT(ISERROR(SEARCH("Increase depth",E104)))</formula>
    </cfRule>
    <cfRule type="containsText" dxfId="3" priority="5" operator="containsText" text="OK">
      <formula>NOT(ISERROR(SEARCH("OK",E104)))</formula>
    </cfRule>
  </conditionalFormatting>
  <conditionalFormatting sqref="E129">
    <cfRule type="containsText" dxfId="2" priority="3" operator="containsText" text="(l/d)&gt;αβγδλ   NOT OK">
      <formula>NOT(ISERROR(SEARCH("(l/d)&gt;αβγδλ   NOT OK",E129)))</formula>
    </cfRule>
  </conditionalFormatting>
  <conditionalFormatting sqref="F126">
    <cfRule type="containsText" dxfId="1" priority="1" operator="containsText" text="(l/d)&gt;αβγδλ   NOT OK">
      <formula>NOT(ISERROR(SEARCH("(l/d)&gt;αβγδλ   NOT OK",F126)))</formula>
    </cfRule>
    <cfRule type="containsText" dxfId="0" priority="2" operator="containsText" text="(l/d)&lt;αβγδλ   OK">
      <formula>NOT(ISERROR(SEARCH("(l/d)&lt;αβγδλ   OK",F126)))</formula>
    </cfRule>
  </conditionalFormatting>
  <pageMargins left="0.7" right="0.7" top="0.75" bottom="0.75" header="0.3" footer="0.3"/>
  <pageSetup paperSize="9" scale="98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dog-legged staircase</vt:lpstr>
      <vt:lpstr>'dog-legged staircase'!Print_Area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summon balami</dc:creator>
  <cp:lastModifiedBy>summon balami</cp:lastModifiedBy>
  <cp:lastPrinted>2023-07-01T18:16:57Z</cp:lastPrinted>
  <dcterms:created xsi:type="dcterms:W3CDTF">2015-06-05T18:17:20Z</dcterms:created>
  <dcterms:modified xsi:type="dcterms:W3CDTF">2023-07-01T18:18:02Z</dcterms:modified>
</cp:coreProperties>
</file>