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2082_2083\drg\krishna gosain bkt municipal\excel file for design\"/>
    </mc:Choice>
  </mc:AlternateContent>
  <xr:revisionPtr revIDLastSave="0" documentId="13_ncr:1_{45181C08-2A93-4D7A-B36C-581FBEFE6282}" xr6:coauthVersionLast="47" xr6:coauthVersionMax="47" xr10:uidLastSave="{00000000-0000-0000-0000-000000000000}"/>
  <bookViews>
    <workbookView xWindow="-120" yWindow="-120" windowWidth="20730" windowHeight="11040" xr2:uid="{E5227B79-BA3B-C143-9FDB-B12BB0106F5C}"/>
  </bookViews>
  <sheets>
    <sheet name="Sheet1" sheetId="1" r:id="rId1"/>
  </sheets>
  <definedNames>
    <definedName name="_xlnm.Print_Area" localSheetId="0">Sheet1!$A$1:$D$36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25" i="1" s="1"/>
  <c r="C19" i="1"/>
  <c r="C24" i="1" s="1"/>
  <c r="C18" i="1"/>
  <c r="C23" i="1" s="1"/>
  <c r="C12" i="1"/>
  <c r="C11" i="1"/>
  <c r="C10" i="1"/>
  <c r="C9" i="1"/>
  <c r="C3" i="1"/>
  <c r="C4" i="1"/>
  <c r="C36" i="1"/>
  <c r="B18" i="1"/>
  <c r="B9" i="1"/>
  <c r="B20" i="1"/>
  <c r="B25" i="1" s="1"/>
  <c r="B19" i="1"/>
  <c r="B24" i="1" s="1"/>
  <c r="B23" i="1"/>
  <c r="B12" i="1"/>
  <c r="B11" i="1"/>
  <c r="B10" i="1"/>
  <c r="C7" i="1"/>
  <c r="C8" i="1" s="1"/>
  <c r="C13" i="1" s="1" a="1"/>
  <c r="C13" i="1" s="1"/>
  <c r="D5" i="1"/>
  <c r="C35" i="1" l="1"/>
  <c r="C31" i="1"/>
  <c r="C14" i="1"/>
  <c r="C26" i="1" s="1"/>
  <c r="C27" i="1"/>
  <c r="C15" i="1" l="1"/>
  <c r="C2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<sst xmlns="http://schemas.openxmlformats.org/spreadsheetml/2006/main" count="228" uniqueCount="191">
  <si>
    <t>C(T)=Ch(T)*Z*I</t>
  </si>
  <si>
    <t>Z=</t>
  </si>
  <si>
    <t>I=</t>
  </si>
  <si>
    <t>Clause 4.1.4</t>
  </si>
  <si>
    <t>Clause 4.1.5</t>
  </si>
  <si>
    <t>D</t>
  </si>
  <si>
    <t>Clause 4.1.2</t>
  </si>
  <si>
    <t>Ch(T)</t>
  </si>
  <si>
    <t>Clause 5.1.2</t>
  </si>
  <si>
    <t>Soil type:</t>
  </si>
  <si>
    <t>Clause 5.1.2 &amp; 5.1.3</t>
  </si>
  <si>
    <t>K=</t>
  </si>
  <si>
    <t>Table 4-1</t>
  </si>
  <si>
    <t>Elastic Site Spectra</t>
  </si>
  <si>
    <t>Zone Factor</t>
  </si>
  <si>
    <t>Importance Factor</t>
  </si>
  <si>
    <t>Clause 4.1.1</t>
  </si>
  <si>
    <t>Clause 4.2</t>
  </si>
  <si>
    <t>Elastic Site Spectra for serviceability limit state</t>
  </si>
  <si>
    <t>Cs(T)=0.2*C(T)</t>
  </si>
  <si>
    <t>(i) For SLS</t>
  </si>
  <si>
    <t>Table 5-2</t>
  </si>
  <si>
    <t>Clause 6.1.1</t>
  </si>
  <si>
    <t>Clause 6.1.2</t>
  </si>
  <si>
    <t>Building Height exponent</t>
  </si>
  <si>
    <t>k=</t>
  </si>
  <si>
    <t>Clause 6.3</t>
  </si>
  <si>
    <t>Accidental Eccentricity</t>
  </si>
  <si>
    <t>e=</t>
  </si>
  <si>
    <t>Clause 5.7</t>
  </si>
  <si>
    <t xml:space="preserve">Time Period </t>
  </si>
  <si>
    <t xml:space="preserve">Height of Building </t>
  </si>
  <si>
    <t>H=</t>
  </si>
  <si>
    <t>Allowable story drift</t>
  </si>
  <si>
    <t>Allowable story displacement</t>
  </si>
  <si>
    <t>(ii) For ULS</t>
  </si>
  <si>
    <t>Clause 8.1.3.1</t>
  </si>
  <si>
    <t>(ii) For SLS</t>
  </si>
  <si>
    <t>(ii) For SLS: 0.006*(H/Rs)</t>
  </si>
  <si>
    <t>Clause 5.6.1.1</t>
  </si>
  <si>
    <t>Clause 5.6.1.2</t>
  </si>
  <si>
    <t>Clause 5.4.2</t>
  </si>
  <si>
    <t>Clause 5.4.1</t>
  </si>
  <si>
    <t>B</t>
  </si>
  <si>
    <r>
      <t>K</t>
    </r>
    <r>
      <rPr>
        <vertAlign val="subscript"/>
        <sz val="12"/>
        <color theme="1"/>
        <rFont val="Calibri (Body)"/>
      </rPr>
      <t>t</t>
    </r>
    <r>
      <rPr>
        <sz val="12"/>
        <color theme="1"/>
        <rFont val="Calibri"/>
        <family val="2"/>
        <scheme val="minor"/>
      </rPr>
      <t>=</t>
    </r>
  </si>
  <si>
    <r>
      <t>T</t>
    </r>
    <r>
      <rPr>
        <vertAlign val="subscript"/>
        <sz val="12"/>
        <color theme="1"/>
        <rFont val="Calibri (Body)"/>
      </rPr>
      <t>a</t>
    </r>
    <r>
      <rPr>
        <sz val="12"/>
        <color theme="1"/>
        <rFont val="Calibri"/>
        <family val="2"/>
        <scheme val="minor"/>
      </rPr>
      <t>=</t>
    </r>
  </si>
  <si>
    <r>
      <t>T</t>
    </r>
    <r>
      <rPr>
        <vertAlign val="subscript"/>
        <sz val="12"/>
        <color theme="1"/>
        <rFont val="Calibri (Body)"/>
      </rPr>
      <t>c</t>
    </r>
    <r>
      <rPr>
        <sz val="12"/>
        <color theme="1"/>
        <rFont val="Calibri"/>
        <family val="2"/>
        <scheme val="minor"/>
      </rPr>
      <t>=</t>
    </r>
  </si>
  <si>
    <t>α=</t>
  </si>
  <si>
    <t>Parameters/Soil Type</t>
  </si>
  <si>
    <t>A</t>
  </si>
  <si>
    <t>C</t>
  </si>
  <si>
    <t>For Moment Resisting Concrete Frame</t>
  </si>
  <si>
    <t>For Moment Resisting Structural Steel Frame</t>
  </si>
  <si>
    <t>For Eccentrically Braced Structural Steel Frame</t>
  </si>
  <si>
    <t>For all other structural system</t>
  </si>
  <si>
    <t>Clause 4.1.3.1</t>
  </si>
  <si>
    <t>For Equivalent Static Method</t>
  </si>
  <si>
    <t>For Modal Response Spectrum Method</t>
  </si>
  <si>
    <t>Structural System</t>
  </si>
  <si>
    <t>Structural Wall Systems</t>
  </si>
  <si>
    <t>Dual Systems</t>
  </si>
  <si>
    <t xml:space="preserve">Horizontal Base Shear Coefficient </t>
  </si>
  <si>
    <t>Moment Resisting Frame Systems</t>
  </si>
  <si>
    <t>Braced Frame Systems</t>
  </si>
  <si>
    <r>
      <t>R</t>
    </r>
    <r>
      <rPr>
        <vertAlign val="subscript"/>
        <sz val="12"/>
        <color theme="1"/>
        <rFont val="Calibri (Body)"/>
      </rPr>
      <t>u</t>
    </r>
    <r>
      <rPr>
        <sz val="12"/>
        <color theme="1"/>
        <rFont val="Calibri"/>
        <family val="2"/>
        <scheme val="minor"/>
      </rPr>
      <t>=</t>
    </r>
  </si>
  <si>
    <r>
      <t>Ω</t>
    </r>
    <r>
      <rPr>
        <vertAlign val="subscript"/>
        <sz val="12"/>
        <color rgb="FF202124"/>
        <rFont val="Arial"/>
        <family val="2"/>
      </rPr>
      <t>u</t>
    </r>
    <r>
      <rPr>
        <sz val="12"/>
        <color rgb="FF202124"/>
        <rFont val="Arial"/>
        <family val="2"/>
      </rPr>
      <t>=</t>
    </r>
  </si>
  <si>
    <r>
      <t>Ω</t>
    </r>
    <r>
      <rPr>
        <vertAlign val="subscript"/>
        <sz val="12"/>
        <color rgb="FF202124"/>
        <rFont val="Arial"/>
        <family val="2"/>
      </rPr>
      <t>s</t>
    </r>
    <r>
      <rPr>
        <sz val="12"/>
        <color rgb="FF202124"/>
        <rFont val="Arial"/>
        <family val="2"/>
      </rPr>
      <t>=</t>
    </r>
  </si>
  <si>
    <t>(i) For ULS: 0.025/Ru</t>
  </si>
  <si>
    <t>Cd(T1)= Cs(T1)/Ωs</t>
  </si>
  <si>
    <t>Cd(T1)= C(T1)/(Ru*Ωu)</t>
  </si>
  <si>
    <t>(i) For ULS: 0.025*(H/Ru)</t>
  </si>
  <si>
    <t>(Steel Moment Resisting Frame)</t>
  </si>
  <si>
    <t>(Reinforced Concrete Moment Resisting Frame)</t>
  </si>
  <si>
    <t>(Steel + RC Composite Moment Resisting Frame)</t>
  </si>
  <si>
    <t>(Steel Eccentrically Braced Frame)</t>
  </si>
  <si>
    <t>(Steel + RC Composite Eccentrically Braced Frame)</t>
  </si>
  <si>
    <t>(Steel Concentric Braced Frame)</t>
  </si>
  <si>
    <t>(Steel + RC Composite Concentric Braced Frame)</t>
  </si>
  <si>
    <t>(Steel Buckling Restrain Braces)</t>
  </si>
  <si>
    <t>(RC Shear wall)</t>
  </si>
  <si>
    <t>(Steel + RC Composite Shear Wall)</t>
  </si>
  <si>
    <t>(Confined Masonary Shear Wall)</t>
  </si>
  <si>
    <t>(Reinforced Masonary Shear Wall)</t>
  </si>
  <si>
    <t>(Unreinforced Masonary wall buildings with horizontal bands and vertical reinforcement bars at critical location)</t>
  </si>
  <si>
    <t>Spectral Shape Factor</t>
  </si>
  <si>
    <t>Caution: Do not Modify the Table Below</t>
  </si>
  <si>
    <t>Clause 4.1.3.2</t>
  </si>
  <si>
    <t>Clause 4.1.3.3</t>
  </si>
  <si>
    <t>Clause 4.1.3.4</t>
  </si>
  <si>
    <t>Cities/Municipalities</t>
  </si>
  <si>
    <t>Baglung</t>
  </si>
  <si>
    <t>Beni</t>
  </si>
  <si>
    <t>Besishar</t>
  </si>
  <si>
    <t>Bharatpur</t>
  </si>
  <si>
    <t>Bhimdatta</t>
  </si>
  <si>
    <t>Bhimshwar</t>
  </si>
  <si>
    <t>Bhojpur</t>
  </si>
  <si>
    <t>Bidur</t>
  </si>
  <si>
    <t>Biratnagar</t>
  </si>
  <si>
    <t>Birendranagar</t>
  </si>
  <si>
    <t>Brigunj</t>
  </si>
  <si>
    <t>Butwal</t>
  </si>
  <si>
    <t>Chainpur</t>
  </si>
  <si>
    <t>Chame</t>
  </si>
  <si>
    <t>Chautara</t>
  </si>
  <si>
    <t>Dadeldhura</t>
  </si>
  <si>
    <t>Dailekh</t>
  </si>
  <si>
    <t>Damak</t>
  </si>
  <si>
    <t>PGA</t>
  </si>
  <si>
    <t>Janakpur</t>
  </si>
  <si>
    <t>Jomsom</t>
  </si>
  <si>
    <t>Jumla</t>
  </si>
  <si>
    <t>Kalaiya</t>
  </si>
  <si>
    <t>Kamalamai</t>
  </si>
  <si>
    <t>Kapilbastu</t>
  </si>
  <si>
    <t>Kathmandu</t>
  </si>
  <si>
    <t>Khandbari</t>
  </si>
  <si>
    <t>Kusma</t>
  </si>
  <si>
    <t>Lahan</t>
  </si>
  <si>
    <t>Libang</t>
  </si>
  <si>
    <t>Malangwa</t>
  </si>
  <si>
    <t>Mangalsen</t>
  </si>
  <si>
    <t>Manma</t>
  </si>
  <si>
    <t>Manthali</t>
  </si>
  <si>
    <t>Martadi</t>
  </si>
  <si>
    <t>Musikot</t>
  </si>
  <si>
    <t>Khalanga</t>
  </si>
  <si>
    <t>Damauli</t>
  </si>
  <si>
    <t>Darchula</t>
  </si>
  <si>
    <t>Dasharathchand</t>
  </si>
  <si>
    <t>Dhading</t>
  </si>
  <si>
    <t>Dhangadi</t>
  </si>
  <si>
    <t>Dhankuta</t>
  </si>
  <si>
    <t>Dharan</t>
  </si>
  <si>
    <t>Dhulikhel</t>
  </si>
  <si>
    <t>Dhunche</t>
  </si>
  <si>
    <t>Diktel</t>
  </si>
  <si>
    <t>Dipayal</t>
  </si>
  <si>
    <t>Dunai</t>
  </si>
  <si>
    <t>Gamgadhi</t>
  </si>
  <si>
    <t>Gaur</t>
  </si>
  <si>
    <t>Gorkha</t>
  </si>
  <si>
    <t>Gulariya</t>
  </si>
  <si>
    <t>Hetauda</t>
  </si>
  <si>
    <t>Illam</t>
  </si>
  <si>
    <t>Jaleshwor</t>
  </si>
  <si>
    <t>Myanglung</t>
  </si>
  <si>
    <t>Nepalgunj</t>
  </si>
  <si>
    <t>Okhaldhunga</t>
  </si>
  <si>
    <t>Phidim</t>
  </si>
  <si>
    <t>Pokhara</t>
  </si>
  <si>
    <t>Pyuthan</t>
  </si>
  <si>
    <t>Rajbiraj</t>
  </si>
  <si>
    <t>Ramgram</t>
  </si>
  <si>
    <t>Salleri</t>
  </si>
  <si>
    <t>Sallyan</t>
  </si>
  <si>
    <t>Sandhikharka</t>
  </si>
  <si>
    <t>Simikot</t>
  </si>
  <si>
    <t>Tamghas</t>
  </si>
  <si>
    <t>Tansen</t>
  </si>
  <si>
    <t>Tapalejung</t>
  </si>
  <si>
    <t>Triyuga</t>
  </si>
  <si>
    <t>Tulsipur</t>
  </si>
  <si>
    <t>Waling</t>
  </si>
  <si>
    <t>Lalitpur</t>
  </si>
  <si>
    <r>
      <rPr>
        <b/>
        <sz val="12"/>
        <color theme="1"/>
        <rFont val="Calibri (Body)"/>
      </rPr>
      <t xml:space="preserve">   </t>
    </r>
    <r>
      <rPr>
        <b/>
        <u/>
        <sz val="12"/>
        <color theme="1"/>
        <rFont val="Calibri"/>
        <family val="2"/>
        <scheme val="minor"/>
      </rPr>
      <t>Base Shear Coefficient Calculation using NBC 105:2020 for</t>
    </r>
  </si>
  <si>
    <t>Ordinary Structures</t>
  </si>
  <si>
    <t>Schools</t>
  </si>
  <si>
    <t>Colleges</t>
  </si>
  <si>
    <t>Cinemas</t>
  </si>
  <si>
    <t>Assembly Buildings</t>
  </si>
  <si>
    <t>Temples</t>
  </si>
  <si>
    <t>Shopping Malls</t>
  </si>
  <si>
    <t>Convention Halls</t>
  </si>
  <si>
    <t>Monumental Structures</t>
  </si>
  <si>
    <t>Police Stations</t>
  </si>
  <si>
    <t>Emergency Vehicle shelters/garages</t>
  </si>
  <si>
    <t>Food Storage Structures</t>
  </si>
  <si>
    <t>Emergency relief stores</t>
  </si>
  <si>
    <t>Water works and water towers</t>
  </si>
  <si>
    <t>Radio and Television facilities</t>
  </si>
  <si>
    <t>Telephone exchanges and transmission facilities</t>
  </si>
  <si>
    <t>Offices and residential quarters for senior personnel required for rescue and relief operations and any other buildings designed to accommodate more than 500 persons</t>
  </si>
  <si>
    <t>Hospitals</t>
  </si>
  <si>
    <t>Fire Stations</t>
  </si>
  <si>
    <t>Police Headquarters</t>
  </si>
  <si>
    <t>Power Stations (including standby power-generating equipment for essential facilities)</t>
  </si>
  <si>
    <t>Distribution facilities for gas or petroleum products</t>
  </si>
  <si>
    <t>Structures for support or containment of dangerous substance (such as acids,toxic substances, petroleum products)</t>
  </si>
  <si>
    <t>Residential Building</t>
  </si>
  <si>
    <r>
      <t xml:space="preserve"> T= 1.25*K</t>
    </r>
    <r>
      <rPr>
        <vertAlign val="subscript"/>
        <sz val="12"/>
        <color theme="1"/>
        <rFont val="Calibri"/>
        <family val="2"/>
        <scheme val="minor"/>
      </rPr>
      <t>t</t>
    </r>
    <r>
      <rPr>
        <sz val="12"/>
        <color theme="1"/>
        <rFont val="Calibri"/>
        <family val="2"/>
        <scheme val="minor"/>
      </rPr>
      <t>*H</t>
    </r>
    <r>
      <rPr>
        <vertAlign val="superscript"/>
        <sz val="12"/>
        <color theme="1"/>
        <rFont val="Calibri (Body)"/>
      </rPr>
      <t>0.75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</si>
</sst>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\ &quot;mm&quot;"/>
    <numFmt numFmtId="165" formatCode="0.000\ &quot;sec&quot;"/>
    <numFmt numFmtId="166" formatCode="0.0000"/>
    <numFmt numFmtId="167" formatCode="#,##0.000\ &quot;m&quot;"/>
  </numFmts>
  <fonts count="1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vertAlign val="superscript"/>
      <sz val="12"/>
      <color theme="1"/>
      <name val="Calibri (Body)"/>
    </font>
    <font>
      <vertAlign val="subscript"/>
      <sz val="12"/>
      <color theme="1"/>
      <name val="Calibri (Body)"/>
    </font>
    <font>
      <sz val="14"/>
      <color rgb="FF202124"/>
      <name val="Arial"/>
      <family val="2"/>
    </font>
    <font>
      <sz val="12"/>
      <color rgb="FF202124"/>
      <name val="Arial"/>
      <family val="2"/>
    </font>
    <font>
      <vertAlign val="subscript"/>
      <sz val="12"/>
      <color rgb="FF202124"/>
      <name val="Arial"/>
      <family val="2"/>
    </font>
    <font>
      <sz val="20"/>
      <color rgb="FFFFFF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 (Body)"/>
    </font>
    <font>
      <vertAlign val="subscript"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vertic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vertical="center"/>
      <protection locked="0"/>
    </xf>
    <xf numFmtId="167" fontId="0" fillId="2" borderId="10" xfId="0" applyNumberFormat="1" applyFill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vertical="center"/>
      <protection locked="0"/>
    </xf>
    <xf numFmtId="0" fontId="0" fillId="2" borderId="6" xfId="0" applyFill="1" applyBorder="1" applyAlignment="1" applyProtection="1">
      <alignment horizontal="left" wrapText="1"/>
      <protection locked="0"/>
    </xf>
    <xf numFmtId="0" fontId="0" fillId="0" borderId="10" xfId="0" applyBorder="1" applyAlignment="1" applyProtection="1">
      <alignment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vertical="center" wrapText="1"/>
      <protection locked="0"/>
    </xf>
    <xf numFmtId="0" fontId="0" fillId="0" borderId="6" xfId="0" applyBorder="1" applyAlignment="1" applyProtection="1">
      <alignment wrapText="1"/>
      <protection locked="0"/>
    </xf>
    <xf numFmtId="0" fontId="0" fillId="2" borderId="10" xfId="0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vertical="center"/>
      <protection locked="0"/>
    </xf>
    <xf numFmtId="0" fontId="1" fillId="0" borderId="10" xfId="0" applyFont="1" applyBorder="1" applyAlignment="1" applyProtection="1">
      <alignment vertical="center"/>
      <protection locked="0"/>
    </xf>
    <xf numFmtId="0" fontId="0" fillId="0" borderId="5" xfId="0" applyBorder="1" applyAlignment="1" applyProtection="1">
      <alignment wrapText="1"/>
      <protection locked="0"/>
    </xf>
    <xf numFmtId="0" fontId="0" fillId="0" borderId="15" xfId="0" applyBorder="1" applyAlignment="1" applyProtection="1">
      <alignment vertical="center"/>
      <protection locked="0"/>
    </xf>
    <xf numFmtId="0" fontId="0" fillId="0" borderId="18" xfId="0" applyBorder="1" applyAlignment="1" applyProtection="1">
      <alignment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9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9" xfId="0" applyBorder="1"/>
    <xf numFmtId="0" fontId="0" fillId="0" borderId="19" xfId="0" applyBorder="1"/>
    <xf numFmtId="0" fontId="0" fillId="0" borderId="21" xfId="0" applyBorder="1"/>
    <xf numFmtId="0" fontId="0" fillId="0" borderId="20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30" xfId="0" applyBorder="1"/>
    <xf numFmtId="0" fontId="0" fillId="0" borderId="0" xfId="0" applyAlignment="1">
      <alignment horizontal="left"/>
    </xf>
    <xf numFmtId="0" fontId="0" fillId="0" borderId="22" xfId="0" applyBorder="1"/>
    <xf numFmtId="0" fontId="0" fillId="0" borderId="22" xfId="0" applyBorder="1" applyAlignment="1">
      <alignment horizontal="left"/>
    </xf>
    <xf numFmtId="0" fontId="0" fillId="0" borderId="22" xfId="0" applyBorder="1" applyAlignment="1">
      <alignment horizontal="center"/>
    </xf>
    <xf numFmtId="0" fontId="5" fillId="0" borderId="22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  <xf numFmtId="0" fontId="0" fillId="0" borderId="2" xfId="0" applyBorder="1"/>
    <xf numFmtId="0" fontId="0" fillId="0" borderId="31" xfId="0" applyBorder="1"/>
    <xf numFmtId="0" fontId="0" fillId="0" borderId="3" xfId="0" applyBorder="1"/>
    <xf numFmtId="0" fontId="0" fillId="0" borderId="1" xfId="0" applyBorder="1" applyAlignment="1">
      <alignment wrapText="1"/>
    </xf>
    <xf numFmtId="0" fontId="1" fillId="0" borderId="19" xfId="0" applyFont="1" applyBorder="1"/>
    <xf numFmtId="0" fontId="9" fillId="0" borderId="19" xfId="0" applyFont="1" applyBorder="1"/>
    <xf numFmtId="0" fontId="9" fillId="0" borderId="26" xfId="0" applyFont="1" applyBorder="1"/>
    <xf numFmtId="0" fontId="1" fillId="0" borderId="3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23" xfId="0" applyFont="1" applyBorder="1"/>
    <xf numFmtId="0" fontId="1" fillId="0" borderId="24" xfId="0" applyFont="1" applyBorder="1"/>
    <xf numFmtId="0" fontId="0" fillId="0" borderId="2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1" fillId="0" borderId="0" xfId="0" applyFont="1"/>
    <xf numFmtId="0" fontId="1" fillId="0" borderId="26" xfId="0" applyFont="1" applyBorder="1"/>
    <xf numFmtId="0" fontId="0" fillId="0" borderId="4" xfId="0" applyBorder="1"/>
    <xf numFmtId="0" fontId="0" fillId="0" borderId="8" xfId="0" applyBorder="1" applyAlignment="1">
      <alignment vertical="center"/>
    </xf>
    <xf numFmtId="0" fontId="0" fillId="0" borderId="5" xfId="0" applyBorder="1"/>
    <xf numFmtId="0" fontId="0" fillId="0" borderId="9" xfId="0" applyBorder="1" applyAlignment="1">
      <alignment vertical="center"/>
    </xf>
    <xf numFmtId="0" fontId="0" fillId="0" borderId="6" xfId="0" applyBorder="1"/>
    <xf numFmtId="0" fontId="0" fillId="0" borderId="10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wrapText="1"/>
    </xf>
    <xf numFmtId="0" fontId="0" fillId="0" borderId="9" xfId="0" applyBorder="1" applyAlignment="1">
      <alignment vertical="center" wrapText="1"/>
    </xf>
    <xf numFmtId="166" fontId="1" fillId="0" borderId="9" xfId="0" applyNumberFormat="1" applyFon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0" fillId="0" borderId="7" xfId="0" applyBorder="1"/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/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4" xfId="0" applyBorder="1" applyAlignment="1">
      <alignment vertical="center"/>
    </xf>
    <xf numFmtId="164" fontId="0" fillId="0" borderId="8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5" xfId="0" applyBorder="1" applyAlignment="1">
      <alignment vertical="center"/>
    </xf>
    <xf numFmtId="164" fontId="0" fillId="0" borderId="9" xfId="0" applyNumberFormat="1" applyBorder="1" applyAlignment="1">
      <alignment horizontal="center" vertical="center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20" xfId="0" applyFill="1" applyBorder="1" applyAlignment="1" applyProtection="1">
      <alignment horizontal="left" vertical="center" wrapText="1"/>
      <protection locked="0"/>
    </xf>
    <xf numFmtId="0" fontId="0" fillId="2" borderId="11" xfId="0" applyFill="1" applyBorder="1" applyAlignment="1" applyProtection="1">
      <alignment horizontal="left" vertical="center" wrapText="1"/>
      <protection locked="0"/>
    </xf>
    <xf numFmtId="0" fontId="1" fillId="2" borderId="17" xfId="0" applyFont="1" applyFill="1" applyBorder="1" applyAlignment="1" applyProtection="1">
      <alignment horizontal="left" vertical="center" wrapText="1"/>
      <protection locked="0"/>
    </xf>
    <xf numFmtId="0" fontId="1" fillId="2" borderId="11" xfId="0" applyFont="1" applyFill="1" applyBorder="1" applyAlignment="1" applyProtection="1">
      <alignment horizontal="left" vertical="center" wrapText="1"/>
      <protection locked="0"/>
    </xf>
    <xf numFmtId="0" fontId="0" fillId="2" borderId="30" xfId="0" applyFill="1" applyBorder="1" applyAlignment="1" applyProtection="1">
      <alignment horizontal="left" vertical="center" wrapText="1"/>
      <protection locked="0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A0E93-DEDF-304B-8541-C9B0D3CEF85F}">
  <dimension ref="A1:AB106"/>
  <sheetViews>
    <sheetView tabSelected="1" topLeftCell="A18" zoomScale="90" zoomScaleNormal="90" zoomScaleSheetLayoutView="176" workbookViewId="0">
      <selection activeCell="H28" sqref="H28"/>
    </sheetView>
  </sheetViews>
  <sheetFormatPr defaultColWidth="10.625" defaultRowHeight="15.75"/>
  <cols>
    <col min="1" max="1" width="28.5" style="4" customWidth="1"/>
    <col min="2" max="2" width="22.125" style="2" customWidth="1"/>
    <col min="3" max="3" width="11.625" style="6" bestFit="1" customWidth="1"/>
    <col min="4" max="4" width="12.5" style="2" bestFit="1" customWidth="1"/>
    <col min="9" max="12" width="12.875" bestFit="1" customWidth="1"/>
    <col min="15" max="15" width="12.875" bestFit="1" customWidth="1"/>
    <col min="29" max="16384" width="10.625" style="4"/>
  </cols>
  <sheetData>
    <row r="1" spans="1:28">
      <c r="A1" s="1" t="s">
        <v>165</v>
      </c>
      <c r="C1" s="3" t="s">
        <v>115</v>
      </c>
      <c r="F1" s="108" t="s">
        <v>85</v>
      </c>
      <c r="G1" s="108"/>
      <c r="H1" s="108"/>
      <c r="I1" s="108"/>
      <c r="J1" s="108"/>
    </row>
    <row r="2" spans="1:28" ht="16.5" thickBot="1">
      <c r="A2" s="5" t="s">
        <v>189</v>
      </c>
      <c r="F2" s="108"/>
      <c r="G2" s="108"/>
      <c r="H2" s="108"/>
      <c r="I2" s="108"/>
      <c r="J2" s="108"/>
    </row>
    <row r="3" spans="1:28" ht="16.5" thickBot="1">
      <c r="A3" s="69" t="s">
        <v>14</v>
      </c>
      <c r="B3" s="70" t="s">
        <v>1</v>
      </c>
      <c r="C3" s="7">
        <f>VLOOKUP(C1,U17:W1234,3,FALSE)</f>
        <v>0.35</v>
      </c>
      <c r="D3" s="8" t="s">
        <v>3</v>
      </c>
      <c r="E3" s="27"/>
    </row>
    <row r="4" spans="1:28" ht="16.5" thickBot="1">
      <c r="A4" s="71" t="s">
        <v>15</v>
      </c>
      <c r="B4" s="72" t="s">
        <v>2</v>
      </c>
      <c r="C4" s="9">
        <f>VLOOKUP(A2,Y17:AB42,4,FALSE)</f>
        <v>1</v>
      </c>
      <c r="D4" s="10" t="s">
        <v>4</v>
      </c>
      <c r="E4" s="27"/>
      <c r="G4" s="28" t="s">
        <v>51</v>
      </c>
      <c r="H4" s="29"/>
      <c r="I4" s="29"/>
      <c r="J4" s="30"/>
      <c r="K4" s="31">
        <v>7.4999999999999997E-2</v>
      </c>
    </row>
    <row r="5" spans="1:28">
      <c r="A5" s="69"/>
      <c r="B5" s="70" t="s">
        <v>9</v>
      </c>
      <c r="C5" s="11" t="s">
        <v>5</v>
      </c>
      <c r="D5" s="8" t="str">
        <f>VLOOKUP(C5,N12:O15,2,FALSE)</f>
        <v>Clause 4.1.3.4</v>
      </c>
      <c r="G5" s="32" t="s">
        <v>52</v>
      </c>
      <c r="J5" s="33"/>
      <c r="K5" s="34">
        <v>8.5000000000000006E-2</v>
      </c>
    </row>
    <row r="6" spans="1:28">
      <c r="A6" s="73" t="s">
        <v>31</v>
      </c>
      <c r="B6" s="74" t="s">
        <v>32</v>
      </c>
      <c r="C6" s="13">
        <v>13.715999999999999</v>
      </c>
      <c r="D6" s="14"/>
      <c r="G6" s="32" t="s">
        <v>53</v>
      </c>
      <c r="J6" s="33"/>
      <c r="K6" s="34">
        <v>7.4999999999999997E-2</v>
      </c>
    </row>
    <row r="7" spans="1:28" ht="33" customHeight="1" thickBot="1">
      <c r="A7" s="15" t="s">
        <v>51</v>
      </c>
      <c r="B7" s="75" t="s">
        <v>44</v>
      </c>
      <c r="C7" s="76">
        <f>VLOOKUP(A7,G4:K7,5,FALSE)</f>
        <v>7.4999999999999997E-2</v>
      </c>
      <c r="D7" s="14" t="s">
        <v>8</v>
      </c>
      <c r="G7" s="35" t="s">
        <v>54</v>
      </c>
      <c r="H7" s="36"/>
      <c r="I7" s="36"/>
      <c r="J7" s="37"/>
      <c r="K7" s="38">
        <v>0.05</v>
      </c>
      <c r="M7" s="39"/>
    </row>
    <row r="8" spans="1:28" ht="31.5">
      <c r="A8" s="78" t="s">
        <v>30</v>
      </c>
      <c r="B8" s="75" t="s">
        <v>190</v>
      </c>
      <c r="C8" s="77">
        <f>1.25*C7*((C6^0.75))</f>
        <v>0.66817755612586349</v>
      </c>
      <c r="D8" s="18" t="s">
        <v>10</v>
      </c>
    </row>
    <row r="9" spans="1:28" ht="18" customHeight="1">
      <c r="A9" s="102" t="s">
        <v>56</v>
      </c>
      <c r="B9" s="12" t="str">
        <f>+G13</f>
        <v>Ta=</v>
      </c>
      <c r="C9" s="17">
        <f>VLOOKUP(A9,Q12:T13,4,FALSE)</f>
        <v>0</v>
      </c>
      <c r="D9" s="14" t="s">
        <v>12</v>
      </c>
    </row>
    <row r="10" spans="1:28">
      <c r="A10" s="103"/>
      <c r="B10" s="16" t="str">
        <f>+G14</f>
        <v>Tc=</v>
      </c>
      <c r="C10" s="17">
        <f>_xlfn.IFS($C$5=$I$12,I14,$C$5=$J$12,J14,$C$5=$K$12,K14,$C$5=$L$12,L14)</f>
        <v>2</v>
      </c>
      <c r="D10" s="14" t="s">
        <v>12</v>
      </c>
    </row>
    <row r="11" spans="1:28" ht="16.5" thickBot="1">
      <c r="A11" s="103"/>
      <c r="B11" s="12" t="str">
        <f>+G15</f>
        <v>α=</v>
      </c>
      <c r="C11" s="17">
        <f>_xlfn.IFS($C$5=$I$12,I15,$C$5=$J$12,J15,$C$5=$K$12,K15,$C$5=$L$12,L15)</f>
        <v>2.25</v>
      </c>
      <c r="D11" s="14" t="s">
        <v>12</v>
      </c>
      <c r="G11" s="40"/>
      <c r="H11" s="40"/>
      <c r="I11" s="41" t="s">
        <v>55</v>
      </c>
      <c r="J11" s="41" t="s">
        <v>86</v>
      </c>
      <c r="K11" s="41" t="s">
        <v>87</v>
      </c>
      <c r="L11" s="41" t="s">
        <v>88</v>
      </c>
    </row>
    <row r="12" spans="1:28">
      <c r="A12" s="104"/>
      <c r="B12" s="16" t="str">
        <f>+G16</f>
        <v>K=</v>
      </c>
      <c r="C12" s="17">
        <f>_xlfn.IFS($C$5=$I$12,I16,$C$5=$J$12,J16,$C$5=$K$12,K16,$C$5=$L$12,L16)</f>
        <v>0.8</v>
      </c>
      <c r="D12" s="14" t="s">
        <v>12</v>
      </c>
      <c r="G12" s="40" t="s">
        <v>48</v>
      </c>
      <c r="H12" s="40"/>
      <c r="I12" s="42" t="s">
        <v>49</v>
      </c>
      <c r="J12" s="42" t="s">
        <v>43</v>
      </c>
      <c r="K12" s="42" t="s">
        <v>50</v>
      </c>
      <c r="L12" s="42" t="s">
        <v>5</v>
      </c>
      <c r="N12" s="40" t="s">
        <v>49</v>
      </c>
      <c r="O12" s="41" t="s">
        <v>55</v>
      </c>
      <c r="Q12" s="28" t="s">
        <v>56</v>
      </c>
      <c r="R12" s="29"/>
      <c r="S12" s="30"/>
      <c r="T12" s="31">
        <v>0</v>
      </c>
    </row>
    <row r="13" spans="1:28" ht="20.25" thickBot="1">
      <c r="A13" s="19" t="s">
        <v>84</v>
      </c>
      <c r="B13" s="12" t="s">
        <v>7</v>
      </c>
      <c r="C13" s="20" cm="1">
        <f t="array" ref="C13">_xlfn.IFS(AND(C8&gt;=C9,C8&lt;=C10),C11,C8&lt;C9,(1+((C11-1)*(C8/C9))),AND(C8&gt;=C10,C8&lt;=6),(C11*(C12+((1-C12)*(C10/C8)^2))*(C10/C8)^2))</f>
        <v>2.25</v>
      </c>
      <c r="D13" s="14" t="s">
        <v>6</v>
      </c>
      <c r="G13" s="40" t="s">
        <v>45</v>
      </c>
      <c r="H13" s="40"/>
      <c r="I13" s="42">
        <v>0.1</v>
      </c>
      <c r="J13" s="42">
        <v>0.1</v>
      </c>
      <c r="K13" s="42">
        <v>0.1</v>
      </c>
      <c r="L13" s="42">
        <v>0.1</v>
      </c>
      <c r="N13" s="40" t="s">
        <v>43</v>
      </c>
      <c r="O13" s="41" t="s">
        <v>86</v>
      </c>
      <c r="Q13" s="35" t="s">
        <v>57</v>
      </c>
      <c r="R13" s="36"/>
      <c r="S13" s="37"/>
      <c r="T13" s="38">
        <v>0.1</v>
      </c>
    </row>
    <row r="14" spans="1:28" ht="20.25" thickBot="1">
      <c r="A14" s="71" t="s">
        <v>13</v>
      </c>
      <c r="B14" s="72" t="s">
        <v>0</v>
      </c>
      <c r="C14" s="79">
        <f>C13*C3*C4</f>
        <v>0.78749999999999998</v>
      </c>
      <c r="D14" s="10" t="s">
        <v>16</v>
      </c>
      <c r="G14" s="40" t="s">
        <v>46</v>
      </c>
      <c r="H14" s="40"/>
      <c r="I14" s="42">
        <v>0.5</v>
      </c>
      <c r="J14" s="42">
        <v>0.7</v>
      </c>
      <c r="K14" s="42">
        <v>1</v>
      </c>
      <c r="L14" s="42">
        <v>2</v>
      </c>
      <c r="N14" s="40" t="s">
        <v>50</v>
      </c>
      <c r="O14" s="41" t="s">
        <v>87</v>
      </c>
    </row>
    <row r="15" spans="1:28" ht="39.950000000000003" customHeight="1" thickBot="1">
      <c r="A15" s="80" t="s">
        <v>18</v>
      </c>
      <c r="B15" s="81" t="s">
        <v>19</v>
      </c>
      <c r="C15" s="82">
        <f>0.2*C14</f>
        <v>0.1575</v>
      </c>
      <c r="D15" s="21" t="s">
        <v>17</v>
      </c>
      <c r="G15" s="43" t="s">
        <v>47</v>
      </c>
      <c r="H15" s="40"/>
      <c r="I15" s="42">
        <v>2.5</v>
      </c>
      <c r="J15" s="42">
        <v>2.5</v>
      </c>
      <c r="K15" s="42">
        <v>2.5</v>
      </c>
      <c r="L15" s="42">
        <v>2.25</v>
      </c>
      <c r="N15" s="40" t="s">
        <v>5</v>
      </c>
      <c r="O15" s="41" t="s">
        <v>88</v>
      </c>
    </row>
    <row r="16" spans="1:28" ht="32.25" thickBot="1">
      <c r="A16" s="83" t="s">
        <v>61</v>
      </c>
      <c r="B16" s="74"/>
      <c r="C16" s="76"/>
      <c r="D16" s="14"/>
      <c r="G16" s="40" t="s">
        <v>11</v>
      </c>
      <c r="H16" s="40"/>
      <c r="I16" s="42">
        <v>1.8</v>
      </c>
      <c r="J16" s="42">
        <v>1.8</v>
      </c>
      <c r="K16" s="42">
        <v>1.8</v>
      </c>
      <c r="L16" s="42">
        <v>0.8</v>
      </c>
      <c r="U16" s="44" t="s">
        <v>89</v>
      </c>
      <c r="V16" s="45"/>
      <c r="W16" s="46" t="s">
        <v>108</v>
      </c>
      <c r="Y16" s="47" t="s">
        <v>166</v>
      </c>
      <c r="Z16" s="48"/>
      <c r="AA16" s="49"/>
      <c r="AB16" s="50" t="s">
        <v>15</v>
      </c>
    </row>
    <row r="17" spans="1:28" ht="36" customHeight="1">
      <c r="A17" s="105" t="s">
        <v>62</v>
      </c>
      <c r="B17" s="22" t="s">
        <v>20</v>
      </c>
      <c r="C17" s="17"/>
      <c r="D17" s="14" t="s">
        <v>41</v>
      </c>
      <c r="U17" s="51" t="s">
        <v>90</v>
      </c>
      <c r="V17" s="33"/>
      <c r="W17" s="34">
        <v>0.3</v>
      </c>
      <c r="Y17" s="52" t="s">
        <v>189</v>
      </c>
      <c r="AA17" s="33"/>
      <c r="AB17" s="34">
        <v>1</v>
      </c>
    </row>
    <row r="18" spans="1:28">
      <c r="A18" s="106"/>
      <c r="B18" s="12" t="str">
        <f>+K44</f>
        <v>Ru=</v>
      </c>
      <c r="C18" s="17">
        <f>VLOOKUP(A19,G46:M73,5,FALSE)</f>
        <v>4</v>
      </c>
      <c r="D18" s="14" t="s">
        <v>21</v>
      </c>
      <c r="U18" s="51" t="s">
        <v>91</v>
      </c>
      <c r="V18" s="33"/>
      <c r="W18" s="34">
        <v>0.3</v>
      </c>
      <c r="Y18" s="52"/>
      <c r="AA18" s="33"/>
      <c r="AB18" s="34"/>
    </row>
    <row r="19" spans="1:28">
      <c r="A19" s="102" t="s">
        <v>72</v>
      </c>
      <c r="B19" s="12" t="str">
        <f>+L44</f>
        <v>Ωu=</v>
      </c>
      <c r="C19" s="17">
        <f>VLOOKUP(A19,G46:M73,6,FALSE)</f>
        <v>1.5</v>
      </c>
      <c r="D19" s="14" t="s">
        <v>21</v>
      </c>
      <c r="U19" s="51" t="s">
        <v>92</v>
      </c>
      <c r="V19" s="33"/>
      <c r="W19" s="34">
        <v>0.3</v>
      </c>
      <c r="Y19" s="52" t="s">
        <v>167</v>
      </c>
      <c r="AA19" s="33"/>
      <c r="AB19" s="34">
        <v>1.25</v>
      </c>
    </row>
    <row r="20" spans="1:28">
      <c r="A20" s="103"/>
      <c r="B20" s="12" t="str">
        <f>+M44</f>
        <v>Ωs=</v>
      </c>
      <c r="C20" s="17">
        <f>VLOOKUP(A19,G46:M73,7,FALSE)</f>
        <v>1.25</v>
      </c>
      <c r="D20" s="14" t="s">
        <v>21</v>
      </c>
      <c r="U20" s="51" t="s">
        <v>93</v>
      </c>
      <c r="V20" s="33"/>
      <c r="W20" s="34">
        <v>0.4</v>
      </c>
      <c r="Y20" s="52" t="s">
        <v>168</v>
      </c>
      <c r="AA20" s="33"/>
      <c r="AB20" s="34">
        <v>1.25</v>
      </c>
    </row>
    <row r="21" spans="1:28" ht="16.5" thickBot="1">
      <c r="A21" s="107"/>
      <c r="B21" s="84" t="s">
        <v>68</v>
      </c>
      <c r="C21" s="85">
        <f>C15/C20</f>
        <v>0.126</v>
      </c>
      <c r="D21" s="10" t="s">
        <v>23</v>
      </c>
      <c r="U21" s="51" t="s">
        <v>94</v>
      </c>
      <c r="V21" s="33"/>
      <c r="W21" s="34">
        <v>0.3</v>
      </c>
      <c r="Y21" s="52" t="s">
        <v>169</v>
      </c>
      <c r="AA21" s="33"/>
      <c r="AB21" s="34">
        <v>1.25</v>
      </c>
    </row>
    <row r="22" spans="1:28" ht="27.95" customHeight="1">
      <c r="A22" s="19"/>
      <c r="B22" s="22" t="s">
        <v>35</v>
      </c>
      <c r="C22" s="17"/>
      <c r="D22" s="14" t="s">
        <v>42</v>
      </c>
      <c r="U22" s="51" t="s">
        <v>95</v>
      </c>
      <c r="V22" s="33"/>
      <c r="W22" s="34">
        <v>0.3</v>
      </c>
      <c r="Y22" s="52"/>
      <c r="AA22" s="33"/>
      <c r="AB22" s="34">
        <v>1.25</v>
      </c>
    </row>
    <row r="23" spans="1:28">
      <c r="A23" s="19"/>
      <c r="B23" s="12" t="str">
        <f t="shared" ref="B23:C25" si="0">+B18</f>
        <v>Ru=</v>
      </c>
      <c r="C23" s="17">
        <f t="shared" si="0"/>
        <v>4</v>
      </c>
      <c r="D23" s="14" t="s">
        <v>21</v>
      </c>
      <c r="U23" s="51" t="s">
        <v>96</v>
      </c>
      <c r="V23" s="33"/>
      <c r="W23" s="34">
        <v>0.35</v>
      </c>
      <c r="Y23" s="52" t="s">
        <v>170</v>
      </c>
      <c r="AA23" s="33"/>
      <c r="AB23" s="34">
        <v>1.25</v>
      </c>
    </row>
    <row r="24" spans="1:28" ht="36" customHeight="1">
      <c r="A24" s="19"/>
      <c r="B24" s="12" t="str">
        <f t="shared" si="0"/>
        <v>Ωu=</v>
      </c>
      <c r="C24" s="17">
        <f t="shared" si="0"/>
        <v>1.5</v>
      </c>
      <c r="D24" s="14" t="s">
        <v>21</v>
      </c>
      <c r="U24" s="51" t="s">
        <v>97</v>
      </c>
      <c r="V24" s="33"/>
      <c r="W24" s="34">
        <v>0.3</v>
      </c>
      <c r="Y24" s="52" t="s">
        <v>172</v>
      </c>
      <c r="AA24" s="33"/>
      <c r="AB24" s="34">
        <v>1.25</v>
      </c>
    </row>
    <row r="25" spans="1:28">
      <c r="A25" s="19"/>
      <c r="B25" s="12" t="str">
        <f t="shared" si="0"/>
        <v>Ωs=</v>
      </c>
      <c r="C25" s="17">
        <f t="shared" si="0"/>
        <v>1.25</v>
      </c>
      <c r="D25" s="14" t="s">
        <v>21</v>
      </c>
      <c r="U25" s="51" t="s">
        <v>98</v>
      </c>
      <c r="V25" s="33"/>
      <c r="W25" s="34">
        <v>0.3</v>
      </c>
      <c r="Y25" s="52" t="s">
        <v>173</v>
      </c>
      <c r="AA25" s="33"/>
      <c r="AB25" s="34">
        <v>1.25</v>
      </c>
    </row>
    <row r="26" spans="1:28" ht="16.5" thickBot="1">
      <c r="A26" s="23"/>
      <c r="B26" s="84" t="s">
        <v>69</v>
      </c>
      <c r="C26" s="85">
        <f>C14/(C23*C24)</f>
        <v>0.13125000000000001</v>
      </c>
      <c r="D26" s="10" t="s">
        <v>22</v>
      </c>
      <c r="U26" s="51" t="s">
        <v>99</v>
      </c>
      <c r="V26" s="33"/>
      <c r="W26" s="34">
        <v>0.35</v>
      </c>
      <c r="Y26" s="52" t="s">
        <v>171</v>
      </c>
      <c r="AA26" s="33"/>
      <c r="AB26" s="34">
        <v>1.25</v>
      </c>
    </row>
    <row r="27" spans="1:28">
      <c r="A27" s="73" t="s">
        <v>24</v>
      </c>
      <c r="B27" s="74" t="s">
        <v>25</v>
      </c>
      <c r="C27" s="86">
        <f>_xlfn.IFS(C8&lt;=0.5,1,C8&gt;=2.5,2,(AND(C8&gt;0.5,C8&lt;2.5)),(1+(((2-1)/(2.5-0.5))*C8)))</f>
        <v>1.3340887780629318</v>
      </c>
      <c r="D27" s="14" t="s">
        <v>26</v>
      </c>
      <c r="U27" s="51" t="s">
        <v>100</v>
      </c>
      <c r="V27" s="33"/>
      <c r="W27" s="34">
        <v>0.3</v>
      </c>
      <c r="Y27" s="52" t="s">
        <v>174</v>
      </c>
      <c r="AA27" s="33"/>
      <c r="AB27" s="34">
        <v>1.25</v>
      </c>
    </row>
    <row r="28" spans="1:28" ht="32.1" customHeight="1">
      <c r="A28" s="73" t="s">
        <v>27</v>
      </c>
      <c r="B28" s="74" t="s">
        <v>28</v>
      </c>
      <c r="C28" s="76">
        <v>0.1</v>
      </c>
      <c r="D28" s="14" t="s">
        <v>29</v>
      </c>
      <c r="U28" s="51" t="s">
        <v>101</v>
      </c>
      <c r="V28" s="33"/>
      <c r="W28" s="34">
        <v>0.3</v>
      </c>
      <c r="Y28" s="52" t="s">
        <v>175</v>
      </c>
      <c r="AA28" s="33"/>
      <c r="AB28" s="34">
        <v>1.25</v>
      </c>
    </row>
    <row r="29" spans="1:28" ht="16.5" thickBot="1">
      <c r="A29" s="87"/>
      <c r="B29" s="72"/>
      <c r="C29" s="79"/>
      <c r="D29" s="10"/>
      <c r="U29" s="51"/>
      <c r="V29" s="33"/>
      <c r="W29" s="34"/>
      <c r="Y29" s="52" t="s">
        <v>176</v>
      </c>
      <c r="AA29" s="33"/>
      <c r="AB29" s="34">
        <v>1.25</v>
      </c>
    </row>
    <row r="30" spans="1:28">
      <c r="A30" s="88" t="s">
        <v>33</v>
      </c>
      <c r="B30" s="89"/>
      <c r="C30" s="90"/>
      <c r="D30" s="24"/>
      <c r="U30" s="51" t="s">
        <v>102</v>
      </c>
      <c r="V30" s="33"/>
      <c r="W30" s="34">
        <v>0.3</v>
      </c>
      <c r="Y30" s="52" t="s">
        <v>177</v>
      </c>
      <c r="AA30" s="33"/>
      <c r="AB30" s="34">
        <v>1.25</v>
      </c>
    </row>
    <row r="31" spans="1:28">
      <c r="A31" s="91"/>
      <c r="B31" s="92" t="s">
        <v>67</v>
      </c>
      <c r="C31" s="93">
        <f>0.025/C23</f>
        <v>6.2500000000000003E-3</v>
      </c>
      <c r="D31" s="14" t="s">
        <v>36</v>
      </c>
      <c r="U31" s="51" t="s">
        <v>103</v>
      </c>
      <c r="V31" s="33"/>
      <c r="W31" s="34">
        <v>0.25</v>
      </c>
      <c r="Y31" s="52" t="s">
        <v>178</v>
      </c>
      <c r="AA31" s="33"/>
      <c r="AB31" s="34">
        <v>1.25</v>
      </c>
    </row>
    <row r="32" spans="1:28">
      <c r="A32" s="91"/>
      <c r="B32" s="92" t="s">
        <v>37</v>
      </c>
      <c r="C32" s="93">
        <v>6.0000000000000001E-3</v>
      </c>
      <c r="D32" s="25" t="s">
        <v>36</v>
      </c>
      <c r="U32" s="51" t="s">
        <v>104</v>
      </c>
      <c r="V32" s="33"/>
      <c r="W32" s="34">
        <v>0.3</v>
      </c>
      <c r="Y32" s="52" t="s">
        <v>179</v>
      </c>
      <c r="AA32" s="33"/>
      <c r="AB32" s="34">
        <v>1.25</v>
      </c>
    </row>
    <row r="33" spans="1:28" ht="16.5" thickBot="1">
      <c r="A33" s="32"/>
      <c r="B33" s="94"/>
      <c r="C33" s="95"/>
      <c r="D33" s="26"/>
      <c r="U33" s="51"/>
      <c r="V33" s="33"/>
      <c r="W33" s="34"/>
      <c r="Y33" s="52" t="s">
        <v>180</v>
      </c>
      <c r="AA33" s="33"/>
      <c r="AB33" s="34">
        <v>1.25</v>
      </c>
    </row>
    <row r="34" spans="1:28">
      <c r="A34" s="96" t="s">
        <v>34</v>
      </c>
      <c r="B34" s="97"/>
      <c r="C34" s="98"/>
      <c r="D34" s="8"/>
      <c r="U34" s="51" t="s">
        <v>105</v>
      </c>
      <c r="V34" s="33"/>
      <c r="W34" s="34">
        <v>0.35</v>
      </c>
      <c r="Y34" s="52" t="s">
        <v>181</v>
      </c>
      <c r="AA34" s="33"/>
      <c r="AB34" s="34">
        <v>1.25</v>
      </c>
    </row>
    <row r="35" spans="1:28">
      <c r="A35" s="73"/>
      <c r="B35" s="78" t="s">
        <v>70</v>
      </c>
      <c r="C35" s="99">
        <f>0.025*1000*(C6/C23)</f>
        <v>85.724999999999994</v>
      </c>
      <c r="D35" s="14" t="s">
        <v>39</v>
      </c>
      <c r="U35" s="51" t="s">
        <v>106</v>
      </c>
      <c r="V35" s="33"/>
      <c r="W35" s="34">
        <v>0.35</v>
      </c>
      <c r="Y35" s="52" t="s">
        <v>182</v>
      </c>
      <c r="AA35" s="33"/>
      <c r="AB35" s="34">
        <v>1.25</v>
      </c>
    </row>
    <row r="36" spans="1:28" ht="16.5" thickBot="1">
      <c r="A36" s="71"/>
      <c r="B36" s="100" t="s">
        <v>38</v>
      </c>
      <c r="C36" s="101">
        <f>0.006*(C6/1)*1000</f>
        <v>82.295999999999992</v>
      </c>
      <c r="D36" s="10" t="s">
        <v>40</v>
      </c>
      <c r="U36" s="51" t="s">
        <v>107</v>
      </c>
      <c r="V36" s="33"/>
      <c r="W36" s="34">
        <v>0.3</v>
      </c>
      <c r="Y36" s="52"/>
      <c r="AA36" s="33"/>
      <c r="AB36" s="34"/>
    </row>
    <row r="37" spans="1:28">
      <c r="U37" s="51" t="s">
        <v>127</v>
      </c>
      <c r="V37" s="33"/>
      <c r="W37" s="34">
        <v>0.35</v>
      </c>
      <c r="Y37" s="52" t="s">
        <v>183</v>
      </c>
      <c r="AA37" s="33"/>
      <c r="AB37" s="34">
        <v>1.5</v>
      </c>
    </row>
    <row r="38" spans="1:28">
      <c r="U38" s="51" t="s">
        <v>128</v>
      </c>
      <c r="V38" s="33"/>
      <c r="W38" s="34">
        <v>0.3</v>
      </c>
      <c r="Y38" s="52" t="s">
        <v>184</v>
      </c>
      <c r="AA38" s="33"/>
      <c r="AB38" s="34">
        <v>1.5</v>
      </c>
    </row>
    <row r="39" spans="1:28">
      <c r="U39" s="51" t="s">
        <v>129</v>
      </c>
      <c r="V39" s="33"/>
      <c r="W39" s="34">
        <v>0.35</v>
      </c>
      <c r="Y39" s="52" t="s">
        <v>185</v>
      </c>
      <c r="AA39" s="33"/>
      <c r="AB39" s="34">
        <v>1.5</v>
      </c>
    </row>
    <row r="40" spans="1:28">
      <c r="U40" s="51" t="s">
        <v>130</v>
      </c>
      <c r="V40" s="33"/>
      <c r="W40" s="34">
        <v>0.3</v>
      </c>
      <c r="Y40" s="52" t="s">
        <v>186</v>
      </c>
      <c r="AA40" s="33"/>
      <c r="AB40" s="34">
        <v>1.5</v>
      </c>
    </row>
    <row r="41" spans="1:28">
      <c r="U41" s="51" t="s">
        <v>131</v>
      </c>
      <c r="V41" s="33"/>
      <c r="W41" s="34">
        <v>0.4</v>
      </c>
      <c r="Y41" s="52" t="s">
        <v>187</v>
      </c>
      <c r="AA41" s="33"/>
      <c r="AB41" s="34">
        <v>1.5</v>
      </c>
    </row>
    <row r="42" spans="1:28" ht="16.5" thickBot="1">
      <c r="U42" s="51" t="s">
        <v>132</v>
      </c>
      <c r="V42" s="33"/>
      <c r="W42" s="34">
        <v>0.4</v>
      </c>
      <c r="Y42" s="53" t="s">
        <v>188</v>
      </c>
      <c r="Z42" s="36"/>
      <c r="AA42" s="37"/>
      <c r="AB42" s="38">
        <v>1.5</v>
      </c>
    </row>
    <row r="43" spans="1:28" ht="16.5" thickBot="1">
      <c r="U43" s="51" t="s">
        <v>133</v>
      </c>
      <c r="V43" s="33"/>
      <c r="W43" s="34">
        <v>0.3</v>
      </c>
    </row>
    <row r="44" spans="1:28" ht="20.25" thickBot="1">
      <c r="F44" s="47"/>
      <c r="G44" s="54" t="s">
        <v>58</v>
      </c>
      <c r="H44" s="48"/>
      <c r="I44" s="48"/>
      <c r="J44" s="49"/>
      <c r="K44" s="55" t="s">
        <v>64</v>
      </c>
      <c r="L44" s="56" t="s">
        <v>65</v>
      </c>
      <c r="M44" s="56" t="s">
        <v>66</v>
      </c>
      <c r="U44" s="51" t="s">
        <v>134</v>
      </c>
      <c r="V44" s="33"/>
      <c r="W44" s="34">
        <v>0.35</v>
      </c>
    </row>
    <row r="45" spans="1:28">
      <c r="F45" s="57"/>
      <c r="G45" s="58" t="s">
        <v>62</v>
      </c>
      <c r="H45" s="29"/>
      <c r="I45" s="29"/>
      <c r="J45" s="30"/>
      <c r="K45" s="59"/>
      <c r="L45" s="59"/>
      <c r="M45" s="59"/>
      <c r="O45" s="28" t="s">
        <v>62</v>
      </c>
      <c r="P45" s="29"/>
      <c r="Q45" s="30"/>
      <c r="U45" s="51" t="s">
        <v>135</v>
      </c>
      <c r="V45" s="33"/>
      <c r="W45" s="34">
        <v>0.3</v>
      </c>
    </row>
    <row r="46" spans="1:28">
      <c r="F46" s="32"/>
      <c r="G46" t="s">
        <v>71</v>
      </c>
      <c r="J46" s="33"/>
      <c r="K46" s="60">
        <v>4</v>
      </c>
      <c r="L46" s="60">
        <v>1.5</v>
      </c>
      <c r="M46" s="60">
        <v>1.25</v>
      </c>
      <c r="O46" s="32" t="s">
        <v>63</v>
      </c>
      <c r="Q46" s="33"/>
      <c r="U46" s="51" t="s">
        <v>136</v>
      </c>
      <c r="V46" s="33"/>
      <c r="W46" s="34">
        <v>0.35</v>
      </c>
    </row>
    <row r="47" spans="1:28">
      <c r="F47" s="32"/>
      <c r="G47" t="s">
        <v>72</v>
      </c>
      <c r="J47" s="33"/>
      <c r="K47" s="60">
        <v>4</v>
      </c>
      <c r="L47" s="60">
        <v>1.5</v>
      </c>
      <c r="M47" s="60">
        <v>1.25</v>
      </c>
      <c r="O47" s="32" t="s">
        <v>59</v>
      </c>
      <c r="Q47" s="33"/>
      <c r="U47" s="51" t="s">
        <v>137</v>
      </c>
      <c r="V47" s="33"/>
      <c r="W47" s="34">
        <v>0.35</v>
      </c>
    </row>
    <row r="48" spans="1:28" ht="16.5" thickBot="1">
      <c r="F48" s="35"/>
      <c r="G48" s="36" t="s">
        <v>73</v>
      </c>
      <c r="H48" s="36"/>
      <c r="I48" s="36"/>
      <c r="J48" s="37"/>
      <c r="K48" s="61">
        <v>4</v>
      </c>
      <c r="L48" s="61">
        <v>1.5</v>
      </c>
      <c r="M48" s="61">
        <v>1.25</v>
      </c>
      <c r="O48" s="35" t="s">
        <v>60</v>
      </c>
      <c r="P48" s="36"/>
      <c r="Q48" s="37"/>
      <c r="U48" s="51" t="s">
        <v>138</v>
      </c>
      <c r="V48" s="33"/>
      <c r="W48" s="34">
        <v>0.25</v>
      </c>
    </row>
    <row r="49" spans="6:23" ht="16.5" thickBot="1">
      <c r="F49" s="32"/>
      <c r="J49" s="33"/>
      <c r="K49" s="60"/>
      <c r="L49" s="60"/>
      <c r="M49" s="60"/>
      <c r="U49" s="51"/>
      <c r="V49" s="33"/>
      <c r="W49" s="34"/>
    </row>
    <row r="50" spans="6:23">
      <c r="F50" s="57"/>
      <c r="G50" s="58" t="s">
        <v>63</v>
      </c>
      <c r="H50" s="29"/>
      <c r="I50" s="29"/>
      <c r="J50" s="30"/>
      <c r="K50" s="59"/>
      <c r="L50" s="59"/>
      <c r="M50" s="59"/>
      <c r="U50" s="51" t="s">
        <v>139</v>
      </c>
      <c r="V50" s="33"/>
      <c r="W50" s="34">
        <v>0.25</v>
      </c>
    </row>
    <row r="51" spans="6:23">
      <c r="F51" s="32"/>
      <c r="G51" t="s">
        <v>74</v>
      </c>
      <c r="J51" s="33"/>
      <c r="K51" s="60">
        <v>4</v>
      </c>
      <c r="L51" s="60">
        <v>1.5</v>
      </c>
      <c r="M51" s="60">
        <v>1.25</v>
      </c>
      <c r="U51" s="51" t="s">
        <v>140</v>
      </c>
      <c r="V51" s="33"/>
      <c r="W51" s="34">
        <v>0.3</v>
      </c>
    </row>
    <row r="52" spans="6:23">
      <c r="F52" s="32"/>
      <c r="G52" t="s">
        <v>75</v>
      </c>
      <c r="J52" s="33"/>
      <c r="K52" s="60">
        <v>4</v>
      </c>
      <c r="L52" s="60">
        <v>1.5</v>
      </c>
      <c r="M52" s="60">
        <v>1.25</v>
      </c>
      <c r="U52" s="51" t="s">
        <v>141</v>
      </c>
      <c r="V52" s="33"/>
      <c r="W52" s="34">
        <v>0.3</v>
      </c>
    </row>
    <row r="53" spans="6:23">
      <c r="F53" s="32"/>
      <c r="G53" t="s">
        <v>76</v>
      </c>
      <c r="J53" s="33"/>
      <c r="K53" s="60">
        <v>3</v>
      </c>
      <c r="L53" s="60">
        <v>1.3</v>
      </c>
      <c r="M53" s="60">
        <v>1.1499999999999999</v>
      </c>
      <c r="U53" s="51" t="s">
        <v>142</v>
      </c>
      <c r="V53" s="33"/>
      <c r="W53" s="34">
        <v>0.4</v>
      </c>
    </row>
    <row r="54" spans="6:23">
      <c r="F54" s="32"/>
      <c r="G54" t="s">
        <v>77</v>
      </c>
      <c r="J54" s="33"/>
      <c r="K54" s="60">
        <v>3</v>
      </c>
      <c r="L54" s="60">
        <v>1.3</v>
      </c>
      <c r="M54" s="60">
        <v>1.1499999999999999</v>
      </c>
      <c r="U54" s="51" t="s">
        <v>143</v>
      </c>
      <c r="V54" s="33"/>
      <c r="W54" s="34">
        <v>0.4</v>
      </c>
    </row>
    <row r="55" spans="6:23" ht="16.5" thickBot="1">
      <c r="F55" s="35"/>
      <c r="G55" s="36" t="s">
        <v>78</v>
      </c>
      <c r="H55" s="36"/>
      <c r="I55" s="36"/>
      <c r="J55" s="37"/>
      <c r="K55" s="61">
        <v>4</v>
      </c>
      <c r="L55" s="61">
        <v>1.5</v>
      </c>
      <c r="M55" s="61">
        <v>1.25</v>
      </c>
      <c r="U55" s="51"/>
      <c r="V55" s="33"/>
      <c r="W55" s="34"/>
    </row>
    <row r="56" spans="6:23" ht="16.5" thickBot="1">
      <c r="F56" s="32"/>
      <c r="J56" s="33"/>
      <c r="K56" s="60"/>
      <c r="L56" s="60"/>
      <c r="M56" s="60"/>
      <c r="U56" s="51" t="s">
        <v>144</v>
      </c>
      <c r="V56" s="33"/>
      <c r="W56" s="34">
        <v>0.4</v>
      </c>
    </row>
    <row r="57" spans="6:23">
      <c r="F57" s="57"/>
      <c r="G57" s="58" t="s">
        <v>59</v>
      </c>
      <c r="H57" s="29"/>
      <c r="I57" s="29"/>
      <c r="J57" s="30"/>
      <c r="K57" s="59"/>
      <c r="L57" s="59"/>
      <c r="M57" s="59"/>
      <c r="U57" s="51"/>
      <c r="V57" s="33"/>
      <c r="W57" s="34"/>
    </row>
    <row r="58" spans="6:23">
      <c r="F58" s="32"/>
      <c r="G58" t="s">
        <v>79</v>
      </c>
      <c r="J58" s="33"/>
      <c r="K58" s="60">
        <v>3</v>
      </c>
      <c r="L58" s="60">
        <v>1.3</v>
      </c>
      <c r="M58" s="60">
        <v>1.1499999999999999</v>
      </c>
      <c r="U58" s="51" t="s">
        <v>145</v>
      </c>
      <c r="V58" s="33"/>
      <c r="W58" s="34">
        <v>0.3</v>
      </c>
    </row>
    <row r="59" spans="6:23">
      <c r="F59" s="32"/>
      <c r="G59" t="s">
        <v>80</v>
      </c>
      <c r="J59" s="33"/>
      <c r="K59" s="60">
        <v>3</v>
      </c>
      <c r="L59" s="60">
        <v>1.3</v>
      </c>
      <c r="M59" s="60">
        <v>1.1499999999999999</v>
      </c>
      <c r="U59" s="51" t="s">
        <v>109</v>
      </c>
      <c r="V59" s="33"/>
      <c r="W59" s="34">
        <v>0.3</v>
      </c>
    </row>
    <row r="60" spans="6:23">
      <c r="F60" s="32"/>
      <c r="G60" t="s">
        <v>81</v>
      </c>
      <c r="J60" s="33"/>
      <c r="K60" s="60">
        <v>2.5</v>
      </c>
      <c r="L60" s="60">
        <v>1.2</v>
      </c>
      <c r="M60" s="60">
        <v>1.1000000000000001</v>
      </c>
      <c r="U60" s="51" t="s">
        <v>110</v>
      </c>
      <c r="V60" s="33"/>
      <c r="W60" s="34">
        <v>0.25</v>
      </c>
    </row>
    <row r="61" spans="6:23">
      <c r="F61" s="32"/>
      <c r="G61" t="s">
        <v>82</v>
      </c>
      <c r="J61" s="33"/>
      <c r="K61" s="60">
        <v>2.5</v>
      </c>
      <c r="L61" s="60">
        <v>1.2</v>
      </c>
      <c r="M61" s="60">
        <v>1.1000000000000001</v>
      </c>
      <c r="U61" s="51" t="s">
        <v>111</v>
      </c>
      <c r="V61" s="33"/>
      <c r="W61" s="34">
        <v>0.3</v>
      </c>
    </row>
    <row r="62" spans="6:23" ht="15.95" customHeight="1">
      <c r="F62" s="32"/>
      <c r="G62" s="62" t="s">
        <v>83</v>
      </c>
      <c r="H62" s="63"/>
      <c r="I62" s="63"/>
      <c r="J62" s="64"/>
      <c r="K62" s="60">
        <v>2</v>
      </c>
      <c r="L62" s="60">
        <v>1.2</v>
      </c>
      <c r="M62" s="60">
        <v>1.1000000000000001</v>
      </c>
      <c r="U62" s="51"/>
      <c r="V62" s="33"/>
      <c r="W62" s="34"/>
    </row>
    <row r="63" spans="6:23">
      <c r="F63" s="32"/>
      <c r="G63" s="63"/>
      <c r="H63" s="63"/>
      <c r="I63" s="63"/>
      <c r="J63" s="64"/>
      <c r="K63" s="60"/>
      <c r="L63" s="60"/>
      <c r="M63" s="60"/>
      <c r="U63" s="51" t="s">
        <v>112</v>
      </c>
      <c r="V63" s="33"/>
      <c r="W63" s="34">
        <v>0.3</v>
      </c>
    </row>
    <row r="64" spans="6:23" ht="16.5" thickBot="1">
      <c r="F64" s="35"/>
      <c r="G64" s="65"/>
      <c r="H64" s="65"/>
      <c r="I64" s="65"/>
      <c r="J64" s="66"/>
      <c r="K64" s="61"/>
      <c r="L64" s="61"/>
      <c r="M64" s="61"/>
      <c r="U64" s="51" t="s">
        <v>113</v>
      </c>
      <c r="V64" s="33"/>
      <c r="W64" s="34">
        <v>0.4</v>
      </c>
    </row>
    <row r="65" spans="6:23">
      <c r="F65" s="51"/>
      <c r="G65" s="67" t="s">
        <v>60</v>
      </c>
      <c r="J65" s="33"/>
      <c r="K65" s="60"/>
      <c r="L65" s="60"/>
      <c r="M65" s="60"/>
      <c r="U65" s="51" t="s">
        <v>114</v>
      </c>
      <c r="V65" s="33"/>
      <c r="W65" s="34">
        <v>0.3</v>
      </c>
    </row>
    <row r="66" spans="6:23">
      <c r="F66" s="32"/>
      <c r="G66" t="s">
        <v>74</v>
      </c>
      <c r="J66" s="33"/>
      <c r="K66" s="60">
        <v>4</v>
      </c>
      <c r="L66" s="60">
        <v>1.5</v>
      </c>
      <c r="M66" s="60">
        <v>1.25</v>
      </c>
      <c r="U66" s="51" t="s">
        <v>115</v>
      </c>
      <c r="V66" s="33"/>
      <c r="W66" s="34">
        <v>0.35</v>
      </c>
    </row>
    <row r="67" spans="6:23">
      <c r="F67" s="32"/>
      <c r="G67" t="s">
        <v>75</v>
      </c>
      <c r="J67" s="33"/>
      <c r="K67" s="60">
        <v>4</v>
      </c>
      <c r="L67" s="60">
        <v>1.5</v>
      </c>
      <c r="M67" s="60">
        <v>1.25</v>
      </c>
      <c r="U67" s="51" t="s">
        <v>126</v>
      </c>
      <c r="V67" s="33"/>
      <c r="W67" s="34">
        <v>0.3</v>
      </c>
    </row>
    <row r="68" spans="6:23">
      <c r="F68" s="32"/>
      <c r="G68" t="s">
        <v>76</v>
      </c>
      <c r="J68" s="33"/>
      <c r="K68" s="60">
        <v>3.5</v>
      </c>
      <c r="L68" s="60">
        <v>1.4</v>
      </c>
      <c r="M68" s="60">
        <v>1.2</v>
      </c>
      <c r="U68" s="51" t="s">
        <v>116</v>
      </c>
      <c r="V68" s="33"/>
      <c r="W68" s="34">
        <v>0.3</v>
      </c>
    </row>
    <row r="69" spans="6:23">
      <c r="F69" s="32"/>
      <c r="G69" t="s">
        <v>77</v>
      </c>
      <c r="J69" s="33"/>
      <c r="K69" s="60">
        <v>3.5</v>
      </c>
      <c r="L69" s="60">
        <v>1.4</v>
      </c>
      <c r="M69" s="60">
        <v>1.2</v>
      </c>
      <c r="U69" s="51" t="s">
        <v>117</v>
      </c>
      <c r="V69" s="33"/>
      <c r="W69" s="34">
        <v>0.3</v>
      </c>
    </row>
    <row r="70" spans="6:23">
      <c r="F70" s="32"/>
      <c r="G70" t="s">
        <v>78</v>
      </c>
      <c r="J70" s="33"/>
      <c r="K70" s="60">
        <v>4</v>
      </c>
      <c r="L70" s="60">
        <v>1.5</v>
      </c>
      <c r="M70" s="60">
        <v>1.25</v>
      </c>
      <c r="U70" s="51"/>
      <c r="V70" s="33"/>
      <c r="W70" s="34"/>
    </row>
    <row r="71" spans="6:23">
      <c r="F71" s="32"/>
      <c r="G71" t="s">
        <v>79</v>
      </c>
      <c r="J71" s="33"/>
      <c r="K71" s="60">
        <v>3.5</v>
      </c>
      <c r="L71" s="60">
        <v>1.4</v>
      </c>
      <c r="M71" s="60">
        <v>1.2</v>
      </c>
      <c r="U71" s="51" t="s">
        <v>118</v>
      </c>
      <c r="V71" s="33"/>
      <c r="W71" s="34">
        <v>0.3</v>
      </c>
    </row>
    <row r="72" spans="6:23">
      <c r="F72" s="32"/>
      <c r="G72" t="s">
        <v>80</v>
      </c>
      <c r="J72" s="33"/>
      <c r="K72" s="60">
        <v>3.5</v>
      </c>
      <c r="L72" s="60">
        <v>1.4</v>
      </c>
      <c r="M72" s="60">
        <v>1.2</v>
      </c>
      <c r="U72" s="51" t="s">
        <v>119</v>
      </c>
      <c r="V72" s="33"/>
      <c r="W72" s="34">
        <v>0.35</v>
      </c>
    </row>
    <row r="73" spans="6:23" ht="16.5" thickBot="1">
      <c r="F73" s="35"/>
      <c r="G73" s="36" t="s">
        <v>82</v>
      </c>
      <c r="H73" s="36"/>
      <c r="I73" s="36"/>
      <c r="J73" s="37"/>
      <c r="K73" s="61">
        <v>2.5</v>
      </c>
      <c r="L73" s="61">
        <v>1.2</v>
      </c>
      <c r="M73" s="61">
        <v>1.1000000000000001</v>
      </c>
      <c r="U73" s="51"/>
      <c r="V73" s="33"/>
      <c r="W73" s="34"/>
    </row>
    <row r="74" spans="6:23">
      <c r="U74" s="51" t="s">
        <v>120</v>
      </c>
      <c r="V74" s="33"/>
      <c r="W74" s="34">
        <v>0.3</v>
      </c>
    </row>
    <row r="75" spans="6:23">
      <c r="U75" s="51" t="s">
        <v>121</v>
      </c>
      <c r="V75" s="33"/>
      <c r="W75" s="34">
        <v>0.35</v>
      </c>
    </row>
    <row r="76" spans="6:23">
      <c r="U76" s="51" t="s">
        <v>122</v>
      </c>
      <c r="V76" s="33"/>
      <c r="W76" s="34">
        <v>0.3</v>
      </c>
    </row>
    <row r="77" spans="6:23">
      <c r="U77" s="51" t="s">
        <v>123</v>
      </c>
      <c r="V77" s="33"/>
      <c r="W77" s="34">
        <v>0.3</v>
      </c>
    </row>
    <row r="78" spans="6:23">
      <c r="U78" s="51" t="s">
        <v>124</v>
      </c>
      <c r="V78" s="33"/>
      <c r="W78" s="34">
        <v>0.3</v>
      </c>
    </row>
    <row r="79" spans="6:23">
      <c r="U79" s="51" t="s">
        <v>125</v>
      </c>
      <c r="V79" s="33"/>
      <c r="W79" s="34">
        <v>0.3</v>
      </c>
    </row>
    <row r="80" spans="6:23">
      <c r="U80" s="51" t="s">
        <v>146</v>
      </c>
      <c r="V80" s="33"/>
      <c r="W80" s="34">
        <v>0.35</v>
      </c>
    </row>
    <row r="81" spans="21:23">
      <c r="U81" s="51"/>
      <c r="V81" s="33"/>
      <c r="W81" s="34"/>
    </row>
    <row r="82" spans="21:23">
      <c r="U82" s="51" t="s">
        <v>147</v>
      </c>
      <c r="V82" s="33"/>
      <c r="W82" s="34">
        <v>0.4</v>
      </c>
    </row>
    <row r="83" spans="21:23">
      <c r="U83" s="51"/>
      <c r="V83" s="33"/>
      <c r="W83" s="34"/>
    </row>
    <row r="84" spans="21:23">
      <c r="U84" s="51" t="s">
        <v>148</v>
      </c>
      <c r="V84" s="33"/>
      <c r="W84" s="34">
        <v>0.35</v>
      </c>
    </row>
    <row r="85" spans="21:23">
      <c r="U85" s="51"/>
      <c r="V85" s="33"/>
      <c r="W85" s="34"/>
    </row>
    <row r="86" spans="21:23">
      <c r="U86" s="51" t="s">
        <v>149</v>
      </c>
      <c r="V86" s="33"/>
      <c r="W86" s="34">
        <v>0.35</v>
      </c>
    </row>
    <row r="87" spans="21:23">
      <c r="U87" s="51" t="s">
        <v>150</v>
      </c>
      <c r="V87" s="33"/>
      <c r="W87" s="34">
        <v>0.3</v>
      </c>
    </row>
    <row r="88" spans="21:23">
      <c r="U88" s="51" t="s">
        <v>151</v>
      </c>
      <c r="V88" s="33"/>
      <c r="W88" s="34">
        <v>0.35</v>
      </c>
    </row>
    <row r="89" spans="21:23">
      <c r="U89" s="51"/>
      <c r="V89" s="33"/>
      <c r="W89" s="34"/>
    </row>
    <row r="90" spans="21:23">
      <c r="U90" s="51" t="s">
        <v>152</v>
      </c>
      <c r="V90" s="33"/>
      <c r="W90" s="34">
        <v>0.3</v>
      </c>
    </row>
    <row r="91" spans="21:23">
      <c r="U91" s="51" t="s">
        <v>153</v>
      </c>
      <c r="V91" s="33"/>
      <c r="W91" s="34">
        <v>0.4</v>
      </c>
    </row>
    <row r="92" spans="21:23">
      <c r="U92" s="51"/>
      <c r="V92" s="33"/>
      <c r="W92" s="34"/>
    </row>
    <row r="93" spans="21:23">
      <c r="U93" s="51" t="s">
        <v>154</v>
      </c>
      <c r="V93" s="33"/>
      <c r="W93" s="34">
        <v>0.3</v>
      </c>
    </row>
    <row r="94" spans="21:23">
      <c r="U94" s="51" t="s">
        <v>155</v>
      </c>
      <c r="V94" s="33"/>
      <c r="W94" s="34">
        <v>0.35</v>
      </c>
    </row>
    <row r="95" spans="21:23">
      <c r="U95" s="51" t="s">
        <v>156</v>
      </c>
      <c r="V95" s="33"/>
      <c r="W95" s="34">
        <v>0.35</v>
      </c>
    </row>
    <row r="96" spans="21:23">
      <c r="U96" s="51" t="s">
        <v>157</v>
      </c>
      <c r="V96" s="33"/>
      <c r="W96" s="34">
        <v>0.25</v>
      </c>
    </row>
    <row r="97" spans="21:23">
      <c r="U97" s="51"/>
      <c r="V97" s="33"/>
      <c r="W97" s="34"/>
    </row>
    <row r="98" spans="21:23">
      <c r="U98" s="51" t="s">
        <v>158</v>
      </c>
      <c r="V98" s="33"/>
      <c r="W98" s="34">
        <v>0.35</v>
      </c>
    </row>
    <row r="99" spans="21:23">
      <c r="U99" s="51" t="s">
        <v>159</v>
      </c>
      <c r="V99" s="33"/>
      <c r="W99" s="34">
        <v>0.35</v>
      </c>
    </row>
    <row r="100" spans="21:23">
      <c r="U100" s="51" t="s">
        <v>160</v>
      </c>
      <c r="V100" s="33"/>
      <c r="W100" s="34">
        <v>0.3</v>
      </c>
    </row>
    <row r="101" spans="21:23">
      <c r="U101" s="51" t="s">
        <v>161</v>
      </c>
      <c r="V101" s="33"/>
      <c r="W101" s="34">
        <v>0.4</v>
      </c>
    </row>
    <row r="102" spans="21:23">
      <c r="U102" s="51" t="s">
        <v>162</v>
      </c>
      <c r="V102" s="33"/>
      <c r="W102" s="34">
        <v>0.4</v>
      </c>
    </row>
    <row r="103" spans="21:23">
      <c r="U103" s="51"/>
      <c r="V103" s="33"/>
      <c r="W103" s="34"/>
    </row>
    <row r="104" spans="21:23" ht="16.5" thickBot="1">
      <c r="U104" s="68" t="s">
        <v>163</v>
      </c>
      <c r="V104" s="37"/>
      <c r="W104" s="38">
        <v>0.35</v>
      </c>
    </row>
    <row r="105" spans="21:23">
      <c r="U105" s="51"/>
      <c r="W105" s="34"/>
    </row>
    <row r="106" spans="21:23">
      <c r="U106" s="51" t="s">
        <v>164</v>
      </c>
      <c r="W106" s="34">
        <v>0.35</v>
      </c>
    </row>
  </sheetData>
  <sheetProtection algorithmName="SHA-512" hashValue="RpVNHpSZpdRT2iTZoxKl366WSc6Omw18/gM8auRvxUXdfv3JvLTZ0qk6KrfDXjiGQttftgLsKFHUZQKpX14qNw==" saltValue="wcZjxohv3cW2DUpiJwIk7w==" spinCount="100000" sheet="1" objects="1" scenarios="1"/>
  <mergeCells count="4">
    <mergeCell ref="A9:A12"/>
    <mergeCell ref="A17:A18"/>
    <mergeCell ref="A19:A21"/>
    <mergeCell ref="F1:J2"/>
  </mergeCells>
  <dataValidations count="7">
    <dataValidation type="list" allowBlank="1" showInputMessage="1" showErrorMessage="1" sqref="C5" xr:uid="{6B5FB737-2310-C549-9FAC-E485CB2C0FC8}">
      <formula1>$I$12:$L$12</formula1>
    </dataValidation>
    <dataValidation type="list" allowBlank="1" showInputMessage="1" showErrorMessage="1" sqref="A7" xr:uid="{99B41883-1372-A246-84E4-8F31FDC09376}">
      <formula1>$G$4:$G$7</formula1>
    </dataValidation>
    <dataValidation type="list" allowBlank="1" showInputMessage="1" showErrorMessage="1" sqref="A9:A12" xr:uid="{C372A679-1468-C543-B77A-42479BD2908C}">
      <formula1>$Q$12:$Q$13</formula1>
    </dataValidation>
    <dataValidation type="list" allowBlank="1" showInputMessage="1" showErrorMessage="1" sqref="A19:A21" xr:uid="{6B69E238-DA8C-6742-8919-73CFFE731B77}">
      <formula1>$G$45:$G$73</formula1>
    </dataValidation>
    <dataValidation type="list" allowBlank="1" showInputMessage="1" showErrorMessage="1" sqref="A17:A18" xr:uid="{45D18D2C-8CA8-064E-B426-774E55F2771E}">
      <formula1>$O$45:$O$48</formula1>
    </dataValidation>
    <dataValidation type="list" allowBlank="1" showInputMessage="1" showErrorMessage="1" sqref="C1" xr:uid="{13E54D8A-3887-AF42-BE9D-72E9B2C12A75}">
      <formula1>$U$17:$U$106</formula1>
    </dataValidation>
    <dataValidation type="list" allowBlank="1" showInputMessage="1" showErrorMessage="1" sqref="A2" xr:uid="{4A674B8C-862A-274C-A381-388B80F396B7}">
      <formula1>$Y$17:$Y$42</formula1>
    </dataValidation>
  </dataValidations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summon balami</dc:creator>
  <cp:lastModifiedBy>User</cp:lastModifiedBy>
  <cp:lastPrinted>2022-08-15T01:04:47Z</cp:lastPrinted>
  <dcterms:modified xsi:type="dcterms:W3CDTF">2026-02-26T08:36:10Z</dcterms:modified>
</cp:coreProperties>
</file>