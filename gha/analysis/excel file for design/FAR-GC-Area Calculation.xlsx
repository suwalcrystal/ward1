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ummo\OneDrive\Desktop\New Folder\Summon Personal\Youtube Project\Documents\"/>
    </mc:Choice>
  </mc:AlternateContent>
  <xr:revisionPtr revIDLastSave="0" documentId="13_ncr:1_{13310316-F324-4A3B-90A2-CF500B73A485}" xr6:coauthVersionLast="47" xr6:coauthVersionMax="47" xr10:uidLastSave="{00000000-0000-0000-0000-000000000000}"/>
  <bookViews>
    <workbookView xWindow="-90" yWindow="-90" windowWidth="19380" windowHeight="10260" activeTab="2" xr2:uid="{00000000-000D-0000-FFFF-FFFF00000000}"/>
  </bookViews>
  <sheets>
    <sheet name="FAR-GC" sheetId="1" r:id="rId1"/>
    <sheet name="Column dimension" sheetId="2" r:id="rId2"/>
    <sheet name="Area Calculation" sheetId="3" r:id="rId3"/>
  </sheets>
  <definedNames>
    <definedName name="_xlnm.Print_Area" localSheetId="2">'Area Calculation'!$A$1:$L$31</definedName>
    <definedName name="_xlnm.Print_Area" localSheetId="1">'Column dimension'!$A$1:$H$32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7" i="1"/>
  <c r="U6" i="3"/>
  <c r="T6" i="3"/>
  <c r="S6" i="3"/>
  <c r="Q6" i="3"/>
  <c r="D10" i="3" l="1"/>
  <c r="C10" i="3"/>
  <c r="D9" i="3"/>
  <c r="C9" i="3"/>
  <c r="D8" i="3"/>
  <c r="C8" i="3"/>
  <c r="J11" i="3"/>
  <c r="I10" i="3"/>
  <c r="J10" i="3" s="1"/>
  <c r="I9" i="3"/>
  <c r="J9" i="3" s="1"/>
  <c r="I8" i="3"/>
  <c r="J8" i="3" s="1"/>
  <c r="J7" i="3"/>
  <c r="C7" i="3"/>
  <c r="D7" i="3"/>
  <c r="C11" i="1"/>
  <c r="I6" i="3"/>
  <c r="J6" i="3" s="1"/>
  <c r="I7" i="3" l="1"/>
  <c r="K11" i="3" l="1"/>
  <c r="P6" i="3"/>
  <c r="R6" i="3" s="1"/>
  <c r="J12" i="3" l="1"/>
  <c r="D28" i="2" l="1"/>
  <c r="D24" i="2"/>
  <c r="C25" i="2"/>
  <c r="D25" i="2" s="1"/>
  <c r="C26" i="2"/>
  <c r="D26" i="2" s="1"/>
  <c r="C27" i="2"/>
  <c r="D27" i="2" s="1"/>
  <c r="C28" i="2"/>
  <c r="C24" i="2"/>
  <c r="C10" i="2"/>
  <c r="C9" i="2"/>
  <c r="C12" i="1"/>
  <c r="C6" i="1"/>
  <c r="D29" i="2" l="1"/>
  <c r="C16" i="1"/>
  <c r="D7" i="1"/>
  <c r="C13" i="1"/>
  <c r="C17" i="1" l="1"/>
  <c r="D14" i="1"/>
</calcChain>
</file>

<file path=xl/sharedStrings.xml><?xml version="1.0" encoding="utf-8"?>
<sst xmlns="http://schemas.openxmlformats.org/spreadsheetml/2006/main" count="54" uniqueCount="47">
  <si>
    <t>GC (Ground Coverage)</t>
  </si>
  <si>
    <t>Plinth Area=</t>
  </si>
  <si>
    <t>Plot Area=</t>
  </si>
  <si>
    <t>GC %=</t>
  </si>
  <si>
    <t>FAR (Floor Area Ratio)</t>
  </si>
  <si>
    <t>Built-up Area=</t>
  </si>
  <si>
    <t>FAR=</t>
  </si>
  <si>
    <t>Column (Dimensional Limit)</t>
  </si>
  <si>
    <r>
      <t>Diameter of rebar (d</t>
    </r>
    <r>
      <rPr>
        <vertAlign val="subscript"/>
        <sz val="12"/>
        <color theme="1"/>
        <rFont val="Calibri"/>
        <family val="2"/>
        <scheme val="minor"/>
      </rPr>
      <t>b</t>
    </r>
    <r>
      <rPr>
        <sz val="12"/>
        <color theme="1"/>
        <rFont val="Calibri"/>
        <family val="2"/>
        <scheme val="minor"/>
      </rPr>
      <t>)=</t>
    </r>
  </si>
  <si>
    <t>(largest dia. of longitudinal rebar in the beam)</t>
  </si>
  <si>
    <t>Clause 4.2.1 (a)</t>
  </si>
  <si>
    <t>NBC 105:2020 (Clause 4.2.1)</t>
  </si>
  <si>
    <t xml:space="preserve">     min. dim. of column=</t>
  </si>
  <si>
    <t>(Clause 4.2.1 (b)</t>
  </si>
  <si>
    <r>
      <t>20d</t>
    </r>
    <r>
      <rPr>
        <vertAlign val="subscript"/>
        <sz val="12"/>
        <color theme="1"/>
        <rFont val="Calibri"/>
        <family val="2"/>
        <scheme val="minor"/>
      </rPr>
      <t>b</t>
    </r>
    <r>
      <rPr>
        <sz val="12"/>
        <color theme="1"/>
        <rFont val="Calibri"/>
        <family val="2"/>
        <scheme val="minor"/>
      </rPr>
      <t>=</t>
    </r>
  </si>
  <si>
    <t>(Clause 4.2.1 (c)</t>
  </si>
  <si>
    <t xml:space="preserve">       width to depth ratio </t>
  </si>
  <si>
    <t xml:space="preserve">                Column width=</t>
  </si>
  <si>
    <t xml:space="preserve">               Column depth=</t>
  </si>
  <si>
    <t>numbers</t>
  </si>
  <si>
    <t>area</t>
  </si>
  <si>
    <t>Rebar dia.</t>
  </si>
  <si>
    <t>a</t>
  </si>
  <si>
    <t>b</t>
  </si>
  <si>
    <t>c</t>
  </si>
  <si>
    <t>feet</t>
  </si>
  <si>
    <t>inches</t>
  </si>
  <si>
    <t>Sides of Triangle</t>
  </si>
  <si>
    <t>Semi
Perimeter</t>
  </si>
  <si>
    <t>Area</t>
  </si>
  <si>
    <t>Triangle
No.</t>
  </si>
  <si>
    <t>Plot
No.</t>
  </si>
  <si>
    <t>sq.ft.</t>
  </si>
  <si>
    <t>ft.</t>
  </si>
  <si>
    <t>Total area</t>
  </si>
  <si>
    <t>Caution: Do not change/edit the datas</t>
  </si>
  <si>
    <t>Semi perimeter=</t>
  </si>
  <si>
    <t>Area=</t>
  </si>
  <si>
    <t xml:space="preserve">Area Calculation Table </t>
  </si>
  <si>
    <t>sq.ft</t>
  </si>
  <si>
    <t>m2</t>
  </si>
  <si>
    <t>Ropani</t>
  </si>
  <si>
    <t>Aana</t>
  </si>
  <si>
    <t>Paisa</t>
  </si>
  <si>
    <t>Daam</t>
  </si>
  <si>
    <t>R-A-P-D:</t>
  </si>
  <si>
    <t>GC=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</si>
</sst>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&quot;mm&quot;"/>
    <numFmt numFmtId="165" formatCode="&quot;&gt;&quot;#,##0.00"/>
    <numFmt numFmtId="166" formatCode="#0.00&quot; mm2&quot;"/>
    <numFmt numFmtId="167" formatCode="#0.00"/>
    <numFmt numFmtId="168" formatCode="#.00&quot; sq.ft.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b/>
      <u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9" fontId="0" fillId="2" borderId="0" xfId="2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0" fillId="3" borderId="0" xfId="0" applyNumberFormat="1" applyFill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0" fillId="4" borderId="0" xfId="0" applyNumberFormat="1" applyFill="1"/>
    <xf numFmtId="164" fontId="0" fillId="0" borderId="0" xfId="0" applyNumberFormat="1"/>
    <xf numFmtId="165" fontId="0" fillId="4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168" fontId="3" fillId="3" borderId="0" xfId="0" applyNumberFormat="1" applyFont="1" applyFill="1" applyAlignment="1">
      <alignment horizontal="left"/>
    </xf>
    <xf numFmtId="168" fontId="0" fillId="0" borderId="0" xfId="0" applyNumberFormat="1" applyAlignment="1">
      <alignment horizontal="left"/>
    </xf>
    <xf numFmtId="9" fontId="0" fillId="4" borderId="0" xfId="0" applyNumberFormat="1" applyFill="1"/>
    <xf numFmtId="0" fontId="0" fillId="4" borderId="0" xfId="0" applyFill="1"/>
    <xf numFmtId="2" fontId="0" fillId="2" borderId="0" xfId="1" applyNumberFormat="1" applyFont="1" applyFill="1" applyAlignment="1">
      <alignment horizontal="center"/>
    </xf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3" fillId="0" borderId="0" xfId="0" applyFont="1" applyProtection="1">
      <protection locked="0"/>
    </xf>
    <xf numFmtId="0" fontId="9" fillId="0" borderId="6" xfId="0" applyFont="1" applyBorder="1" applyProtection="1">
      <protection locked="0"/>
    </xf>
    <xf numFmtId="0" fontId="3" fillId="0" borderId="7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Continuous"/>
      <protection locked="0"/>
    </xf>
    <xf numFmtId="0" fontId="3" fillId="0" borderId="1" xfId="0" applyFont="1" applyBorder="1" applyAlignment="1" applyProtection="1">
      <alignment horizontal="centerContinuous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Continuous" vertical="center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Continuous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167" fontId="3" fillId="0" borderId="1" xfId="0" applyNumberFormat="1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1" xfId="0" applyFont="1" applyBorder="1" applyProtection="1">
      <protection locked="0"/>
    </xf>
    <xf numFmtId="2" fontId="3" fillId="0" borderId="0" xfId="0" applyNumberFormat="1" applyFont="1" applyProtection="1">
      <protection locked="0"/>
    </xf>
    <xf numFmtId="0" fontId="3" fillId="0" borderId="6" xfId="0" applyFont="1" applyBorder="1" applyProtection="1">
      <protection locked="0"/>
    </xf>
    <xf numFmtId="0" fontId="3" fillId="0" borderId="7" xfId="0" applyFont="1" applyBorder="1" applyAlignment="1" applyProtection="1">
      <alignment horizontal="centerContinuous"/>
      <protection locked="0"/>
    </xf>
    <xf numFmtId="0" fontId="3" fillId="0" borderId="2" xfId="0" applyFont="1" applyBorder="1" applyAlignment="1" applyProtection="1">
      <alignment horizontal="centerContinuous"/>
      <protection locked="0"/>
    </xf>
    <xf numFmtId="0" fontId="3" fillId="0" borderId="0" xfId="0" applyFont="1"/>
    <xf numFmtId="167" fontId="3" fillId="0" borderId="0" xfId="0" applyNumberFormat="1" applyFont="1"/>
    <xf numFmtId="0" fontId="0" fillId="0" borderId="0" xfId="0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377825</xdr:colOff>
      <xdr:row>14</xdr:row>
      <xdr:rowOff>161925</xdr:rowOff>
    </xdr:from>
    <xdr:ext cx="1494961" cy="2062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10F76BC-8063-4638-AD9C-D395842C0031}"/>
                </a:ext>
              </a:extLst>
            </xdr:cNvPr>
            <xdr:cNvSpPr txBox="1"/>
          </xdr:nvSpPr>
          <xdr:spPr>
            <a:xfrm>
              <a:off x="987425" y="2371725"/>
              <a:ext cx="1494961" cy="206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10F76BC-8063-4638-AD9C-D395842C0031}"/>
                </a:ext>
              </a:extLst>
            </xdr:cNvPr>
            <xdr:cNvSpPr txBox="1"/>
          </xdr:nvSpPr>
          <xdr:spPr>
            <a:xfrm>
              <a:off x="987425" y="2371725"/>
              <a:ext cx="1494961" cy="206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𝑠(𝑠−𝑎)(𝑠−𝑏)(𝑠−𝑐))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111125</xdr:colOff>
      <xdr:row>12</xdr:row>
      <xdr:rowOff>104775</xdr:rowOff>
    </xdr:from>
    <xdr:ext cx="598690" cy="3202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C39F2EA-BBA5-4F6F-90A8-96AC30991507}"/>
                </a:ext>
              </a:extLst>
            </xdr:cNvPr>
            <xdr:cNvSpPr txBox="1"/>
          </xdr:nvSpPr>
          <xdr:spPr>
            <a:xfrm>
              <a:off x="1597025" y="1958975"/>
              <a:ext cx="598690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C39F2EA-BBA5-4F6F-90A8-96AC30991507}"/>
                </a:ext>
              </a:extLst>
            </xdr:cNvPr>
            <xdr:cNvSpPr txBox="1"/>
          </xdr:nvSpPr>
          <xdr:spPr>
            <a:xfrm>
              <a:off x="1597025" y="1958975"/>
              <a:ext cx="598690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𝑎+𝑏+𝑐)/2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7"/>
  <sheetViews>
    <sheetView topLeftCell="B1" zoomScale="145" zoomScaleNormal="145" workbookViewId="0">
      <selection activeCell="D18" sqref="D18"/>
    </sheetView>
  </sheetViews>
  <sheetFormatPr defaultRowHeight="14.5" x14ac:dyDescent="0.35"/>
  <cols>
    <col min="2" max="2" width="13.1796875" customWidth="1"/>
    <col min="3" max="3" width="16.7265625" bestFit="1" customWidth="1"/>
    <col min="7" max="7" width="8.7265625" customWidth="1"/>
  </cols>
  <sheetData>
    <row r="2" spans="2:5" x14ac:dyDescent="0.35">
      <c r="B2" s="1" t="s">
        <v>0</v>
      </c>
    </row>
    <row r="4" spans="2:5" x14ac:dyDescent="0.35">
      <c r="B4" s="2" t="s">
        <v>1</v>
      </c>
      <c r="C4" s="18">
        <v>675.81</v>
      </c>
    </row>
    <row r="5" spans="2:5" x14ac:dyDescent="0.35">
      <c r="B5" s="2" t="s">
        <v>2</v>
      </c>
      <c r="C5" s="18">
        <v>1366.22</v>
      </c>
    </row>
    <row r="6" spans="2:5" x14ac:dyDescent="0.35">
      <c r="B6" s="2" t="s">
        <v>3</v>
      </c>
      <c r="C6" t="str">
        <f>CONCATENATE("(",C4,"/",C5,")*100",)</f>
        <v>(675.81/1366.22)*100</v>
      </c>
    </row>
    <row r="7" spans="2:5" x14ac:dyDescent="0.35">
      <c r="C7" s="3">
        <f>(C4/C5)</f>
        <v>0.49465679026803877</v>
      </c>
      <c r="D7" t="str">
        <f>IF((C7&lt;E7),"OK","NOT OK")</f>
        <v>OK</v>
      </c>
      <c r="E7" s="20">
        <v>0.7</v>
      </c>
    </row>
    <row r="9" spans="2:5" x14ac:dyDescent="0.35">
      <c r="B9" s="1" t="s">
        <v>4</v>
      </c>
    </row>
    <row r="11" spans="2:5" x14ac:dyDescent="0.35">
      <c r="B11" s="2" t="s">
        <v>5</v>
      </c>
      <c r="C11" s="18">
        <f>675.81+758.15+132.92</f>
        <v>1566.88</v>
      </c>
    </row>
    <row r="12" spans="2:5" x14ac:dyDescent="0.35">
      <c r="B12" s="2" t="s">
        <v>2</v>
      </c>
      <c r="C12" s="19">
        <f>+C5</f>
        <v>1366.22</v>
      </c>
    </row>
    <row r="13" spans="2:5" x14ac:dyDescent="0.35">
      <c r="B13" s="2" t="s">
        <v>6</v>
      </c>
      <c r="C13" t="str">
        <f>CONCATENATE("(",C11,"/",C12,")",)</f>
        <v>(1566.88/1366.22)</v>
      </c>
    </row>
    <row r="14" spans="2:5" x14ac:dyDescent="0.35">
      <c r="C14" s="22">
        <f>(C11/C12)</f>
        <v>1.1468723924404562</v>
      </c>
      <c r="D14" t="str">
        <f>IF((C14&lt;E14),"OK", "NOT OK")</f>
        <v>OK</v>
      </c>
      <c r="E14" s="21">
        <v>3.5</v>
      </c>
    </row>
    <row r="16" spans="2:5" x14ac:dyDescent="0.35">
      <c r="B16" s="2" t="s">
        <v>46</v>
      </c>
      <c r="C16" s="23">
        <f>+C7</f>
        <v>0.49465679026803877</v>
      </c>
    </row>
    <row r="17" spans="2:3" x14ac:dyDescent="0.35">
      <c r="B17" s="2" t="s">
        <v>6</v>
      </c>
      <c r="C17" s="24">
        <f>+C14</f>
        <v>1.1468723924404562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1AF0-E012-4651-91ED-A8D7B2716FED}">
  <dimension ref="A3:F29"/>
  <sheetViews>
    <sheetView view="pageBreakPreview" topLeftCell="A12" zoomScale="160" zoomScaleNormal="140" zoomScaleSheetLayoutView="160" workbookViewId="0">
      <selection activeCell="C17" sqref="C17"/>
    </sheetView>
  </sheetViews>
  <sheetFormatPr defaultRowHeight="14.5" x14ac:dyDescent="0.35"/>
  <cols>
    <col min="1" max="1" width="9.54296875" customWidth="1"/>
    <col min="2" max="2" width="12.90625" customWidth="1"/>
    <col min="3" max="3" width="11.1796875" bestFit="1" customWidth="1"/>
    <col min="5" max="5" width="11.1796875" bestFit="1" customWidth="1"/>
    <col min="8" max="8" width="11.1796875" bestFit="1" customWidth="1"/>
  </cols>
  <sheetData>
    <row r="3" spans="1:4" ht="21" x14ac:dyDescent="0.5">
      <c r="A3" s="5" t="s">
        <v>7</v>
      </c>
    </row>
    <row r="4" spans="1:4" ht="21" x14ac:dyDescent="0.5">
      <c r="A4" s="6" t="s">
        <v>11</v>
      </c>
    </row>
    <row r="6" spans="1:4" x14ac:dyDescent="0.35">
      <c r="A6" s="4" t="s">
        <v>10</v>
      </c>
    </row>
    <row r="7" spans="1:4" ht="17.5" x14ac:dyDescent="0.45">
      <c r="A7" s="7" t="s">
        <v>8</v>
      </c>
      <c r="C7" s="8">
        <v>16</v>
      </c>
      <c r="D7" t="s">
        <v>9</v>
      </c>
    </row>
    <row r="9" spans="1:4" ht="17.5" x14ac:dyDescent="0.45">
      <c r="B9" s="10" t="s">
        <v>14</v>
      </c>
      <c r="C9" t="str">
        <f>CONCATENATE("20*",C7,)</f>
        <v>20*16</v>
      </c>
    </row>
    <row r="10" spans="1:4" ht="15.5" x14ac:dyDescent="0.35">
      <c r="B10" s="10"/>
      <c r="C10" s="12">
        <f>20*C7</f>
        <v>320</v>
      </c>
    </row>
    <row r="11" spans="1:4" ht="15.5" x14ac:dyDescent="0.35">
      <c r="B11" s="10"/>
      <c r="C11" s="13"/>
    </row>
    <row r="12" spans="1:4" ht="15.5" x14ac:dyDescent="0.35">
      <c r="A12" s="4" t="s">
        <v>13</v>
      </c>
      <c r="B12" s="10"/>
      <c r="C12" s="13"/>
    </row>
    <row r="13" spans="1:4" x14ac:dyDescent="0.35">
      <c r="A13" s="11" t="s">
        <v>12</v>
      </c>
      <c r="C13" s="12">
        <v>300</v>
      </c>
    </row>
    <row r="15" spans="1:4" x14ac:dyDescent="0.35">
      <c r="A15" s="4" t="s">
        <v>15</v>
      </c>
    </row>
    <row r="16" spans="1:4" x14ac:dyDescent="0.35">
      <c r="A16" t="s">
        <v>16</v>
      </c>
      <c r="C16" s="14">
        <v>0.45</v>
      </c>
    </row>
    <row r="19" spans="1:6" x14ac:dyDescent="0.35">
      <c r="A19" t="s">
        <v>17</v>
      </c>
      <c r="C19" s="17">
        <v>350</v>
      </c>
    </row>
    <row r="20" spans="1:6" x14ac:dyDescent="0.35">
      <c r="A20" t="s">
        <v>18</v>
      </c>
      <c r="C20" s="17">
        <v>350</v>
      </c>
    </row>
    <row r="23" spans="1:6" x14ac:dyDescent="0.35">
      <c r="A23" t="s">
        <v>21</v>
      </c>
      <c r="B23" s="9" t="s">
        <v>19</v>
      </c>
      <c r="C23" t="s">
        <v>20</v>
      </c>
    </row>
    <row r="24" spans="1:6" x14ac:dyDescent="0.35">
      <c r="A24" s="16">
        <v>20</v>
      </c>
      <c r="B24" s="9">
        <v>0</v>
      </c>
      <c r="C24" s="15">
        <f>(PI()/4)*A24*A24</f>
        <v>314.15926535897933</v>
      </c>
      <c r="D24" s="2">
        <f>B24*C24</f>
        <v>0</v>
      </c>
      <c r="E24" s="15"/>
    </row>
    <row r="25" spans="1:6" x14ac:dyDescent="0.35">
      <c r="A25" s="16">
        <v>16</v>
      </c>
      <c r="B25" s="9">
        <v>2</v>
      </c>
      <c r="C25" s="15">
        <f t="shared" ref="C25:C28" si="0">(PI()/4)*A25*A25</f>
        <v>201.06192982974676</v>
      </c>
      <c r="D25" s="52">
        <f t="shared" ref="D25:D28" si="1">B25*C25</f>
        <v>402.12385965949352</v>
      </c>
    </row>
    <row r="26" spans="1:6" x14ac:dyDescent="0.35">
      <c r="A26" s="16">
        <v>12</v>
      </c>
      <c r="B26" s="9">
        <v>0</v>
      </c>
      <c r="C26" s="15">
        <f t="shared" si="0"/>
        <v>113.09733552923255</v>
      </c>
      <c r="D26" s="2">
        <f t="shared" si="1"/>
        <v>0</v>
      </c>
    </row>
    <row r="27" spans="1:6" x14ac:dyDescent="0.35">
      <c r="A27" s="16">
        <v>10</v>
      </c>
      <c r="B27" s="9">
        <v>0</v>
      </c>
      <c r="C27" s="15">
        <f t="shared" si="0"/>
        <v>78.539816339744831</v>
      </c>
      <c r="D27" s="2">
        <f t="shared" si="1"/>
        <v>0</v>
      </c>
    </row>
    <row r="28" spans="1:6" x14ac:dyDescent="0.35">
      <c r="A28" s="16">
        <v>8</v>
      </c>
      <c r="B28" s="9">
        <v>0</v>
      </c>
      <c r="C28" s="15">
        <f t="shared" si="0"/>
        <v>50.26548245743669</v>
      </c>
      <c r="D28" s="2">
        <f t="shared" si="1"/>
        <v>0</v>
      </c>
      <c r="F28">
        <v>1082</v>
      </c>
    </row>
    <row r="29" spans="1:6" x14ac:dyDescent="0.35">
      <c r="D29" s="2">
        <f>SUM(D24:D28)</f>
        <v>402.12385965949352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4F22-7824-4FAF-9A8E-389F6240CD36}">
  <dimension ref="A1:U16"/>
  <sheetViews>
    <sheetView showGridLines="0" tabSelected="1" zoomScale="90" zoomScaleNormal="90" zoomScaleSheetLayoutView="130" workbookViewId="0">
      <selection activeCell="P6" sqref="P6 R6"/>
    </sheetView>
  </sheetViews>
  <sheetFormatPr defaultRowHeight="14" x14ac:dyDescent="0.3"/>
  <cols>
    <col min="1" max="1" width="8.7265625" style="25"/>
    <col min="2" max="2" width="7.6328125" style="25" customWidth="1"/>
    <col min="3" max="3" width="4.90625" style="25" customWidth="1"/>
    <col min="4" max="4" width="6" style="25" customWidth="1"/>
    <col min="5" max="5" width="4.90625" style="25" customWidth="1"/>
    <col min="6" max="6" width="6" style="25" customWidth="1"/>
    <col min="7" max="7" width="4.90625" style="25" customWidth="1"/>
    <col min="8" max="8" width="6.7265625" style="25" customWidth="1"/>
    <col min="9" max="9" width="8.7265625" style="25"/>
    <col min="10" max="10" width="10.6328125" style="25" customWidth="1"/>
    <col min="11" max="16384" width="8.7265625" style="25"/>
  </cols>
  <sheetData>
    <row r="1" spans="1:21" x14ac:dyDescent="0.3">
      <c r="P1" s="25" t="s">
        <v>35</v>
      </c>
    </row>
    <row r="2" spans="1:21" ht="20" x14ac:dyDescent="0.4">
      <c r="A2" s="26" t="s">
        <v>38</v>
      </c>
      <c r="B2" s="27"/>
      <c r="C2" s="27"/>
      <c r="D2" s="27"/>
      <c r="E2" s="27"/>
      <c r="F2" s="27"/>
      <c r="G2" s="27"/>
      <c r="H2" s="27"/>
      <c r="I2" s="27"/>
      <c r="J2" s="28"/>
    </row>
    <row r="3" spans="1:21" ht="42" x14ac:dyDescent="0.3">
      <c r="A3" s="29" t="s">
        <v>31</v>
      </c>
      <c r="B3" s="30" t="s">
        <v>30</v>
      </c>
      <c r="C3" s="31" t="s">
        <v>27</v>
      </c>
      <c r="D3" s="31"/>
      <c r="E3" s="31"/>
      <c r="F3" s="31"/>
      <c r="G3" s="31"/>
      <c r="H3" s="31"/>
      <c r="I3" s="32" t="s">
        <v>28</v>
      </c>
      <c r="J3" s="33" t="s">
        <v>29</v>
      </c>
    </row>
    <row r="4" spans="1:21" x14ac:dyDescent="0.3">
      <c r="A4" s="29"/>
      <c r="B4" s="30"/>
      <c r="C4" s="34" t="s">
        <v>22</v>
      </c>
      <c r="D4" s="34"/>
      <c r="E4" s="34" t="s">
        <v>23</v>
      </c>
      <c r="F4" s="34"/>
      <c r="G4" s="34" t="s">
        <v>24</v>
      </c>
      <c r="H4" s="34"/>
      <c r="I4" s="35"/>
      <c r="J4" s="33"/>
      <c r="K4" s="36"/>
      <c r="P4" s="50" t="s">
        <v>20</v>
      </c>
      <c r="Q4" s="50"/>
      <c r="R4" s="50" t="s">
        <v>41</v>
      </c>
      <c r="S4" s="50" t="s">
        <v>42</v>
      </c>
      <c r="T4" s="50" t="s">
        <v>43</v>
      </c>
      <c r="U4" s="50" t="s">
        <v>44</v>
      </c>
    </row>
    <row r="5" spans="1:21" x14ac:dyDescent="0.3">
      <c r="A5" s="37"/>
      <c r="B5" s="38"/>
      <c r="C5" s="39" t="s">
        <v>25</v>
      </c>
      <c r="D5" s="39" t="s">
        <v>26</v>
      </c>
      <c r="E5" s="39" t="s">
        <v>25</v>
      </c>
      <c r="F5" s="39" t="s">
        <v>26</v>
      </c>
      <c r="G5" s="39" t="s">
        <v>25</v>
      </c>
      <c r="H5" s="39" t="s">
        <v>26</v>
      </c>
      <c r="I5" s="39" t="s">
        <v>33</v>
      </c>
      <c r="J5" s="39" t="s">
        <v>32</v>
      </c>
      <c r="K5" s="40"/>
      <c r="P5" s="50" t="s">
        <v>39</v>
      </c>
      <c r="Q5" s="50" t="s">
        <v>40</v>
      </c>
      <c r="R5" s="50"/>
      <c r="S5" s="50"/>
      <c r="T5" s="50"/>
      <c r="U5" s="50"/>
    </row>
    <row r="6" spans="1:21" x14ac:dyDescent="0.3">
      <c r="A6" s="41">
        <v>114</v>
      </c>
      <c r="B6" s="38">
        <v>1</v>
      </c>
      <c r="C6" s="42">
        <v>36</v>
      </c>
      <c r="D6" s="42">
        <v>0</v>
      </c>
      <c r="E6" s="42">
        <v>37</v>
      </c>
      <c r="F6" s="42">
        <v>8</v>
      </c>
      <c r="G6" s="42">
        <v>51</v>
      </c>
      <c r="H6" s="42">
        <v>2</v>
      </c>
      <c r="I6" s="43">
        <f>(C6+E6+G6+(D6/12)+(F6/12)+(H6/12))/2</f>
        <v>62.416666666666671</v>
      </c>
      <c r="J6" s="43">
        <f>SQRT(TRUNC(I6,6)*(TRUNC(I6,6)-(C6+(D6/12)))*(TRUNC(I6,6)-(E6+(F6/12)))*(TRUNC(I6,6)-(G6+(H6/12))))</f>
        <v>677.56837941413573</v>
      </c>
      <c r="K6" s="40"/>
      <c r="P6" s="51">
        <f>+J11</f>
        <v>3052.9068646637638</v>
      </c>
      <c r="Q6" s="50">
        <f>P6/10.7639</f>
        <v>283.62460304014007</v>
      </c>
      <c r="R6" s="50">
        <f>FLOOR(P6/5476,1)</f>
        <v>0</v>
      </c>
      <c r="S6" s="50">
        <f>FLOOR((P6/342.25),1)-(16*R6)</f>
        <v>8</v>
      </c>
      <c r="T6" s="50">
        <f>FLOOR(P6/85.5625,1)-(R6*64)-(S6*4)</f>
        <v>3</v>
      </c>
      <c r="U6" s="51">
        <f>(P6/21.39)-(R6*256)-(S6*16)-(T6*4)</f>
        <v>2.7258936261694089</v>
      </c>
    </row>
    <row r="7" spans="1:21" x14ac:dyDescent="0.3">
      <c r="A7" s="41"/>
      <c r="B7" s="38">
        <v>2</v>
      </c>
      <c r="C7" s="39">
        <f t="shared" ref="C7:D10" si="0">+G6</f>
        <v>51</v>
      </c>
      <c r="D7" s="39">
        <f t="shared" si="0"/>
        <v>2</v>
      </c>
      <c r="E7" s="42">
        <v>40</v>
      </c>
      <c r="F7" s="42">
        <v>0</v>
      </c>
      <c r="G7" s="42">
        <v>34</v>
      </c>
      <c r="H7" s="42">
        <v>6</v>
      </c>
      <c r="I7" s="43">
        <f>(C7+E7+G7+(D7/12)+(F7/12)+(H7/12))/2</f>
        <v>62.833333333333336</v>
      </c>
      <c r="J7" s="43">
        <f>SQRT(TRUNC(I7,6)*(TRUNC(I7,6)-(C7+(D7/12)))*(TRUNC(I7,6)-(E7+(F7/12)))*(TRUNC(I7,6)-(G7+(H7/12))))</f>
        <v>688.65534962515653</v>
      </c>
      <c r="K7" s="40"/>
    </row>
    <row r="8" spans="1:21" x14ac:dyDescent="0.3">
      <c r="A8" s="41"/>
      <c r="B8" s="38">
        <v>3</v>
      </c>
      <c r="C8" s="39">
        <f t="shared" si="0"/>
        <v>34</v>
      </c>
      <c r="D8" s="39">
        <f t="shared" si="0"/>
        <v>6</v>
      </c>
      <c r="E8" s="42">
        <v>40</v>
      </c>
      <c r="F8" s="42">
        <v>0</v>
      </c>
      <c r="G8" s="42">
        <v>34</v>
      </c>
      <c r="H8" s="42">
        <v>6</v>
      </c>
      <c r="I8" s="43">
        <f>(C8+E8+G8+(D8/12)+(F8/12)+(H8/12))/2</f>
        <v>54.5</v>
      </c>
      <c r="J8" s="43">
        <f>SQRT(TRUNC(I8,6)*(TRUNC(I8,6)-(C8+(D8/12)))*(TRUNC(I8,6)-(E8+(F8/12)))*(TRUNC(I8,6)-(G8+(H8/12))))</f>
        <v>562.22771187482385</v>
      </c>
      <c r="K8" s="40"/>
    </row>
    <row r="9" spans="1:21" x14ac:dyDescent="0.3">
      <c r="A9" s="41"/>
      <c r="B9" s="38">
        <v>4</v>
      </c>
      <c r="C9" s="39">
        <f t="shared" si="0"/>
        <v>34</v>
      </c>
      <c r="D9" s="39">
        <f t="shared" si="0"/>
        <v>6</v>
      </c>
      <c r="E9" s="42">
        <v>40</v>
      </c>
      <c r="F9" s="42">
        <v>0</v>
      </c>
      <c r="G9" s="42">
        <v>34</v>
      </c>
      <c r="H9" s="42">
        <v>6</v>
      </c>
      <c r="I9" s="43">
        <f>(C9+E9+G9+(D9/12)+(F9/12)+(H9/12))/2</f>
        <v>54.5</v>
      </c>
      <c r="J9" s="43">
        <f>SQRT(TRUNC(I9,6)*(TRUNC(I9,6)-(C9+(D9/12)))*(TRUNC(I9,6)-(E9+(F9/12)))*(TRUNC(I9,6)-(G9+(H9/12))))</f>
        <v>562.22771187482385</v>
      </c>
      <c r="K9" s="40"/>
    </row>
    <row r="10" spans="1:21" x14ac:dyDescent="0.3">
      <c r="A10" s="41"/>
      <c r="B10" s="38">
        <v>5</v>
      </c>
      <c r="C10" s="39">
        <f t="shared" si="0"/>
        <v>34</v>
      </c>
      <c r="D10" s="39">
        <f t="shared" si="0"/>
        <v>6</v>
      </c>
      <c r="E10" s="42">
        <v>40</v>
      </c>
      <c r="F10" s="42">
        <v>0</v>
      </c>
      <c r="G10" s="42">
        <v>34</v>
      </c>
      <c r="H10" s="42">
        <v>6</v>
      </c>
      <c r="I10" s="43">
        <f>(C10+E10+G10+(D10/12)+(F10/12)+(H10/12))/2</f>
        <v>54.5</v>
      </c>
      <c r="J10" s="43">
        <f>SQRT(TRUNC(I10,6)*(TRUNC(I10,6)-(C10+(D10/12)))*(TRUNC(I10,6)-(E10+(F10/12)))*(TRUNC(I10,6)-(G10+(H10/12))))</f>
        <v>562.22771187482385</v>
      </c>
      <c r="K10" s="40"/>
    </row>
    <row r="11" spans="1:21" x14ac:dyDescent="0.3">
      <c r="A11" s="44"/>
      <c r="B11" s="28"/>
      <c r="C11" s="45"/>
      <c r="D11" s="45"/>
      <c r="E11" s="45"/>
      <c r="F11" s="45"/>
      <c r="G11" s="45"/>
      <c r="H11" s="45" t="s">
        <v>34</v>
      </c>
      <c r="I11" s="45"/>
      <c r="J11" s="43">
        <f>SUM(J6:J10)</f>
        <v>3052.9068646637638</v>
      </c>
      <c r="K11" s="46">
        <f>J11*0.0929</f>
        <v>283.61504772726363</v>
      </c>
    </row>
    <row r="12" spans="1:21" x14ac:dyDescent="0.3">
      <c r="A12" s="47"/>
      <c r="B12" s="27"/>
      <c r="C12" s="27"/>
      <c r="D12" s="27"/>
      <c r="E12" s="27"/>
      <c r="F12" s="27"/>
      <c r="G12" s="27"/>
      <c r="H12" s="27" t="s">
        <v>45</v>
      </c>
      <c r="I12" s="48"/>
      <c r="J12" s="49" t="str">
        <f>CONCATENATE(R6,"-",S6,"-",T6,"-",ROUND(U6,2))</f>
        <v>0-8-3-2.73</v>
      </c>
    </row>
    <row r="14" spans="1:21" x14ac:dyDescent="0.3">
      <c r="B14" s="25" t="s">
        <v>36</v>
      </c>
    </row>
    <row r="16" spans="1:21" x14ac:dyDescent="0.3">
      <c r="B16" s="25" t="s">
        <v>37</v>
      </c>
    </row>
  </sheetData>
  <sheetProtection algorithmName="SHA-512" hashValue="xuRp7FS7daL6bKW0q9wbuWSvD0WExpTB2g6703N3lVUdt4zZ6alxiZmajuU75HTHS/guVIdwX8hSLhedw63+Pw==" saltValue="QVJXh+wLKYnb8bFc9Nf7fg==" spinCount="100000" sheet="1" objects="1" scenarios="1"/>
  <pageMargins left="0.7" right="0.7" top="0.75" bottom="0.75" header="0.3" footer="0.3"/>
  <pageSetup paperSize="9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FAR-GC</vt:lpstr>
      <vt:lpstr>Column dimension</vt:lpstr>
      <vt:lpstr>Area Calculation</vt:lpstr>
      <vt:lpstr>'Area Calculation'!Print_Area</vt:lpstr>
      <vt:lpstr>'Column dimension'!Print_Area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summon balami</dc:creator>
  <cp:lastModifiedBy>summon balami</cp:lastModifiedBy>
  <cp:lastPrinted>2022-07-30T13:12:43Z</cp:lastPrinted>
  <dcterms:created xsi:type="dcterms:W3CDTF">2015-06-05T18:17:20Z</dcterms:created>
  <dcterms:modified xsi:type="dcterms:W3CDTF">2022-09-08T09:10:43Z</dcterms:modified>
</cp:coreProperties>
</file>