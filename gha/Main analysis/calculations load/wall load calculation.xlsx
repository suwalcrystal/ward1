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F5FB399-DA0B-4133-9294-6097EED7333A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Interpoaltion" sheetId="1" r:id="rId1"/>
    <sheet name="wall load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D18" i="2"/>
  <c r="D17" i="2"/>
  <c r="D16" i="2"/>
  <c r="D15" i="2"/>
  <c r="F8" i="3" l="1"/>
  <c r="D7" i="3"/>
  <c r="P17" i="2"/>
  <c r="Q17" i="2"/>
  <c r="Q5" i="2" s="1"/>
  <c r="P15" i="2"/>
  <c r="Q19" i="2"/>
  <c r="Q10" i="2" s="1"/>
  <c r="S10" i="2" s="1"/>
  <c r="P19" i="2"/>
  <c r="Q18" i="2"/>
  <c r="R5" i="2" s="1"/>
  <c r="P18" i="2"/>
  <c r="Q16" i="2"/>
  <c r="R4" i="2" s="1"/>
  <c r="P16" i="2"/>
  <c r="Q15" i="2"/>
  <c r="Q4" i="2" s="1"/>
  <c r="T5" i="2" l="1"/>
  <c r="W5" i="2" s="1"/>
  <c r="R8" i="2"/>
  <c r="T8" i="2" s="1"/>
  <c r="W8" i="2" s="1"/>
  <c r="T4" i="2"/>
  <c r="W4" i="2" s="1"/>
  <c r="R7" i="2"/>
  <c r="T7" i="2" s="1"/>
  <c r="W7" i="2" s="1"/>
  <c r="S4" i="2"/>
  <c r="V4" i="2" s="1"/>
  <c r="Q7" i="2"/>
  <c r="S7" i="2" s="1"/>
  <c r="V7" i="2" s="1"/>
  <c r="S5" i="2"/>
  <c r="V5" i="2" s="1"/>
  <c r="Q8" i="2"/>
  <c r="S8" i="2" s="1"/>
  <c r="V8" i="2" s="1"/>
  <c r="E19" i="2"/>
  <c r="E10" i="2" s="1"/>
  <c r="G10" i="2" s="1"/>
  <c r="E18" i="2"/>
  <c r="F5" i="2" s="1"/>
  <c r="B4" i="3"/>
  <c r="B6" i="3"/>
  <c r="B8" i="3"/>
  <c r="B10" i="3"/>
  <c r="B12" i="3"/>
  <c r="B2" i="3"/>
  <c r="E17" i="2"/>
  <c r="E5" i="2" s="1"/>
  <c r="E16" i="2"/>
  <c r="F4" i="2" s="1"/>
  <c r="E15" i="2"/>
  <c r="E4" i="2" s="1"/>
  <c r="C3" i="1"/>
  <c r="I10" i="3" l="1"/>
  <c r="J10" i="3"/>
  <c r="E10" i="3"/>
  <c r="E12" i="3"/>
  <c r="I12" i="3"/>
  <c r="J12" i="3"/>
  <c r="E8" i="3"/>
  <c r="I8" i="3"/>
  <c r="J8" i="3"/>
  <c r="I6" i="3"/>
  <c r="E6" i="3"/>
  <c r="J6" i="3"/>
  <c r="J2" i="3"/>
  <c r="I2" i="3"/>
  <c r="E2" i="3"/>
  <c r="J4" i="3"/>
  <c r="E4" i="3"/>
  <c r="I4" i="3"/>
  <c r="G4" i="2"/>
  <c r="J4" i="2" s="1"/>
  <c r="E7" i="2"/>
  <c r="G7" i="2" s="1"/>
  <c r="J7" i="2" s="1"/>
  <c r="H4" i="2"/>
  <c r="K4" i="2" s="1"/>
  <c r="F7" i="2"/>
  <c r="H7" i="2" s="1"/>
  <c r="K7" i="2" s="1"/>
  <c r="G5" i="2"/>
  <c r="J5" i="2" s="1"/>
  <c r="E8" i="2"/>
  <c r="G8" i="2" s="1"/>
  <c r="J8" i="2" s="1"/>
  <c r="F8" i="2"/>
  <c r="H8" i="2" s="1"/>
  <c r="K8" i="2" s="1"/>
  <c r="H5" i="2"/>
  <c r="K5" i="2" s="1"/>
  <c r="C8" i="3"/>
  <c r="G8" i="3"/>
  <c r="K8" i="3"/>
  <c r="K10" i="3"/>
  <c r="C10" i="3"/>
  <c r="G10" i="3"/>
  <c r="G12" i="3"/>
  <c r="C12" i="3"/>
  <c r="K12" i="3"/>
  <c r="G2" i="3"/>
  <c r="K2" i="3"/>
  <c r="C2" i="3"/>
  <c r="K4" i="3"/>
  <c r="C4" i="3"/>
  <c r="G4" i="3"/>
  <c r="G6" i="3"/>
  <c r="K6" i="3"/>
  <c r="C6" i="3"/>
  <c r="L11" i="3" l="1"/>
  <c r="L9" i="3"/>
  <c r="L7" i="3"/>
</calcChain>
</file>

<file path=xl/sharedStrings.xml><?xml version="1.0" encoding="utf-8"?>
<sst xmlns="http://schemas.openxmlformats.org/spreadsheetml/2006/main" count="282" uniqueCount="94">
  <si>
    <t>y-y1=((y2-y1)/(x2-x1))*(x-x1)</t>
  </si>
  <si>
    <t>x</t>
  </si>
  <si>
    <t>y</t>
  </si>
  <si>
    <t>Wall Type</t>
  </si>
  <si>
    <t>Breadth</t>
  </si>
  <si>
    <t>Unit weight</t>
  </si>
  <si>
    <t>Load Intensity</t>
  </si>
  <si>
    <t>Without Opening</t>
  </si>
  <si>
    <t>m</t>
  </si>
  <si>
    <t>230mm</t>
  </si>
  <si>
    <t>230*115*57</t>
  </si>
  <si>
    <t>Brick size</t>
  </si>
  <si>
    <t>115mm</t>
  </si>
  <si>
    <t>Height (m)</t>
  </si>
  <si>
    <t>Upto Beam</t>
  </si>
  <si>
    <t>Upto Slab</t>
  </si>
  <si>
    <t>KN/m3</t>
  </si>
  <si>
    <t>inch</t>
  </si>
  <si>
    <t>meter</t>
  </si>
  <si>
    <t>Steel size dia (mm)</t>
  </si>
  <si>
    <t>Steel bar area (A)</t>
  </si>
  <si>
    <t>2A</t>
  </si>
  <si>
    <t>4A</t>
  </si>
  <si>
    <t>8A</t>
  </si>
  <si>
    <t>4-16mm + 4-20mm</t>
  </si>
  <si>
    <t>For beam 6-12mm</t>
  </si>
  <si>
    <t>Floor</t>
  </si>
  <si>
    <t>GF &amp; FF</t>
  </si>
  <si>
    <t>SF &amp; above</t>
  </si>
  <si>
    <t>All</t>
  </si>
  <si>
    <t>With 25% opening</t>
  </si>
  <si>
    <t>S.N.</t>
  </si>
  <si>
    <t>Grid Location</t>
  </si>
  <si>
    <t>Column Size</t>
  </si>
  <si>
    <t>Ground Floor</t>
  </si>
  <si>
    <t>First Floor</t>
  </si>
  <si>
    <t>Top Floor</t>
  </si>
  <si>
    <t>Stirrups</t>
  </si>
  <si>
    <t>350 x 350</t>
  </si>
  <si>
    <t>8-20Ø</t>
  </si>
  <si>
    <t>4-20Ø 4-16Ø</t>
  </si>
  <si>
    <t>B5</t>
  </si>
  <si>
    <t>C3</t>
  </si>
  <si>
    <t>C4</t>
  </si>
  <si>
    <t>A6</t>
  </si>
  <si>
    <t>4-25Ø 4-20Ø</t>
  </si>
  <si>
    <t>Second Floor</t>
  </si>
  <si>
    <t>Third Floor</t>
  </si>
  <si>
    <t>8-16Ø</t>
  </si>
  <si>
    <t>8-25Ø</t>
  </si>
  <si>
    <t>D6</t>
  </si>
  <si>
    <t>D5</t>
  </si>
  <si>
    <t>D4</t>
  </si>
  <si>
    <t>D3</t>
  </si>
  <si>
    <t>D2</t>
  </si>
  <si>
    <t>E6</t>
  </si>
  <si>
    <t>E5</t>
  </si>
  <si>
    <t>E4</t>
  </si>
  <si>
    <t>E3</t>
  </si>
  <si>
    <t>E2</t>
  </si>
  <si>
    <t>8mm C/C (at top and bottom) @100mm&amp; @ 150 8mm C/C (at mid height) in all columns</t>
  </si>
  <si>
    <t>3A</t>
  </si>
  <si>
    <t>5A</t>
  </si>
  <si>
    <t>6A</t>
  </si>
  <si>
    <t>SN</t>
  </si>
  <si>
    <t>Type of beam</t>
  </si>
  <si>
    <t>Size of beam</t>
  </si>
  <si>
    <t>Direction</t>
  </si>
  <si>
    <t>Top</t>
  </si>
  <si>
    <t>Bottom</t>
  </si>
  <si>
    <t>Reinforcement detail at support</t>
  </si>
  <si>
    <t>Reinforcement detail at center</t>
  </si>
  <si>
    <t>Tie beam</t>
  </si>
  <si>
    <t>X-dir</t>
  </si>
  <si>
    <t>Y-dir</t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</si>
  <si>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</si>
  <si>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</si>
  <si>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Th+1-16mmφ Ex</t>
    </r>
  </si>
  <si>
    <t>First &amp; second floor Main beam</t>
  </si>
  <si>
    <t>Ground floor secondary beam</t>
  </si>
  <si>
    <t>Ground floor main beam</t>
  </si>
  <si>
    <t>304.8*431.8</t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</si>
  <si>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+1-16mmφ Ex</t>
    </r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</si>
  <si>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+2-12mmφ Ex</t>
    </r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</si>
  <si>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+2-16mmφ Ex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</si>
  <si>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+1-12mmφ Ex</t>
    </r>
  </si>
  <si>
    <t>Third &amp; fourth floor Main beam</t>
  </si>
  <si>
    <t>230*355.6</t>
  </si>
  <si>
    <r>
      <t>3-16mm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</t>
    </r>
    <r>
      <rPr>
        <sz val="11"/>
        <color theme="1"/>
        <rFont val="Calibri"/>
        <family val="2"/>
        <scheme val="minor"/>
      </rPr>
      <t xml:space="preserve"> 2-16mmφ Ex</t>
    </r>
  </si>
  <si>
    <r>
      <t>2-16mm</t>
    </r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</rPr>
      <t xml:space="preserve"> Th +1-16mmφ Ex +1-12mmφ Ex</t>
    </r>
  </si>
  <si>
    <t>Roof floor Main beam</t>
  </si>
  <si>
    <t>First &amp; second floor Secondary beam</t>
  </si>
  <si>
    <t>Third &amp; fourth floor Secondary beam</t>
  </si>
  <si>
    <t>Roof floor Secondary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</si>
</sst>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/>
    <xf numFmtId="2" fontId="0" fillId="0" borderId="3" xfId="0" applyNumberForma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/>
    <xf numFmtId="2" fontId="0" fillId="0" borderId="0" xfId="0" applyNumberFormat="1"/>
    <xf numFmtId="0" fontId="0" fillId="3" borderId="1" xfId="0" applyFill="1" applyBorder="1"/>
    <xf numFmtId="2" fontId="0" fillId="3" borderId="1" xfId="0" applyNumberForma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B4" sqref="B4"/>
    </sheetView>
  </sheetViews>
  <sheetFormatPr defaultRowHeight="15" x14ac:dyDescent="0.25"/>
  <sheetData>
    <row r="1" spans="2:5" x14ac:dyDescent="0.25">
      <c r="B1" t="s">
        <v>1</v>
      </c>
      <c r="C1" t="s">
        <v>2</v>
      </c>
    </row>
    <row r="2" spans="2:5" x14ac:dyDescent="0.25">
      <c r="B2">
        <v>0.5</v>
      </c>
      <c r="C2">
        <v>1</v>
      </c>
    </row>
    <row r="3" spans="2:5" x14ac:dyDescent="0.25">
      <c r="B3">
        <v>0.71799999999999997</v>
      </c>
      <c r="C3">
        <f>(((C4-C2)/(B4-B2))*(B3-B2))+C2</f>
        <v>1.109</v>
      </c>
      <c r="E3" t="s">
        <v>0</v>
      </c>
    </row>
    <row r="4" spans="2:5" x14ac:dyDescent="0.25">
      <c r="B4">
        <v>2.5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F103-52A0-4D11-811D-43BFE2FAABA8}">
  <dimension ref="A1:W19"/>
  <sheetViews>
    <sheetView workbookViewId="0">
      <selection activeCell="D20" sqref="D20"/>
    </sheetView>
  </sheetViews>
  <sheetFormatPr defaultRowHeight="15" x14ac:dyDescent="0.25"/>
  <cols>
    <col min="1" max="1" width="11" bestFit="1" customWidth="1"/>
    <col min="2" max="2" width="11" customWidth="1"/>
    <col min="3" max="3" width="11.28515625" customWidth="1"/>
    <col min="4" max="4" width="8" customWidth="1"/>
    <col min="5" max="5" width="10.7109375" customWidth="1"/>
    <col min="6" max="6" width="9.42578125" customWidth="1"/>
    <col min="7" max="8" width="11" bestFit="1" customWidth="1"/>
    <col min="9" max="9" width="11" customWidth="1"/>
    <col min="10" max="11" width="11" bestFit="1" customWidth="1"/>
    <col min="13" max="13" width="11" hidden="1" customWidth="1"/>
    <col min="14" max="15" width="0" hidden="1" customWidth="1"/>
    <col min="16" max="16" width="8" hidden="1" customWidth="1"/>
    <col min="17" max="17" width="10.85546875" hidden="1" customWidth="1"/>
    <col min="18" max="18" width="9.5703125" hidden="1" customWidth="1"/>
    <col min="19" max="19" width="10.85546875" hidden="1" customWidth="1"/>
    <col min="20" max="20" width="9.5703125" hidden="1" customWidth="1"/>
    <col min="21" max="21" width="0" hidden="1" customWidth="1"/>
    <col min="22" max="22" width="10.85546875" hidden="1" customWidth="1"/>
    <col min="23" max="23" width="9.5703125" hidden="1" customWidth="1"/>
    <col min="24" max="24" width="0" hidden="1" customWidth="1"/>
  </cols>
  <sheetData>
    <row r="1" spans="1:23" ht="15.75" thickBot="1" x14ac:dyDescent="0.3">
      <c r="A1" s="42" t="s">
        <v>3</v>
      </c>
      <c r="B1" s="42" t="s">
        <v>26</v>
      </c>
      <c r="C1" s="3" t="s">
        <v>5</v>
      </c>
      <c r="D1" s="3" t="s">
        <v>4</v>
      </c>
      <c r="E1" s="43" t="s">
        <v>13</v>
      </c>
      <c r="F1" s="43"/>
      <c r="G1" s="44" t="s">
        <v>6</v>
      </c>
      <c r="H1" s="44"/>
      <c r="I1" s="44"/>
      <c r="J1" s="44"/>
      <c r="K1" s="44"/>
      <c r="M1" s="42" t="s">
        <v>3</v>
      </c>
      <c r="N1" s="42" t="s">
        <v>26</v>
      </c>
      <c r="O1" s="3" t="s">
        <v>5</v>
      </c>
      <c r="P1" s="3" t="s">
        <v>4</v>
      </c>
      <c r="Q1" s="43" t="s">
        <v>13</v>
      </c>
      <c r="R1" s="43"/>
      <c r="S1" s="44" t="s">
        <v>6</v>
      </c>
      <c r="T1" s="44"/>
      <c r="U1" s="44"/>
      <c r="V1" s="44"/>
      <c r="W1" s="44"/>
    </row>
    <row r="2" spans="1:23" ht="15.75" thickBot="1" x14ac:dyDescent="0.3">
      <c r="A2" s="42"/>
      <c r="B2" s="42"/>
      <c r="C2" s="3" t="s">
        <v>16</v>
      </c>
      <c r="D2" s="3" t="s">
        <v>8</v>
      </c>
      <c r="E2" s="3" t="s">
        <v>14</v>
      </c>
      <c r="F2" s="6" t="s">
        <v>15</v>
      </c>
      <c r="G2" s="45" t="s">
        <v>7</v>
      </c>
      <c r="H2" s="46"/>
      <c r="I2" s="12"/>
      <c r="J2" s="45" t="s">
        <v>30</v>
      </c>
      <c r="K2" s="46"/>
      <c r="M2" s="42"/>
      <c r="N2" s="42"/>
      <c r="O2" s="3" t="s">
        <v>16</v>
      </c>
      <c r="P2" s="3" t="s">
        <v>8</v>
      </c>
      <c r="Q2" s="3" t="s">
        <v>14</v>
      </c>
      <c r="R2" s="6" t="s">
        <v>15</v>
      </c>
      <c r="S2" s="45" t="s">
        <v>7</v>
      </c>
      <c r="T2" s="46"/>
      <c r="U2" s="12"/>
      <c r="V2" s="45" t="s">
        <v>30</v>
      </c>
      <c r="W2" s="46"/>
    </row>
    <row r="3" spans="1:23" x14ac:dyDescent="0.25">
      <c r="A3" s="4"/>
      <c r="B3" s="4"/>
      <c r="C3" s="3"/>
      <c r="D3" s="3"/>
      <c r="E3" s="3"/>
      <c r="F3" s="6"/>
      <c r="G3" s="7" t="s">
        <v>14</v>
      </c>
      <c r="H3" s="8" t="s">
        <v>15</v>
      </c>
      <c r="I3" s="13"/>
      <c r="J3" s="7" t="s">
        <v>14</v>
      </c>
      <c r="K3" s="8" t="s">
        <v>15</v>
      </c>
      <c r="M3" s="4"/>
      <c r="N3" s="4"/>
      <c r="O3" s="3"/>
      <c r="P3" s="3"/>
      <c r="Q3" s="3"/>
      <c r="R3" s="6"/>
      <c r="S3" s="7" t="s">
        <v>14</v>
      </c>
      <c r="T3" s="8" t="s">
        <v>15</v>
      </c>
      <c r="U3" s="13"/>
      <c r="V3" s="7" t="s">
        <v>14</v>
      </c>
      <c r="W3" s="8" t="s">
        <v>15</v>
      </c>
    </row>
    <row r="4" spans="1:23" x14ac:dyDescent="0.25">
      <c r="A4" s="3" t="s">
        <v>9</v>
      </c>
      <c r="B4" s="1" t="s">
        <v>27</v>
      </c>
      <c r="C4" s="2">
        <v>20</v>
      </c>
      <c r="D4" s="2">
        <v>0.23</v>
      </c>
      <c r="E4" s="2">
        <f>E15</f>
        <v>2.4891999999999999</v>
      </c>
      <c r="F4" s="11">
        <f>E16</f>
        <v>2.7178</v>
      </c>
      <c r="G4" s="9">
        <f>D4*E4*C4</f>
        <v>11.450320000000001</v>
      </c>
      <c r="H4" s="10">
        <f>D4*F4*C4</f>
        <v>12.50188</v>
      </c>
      <c r="I4" s="14"/>
      <c r="J4" s="9">
        <f>0.75*G4</f>
        <v>8.5877400000000002</v>
      </c>
      <c r="K4" s="10">
        <f>0.75*H4</f>
        <v>9.3764099999999999</v>
      </c>
      <c r="M4" s="3" t="s">
        <v>9</v>
      </c>
      <c r="N4" s="1" t="s">
        <v>27</v>
      </c>
      <c r="O4" s="2">
        <v>20</v>
      </c>
      <c r="P4" s="2">
        <v>0.23</v>
      </c>
      <c r="Q4" s="2">
        <f>Q15</f>
        <v>2.3113999999999999</v>
      </c>
      <c r="R4" s="11">
        <f>Q16</f>
        <v>2.6162000000000001</v>
      </c>
      <c r="S4" s="9">
        <f>P4*Q4*O4</f>
        <v>10.632440000000001</v>
      </c>
      <c r="T4" s="10">
        <f>P4*R4*O4</f>
        <v>12.034520000000002</v>
      </c>
      <c r="U4" s="14"/>
      <c r="V4" s="9">
        <f>0.75*S4</f>
        <v>7.9743300000000001</v>
      </c>
      <c r="W4" s="10">
        <f>0.75*T4</f>
        <v>9.0258900000000022</v>
      </c>
    </row>
    <row r="5" spans="1:23" hidden="1" x14ac:dyDescent="0.25">
      <c r="A5" s="3" t="s">
        <v>9</v>
      </c>
      <c r="B5" s="1" t="s">
        <v>28</v>
      </c>
      <c r="C5" s="2"/>
      <c r="D5" s="2"/>
      <c r="E5" s="2">
        <f>E17</f>
        <v>2.4891999999999999</v>
      </c>
      <c r="F5" s="11">
        <f>E18</f>
        <v>2.7178</v>
      </c>
      <c r="G5" s="9">
        <f>D4*E5*C4</f>
        <v>11.450320000000001</v>
      </c>
      <c r="H5" s="10">
        <f>D4*F5*C4</f>
        <v>12.50188</v>
      </c>
      <c r="I5" s="14"/>
      <c r="J5" s="9">
        <f>0.75*G5</f>
        <v>8.5877400000000002</v>
      </c>
      <c r="K5" s="10">
        <f>0.75*H5</f>
        <v>9.3764099999999999</v>
      </c>
      <c r="M5" s="3" t="s">
        <v>9</v>
      </c>
      <c r="N5" s="1" t="s">
        <v>28</v>
      </c>
      <c r="O5" s="2"/>
      <c r="P5" s="2"/>
      <c r="Q5" s="2">
        <f>Q17</f>
        <v>2.3113999999999999</v>
      </c>
      <c r="R5" s="11">
        <f>Q18</f>
        <v>2.6162000000000001</v>
      </c>
      <c r="S5" s="9">
        <f>P4*Q5*O4</f>
        <v>10.632440000000001</v>
      </c>
      <c r="T5" s="10">
        <f>P4*R5*O4</f>
        <v>12.034520000000002</v>
      </c>
      <c r="U5" s="14"/>
      <c r="V5" s="9">
        <f>0.75*S5</f>
        <v>7.9743300000000001</v>
      </c>
      <c r="W5" s="10">
        <f>0.75*T5</f>
        <v>9.0258900000000022</v>
      </c>
    </row>
    <row r="6" spans="1:23" x14ac:dyDescent="0.25">
      <c r="A6" s="3"/>
      <c r="B6" s="1"/>
      <c r="C6" s="2"/>
      <c r="D6" s="2"/>
      <c r="E6" s="2"/>
      <c r="F6" s="11"/>
      <c r="G6" s="9"/>
      <c r="H6" s="10"/>
      <c r="I6" s="14"/>
      <c r="J6" s="9"/>
      <c r="K6" s="10"/>
      <c r="M6" s="3"/>
      <c r="N6" s="1"/>
      <c r="O6" s="2"/>
      <c r="P6" s="2"/>
      <c r="Q6" s="2"/>
      <c r="R6" s="11"/>
      <c r="S6" s="9"/>
      <c r="T6" s="10"/>
      <c r="U6" s="14"/>
      <c r="V6" s="9"/>
      <c r="W6" s="10"/>
    </row>
    <row r="7" spans="1:23" x14ac:dyDescent="0.25">
      <c r="A7" s="3" t="s">
        <v>12</v>
      </c>
      <c r="B7" s="1" t="s">
        <v>27</v>
      </c>
      <c r="C7" s="2">
        <v>20</v>
      </c>
      <c r="D7" s="2">
        <v>0.115</v>
      </c>
      <c r="E7" s="2">
        <f>E4</f>
        <v>2.4891999999999999</v>
      </c>
      <c r="F7" s="11">
        <f>F4</f>
        <v>2.7178</v>
      </c>
      <c r="G7" s="9">
        <f>D7*E7*C7</f>
        <v>5.7251600000000007</v>
      </c>
      <c r="H7" s="10">
        <f>D7*F7*C7</f>
        <v>6.2509399999999999</v>
      </c>
      <c r="I7" s="14"/>
      <c r="J7" s="9">
        <f>0.75*G7</f>
        <v>4.2938700000000001</v>
      </c>
      <c r="K7" s="10">
        <f>0.75*H7</f>
        <v>4.688205</v>
      </c>
      <c r="M7" s="3" t="s">
        <v>12</v>
      </c>
      <c r="N7" s="1" t="s">
        <v>27</v>
      </c>
      <c r="O7" s="2">
        <v>20</v>
      </c>
      <c r="P7" s="2">
        <v>0.115</v>
      </c>
      <c r="Q7" s="2">
        <f>Q4</f>
        <v>2.3113999999999999</v>
      </c>
      <c r="R7" s="11">
        <f>R4</f>
        <v>2.6162000000000001</v>
      </c>
      <c r="S7" s="9">
        <f>P7*Q7*O7</f>
        <v>5.3162200000000004</v>
      </c>
      <c r="T7" s="10">
        <f>P7*R7*O7</f>
        <v>6.0172600000000012</v>
      </c>
      <c r="U7" s="14"/>
      <c r="V7" s="9">
        <f>0.75*S7</f>
        <v>3.9871650000000001</v>
      </c>
      <c r="W7" s="10">
        <f>0.75*T7</f>
        <v>4.5129450000000011</v>
      </c>
    </row>
    <row r="8" spans="1:23" hidden="1" x14ac:dyDescent="0.25">
      <c r="A8" s="3" t="s">
        <v>12</v>
      </c>
      <c r="B8" s="1" t="s">
        <v>28</v>
      </c>
      <c r="C8" s="2"/>
      <c r="D8" s="2"/>
      <c r="E8" s="2">
        <f>E5</f>
        <v>2.4891999999999999</v>
      </c>
      <c r="F8" s="11">
        <f>F5</f>
        <v>2.7178</v>
      </c>
      <c r="G8" s="9">
        <f>D7*E8*C7</f>
        <v>5.7251600000000007</v>
      </c>
      <c r="H8" s="10">
        <f>D7*F8*C7</f>
        <v>6.2509399999999999</v>
      </c>
      <c r="I8" s="14"/>
      <c r="J8" s="9">
        <f>0.75*G8</f>
        <v>4.2938700000000001</v>
      </c>
      <c r="K8" s="10">
        <f>0.75*H8</f>
        <v>4.688205</v>
      </c>
      <c r="M8" s="3" t="s">
        <v>12</v>
      </c>
      <c r="N8" s="1" t="s">
        <v>28</v>
      </c>
      <c r="O8" s="2"/>
      <c r="P8" s="2"/>
      <c r="Q8" s="2">
        <f>Q5</f>
        <v>2.3113999999999999</v>
      </c>
      <c r="R8" s="11">
        <f>R5</f>
        <v>2.6162000000000001</v>
      </c>
      <c r="S8" s="9">
        <f>P7*Q8*O7</f>
        <v>5.3162200000000004</v>
      </c>
      <c r="T8" s="10">
        <f>P7*R8*O7</f>
        <v>6.0172600000000012</v>
      </c>
      <c r="U8" s="14"/>
      <c r="V8" s="9">
        <f>0.75*S8</f>
        <v>3.9871650000000001</v>
      </c>
      <c r="W8" s="10">
        <f>0.75*T8</f>
        <v>4.5129450000000011</v>
      </c>
    </row>
    <row r="9" spans="1:23" ht="15.75" thickBot="1" x14ac:dyDescent="0.3">
      <c r="A9" s="3"/>
      <c r="B9" s="1"/>
      <c r="C9" s="2"/>
      <c r="D9" s="2"/>
      <c r="E9" s="2"/>
      <c r="F9" s="11"/>
      <c r="G9" s="15"/>
      <c r="H9" s="16"/>
      <c r="I9" s="17"/>
      <c r="J9" s="15"/>
      <c r="K9" s="16"/>
      <c r="M9" s="3"/>
      <c r="N9" s="1"/>
      <c r="O9" s="2"/>
      <c r="P9" s="2"/>
      <c r="Q9" s="2"/>
      <c r="R9" s="11"/>
      <c r="S9" s="15"/>
      <c r="T9" s="16"/>
      <c r="U9" s="17"/>
      <c r="V9" s="15"/>
      <c r="W9" s="16"/>
    </row>
    <row r="10" spans="1:23" ht="15.75" thickBot="1" x14ac:dyDescent="0.3">
      <c r="A10" s="3" t="s">
        <v>12</v>
      </c>
      <c r="B10" s="1" t="s">
        <v>29</v>
      </c>
      <c r="C10" s="2">
        <v>20</v>
      </c>
      <c r="D10" s="2">
        <v>0.115</v>
      </c>
      <c r="E10" s="40">
        <f>E19</f>
        <v>0.99060000000000004</v>
      </c>
      <c r="F10" s="41"/>
      <c r="G10" s="47">
        <f>D10*E10*C10</f>
        <v>2.2783800000000003</v>
      </c>
      <c r="H10" s="48"/>
      <c r="I10" s="48"/>
      <c r="J10" s="48"/>
      <c r="K10" s="49"/>
      <c r="M10" s="3" t="s">
        <v>12</v>
      </c>
      <c r="N10" s="1" t="s">
        <v>29</v>
      </c>
      <c r="O10" s="2">
        <v>20</v>
      </c>
      <c r="P10" s="2">
        <v>0.115</v>
      </c>
      <c r="Q10" s="40">
        <f>Q19</f>
        <v>0.91439999999999999</v>
      </c>
      <c r="R10" s="41"/>
      <c r="S10" s="47">
        <f>P10*Q10*O10</f>
        <v>2.1031200000000001</v>
      </c>
      <c r="T10" s="48"/>
      <c r="U10" s="48"/>
      <c r="V10" s="48"/>
      <c r="W10" s="49"/>
    </row>
    <row r="14" spans="1:23" x14ac:dyDescent="0.25">
      <c r="A14" s="3" t="s">
        <v>11</v>
      </c>
      <c r="B14" s="5"/>
      <c r="D14" s="3" t="s">
        <v>17</v>
      </c>
      <c r="E14" s="3" t="s">
        <v>18</v>
      </c>
      <c r="M14" s="3" t="s">
        <v>11</v>
      </c>
      <c r="N14" s="5"/>
      <c r="P14" s="3" t="s">
        <v>17</v>
      </c>
      <c r="Q14" s="3" t="s">
        <v>18</v>
      </c>
    </row>
    <row r="15" spans="1:23" x14ac:dyDescent="0.25">
      <c r="A15" s="1" t="s">
        <v>10</v>
      </c>
      <c r="D15" s="1">
        <f>8*12+2</f>
        <v>98</v>
      </c>
      <c r="E15" s="2">
        <f>CONVERT(D15,"in","m")</f>
        <v>2.4891999999999999</v>
      </c>
      <c r="M15" s="1" t="s">
        <v>10</v>
      </c>
      <c r="P15" s="1">
        <f>7*12+7</f>
        <v>91</v>
      </c>
      <c r="Q15" s="2">
        <f>CONVERT(P15,"in","m")</f>
        <v>2.3113999999999999</v>
      </c>
    </row>
    <row r="16" spans="1:23" x14ac:dyDescent="0.25">
      <c r="D16" s="1">
        <f>8*12+11</f>
        <v>107</v>
      </c>
      <c r="E16" s="2">
        <f>CONVERT(D16,"in","m")</f>
        <v>2.7178</v>
      </c>
      <c r="P16" s="1">
        <f>8*12+7</f>
        <v>103</v>
      </c>
      <c r="Q16" s="2">
        <f>CONVERT(P16,"in","m")</f>
        <v>2.6162000000000001</v>
      </c>
    </row>
    <row r="17" spans="4:17" x14ac:dyDescent="0.25">
      <c r="D17" s="1">
        <f>8*12+2</f>
        <v>98</v>
      </c>
      <c r="E17" s="2">
        <f>CONVERT(D17,"in","m")</f>
        <v>2.4891999999999999</v>
      </c>
      <c r="P17" s="1">
        <f>7*12+7</f>
        <v>91</v>
      </c>
      <c r="Q17" s="2">
        <f>CONVERT(P17,"in","m")</f>
        <v>2.3113999999999999</v>
      </c>
    </row>
    <row r="18" spans="4:17" x14ac:dyDescent="0.25">
      <c r="D18" s="1">
        <f>8*12+11</f>
        <v>107</v>
      </c>
      <c r="E18" s="2">
        <f>CONVERT(D18,"in","m")</f>
        <v>2.7178</v>
      </c>
      <c r="P18" s="1">
        <f>8*12+7</f>
        <v>103</v>
      </c>
      <c r="Q18" s="2">
        <f>CONVERT(P18,"in","m")</f>
        <v>2.6162000000000001</v>
      </c>
    </row>
    <row r="19" spans="4:17" x14ac:dyDescent="0.25">
      <c r="D19" s="1">
        <f>3*12+3</f>
        <v>39</v>
      </c>
      <c r="E19" s="2">
        <f>CONVERT(D19,"in","m")</f>
        <v>0.99060000000000004</v>
      </c>
      <c r="P19" s="1">
        <f>3*12</f>
        <v>36</v>
      </c>
      <c r="Q19" s="2">
        <f>CONVERT(P19,"in","m")</f>
        <v>0.91439999999999999</v>
      </c>
    </row>
  </sheetData>
  <mergeCells count="16">
    <mergeCell ref="Q10:R10"/>
    <mergeCell ref="S10:W10"/>
    <mergeCell ref="M1:M2"/>
    <mergeCell ref="N1:N2"/>
    <mergeCell ref="Q1:R1"/>
    <mergeCell ref="S1:W1"/>
    <mergeCell ref="S2:T2"/>
    <mergeCell ref="V2:W2"/>
    <mergeCell ref="E10:F10"/>
    <mergeCell ref="A1:A2"/>
    <mergeCell ref="E1:F1"/>
    <mergeCell ref="G1:K1"/>
    <mergeCell ref="G2:H2"/>
    <mergeCell ref="J2:K2"/>
    <mergeCell ref="B1:B2"/>
    <mergeCell ref="G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DFB-C26A-4789-93E0-5F02EDBF3A4E}">
  <dimension ref="A1:Q31"/>
  <sheetViews>
    <sheetView tabSelected="1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 activeCell="C6" sqref="C6"/>
    </sheetView>
  </sheetViews>
  <sheetFormatPr defaultColWidth="8.85546875" defaultRowHeight="15" x14ac:dyDescent="0.25"/>
  <cols>
    <col min="1" max="1" width="18.140625" bestFit="1" customWidth="1"/>
    <col min="2" max="2" width="16.42578125" bestFit="1" customWidth="1"/>
    <col min="3" max="4" width="12" customWidth="1"/>
    <col min="5" max="5" width="13.28515625" customWidth="1"/>
    <col min="6" max="6" width="13.7109375" customWidth="1"/>
    <col min="7" max="10" width="12.85546875" customWidth="1"/>
    <col min="11" max="11" width="12.140625" customWidth="1"/>
    <col min="12" max="12" width="17.42578125" bestFit="1" customWidth="1"/>
    <col min="13" max="14" width="16.7109375" bestFit="1" customWidth="1"/>
  </cols>
  <sheetData>
    <row r="1" spans="1:17" s="25" customFormat="1" x14ac:dyDescent="0.25">
      <c r="A1" s="24" t="s">
        <v>19</v>
      </c>
      <c r="B1" s="24" t="s">
        <v>20</v>
      </c>
      <c r="C1" s="24" t="s">
        <v>21</v>
      </c>
      <c r="D1" s="24"/>
      <c r="E1" s="24" t="s">
        <v>61</v>
      </c>
      <c r="F1" s="24"/>
      <c r="G1" s="24" t="s">
        <v>22</v>
      </c>
      <c r="H1" s="24"/>
      <c r="I1" s="24" t="s">
        <v>62</v>
      </c>
      <c r="J1" s="24" t="s">
        <v>63</v>
      </c>
      <c r="K1" s="24" t="s">
        <v>23</v>
      </c>
      <c r="L1" s="24" t="s">
        <v>24</v>
      </c>
      <c r="M1" s="24" t="s">
        <v>25</v>
      </c>
      <c r="N1" s="24" t="s">
        <v>25</v>
      </c>
    </row>
    <row r="2" spans="1:17" hidden="1" x14ac:dyDescent="0.25">
      <c r="A2" s="28">
        <v>8</v>
      </c>
      <c r="B2" s="29">
        <f>(A2*A2*PI())/4</f>
        <v>50.26548245743669</v>
      </c>
      <c r="C2" s="29">
        <f>2*B2</f>
        <v>100.53096491487338</v>
      </c>
      <c r="D2" s="29"/>
      <c r="E2" s="29">
        <f>3*B2</f>
        <v>150.79644737231007</v>
      </c>
      <c r="F2" s="29"/>
      <c r="G2" s="29">
        <f>4*B2</f>
        <v>201.06192982974676</v>
      </c>
      <c r="H2" s="29"/>
      <c r="I2" s="29">
        <f>5*B2</f>
        <v>251.32741228718345</v>
      </c>
      <c r="J2" s="29">
        <f>6*B2</f>
        <v>301.59289474462014</v>
      </c>
      <c r="K2" s="29">
        <f>8*B2</f>
        <v>402.12385965949352</v>
      </c>
      <c r="L2" s="1"/>
      <c r="M2" s="24"/>
      <c r="N2" s="24"/>
    </row>
    <row r="3" spans="1:17" hidden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24"/>
      <c r="N3" s="24"/>
    </row>
    <row r="4" spans="1:17" hidden="1" x14ac:dyDescent="0.25">
      <c r="A4" s="28">
        <v>10</v>
      </c>
      <c r="B4" s="29">
        <f t="shared" ref="B4:B12" si="0">(A4*A4*PI())/4</f>
        <v>78.539816339744831</v>
      </c>
      <c r="C4" s="29">
        <f t="shared" ref="C4:C12" si="1">2*B4</f>
        <v>157.07963267948966</v>
      </c>
      <c r="D4" s="29"/>
      <c r="E4" s="29">
        <f t="shared" ref="E4" si="2">3*B4</f>
        <v>235.61944901923448</v>
      </c>
      <c r="F4" s="29"/>
      <c r="G4" s="29">
        <f t="shared" ref="G4:G12" si="3">4*B4</f>
        <v>314.15926535897933</v>
      </c>
      <c r="H4" s="29"/>
      <c r="I4" s="29">
        <f t="shared" ref="I4" si="4">5*B4</f>
        <v>392.69908169872417</v>
      </c>
      <c r="J4" s="29">
        <f t="shared" ref="J4" si="5">6*B4</f>
        <v>471.23889803846896</v>
      </c>
      <c r="K4" s="29">
        <f t="shared" ref="K4:K12" si="6">8*B4</f>
        <v>628.31853071795865</v>
      </c>
      <c r="L4" s="1"/>
      <c r="M4" s="24"/>
      <c r="N4" s="24"/>
    </row>
    <row r="5" spans="1:17" hidden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24"/>
      <c r="N5" s="24"/>
    </row>
    <row r="6" spans="1:17" x14ac:dyDescent="0.25">
      <c r="A6" s="28">
        <v>12</v>
      </c>
      <c r="B6" s="29">
        <f t="shared" si="0"/>
        <v>113.09733552923255</v>
      </c>
      <c r="C6" s="29">
        <f t="shared" si="1"/>
        <v>226.1946710584651</v>
      </c>
      <c r="D6" s="29"/>
      <c r="E6" s="29">
        <f t="shared" ref="E6" si="7">3*B6</f>
        <v>339.29200658769764</v>
      </c>
      <c r="F6" s="29"/>
      <c r="G6" s="29">
        <f t="shared" si="3"/>
        <v>452.38934211693021</v>
      </c>
      <c r="H6" s="29"/>
      <c r="I6" s="29">
        <f t="shared" ref="I6" si="8">5*B6</f>
        <v>565.48667764616278</v>
      </c>
      <c r="J6" s="29">
        <f t="shared" ref="J6" si="9">6*B6</f>
        <v>678.58401317539528</v>
      </c>
      <c r="K6" s="29">
        <f t="shared" si="6"/>
        <v>904.77868423386042</v>
      </c>
      <c r="L6" s="1"/>
      <c r="M6" s="24"/>
      <c r="N6" s="24"/>
    </row>
    <row r="7" spans="1:17" x14ac:dyDescent="0.25">
      <c r="A7" s="1"/>
      <c r="B7" s="2"/>
      <c r="C7" s="2"/>
      <c r="D7" s="2">
        <f>C6+C8</f>
        <v>628.31853071795865</v>
      </c>
      <c r="E7" s="2"/>
      <c r="F7" s="2"/>
      <c r="G7" s="2"/>
      <c r="H7" s="2"/>
      <c r="I7" s="2"/>
      <c r="J7" s="2"/>
      <c r="K7" s="2"/>
      <c r="L7" s="26">
        <f>G6+G8</f>
        <v>1256.6370614359173</v>
      </c>
      <c r="M7" s="24"/>
      <c r="N7" s="24"/>
    </row>
    <row r="8" spans="1:17" x14ac:dyDescent="0.25">
      <c r="A8" s="30">
        <v>16</v>
      </c>
      <c r="B8" s="29">
        <f t="shared" si="0"/>
        <v>201.06192982974676</v>
      </c>
      <c r="C8" s="29">
        <f t="shared" si="1"/>
        <v>402.12385965949352</v>
      </c>
      <c r="D8" s="29"/>
      <c r="E8" s="29">
        <f t="shared" ref="E8" si="10">3*B8</f>
        <v>603.18578948924028</v>
      </c>
      <c r="F8" s="29">
        <f>E8+B6</f>
        <v>716.28312501847279</v>
      </c>
      <c r="G8" s="29">
        <f t="shared" si="3"/>
        <v>804.24771931898704</v>
      </c>
      <c r="H8" s="29"/>
      <c r="I8" s="29">
        <f t="shared" ref="I8" si="11">5*B8</f>
        <v>1005.3096491487338</v>
      </c>
      <c r="J8" s="29">
        <f t="shared" ref="J8" si="12">6*B8</f>
        <v>1206.3715789784806</v>
      </c>
      <c r="K8" s="31">
        <f t="shared" si="6"/>
        <v>1608.4954386379741</v>
      </c>
      <c r="L8" s="3"/>
      <c r="M8" s="24"/>
      <c r="N8" s="24"/>
      <c r="O8" s="27"/>
      <c r="P8" s="27"/>
      <c r="Q8" s="27"/>
    </row>
    <row r="9" spans="1:17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6"/>
      <c r="L9" s="26">
        <f>G8+G10</f>
        <v>2060.8847807549046</v>
      </c>
      <c r="M9" s="24"/>
      <c r="N9" s="24"/>
    </row>
    <row r="10" spans="1:17" x14ac:dyDescent="0.25">
      <c r="A10" s="30">
        <v>20</v>
      </c>
      <c r="B10" s="29">
        <f t="shared" si="0"/>
        <v>314.15926535897933</v>
      </c>
      <c r="C10" s="29">
        <f t="shared" si="1"/>
        <v>628.31853071795865</v>
      </c>
      <c r="D10" s="29"/>
      <c r="E10" s="29">
        <f t="shared" ref="E10" si="13">3*B10</f>
        <v>942.47779607693792</v>
      </c>
      <c r="F10" s="29"/>
      <c r="G10" s="29">
        <f t="shared" si="3"/>
        <v>1256.6370614359173</v>
      </c>
      <c r="H10" s="29"/>
      <c r="I10" s="29">
        <f t="shared" ref="I10" si="14">5*B10</f>
        <v>1570.7963267948967</v>
      </c>
      <c r="J10" s="29">
        <f t="shared" ref="J10" si="15">6*B10</f>
        <v>1884.9555921538758</v>
      </c>
      <c r="K10" s="31">
        <f t="shared" si="6"/>
        <v>2513.2741228718346</v>
      </c>
      <c r="L10" s="3"/>
      <c r="M10" s="24"/>
      <c r="N10" s="24"/>
      <c r="O10" s="27"/>
    </row>
    <row r="11" spans="1:17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6">
        <f>G10+G12</f>
        <v>3220.1324699295383</v>
      </c>
      <c r="M11" s="24"/>
      <c r="N11" s="24"/>
    </row>
    <row r="12" spans="1:17" x14ac:dyDescent="0.25">
      <c r="A12" s="28">
        <v>25</v>
      </c>
      <c r="B12" s="29">
        <f t="shared" si="0"/>
        <v>490.87385212340519</v>
      </c>
      <c r="C12" s="29">
        <f t="shared" si="1"/>
        <v>981.74770424681037</v>
      </c>
      <c r="D12" s="29"/>
      <c r="E12" s="29">
        <f t="shared" ref="E12" si="16">3*B12</f>
        <v>1472.6215563702156</v>
      </c>
      <c r="F12" s="29"/>
      <c r="G12" s="29">
        <f t="shared" si="3"/>
        <v>1963.4954084936207</v>
      </c>
      <c r="H12" s="29"/>
      <c r="I12" s="29">
        <f t="shared" ref="I12" si="17">5*B12</f>
        <v>2454.3692606170262</v>
      </c>
      <c r="J12" s="29">
        <f t="shared" ref="J12" si="18">6*B12</f>
        <v>2945.2431127404311</v>
      </c>
      <c r="K12" s="29">
        <f t="shared" si="6"/>
        <v>3926.9908169872415</v>
      </c>
      <c r="L12" s="1"/>
      <c r="M12" s="24"/>
      <c r="N12" s="24"/>
    </row>
    <row r="15" spans="1:17" x14ac:dyDescent="0.25">
      <c r="A15" s="39" t="s">
        <v>64</v>
      </c>
      <c r="B15" s="39" t="s">
        <v>65</v>
      </c>
      <c r="C15" s="39" t="s">
        <v>66</v>
      </c>
      <c r="D15" s="39" t="s">
        <v>67</v>
      </c>
      <c r="E15" s="32" t="s">
        <v>70</v>
      </c>
      <c r="F15" s="32"/>
      <c r="G15" s="32" t="s">
        <v>71</v>
      </c>
      <c r="H15" s="32"/>
      <c r="L15" s="27"/>
    </row>
    <row r="16" spans="1:17" x14ac:dyDescent="0.25">
      <c r="A16" s="39"/>
      <c r="B16" s="39"/>
      <c r="C16" s="39"/>
      <c r="D16" s="39"/>
      <c r="E16" s="24" t="s">
        <v>68</v>
      </c>
      <c r="F16" s="24" t="s">
        <v>69</v>
      </c>
      <c r="G16" s="24" t="s">
        <v>68</v>
      </c>
      <c r="H16" s="24" t="s">
        <v>69</v>
      </c>
    </row>
    <row r="17" spans="1:8" ht="45" x14ac:dyDescent="0.25">
      <c r="A17" s="35">
        <v>1</v>
      </c>
      <c r="B17" s="35" t="s">
        <v>72</v>
      </c>
      <c r="C17" s="35" t="s">
        <v>87</v>
      </c>
      <c r="D17" s="32" t="s">
        <v>73</v>
      </c>
      <c r="E17" s="33" t="s">
        <v>77</v>
      </c>
      <c r="F17" s="32" t="s">
        <v>75</v>
      </c>
      <c r="G17" s="32" t="s">
        <v>76</v>
      </c>
      <c r="H17" s="32" t="s">
        <v>75</v>
      </c>
    </row>
    <row r="18" spans="1:8" ht="45" x14ac:dyDescent="0.25">
      <c r="A18" s="36"/>
      <c r="B18" s="36"/>
      <c r="C18" s="36"/>
      <c r="D18" s="32" t="s">
        <v>74</v>
      </c>
      <c r="E18" s="33" t="s">
        <v>77</v>
      </c>
      <c r="F18" s="32" t="s">
        <v>75</v>
      </c>
      <c r="G18" s="32" t="s">
        <v>76</v>
      </c>
      <c r="H18" s="32" t="s">
        <v>75</v>
      </c>
    </row>
    <row r="19" spans="1:8" ht="30" x14ac:dyDescent="0.25">
      <c r="A19" s="35">
        <v>2</v>
      </c>
      <c r="B19" s="37" t="s">
        <v>80</v>
      </c>
      <c r="C19" s="35" t="s">
        <v>87</v>
      </c>
      <c r="D19" s="32" t="s">
        <v>73</v>
      </c>
      <c r="E19" s="33" t="s">
        <v>82</v>
      </c>
      <c r="F19" s="32" t="s">
        <v>75</v>
      </c>
      <c r="G19" s="32" t="s">
        <v>76</v>
      </c>
      <c r="H19" s="32" t="s">
        <v>75</v>
      </c>
    </row>
    <row r="20" spans="1:8" ht="30" x14ac:dyDescent="0.25">
      <c r="A20" s="36"/>
      <c r="B20" s="38"/>
      <c r="C20" s="36"/>
      <c r="D20" s="32" t="s">
        <v>74</v>
      </c>
      <c r="E20" s="33" t="s">
        <v>82</v>
      </c>
      <c r="F20" s="32" t="s">
        <v>75</v>
      </c>
      <c r="G20" s="32" t="s">
        <v>76</v>
      </c>
      <c r="H20" s="32" t="s">
        <v>75</v>
      </c>
    </row>
    <row r="21" spans="1:8" ht="30" x14ac:dyDescent="0.25">
      <c r="A21" s="35">
        <v>3</v>
      </c>
      <c r="B21" s="37" t="s">
        <v>79</v>
      </c>
      <c r="C21" s="35" t="s">
        <v>87</v>
      </c>
      <c r="D21" s="32" t="s">
        <v>73</v>
      </c>
      <c r="E21" s="33" t="s">
        <v>82</v>
      </c>
      <c r="F21" s="32" t="s">
        <v>75</v>
      </c>
      <c r="G21" s="32" t="s">
        <v>76</v>
      </c>
      <c r="H21" s="32" t="s">
        <v>75</v>
      </c>
    </row>
    <row r="22" spans="1:8" ht="30" x14ac:dyDescent="0.25">
      <c r="A22" s="36"/>
      <c r="B22" s="38"/>
      <c r="C22" s="36"/>
      <c r="D22" s="32" t="s">
        <v>74</v>
      </c>
      <c r="E22" s="33" t="s">
        <v>85</v>
      </c>
      <c r="F22" s="32" t="s">
        <v>75</v>
      </c>
      <c r="G22" s="32" t="s">
        <v>76</v>
      </c>
      <c r="H22" s="32" t="s">
        <v>75</v>
      </c>
    </row>
    <row r="23" spans="1:8" ht="30" x14ac:dyDescent="0.25">
      <c r="A23" s="35">
        <v>4</v>
      </c>
      <c r="B23" s="37" t="s">
        <v>78</v>
      </c>
      <c r="C23" s="35" t="s">
        <v>81</v>
      </c>
      <c r="D23" s="32" t="s">
        <v>73</v>
      </c>
      <c r="E23" s="33" t="s">
        <v>83</v>
      </c>
      <c r="F23" s="32" t="s">
        <v>75</v>
      </c>
      <c r="G23" s="32" t="s">
        <v>76</v>
      </c>
      <c r="H23" s="32" t="s">
        <v>75</v>
      </c>
    </row>
    <row r="24" spans="1:8" ht="30" x14ac:dyDescent="0.25">
      <c r="A24" s="36"/>
      <c r="B24" s="38"/>
      <c r="C24" s="36"/>
      <c r="D24" s="32" t="s">
        <v>74</v>
      </c>
      <c r="E24" s="33" t="s">
        <v>84</v>
      </c>
      <c r="F24" s="32" t="s">
        <v>75</v>
      </c>
      <c r="G24" s="32" t="s">
        <v>76</v>
      </c>
      <c r="H24" s="32" t="s">
        <v>75</v>
      </c>
    </row>
    <row r="25" spans="1:8" ht="45" x14ac:dyDescent="0.25">
      <c r="A25" s="24">
        <v>5</v>
      </c>
      <c r="B25" s="34" t="s">
        <v>91</v>
      </c>
      <c r="C25" s="24" t="s">
        <v>87</v>
      </c>
      <c r="D25" s="32" t="s">
        <v>74</v>
      </c>
      <c r="E25" s="33" t="s">
        <v>85</v>
      </c>
      <c r="F25" s="32" t="s">
        <v>75</v>
      </c>
      <c r="G25" s="32" t="s">
        <v>76</v>
      </c>
      <c r="H25" s="32" t="s">
        <v>75</v>
      </c>
    </row>
    <row r="26" spans="1:8" ht="45" x14ac:dyDescent="0.25">
      <c r="A26" s="35">
        <v>6</v>
      </c>
      <c r="B26" s="37" t="s">
        <v>86</v>
      </c>
      <c r="C26" s="35" t="s">
        <v>87</v>
      </c>
      <c r="D26" s="32" t="s">
        <v>73</v>
      </c>
      <c r="E26" s="33" t="s">
        <v>88</v>
      </c>
      <c r="F26" s="32" t="s">
        <v>75</v>
      </c>
      <c r="G26" s="32" t="s">
        <v>76</v>
      </c>
      <c r="H26" s="32" t="s">
        <v>75</v>
      </c>
    </row>
    <row r="27" spans="1:8" ht="45" x14ac:dyDescent="0.25">
      <c r="A27" s="36"/>
      <c r="B27" s="38"/>
      <c r="C27" s="36"/>
      <c r="D27" s="32" t="s">
        <v>74</v>
      </c>
      <c r="E27" s="33" t="s">
        <v>89</v>
      </c>
      <c r="F27" s="32" t="s">
        <v>75</v>
      </c>
      <c r="G27" s="32" t="s">
        <v>76</v>
      </c>
      <c r="H27" s="32" t="s">
        <v>75</v>
      </c>
    </row>
    <row r="28" spans="1:8" ht="45" x14ac:dyDescent="0.25">
      <c r="A28" s="24">
        <v>7</v>
      </c>
      <c r="B28" s="34" t="s">
        <v>92</v>
      </c>
      <c r="C28" s="24" t="s">
        <v>87</v>
      </c>
      <c r="D28" s="32" t="s">
        <v>74</v>
      </c>
      <c r="E28" s="33" t="s">
        <v>85</v>
      </c>
      <c r="F28" s="32" t="s">
        <v>75</v>
      </c>
      <c r="G28" s="32" t="s">
        <v>76</v>
      </c>
      <c r="H28" s="32" t="s">
        <v>75</v>
      </c>
    </row>
    <row r="29" spans="1:8" x14ac:dyDescent="0.25">
      <c r="A29" s="35">
        <v>8</v>
      </c>
      <c r="B29" s="37" t="s">
        <v>90</v>
      </c>
      <c r="C29" s="35" t="s">
        <v>87</v>
      </c>
      <c r="D29" s="32" t="s">
        <v>73</v>
      </c>
      <c r="E29" s="32" t="s">
        <v>76</v>
      </c>
      <c r="F29" s="32" t="s">
        <v>76</v>
      </c>
      <c r="G29" s="32" t="s">
        <v>76</v>
      </c>
      <c r="H29" s="32" t="s">
        <v>76</v>
      </c>
    </row>
    <row r="30" spans="1:8" x14ac:dyDescent="0.25">
      <c r="A30" s="36"/>
      <c r="B30" s="38"/>
      <c r="C30" s="36"/>
      <c r="D30" s="32" t="s">
        <v>74</v>
      </c>
      <c r="E30" s="32" t="s">
        <v>76</v>
      </c>
      <c r="F30" s="32" t="s">
        <v>76</v>
      </c>
      <c r="G30" s="32" t="s">
        <v>76</v>
      </c>
      <c r="H30" s="32" t="s">
        <v>76</v>
      </c>
    </row>
    <row r="31" spans="1:8" ht="30" x14ac:dyDescent="0.25">
      <c r="A31" s="24">
        <v>9</v>
      </c>
      <c r="B31" s="34" t="s">
        <v>93</v>
      </c>
      <c r="C31" s="24" t="s">
        <v>87</v>
      </c>
      <c r="D31" s="32" t="s">
        <v>74</v>
      </c>
      <c r="E31" s="33" t="s">
        <v>76</v>
      </c>
      <c r="F31" s="32" t="s">
        <v>76</v>
      </c>
      <c r="G31" s="32" t="s">
        <v>76</v>
      </c>
      <c r="H31" s="32" t="s">
        <v>76</v>
      </c>
    </row>
  </sheetData>
  <mergeCells count="22">
    <mergeCell ref="A15:A16"/>
    <mergeCell ref="B15:B16"/>
    <mergeCell ref="C15:C16"/>
    <mergeCell ref="D15:D16"/>
    <mergeCell ref="C17:C18"/>
    <mergeCell ref="B17:B18"/>
    <mergeCell ref="A17:A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9:A30"/>
    <mergeCell ref="B29:B30"/>
    <mergeCell ref="C29:C30"/>
    <mergeCell ref="A26:A27"/>
    <mergeCell ref="B26:B27"/>
    <mergeCell ref="C26:C2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4736-0652-4A0E-92F2-6C6A208529DA}">
  <dimension ref="A1:I15"/>
  <sheetViews>
    <sheetView workbookViewId="0">
      <pane ySplit="1" topLeftCell="A2" activePane="bottomLeft" state="frozen"/>
      <selection pane="bottomLeft" activeCell="I2" sqref="I2:I15"/>
    </sheetView>
  </sheetViews>
  <sheetFormatPr defaultRowHeight="15" x14ac:dyDescent="0.25"/>
  <cols>
    <col min="1" max="1" width="4.7109375" bestFit="1" customWidth="1"/>
    <col min="2" max="2" width="12.140625" bestFit="1" customWidth="1"/>
    <col min="3" max="3" width="13" customWidth="1"/>
    <col min="4" max="4" width="14.5703125" customWidth="1"/>
    <col min="5" max="5" width="15.7109375" customWidth="1"/>
    <col min="6" max="6" width="11.7109375" bestFit="1" customWidth="1"/>
    <col min="7" max="7" width="11.7109375" customWidth="1"/>
    <col min="8" max="8" width="13.28515625" customWidth="1"/>
    <col min="9" max="9" width="32.5703125" bestFit="1" customWidth="1"/>
  </cols>
  <sheetData>
    <row r="1" spans="1:9" ht="30" x14ac:dyDescent="0.25">
      <c r="A1" s="18" t="s">
        <v>31</v>
      </c>
      <c r="B1" s="19" t="s">
        <v>32</v>
      </c>
      <c r="C1" s="18" t="s">
        <v>33</v>
      </c>
      <c r="D1" s="19" t="s">
        <v>34</v>
      </c>
      <c r="E1" s="19" t="s">
        <v>35</v>
      </c>
      <c r="F1" s="20" t="s">
        <v>46</v>
      </c>
      <c r="G1" s="20" t="s">
        <v>47</v>
      </c>
      <c r="H1" s="20" t="s">
        <v>36</v>
      </c>
      <c r="I1" s="18" t="s">
        <v>37</v>
      </c>
    </row>
    <row r="2" spans="1:9" ht="30" x14ac:dyDescent="0.25">
      <c r="A2" s="21">
        <v>1</v>
      </c>
      <c r="B2" s="21" t="s">
        <v>44</v>
      </c>
      <c r="C2" s="22" t="s">
        <v>38</v>
      </c>
      <c r="D2" s="23" t="s">
        <v>39</v>
      </c>
      <c r="E2" s="23" t="s">
        <v>39</v>
      </c>
      <c r="F2" s="23" t="s">
        <v>40</v>
      </c>
      <c r="G2" s="23" t="s">
        <v>40</v>
      </c>
      <c r="H2" s="23"/>
      <c r="I2" s="50" t="s">
        <v>60</v>
      </c>
    </row>
    <row r="3" spans="1:9" ht="30" x14ac:dyDescent="0.25">
      <c r="A3" s="21">
        <v>2</v>
      </c>
      <c r="B3" s="21" t="s">
        <v>41</v>
      </c>
      <c r="C3" s="22" t="s">
        <v>38</v>
      </c>
      <c r="D3" s="23" t="s">
        <v>45</v>
      </c>
      <c r="E3" s="23" t="s">
        <v>45</v>
      </c>
      <c r="F3" s="23" t="s">
        <v>39</v>
      </c>
      <c r="G3" s="23" t="s">
        <v>40</v>
      </c>
      <c r="H3" s="23" t="s">
        <v>48</v>
      </c>
      <c r="I3" s="51"/>
    </row>
    <row r="4" spans="1:9" ht="30" x14ac:dyDescent="0.25">
      <c r="A4" s="21">
        <v>3</v>
      </c>
      <c r="B4" s="21" t="s">
        <v>42</v>
      </c>
      <c r="C4" s="22" t="s">
        <v>38</v>
      </c>
      <c r="D4" s="23" t="s">
        <v>49</v>
      </c>
      <c r="E4" s="23" t="s">
        <v>49</v>
      </c>
      <c r="F4" s="23" t="s">
        <v>45</v>
      </c>
      <c r="G4" s="23" t="s">
        <v>39</v>
      </c>
      <c r="H4" s="23" t="s">
        <v>40</v>
      </c>
      <c r="I4" s="51"/>
    </row>
    <row r="5" spans="1:9" ht="30" x14ac:dyDescent="0.25">
      <c r="A5" s="21">
        <v>4</v>
      </c>
      <c r="B5" s="21" t="s">
        <v>43</v>
      </c>
      <c r="C5" s="22" t="s">
        <v>38</v>
      </c>
      <c r="D5" s="23" t="s">
        <v>45</v>
      </c>
      <c r="E5" s="23" t="s">
        <v>45</v>
      </c>
      <c r="F5" s="23" t="s">
        <v>39</v>
      </c>
      <c r="G5" s="23" t="s">
        <v>40</v>
      </c>
      <c r="H5" s="23" t="s">
        <v>40</v>
      </c>
      <c r="I5" s="51"/>
    </row>
    <row r="6" spans="1:9" ht="30" x14ac:dyDescent="0.25">
      <c r="A6" s="21">
        <v>5</v>
      </c>
      <c r="B6" s="21" t="s">
        <v>50</v>
      </c>
      <c r="C6" s="22" t="s">
        <v>38</v>
      </c>
      <c r="D6" s="23" t="s">
        <v>49</v>
      </c>
      <c r="E6" s="23" t="s">
        <v>49</v>
      </c>
      <c r="F6" s="23" t="s">
        <v>45</v>
      </c>
      <c r="G6" s="23" t="s">
        <v>39</v>
      </c>
      <c r="H6" s="23"/>
      <c r="I6" s="51"/>
    </row>
    <row r="7" spans="1:9" ht="30" x14ac:dyDescent="0.25">
      <c r="A7" s="21">
        <v>6</v>
      </c>
      <c r="B7" s="21" t="s">
        <v>51</v>
      </c>
      <c r="C7" s="22" t="s">
        <v>38</v>
      </c>
      <c r="D7" s="23" t="s">
        <v>45</v>
      </c>
      <c r="E7" s="23" t="s">
        <v>45</v>
      </c>
      <c r="F7" s="23" t="s">
        <v>39</v>
      </c>
      <c r="G7" s="23" t="s">
        <v>40</v>
      </c>
      <c r="H7" s="23" t="s">
        <v>40</v>
      </c>
      <c r="I7" s="51"/>
    </row>
    <row r="8" spans="1:9" ht="30" x14ac:dyDescent="0.25">
      <c r="A8" s="21">
        <v>7</v>
      </c>
      <c r="B8" s="21" t="s">
        <v>52</v>
      </c>
      <c r="C8" s="22" t="s">
        <v>38</v>
      </c>
      <c r="D8" s="23" t="s">
        <v>45</v>
      </c>
      <c r="E8" s="23" t="s">
        <v>45</v>
      </c>
      <c r="F8" s="23" t="s">
        <v>39</v>
      </c>
      <c r="G8" s="23" t="s">
        <v>40</v>
      </c>
      <c r="H8" s="23" t="s">
        <v>40</v>
      </c>
      <c r="I8" s="51"/>
    </row>
    <row r="9" spans="1:9" ht="30" x14ac:dyDescent="0.25">
      <c r="A9" s="21">
        <v>8</v>
      </c>
      <c r="B9" s="21" t="s">
        <v>53</v>
      </c>
      <c r="C9" s="22" t="s">
        <v>38</v>
      </c>
      <c r="D9" s="23" t="s">
        <v>45</v>
      </c>
      <c r="E9" s="23" t="s">
        <v>45</v>
      </c>
      <c r="F9" s="23" t="s">
        <v>39</v>
      </c>
      <c r="G9" s="23" t="s">
        <v>40</v>
      </c>
      <c r="H9" s="23" t="s">
        <v>40</v>
      </c>
      <c r="I9" s="51"/>
    </row>
    <row r="10" spans="1:9" ht="30" x14ac:dyDescent="0.25">
      <c r="A10" s="21">
        <v>9</v>
      </c>
      <c r="B10" s="21" t="s">
        <v>54</v>
      </c>
      <c r="C10" s="22" t="s">
        <v>38</v>
      </c>
      <c r="D10" s="23" t="s">
        <v>45</v>
      </c>
      <c r="E10" s="23" t="s">
        <v>45</v>
      </c>
      <c r="F10" s="23" t="s">
        <v>39</v>
      </c>
      <c r="G10" s="23" t="s">
        <v>40</v>
      </c>
      <c r="H10" s="23" t="s">
        <v>40</v>
      </c>
      <c r="I10" s="51"/>
    </row>
    <row r="11" spans="1:9" ht="30" x14ac:dyDescent="0.25">
      <c r="A11" s="21">
        <v>10</v>
      </c>
      <c r="B11" s="21" t="s">
        <v>55</v>
      </c>
      <c r="C11" s="22" t="s">
        <v>38</v>
      </c>
      <c r="D11" s="23" t="s">
        <v>45</v>
      </c>
      <c r="E11" s="23" t="s">
        <v>39</v>
      </c>
      <c r="F11" s="23" t="s">
        <v>40</v>
      </c>
      <c r="G11" s="23" t="s">
        <v>40</v>
      </c>
      <c r="H11" s="23"/>
      <c r="I11" s="51"/>
    </row>
    <row r="12" spans="1:9" ht="30" x14ac:dyDescent="0.25">
      <c r="A12" s="21">
        <v>11</v>
      </c>
      <c r="B12" s="21" t="s">
        <v>56</v>
      </c>
      <c r="C12" s="22" t="s">
        <v>38</v>
      </c>
      <c r="D12" s="23" t="s">
        <v>45</v>
      </c>
      <c r="E12" s="23" t="s">
        <v>45</v>
      </c>
      <c r="F12" s="23" t="s">
        <v>39</v>
      </c>
      <c r="G12" s="23" t="s">
        <v>40</v>
      </c>
      <c r="H12" s="23" t="s">
        <v>48</v>
      </c>
      <c r="I12" s="51"/>
    </row>
    <row r="13" spans="1:9" ht="30" x14ac:dyDescent="0.25">
      <c r="A13" s="21">
        <v>12</v>
      </c>
      <c r="B13" s="21" t="s">
        <v>57</v>
      </c>
      <c r="C13" s="22" t="s">
        <v>38</v>
      </c>
      <c r="D13" s="23" t="s">
        <v>39</v>
      </c>
      <c r="E13" s="23" t="s">
        <v>39</v>
      </c>
      <c r="F13" s="23" t="s">
        <v>40</v>
      </c>
      <c r="G13" s="23" t="s">
        <v>40</v>
      </c>
      <c r="H13" s="23" t="s">
        <v>40</v>
      </c>
      <c r="I13" s="51"/>
    </row>
    <row r="14" spans="1:9" ht="30" x14ac:dyDescent="0.25">
      <c r="A14" s="21">
        <v>13</v>
      </c>
      <c r="B14" s="21" t="s">
        <v>58</v>
      </c>
      <c r="C14" s="22" t="s">
        <v>38</v>
      </c>
      <c r="D14" s="23" t="s">
        <v>39</v>
      </c>
      <c r="E14" s="23" t="s">
        <v>39</v>
      </c>
      <c r="F14" s="23" t="s">
        <v>40</v>
      </c>
      <c r="G14" s="23" t="s">
        <v>40</v>
      </c>
      <c r="H14" s="23" t="s">
        <v>40</v>
      </c>
      <c r="I14" s="51"/>
    </row>
    <row r="15" spans="1:9" ht="30" x14ac:dyDescent="0.25">
      <c r="A15" s="21">
        <v>14</v>
      </c>
      <c r="B15" s="21" t="s">
        <v>59</v>
      </c>
      <c r="C15" s="22" t="s">
        <v>38</v>
      </c>
      <c r="D15" s="23" t="s">
        <v>45</v>
      </c>
      <c r="E15" s="23" t="s">
        <v>39</v>
      </c>
      <c r="F15" s="23" t="s">
        <v>40</v>
      </c>
      <c r="G15" s="23" t="s">
        <v>48</v>
      </c>
      <c r="H15" s="23" t="s">
        <v>48</v>
      </c>
      <c r="I15" s="52"/>
    </row>
  </sheetData>
  <mergeCells count="1">
    <mergeCell ref="I2:I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Interpoaltion</vt:lpstr>
      <vt:lpstr>wall load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2026-10-14T09:23:25Z</dcterms:modified>
</cp:coreProperties>
</file>